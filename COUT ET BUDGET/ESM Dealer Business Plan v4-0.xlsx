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imelineCaches/timelineCache1.xml" ContentType="application/vnd.ms-excel.timelineCache+xml"/>
  <Override PartName="/xl/timelineCaches/timelineCache2.xml" ContentType="application/vnd.ms-excel.timeline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imelines/timeline1.xml" ContentType="application/vnd.ms-excel.timelin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timelines/timeline2.xml" ContentType="application/vnd.ms-excel.timelin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hidePivotFieldList="1"/>
  <mc:AlternateContent xmlns:mc="http://schemas.openxmlformats.org/markup-compatibility/2006">
    <mc:Choice Requires="x15">
      <x15ac:absPath xmlns:x15ac="http://schemas.microsoft.com/office/spreadsheetml/2010/11/ac" url="C:\Users\Admininf\Documents\Mes Documents\Stratégie\Groupe VMSODIME\ESM TP\Forecast\Forecast 2019\"/>
    </mc:Choice>
  </mc:AlternateContent>
  <bookViews>
    <workbookView xWindow="1212" yWindow="456" windowWidth="25560" windowHeight="14184"/>
  </bookViews>
  <sheets>
    <sheet name="Liste Machines" sheetId="12" r:id="rId1"/>
    <sheet name="Cdes HITACHI" sheetId="13" r:id="rId2"/>
    <sheet name="Nombre" sheetId="20" r:id="rId3"/>
    <sheet name="Budget" sheetId="24" r:id="rId4"/>
    <sheet name="Prévisionnel" sheetId="18" r:id="rId5"/>
    <sheet name="PlanFinance" sheetId="22" r:id="rId6"/>
    <sheet name="Parts de marché" sheetId="7" r:id="rId7"/>
    <sheet name="Data" sheetId="16" r:id="rId8"/>
  </sheets>
  <externalReferences>
    <externalReference r:id="rId9"/>
    <externalReference r:id="rId10"/>
  </externalReferences>
  <definedNames>
    <definedName name="_xlnm._FilterDatabase" localSheetId="1">'Cdes HITACHI'!$B$7:$AU$340</definedName>
    <definedName name="_xlnm._FilterDatabase" localSheetId="7" hidden="1">Data!$D$2:$I$117</definedName>
    <definedName name="_xlnm._FilterDatabase" localSheetId="5">PlanFinance!#REF!</definedName>
    <definedName name="ChronologieNative_Delivery1">#N/A</definedName>
    <definedName name="ChronologieNative_Delivery11">#N/A</definedName>
    <definedName name="Début_HCME">PlanFinance!$B$3</definedName>
    <definedName name="Délai_Vente">PlanFinance!$C$7</definedName>
    <definedName name="Frais_de_Création">PlanFinance!$C$36</definedName>
    <definedName name="_xlnm.Print_Titles" localSheetId="3">Budget!$B:$B,Budget!$22:$23</definedName>
    <definedName name="_xlnm.Print_Titles" localSheetId="2">Nombre!$B:$B,Nombre!$22:$23</definedName>
    <definedName name="MarkUp">PlanFinance!$C$6</definedName>
    <definedName name="Rglt_à_ESMTP">PlanFinance!$C$13</definedName>
    <definedName name="Rglt_à_HCME">PlanFinance!$C$24</definedName>
    <definedName name="Segment_Client1">#N/A</definedName>
    <definedName name="Segment_Client11">#N/A</definedName>
    <definedName name="Segment_LivrAn">#N/A</definedName>
    <definedName name="Segment_Site1">#N/A</definedName>
    <definedName name="Segment_Site11">#N/A</definedName>
    <definedName name="Segment_Status">#N/A</definedName>
    <definedName name="Segment_Status11">#N/A</definedName>
    <definedName name="Segment_Status111">#N/A</definedName>
    <definedName name="Segment_Sub_Dealer">#N/A</definedName>
    <definedName name="Segment_Sub_Dealer1">#N/A</definedName>
    <definedName name="Segment_Sub_Dealer11">#N/A</definedName>
    <definedName name="Segment_Ton.">#N/A</definedName>
    <definedName name="TVA">PlanFinance!$C$11</definedName>
    <definedName name="VENTE_stock">PlanFinance!$D$7</definedName>
    <definedName name="_xlnm.Print_Area" localSheetId="3">Budget!$B$21:$O$33</definedName>
    <definedName name="_xlnm.Print_Area" localSheetId="0">'Liste Machines'!$B$1:$K$303</definedName>
    <definedName name="_xlnm.Print_Area" localSheetId="2">Nombre!$B$21:$L$37</definedName>
    <definedName name="_xlnm.Print_Area" localSheetId="6">'Parts de marché'!$A$1:$I$48</definedName>
    <definedName name="_xlnm.Print_Area" localSheetId="5">PlanFinance!$B$1:$AR$42</definedName>
  </definedNames>
  <calcPr calcId="152511"/>
  <pivotCaches>
    <pivotCache cacheId="0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20"/>
        <x15:timelineCacheRef r:id="rId21"/>
      </x15:timelineCacheRefs>
    </ext>
    <ext xmlns:x15="http://schemas.microsoft.com/office/spreadsheetml/2010/11/main" uri="{46BE6895-7355-4a93-B00E-2C351335B9C9}">
      <x15:slicerCaches xmlns:x14="http://schemas.microsoft.com/office/spreadsheetml/2009/9/main">
        <x14:slicerCache r:id="rId22"/>
        <x14:slicerCache r:id="rId23"/>
        <x14:slicerCache r:id="rId24"/>
        <x14:slicerCache r:id="rId25"/>
      </x15:slicerCach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283" i="12" l="1"/>
  <c r="AK283" i="12" s="1"/>
  <c r="X283" i="12"/>
  <c r="Y283" i="12" s="1"/>
  <c r="P283" i="12"/>
  <c r="O283" i="12"/>
  <c r="Z287" i="12"/>
  <c r="AK287" i="12" s="1"/>
  <c r="X287" i="12"/>
  <c r="AF287" i="12" s="1"/>
  <c r="AG287" i="12" s="1"/>
  <c r="P287" i="12"/>
  <c r="O287" i="12"/>
  <c r="I287" i="12"/>
  <c r="Z220" i="12"/>
  <c r="X220" i="12"/>
  <c r="AD220" i="12" s="1"/>
  <c r="P220" i="12"/>
  <c r="O220" i="12"/>
  <c r="Z198" i="12"/>
  <c r="AJ198" i="12" s="1"/>
  <c r="X198" i="12"/>
  <c r="AD198" i="12" s="1"/>
  <c r="P198" i="12"/>
  <c r="O198" i="12"/>
  <c r="Z284" i="12"/>
  <c r="AA284" i="12" s="1"/>
  <c r="X284" i="12"/>
  <c r="AD284" i="12" s="1"/>
  <c r="P284" i="12"/>
  <c r="O284" i="12"/>
  <c r="Z190" i="12"/>
  <c r="AK190" i="12" s="1"/>
  <c r="X190" i="12"/>
  <c r="AB190" i="12" s="1"/>
  <c r="AC190" i="12" s="1"/>
  <c r="P190" i="12"/>
  <c r="O190" i="12"/>
  <c r="Z218" i="12"/>
  <c r="AK218" i="12" s="1"/>
  <c r="X218" i="12"/>
  <c r="AB218" i="12" s="1"/>
  <c r="AC218" i="12" s="1"/>
  <c r="P218" i="12"/>
  <c r="O218" i="12"/>
  <c r="Z212" i="12"/>
  <c r="AK212" i="12" s="1"/>
  <c r="X212" i="12"/>
  <c r="P212" i="12"/>
  <c r="O212" i="12"/>
  <c r="Z211" i="12"/>
  <c r="AA211" i="12" s="1"/>
  <c r="X211" i="12"/>
  <c r="Y211" i="12" s="1"/>
  <c r="P211" i="12"/>
  <c r="O211" i="12"/>
  <c r="Z196" i="12"/>
  <c r="AJ196" i="12" s="1"/>
  <c r="X196" i="12"/>
  <c r="AF196" i="12" s="1"/>
  <c r="AG196" i="12" s="1"/>
  <c r="P196" i="12"/>
  <c r="O196" i="12"/>
  <c r="Z195" i="12"/>
  <c r="X195" i="12"/>
  <c r="AD195" i="12" s="1"/>
  <c r="P195" i="12"/>
  <c r="O195" i="12"/>
  <c r="Z269" i="12"/>
  <c r="AJ269" i="12" s="1"/>
  <c r="X269" i="12"/>
  <c r="AD269" i="12" s="1"/>
  <c r="P269" i="12"/>
  <c r="O269" i="12"/>
  <c r="Z209" i="12"/>
  <c r="AA209" i="12" s="1"/>
  <c r="X209" i="12"/>
  <c r="AB209" i="12" s="1"/>
  <c r="AC209" i="12" s="1"/>
  <c r="P209" i="12"/>
  <c r="O209" i="12"/>
  <c r="Z268" i="12"/>
  <c r="AK268" i="12" s="1"/>
  <c r="X268" i="12"/>
  <c r="AB268" i="12" s="1"/>
  <c r="AC268" i="12" s="1"/>
  <c r="P268" i="12"/>
  <c r="O268" i="12"/>
  <c r="I28" i="16"/>
  <c r="I283" i="12" s="1"/>
  <c r="I29" i="16"/>
  <c r="I30" i="16"/>
  <c r="I31" i="16"/>
  <c r="I32" i="16"/>
  <c r="I268" i="12" s="1"/>
  <c r="I33" i="16"/>
  <c r="I195" i="12" s="1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5" i="16"/>
  <c r="I66" i="16"/>
  <c r="I67" i="16"/>
  <c r="I68" i="16"/>
  <c r="I69" i="16"/>
  <c r="I70" i="16"/>
  <c r="I71" i="16"/>
  <c r="I72" i="16"/>
  <c r="I101" i="16"/>
  <c r="I102" i="16"/>
  <c r="I103" i="16"/>
  <c r="I104" i="16"/>
  <c r="I105" i="16"/>
  <c r="I106" i="16"/>
  <c r="I117" i="16"/>
  <c r="Z267" i="12"/>
  <c r="AJ267" i="12" s="1"/>
  <c r="X267" i="12"/>
  <c r="AF267" i="12" s="1"/>
  <c r="AG267" i="12" s="1"/>
  <c r="P267" i="12"/>
  <c r="O267" i="12"/>
  <c r="Z224" i="12"/>
  <c r="X224" i="12"/>
  <c r="AD224" i="12" s="1"/>
  <c r="P224" i="12"/>
  <c r="O224" i="12"/>
  <c r="I224" i="12"/>
  <c r="Z208" i="12"/>
  <c r="AJ208" i="12" s="1"/>
  <c r="X208" i="12"/>
  <c r="AF208" i="12" s="1"/>
  <c r="AG208" i="12" s="1"/>
  <c r="P208" i="12"/>
  <c r="O208" i="12"/>
  <c r="Z253" i="12"/>
  <c r="AA253" i="12" s="1"/>
  <c r="X253" i="12"/>
  <c r="AB253" i="12" s="1"/>
  <c r="AC253" i="12" s="1"/>
  <c r="P253" i="12"/>
  <c r="O253" i="12"/>
  <c r="Z234" i="12"/>
  <c r="AK234" i="12" s="1"/>
  <c r="X234" i="12"/>
  <c r="AB234" i="12" s="1"/>
  <c r="AC234" i="12" s="1"/>
  <c r="P234" i="12"/>
  <c r="O234" i="12"/>
  <c r="Z225" i="12"/>
  <c r="AJ225" i="12" s="1"/>
  <c r="X225" i="12"/>
  <c r="AB225" i="12" s="1"/>
  <c r="AC225" i="12" s="1"/>
  <c r="P225" i="12"/>
  <c r="O225" i="12"/>
  <c r="Z260" i="12"/>
  <c r="AJ260" i="12" s="1"/>
  <c r="X260" i="12"/>
  <c r="P260" i="12"/>
  <c r="O260" i="12"/>
  <c r="Z221" i="12"/>
  <c r="AK221" i="12" s="1"/>
  <c r="X221" i="12"/>
  <c r="Y221" i="12" s="1"/>
  <c r="P221" i="12"/>
  <c r="O221" i="12"/>
  <c r="Z194" i="12"/>
  <c r="AJ194" i="12" s="1"/>
  <c r="X194" i="12"/>
  <c r="AF194" i="12" s="1"/>
  <c r="AG194" i="12" s="1"/>
  <c r="P194" i="12"/>
  <c r="O194" i="12"/>
  <c r="Z193" i="12"/>
  <c r="X193" i="12"/>
  <c r="AD193" i="12" s="1"/>
  <c r="P193" i="12"/>
  <c r="O193" i="12"/>
  <c r="I193" i="12"/>
  <c r="Z191" i="12"/>
  <c r="AJ191" i="12" s="1"/>
  <c r="X191" i="12"/>
  <c r="AF191" i="12" s="1"/>
  <c r="AG191" i="12" s="1"/>
  <c r="P191" i="12"/>
  <c r="O191" i="12"/>
  <c r="Z286" i="12"/>
  <c r="AA286" i="12" s="1"/>
  <c r="X286" i="12"/>
  <c r="AB286" i="12" s="1"/>
  <c r="AC286" i="12" s="1"/>
  <c r="Y286" i="12"/>
  <c r="P286" i="12"/>
  <c r="O286" i="12"/>
  <c r="Z199" i="12"/>
  <c r="AK199" i="12" s="1"/>
  <c r="X199" i="12"/>
  <c r="AB199" i="12" s="1"/>
  <c r="AC199" i="12" s="1"/>
  <c r="P199" i="12"/>
  <c r="O199" i="12"/>
  <c r="Z233" i="12"/>
  <c r="AK233" i="12" s="1"/>
  <c r="AJ233" i="12"/>
  <c r="X233" i="12"/>
  <c r="AB233" i="12" s="1"/>
  <c r="AC233" i="12" s="1"/>
  <c r="P233" i="12"/>
  <c r="O233" i="12"/>
  <c r="Z215" i="12"/>
  <c r="AK215" i="12" s="1"/>
  <c r="X215" i="12"/>
  <c r="Y215" i="12" s="1"/>
  <c r="P215" i="12"/>
  <c r="O215" i="12"/>
  <c r="Z230" i="12"/>
  <c r="AA230" i="12" s="1"/>
  <c r="X230" i="12"/>
  <c r="Y230" i="12" s="1"/>
  <c r="P230" i="12"/>
  <c r="O230" i="12"/>
  <c r="Z214" i="12"/>
  <c r="AJ214" i="12" s="1"/>
  <c r="X214" i="12"/>
  <c r="P214" i="12"/>
  <c r="O214" i="12"/>
  <c r="I214" i="12"/>
  <c r="Z259" i="12"/>
  <c r="AJ259" i="12" s="1"/>
  <c r="X259" i="12"/>
  <c r="AD259" i="12" s="1"/>
  <c r="P259" i="12"/>
  <c r="O259" i="12"/>
  <c r="I259" i="12"/>
  <c r="Z227" i="12"/>
  <c r="AJ227" i="12" s="1"/>
  <c r="X227" i="12"/>
  <c r="AF227" i="12" s="1"/>
  <c r="AG227" i="12" s="1"/>
  <c r="P227" i="12"/>
  <c r="O227" i="12"/>
  <c r="I227" i="12"/>
  <c r="Z217" i="12"/>
  <c r="X217" i="12"/>
  <c r="AB217" i="12" s="1"/>
  <c r="AC217" i="12" s="1"/>
  <c r="P217" i="12"/>
  <c r="O217" i="12"/>
  <c r="I217" i="12"/>
  <c r="Z205" i="12"/>
  <c r="AK205" i="12" s="1"/>
  <c r="X205" i="12"/>
  <c r="AB205" i="12" s="1"/>
  <c r="AC205" i="12" s="1"/>
  <c r="P205" i="12"/>
  <c r="O205" i="12"/>
  <c r="I205" i="12"/>
  <c r="Z201" i="12"/>
  <c r="AK201" i="12" s="1"/>
  <c r="X201" i="12"/>
  <c r="AB201" i="12" s="1"/>
  <c r="AC201" i="12" s="1"/>
  <c r="P201" i="12"/>
  <c r="O201" i="12"/>
  <c r="I201" i="12"/>
  <c r="Z280" i="12"/>
  <c r="AA280" i="12" s="1"/>
  <c r="X280" i="12"/>
  <c r="P280" i="12"/>
  <c r="O280" i="12"/>
  <c r="I280" i="12"/>
  <c r="Z254" i="12"/>
  <c r="AK254" i="12" s="1"/>
  <c r="X254" i="12"/>
  <c r="Y254" i="12" s="1"/>
  <c r="P254" i="12"/>
  <c r="O254" i="12"/>
  <c r="I254" i="12"/>
  <c r="Z222" i="12"/>
  <c r="AJ222" i="12" s="1"/>
  <c r="X222" i="12"/>
  <c r="P222" i="12"/>
  <c r="O222" i="12"/>
  <c r="I222" i="12"/>
  <c r="Z213" i="12"/>
  <c r="AJ213" i="12" s="1"/>
  <c r="X213" i="12"/>
  <c r="AD213" i="12" s="1"/>
  <c r="P213" i="12"/>
  <c r="O213" i="12"/>
  <c r="I213" i="12"/>
  <c r="Z192" i="12"/>
  <c r="AJ192" i="12" s="1"/>
  <c r="X192" i="12"/>
  <c r="AD192" i="12" s="1"/>
  <c r="P192" i="12"/>
  <c r="O192" i="12"/>
  <c r="I192" i="12"/>
  <c r="Z282" i="12"/>
  <c r="X282" i="12"/>
  <c r="AB282" i="12" s="1"/>
  <c r="AC282" i="12" s="1"/>
  <c r="P282" i="12"/>
  <c r="O282" i="12"/>
  <c r="I282" i="12"/>
  <c r="Z285" i="12"/>
  <c r="AK285" i="12" s="1"/>
  <c r="X285" i="12"/>
  <c r="AB285" i="12" s="1"/>
  <c r="AC285" i="12" s="1"/>
  <c r="P285" i="12"/>
  <c r="O285" i="12"/>
  <c r="I285" i="12"/>
  <c r="Z278" i="12"/>
  <c r="AK278" i="12" s="1"/>
  <c r="X278" i="12"/>
  <c r="P278" i="12"/>
  <c r="O278" i="12"/>
  <c r="I278" i="12"/>
  <c r="Z226" i="12"/>
  <c r="AK226" i="12" s="1"/>
  <c r="X226" i="12"/>
  <c r="AF226" i="12" s="1"/>
  <c r="AG226" i="12" s="1"/>
  <c r="P226" i="12"/>
  <c r="O226" i="12"/>
  <c r="I226" i="12"/>
  <c r="Z216" i="12"/>
  <c r="AJ216" i="12" s="1"/>
  <c r="X216" i="12"/>
  <c r="AB216" i="12" s="1"/>
  <c r="AC216" i="12" s="1"/>
  <c r="P216" i="12"/>
  <c r="O216" i="12"/>
  <c r="I216" i="12"/>
  <c r="Z204" i="12"/>
  <c r="AA204" i="12" s="1"/>
  <c r="X204" i="12"/>
  <c r="AF204" i="12" s="1"/>
  <c r="AG204" i="12" s="1"/>
  <c r="P204" i="12"/>
  <c r="O204" i="12"/>
  <c r="I204" i="12"/>
  <c r="Z281" i="12"/>
  <c r="AA281" i="12" s="1"/>
  <c r="X281" i="12"/>
  <c r="AD281" i="12" s="1"/>
  <c r="AH281" i="12" s="1"/>
  <c r="AI281" i="12" s="1"/>
  <c r="P281" i="12"/>
  <c r="O281" i="12"/>
  <c r="I281" i="12"/>
  <c r="Z237" i="12"/>
  <c r="AK237" i="12" s="1"/>
  <c r="X237" i="12"/>
  <c r="Y237" i="12" s="1"/>
  <c r="P237" i="12"/>
  <c r="O237" i="12"/>
  <c r="I237" i="12"/>
  <c r="Z270" i="12"/>
  <c r="AA270" i="12" s="1"/>
  <c r="X270" i="12"/>
  <c r="AB270" i="12" s="1"/>
  <c r="AC270" i="12" s="1"/>
  <c r="P270" i="12"/>
  <c r="O270" i="12"/>
  <c r="I270" i="12"/>
  <c r="Z249" i="12"/>
  <c r="AK249" i="12" s="1"/>
  <c r="X249" i="12"/>
  <c r="AB249" i="12" s="1"/>
  <c r="AC249" i="12" s="1"/>
  <c r="P249" i="12"/>
  <c r="O249" i="12"/>
  <c r="Z248" i="12"/>
  <c r="AJ248" i="12" s="1"/>
  <c r="X248" i="12"/>
  <c r="AD248" i="12" s="1"/>
  <c r="P248" i="12"/>
  <c r="O248" i="12"/>
  <c r="Z246" i="12"/>
  <c r="AK246" i="12" s="1"/>
  <c r="X246" i="12"/>
  <c r="AF246" i="12" s="1"/>
  <c r="AG246" i="12" s="1"/>
  <c r="P246" i="12"/>
  <c r="O246" i="12"/>
  <c r="Z238" i="12"/>
  <c r="AJ238" i="12" s="1"/>
  <c r="X238" i="12"/>
  <c r="AF238" i="12" s="1"/>
  <c r="AG238" i="12" s="1"/>
  <c r="P238" i="12"/>
  <c r="O238" i="12"/>
  <c r="I238" i="12"/>
  <c r="Z244" i="12"/>
  <c r="AJ244" i="12" s="1"/>
  <c r="X244" i="12"/>
  <c r="AB244" i="12" s="1"/>
  <c r="AC244" i="12" s="1"/>
  <c r="P244" i="12"/>
  <c r="O244" i="12"/>
  <c r="I244" i="12"/>
  <c r="Z223" i="12"/>
  <c r="AK223" i="12" s="1"/>
  <c r="X223" i="12"/>
  <c r="P223" i="12"/>
  <c r="O223" i="12"/>
  <c r="I223" i="12"/>
  <c r="Z203" i="12"/>
  <c r="AA203" i="12" s="1"/>
  <c r="X203" i="12"/>
  <c r="AD203" i="12" s="1"/>
  <c r="P203" i="12"/>
  <c r="O203" i="12"/>
  <c r="I203" i="12"/>
  <c r="Z231" i="12"/>
  <c r="AJ231" i="12" s="1"/>
  <c r="X231" i="12"/>
  <c r="AF231" i="12" s="1"/>
  <c r="AG231" i="12" s="1"/>
  <c r="P231" i="12"/>
  <c r="O231" i="12"/>
  <c r="I231" i="12"/>
  <c r="Z207" i="12"/>
  <c r="X207" i="12"/>
  <c r="AB207" i="12" s="1"/>
  <c r="AC207" i="12" s="1"/>
  <c r="P207" i="12"/>
  <c r="O207" i="12"/>
  <c r="I207" i="12"/>
  <c r="Z189" i="12"/>
  <c r="AK189" i="12" s="1"/>
  <c r="X189" i="12"/>
  <c r="Y189" i="12" s="1"/>
  <c r="P189" i="12"/>
  <c r="O189" i="12"/>
  <c r="I189" i="12"/>
  <c r="Z197" i="12"/>
  <c r="AA197" i="12" s="1"/>
  <c r="X197" i="12"/>
  <c r="AB197" i="12" s="1"/>
  <c r="AC197" i="12" s="1"/>
  <c r="P197" i="12"/>
  <c r="O197" i="12"/>
  <c r="I197" i="12"/>
  <c r="Z210" i="12"/>
  <c r="AK210" i="12" s="1"/>
  <c r="X210" i="12"/>
  <c r="AF210" i="12" s="1"/>
  <c r="AG210" i="12" s="1"/>
  <c r="P210" i="12"/>
  <c r="O210" i="12"/>
  <c r="I210" i="12"/>
  <c r="Z229" i="12"/>
  <c r="AJ229" i="12" s="1"/>
  <c r="X229" i="12"/>
  <c r="AF229" i="12" s="1"/>
  <c r="AG229" i="12" s="1"/>
  <c r="P229" i="12"/>
  <c r="O229" i="12"/>
  <c r="I229" i="12"/>
  <c r="Z275" i="12"/>
  <c r="AK275" i="12" s="1"/>
  <c r="X275" i="12"/>
  <c r="P275" i="12"/>
  <c r="O275" i="12"/>
  <c r="I275" i="12"/>
  <c r="Z239" i="12"/>
  <c r="AJ239" i="12" s="1"/>
  <c r="X239" i="12"/>
  <c r="AD239" i="12" s="1"/>
  <c r="P239" i="12"/>
  <c r="O239" i="12"/>
  <c r="I239" i="12"/>
  <c r="Z256" i="12"/>
  <c r="AA256" i="12" s="1"/>
  <c r="X256" i="12"/>
  <c r="AF256" i="12" s="1"/>
  <c r="AG256" i="12" s="1"/>
  <c r="P256" i="12"/>
  <c r="O256" i="12"/>
  <c r="I256" i="12"/>
  <c r="Z219" i="12"/>
  <c r="X219" i="12"/>
  <c r="AB219" i="12" s="1"/>
  <c r="AC219" i="12" s="1"/>
  <c r="P219" i="12"/>
  <c r="O219" i="12"/>
  <c r="I219" i="12"/>
  <c r="Z228" i="12"/>
  <c r="AK228" i="12" s="1"/>
  <c r="X228" i="12"/>
  <c r="AB228" i="12" s="1"/>
  <c r="AC228" i="12" s="1"/>
  <c r="P228" i="12"/>
  <c r="O228" i="12"/>
  <c r="I228" i="12"/>
  <c r="Z276" i="12"/>
  <c r="AA276" i="12" s="1"/>
  <c r="X276" i="12"/>
  <c r="AB276" i="12" s="1"/>
  <c r="AC276" i="12" s="1"/>
  <c r="P276" i="12"/>
  <c r="O276" i="12"/>
  <c r="I276" i="12"/>
  <c r="Z255" i="12"/>
  <c r="AJ255" i="12" s="1"/>
  <c r="X255" i="12"/>
  <c r="AD255" i="12" s="1"/>
  <c r="P255" i="12"/>
  <c r="O255" i="12"/>
  <c r="I255" i="12"/>
  <c r="Z241" i="12"/>
  <c r="AJ241" i="12" s="1"/>
  <c r="X241" i="12"/>
  <c r="AB241" i="12" s="1"/>
  <c r="AC241" i="12" s="1"/>
  <c r="P241" i="12"/>
  <c r="O241" i="12"/>
  <c r="I241" i="12"/>
  <c r="Z279" i="12"/>
  <c r="AK279" i="12" s="1"/>
  <c r="X279" i="12"/>
  <c r="P279" i="12"/>
  <c r="O279" i="12"/>
  <c r="I279" i="12"/>
  <c r="Z261" i="12"/>
  <c r="AA261" i="12" s="1"/>
  <c r="X261" i="12"/>
  <c r="AD261" i="12" s="1"/>
  <c r="P261" i="12"/>
  <c r="O261" i="12"/>
  <c r="I261" i="12"/>
  <c r="Z263" i="12"/>
  <c r="AK263" i="12" s="1"/>
  <c r="X263" i="12"/>
  <c r="AF263" i="12" s="1"/>
  <c r="AG263" i="12" s="1"/>
  <c r="P263" i="12"/>
  <c r="O263" i="12"/>
  <c r="I263" i="12"/>
  <c r="Z271" i="12"/>
  <c r="X271" i="12"/>
  <c r="AB271" i="12" s="1"/>
  <c r="AC271" i="12" s="1"/>
  <c r="P271" i="12"/>
  <c r="O271" i="12"/>
  <c r="I271" i="12"/>
  <c r="Z232" i="12"/>
  <c r="AK232" i="12" s="1"/>
  <c r="X232" i="12"/>
  <c r="Y232" i="12" s="1"/>
  <c r="P232" i="12"/>
  <c r="O232" i="12"/>
  <c r="I232" i="12"/>
  <c r="Z236" i="12"/>
  <c r="AA236" i="12" s="1"/>
  <c r="X236" i="12"/>
  <c r="AB236" i="12" s="1"/>
  <c r="AC236" i="12" s="1"/>
  <c r="P236" i="12"/>
  <c r="O236" i="12"/>
  <c r="I236" i="12"/>
  <c r="Z242" i="12"/>
  <c r="AK242" i="12" s="1"/>
  <c r="X242" i="12"/>
  <c r="AB242" i="12" s="1"/>
  <c r="AC242" i="12" s="1"/>
  <c r="P242" i="12"/>
  <c r="O242" i="12"/>
  <c r="I242" i="12"/>
  <c r="Z264" i="12"/>
  <c r="AJ264" i="12" s="1"/>
  <c r="X264" i="12"/>
  <c r="AF264" i="12" s="1"/>
  <c r="AG264" i="12" s="1"/>
  <c r="P264" i="12"/>
  <c r="O264" i="12"/>
  <c r="I264" i="12"/>
  <c r="Z265" i="12"/>
  <c r="AK265" i="12" s="1"/>
  <c r="X265" i="12"/>
  <c r="P265" i="12"/>
  <c r="O265" i="12"/>
  <c r="I265" i="12"/>
  <c r="Z252" i="12"/>
  <c r="AA252" i="12" s="1"/>
  <c r="X252" i="12"/>
  <c r="AD252" i="12" s="1"/>
  <c r="P252" i="12"/>
  <c r="O252" i="12"/>
  <c r="I252" i="12"/>
  <c r="Z272" i="12"/>
  <c r="AA272" i="12" s="1"/>
  <c r="X272" i="12"/>
  <c r="AF272" i="12" s="1"/>
  <c r="AG272" i="12" s="1"/>
  <c r="P272" i="12"/>
  <c r="O272" i="12"/>
  <c r="I272" i="12"/>
  <c r="Z243" i="12"/>
  <c r="X243" i="12"/>
  <c r="AB243" i="12" s="1"/>
  <c r="AC243" i="12" s="1"/>
  <c r="P243" i="12"/>
  <c r="O243" i="12"/>
  <c r="I243" i="12"/>
  <c r="Z235" i="12"/>
  <c r="AK235" i="12" s="1"/>
  <c r="X235" i="12"/>
  <c r="AB235" i="12" s="1"/>
  <c r="AC235" i="12" s="1"/>
  <c r="P235" i="12"/>
  <c r="O235" i="12"/>
  <c r="I235" i="12"/>
  <c r="Z240" i="12"/>
  <c r="AA240" i="12" s="1"/>
  <c r="X240" i="12"/>
  <c r="AB240" i="12" s="1"/>
  <c r="AC240" i="12" s="1"/>
  <c r="P240" i="12"/>
  <c r="O240" i="12"/>
  <c r="I240" i="12"/>
  <c r="Z258" i="12"/>
  <c r="AK258" i="12" s="1"/>
  <c r="X258" i="12"/>
  <c r="AD258" i="12" s="1"/>
  <c r="P258" i="12"/>
  <c r="O258" i="12"/>
  <c r="I258" i="12"/>
  <c r="Z257" i="12"/>
  <c r="AJ257" i="12" s="1"/>
  <c r="X257" i="12"/>
  <c r="AF257" i="12" s="1"/>
  <c r="AG257" i="12" s="1"/>
  <c r="P257" i="12"/>
  <c r="O257" i="12"/>
  <c r="I257" i="12"/>
  <c r="Z273" i="12"/>
  <c r="AK273" i="12" s="1"/>
  <c r="X273" i="12"/>
  <c r="P273" i="12"/>
  <c r="O273" i="12"/>
  <c r="I273" i="12"/>
  <c r="Z277" i="12"/>
  <c r="AK277" i="12" s="1"/>
  <c r="X277" i="12"/>
  <c r="AD277" i="12" s="1"/>
  <c r="P277" i="12"/>
  <c r="O277" i="12"/>
  <c r="I277" i="12"/>
  <c r="Z250" i="12"/>
  <c r="AA250" i="12" s="1"/>
  <c r="X250" i="12"/>
  <c r="AF250" i="12" s="1"/>
  <c r="AG250" i="12" s="1"/>
  <c r="P250" i="12"/>
  <c r="O250" i="12"/>
  <c r="I250" i="12"/>
  <c r="Z202" i="12"/>
  <c r="X202" i="12"/>
  <c r="AB202" i="12" s="1"/>
  <c r="AC202" i="12" s="1"/>
  <c r="P202" i="12"/>
  <c r="O202" i="12"/>
  <c r="I202" i="12"/>
  <c r="Z251" i="12"/>
  <c r="AK251" i="12" s="1"/>
  <c r="X251" i="12"/>
  <c r="AB251" i="12" s="1"/>
  <c r="AC251" i="12" s="1"/>
  <c r="P251" i="12"/>
  <c r="O251" i="12"/>
  <c r="I251" i="12"/>
  <c r="I560" i="12"/>
  <c r="O560" i="12"/>
  <c r="P560" i="12"/>
  <c r="X560" i="12"/>
  <c r="AD560" i="12" s="1"/>
  <c r="Z560" i="12"/>
  <c r="AJ560" i="12" s="1"/>
  <c r="I116" i="12"/>
  <c r="O116" i="12"/>
  <c r="P116" i="12"/>
  <c r="X116" i="12"/>
  <c r="AB116" i="12" s="1"/>
  <c r="AC116" i="12" s="1"/>
  <c r="Z116" i="12"/>
  <c r="AA116" i="12" s="1"/>
  <c r="I70" i="12"/>
  <c r="O70" i="12"/>
  <c r="P70" i="12"/>
  <c r="X70" i="12"/>
  <c r="Y70" i="12" s="1"/>
  <c r="Z70" i="12"/>
  <c r="AJ70" i="12" s="1"/>
  <c r="I71" i="12"/>
  <c r="O71" i="12"/>
  <c r="P71" i="12"/>
  <c r="X71" i="12"/>
  <c r="Y71" i="12" s="1"/>
  <c r="Z71" i="12"/>
  <c r="AJ71" i="12" s="1"/>
  <c r="I55" i="12"/>
  <c r="I54" i="12"/>
  <c r="O54" i="12"/>
  <c r="P54" i="12"/>
  <c r="X54" i="12"/>
  <c r="Y54" i="12" s="1"/>
  <c r="Z54" i="12"/>
  <c r="AA54" i="12" s="1"/>
  <c r="O55" i="12"/>
  <c r="P55" i="12"/>
  <c r="X55" i="12"/>
  <c r="AD55" i="12" s="1"/>
  <c r="Z55" i="12"/>
  <c r="AK55" i="12" s="1"/>
  <c r="I52" i="12"/>
  <c r="O52" i="12"/>
  <c r="P52" i="12"/>
  <c r="X52" i="12"/>
  <c r="AB52" i="12" s="1"/>
  <c r="AC52" i="12" s="1"/>
  <c r="Z52" i="12"/>
  <c r="AK52" i="12" s="1"/>
  <c r="I132" i="12"/>
  <c r="I163" i="12"/>
  <c r="O163" i="12"/>
  <c r="P163" i="12"/>
  <c r="X163" i="12"/>
  <c r="Y163" i="12" s="1"/>
  <c r="Z163" i="12"/>
  <c r="AA163" i="12" s="1"/>
  <c r="O132" i="12"/>
  <c r="P132" i="12"/>
  <c r="X132" i="12"/>
  <c r="AD132" i="12" s="1"/>
  <c r="Z132" i="12"/>
  <c r="AK132" i="12" s="1"/>
  <c r="I86" i="12"/>
  <c r="O86" i="12"/>
  <c r="P86" i="12"/>
  <c r="X86" i="12"/>
  <c r="AB86" i="12" s="1"/>
  <c r="AC86" i="12" s="1"/>
  <c r="Z86" i="12"/>
  <c r="AA86" i="12" s="1"/>
  <c r="AJ52" i="12"/>
  <c r="I111" i="12"/>
  <c r="I262" i="12"/>
  <c r="I73" i="12"/>
  <c r="I114" i="12"/>
  <c r="I72" i="12"/>
  <c r="I89" i="12"/>
  <c r="I69" i="12"/>
  <c r="I162" i="12"/>
  <c r="I133" i="12"/>
  <c r="I117" i="12"/>
  <c r="I75" i="12"/>
  <c r="I112" i="12"/>
  <c r="I53" i="12"/>
  <c r="I74" i="12"/>
  <c r="I200" i="12"/>
  <c r="I206" i="12"/>
  <c r="I266" i="12"/>
  <c r="I166" i="12"/>
  <c r="I134" i="12"/>
  <c r="I118" i="12"/>
  <c r="I93" i="12"/>
  <c r="I247" i="12"/>
  <c r="I274" i="12"/>
  <c r="I113" i="12"/>
  <c r="I92" i="12"/>
  <c r="I245" i="12"/>
  <c r="I165" i="12"/>
  <c r="I91" i="12"/>
  <c r="I164" i="12"/>
  <c r="I115" i="12"/>
  <c r="I90" i="12"/>
  <c r="O162" i="12"/>
  <c r="O200" i="12"/>
  <c r="O274" i="12"/>
  <c r="O262" i="12"/>
  <c r="O266" i="12"/>
  <c r="O247" i="12"/>
  <c r="O245" i="12"/>
  <c r="O206" i="12"/>
  <c r="O166" i="12"/>
  <c r="O164" i="12"/>
  <c r="O165" i="12"/>
  <c r="O133" i="12"/>
  <c r="O134" i="12"/>
  <c r="O118" i="12"/>
  <c r="O117" i="12"/>
  <c r="O111" i="12"/>
  <c r="O112" i="12"/>
  <c r="O115" i="12"/>
  <c r="O114" i="12"/>
  <c r="O113" i="12"/>
  <c r="O91" i="12"/>
  <c r="O90" i="12"/>
  <c r="O89" i="12"/>
  <c r="O93" i="12"/>
  <c r="O92" i="12"/>
  <c r="O73" i="12"/>
  <c r="O74" i="12"/>
  <c r="O72" i="12"/>
  <c r="O69" i="12"/>
  <c r="O53" i="12"/>
  <c r="O75" i="12"/>
  <c r="P162" i="12"/>
  <c r="P200" i="12"/>
  <c r="P274" i="12"/>
  <c r="P262" i="12"/>
  <c r="P266" i="12"/>
  <c r="P247" i="12"/>
  <c r="P245" i="12"/>
  <c r="P206" i="12"/>
  <c r="P166" i="12"/>
  <c r="P164" i="12"/>
  <c r="P165" i="12"/>
  <c r="P133" i="12"/>
  <c r="P134" i="12"/>
  <c r="P118" i="12"/>
  <c r="P117" i="12"/>
  <c r="P111" i="12"/>
  <c r="P112" i="12"/>
  <c r="P115" i="12"/>
  <c r="P114" i="12"/>
  <c r="P113" i="12"/>
  <c r="P91" i="12"/>
  <c r="P90" i="12"/>
  <c r="P89" i="12"/>
  <c r="P93" i="12"/>
  <c r="P92" i="12"/>
  <c r="P73" i="12"/>
  <c r="P74" i="12"/>
  <c r="P72" i="12"/>
  <c r="P69" i="12"/>
  <c r="P53" i="12"/>
  <c r="P75" i="12"/>
  <c r="X162" i="12"/>
  <c r="AB162" i="12" s="1"/>
  <c r="AC162" i="12" s="1"/>
  <c r="X200" i="12"/>
  <c r="Y200" i="12" s="1"/>
  <c r="X274" i="12"/>
  <c r="Y274" i="12" s="1"/>
  <c r="X262" i="12"/>
  <c r="AD262" i="12" s="1"/>
  <c r="AH262" i="12" s="1"/>
  <c r="AI262" i="12" s="1"/>
  <c r="X266" i="12"/>
  <c r="Y266" i="12" s="1"/>
  <c r="X247" i="12"/>
  <c r="Y247" i="12" s="1"/>
  <c r="X245" i="12"/>
  <c r="AB245" i="12" s="1"/>
  <c r="AC245" i="12" s="1"/>
  <c r="X206" i="12"/>
  <c r="AB206" i="12" s="1"/>
  <c r="AC206" i="12" s="1"/>
  <c r="X166" i="12"/>
  <c r="AB166" i="12" s="1"/>
  <c r="AC166" i="12" s="1"/>
  <c r="X164" i="12"/>
  <c r="Y164" i="12" s="1"/>
  <c r="X165" i="12"/>
  <c r="AD165" i="12" s="1"/>
  <c r="AE165" i="12" s="1"/>
  <c r="X133" i="12"/>
  <c r="AF133" i="12" s="1"/>
  <c r="AG133" i="12" s="1"/>
  <c r="X134" i="12"/>
  <c r="Y134" i="12" s="1"/>
  <c r="X118" i="12"/>
  <c r="Y118" i="12" s="1"/>
  <c r="X117" i="12"/>
  <c r="Y117" i="12" s="1"/>
  <c r="X111" i="12"/>
  <c r="AB111" i="12" s="1"/>
  <c r="AC111" i="12" s="1"/>
  <c r="X112" i="12"/>
  <c r="AD112" i="12" s="1"/>
  <c r="X115" i="12"/>
  <c r="Y115" i="12" s="1"/>
  <c r="X114" i="12"/>
  <c r="Y114" i="12" s="1"/>
  <c r="X113" i="12"/>
  <c r="AF113" i="12" s="1"/>
  <c r="AG113" i="12" s="1"/>
  <c r="X91" i="12"/>
  <c r="AF91" i="12" s="1"/>
  <c r="AG91" i="12" s="1"/>
  <c r="X90" i="12"/>
  <c r="AB90" i="12" s="1"/>
  <c r="AC90" i="12" s="1"/>
  <c r="X89" i="12"/>
  <c r="Y89" i="12" s="1"/>
  <c r="X93" i="12"/>
  <c r="AB93" i="12" s="1"/>
  <c r="AC93" i="12" s="1"/>
  <c r="X92" i="12"/>
  <c r="Y92" i="12" s="1"/>
  <c r="X73" i="12"/>
  <c r="AF73" i="12" s="1"/>
  <c r="AG73" i="12" s="1"/>
  <c r="X74" i="12"/>
  <c r="Y74" i="12" s="1"/>
  <c r="X72" i="12"/>
  <c r="Y72" i="12" s="1"/>
  <c r="X69" i="12"/>
  <c r="Y69" i="12" s="1"/>
  <c r="X53" i="12"/>
  <c r="Y53" i="12" s="1"/>
  <c r="X75" i="12"/>
  <c r="AB75" i="12" s="1"/>
  <c r="AC75" i="12" s="1"/>
  <c r="Z162" i="12"/>
  <c r="AK162" i="12" s="1"/>
  <c r="Z200" i="12"/>
  <c r="AJ200" i="12" s="1"/>
  <c r="Z274" i="12"/>
  <c r="AK274" i="12" s="1"/>
  <c r="Z262" i="12"/>
  <c r="AK262" i="12" s="1"/>
  <c r="Z266" i="12"/>
  <c r="AA266" i="12" s="1"/>
  <c r="Z247" i="12"/>
  <c r="AA247" i="12" s="1"/>
  <c r="Z245" i="12"/>
  <c r="AA245" i="12" s="1"/>
  <c r="Z206" i="12"/>
  <c r="AK206" i="12" s="1"/>
  <c r="Z166" i="12"/>
  <c r="AA166" i="12" s="1"/>
  <c r="Z164" i="12"/>
  <c r="AA164" i="12" s="1"/>
  <c r="Z165" i="12"/>
  <c r="AA165" i="12" s="1"/>
  <c r="Z133" i="12"/>
  <c r="AA133" i="12" s="1"/>
  <c r="Z134" i="12"/>
  <c r="AA134" i="12" s="1"/>
  <c r="Z118" i="12"/>
  <c r="AA118" i="12" s="1"/>
  <c r="Z117" i="12"/>
  <c r="AA117" i="12" s="1"/>
  <c r="Z111" i="12"/>
  <c r="AK111" i="12" s="1"/>
  <c r="Z112" i="12"/>
  <c r="AA112" i="12" s="1"/>
  <c r="Z115" i="12"/>
  <c r="AA115" i="12" s="1"/>
  <c r="Z114" i="12"/>
  <c r="AK114" i="12" s="1"/>
  <c r="Z113" i="12"/>
  <c r="AA113" i="12" s="1"/>
  <c r="Z91" i="12"/>
  <c r="AA91" i="12" s="1"/>
  <c r="Z90" i="12"/>
  <c r="AA90" i="12" s="1"/>
  <c r="Z89" i="12"/>
  <c r="AJ89" i="12" s="1"/>
  <c r="Z93" i="12"/>
  <c r="AJ93" i="12" s="1"/>
  <c r="Z92" i="12"/>
  <c r="AA92" i="12" s="1"/>
  <c r="Z73" i="12"/>
  <c r="AJ73" i="12" s="1"/>
  <c r="Z74" i="12"/>
  <c r="AK74" i="12" s="1"/>
  <c r="Z72" i="12"/>
  <c r="AJ72" i="12" s="1"/>
  <c r="Z69" i="12"/>
  <c r="AA69" i="12" s="1"/>
  <c r="Z53" i="12"/>
  <c r="AA53" i="12" s="1"/>
  <c r="Z75" i="12"/>
  <c r="AA75" i="12" s="1"/>
  <c r="O48" i="12"/>
  <c r="O178" i="12"/>
  <c r="O177" i="12"/>
  <c r="O80" i="12"/>
  <c r="O46" i="12"/>
  <c r="O47" i="12"/>
  <c r="P48" i="12"/>
  <c r="P178" i="12"/>
  <c r="P177" i="12"/>
  <c r="P80" i="12"/>
  <c r="P46" i="12"/>
  <c r="P47" i="12"/>
  <c r="X48" i="12"/>
  <c r="AD48" i="12" s="1"/>
  <c r="AH48" i="12" s="1"/>
  <c r="AI48" i="12" s="1"/>
  <c r="X178" i="12"/>
  <c r="Y178" i="12" s="1"/>
  <c r="X177" i="12"/>
  <c r="Y177" i="12" s="1"/>
  <c r="X80" i="12"/>
  <c r="Y80" i="12" s="1"/>
  <c r="X46" i="12"/>
  <c r="Y46" i="12" s="1"/>
  <c r="X47" i="12"/>
  <c r="AD47" i="12" s="1"/>
  <c r="Z48" i="12"/>
  <c r="AK48" i="12" s="1"/>
  <c r="Z178" i="12"/>
  <c r="AA178" i="12" s="1"/>
  <c r="Z177" i="12"/>
  <c r="AA177" i="12" s="1"/>
  <c r="Z80" i="12"/>
  <c r="AK80" i="12" s="1"/>
  <c r="Z46" i="12"/>
  <c r="AK46" i="12" s="1"/>
  <c r="Z47" i="12"/>
  <c r="AA47" i="12" s="1"/>
  <c r="AT33" i="22"/>
  <c r="BQ36" i="22"/>
  <c r="BP34" i="22"/>
  <c r="D30" i="24"/>
  <c r="F31" i="24" s="1"/>
  <c r="E30" i="24"/>
  <c r="I32" i="24" s="1"/>
  <c r="F30" i="24"/>
  <c r="J32" i="24"/>
  <c r="G30" i="24"/>
  <c r="I31" i="24"/>
  <c r="H30" i="24"/>
  <c r="J31" i="24" s="1"/>
  <c r="I30" i="24"/>
  <c r="M32" i="24" s="1"/>
  <c r="J30" i="24"/>
  <c r="N32" i="24"/>
  <c r="K30" i="24"/>
  <c r="O32" i="24" s="1"/>
  <c r="M31" i="24"/>
  <c r="O33" i="24" s="1"/>
  <c r="C30" i="24"/>
  <c r="E31" i="24" s="1"/>
  <c r="H31" i="24"/>
  <c r="L32" i="24"/>
  <c r="K32" i="24"/>
  <c r="L31" i="24"/>
  <c r="N33" i="24" s="1"/>
  <c r="O321" i="12"/>
  <c r="P321" i="12"/>
  <c r="X321" i="12"/>
  <c r="Y321" i="12" s="1"/>
  <c r="Z321" i="12"/>
  <c r="AA321" i="12" s="1"/>
  <c r="O312" i="12"/>
  <c r="P312" i="12"/>
  <c r="X312" i="12"/>
  <c r="AF312" i="12" s="1"/>
  <c r="AG312" i="12" s="1"/>
  <c r="Z312" i="12"/>
  <c r="AA312" i="12" s="1"/>
  <c r="O186" i="12"/>
  <c r="P186" i="12"/>
  <c r="X186" i="12"/>
  <c r="Y186" i="12" s="1"/>
  <c r="Z186" i="12"/>
  <c r="AJ186" i="12" s="1"/>
  <c r="B1" i="22"/>
  <c r="B2" i="18"/>
  <c r="B21" i="24"/>
  <c r="B21" i="20"/>
  <c r="AC2" i="22"/>
  <c r="AD2" i="22"/>
  <c r="AE2" i="22"/>
  <c r="AF2" i="22"/>
  <c r="AG2" i="22"/>
  <c r="AH2" i="22"/>
  <c r="AI2" i="22"/>
  <c r="AJ2" i="22"/>
  <c r="AK2" i="22"/>
  <c r="AL2" i="22"/>
  <c r="AM2" i="22"/>
  <c r="AN2" i="22"/>
  <c r="AO2" i="22"/>
  <c r="AP2" i="22"/>
  <c r="AQ2" i="22"/>
  <c r="AR2" i="22"/>
  <c r="AS2" i="22"/>
  <c r="AT2" i="22"/>
  <c r="U2" i="22"/>
  <c r="V2" i="22"/>
  <c r="W2" i="22"/>
  <c r="X2" i="22"/>
  <c r="Y2" i="22"/>
  <c r="Z2" i="22"/>
  <c r="AA2" i="22"/>
  <c r="AB2" i="22"/>
  <c r="J2" i="22"/>
  <c r="K2" i="22"/>
  <c r="L2" i="22"/>
  <c r="M2" i="22"/>
  <c r="N2" i="22"/>
  <c r="O2" i="22"/>
  <c r="P2" i="22"/>
  <c r="Q2" i="22"/>
  <c r="R2" i="22"/>
  <c r="S2" i="22"/>
  <c r="T2" i="22"/>
  <c r="I2" i="22"/>
  <c r="G2" i="22"/>
  <c r="H2" i="22"/>
  <c r="F2" i="22"/>
  <c r="AW190" i="13"/>
  <c r="AV190" i="13"/>
  <c r="AU190" i="13"/>
  <c r="AW189" i="13"/>
  <c r="AV189" i="13"/>
  <c r="AU189" i="13"/>
  <c r="AW9" i="13"/>
  <c r="AV9" i="13"/>
  <c r="AU9" i="13"/>
  <c r="AW8" i="13"/>
  <c r="AV8" i="13"/>
  <c r="AU8" i="13"/>
  <c r="AW318" i="13"/>
  <c r="AV318" i="13"/>
  <c r="AU318" i="13"/>
  <c r="AW317" i="13"/>
  <c r="AV317" i="13"/>
  <c r="AU317" i="13"/>
  <c r="AW340" i="13"/>
  <c r="AV340" i="13"/>
  <c r="AU340" i="13"/>
  <c r="AW339" i="13"/>
  <c r="AV339" i="13"/>
  <c r="AU339" i="13"/>
  <c r="AW338" i="13"/>
  <c r="AV338" i="13"/>
  <c r="AU338" i="13"/>
  <c r="AW337" i="13"/>
  <c r="AV337" i="13"/>
  <c r="AU337" i="13"/>
  <c r="AW336" i="13"/>
  <c r="AV336" i="13"/>
  <c r="AU336" i="13"/>
  <c r="AW335" i="13"/>
  <c r="AV335" i="13"/>
  <c r="AU335" i="13"/>
  <c r="AW334" i="13"/>
  <c r="AV334" i="13"/>
  <c r="AU334" i="13"/>
  <c r="AW333" i="13"/>
  <c r="AV333" i="13"/>
  <c r="AU333" i="13"/>
  <c r="AW332" i="13"/>
  <c r="AV332" i="13"/>
  <c r="AU332" i="13"/>
  <c r="AW331" i="13"/>
  <c r="AV331" i="13"/>
  <c r="AU331" i="13"/>
  <c r="AW330" i="13"/>
  <c r="AV330" i="13"/>
  <c r="AU330" i="13"/>
  <c r="AW329" i="13"/>
  <c r="AV329" i="13"/>
  <c r="AU329" i="13"/>
  <c r="AW327" i="13"/>
  <c r="AV327" i="13"/>
  <c r="AU327" i="13"/>
  <c r="AW325" i="13"/>
  <c r="AV325" i="13"/>
  <c r="AU325" i="13"/>
  <c r="AW324" i="13"/>
  <c r="AV324" i="13"/>
  <c r="AU324" i="13"/>
  <c r="AW323" i="13"/>
  <c r="AV323" i="13"/>
  <c r="AU323" i="13"/>
  <c r="AW322" i="13"/>
  <c r="AV322" i="13"/>
  <c r="AU322" i="13"/>
  <c r="AW321" i="13"/>
  <c r="AV321" i="13"/>
  <c r="AU321" i="13"/>
  <c r="AW320" i="13"/>
  <c r="AV320" i="13"/>
  <c r="AU320" i="13"/>
  <c r="AW225" i="13"/>
  <c r="AV225" i="13"/>
  <c r="AU225" i="13"/>
  <c r="AW223" i="13"/>
  <c r="AV223" i="13"/>
  <c r="AU223" i="13"/>
  <c r="AW222" i="13"/>
  <c r="AV222" i="13"/>
  <c r="AU222" i="13"/>
  <c r="AW221" i="13"/>
  <c r="AV221" i="13"/>
  <c r="AU221" i="13"/>
  <c r="AW220" i="13"/>
  <c r="AV220" i="13"/>
  <c r="AU220" i="13"/>
  <c r="AW219" i="13"/>
  <c r="AV219" i="13"/>
  <c r="AU219" i="13"/>
  <c r="AW218" i="13"/>
  <c r="AV218" i="13"/>
  <c r="AU218" i="13"/>
  <c r="AW217" i="13"/>
  <c r="AV217" i="13"/>
  <c r="AU217" i="13"/>
  <c r="AW216" i="13"/>
  <c r="AV216" i="13"/>
  <c r="AU216" i="13"/>
  <c r="AW215" i="13"/>
  <c r="AV215" i="13"/>
  <c r="AU215" i="13"/>
  <c r="AW316" i="13"/>
  <c r="AV316" i="13"/>
  <c r="AU316" i="13"/>
  <c r="AW315" i="13"/>
  <c r="AV315" i="13"/>
  <c r="AU315" i="13"/>
  <c r="AW314" i="13"/>
  <c r="AV314" i="13"/>
  <c r="AU314" i="13"/>
  <c r="AW312" i="13"/>
  <c r="AV312" i="13"/>
  <c r="AU312" i="13"/>
  <c r="AW309" i="13"/>
  <c r="AV309" i="13"/>
  <c r="AU309" i="13"/>
  <c r="AW308" i="13"/>
  <c r="AV308" i="13"/>
  <c r="AU308" i="13"/>
  <c r="AW307" i="13"/>
  <c r="AV307" i="13"/>
  <c r="AU307" i="13"/>
  <c r="AW306" i="13"/>
  <c r="AV306" i="13"/>
  <c r="AU306" i="13"/>
  <c r="AW305" i="13"/>
  <c r="AV305" i="13"/>
  <c r="AU305" i="13"/>
  <c r="AW303" i="13"/>
  <c r="AV303" i="13"/>
  <c r="AU303" i="13"/>
  <c r="AW301" i="13"/>
  <c r="AV301" i="13"/>
  <c r="AU301" i="13"/>
  <c r="AW300" i="13"/>
  <c r="AV300" i="13"/>
  <c r="AU300" i="13"/>
  <c r="AW299" i="13"/>
  <c r="AV299" i="13"/>
  <c r="AU299" i="13"/>
  <c r="AW297" i="13"/>
  <c r="AV297" i="13"/>
  <c r="AU297" i="13"/>
  <c r="AW294" i="13"/>
  <c r="AV294" i="13"/>
  <c r="AU294" i="13"/>
  <c r="AW291" i="13"/>
  <c r="AV291" i="13"/>
  <c r="AU291" i="13"/>
  <c r="AW289" i="13"/>
  <c r="AV289" i="13"/>
  <c r="AU289" i="13"/>
  <c r="AW288" i="13"/>
  <c r="AV288" i="13"/>
  <c r="AU288" i="13"/>
  <c r="AW287" i="13"/>
  <c r="AV287" i="13"/>
  <c r="AU287" i="13"/>
  <c r="AW286" i="13"/>
  <c r="AV286" i="13"/>
  <c r="AU286" i="13"/>
  <c r="AW285" i="13"/>
  <c r="AV285" i="13"/>
  <c r="AU285" i="13"/>
  <c r="AW283" i="13"/>
  <c r="AV283" i="13"/>
  <c r="AU283" i="13"/>
  <c r="AW282" i="13"/>
  <c r="AV282" i="13"/>
  <c r="AU282" i="13"/>
  <c r="AW281" i="13"/>
  <c r="AV281" i="13"/>
  <c r="AU281" i="13"/>
  <c r="AW280" i="13"/>
  <c r="AV280" i="13"/>
  <c r="AU280" i="13"/>
  <c r="AW279" i="13"/>
  <c r="AV279" i="13"/>
  <c r="AU279" i="13"/>
  <c r="AW278" i="13"/>
  <c r="AV278" i="13"/>
  <c r="AU278" i="13"/>
  <c r="AW277" i="13"/>
  <c r="AV277" i="13"/>
  <c r="AU277" i="13"/>
  <c r="AW276" i="13"/>
  <c r="AV276" i="13"/>
  <c r="AU276" i="13"/>
  <c r="AW275" i="13"/>
  <c r="AV275" i="13"/>
  <c r="AU275" i="13"/>
  <c r="AW273" i="13"/>
  <c r="AV273" i="13"/>
  <c r="AU273" i="13"/>
  <c r="AW272" i="13"/>
  <c r="AV272" i="13"/>
  <c r="AU272" i="13"/>
  <c r="AW270" i="13"/>
  <c r="AV270" i="13"/>
  <c r="AU270" i="13"/>
  <c r="AW267" i="13"/>
  <c r="AV267" i="13"/>
  <c r="AU267" i="13"/>
  <c r="AW264" i="13"/>
  <c r="AV264" i="13"/>
  <c r="AU264" i="13"/>
  <c r="AW263" i="13"/>
  <c r="AV263" i="13"/>
  <c r="AU263" i="13"/>
  <c r="AW261" i="13"/>
  <c r="AV261" i="13"/>
  <c r="AU261" i="13"/>
  <c r="AW259" i="13"/>
  <c r="AV259" i="13"/>
  <c r="AU259" i="13"/>
  <c r="AW258" i="13"/>
  <c r="AV258" i="13"/>
  <c r="AU258" i="13"/>
  <c r="AW257" i="13"/>
  <c r="AV257" i="13"/>
  <c r="AU257" i="13"/>
  <c r="AW256" i="13"/>
  <c r="AV256" i="13"/>
  <c r="AU256" i="13"/>
  <c r="AW255" i="13"/>
  <c r="AV255" i="13"/>
  <c r="AU255" i="13"/>
  <c r="AW253" i="13"/>
  <c r="AV253" i="13"/>
  <c r="AU253" i="13"/>
  <c r="AW252" i="13"/>
  <c r="AV252" i="13"/>
  <c r="AU252" i="13"/>
  <c r="AW251" i="13"/>
  <c r="AV251" i="13"/>
  <c r="AU251" i="13"/>
  <c r="AW250" i="13"/>
  <c r="AV250" i="13"/>
  <c r="AU250" i="13"/>
  <c r="AW249" i="13"/>
  <c r="AV249" i="13"/>
  <c r="AU249" i="13"/>
  <c r="AW246" i="13"/>
  <c r="AV246" i="13"/>
  <c r="AU246" i="13"/>
  <c r="AW245" i="13"/>
  <c r="AV245" i="13"/>
  <c r="AU245" i="13"/>
  <c r="AW243" i="13"/>
  <c r="AV243" i="13"/>
  <c r="AU243" i="13"/>
  <c r="AW240" i="13"/>
  <c r="AV240" i="13"/>
  <c r="AU240" i="13"/>
  <c r="AW238" i="13"/>
  <c r="AV238" i="13"/>
  <c r="AU238" i="13"/>
  <c r="AW237" i="13"/>
  <c r="AV237" i="13"/>
  <c r="AU237" i="13"/>
  <c r="AW236" i="13"/>
  <c r="AV236" i="13"/>
  <c r="AU236" i="13"/>
  <c r="AW235" i="13"/>
  <c r="AV235" i="13"/>
  <c r="AU235" i="13"/>
  <c r="AW234" i="13"/>
  <c r="AV234" i="13"/>
  <c r="AU234" i="13"/>
  <c r="AW233" i="13"/>
  <c r="AV233" i="13"/>
  <c r="AU233" i="13"/>
  <c r="AW232" i="13"/>
  <c r="AV232" i="13"/>
  <c r="AU232" i="13"/>
  <c r="AW231" i="13"/>
  <c r="AV231" i="13"/>
  <c r="AU231" i="13"/>
  <c r="AW230" i="13"/>
  <c r="AV230" i="13"/>
  <c r="AU230" i="13"/>
  <c r="AW229" i="13"/>
  <c r="AV229" i="13"/>
  <c r="AU229" i="13"/>
  <c r="AW228" i="13"/>
  <c r="AV228" i="13"/>
  <c r="AU228" i="13"/>
  <c r="AW227" i="13"/>
  <c r="AV227" i="13"/>
  <c r="AU227" i="13"/>
  <c r="AW214" i="13"/>
  <c r="AV214" i="13"/>
  <c r="AU214" i="13"/>
  <c r="AW213" i="13"/>
  <c r="AV213" i="13"/>
  <c r="AU213" i="13"/>
  <c r="AW212" i="13"/>
  <c r="AV212" i="13"/>
  <c r="AU212" i="13"/>
  <c r="AW211" i="13"/>
  <c r="AV211" i="13"/>
  <c r="AU211" i="13"/>
  <c r="AW210" i="13"/>
  <c r="AV210" i="13"/>
  <c r="AU210" i="13"/>
  <c r="AW209" i="13"/>
  <c r="AV209" i="13"/>
  <c r="AU209" i="13"/>
  <c r="AW208" i="13"/>
  <c r="AV208" i="13"/>
  <c r="AU208" i="13"/>
  <c r="AW207" i="13"/>
  <c r="AV207" i="13"/>
  <c r="AU207" i="13"/>
  <c r="AW206" i="13"/>
  <c r="AV206" i="13"/>
  <c r="AU206" i="13"/>
  <c r="AW205" i="13"/>
  <c r="AV205" i="13"/>
  <c r="AU205" i="13"/>
  <c r="AW204" i="13"/>
  <c r="AV204" i="13"/>
  <c r="AU204" i="13"/>
  <c r="AW203" i="13"/>
  <c r="AV203" i="13"/>
  <c r="AU203" i="13"/>
  <c r="AW201" i="13"/>
  <c r="AV201" i="13"/>
  <c r="AU201" i="13"/>
  <c r="AW199" i="13"/>
  <c r="AV199" i="13"/>
  <c r="AU199" i="13"/>
  <c r="AW198" i="13"/>
  <c r="AV198" i="13"/>
  <c r="AU198" i="13"/>
  <c r="AW197" i="13"/>
  <c r="AV197" i="13"/>
  <c r="AU197" i="13"/>
  <c r="AW196" i="13"/>
  <c r="AV196" i="13"/>
  <c r="AU196" i="13"/>
  <c r="AW195" i="13"/>
  <c r="AV195" i="13"/>
  <c r="AU195" i="13"/>
  <c r="AW194" i="13"/>
  <c r="AV194" i="13"/>
  <c r="AU194" i="13"/>
  <c r="AW192" i="13"/>
  <c r="AV192" i="13"/>
  <c r="AU192" i="13"/>
  <c r="AW187" i="13"/>
  <c r="AV187" i="13"/>
  <c r="AU187" i="13"/>
  <c r="AW186" i="13"/>
  <c r="AV186" i="13"/>
  <c r="AU186" i="13"/>
  <c r="AW185" i="13"/>
  <c r="AV185" i="13"/>
  <c r="AU185" i="13"/>
  <c r="AW184" i="13"/>
  <c r="AV184" i="13"/>
  <c r="AU184" i="13"/>
  <c r="AW183" i="13"/>
  <c r="AV183" i="13"/>
  <c r="AU183" i="13"/>
  <c r="AW182" i="13"/>
  <c r="AV182" i="13"/>
  <c r="AU182" i="13"/>
  <c r="AW181" i="13"/>
  <c r="AV181" i="13"/>
  <c r="AU181" i="13"/>
  <c r="AW180" i="13"/>
  <c r="AV180" i="13"/>
  <c r="AU180" i="13"/>
  <c r="AW179" i="13"/>
  <c r="AV179" i="13"/>
  <c r="AU179" i="13"/>
  <c r="AW178" i="13"/>
  <c r="AV178" i="13"/>
  <c r="AU178" i="13"/>
  <c r="AW177" i="13"/>
  <c r="AV177" i="13"/>
  <c r="AU177" i="13"/>
  <c r="AW176" i="13"/>
  <c r="AV176" i="13"/>
  <c r="AU176" i="13"/>
  <c r="AW174" i="13"/>
  <c r="AV174" i="13"/>
  <c r="AU174" i="13"/>
  <c r="AW172" i="13"/>
  <c r="AV172" i="13"/>
  <c r="AU172" i="13"/>
  <c r="AW171" i="13"/>
  <c r="AV171" i="13"/>
  <c r="AU171" i="13"/>
  <c r="AW170" i="13"/>
  <c r="AV170" i="13"/>
  <c r="AU170" i="13"/>
  <c r="AW169" i="13"/>
  <c r="AV169" i="13"/>
  <c r="AU169" i="13"/>
  <c r="AW168" i="13"/>
  <c r="AV168" i="13"/>
  <c r="AU168" i="13"/>
  <c r="AW167" i="13"/>
  <c r="AV167" i="13"/>
  <c r="AU167" i="13"/>
  <c r="AW165" i="13"/>
  <c r="AV165" i="13"/>
  <c r="AU165" i="13"/>
  <c r="AW163" i="13"/>
  <c r="AV163" i="13"/>
  <c r="AU163" i="13"/>
  <c r="AW162" i="13"/>
  <c r="AV162" i="13"/>
  <c r="AU162" i="13"/>
  <c r="AW161" i="13"/>
  <c r="AV161" i="13"/>
  <c r="AU161" i="13"/>
  <c r="AW160" i="13"/>
  <c r="AV160" i="13"/>
  <c r="AU160" i="13"/>
  <c r="AW159" i="13"/>
  <c r="AV159" i="13"/>
  <c r="AU159" i="13"/>
  <c r="AW158" i="13"/>
  <c r="AV158" i="13"/>
  <c r="AU158" i="13"/>
  <c r="AW157" i="13"/>
  <c r="AV157" i="13"/>
  <c r="AU157" i="13"/>
  <c r="AW156" i="13"/>
  <c r="AV156" i="13"/>
  <c r="AU156" i="13"/>
  <c r="AW155" i="13"/>
  <c r="AV155" i="13"/>
  <c r="AU155" i="13"/>
  <c r="AW154" i="13"/>
  <c r="AV154" i="13"/>
  <c r="AU154" i="13"/>
  <c r="AW153" i="13"/>
  <c r="AV153" i="13"/>
  <c r="AU153" i="13"/>
  <c r="AW152" i="13"/>
  <c r="AV152" i="13"/>
  <c r="AU152" i="13"/>
  <c r="AW151" i="13"/>
  <c r="AV151" i="13"/>
  <c r="AU151" i="13"/>
  <c r="AW150" i="13"/>
  <c r="AV150" i="13"/>
  <c r="AU150" i="13"/>
  <c r="AW148" i="13"/>
  <c r="AV148" i="13"/>
  <c r="AU148" i="13"/>
  <c r="AW147" i="13"/>
  <c r="AV147" i="13"/>
  <c r="AU147" i="13"/>
  <c r="AW146" i="13"/>
  <c r="AV146" i="13"/>
  <c r="AU146" i="13"/>
  <c r="AW145" i="13"/>
  <c r="AV145" i="13"/>
  <c r="AU145" i="13"/>
  <c r="AW144" i="13"/>
  <c r="AV144" i="13"/>
  <c r="AU144" i="13"/>
  <c r="AW143" i="13"/>
  <c r="AV143" i="13"/>
  <c r="AU143" i="13"/>
  <c r="AW141" i="13"/>
  <c r="AV141" i="13"/>
  <c r="AU141" i="13"/>
  <c r="AW139" i="13"/>
  <c r="AV139" i="13"/>
  <c r="AU139" i="13"/>
  <c r="AW138" i="13"/>
  <c r="AV138" i="13"/>
  <c r="AU138" i="13"/>
  <c r="AW137" i="13"/>
  <c r="AV137" i="13"/>
  <c r="AU137" i="13"/>
  <c r="AW136" i="13"/>
  <c r="AV136" i="13"/>
  <c r="AU136" i="13"/>
  <c r="AW135" i="13"/>
  <c r="AV135" i="13"/>
  <c r="AU135" i="13"/>
  <c r="AW134" i="13"/>
  <c r="AV134" i="13"/>
  <c r="AU134" i="13"/>
  <c r="AW133" i="13"/>
  <c r="AV133" i="13"/>
  <c r="AU133" i="13"/>
  <c r="AW132" i="13"/>
  <c r="AV132" i="13"/>
  <c r="AU132" i="13"/>
  <c r="AW131" i="13"/>
  <c r="AV131" i="13"/>
  <c r="AU131" i="13"/>
  <c r="AW130" i="13"/>
  <c r="AV130" i="13"/>
  <c r="AU130" i="13"/>
  <c r="AW129" i="13"/>
  <c r="AV129" i="13"/>
  <c r="AU129" i="13"/>
  <c r="AW128" i="13"/>
  <c r="AV128" i="13"/>
  <c r="AU128" i="13"/>
  <c r="AW127" i="13"/>
  <c r="AV127" i="13"/>
  <c r="AU127" i="13"/>
  <c r="AW126" i="13"/>
  <c r="AV126" i="13"/>
  <c r="AU126" i="13"/>
  <c r="AW125" i="13"/>
  <c r="AV125" i="13"/>
  <c r="AU125" i="13"/>
  <c r="AW124" i="13"/>
  <c r="AV124" i="13"/>
  <c r="AU124" i="13"/>
  <c r="AW123" i="13"/>
  <c r="AV123" i="13"/>
  <c r="AU123" i="13"/>
  <c r="AW122" i="13"/>
  <c r="AV122" i="13"/>
  <c r="AU122" i="13"/>
  <c r="AW121" i="13"/>
  <c r="AV121" i="13"/>
  <c r="AU121" i="13"/>
  <c r="AW120" i="13"/>
  <c r="AV120" i="13"/>
  <c r="AU120" i="13"/>
  <c r="AW119" i="13"/>
  <c r="AV119" i="13"/>
  <c r="AU119" i="13"/>
  <c r="AW118" i="13"/>
  <c r="AV118" i="13"/>
  <c r="AU118" i="13"/>
  <c r="AW117" i="13"/>
  <c r="AV117" i="13"/>
  <c r="AU117" i="13"/>
  <c r="AW116" i="13"/>
  <c r="AV116" i="13"/>
  <c r="AU116" i="13"/>
  <c r="AW115" i="13"/>
  <c r="AV115" i="13"/>
  <c r="AU115" i="13"/>
  <c r="AW114" i="13"/>
  <c r="AV114" i="13"/>
  <c r="AU114" i="13"/>
  <c r="AW113" i="13"/>
  <c r="AV113" i="13"/>
  <c r="AU113" i="13"/>
  <c r="AW112" i="13"/>
  <c r="AV112" i="13"/>
  <c r="AU112" i="13"/>
  <c r="AW111" i="13"/>
  <c r="AV111" i="13"/>
  <c r="AU111" i="13"/>
  <c r="AW110" i="13"/>
  <c r="AV110" i="13"/>
  <c r="AU110" i="13"/>
  <c r="AW109" i="13"/>
  <c r="AV109" i="13"/>
  <c r="AU109" i="13"/>
  <c r="AW108" i="13"/>
  <c r="AV108" i="13"/>
  <c r="AU108" i="13"/>
  <c r="AW107" i="13"/>
  <c r="AV107" i="13"/>
  <c r="AU107" i="13"/>
  <c r="AW105" i="13"/>
  <c r="AV105" i="13"/>
  <c r="AU105" i="13"/>
  <c r="AW104" i="13"/>
  <c r="AV104" i="13"/>
  <c r="AU104" i="13"/>
  <c r="AW103" i="13"/>
  <c r="AV103" i="13"/>
  <c r="AU103" i="13"/>
  <c r="AW102" i="13"/>
  <c r="AV102" i="13"/>
  <c r="AU102" i="13"/>
  <c r="AW101" i="13"/>
  <c r="AV101" i="13"/>
  <c r="AU101" i="13"/>
  <c r="AW100" i="13"/>
  <c r="AV100" i="13"/>
  <c r="AU100" i="13"/>
  <c r="AW99" i="13"/>
  <c r="AV99" i="13"/>
  <c r="AU99" i="13"/>
  <c r="AW98" i="13"/>
  <c r="AV98" i="13"/>
  <c r="AU98" i="13"/>
  <c r="AW97" i="13"/>
  <c r="AV97" i="13"/>
  <c r="AU97" i="13"/>
  <c r="AW96" i="13"/>
  <c r="AV96" i="13"/>
  <c r="AU96" i="13"/>
  <c r="AW95" i="13"/>
  <c r="AV95" i="13"/>
  <c r="AU95" i="13"/>
  <c r="AW93" i="13"/>
  <c r="AV93" i="13"/>
  <c r="AU93" i="13"/>
  <c r="AW91" i="13"/>
  <c r="AV91" i="13"/>
  <c r="AU91" i="13"/>
  <c r="AW90" i="13"/>
  <c r="AV90" i="13"/>
  <c r="AU90" i="13"/>
  <c r="AW89" i="13"/>
  <c r="AV89" i="13"/>
  <c r="AU89" i="13"/>
  <c r="AW87" i="13"/>
  <c r="AV87" i="13"/>
  <c r="AU87" i="13"/>
  <c r="AW85" i="13"/>
  <c r="AV85" i="13"/>
  <c r="AU85" i="13"/>
  <c r="AW84" i="13"/>
  <c r="AV84" i="13"/>
  <c r="AU84" i="13"/>
  <c r="AW83" i="13"/>
  <c r="AV83" i="13"/>
  <c r="AU83" i="13"/>
  <c r="AW81" i="13"/>
  <c r="AV81" i="13"/>
  <c r="AU81" i="13"/>
  <c r="AW78" i="13"/>
  <c r="AV78" i="13"/>
  <c r="AU78" i="13"/>
  <c r="AW75" i="13"/>
  <c r="AV75" i="13"/>
  <c r="AU75" i="13"/>
  <c r="AW73" i="13"/>
  <c r="AV73" i="13"/>
  <c r="AU73" i="13"/>
  <c r="AW72" i="13"/>
  <c r="AV72" i="13"/>
  <c r="AU72" i="13"/>
  <c r="AW71" i="13"/>
  <c r="AV71" i="13"/>
  <c r="AU71" i="13"/>
  <c r="AW70" i="13"/>
  <c r="AV70" i="13"/>
  <c r="AU70" i="13"/>
  <c r="AW69" i="13"/>
  <c r="AV69" i="13"/>
  <c r="AU69" i="13"/>
  <c r="AW67" i="13"/>
  <c r="AV67" i="13"/>
  <c r="AU67" i="13"/>
  <c r="AW66" i="13"/>
  <c r="AV66" i="13"/>
  <c r="AU66" i="13"/>
  <c r="AW64" i="13"/>
  <c r="AV64" i="13"/>
  <c r="AU64" i="13"/>
  <c r="AW63" i="13"/>
  <c r="AV63" i="13"/>
  <c r="AU63" i="13"/>
  <c r="AW62" i="13"/>
  <c r="AV62" i="13"/>
  <c r="AU62" i="13"/>
  <c r="AW61" i="13"/>
  <c r="AV61" i="13"/>
  <c r="AU61" i="13"/>
  <c r="AW60" i="13"/>
  <c r="AV60" i="13"/>
  <c r="AU60" i="13"/>
  <c r="AW59" i="13"/>
  <c r="AV59" i="13"/>
  <c r="AU59" i="13"/>
  <c r="AW58" i="13"/>
  <c r="AV58" i="13"/>
  <c r="AU58" i="13"/>
  <c r="AW57" i="13"/>
  <c r="AV57" i="13"/>
  <c r="AU57" i="13"/>
  <c r="AW56" i="13"/>
  <c r="AV56" i="13"/>
  <c r="AU56" i="13"/>
  <c r="AW54" i="13"/>
  <c r="AV54" i="13"/>
  <c r="AU54" i="13"/>
  <c r="AW53" i="13"/>
  <c r="AV53" i="13"/>
  <c r="AU53" i="13"/>
  <c r="AW52" i="13"/>
  <c r="AV52" i="13"/>
  <c r="AU52" i="13"/>
  <c r="AW51" i="13"/>
  <c r="AV51" i="13"/>
  <c r="AU51" i="13"/>
  <c r="AW50" i="13"/>
  <c r="AV50" i="13"/>
  <c r="AU50" i="13"/>
  <c r="AW49" i="13"/>
  <c r="AV49" i="13"/>
  <c r="AU49" i="13"/>
  <c r="AW48" i="13"/>
  <c r="AV48" i="13"/>
  <c r="AU48" i="13"/>
  <c r="AW47" i="13"/>
  <c r="AV47" i="13"/>
  <c r="AU47" i="13"/>
  <c r="AW46" i="13"/>
  <c r="AV46" i="13"/>
  <c r="AU46" i="13"/>
  <c r="AW45" i="13"/>
  <c r="AV45" i="13"/>
  <c r="AU45" i="13"/>
  <c r="AW44" i="13"/>
  <c r="AV44" i="13"/>
  <c r="AU44" i="13"/>
  <c r="AW43" i="13"/>
  <c r="AV43" i="13"/>
  <c r="AU43" i="13"/>
  <c r="AW42" i="13"/>
  <c r="AV42" i="13"/>
  <c r="AU42" i="13"/>
  <c r="AW41" i="13"/>
  <c r="AV41" i="13"/>
  <c r="AU41" i="13"/>
  <c r="AW40" i="13"/>
  <c r="AV40" i="13"/>
  <c r="AU40" i="13"/>
  <c r="AW39" i="13"/>
  <c r="AV39" i="13"/>
  <c r="AU39" i="13"/>
  <c r="AW38" i="13"/>
  <c r="AV38" i="13"/>
  <c r="AU38" i="13"/>
  <c r="AW37" i="13"/>
  <c r="AV37" i="13"/>
  <c r="AU37" i="13"/>
  <c r="AW36" i="13"/>
  <c r="AV36" i="13"/>
  <c r="AU36" i="13"/>
  <c r="AW34" i="13"/>
  <c r="AV34" i="13"/>
  <c r="AU34" i="13"/>
  <c r="AW33" i="13"/>
  <c r="AV33" i="13"/>
  <c r="AU33" i="13"/>
  <c r="AW32" i="13"/>
  <c r="AV32" i="13"/>
  <c r="AU32" i="13"/>
  <c r="AW31" i="13"/>
  <c r="AV31" i="13"/>
  <c r="AU31" i="13"/>
  <c r="AW30" i="13"/>
  <c r="AV30" i="13"/>
  <c r="AU30" i="13"/>
  <c r="AW29" i="13"/>
  <c r="AV29" i="13"/>
  <c r="AU29" i="13"/>
  <c r="AW28" i="13"/>
  <c r="AV28" i="13"/>
  <c r="AU28" i="13"/>
  <c r="AW27" i="13"/>
  <c r="AV27" i="13"/>
  <c r="AU27" i="13"/>
  <c r="AW26" i="13"/>
  <c r="AV26" i="13"/>
  <c r="AU26" i="13"/>
  <c r="AW25" i="13"/>
  <c r="AV25" i="13"/>
  <c r="AU25" i="13"/>
  <c r="AW24" i="13"/>
  <c r="AV24" i="13"/>
  <c r="AU24" i="13"/>
  <c r="AW23" i="13"/>
  <c r="AV23" i="13"/>
  <c r="AU23" i="13"/>
  <c r="AW22" i="13"/>
  <c r="AV22" i="13"/>
  <c r="AU22" i="13"/>
  <c r="AW21" i="13"/>
  <c r="AV21" i="13"/>
  <c r="AU21" i="13"/>
  <c r="AW20" i="13"/>
  <c r="AV20" i="13"/>
  <c r="AU20" i="13"/>
  <c r="AW19" i="13"/>
  <c r="AV19" i="13"/>
  <c r="AU19" i="13"/>
  <c r="AW18" i="13"/>
  <c r="AV18" i="13"/>
  <c r="AU18" i="13"/>
  <c r="AW17" i="13"/>
  <c r="AV17" i="13"/>
  <c r="AU17" i="13"/>
  <c r="AW16" i="13"/>
  <c r="AV16" i="13"/>
  <c r="AU16" i="13"/>
  <c r="AW15" i="13"/>
  <c r="AV15" i="13"/>
  <c r="AU15" i="13"/>
  <c r="AW14" i="13"/>
  <c r="AV14" i="13"/>
  <c r="AU14" i="13"/>
  <c r="AW13" i="13"/>
  <c r="AV13" i="13"/>
  <c r="AU13" i="13"/>
  <c r="AW12" i="13"/>
  <c r="AV12" i="13"/>
  <c r="AU12" i="13"/>
  <c r="AW11" i="13"/>
  <c r="AV11" i="13"/>
  <c r="AU11" i="13"/>
  <c r="T122" i="13"/>
  <c r="R152" i="13"/>
  <c r="Q54" i="13"/>
  <c r="P60" i="13"/>
  <c r="P23" i="13"/>
  <c r="M339" i="13"/>
  <c r="L332" i="13"/>
  <c r="M323" i="13"/>
  <c r="L221" i="13"/>
  <c r="L306" i="13"/>
  <c r="M289" i="13"/>
  <c r="M275" i="13"/>
  <c r="L264" i="13"/>
  <c r="M255" i="13"/>
  <c r="L245" i="13"/>
  <c r="L227" i="13"/>
  <c r="M201" i="13"/>
  <c r="L195" i="13"/>
  <c r="M179" i="13"/>
  <c r="L172" i="13"/>
  <c r="M161" i="13"/>
  <c r="L156" i="13"/>
  <c r="M144" i="13"/>
  <c r="L137" i="13"/>
  <c r="M126" i="13"/>
  <c r="L121" i="13"/>
  <c r="M110" i="13"/>
  <c r="L105" i="13"/>
  <c r="M93" i="13"/>
  <c r="L85" i="13"/>
  <c r="M70" i="13"/>
  <c r="L63" i="13"/>
  <c r="M52" i="13"/>
  <c r="L47" i="13"/>
  <c r="M36" i="13"/>
  <c r="L30" i="13"/>
  <c r="M19" i="13"/>
  <c r="L14" i="13"/>
  <c r="J333" i="13"/>
  <c r="I327" i="13"/>
  <c r="J220" i="13"/>
  <c r="I215" i="13"/>
  <c r="J303" i="13"/>
  <c r="I294" i="13"/>
  <c r="J291" i="13"/>
  <c r="I286" i="13"/>
  <c r="J283" i="13"/>
  <c r="I278" i="13"/>
  <c r="J275" i="13"/>
  <c r="I267" i="13"/>
  <c r="J263" i="13"/>
  <c r="I256" i="13"/>
  <c r="J252" i="13"/>
  <c r="I245" i="13"/>
  <c r="J238" i="13"/>
  <c r="I233" i="13"/>
  <c r="J230" i="13"/>
  <c r="I213" i="13"/>
  <c r="J210" i="13"/>
  <c r="I205" i="13"/>
  <c r="J201" i="13"/>
  <c r="I195" i="13"/>
  <c r="J187" i="13"/>
  <c r="I182" i="13"/>
  <c r="J179" i="13"/>
  <c r="I172" i="13"/>
  <c r="J169" i="13"/>
  <c r="J161" i="13"/>
  <c r="I156" i="13"/>
  <c r="J153" i="13"/>
  <c r="I147" i="13"/>
  <c r="J144" i="13"/>
  <c r="I137" i="13"/>
  <c r="J134" i="13"/>
  <c r="I129" i="13"/>
  <c r="J126" i="13"/>
  <c r="I121" i="13"/>
  <c r="J118" i="13"/>
  <c r="I118" i="13"/>
  <c r="J115" i="13"/>
  <c r="I113" i="13"/>
  <c r="J110" i="13"/>
  <c r="I110" i="13"/>
  <c r="J107" i="13"/>
  <c r="I105" i="13"/>
  <c r="J102" i="13"/>
  <c r="I102" i="13"/>
  <c r="J99" i="13"/>
  <c r="I97" i="13"/>
  <c r="J93" i="13"/>
  <c r="I93" i="13"/>
  <c r="J89" i="13"/>
  <c r="I85" i="13"/>
  <c r="J81" i="13"/>
  <c r="I81" i="13"/>
  <c r="J75" i="13"/>
  <c r="I73" i="13"/>
  <c r="J70" i="13"/>
  <c r="I70" i="13"/>
  <c r="J66" i="13"/>
  <c r="I63" i="13"/>
  <c r="J60" i="13"/>
  <c r="I60" i="13"/>
  <c r="H58" i="13"/>
  <c r="J57" i="13"/>
  <c r="J52" i="13"/>
  <c r="I52" i="13"/>
  <c r="J49" i="13"/>
  <c r="I48" i="13"/>
  <c r="I47" i="13"/>
  <c r="J45" i="13"/>
  <c r="J44" i="13"/>
  <c r="I44" i="13"/>
  <c r="J41" i="13"/>
  <c r="I40" i="13"/>
  <c r="I39" i="13"/>
  <c r="J37" i="13"/>
  <c r="J36" i="13"/>
  <c r="I36" i="13"/>
  <c r="J32" i="13"/>
  <c r="I31" i="13"/>
  <c r="I30" i="13"/>
  <c r="J28" i="13"/>
  <c r="J27" i="13"/>
  <c r="I27" i="13"/>
  <c r="J24" i="13"/>
  <c r="I24" i="13"/>
  <c r="I23" i="13"/>
  <c r="I22" i="13"/>
  <c r="J21" i="13"/>
  <c r="J20" i="13"/>
  <c r="J19" i="13"/>
  <c r="I19" i="13"/>
  <c r="H18" i="13"/>
  <c r="J16" i="13"/>
  <c r="I16" i="13"/>
  <c r="I15" i="13"/>
  <c r="I14" i="13"/>
  <c r="J13" i="13"/>
  <c r="J12" i="13"/>
  <c r="J11" i="13"/>
  <c r="I11" i="13"/>
  <c r="I1" i="13"/>
  <c r="I336" i="13" s="1"/>
  <c r="J1" i="13"/>
  <c r="J335" i="13" s="1"/>
  <c r="K1" i="13"/>
  <c r="K283" i="13" s="1"/>
  <c r="L1" i="13"/>
  <c r="L340" i="13" s="1"/>
  <c r="M1" i="13"/>
  <c r="N1" i="13"/>
  <c r="N46" i="13" s="1"/>
  <c r="O1" i="13"/>
  <c r="O39" i="13" s="1"/>
  <c r="P1" i="13"/>
  <c r="P87" i="13" s="1"/>
  <c r="Q1" i="13"/>
  <c r="Q181" i="13" s="1"/>
  <c r="R1" i="13"/>
  <c r="R78" i="13" s="1"/>
  <c r="S1" i="13"/>
  <c r="T1" i="13"/>
  <c r="U1" i="13"/>
  <c r="V1" i="13"/>
  <c r="W1" i="13"/>
  <c r="X1" i="13"/>
  <c r="Y1" i="13"/>
  <c r="Z1" i="13"/>
  <c r="AA1" i="13"/>
  <c r="AB1" i="13"/>
  <c r="AC1" i="13"/>
  <c r="AD1" i="13"/>
  <c r="AE1" i="13"/>
  <c r="AF1" i="13"/>
  <c r="AG1" i="13"/>
  <c r="AH1" i="13"/>
  <c r="AI1" i="13"/>
  <c r="AJ1" i="13"/>
  <c r="AK1" i="13"/>
  <c r="AL1" i="13"/>
  <c r="AM1" i="13"/>
  <c r="AN1" i="13"/>
  <c r="AO1" i="13"/>
  <c r="AP1" i="13"/>
  <c r="AQ1" i="13"/>
  <c r="AR1" i="13"/>
  <c r="AS1" i="13"/>
  <c r="AT1" i="13"/>
  <c r="H1" i="13"/>
  <c r="H259" i="13" s="1"/>
  <c r="O41" i="12"/>
  <c r="P41" i="12"/>
  <c r="X41" i="12"/>
  <c r="AD41" i="12" s="1"/>
  <c r="AE41" i="12" s="1"/>
  <c r="Z41" i="12"/>
  <c r="AA41" i="12" s="1"/>
  <c r="O42" i="12"/>
  <c r="P42" i="12"/>
  <c r="X42" i="12"/>
  <c r="Z42" i="12"/>
  <c r="AA42" i="12" s="1"/>
  <c r="O43" i="12"/>
  <c r="P43" i="12"/>
  <c r="X43" i="12"/>
  <c r="Y43" i="12" s="1"/>
  <c r="Z43" i="12"/>
  <c r="O44" i="12"/>
  <c r="P44" i="12"/>
  <c r="X44" i="12"/>
  <c r="Y44" i="12" s="1"/>
  <c r="Z44" i="12"/>
  <c r="AA44" i="12" s="1"/>
  <c r="O57" i="12"/>
  <c r="P57" i="12"/>
  <c r="X57" i="12"/>
  <c r="Y57" i="12" s="1"/>
  <c r="AO149" i="13" s="1"/>
  <c r="Z57" i="12"/>
  <c r="O56" i="12"/>
  <c r="P56" i="12"/>
  <c r="X56" i="12"/>
  <c r="Y56" i="12" s="1"/>
  <c r="Z56" i="12"/>
  <c r="AJ56" i="12" s="1"/>
  <c r="O79" i="12"/>
  <c r="P79" i="12"/>
  <c r="X79" i="12"/>
  <c r="Z79" i="12"/>
  <c r="AK79" i="12" s="1"/>
  <c r="O78" i="12"/>
  <c r="P78" i="12"/>
  <c r="X78" i="12"/>
  <c r="AD78" i="12" s="1"/>
  <c r="AE78" i="12" s="1"/>
  <c r="Z78" i="12"/>
  <c r="AK78" i="12" s="1"/>
  <c r="I77" i="12"/>
  <c r="O77" i="12"/>
  <c r="P77" i="12"/>
  <c r="X77" i="12"/>
  <c r="AF77" i="12" s="1"/>
  <c r="AG77" i="12" s="1"/>
  <c r="Z77" i="12"/>
  <c r="AA77" i="12" s="1"/>
  <c r="O76" i="12"/>
  <c r="P76" i="12"/>
  <c r="X76" i="12"/>
  <c r="Y76" i="12" s="1"/>
  <c r="Z76" i="12"/>
  <c r="O95" i="12"/>
  <c r="P95" i="12"/>
  <c r="X95" i="12"/>
  <c r="Z95" i="12"/>
  <c r="AK95" i="12" s="1"/>
  <c r="O94" i="12"/>
  <c r="P94" i="12"/>
  <c r="X94" i="12"/>
  <c r="Z94" i="12"/>
  <c r="AA94" i="12" s="1"/>
  <c r="O121" i="12"/>
  <c r="P121" i="12"/>
  <c r="X121" i="12"/>
  <c r="AB121" i="12" s="1"/>
  <c r="AC121" i="12" s="1"/>
  <c r="Z121" i="12"/>
  <c r="AA121" i="12" s="1"/>
  <c r="O120" i="12"/>
  <c r="P120" i="12"/>
  <c r="X120" i="12"/>
  <c r="Y120" i="12" s="1"/>
  <c r="Z120" i="12"/>
  <c r="AA120" i="12" s="1"/>
  <c r="O119" i="12"/>
  <c r="P119" i="12"/>
  <c r="X119" i="12"/>
  <c r="AF119" i="12" s="1"/>
  <c r="AG119" i="12" s="1"/>
  <c r="Z119" i="12"/>
  <c r="AJ119" i="12" s="1"/>
  <c r="O140" i="12"/>
  <c r="P140" i="12"/>
  <c r="X140" i="12"/>
  <c r="Y140" i="12" s="1"/>
  <c r="Z140" i="12"/>
  <c r="AJ140" i="12" s="1"/>
  <c r="O472" i="12"/>
  <c r="P472" i="12"/>
  <c r="X472" i="12"/>
  <c r="AB472" i="12" s="1"/>
  <c r="AC472" i="12" s="1"/>
  <c r="Z472" i="12"/>
  <c r="AA472" i="12" s="1"/>
  <c r="O469" i="12"/>
  <c r="P469" i="12"/>
  <c r="X469" i="12"/>
  <c r="Y469" i="12" s="1"/>
  <c r="Z469" i="12"/>
  <c r="AA469" i="12" s="1"/>
  <c r="O474" i="12"/>
  <c r="P474" i="12"/>
  <c r="X474" i="12"/>
  <c r="AB474" i="12" s="1"/>
  <c r="AC474" i="12" s="1"/>
  <c r="Z474" i="12"/>
  <c r="AA474" i="12" s="1"/>
  <c r="O476" i="12"/>
  <c r="P476" i="12"/>
  <c r="X476" i="12"/>
  <c r="Y476" i="12" s="1"/>
  <c r="Z476" i="12"/>
  <c r="AK476" i="12" s="1"/>
  <c r="O473" i="12"/>
  <c r="P473" i="12"/>
  <c r="X473" i="12"/>
  <c r="Y473" i="12" s="1"/>
  <c r="Z473" i="12"/>
  <c r="AA473" i="12" s="1"/>
  <c r="O359" i="12"/>
  <c r="P359" i="12"/>
  <c r="X359" i="12"/>
  <c r="Y359" i="12" s="1"/>
  <c r="Z359" i="12"/>
  <c r="AJ359" i="12" s="1"/>
  <c r="O475" i="12"/>
  <c r="P475" i="12"/>
  <c r="X475" i="12"/>
  <c r="Y475" i="12" s="1"/>
  <c r="Z475" i="12"/>
  <c r="AA475" i="12" s="1"/>
  <c r="I6" i="12"/>
  <c r="O6" i="12"/>
  <c r="P6" i="12"/>
  <c r="X6" i="12"/>
  <c r="Y6" i="12" s="1"/>
  <c r="Z6" i="12"/>
  <c r="AA6" i="12" s="1"/>
  <c r="O139" i="12"/>
  <c r="P139" i="12"/>
  <c r="X139" i="12"/>
  <c r="Y139" i="12" s="1"/>
  <c r="Z139" i="12"/>
  <c r="O137" i="12"/>
  <c r="P137" i="12"/>
  <c r="X137" i="12"/>
  <c r="Y137" i="12" s="1"/>
  <c r="Z137" i="12"/>
  <c r="AJ137" i="12" s="1"/>
  <c r="O136" i="12"/>
  <c r="P136" i="12"/>
  <c r="X136" i="12"/>
  <c r="AF136" i="12" s="1"/>
  <c r="AG136" i="12" s="1"/>
  <c r="Z136" i="12"/>
  <c r="AA136" i="12" s="1"/>
  <c r="O135" i="12"/>
  <c r="P135" i="12"/>
  <c r="X135" i="12"/>
  <c r="Y135" i="12" s="1"/>
  <c r="Z135" i="12"/>
  <c r="AK135" i="12" s="1"/>
  <c r="O396" i="12"/>
  <c r="P396" i="12"/>
  <c r="X396" i="12"/>
  <c r="AD396" i="12" s="1"/>
  <c r="AE396" i="12" s="1"/>
  <c r="Z396" i="12"/>
  <c r="AA396" i="12" s="1"/>
  <c r="O477" i="12"/>
  <c r="P477" i="12"/>
  <c r="X477" i="12"/>
  <c r="Y477" i="12" s="1"/>
  <c r="Z477" i="12"/>
  <c r="AJ477" i="12" s="1"/>
  <c r="O169" i="12"/>
  <c r="P169" i="12"/>
  <c r="X169" i="12"/>
  <c r="AB169" i="12" s="1"/>
  <c r="AC169" i="12" s="1"/>
  <c r="Z169" i="12"/>
  <c r="AA169" i="12" s="1"/>
  <c r="O170" i="12"/>
  <c r="P170" i="12"/>
  <c r="X170" i="12"/>
  <c r="AF170" i="12" s="1"/>
  <c r="AG170" i="12" s="1"/>
  <c r="Z170" i="12"/>
  <c r="AA170" i="12" s="1"/>
  <c r="O468" i="12"/>
  <c r="P468" i="12"/>
  <c r="X468" i="12"/>
  <c r="AD468" i="12" s="1"/>
  <c r="AE468" i="12" s="1"/>
  <c r="Z468" i="12"/>
  <c r="AJ468" i="12" s="1"/>
  <c r="I5" i="12"/>
  <c r="O5" i="12"/>
  <c r="P5" i="12"/>
  <c r="X5" i="12"/>
  <c r="Y5" i="12" s="1"/>
  <c r="Y173" i="13" s="1"/>
  <c r="Z5" i="12"/>
  <c r="AJ5" i="12" s="1"/>
  <c r="O400" i="12"/>
  <c r="P400" i="12"/>
  <c r="X400" i="12"/>
  <c r="AB400" i="12" s="1"/>
  <c r="AC400" i="12" s="1"/>
  <c r="Z400" i="12"/>
  <c r="AK400" i="12" s="1"/>
  <c r="O470" i="12"/>
  <c r="P470" i="12"/>
  <c r="X470" i="12"/>
  <c r="AB470" i="12" s="1"/>
  <c r="AC470" i="12" s="1"/>
  <c r="Z470" i="12"/>
  <c r="O418" i="12"/>
  <c r="P418" i="12"/>
  <c r="X418" i="12"/>
  <c r="AF418" i="12" s="1"/>
  <c r="AG418" i="12" s="1"/>
  <c r="Z418" i="12"/>
  <c r="AJ418" i="12" s="1"/>
  <c r="O466" i="12"/>
  <c r="P466" i="12"/>
  <c r="X466" i="12"/>
  <c r="AB466" i="12" s="1"/>
  <c r="AC466" i="12" s="1"/>
  <c r="Z466" i="12"/>
  <c r="AA466" i="12" s="1"/>
  <c r="O397" i="12"/>
  <c r="P397" i="12"/>
  <c r="X397" i="12"/>
  <c r="Y397" i="12" s="1"/>
  <c r="Z397" i="12"/>
  <c r="AJ397" i="12" s="1"/>
  <c r="O471" i="12"/>
  <c r="P471" i="12"/>
  <c r="X471" i="12"/>
  <c r="AB471" i="12" s="1"/>
  <c r="AC471" i="12" s="1"/>
  <c r="Z471" i="12"/>
  <c r="I4" i="12"/>
  <c r="O4" i="12"/>
  <c r="P4" i="12"/>
  <c r="X4" i="12"/>
  <c r="Y4" i="12" s="1"/>
  <c r="Z4" i="12"/>
  <c r="AA4" i="12" s="1"/>
  <c r="O399" i="12"/>
  <c r="P399" i="12"/>
  <c r="X399" i="12"/>
  <c r="AD399" i="12" s="1"/>
  <c r="Z399" i="12"/>
  <c r="AA399" i="12" s="1"/>
  <c r="O467" i="12"/>
  <c r="P467" i="12"/>
  <c r="X467" i="12"/>
  <c r="Y467" i="12" s="1"/>
  <c r="Z467" i="12"/>
  <c r="AK467" i="12" s="1"/>
  <c r="O168" i="12"/>
  <c r="P168" i="12"/>
  <c r="X168" i="12"/>
  <c r="AB168" i="12" s="1"/>
  <c r="AC168" i="12" s="1"/>
  <c r="Z168" i="12"/>
  <c r="AJ168" i="12" s="1"/>
  <c r="O288" i="12"/>
  <c r="P288" i="12"/>
  <c r="X288" i="12"/>
  <c r="AD288" i="12" s="1"/>
  <c r="AE288" i="12" s="1"/>
  <c r="Z288" i="12"/>
  <c r="AJ288" i="12" s="1"/>
  <c r="O289" i="12"/>
  <c r="P289" i="12"/>
  <c r="X289" i="12"/>
  <c r="AD289" i="12" s="1"/>
  <c r="Z289" i="12"/>
  <c r="O300" i="12"/>
  <c r="P300" i="12"/>
  <c r="X300" i="12"/>
  <c r="AF300" i="12" s="1"/>
  <c r="AG300" i="12" s="1"/>
  <c r="Z300" i="12"/>
  <c r="AJ300" i="12" s="1"/>
  <c r="O314" i="12"/>
  <c r="P314" i="12"/>
  <c r="X314" i="12"/>
  <c r="AB314" i="12" s="1"/>
  <c r="AC314" i="12" s="1"/>
  <c r="Z314" i="12"/>
  <c r="O325" i="12"/>
  <c r="P325" i="12"/>
  <c r="X325" i="12"/>
  <c r="AD325" i="12" s="1"/>
  <c r="AE325" i="12" s="1"/>
  <c r="Z325" i="12"/>
  <c r="AJ325" i="12" s="1"/>
  <c r="O138" i="12"/>
  <c r="P138" i="12"/>
  <c r="X138" i="12"/>
  <c r="AF138" i="12" s="1"/>
  <c r="AG138" i="12" s="1"/>
  <c r="Z138" i="12"/>
  <c r="AA138" i="12" s="1"/>
  <c r="I25" i="12"/>
  <c r="O25" i="12"/>
  <c r="P25" i="12"/>
  <c r="X25" i="12"/>
  <c r="AF25" i="12" s="1"/>
  <c r="AG25" i="12" s="1"/>
  <c r="Z25" i="12"/>
  <c r="AK25" i="12" s="1"/>
  <c r="O298" i="12"/>
  <c r="P298" i="12"/>
  <c r="X298" i="12"/>
  <c r="Y298" i="12" s="1"/>
  <c r="Z298" i="12"/>
  <c r="AA298" i="12" s="1"/>
  <c r="O299" i="12"/>
  <c r="P299" i="12"/>
  <c r="X299" i="12"/>
  <c r="Y299" i="12" s="1"/>
  <c r="Z299" i="12"/>
  <c r="AJ299" i="12" s="1"/>
  <c r="O122" i="12"/>
  <c r="P122" i="12"/>
  <c r="X122" i="12"/>
  <c r="AB122" i="12" s="1"/>
  <c r="AC122" i="12" s="1"/>
  <c r="Z122" i="12"/>
  <c r="AJ122" i="12" s="1"/>
  <c r="I24" i="12"/>
  <c r="O24" i="12"/>
  <c r="P24" i="12"/>
  <c r="X24" i="12"/>
  <c r="Y24" i="12" s="1"/>
  <c r="AB310" i="13" s="1"/>
  <c r="Z24" i="12"/>
  <c r="AK24" i="12" s="1"/>
  <c r="O291" i="12"/>
  <c r="P291" i="12"/>
  <c r="X291" i="12"/>
  <c r="Y291" i="12" s="1"/>
  <c r="Z291" i="12"/>
  <c r="AA291" i="12" s="1"/>
  <c r="O290" i="12"/>
  <c r="P290" i="12"/>
  <c r="X290" i="12"/>
  <c r="AD290" i="12" s="1"/>
  <c r="AE290" i="12" s="1"/>
  <c r="Z290" i="12"/>
  <c r="AJ290" i="12" s="1"/>
  <c r="I29" i="12"/>
  <c r="O29" i="12"/>
  <c r="P29" i="12"/>
  <c r="X29" i="12"/>
  <c r="AF29" i="12" s="1"/>
  <c r="AG29" i="12" s="1"/>
  <c r="Z29" i="12"/>
  <c r="AJ29" i="12" s="1"/>
  <c r="I34" i="12"/>
  <c r="O34" i="12"/>
  <c r="P34" i="12"/>
  <c r="X34" i="12"/>
  <c r="AF34" i="12" s="1"/>
  <c r="AG34" i="12" s="1"/>
  <c r="Z34" i="12"/>
  <c r="AJ34" i="12" s="1"/>
  <c r="I35" i="12"/>
  <c r="O35" i="12"/>
  <c r="P35" i="12"/>
  <c r="X35" i="12"/>
  <c r="Y35" i="12" s="1"/>
  <c r="Z35" i="12"/>
  <c r="AA35" i="12" s="1"/>
  <c r="I36" i="12"/>
  <c r="O36" i="12"/>
  <c r="P36" i="12"/>
  <c r="X36" i="12"/>
  <c r="Y36" i="12" s="1"/>
  <c r="Z36" i="12"/>
  <c r="AJ36" i="12" s="1"/>
  <c r="I26" i="12"/>
  <c r="O26" i="12"/>
  <c r="P26" i="12"/>
  <c r="X26" i="12"/>
  <c r="AD26" i="12" s="1"/>
  <c r="Z26" i="12"/>
  <c r="AK26" i="12" s="1"/>
  <c r="I27" i="12"/>
  <c r="O27" i="12"/>
  <c r="P27" i="12"/>
  <c r="X27" i="12"/>
  <c r="Y27" i="12" s="1"/>
  <c r="Z27" i="12"/>
  <c r="AJ27" i="12" s="1"/>
  <c r="I28" i="12"/>
  <c r="O28" i="12"/>
  <c r="P28" i="12"/>
  <c r="X28" i="12"/>
  <c r="Y28" i="12" s="1"/>
  <c r="Z28" i="12"/>
  <c r="AJ28" i="12" s="1"/>
  <c r="I33" i="12"/>
  <c r="O33" i="12"/>
  <c r="P33" i="12"/>
  <c r="X33" i="12"/>
  <c r="AB33" i="12" s="1"/>
  <c r="AC33" i="12" s="1"/>
  <c r="Z33" i="12"/>
  <c r="AJ33" i="12" s="1"/>
  <c r="I32" i="12"/>
  <c r="O32" i="12"/>
  <c r="P32" i="12"/>
  <c r="X32" i="12"/>
  <c r="Y32" i="12" s="1"/>
  <c r="AT175" i="13" s="1"/>
  <c r="Z32" i="12"/>
  <c r="AA32" i="12" s="1"/>
  <c r="I23" i="12"/>
  <c r="O23" i="12"/>
  <c r="P23" i="12"/>
  <c r="X23" i="12"/>
  <c r="Z23" i="12"/>
  <c r="AA23" i="12" s="1"/>
  <c r="I22" i="12"/>
  <c r="O22" i="12"/>
  <c r="P22" i="12"/>
  <c r="X22" i="12"/>
  <c r="AF22" i="12" s="1"/>
  <c r="AG22" i="12" s="1"/>
  <c r="Z22" i="12"/>
  <c r="AK22" i="12" s="1"/>
  <c r="I31" i="12"/>
  <c r="O31" i="12"/>
  <c r="P31" i="12"/>
  <c r="X31" i="12"/>
  <c r="AD31" i="12" s="1"/>
  <c r="Z31" i="12"/>
  <c r="AK31" i="12" s="1"/>
  <c r="O99" i="12"/>
  <c r="P99" i="12"/>
  <c r="X99" i="12"/>
  <c r="AF99" i="12" s="1"/>
  <c r="AG99" i="12" s="1"/>
  <c r="Z99" i="12"/>
  <c r="AJ99" i="12" s="1"/>
  <c r="O98" i="12"/>
  <c r="P98" i="12"/>
  <c r="X98" i="12"/>
  <c r="AD98" i="12" s="1"/>
  <c r="Z98" i="12"/>
  <c r="AA98" i="12" s="1"/>
  <c r="I96" i="12"/>
  <c r="O96" i="12"/>
  <c r="P96" i="12"/>
  <c r="X96" i="12"/>
  <c r="AF96" i="12" s="1"/>
  <c r="AG96" i="12" s="1"/>
  <c r="Z96" i="12"/>
  <c r="AJ96" i="12" s="1"/>
  <c r="I97" i="12"/>
  <c r="O97" i="12"/>
  <c r="P97" i="12"/>
  <c r="X97" i="12"/>
  <c r="AB97" i="12" s="1"/>
  <c r="AC97" i="12" s="1"/>
  <c r="Z97" i="12"/>
  <c r="AA97" i="12" s="1"/>
  <c r="O128" i="12"/>
  <c r="P128" i="12"/>
  <c r="X128" i="12"/>
  <c r="AB128" i="12" s="1"/>
  <c r="AC128" i="12" s="1"/>
  <c r="Z128" i="12"/>
  <c r="AJ128" i="12" s="1"/>
  <c r="O127" i="12"/>
  <c r="P127" i="12"/>
  <c r="X127" i="12"/>
  <c r="AF127" i="12" s="1"/>
  <c r="AG127" i="12" s="1"/>
  <c r="Z127" i="12"/>
  <c r="O125" i="12"/>
  <c r="P125" i="12"/>
  <c r="X125" i="12"/>
  <c r="AB125" i="12" s="1"/>
  <c r="AC125" i="12" s="1"/>
  <c r="Z125" i="12"/>
  <c r="AK125" i="12" s="1"/>
  <c r="O124" i="12"/>
  <c r="P124" i="12"/>
  <c r="X124" i="12"/>
  <c r="AD124" i="12" s="1"/>
  <c r="AE124" i="12" s="1"/>
  <c r="Z124" i="12"/>
  <c r="O126" i="12"/>
  <c r="P126" i="12"/>
  <c r="X126" i="12"/>
  <c r="Z126" i="12"/>
  <c r="AK126" i="12" s="1"/>
  <c r="I123" i="12"/>
  <c r="O123" i="12"/>
  <c r="P123" i="12"/>
  <c r="X123" i="12"/>
  <c r="AB123" i="12" s="1"/>
  <c r="AC123" i="12" s="1"/>
  <c r="Z123" i="12"/>
  <c r="AA123" i="12" s="1"/>
  <c r="O167" i="12"/>
  <c r="P167" i="12"/>
  <c r="X167" i="12"/>
  <c r="Y167" i="12" s="1"/>
  <c r="Z167" i="12"/>
  <c r="AA167" i="12" s="1"/>
  <c r="O176" i="12"/>
  <c r="P176" i="12"/>
  <c r="X176" i="12"/>
  <c r="Z176" i="12"/>
  <c r="AK176" i="12" s="1"/>
  <c r="O174" i="12"/>
  <c r="P174" i="12"/>
  <c r="X174" i="12"/>
  <c r="Z174" i="12"/>
  <c r="AA174" i="12" s="1"/>
  <c r="O175" i="12"/>
  <c r="P175" i="12"/>
  <c r="X175" i="12"/>
  <c r="Z175" i="12"/>
  <c r="AK175" i="12" s="1"/>
  <c r="O173" i="12"/>
  <c r="P173" i="12"/>
  <c r="X173" i="12"/>
  <c r="Y173" i="12" s="1"/>
  <c r="Z173" i="12"/>
  <c r="AJ173" i="12" s="1"/>
  <c r="O172" i="12"/>
  <c r="P172" i="12"/>
  <c r="X172" i="12"/>
  <c r="Y172" i="12" s="1"/>
  <c r="Z172" i="12"/>
  <c r="AJ172" i="12" s="1"/>
  <c r="I171" i="12"/>
  <c r="O171" i="12"/>
  <c r="P171" i="12"/>
  <c r="X171" i="12"/>
  <c r="AD171" i="12" s="1"/>
  <c r="Z171" i="12"/>
  <c r="AK171" i="12" s="1"/>
  <c r="O143" i="12"/>
  <c r="P143" i="12"/>
  <c r="X143" i="12"/>
  <c r="AF143" i="12" s="1"/>
  <c r="AG143" i="12" s="1"/>
  <c r="Z143" i="12"/>
  <c r="AA143" i="12" s="1"/>
  <c r="O144" i="12"/>
  <c r="P144" i="12"/>
  <c r="X144" i="12"/>
  <c r="AB144" i="12" s="1"/>
  <c r="AC144" i="12" s="1"/>
  <c r="Z144" i="12"/>
  <c r="AK144" i="12" s="1"/>
  <c r="O295" i="12"/>
  <c r="P295" i="12"/>
  <c r="X295" i="12"/>
  <c r="AD295" i="12" s="1"/>
  <c r="AE295" i="12" s="1"/>
  <c r="Z295" i="12"/>
  <c r="AA295" i="12" s="1"/>
  <c r="O294" i="12"/>
  <c r="P294" i="12"/>
  <c r="X294" i="12"/>
  <c r="Y294" i="12" s="1"/>
  <c r="Z294" i="12"/>
  <c r="AJ294" i="12" s="1"/>
  <c r="O293" i="12"/>
  <c r="P293" i="12"/>
  <c r="X293" i="12"/>
  <c r="AB293" i="12" s="1"/>
  <c r="AC293" i="12" s="1"/>
  <c r="Z293" i="12"/>
  <c r="I292" i="12"/>
  <c r="O292" i="12"/>
  <c r="P292" i="12"/>
  <c r="X292" i="12"/>
  <c r="AB292" i="12" s="1"/>
  <c r="AC292" i="12" s="1"/>
  <c r="Z292" i="12"/>
  <c r="AJ292" i="12" s="1"/>
  <c r="O306" i="12"/>
  <c r="P306" i="12"/>
  <c r="X306" i="12"/>
  <c r="Y306" i="12" s="1"/>
  <c r="Z306" i="12"/>
  <c r="AA306" i="12" s="1"/>
  <c r="O305" i="12"/>
  <c r="P305" i="12"/>
  <c r="X305" i="12"/>
  <c r="AF305" i="12" s="1"/>
  <c r="AG305" i="12" s="1"/>
  <c r="Z305" i="12"/>
  <c r="AA305" i="12" s="1"/>
  <c r="O304" i="12"/>
  <c r="P304" i="12"/>
  <c r="X304" i="12"/>
  <c r="AD304" i="12" s="1"/>
  <c r="AE304" i="12" s="1"/>
  <c r="Z304" i="12"/>
  <c r="AA304" i="12" s="1"/>
  <c r="O302" i="12"/>
  <c r="P302" i="12"/>
  <c r="X302" i="12"/>
  <c r="AF302" i="12" s="1"/>
  <c r="AG302" i="12" s="1"/>
  <c r="Z302" i="12"/>
  <c r="AA302" i="12" s="1"/>
  <c r="O303" i="12"/>
  <c r="P303" i="12"/>
  <c r="X303" i="12"/>
  <c r="AF303" i="12" s="1"/>
  <c r="AG303" i="12" s="1"/>
  <c r="Z303" i="12"/>
  <c r="AA303" i="12" s="1"/>
  <c r="I301" i="12"/>
  <c r="O301" i="12"/>
  <c r="P301" i="12"/>
  <c r="X301" i="12"/>
  <c r="AD301" i="12" s="1"/>
  <c r="AE301" i="12" s="1"/>
  <c r="Z301" i="12"/>
  <c r="AA301" i="12" s="1"/>
  <c r="O318" i="12"/>
  <c r="P318" i="12"/>
  <c r="X318" i="12"/>
  <c r="Y318" i="12" s="1"/>
  <c r="Z318" i="12"/>
  <c r="AK318" i="12" s="1"/>
  <c r="O317" i="12"/>
  <c r="P317" i="12"/>
  <c r="X317" i="12"/>
  <c r="Y317" i="12" s="1"/>
  <c r="Z317" i="12"/>
  <c r="AA317" i="12" s="1"/>
  <c r="O316" i="12"/>
  <c r="P316" i="12"/>
  <c r="X316" i="12"/>
  <c r="Y316" i="12" s="1"/>
  <c r="Z316" i="12"/>
  <c r="AA316" i="12" s="1"/>
  <c r="I315" i="12"/>
  <c r="O315" i="12"/>
  <c r="P315" i="12"/>
  <c r="X315" i="12"/>
  <c r="AB315" i="12" s="1"/>
  <c r="AC315" i="12" s="1"/>
  <c r="Z315" i="12"/>
  <c r="AK315" i="12" s="1"/>
  <c r="O331" i="12"/>
  <c r="P331" i="12"/>
  <c r="X331" i="12"/>
  <c r="AD331" i="12" s="1"/>
  <c r="AE331" i="12" s="1"/>
  <c r="Z331" i="12"/>
  <c r="AA331" i="12" s="1"/>
  <c r="O330" i="12"/>
  <c r="P330" i="12"/>
  <c r="X330" i="12"/>
  <c r="AD330" i="12" s="1"/>
  <c r="AE330" i="12" s="1"/>
  <c r="Z330" i="12"/>
  <c r="AA330" i="12" s="1"/>
  <c r="O329" i="12"/>
  <c r="P329" i="12"/>
  <c r="X329" i="12"/>
  <c r="AD329" i="12" s="1"/>
  <c r="Z329" i="12"/>
  <c r="AK329" i="12" s="1"/>
  <c r="O327" i="12"/>
  <c r="P327" i="12"/>
  <c r="X327" i="12"/>
  <c r="AF327" i="12" s="1"/>
  <c r="AG327" i="12" s="1"/>
  <c r="Z327" i="12"/>
  <c r="AA327" i="12" s="1"/>
  <c r="O328" i="12"/>
  <c r="P328" i="12"/>
  <c r="X328" i="12"/>
  <c r="Y328" i="12" s="1"/>
  <c r="Z328" i="12"/>
  <c r="AA328" i="12" s="1"/>
  <c r="I326" i="12"/>
  <c r="O326" i="12"/>
  <c r="P326" i="12"/>
  <c r="X326" i="12"/>
  <c r="AB326" i="12" s="1"/>
  <c r="AC326" i="12" s="1"/>
  <c r="Z326" i="12"/>
  <c r="AA326" i="12" s="1"/>
  <c r="O339" i="12"/>
  <c r="P339" i="12"/>
  <c r="X339" i="12"/>
  <c r="Y339" i="12" s="1"/>
  <c r="Z339" i="12"/>
  <c r="AA339" i="12" s="1"/>
  <c r="O337" i="12"/>
  <c r="P337" i="12"/>
  <c r="X337" i="12"/>
  <c r="AD337" i="12" s="1"/>
  <c r="AE337" i="12" s="1"/>
  <c r="Z337" i="12"/>
  <c r="AK337" i="12" s="1"/>
  <c r="O338" i="12"/>
  <c r="P338" i="12"/>
  <c r="X338" i="12"/>
  <c r="AD338" i="12" s="1"/>
  <c r="Z338" i="12"/>
  <c r="O336" i="12"/>
  <c r="P336" i="12"/>
  <c r="X336" i="12"/>
  <c r="AD336" i="12" s="1"/>
  <c r="AE336" i="12" s="1"/>
  <c r="Z336" i="12"/>
  <c r="AA336" i="12" s="1"/>
  <c r="I335" i="12"/>
  <c r="O335" i="12"/>
  <c r="P335" i="12"/>
  <c r="X335" i="12"/>
  <c r="Y335" i="12" s="1"/>
  <c r="Z335" i="12"/>
  <c r="AA335" i="12" s="1"/>
  <c r="O142" i="12"/>
  <c r="P142" i="12"/>
  <c r="X142" i="12"/>
  <c r="Y142" i="12" s="1"/>
  <c r="Z142" i="12"/>
  <c r="AA142" i="12" s="1"/>
  <c r="I141" i="12"/>
  <c r="O141" i="12"/>
  <c r="P141" i="12"/>
  <c r="X141" i="12"/>
  <c r="AF141" i="12" s="1"/>
  <c r="AG141" i="12" s="1"/>
  <c r="Z141" i="12"/>
  <c r="O307" i="12"/>
  <c r="P307" i="12"/>
  <c r="X307" i="12"/>
  <c r="AF307" i="12" s="1"/>
  <c r="AG307" i="12" s="1"/>
  <c r="Z307" i="12"/>
  <c r="AK307" i="12" s="1"/>
  <c r="I13" i="12"/>
  <c r="O13" i="12"/>
  <c r="P13" i="12"/>
  <c r="X13" i="12"/>
  <c r="Z13" i="12"/>
  <c r="AA13" i="12" s="1"/>
  <c r="I18" i="12"/>
  <c r="O18" i="12"/>
  <c r="P18" i="12"/>
  <c r="X18" i="12"/>
  <c r="Y18" i="12" s="1"/>
  <c r="Z18" i="12"/>
  <c r="I40" i="12"/>
  <c r="O40" i="12"/>
  <c r="P40" i="12"/>
  <c r="X40" i="12"/>
  <c r="Z40" i="12"/>
  <c r="AA40" i="12" s="1"/>
  <c r="O398" i="12"/>
  <c r="P398" i="12"/>
  <c r="X398" i="12"/>
  <c r="Y398" i="12" s="1"/>
  <c r="Z398" i="12"/>
  <c r="O393" i="12"/>
  <c r="P393" i="12"/>
  <c r="X393" i="12"/>
  <c r="AD393" i="12" s="1"/>
  <c r="Z393" i="12"/>
  <c r="AA393" i="12" s="1"/>
  <c r="O509" i="12"/>
  <c r="P509" i="12"/>
  <c r="X509" i="12"/>
  <c r="Y509" i="12" s="1"/>
  <c r="Z509" i="12"/>
  <c r="AJ509" i="12" s="1"/>
  <c r="O526" i="12"/>
  <c r="P526" i="12"/>
  <c r="X526" i="12"/>
  <c r="AB526" i="12" s="1"/>
  <c r="AC526" i="12" s="1"/>
  <c r="Z526" i="12"/>
  <c r="AJ526" i="12" s="1"/>
  <c r="O497" i="12"/>
  <c r="P497" i="12"/>
  <c r="X497" i="12"/>
  <c r="Y497" i="12" s="1"/>
  <c r="Z497" i="12"/>
  <c r="O395" i="12"/>
  <c r="P395" i="12"/>
  <c r="X395" i="12"/>
  <c r="Y395" i="12" s="1"/>
  <c r="Z395" i="12"/>
  <c r="AA395" i="12" s="1"/>
  <c r="O358" i="12"/>
  <c r="P358" i="12"/>
  <c r="X358" i="12"/>
  <c r="Y358" i="12" s="1"/>
  <c r="Z358" i="12"/>
  <c r="O504" i="12"/>
  <c r="P504" i="12"/>
  <c r="X504" i="12"/>
  <c r="Y504" i="12" s="1"/>
  <c r="Z504" i="12"/>
  <c r="AA504" i="12" s="1"/>
  <c r="O524" i="12"/>
  <c r="P524" i="12"/>
  <c r="X524" i="12"/>
  <c r="AD524" i="12" s="1"/>
  <c r="Z524" i="12"/>
  <c r="AA524" i="12" s="1"/>
  <c r="O487" i="12"/>
  <c r="P487" i="12"/>
  <c r="X487" i="12"/>
  <c r="Y487" i="12" s="1"/>
  <c r="Z487" i="12"/>
  <c r="AK487" i="12" s="1"/>
  <c r="I17" i="12"/>
  <c r="O17" i="12"/>
  <c r="P17" i="12"/>
  <c r="X17" i="12"/>
  <c r="AD17" i="12" s="1"/>
  <c r="AE17" i="12" s="1"/>
  <c r="Z17" i="12"/>
  <c r="AK17" i="12" s="1"/>
  <c r="O394" i="12"/>
  <c r="P394" i="12"/>
  <c r="X394" i="12"/>
  <c r="AF394" i="12" s="1"/>
  <c r="AG394" i="12" s="1"/>
  <c r="Z394" i="12"/>
  <c r="AJ394" i="12" s="1"/>
  <c r="O493" i="12"/>
  <c r="P493" i="12"/>
  <c r="X493" i="12"/>
  <c r="AF493" i="12" s="1"/>
  <c r="AG493" i="12" s="1"/>
  <c r="Z493" i="12"/>
  <c r="AJ493" i="12" s="1"/>
  <c r="O501" i="12"/>
  <c r="P501" i="12"/>
  <c r="X501" i="12"/>
  <c r="AB501" i="12" s="1"/>
  <c r="AC501" i="12" s="1"/>
  <c r="Z501" i="12"/>
  <c r="AJ501" i="12" s="1"/>
  <c r="O516" i="12"/>
  <c r="P516" i="12"/>
  <c r="X516" i="12"/>
  <c r="Y516" i="12" s="1"/>
  <c r="Z516" i="12"/>
  <c r="AA516" i="12" s="1"/>
  <c r="O521" i="12"/>
  <c r="P521" i="12"/>
  <c r="X521" i="12"/>
  <c r="AF521" i="12" s="1"/>
  <c r="AG521" i="12" s="1"/>
  <c r="Z521" i="12"/>
  <c r="AA521" i="12" s="1"/>
  <c r="O88" i="12"/>
  <c r="P88" i="12"/>
  <c r="X88" i="12"/>
  <c r="AB88" i="12" s="1"/>
  <c r="AC88" i="12" s="1"/>
  <c r="Z88" i="12"/>
  <c r="AJ88" i="12" s="1"/>
  <c r="O357" i="12"/>
  <c r="P357" i="12"/>
  <c r="X357" i="12"/>
  <c r="AF357" i="12" s="1"/>
  <c r="AG357" i="12" s="1"/>
  <c r="Z357" i="12"/>
  <c r="AA357" i="12" s="1"/>
  <c r="O392" i="12"/>
  <c r="P392" i="12"/>
  <c r="X392" i="12"/>
  <c r="Z392" i="12"/>
  <c r="O356" i="12"/>
  <c r="P356" i="12"/>
  <c r="X356" i="12"/>
  <c r="Y356" i="12" s="1"/>
  <c r="Z356" i="12"/>
  <c r="AA356" i="12" s="1"/>
  <c r="O491" i="12"/>
  <c r="P491" i="12"/>
  <c r="X491" i="12"/>
  <c r="AF491" i="12" s="1"/>
  <c r="AG491" i="12" s="1"/>
  <c r="Z491" i="12"/>
  <c r="AK491" i="12" s="1"/>
  <c r="O503" i="12"/>
  <c r="P503" i="12"/>
  <c r="X503" i="12"/>
  <c r="AF503" i="12" s="1"/>
  <c r="AG503" i="12" s="1"/>
  <c r="Z503" i="12"/>
  <c r="AJ503" i="12" s="1"/>
  <c r="O484" i="12"/>
  <c r="P484" i="12"/>
  <c r="X484" i="12"/>
  <c r="AD484" i="12" s="1"/>
  <c r="AE484" i="12" s="1"/>
  <c r="Z484" i="12"/>
  <c r="AJ484" i="12" s="1"/>
  <c r="O391" i="12"/>
  <c r="P391" i="12"/>
  <c r="X391" i="12"/>
  <c r="AB391" i="12" s="1"/>
  <c r="AC391" i="12" s="1"/>
  <c r="Z391" i="12"/>
  <c r="AA391" i="12" s="1"/>
  <c r="O490" i="12"/>
  <c r="P490" i="12"/>
  <c r="X490" i="12"/>
  <c r="AD490" i="12" s="1"/>
  <c r="AE490" i="12" s="1"/>
  <c r="Z490" i="12"/>
  <c r="AA490" i="12" s="1"/>
  <c r="O500" i="12"/>
  <c r="P500" i="12"/>
  <c r="X500" i="12"/>
  <c r="Z500" i="12"/>
  <c r="O482" i="12"/>
  <c r="P482" i="12"/>
  <c r="X482" i="12"/>
  <c r="AD482" i="12" s="1"/>
  <c r="Z482" i="12"/>
  <c r="AK482" i="12" s="1"/>
  <c r="O390" i="12"/>
  <c r="P390" i="12"/>
  <c r="X390" i="12"/>
  <c r="AB390" i="12" s="1"/>
  <c r="AC390" i="12" s="1"/>
  <c r="Z390" i="12"/>
  <c r="AA390" i="12" s="1"/>
  <c r="O389" i="12"/>
  <c r="P389" i="12"/>
  <c r="X389" i="12"/>
  <c r="Y389" i="12" s="1"/>
  <c r="Z389" i="12"/>
  <c r="AJ389" i="12" s="1"/>
  <c r="O499" i="12"/>
  <c r="P499" i="12"/>
  <c r="X499" i="12"/>
  <c r="AB499" i="12" s="1"/>
  <c r="AC499" i="12" s="1"/>
  <c r="Z499" i="12"/>
  <c r="AA499" i="12" s="1"/>
  <c r="O520" i="12"/>
  <c r="P520" i="12"/>
  <c r="X520" i="12"/>
  <c r="Y520" i="12" s="1"/>
  <c r="Z520" i="12"/>
  <c r="AA520" i="12" s="1"/>
  <c r="O388" i="12"/>
  <c r="P388" i="12"/>
  <c r="X388" i="12"/>
  <c r="AB388" i="12" s="1"/>
  <c r="AC388" i="12" s="1"/>
  <c r="Z388" i="12"/>
  <c r="AK388" i="12" s="1"/>
  <c r="O507" i="12"/>
  <c r="P507" i="12"/>
  <c r="X507" i="12"/>
  <c r="AF507" i="12" s="1"/>
  <c r="AG507" i="12" s="1"/>
  <c r="Z507" i="12"/>
  <c r="AK507" i="12" s="1"/>
  <c r="O483" i="12"/>
  <c r="P483" i="12"/>
  <c r="X483" i="12"/>
  <c r="AF483" i="12" s="1"/>
  <c r="AG483" i="12" s="1"/>
  <c r="Z483" i="12"/>
  <c r="O107" i="12"/>
  <c r="P107" i="12"/>
  <c r="X107" i="12"/>
  <c r="AF107" i="12" s="1"/>
  <c r="AG107" i="12" s="1"/>
  <c r="Z107" i="12"/>
  <c r="AJ107" i="12" s="1"/>
  <c r="O108" i="12"/>
  <c r="P108" i="12"/>
  <c r="X108" i="12"/>
  <c r="AD108" i="12" s="1"/>
  <c r="AE108" i="12" s="1"/>
  <c r="Z108" i="12"/>
  <c r="AA108" i="12" s="1"/>
  <c r="O110" i="12"/>
  <c r="P110" i="12"/>
  <c r="X110" i="12"/>
  <c r="AD110" i="12" s="1"/>
  <c r="AE110" i="12" s="1"/>
  <c r="Z110" i="12"/>
  <c r="AK110" i="12" s="1"/>
  <c r="O109" i="12"/>
  <c r="P109" i="12"/>
  <c r="X109" i="12"/>
  <c r="AF109" i="12" s="1"/>
  <c r="AG109" i="12" s="1"/>
  <c r="Z109" i="12"/>
  <c r="AA109" i="12" s="1"/>
  <c r="O387" i="12"/>
  <c r="P387" i="12"/>
  <c r="X387" i="12"/>
  <c r="AF387" i="12" s="1"/>
  <c r="AG387" i="12" s="1"/>
  <c r="Z387" i="12"/>
  <c r="AK387" i="12" s="1"/>
  <c r="O355" i="12"/>
  <c r="P355" i="12"/>
  <c r="X355" i="12"/>
  <c r="Y355" i="12" s="1"/>
  <c r="Z355" i="12"/>
  <c r="AJ355" i="12" s="1"/>
  <c r="O380" i="12"/>
  <c r="P380" i="12"/>
  <c r="X380" i="12"/>
  <c r="AF380" i="12" s="1"/>
  <c r="AG380" i="12" s="1"/>
  <c r="Z380" i="12"/>
  <c r="O498" i="12"/>
  <c r="P498" i="12"/>
  <c r="X498" i="12"/>
  <c r="AD498" i="12" s="1"/>
  <c r="AE498" i="12" s="1"/>
  <c r="Z498" i="12"/>
  <c r="AJ498" i="12" s="1"/>
  <c r="O506" i="12"/>
  <c r="P506" i="12"/>
  <c r="X506" i="12"/>
  <c r="Y506" i="12" s="1"/>
  <c r="Z506" i="12"/>
  <c r="AJ506" i="12" s="1"/>
  <c r="O481" i="12"/>
  <c r="P481" i="12"/>
  <c r="X481" i="12"/>
  <c r="AB481" i="12" s="1"/>
  <c r="AC481" i="12" s="1"/>
  <c r="Z481" i="12"/>
  <c r="O158" i="12"/>
  <c r="P158" i="12"/>
  <c r="X158" i="12"/>
  <c r="AB158" i="12" s="1"/>
  <c r="AC158" i="12" s="1"/>
  <c r="Z158" i="12"/>
  <c r="O131" i="12"/>
  <c r="P131" i="12"/>
  <c r="X131" i="12"/>
  <c r="Z131" i="12"/>
  <c r="AK131" i="12" s="1"/>
  <c r="O130" i="12"/>
  <c r="P130" i="12"/>
  <c r="X130" i="12"/>
  <c r="Z130" i="12"/>
  <c r="AJ130" i="12" s="1"/>
  <c r="O150" i="12"/>
  <c r="P150" i="12"/>
  <c r="X150" i="12"/>
  <c r="AD150" i="12" s="1"/>
  <c r="AE150" i="12" s="1"/>
  <c r="Z150" i="12"/>
  <c r="AK150" i="12" s="1"/>
  <c r="O187" i="12"/>
  <c r="P187" i="12"/>
  <c r="X187" i="12"/>
  <c r="Y187" i="12" s="1"/>
  <c r="Z187" i="12"/>
  <c r="AA187" i="12" s="1"/>
  <c r="O157" i="12"/>
  <c r="P157" i="12"/>
  <c r="X157" i="12"/>
  <c r="AB157" i="12" s="1"/>
  <c r="AC157" i="12" s="1"/>
  <c r="Z157" i="12"/>
  <c r="O323" i="12"/>
  <c r="P323" i="12"/>
  <c r="X323" i="12"/>
  <c r="Y323" i="12" s="1"/>
  <c r="Z323" i="12"/>
  <c r="AJ323" i="12" s="1"/>
  <c r="O354" i="12"/>
  <c r="P354" i="12"/>
  <c r="X354" i="12"/>
  <c r="AF354" i="12" s="1"/>
  <c r="AG354" i="12" s="1"/>
  <c r="Z354" i="12"/>
  <c r="O379" i="12"/>
  <c r="P379" i="12"/>
  <c r="X379" i="12"/>
  <c r="Z379" i="12"/>
  <c r="AJ379" i="12" s="1"/>
  <c r="O353" i="12"/>
  <c r="P353" i="12"/>
  <c r="X353" i="12"/>
  <c r="AF353" i="12" s="1"/>
  <c r="AG353" i="12" s="1"/>
  <c r="Z353" i="12"/>
  <c r="AA353" i="12" s="1"/>
  <c r="O352" i="12"/>
  <c r="P352" i="12"/>
  <c r="X352" i="12"/>
  <c r="Y352" i="12" s="1"/>
  <c r="Z352" i="12"/>
  <c r="AA352" i="12" s="1"/>
  <c r="O494" i="12"/>
  <c r="P494" i="12"/>
  <c r="X494" i="12"/>
  <c r="AB494" i="12" s="1"/>
  <c r="AC494" i="12" s="1"/>
  <c r="Z494" i="12"/>
  <c r="AJ494" i="12" s="1"/>
  <c r="O510" i="12"/>
  <c r="P510" i="12"/>
  <c r="X510" i="12"/>
  <c r="AD510" i="12" s="1"/>
  <c r="AE510" i="12" s="1"/>
  <c r="Z510" i="12"/>
  <c r="AA510" i="12" s="1"/>
  <c r="O514" i="12"/>
  <c r="P514" i="12"/>
  <c r="X514" i="12"/>
  <c r="AD514" i="12" s="1"/>
  <c r="Z514" i="12"/>
  <c r="AA514" i="12" s="1"/>
  <c r="O522" i="12"/>
  <c r="P522" i="12"/>
  <c r="X522" i="12"/>
  <c r="AF522" i="12" s="1"/>
  <c r="AG522" i="12" s="1"/>
  <c r="Z522" i="12"/>
  <c r="AJ522" i="12" s="1"/>
  <c r="O486" i="12"/>
  <c r="P486" i="12"/>
  <c r="X486" i="12"/>
  <c r="Y486" i="12" s="1"/>
  <c r="Z486" i="12"/>
  <c r="AA486" i="12" s="1"/>
  <c r="O188" i="12"/>
  <c r="P188" i="12"/>
  <c r="X188" i="12"/>
  <c r="AF188" i="12" s="1"/>
  <c r="AG188" i="12" s="1"/>
  <c r="Z188" i="12"/>
  <c r="AA188" i="12" s="1"/>
  <c r="O161" i="12"/>
  <c r="P161" i="12"/>
  <c r="X161" i="12"/>
  <c r="AB161" i="12" s="1"/>
  <c r="AC161" i="12" s="1"/>
  <c r="Z161" i="12"/>
  <c r="AA161" i="12" s="1"/>
  <c r="O333" i="12"/>
  <c r="P333" i="12"/>
  <c r="X333" i="12"/>
  <c r="AB333" i="12" s="1"/>
  <c r="AC333" i="12" s="1"/>
  <c r="Z333" i="12"/>
  <c r="AA333" i="12" s="1"/>
  <c r="O417" i="12"/>
  <c r="P417" i="12"/>
  <c r="X417" i="12"/>
  <c r="AD417" i="12" s="1"/>
  <c r="Z417" i="12"/>
  <c r="AA417" i="12" s="1"/>
  <c r="O386" i="12"/>
  <c r="P386" i="12"/>
  <c r="X386" i="12"/>
  <c r="Y386" i="12" s="1"/>
  <c r="Z386" i="12"/>
  <c r="O385" i="12"/>
  <c r="P385" i="12"/>
  <c r="X385" i="12"/>
  <c r="AF385" i="12" s="1"/>
  <c r="AG385" i="12" s="1"/>
  <c r="Z385" i="12"/>
  <c r="AA385" i="12" s="1"/>
  <c r="O378" i="12"/>
  <c r="P378" i="12"/>
  <c r="X378" i="12"/>
  <c r="AF378" i="12" s="1"/>
  <c r="AG378" i="12" s="1"/>
  <c r="Z378" i="12"/>
  <c r="AJ378" i="12" s="1"/>
  <c r="O495" i="12"/>
  <c r="P495" i="12"/>
  <c r="X495" i="12"/>
  <c r="Y495" i="12" s="1"/>
  <c r="Z495" i="12"/>
  <c r="AJ495" i="12" s="1"/>
  <c r="O502" i="12"/>
  <c r="P502" i="12"/>
  <c r="X502" i="12"/>
  <c r="AB502" i="12" s="1"/>
  <c r="AC502" i="12" s="1"/>
  <c r="Z502" i="12"/>
  <c r="AK502" i="12" s="1"/>
  <c r="O515" i="12"/>
  <c r="P515" i="12"/>
  <c r="X515" i="12"/>
  <c r="AF515" i="12" s="1"/>
  <c r="AG515" i="12" s="1"/>
  <c r="Z515" i="12"/>
  <c r="O525" i="12"/>
  <c r="P525" i="12"/>
  <c r="X525" i="12"/>
  <c r="AD525" i="12" s="1"/>
  <c r="Z525" i="12"/>
  <c r="AA525" i="12" s="1"/>
  <c r="O479" i="12"/>
  <c r="P479" i="12"/>
  <c r="X479" i="12"/>
  <c r="AD479" i="12" s="1"/>
  <c r="AE479" i="12" s="1"/>
  <c r="Z479" i="12"/>
  <c r="AA479" i="12" s="1"/>
  <c r="I384" i="12"/>
  <c r="O384" i="12"/>
  <c r="P384" i="12"/>
  <c r="X384" i="12"/>
  <c r="Z384" i="12"/>
  <c r="AA384" i="12" s="1"/>
  <c r="O416" i="12"/>
  <c r="P416" i="12"/>
  <c r="X416" i="12"/>
  <c r="Y416" i="12" s="1"/>
  <c r="Z416" i="12"/>
  <c r="AJ416" i="12" s="1"/>
  <c r="O377" i="12"/>
  <c r="P377" i="12"/>
  <c r="X377" i="12"/>
  <c r="AF377" i="12" s="1"/>
  <c r="AG377" i="12" s="1"/>
  <c r="Z377" i="12"/>
  <c r="AA377" i="12" s="1"/>
  <c r="O415" i="12"/>
  <c r="P415" i="12"/>
  <c r="X415" i="12"/>
  <c r="AD415" i="12" s="1"/>
  <c r="AE415" i="12" s="1"/>
  <c r="Z415" i="12"/>
  <c r="AK415" i="12" s="1"/>
  <c r="O408" i="12"/>
  <c r="P408" i="12"/>
  <c r="X408" i="12"/>
  <c r="Y408" i="12" s="1"/>
  <c r="Z408" i="12"/>
  <c r="AJ408" i="12" s="1"/>
  <c r="O496" i="12"/>
  <c r="P496" i="12"/>
  <c r="X496" i="12"/>
  <c r="Y496" i="12" s="1"/>
  <c r="Z496" i="12"/>
  <c r="AJ496" i="12" s="1"/>
  <c r="O505" i="12"/>
  <c r="P505" i="12"/>
  <c r="X505" i="12"/>
  <c r="AB505" i="12" s="1"/>
  <c r="AC505" i="12" s="1"/>
  <c r="Z505" i="12"/>
  <c r="AA505" i="12" s="1"/>
  <c r="O512" i="12"/>
  <c r="P512" i="12"/>
  <c r="X512" i="12"/>
  <c r="Z512" i="12"/>
  <c r="AK512" i="12" s="1"/>
  <c r="O523" i="12"/>
  <c r="P523" i="12"/>
  <c r="X523" i="12"/>
  <c r="Y523" i="12" s="1"/>
  <c r="Z523" i="12"/>
  <c r="AA523" i="12" s="1"/>
  <c r="O485" i="12"/>
  <c r="P485" i="12"/>
  <c r="X485" i="12"/>
  <c r="AD485" i="12" s="1"/>
  <c r="Z485" i="12"/>
  <c r="AJ485" i="12" s="1"/>
  <c r="O297" i="12"/>
  <c r="P297" i="12"/>
  <c r="X297" i="12"/>
  <c r="Y297" i="12" s="1"/>
  <c r="Z297" i="12"/>
  <c r="AJ297" i="12" s="1"/>
  <c r="O181" i="12"/>
  <c r="P181" i="12"/>
  <c r="X181" i="12"/>
  <c r="AB181" i="12" s="1"/>
  <c r="AC181" i="12" s="1"/>
  <c r="Z181" i="12"/>
  <c r="AA181" i="12" s="1"/>
  <c r="O324" i="12"/>
  <c r="P324" i="12"/>
  <c r="X324" i="12"/>
  <c r="Y324" i="12" s="1"/>
  <c r="Z324" i="12"/>
  <c r="AA324" i="12" s="1"/>
  <c r="O322" i="12"/>
  <c r="P322" i="12"/>
  <c r="X322" i="12"/>
  <c r="AB322" i="12" s="1"/>
  <c r="AC322" i="12" s="1"/>
  <c r="Z322" i="12"/>
  <c r="AA322" i="12" s="1"/>
  <c r="O156" i="12"/>
  <c r="P156" i="12"/>
  <c r="X156" i="12"/>
  <c r="Y156" i="12" s="1"/>
  <c r="Z156" i="12"/>
  <c r="O309" i="12"/>
  <c r="P309" i="12"/>
  <c r="X309" i="12"/>
  <c r="Z309" i="12"/>
  <c r="AA309" i="12" s="1"/>
  <c r="O334" i="12"/>
  <c r="P334" i="12"/>
  <c r="X334" i="12"/>
  <c r="AD334" i="12" s="1"/>
  <c r="Z334" i="12"/>
  <c r="O185" i="12"/>
  <c r="P185" i="12"/>
  <c r="X185" i="12"/>
  <c r="Y185" i="12" s="1"/>
  <c r="Z185" i="12"/>
  <c r="AK185" i="12" s="1"/>
  <c r="O182" i="12"/>
  <c r="P182" i="12"/>
  <c r="X182" i="12"/>
  <c r="Z182" i="12"/>
  <c r="O320" i="12"/>
  <c r="P320" i="12"/>
  <c r="X320" i="12"/>
  <c r="Z320" i="12"/>
  <c r="AA320" i="12" s="1"/>
  <c r="O375" i="12"/>
  <c r="P375" i="12"/>
  <c r="X375" i="12"/>
  <c r="Y375" i="12" s="1"/>
  <c r="Z375" i="12"/>
  <c r="O376" i="12"/>
  <c r="P376" i="12"/>
  <c r="X376" i="12"/>
  <c r="Z376" i="12"/>
  <c r="AA376" i="12" s="1"/>
  <c r="O414" i="12"/>
  <c r="P414" i="12"/>
  <c r="X414" i="12"/>
  <c r="AD414" i="12" s="1"/>
  <c r="Z414" i="12"/>
  <c r="O513" i="12"/>
  <c r="P513" i="12"/>
  <c r="X513" i="12"/>
  <c r="AD513" i="12" s="1"/>
  <c r="AE513" i="12" s="1"/>
  <c r="Z513" i="12"/>
  <c r="O480" i="12"/>
  <c r="P480" i="12"/>
  <c r="X480" i="12"/>
  <c r="AF480" i="12" s="1"/>
  <c r="AG480" i="12" s="1"/>
  <c r="Z480" i="12"/>
  <c r="O519" i="12"/>
  <c r="P519" i="12"/>
  <c r="X519" i="12"/>
  <c r="AF519" i="12" s="1"/>
  <c r="AG519" i="12" s="1"/>
  <c r="Z519" i="12"/>
  <c r="AJ519" i="12" s="1"/>
  <c r="O489" i="12"/>
  <c r="P489" i="12"/>
  <c r="X489" i="12"/>
  <c r="AB489" i="12" s="1"/>
  <c r="AC489" i="12" s="1"/>
  <c r="Z489" i="12"/>
  <c r="O508" i="12"/>
  <c r="P508" i="12"/>
  <c r="X508" i="12"/>
  <c r="AB508" i="12" s="1"/>
  <c r="AC508" i="12" s="1"/>
  <c r="Z508" i="12"/>
  <c r="AK508" i="12" s="1"/>
  <c r="O155" i="12"/>
  <c r="P155" i="12"/>
  <c r="X155" i="12"/>
  <c r="AD155" i="12" s="1"/>
  <c r="AE155" i="12" s="1"/>
  <c r="Z155" i="12"/>
  <c r="AA155" i="12" s="1"/>
  <c r="O311" i="12"/>
  <c r="P311" i="12"/>
  <c r="X311" i="12"/>
  <c r="AF311" i="12" s="1"/>
  <c r="AG311" i="12" s="1"/>
  <c r="Z311" i="12"/>
  <c r="AJ311" i="12" s="1"/>
  <c r="O148" i="12"/>
  <c r="P148" i="12"/>
  <c r="X148" i="12"/>
  <c r="Y148" i="12" s="1"/>
  <c r="Z148" i="12"/>
  <c r="AA148" i="12" s="1"/>
  <c r="O319" i="12"/>
  <c r="P319" i="12"/>
  <c r="X319" i="12"/>
  <c r="AD319" i="12" s="1"/>
  <c r="AE319" i="12" s="1"/>
  <c r="Z319" i="12"/>
  <c r="O374" i="12"/>
  <c r="P374" i="12"/>
  <c r="X374" i="12"/>
  <c r="AF374" i="12" s="1"/>
  <c r="AG374" i="12" s="1"/>
  <c r="Z374" i="12"/>
  <c r="O373" i="12"/>
  <c r="P373" i="12"/>
  <c r="X373" i="12"/>
  <c r="AF373" i="12" s="1"/>
  <c r="AG373" i="12" s="1"/>
  <c r="Z373" i="12"/>
  <c r="AK373" i="12" s="1"/>
  <c r="O383" i="12"/>
  <c r="P383" i="12"/>
  <c r="X383" i="12"/>
  <c r="Y383" i="12" s="1"/>
  <c r="Z383" i="12"/>
  <c r="AA383" i="12" s="1"/>
  <c r="O351" i="12"/>
  <c r="P351" i="12"/>
  <c r="X351" i="12"/>
  <c r="AD351" i="12" s="1"/>
  <c r="Z351" i="12"/>
  <c r="AA351" i="12" s="1"/>
  <c r="O412" i="12"/>
  <c r="P412" i="12"/>
  <c r="X412" i="12"/>
  <c r="Z412" i="12"/>
  <c r="AA412" i="12" s="1"/>
  <c r="I511" i="12"/>
  <c r="O511" i="12"/>
  <c r="P511" i="12"/>
  <c r="X511" i="12"/>
  <c r="Y511" i="12" s="1"/>
  <c r="Z511" i="12"/>
  <c r="I518" i="12"/>
  <c r="O518" i="12"/>
  <c r="P518" i="12"/>
  <c r="X518" i="12"/>
  <c r="Y518" i="12" s="1"/>
  <c r="Z518" i="12"/>
  <c r="AA518" i="12" s="1"/>
  <c r="I478" i="12"/>
  <c r="O478" i="12"/>
  <c r="P478" i="12"/>
  <c r="X478" i="12"/>
  <c r="Y478" i="12" s="1"/>
  <c r="Z478" i="12"/>
  <c r="AA478" i="12" s="1"/>
  <c r="I488" i="12"/>
  <c r="O488" i="12"/>
  <c r="P488" i="12"/>
  <c r="X488" i="12"/>
  <c r="AD488" i="12" s="1"/>
  <c r="AE488" i="12" s="1"/>
  <c r="Z488" i="12"/>
  <c r="AK488" i="12" s="1"/>
  <c r="I492" i="12"/>
  <c r="O492" i="12"/>
  <c r="P492" i="12"/>
  <c r="X492" i="12"/>
  <c r="Y492" i="12" s="1"/>
  <c r="Z492" i="12"/>
  <c r="AJ492" i="12" s="1"/>
  <c r="O296" i="12"/>
  <c r="P296" i="12"/>
  <c r="X296" i="12"/>
  <c r="Y296" i="12" s="1"/>
  <c r="Z296" i="12"/>
  <c r="O332" i="12"/>
  <c r="P332" i="12"/>
  <c r="X332" i="12"/>
  <c r="Y332" i="12" s="1"/>
  <c r="Z332" i="12"/>
  <c r="AA332" i="12" s="1"/>
  <c r="O382" i="12"/>
  <c r="P382" i="12"/>
  <c r="X382" i="12"/>
  <c r="Y382" i="12" s="1"/>
  <c r="Z382" i="12"/>
  <c r="AA382" i="12" s="1"/>
  <c r="I517" i="12"/>
  <c r="O517" i="12"/>
  <c r="P517" i="12"/>
  <c r="X517" i="12"/>
  <c r="AB517" i="12" s="1"/>
  <c r="AC517" i="12" s="1"/>
  <c r="Z517" i="12"/>
  <c r="AK517" i="12" s="1"/>
  <c r="O184" i="12"/>
  <c r="P184" i="12"/>
  <c r="X184" i="12"/>
  <c r="Y184" i="12" s="1"/>
  <c r="Z184" i="12"/>
  <c r="AJ184" i="12" s="1"/>
  <c r="O310" i="12"/>
  <c r="P310" i="12"/>
  <c r="X310" i="12"/>
  <c r="AB310" i="12" s="1"/>
  <c r="AC310" i="12" s="1"/>
  <c r="Z310" i="12"/>
  <c r="AA310" i="12" s="1"/>
  <c r="I153" i="12"/>
  <c r="O153" i="12"/>
  <c r="P153" i="12"/>
  <c r="X153" i="12"/>
  <c r="Y153" i="12" s="1"/>
  <c r="Z153" i="12"/>
  <c r="AA153" i="12" s="1"/>
  <c r="I183" i="12"/>
  <c r="O183" i="12"/>
  <c r="P183" i="12"/>
  <c r="X183" i="12"/>
  <c r="Y183" i="12" s="1"/>
  <c r="Z183" i="12"/>
  <c r="AA183" i="12" s="1"/>
  <c r="I313" i="12"/>
  <c r="O313" i="12"/>
  <c r="P313" i="12"/>
  <c r="X313" i="12"/>
  <c r="Y313" i="12" s="1"/>
  <c r="Z313" i="12"/>
  <c r="AA313" i="12" s="1"/>
  <c r="I160" i="12"/>
  <c r="O160" i="12"/>
  <c r="P160" i="12"/>
  <c r="X160" i="12"/>
  <c r="AF160" i="12" s="1"/>
  <c r="AG160" i="12" s="1"/>
  <c r="Z160" i="12"/>
  <c r="AK160" i="12" s="1"/>
  <c r="I152" i="12"/>
  <c r="O152" i="12"/>
  <c r="P152" i="12"/>
  <c r="X152" i="12"/>
  <c r="AD152" i="12" s="1"/>
  <c r="AE152" i="12" s="1"/>
  <c r="Z152" i="12"/>
  <c r="AJ152" i="12" s="1"/>
  <c r="I154" i="12"/>
  <c r="O154" i="12"/>
  <c r="P154" i="12"/>
  <c r="X154" i="12"/>
  <c r="Y154" i="12" s="1"/>
  <c r="Z154" i="12"/>
  <c r="O159" i="12"/>
  <c r="P159" i="12"/>
  <c r="X159" i="12"/>
  <c r="AB159" i="12" s="1"/>
  <c r="AC159" i="12" s="1"/>
  <c r="Z159" i="12"/>
  <c r="AA159" i="12" s="1"/>
  <c r="O151" i="12"/>
  <c r="P151" i="12"/>
  <c r="X151" i="12"/>
  <c r="Y151" i="12" s="1"/>
  <c r="Z151" i="12"/>
  <c r="AA151" i="12" s="1"/>
  <c r="O51" i="12"/>
  <c r="P51" i="12"/>
  <c r="X51" i="12"/>
  <c r="AF51" i="12" s="1"/>
  <c r="AG51" i="12" s="1"/>
  <c r="Z51" i="12"/>
  <c r="AA51" i="12" s="1"/>
  <c r="O50" i="12"/>
  <c r="P50" i="12"/>
  <c r="X50" i="12"/>
  <c r="Y50" i="12" s="1"/>
  <c r="Z50" i="12"/>
  <c r="O49" i="12"/>
  <c r="P49" i="12"/>
  <c r="X49" i="12"/>
  <c r="AB49" i="12" s="1"/>
  <c r="AC49" i="12" s="1"/>
  <c r="Z49" i="12"/>
  <c r="O68" i="12"/>
  <c r="P68" i="12"/>
  <c r="X68" i="12"/>
  <c r="Y68" i="12" s="1"/>
  <c r="AO268" i="13" s="1"/>
  <c r="Z68" i="12"/>
  <c r="AJ68" i="12" s="1"/>
  <c r="O67" i="12"/>
  <c r="P67" i="12"/>
  <c r="X67" i="12"/>
  <c r="AD67" i="12" s="1"/>
  <c r="AE67" i="12" s="1"/>
  <c r="Z67" i="12"/>
  <c r="AK67" i="12" s="1"/>
  <c r="O66" i="12"/>
  <c r="P66" i="12"/>
  <c r="X66" i="12"/>
  <c r="AD66" i="12" s="1"/>
  <c r="AE66" i="12" s="1"/>
  <c r="Z66" i="12"/>
  <c r="AA66" i="12" s="1"/>
  <c r="O65" i="12"/>
  <c r="P65" i="12"/>
  <c r="X65" i="12"/>
  <c r="AD65" i="12" s="1"/>
  <c r="AE65" i="12" s="1"/>
  <c r="Z65" i="12"/>
  <c r="AJ65" i="12" s="1"/>
  <c r="O64" i="12"/>
  <c r="P64" i="12"/>
  <c r="X64" i="12"/>
  <c r="AF64" i="12" s="1"/>
  <c r="AG64" i="12" s="1"/>
  <c r="Z64" i="12"/>
  <c r="AJ64" i="12" s="1"/>
  <c r="O63" i="12"/>
  <c r="P63" i="12"/>
  <c r="X63" i="12"/>
  <c r="AB63" i="12" s="1"/>
  <c r="AC63" i="12" s="1"/>
  <c r="Z63" i="12"/>
  <c r="AA63" i="12" s="1"/>
  <c r="O61" i="12"/>
  <c r="P61" i="12"/>
  <c r="X61" i="12"/>
  <c r="AB61" i="12" s="1"/>
  <c r="AC61" i="12" s="1"/>
  <c r="Z61" i="12"/>
  <c r="AJ61" i="12" s="1"/>
  <c r="O58" i="12"/>
  <c r="P58" i="12"/>
  <c r="X58" i="12"/>
  <c r="AD58" i="12" s="1"/>
  <c r="AE58" i="12" s="1"/>
  <c r="Z58" i="12"/>
  <c r="AJ58" i="12" s="1"/>
  <c r="O59" i="12"/>
  <c r="P59" i="12"/>
  <c r="X59" i="12"/>
  <c r="Y59" i="12" s="1"/>
  <c r="Z59" i="12"/>
  <c r="AA59" i="12" s="1"/>
  <c r="O60" i="12"/>
  <c r="P60" i="12"/>
  <c r="X60" i="12"/>
  <c r="Z60" i="12"/>
  <c r="AK60" i="12" s="1"/>
  <c r="O62" i="12"/>
  <c r="P62" i="12"/>
  <c r="X62" i="12"/>
  <c r="AD62" i="12" s="1"/>
  <c r="Z62" i="12"/>
  <c r="AJ62" i="12" s="1"/>
  <c r="O87" i="12"/>
  <c r="P87" i="12"/>
  <c r="X87" i="12"/>
  <c r="AF87" i="12" s="1"/>
  <c r="AG87" i="12" s="1"/>
  <c r="Z87" i="12"/>
  <c r="AK87" i="12" s="1"/>
  <c r="O84" i="12"/>
  <c r="P84" i="12"/>
  <c r="X84" i="12"/>
  <c r="Z84" i="12"/>
  <c r="AK84" i="12" s="1"/>
  <c r="O85" i="12"/>
  <c r="P85" i="12"/>
  <c r="X85" i="12"/>
  <c r="AF85" i="12" s="1"/>
  <c r="AG85" i="12" s="1"/>
  <c r="Z85" i="12"/>
  <c r="AA85" i="12" s="1"/>
  <c r="O83" i="12"/>
  <c r="P83" i="12"/>
  <c r="X83" i="12"/>
  <c r="AF83" i="12" s="1"/>
  <c r="AG83" i="12" s="1"/>
  <c r="Z83" i="12"/>
  <c r="O82" i="12"/>
  <c r="P82" i="12"/>
  <c r="X82" i="12"/>
  <c r="AF82" i="12" s="1"/>
  <c r="AG82" i="12" s="1"/>
  <c r="Z82" i="12"/>
  <c r="I81" i="12"/>
  <c r="O81" i="12"/>
  <c r="P81" i="12"/>
  <c r="X81" i="12"/>
  <c r="AB81" i="12" s="1"/>
  <c r="AC81" i="12" s="1"/>
  <c r="Z81" i="12"/>
  <c r="AK81" i="12" s="1"/>
  <c r="O106" i="12"/>
  <c r="P106" i="12"/>
  <c r="X106" i="12"/>
  <c r="Z106" i="12"/>
  <c r="AA106" i="12" s="1"/>
  <c r="O105" i="12"/>
  <c r="P105" i="12"/>
  <c r="X105" i="12"/>
  <c r="AB105" i="12" s="1"/>
  <c r="AC105" i="12" s="1"/>
  <c r="Z105" i="12"/>
  <c r="AK105" i="12" s="1"/>
  <c r="O103" i="12"/>
  <c r="P103" i="12"/>
  <c r="X103" i="12"/>
  <c r="Y103" i="12" s="1"/>
  <c r="Z103" i="12"/>
  <c r="AA103" i="12" s="1"/>
  <c r="O104" i="12"/>
  <c r="P104" i="12"/>
  <c r="X104" i="12"/>
  <c r="Y104" i="12" s="1"/>
  <c r="Z104" i="12"/>
  <c r="AJ104" i="12" s="1"/>
  <c r="O101" i="12"/>
  <c r="P101" i="12"/>
  <c r="X101" i="12"/>
  <c r="AD101" i="12" s="1"/>
  <c r="AH101" i="12" s="1"/>
  <c r="AI101" i="12" s="1"/>
  <c r="Z101" i="12"/>
  <c r="AA101" i="12" s="1"/>
  <c r="O102" i="12"/>
  <c r="P102" i="12"/>
  <c r="X102" i="12"/>
  <c r="AF102" i="12" s="1"/>
  <c r="AG102" i="12" s="1"/>
  <c r="Z102" i="12"/>
  <c r="I100" i="12"/>
  <c r="O100" i="12"/>
  <c r="P100" i="12"/>
  <c r="X100" i="12"/>
  <c r="AF100" i="12" s="1"/>
  <c r="AG100" i="12" s="1"/>
  <c r="Z100" i="12"/>
  <c r="AK100" i="12" s="1"/>
  <c r="O129" i="12"/>
  <c r="P129" i="12"/>
  <c r="X129" i="12"/>
  <c r="Z129" i="12"/>
  <c r="AA129" i="12" s="1"/>
  <c r="I38" i="12"/>
  <c r="O38" i="12"/>
  <c r="P38" i="12"/>
  <c r="X38" i="12"/>
  <c r="Y38" i="12" s="1"/>
  <c r="Z38" i="12"/>
  <c r="AJ38" i="12" s="1"/>
  <c r="I39" i="12"/>
  <c r="O39" i="12"/>
  <c r="P39" i="12"/>
  <c r="X39" i="12"/>
  <c r="AD39" i="12" s="1"/>
  <c r="Z39" i="12"/>
  <c r="AA39" i="12" s="1"/>
  <c r="O149" i="12"/>
  <c r="P149" i="12"/>
  <c r="X149" i="12"/>
  <c r="AB149" i="12" s="1"/>
  <c r="AC149" i="12" s="1"/>
  <c r="Z149" i="12"/>
  <c r="AA149" i="12" s="1"/>
  <c r="O308" i="12"/>
  <c r="P308" i="12"/>
  <c r="X308" i="12"/>
  <c r="AB308" i="12" s="1"/>
  <c r="AC308" i="12" s="1"/>
  <c r="Z308" i="12"/>
  <c r="AK308" i="12" s="1"/>
  <c r="O147" i="12"/>
  <c r="P147" i="12"/>
  <c r="X147" i="12"/>
  <c r="Y147" i="12" s="1"/>
  <c r="Z147" i="12"/>
  <c r="AK147" i="12" s="1"/>
  <c r="O145" i="12"/>
  <c r="P145" i="12"/>
  <c r="X145" i="12"/>
  <c r="AD145" i="12" s="1"/>
  <c r="Z145" i="12"/>
  <c r="AA145" i="12" s="1"/>
  <c r="O180" i="12"/>
  <c r="P180" i="12"/>
  <c r="X180" i="12"/>
  <c r="AD180" i="12" s="1"/>
  <c r="AE180" i="12" s="1"/>
  <c r="Z180" i="12"/>
  <c r="AK180" i="12" s="1"/>
  <c r="O146" i="12"/>
  <c r="P146" i="12"/>
  <c r="X146" i="12"/>
  <c r="AD146" i="12" s="1"/>
  <c r="AE146" i="12" s="1"/>
  <c r="Z146" i="12"/>
  <c r="AJ146" i="12" s="1"/>
  <c r="O179" i="12"/>
  <c r="P179" i="12"/>
  <c r="X179" i="12"/>
  <c r="Y179" i="12" s="1"/>
  <c r="Z179" i="12"/>
  <c r="AK179" i="12" s="1"/>
  <c r="I30" i="12"/>
  <c r="O30" i="12"/>
  <c r="P30" i="12"/>
  <c r="X30" i="12"/>
  <c r="Y30" i="12" s="1"/>
  <c r="Z30" i="12"/>
  <c r="I8" i="12"/>
  <c r="O8" i="12"/>
  <c r="P8" i="12"/>
  <c r="X8" i="12"/>
  <c r="AD8" i="12" s="1"/>
  <c r="AE8" i="12" s="1"/>
  <c r="Z8" i="12"/>
  <c r="AA8" i="12" s="1"/>
  <c r="I14" i="12"/>
  <c r="O14" i="12"/>
  <c r="P14" i="12"/>
  <c r="X14" i="12"/>
  <c r="AF14" i="12" s="1"/>
  <c r="AG14" i="12" s="1"/>
  <c r="Z14" i="12"/>
  <c r="AJ14" i="12" s="1"/>
  <c r="I7" i="12"/>
  <c r="O7" i="12"/>
  <c r="P7" i="12"/>
  <c r="X7" i="12"/>
  <c r="AF7" i="12" s="1"/>
  <c r="AG7" i="12" s="1"/>
  <c r="Z7" i="12"/>
  <c r="AJ7" i="12" s="1"/>
  <c r="I10" i="12"/>
  <c r="O10" i="12"/>
  <c r="P10" i="12"/>
  <c r="X10" i="12"/>
  <c r="AD10" i="12" s="1"/>
  <c r="AE10" i="12" s="1"/>
  <c r="Z10" i="12"/>
  <c r="AA10" i="12" s="1"/>
  <c r="I11" i="12"/>
  <c r="O11" i="12"/>
  <c r="P11" i="12"/>
  <c r="X11" i="12"/>
  <c r="Z11" i="12"/>
  <c r="I9" i="12"/>
  <c r="O9" i="12"/>
  <c r="P9" i="12"/>
  <c r="X9" i="12"/>
  <c r="Z9" i="12"/>
  <c r="AA9" i="12" s="1"/>
  <c r="I12" i="12"/>
  <c r="O12" i="12"/>
  <c r="P12" i="12"/>
  <c r="X12" i="12"/>
  <c r="AD12" i="12" s="1"/>
  <c r="AE12" i="12" s="1"/>
  <c r="Z12" i="12"/>
  <c r="AJ12" i="12" s="1"/>
  <c r="I16" i="12"/>
  <c r="O16" i="12"/>
  <c r="P16" i="12"/>
  <c r="X16" i="12"/>
  <c r="Z16" i="12"/>
  <c r="I20" i="12"/>
  <c r="O20" i="12"/>
  <c r="P20" i="12"/>
  <c r="X20" i="12"/>
  <c r="AD20" i="12" s="1"/>
  <c r="AE20" i="12" s="1"/>
  <c r="Z20" i="12"/>
  <c r="AJ20" i="12" s="1"/>
  <c r="I19" i="12"/>
  <c r="O19" i="12"/>
  <c r="P19" i="12"/>
  <c r="X19" i="12"/>
  <c r="AB19" i="12" s="1"/>
  <c r="AC19" i="12" s="1"/>
  <c r="Z19" i="12"/>
  <c r="AK19" i="12" s="1"/>
  <c r="I15" i="12"/>
  <c r="O15" i="12"/>
  <c r="P15" i="12"/>
  <c r="X15" i="12"/>
  <c r="AD15" i="12" s="1"/>
  <c r="AE15" i="12" s="1"/>
  <c r="Z15" i="12"/>
  <c r="AJ15" i="12" s="1"/>
  <c r="I21" i="12"/>
  <c r="O21" i="12"/>
  <c r="P21" i="12"/>
  <c r="X21" i="12"/>
  <c r="AB21" i="12" s="1"/>
  <c r="AC21" i="12" s="1"/>
  <c r="Z21" i="12"/>
  <c r="AK21" i="12" s="1"/>
  <c r="I37" i="12"/>
  <c r="O37" i="12"/>
  <c r="P37" i="12"/>
  <c r="X37" i="12"/>
  <c r="AD37" i="12" s="1"/>
  <c r="AE37" i="12" s="1"/>
  <c r="Z37" i="12"/>
  <c r="AK37" i="12" s="1"/>
  <c r="O407" i="12"/>
  <c r="P407" i="12"/>
  <c r="X407" i="12"/>
  <c r="Z407" i="12"/>
  <c r="AA407" i="12" s="1"/>
  <c r="O413" i="12"/>
  <c r="P413" i="12"/>
  <c r="X413" i="12"/>
  <c r="AF413" i="12" s="1"/>
  <c r="AG413" i="12" s="1"/>
  <c r="Z413" i="12"/>
  <c r="AA413" i="12" s="1"/>
  <c r="O372" i="12"/>
  <c r="P372" i="12"/>
  <c r="X372" i="12"/>
  <c r="AF372" i="12" s="1"/>
  <c r="AG372" i="12" s="1"/>
  <c r="Z372" i="12"/>
  <c r="AA372" i="12" s="1"/>
  <c r="O371" i="12"/>
  <c r="P371" i="12"/>
  <c r="X371" i="12"/>
  <c r="AB371" i="12" s="1"/>
  <c r="AC371" i="12" s="1"/>
  <c r="Z371" i="12"/>
  <c r="O370" i="12"/>
  <c r="P370" i="12"/>
  <c r="X370" i="12"/>
  <c r="AD370" i="12" s="1"/>
  <c r="Z370" i="12"/>
  <c r="AJ370" i="12" s="1"/>
  <c r="O350" i="12"/>
  <c r="P350" i="12"/>
  <c r="X350" i="12"/>
  <c r="AF350" i="12" s="1"/>
  <c r="AG350" i="12" s="1"/>
  <c r="Z350" i="12"/>
  <c r="AJ350" i="12" s="1"/>
  <c r="O406" i="12"/>
  <c r="P406" i="12"/>
  <c r="X406" i="12"/>
  <c r="AD406" i="12" s="1"/>
  <c r="AE406" i="12" s="1"/>
  <c r="Z406" i="12"/>
  <c r="AK406" i="12" s="1"/>
  <c r="O411" i="12"/>
  <c r="P411" i="12"/>
  <c r="X411" i="12"/>
  <c r="Z411" i="12"/>
  <c r="O410" i="12"/>
  <c r="P410" i="12"/>
  <c r="X410" i="12"/>
  <c r="AD410" i="12" s="1"/>
  <c r="AE410" i="12" s="1"/>
  <c r="Z410" i="12"/>
  <c r="O405" i="12"/>
  <c r="P405" i="12"/>
  <c r="X405" i="12"/>
  <c r="AB405" i="12" s="1"/>
  <c r="AC405" i="12" s="1"/>
  <c r="Z405" i="12"/>
  <c r="AA405" i="12" s="1"/>
  <c r="O369" i="12"/>
  <c r="P369" i="12"/>
  <c r="X369" i="12"/>
  <c r="AD369" i="12" s="1"/>
  <c r="Z369" i="12"/>
  <c r="I381" i="12"/>
  <c r="O381" i="12"/>
  <c r="P381" i="12"/>
  <c r="X381" i="12"/>
  <c r="AD381" i="12" s="1"/>
  <c r="AE381" i="12" s="1"/>
  <c r="Z381" i="12"/>
  <c r="AA381" i="12" s="1"/>
  <c r="O404" i="12"/>
  <c r="P404" i="12"/>
  <c r="X404" i="12"/>
  <c r="Z404" i="12"/>
  <c r="AJ404" i="12" s="1"/>
  <c r="O368" i="12"/>
  <c r="P368" i="12"/>
  <c r="X368" i="12"/>
  <c r="AF368" i="12" s="1"/>
  <c r="AG368" i="12" s="1"/>
  <c r="Z368" i="12"/>
  <c r="AJ368" i="12" s="1"/>
  <c r="O403" i="12"/>
  <c r="P403" i="12"/>
  <c r="X403" i="12"/>
  <c r="AD403" i="12" s="1"/>
  <c r="Z403" i="12"/>
  <c r="AK403" i="12" s="1"/>
  <c r="O367" i="12"/>
  <c r="P367" i="12"/>
  <c r="X367" i="12"/>
  <c r="Y367" i="12" s="1"/>
  <c r="Z367" i="12"/>
  <c r="AA367" i="12" s="1"/>
  <c r="O366" i="12"/>
  <c r="P366" i="12"/>
  <c r="X366" i="12"/>
  <c r="AF366" i="12" s="1"/>
  <c r="AG366" i="12" s="1"/>
  <c r="Z366" i="12"/>
  <c r="I409" i="12"/>
  <c r="O409" i="12"/>
  <c r="P409" i="12"/>
  <c r="X409" i="12"/>
  <c r="Y409" i="12" s="1"/>
  <c r="Z409" i="12"/>
  <c r="AA409" i="12" s="1"/>
  <c r="I402" i="12"/>
  <c r="O402" i="12"/>
  <c r="P402" i="12"/>
  <c r="X402" i="12"/>
  <c r="Y402" i="12" s="1"/>
  <c r="Z402" i="12"/>
  <c r="AK402" i="12" s="1"/>
  <c r="I364" i="12"/>
  <c r="O364" i="12"/>
  <c r="P364" i="12"/>
  <c r="X364" i="12"/>
  <c r="Y364" i="12" s="1"/>
  <c r="Z364" i="12"/>
  <c r="AK364" i="12" s="1"/>
  <c r="I365" i="12"/>
  <c r="O365" i="12"/>
  <c r="P365" i="12"/>
  <c r="X365" i="12"/>
  <c r="Y365" i="12" s="1"/>
  <c r="Z365" i="12"/>
  <c r="AA365" i="12" s="1"/>
  <c r="I401" i="12"/>
  <c r="O401" i="12"/>
  <c r="P401" i="12"/>
  <c r="X401" i="12"/>
  <c r="Y401" i="12" s="1"/>
  <c r="Z401" i="12"/>
  <c r="AA401" i="12" s="1"/>
  <c r="O436" i="12"/>
  <c r="P436" i="12"/>
  <c r="X436" i="12"/>
  <c r="AF436" i="12" s="1"/>
  <c r="AG436" i="12" s="1"/>
  <c r="Z436" i="12"/>
  <c r="AJ436" i="12" s="1"/>
  <c r="O349" i="12"/>
  <c r="P349" i="12"/>
  <c r="X349" i="12"/>
  <c r="AD349" i="12" s="1"/>
  <c r="AE349" i="12" s="1"/>
  <c r="Z349" i="12"/>
  <c r="AA349" i="12" s="1"/>
  <c r="O425" i="12"/>
  <c r="P425" i="12"/>
  <c r="X425" i="12"/>
  <c r="AD425" i="12" s="1"/>
  <c r="AE425" i="12" s="1"/>
  <c r="Z425" i="12"/>
  <c r="AK425" i="12" s="1"/>
  <c r="O435" i="12"/>
  <c r="P435" i="12"/>
  <c r="X435" i="12"/>
  <c r="Y435" i="12" s="1"/>
  <c r="Z435" i="12"/>
  <c r="AK435" i="12" s="1"/>
  <c r="O343" i="12"/>
  <c r="P343" i="12"/>
  <c r="X343" i="12"/>
  <c r="Y343" i="12" s="1"/>
  <c r="Z343" i="12"/>
  <c r="AK343" i="12" s="1"/>
  <c r="O419" i="12"/>
  <c r="P419" i="12"/>
  <c r="X419" i="12"/>
  <c r="AB419" i="12" s="1"/>
  <c r="AC419" i="12" s="1"/>
  <c r="Z419" i="12"/>
  <c r="AK419" i="12" s="1"/>
  <c r="O446" i="12"/>
  <c r="P446" i="12"/>
  <c r="X446" i="12"/>
  <c r="AD446" i="12" s="1"/>
  <c r="AE446" i="12" s="1"/>
  <c r="Z446" i="12"/>
  <c r="O342" i="12"/>
  <c r="P342" i="12"/>
  <c r="X342" i="12"/>
  <c r="AD342" i="12" s="1"/>
  <c r="Z342" i="12"/>
  <c r="AJ342" i="12" s="1"/>
  <c r="O362" i="12"/>
  <c r="P362" i="12"/>
  <c r="X362" i="12"/>
  <c r="AF362" i="12" s="1"/>
  <c r="AG362" i="12" s="1"/>
  <c r="Z362" i="12"/>
  <c r="AJ362" i="12" s="1"/>
  <c r="O363" i="12"/>
  <c r="P363" i="12"/>
  <c r="X363" i="12"/>
  <c r="Y363" i="12" s="1"/>
  <c r="Z363" i="12"/>
  <c r="AK363" i="12" s="1"/>
  <c r="O429" i="12"/>
  <c r="P429" i="12"/>
  <c r="X429" i="12"/>
  <c r="AD429" i="12" s="1"/>
  <c r="AE429" i="12" s="1"/>
  <c r="Z429" i="12"/>
  <c r="AJ429" i="12" s="1"/>
  <c r="O440" i="12"/>
  <c r="P440" i="12"/>
  <c r="X440" i="12"/>
  <c r="Y440" i="12" s="1"/>
  <c r="Z440" i="12"/>
  <c r="AK440" i="12" s="1"/>
  <c r="O451" i="12"/>
  <c r="P451" i="12"/>
  <c r="X451" i="12"/>
  <c r="AF451" i="12" s="1"/>
  <c r="AG451" i="12" s="1"/>
  <c r="Z451" i="12"/>
  <c r="AJ451" i="12" s="1"/>
  <c r="O423" i="12"/>
  <c r="P423" i="12"/>
  <c r="X423" i="12"/>
  <c r="Y423" i="12" s="1"/>
  <c r="Z423" i="12"/>
  <c r="AA423" i="12" s="1"/>
  <c r="O424" i="12"/>
  <c r="P424" i="12"/>
  <c r="X424" i="12"/>
  <c r="Y424" i="12" s="1"/>
  <c r="Z424" i="12"/>
  <c r="AK424" i="12" s="1"/>
  <c r="O428" i="12"/>
  <c r="P428" i="12"/>
  <c r="X428" i="12"/>
  <c r="AB428" i="12" s="1"/>
  <c r="AC428" i="12" s="1"/>
  <c r="Z428" i="12"/>
  <c r="AA428" i="12" s="1"/>
  <c r="O434" i="12"/>
  <c r="P434" i="12"/>
  <c r="X434" i="12"/>
  <c r="AB434" i="12" s="1"/>
  <c r="AC434" i="12" s="1"/>
  <c r="Z434" i="12"/>
  <c r="O439" i="12"/>
  <c r="P439" i="12"/>
  <c r="X439" i="12"/>
  <c r="AF439" i="12" s="1"/>
  <c r="AG439" i="12" s="1"/>
  <c r="Z439" i="12"/>
  <c r="AA439" i="12" s="1"/>
  <c r="O445" i="12"/>
  <c r="P445" i="12"/>
  <c r="X445" i="12"/>
  <c r="AD445" i="12" s="1"/>
  <c r="AE445" i="12" s="1"/>
  <c r="Z445" i="12"/>
  <c r="O449" i="12"/>
  <c r="P449" i="12"/>
  <c r="X449" i="12"/>
  <c r="AD449" i="12" s="1"/>
  <c r="AE449" i="12" s="1"/>
  <c r="Z449" i="12"/>
  <c r="AA449" i="12" s="1"/>
  <c r="O450" i="12"/>
  <c r="P450" i="12"/>
  <c r="X450" i="12"/>
  <c r="AF450" i="12" s="1"/>
  <c r="AG450" i="12" s="1"/>
  <c r="Z450" i="12"/>
  <c r="AA450" i="12" s="1"/>
  <c r="O348" i="12"/>
  <c r="P348" i="12"/>
  <c r="X348" i="12"/>
  <c r="AD348" i="12" s="1"/>
  <c r="AE348" i="12" s="1"/>
  <c r="Z348" i="12"/>
  <c r="O422" i="12"/>
  <c r="P422" i="12"/>
  <c r="X422" i="12"/>
  <c r="AF422" i="12" s="1"/>
  <c r="AG422" i="12" s="1"/>
  <c r="Z422" i="12"/>
  <c r="O433" i="12"/>
  <c r="P433" i="12"/>
  <c r="X433" i="12"/>
  <c r="Y433" i="12" s="1"/>
  <c r="Z433" i="12"/>
  <c r="AA433" i="12" s="1"/>
  <c r="O444" i="12"/>
  <c r="P444" i="12"/>
  <c r="X444" i="12"/>
  <c r="Y444" i="12" s="1"/>
  <c r="Z444" i="12"/>
  <c r="AJ444" i="12" s="1"/>
  <c r="O361" i="12"/>
  <c r="P361" i="12"/>
  <c r="X361" i="12"/>
  <c r="AB361" i="12" s="1"/>
  <c r="AC361" i="12" s="1"/>
  <c r="Z361" i="12"/>
  <c r="O346" i="12"/>
  <c r="P346" i="12"/>
  <c r="X346" i="12"/>
  <c r="Z346" i="12"/>
  <c r="O345" i="12"/>
  <c r="P345" i="12"/>
  <c r="X345" i="12"/>
  <c r="AB345" i="12" s="1"/>
  <c r="AC345" i="12" s="1"/>
  <c r="Z345" i="12"/>
  <c r="AK345" i="12" s="1"/>
  <c r="O347" i="12"/>
  <c r="P347" i="12"/>
  <c r="X347" i="12"/>
  <c r="Z347" i="12"/>
  <c r="AJ347" i="12" s="1"/>
  <c r="O421" i="12"/>
  <c r="P421" i="12"/>
  <c r="X421" i="12"/>
  <c r="AD421" i="12" s="1"/>
  <c r="AE421" i="12" s="1"/>
  <c r="Z421" i="12"/>
  <c r="AK421" i="12" s="1"/>
  <c r="O427" i="12"/>
  <c r="P427" i="12"/>
  <c r="X427" i="12"/>
  <c r="Z427" i="12"/>
  <c r="O431" i="12"/>
  <c r="P431" i="12"/>
  <c r="X431" i="12"/>
  <c r="Y431" i="12" s="1"/>
  <c r="Z431" i="12"/>
  <c r="AA431" i="12" s="1"/>
  <c r="O432" i="12"/>
  <c r="P432" i="12"/>
  <c r="X432" i="12"/>
  <c r="Y432" i="12" s="1"/>
  <c r="Z432" i="12"/>
  <c r="AA432" i="12" s="1"/>
  <c r="O438" i="12"/>
  <c r="P438" i="12"/>
  <c r="X438" i="12"/>
  <c r="Z438" i="12"/>
  <c r="AJ438" i="12" s="1"/>
  <c r="O442" i="12"/>
  <c r="P442" i="12"/>
  <c r="X442" i="12"/>
  <c r="AF442" i="12" s="1"/>
  <c r="AG442" i="12" s="1"/>
  <c r="Z442" i="12"/>
  <c r="O443" i="12"/>
  <c r="P443" i="12"/>
  <c r="X443" i="12"/>
  <c r="AB443" i="12" s="1"/>
  <c r="AC443" i="12" s="1"/>
  <c r="Z443" i="12"/>
  <c r="AA443" i="12" s="1"/>
  <c r="O448" i="12"/>
  <c r="P448" i="12"/>
  <c r="X448" i="12"/>
  <c r="Y448" i="12" s="1"/>
  <c r="Z448" i="12"/>
  <c r="AK448" i="12" s="1"/>
  <c r="I340" i="12"/>
  <c r="O340" i="12"/>
  <c r="P340" i="12"/>
  <c r="X340" i="12"/>
  <c r="Z340" i="12"/>
  <c r="AA340" i="12" s="1"/>
  <c r="I341" i="12"/>
  <c r="O341" i="12"/>
  <c r="P341" i="12"/>
  <c r="X341" i="12"/>
  <c r="Y341" i="12" s="1"/>
  <c r="Z341" i="12"/>
  <c r="I344" i="12"/>
  <c r="O344" i="12"/>
  <c r="P344" i="12"/>
  <c r="X344" i="12"/>
  <c r="AD344" i="12" s="1"/>
  <c r="Z344" i="12"/>
  <c r="AA344" i="12" s="1"/>
  <c r="I420" i="12"/>
  <c r="O420" i="12"/>
  <c r="P420" i="12"/>
  <c r="X420" i="12"/>
  <c r="Y420" i="12" s="1"/>
  <c r="Z420" i="12"/>
  <c r="AA420" i="12" s="1"/>
  <c r="I426" i="12"/>
  <c r="O426" i="12"/>
  <c r="P426" i="12"/>
  <c r="X426" i="12"/>
  <c r="AD426" i="12" s="1"/>
  <c r="Z426" i="12"/>
  <c r="AA426" i="12" s="1"/>
  <c r="I430" i="12"/>
  <c r="O430" i="12"/>
  <c r="P430" i="12"/>
  <c r="X430" i="12"/>
  <c r="AF430" i="12" s="1"/>
  <c r="AG430" i="12" s="1"/>
  <c r="Z430" i="12"/>
  <c r="AK430" i="12" s="1"/>
  <c r="I437" i="12"/>
  <c r="O437" i="12"/>
  <c r="P437" i="12"/>
  <c r="X437" i="12"/>
  <c r="Y437" i="12" s="1"/>
  <c r="Z437" i="12"/>
  <c r="AA437" i="12" s="1"/>
  <c r="I441" i="12"/>
  <c r="O441" i="12"/>
  <c r="P441" i="12"/>
  <c r="X441" i="12"/>
  <c r="Y441" i="12" s="1"/>
  <c r="Z441" i="12"/>
  <c r="AJ441" i="12" s="1"/>
  <c r="I447" i="12"/>
  <c r="O447" i="12"/>
  <c r="P447" i="12"/>
  <c r="X447" i="12"/>
  <c r="Y447" i="12" s="1"/>
  <c r="Z447" i="12"/>
  <c r="AK447" i="12" s="1"/>
  <c r="I360" i="12"/>
  <c r="O360" i="12"/>
  <c r="P360" i="12"/>
  <c r="X360" i="12"/>
  <c r="AF360" i="12" s="1"/>
  <c r="AG360" i="12" s="1"/>
  <c r="Z360" i="12"/>
  <c r="AJ360" i="12" s="1"/>
  <c r="O544" i="12"/>
  <c r="P544" i="12"/>
  <c r="X544" i="12"/>
  <c r="Y544" i="12" s="1"/>
  <c r="Z544" i="12"/>
  <c r="AA544" i="12" s="1"/>
  <c r="O461" i="12"/>
  <c r="P461" i="12"/>
  <c r="X461" i="12"/>
  <c r="Y461" i="12" s="1"/>
  <c r="Z461" i="12"/>
  <c r="AK461" i="12" s="1"/>
  <c r="O533" i="12"/>
  <c r="P533" i="12"/>
  <c r="X533" i="12"/>
  <c r="AB533" i="12" s="1"/>
  <c r="AC533" i="12" s="1"/>
  <c r="Z533" i="12"/>
  <c r="O543" i="12"/>
  <c r="P543" i="12"/>
  <c r="X543" i="12"/>
  <c r="AB543" i="12" s="1"/>
  <c r="AC543" i="12" s="1"/>
  <c r="Z543" i="12"/>
  <c r="AA543" i="12" s="1"/>
  <c r="O455" i="12"/>
  <c r="P455" i="12"/>
  <c r="X455" i="12"/>
  <c r="AD455" i="12" s="1"/>
  <c r="AE455" i="12" s="1"/>
  <c r="Z455" i="12"/>
  <c r="AA455" i="12" s="1"/>
  <c r="O527" i="12"/>
  <c r="P527" i="12"/>
  <c r="X527" i="12"/>
  <c r="Y527" i="12" s="1"/>
  <c r="Z527" i="12"/>
  <c r="AA527" i="12" s="1"/>
  <c r="O554" i="12"/>
  <c r="P554" i="12"/>
  <c r="X554" i="12"/>
  <c r="AB554" i="12" s="1"/>
  <c r="AC554" i="12" s="1"/>
  <c r="Z554" i="12"/>
  <c r="O454" i="12"/>
  <c r="P454" i="12"/>
  <c r="X454" i="12"/>
  <c r="Z454" i="12"/>
  <c r="AK454" i="12" s="1"/>
  <c r="O464" i="12"/>
  <c r="P464" i="12"/>
  <c r="X464" i="12"/>
  <c r="AD464" i="12" s="1"/>
  <c r="Z464" i="12"/>
  <c r="AA464" i="12" s="1"/>
  <c r="O465" i="12"/>
  <c r="P465" i="12"/>
  <c r="X465" i="12"/>
  <c r="AB465" i="12" s="1"/>
  <c r="AC465" i="12" s="1"/>
  <c r="Z465" i="12"/>
  <c r="AK465" i="12" s="1"/>
  <c r="O537" i="12"/>
  <c r="P537" i="12"/>
  <c r="X537" i="12"/>
  <c r="AB537" i="12" s="1"/>
  <c r="AC537" i="12" s="1"/>
  <c r="Z537" i="12"/>
  <c r="AK537" i="12" s="1"/>
  <c r="O548" i="12"/>
  <c r="P548" i="12"/>
  <c r="X548" i="12"/>
  <c r="Y548" i="12" s="1"/>
  <c r="Z548" i="12"/>
  <c r="AK548" i="12" s="1"/>
  <c r="O559" i="12"/>
  <c r="P559" i="12"/>
  <c r="X559" i="12"/>
  <c r="AD559" i="12" s="1"/>
  <c r="AE559" i="12" s="1"/>
  <c r="Z559" i="12"/>
  <c r="AA559" i="12" s="1"/>
  <c r="O531" i="12"/>
  <c r="P531" i="12"/>
  <c r="X531" i="12"/>
  <c r="AB531" i="12" s="1"/>
  <c r="AC531" i="12" s="1"/>
  <c r="Z531" i="12"/>
  <c r="AA531" i="12" s="1"/>
  <c r="O532" i="12"/>
  <c r="P532" i="12"/>
  <c r="X532" i="12"/>
  <c r="AF532" i="12" s="1"/>
  <c r="AG532" i="12" s="1"/>
  <c r="Z532" i="12"/>
  <c r="AJ532" i="12" s="1"/>
  <c r="O536" i="12"/>
  <c r="P536" i="12"/>
  <c r="X536" i="12"/>
  <c r="Z536" i="12"/>
  <c r="AK536" i="12" s="1"/>
  <c r="O542" i="12"/>
  <c r="P542" i="12"/>
  <c r="X542" i="12"/>
  <c r="Y542" i="12" s="1"/>
  <c r="Z542" i="12"/>
  <c r="AK542" i="12" s="1"/>
  <c r="O547" i="12"/>
  <c r="P547" i="12"/>
  <c r="X547" i="12"/>
  <c r="Y547" i="12" s="1"/>
  <c r="Z547" i="12"/>
  <c r="AK547" i="12" s="1"/>
  <c r="O553" i="12"/>
  <c r="P553" i="12"/>
  <c r="X553" i="12"/>
  <c r="AF553" i="12" s="1"/>
  <c r="AG553" i="12" s="1"/>
  <c r="Z553" i="12"/>
  <c r="AJ553" i="12" s="1"/>
  <c r="O557" i="12"/>
  <c r="P557" i="12"/>
  <c r="X557" i="12"/>
  <c r="AF557" i="12" s="1"/>
  <c r="AG557" i="12" s="1"/>
  <c r="Z557" i="12"/>
  <c r="AJ557" i="12" s="1"/>
  <c r="O558" i="12"/>
  <c r="P558" i="12"/>
  <c r="X558" i="12"/>
  <c r="Y558" i="12" s="1"/>
  <c r="Z558" i="12"/>
  <c r="AJ558" i="12" s="1"/>
  <c r="O460" i="12"/>
  <c r="P460" i="12"/>
  <c r="X460" i="12"/>
  <c r="AD460" i="12" s="1"/>
  <c r="Z460" i="12"/>
  <c r="AK460" i="12" s="1"/>
  <c r="O530" i="12"/>
  <c r="P530" i="12"/>
  <c r="X530" i="12"/>
  <c r="AB530" i="12" s="1"/>
  <c r="AC530" i="12" s="1"/>
  <c r="Z530" i="12"/>
  <c r="AJ530" i="12" s="1"/>
  <c r="O541" i="12"/>
  <c r="P541" i="12"/>
  <c r="X541" i="12"/>
  <c r="AB541" i="12" s="1"/>
  <c r="AC541" i="12" s="1"/>
  <c r="Z541" i="12"/>
  <c r="AA541" i="12" s="1"/>
  <c r="O552" i="12"/>
  <c r="P552" i="12"/>
  <c r="X552" i="12"/>
  <c r="Y552" i="12" s="1"/>
  <c r="Z552" i="12"/>
  <c r="O463" i="12"/>
  <c r="P463" i="12"/>
  <c r="X463" i="12"/>
  <c r="Y463" i="12" s="1"/>
  <c r="Z463" i="12"/>
  <c r="O458" i="12"/>
  <c r="P458" i="12"/>
  <c r="X458" i="12"/>
  <c r="AD458" i="12" s="1"/>
  <c r="Z458" i="12"/>
  <c r="AJ458" i="12" s="1"/>
  <c r="O457" i="12"/>
  <c r="P457" i="12"/>
  <c r="X457" i="12"/>
  <c r="AD457" i="12" s="1"/>
  <c r="Z457" i="12"/>
  <c r="O459" i="12"/>
  <c r="P459" i="12"/>
  <c r="X459" i="12"/>
  <c r="Y459" i="12" s="1"/>
  <c r="Z459" i="12"/>
  <c r="AK459" i="12" s="1"/>
  <c r="O529" i="12"/>
  <c r="P529" i="12"/>
  <c r="X529" i="12"/>
  <c r="Y529" i="12" s="1"/>
  <c r="Z529" i="12"/>
  <c r="AA529" i="12" s="1"/>
  <c r="O535" i="12"/>
  <c r="P535" i="12"/>
  <c r="X535" i="12"/>
  <c r="AB535" i="12" s="1"/>
  <c r="AC535" i="12" s="1"/>
  <c r="Z535" i="12"/>
  <c r="O539" i="12"/>
  <c r="P539" i="12"/>
  <c r="X539" i="12"/>
  <c r="AD539" i="12" s="1"/>
  <c r="AE539" i="12" s="1"/>
  <c r="Z539" i="12"/>
  <c r="AA539" i="12" s="1"/>
  <c r="O540" i="12"/>
  <c r="P540" i="12"/>
  <c r="X540" i="12"/>
  <c r="Y540" i="12" s="1"/>
  <c r="Z540" i="12"/>
  <c r="AJ540" i="12" s="1"/>
  <c r="O546" i="12"/>
  <c r="P546" i="12"/>
  <c r="X546" i="12"/>
  <c r="Y546" i="12" s="1"/>
  <c r="Z546" i="12"/>
  <c r="O550" i="12"/>
  <c r="P550" i="12"/>
  <c r="X550" i="12"/>
  <c r="Y550" i="12" s="1"/>
  <c r="Z550" i="12"/>
  <c r="AJ550" i="12" s="1"/>
  <c r="O551" i="12"/>
  <c r="P551" i="12"/>
  <c r="X551" i="12"/>
  <c r="Z551" i="12"/>
  <c r="AA551" i="12" s="1"/>
  <c r="O556" i="12"/>
  <c r="P556" i="12"/>
  <c r="X556" i="12"/>
  <c r="Y556" i="12" s="1"/>
  <c r="Z556" i="12"/>
  <c r="AK556" i="12" s="1"/>
  <c r="I452" i="12"/>
  <c r="O452" i="12"/>
  <c r="P452" i="12"/>
  <c r="X452" i="12"/>
  <c r="AF452" i="12" s="1"/>
  <c r="AG452" i="12" s="1"/>
  <c r="Z452" i="12"/>
  <c r="AA452" i="12" s="1"/>
  <c r="I453" i="12"/>
  <c r="O453" i="12"/>
  <c r="P453" i="12"/>
  <c r="X453" i="12"/>
  <c r="Y453" i="12" s="1"/>
  <c r="Z453" i="12"/>
  <c r="AK453" i="12" s="1"/>
  <c r="I456" i="12"/>
  <c r="O456" i="12"/>
  <c r="P456" i="12"/>
  <c r="X456" i="12"/>
  <c r="AD456" i="12" s="1"/>
  <c r="AE456" i="12" s="1"/>
  <c r="Z456" i="12"/>
  <c r="I528" i="12"/>
  <c r="O528" i="12"/>
  <c r="P528" i="12"/>
  <c r="X528" i="12"/>
  <c r="AF528" i="12" s="1"/>
  <c r="AG528" i="12" s="1"/>
  <c r="Z528" i="12"/>
  <c r="AA528" i="12" s="1"/>
  <c r="I534" i="12"/>
  <c r="O534" i="12"/>
  <c r="P534" i="12"/>
  <c r="X534" i="12"/>
  <c r="AB534" i="12" s="1"/>
  <c r="AC534" i="12" s="1"/>
  <c r="Z534" i="12"/>
  <c r="AK534" i="12" s="1"/>
  <c r="I538" i="12"/>
  <c r="O538" i="12"/>
  <c r="P538" i="12"/>
  <c r="X538" i="12"/>
  <c r="Z538" i="12"/>
  <c r="AK538" i="12" s="1"/>
  <c r="I545" i="12"/>
  <c r="O545" i="12"/>
  <c r="P545" i="12"/>
  <c r="X545" i="12"/>
  <c r="AD545" i="12" s="1"/>
  <c r="Z545" i="12"/>
  <c r="AK545" i="12" s="1"/>
  <c r="I549" i="12"/>
  <c r="O549" i="12"/>
  <c r="P549" i="12"/>
  <c r="X549" i="12"/>
  <c r="AD549" i="12" s="1"/>
  <c r="AE549" i="12" s="1"/>
  <c r="Z549" i="12"/>
  <c r="AA549" i="12" s="1"/>
  <c r="I555" i="12"/>
  <c r="O555" i="12"/>
  <c r="P555" i="12"/>
  <c r="X555" i="12"/>
  <c r="AD555" i="12" s="1"/>
  <c r="AE555" i="12" s="1"/>
  <c r="Z555" i="12"/>
  <c r="AA555" i="12" s="1"/>
  <c r="I462" i="12"/>
  <c r="O462" i="12"/>
  <c r="P462" i="12"/>
  <c r="X462" i="12"/>
  <c r="AD462" i="12" s="1"/>
  <c r="AE462" i="12" s="1"/>
  <c r="Z462" i="12"/>
  <c r="I45" i="12"/>
  <c r="O45" i="12"/>
  <c r="P45" i="12"/>
  <c r="X45" i="12"/>
  <c r="AB45" i="12" s="1"/>
  <c r="AC45" i="12" s="1"/>
  <c r="Z45" i="12"/>
  <c r="AK45" i="12" s="1"/>
  <c r="C35" i="22"/>
  <c r="H38" i="22" s="1"/>
  <c r="I27" i="22"/>
  <c r="C28" i="22"/>
  <c r="AJ518" i="12"/>
  <c r="H20" i="18"/>
  <c r="AU2" i="22"/>
  <c r="AT10" i="22"/>
  <c r="AS10" i="22"/>
  <c r="AT22" i="22"/>
  <c r="AS22" i="22"/>
  <c r="BL2" i="22"/>
  <c r="BB2" i="22"/>
  <c r="BJ2" i="22"/>
  <c r="BI2" i="22"/>
  <c r="BH2" i="22"/>
  <c r="BD2" i="22"/>
  <c r="BE2" i="22"/>
  <c r="AX2" i="22"/>
  <c r="BC2" i="22"/>
  <c r="AY2" i="22"/>
  <c r="AZ2" i="22"/>
  <c r="BG2" i="22"/>
  <c r="AW2" i="22"/>
  <c r="BA2" i="22"/>
  <c r="BF2" i="22"/>
  <c r="BK2" i="22"/>
  <c r="F68" i="13"/>
  <c r="F69" i="13"/>
  <c r="F70" i="13"/>
  <c r="F71" i="13"/>
  <c r="F72" i="13"/>
  <c r="F73" i="13"/>
  <c r="F74" i="13"/>
  <c r="F75" i="13"/>
  <c r="F76" i="13"/>
  <c r="F77" i="13"/>
  <c r="F78" i="13"/>
  <c r="F79" i="13"/>
  <c r="F1" i="12"/>
  <c r="C8" i="18"/>
  <c r="C10" i="18"/>
  <c r="F15" i="18" s="1"/>
  <c r="G5" i="18"/>
  <c r="G6" i="18"/>
  <c r="G7" i="18"/>
  <c r="G8" i="18" s="1"/>
  <c r="G10" i="18" s="1"/>
  <c r="G4" i="18"/>
  <c r="I103" i="12"/>
  <c r="I149" i="12"/>
  <c r="I51" i="12"/>
  <c r="I46" i="12"/>
  <c r="I47" i="12"/>
  <c r="I181" i="12"/>
  <c r="I148" i="12"/>
  <c r="I102" i="12"/>
  <c r="I101" i="12"/>
  <c r="I41" i="12"/>
  <c r="I66" i="12"/>
  <c r="I62" i="12"/>
  <c r="I56" i="12"/>
  <c r="I88" i="12"/>
  <c r="I49" i="12"/>
  <c r="I58" i="12"/>
  <c r="I82" i="12"/>
  <c r="I43" i="12"/>
  <c r="I64" i="12"/>
  <c r="I84" i="12"/>
  <c r="I78" i="12"/>
  <c r="I67" i="12"/>
  <c r="I60" i="12"/>
  <c r="I63" i="12"/>
  <c r="I57" i="12"/>
  <c r="I50" i="12"/>
  <c r="I61" i="12"/>
  <c r="I83" i="12"/>
  <c r="I42" i="12"/>
  <c r="I76" i="12"/>
  <c r="I65" i="12"/>
  <c r="I87" i="12"/>
  <c r="I44" i="12"/>
  <c r="I79" i="12"/>
  <c r="I68" i="12"/>
  <c r="I59" i="12"/>
  <c r="I85" i="12"/>
  <c r="I186" i="12"/>
  <c r="I312" i="12"/>
  <c r="I321" i="12"/>
  <c r="F188" i="13"/>
  <c r="F318" i="13"/>
  <c r="F8" i="13"/>
  <c r="F10" i="13"/>
  <c r="F317" i="13"/>
  <c r="F190" i="13"/>
  <c r="F189" i="13"/>
  <c r="F319" i="13"/>
  <c r="F9" i="13"/>
  <c r="I359" i="12"/>
  <c r="I135" i="12"/>
  <c r="I470" i="12"/>
  <c r="I471" i="12"/>
  <c r="I138" i="12"/>
  <c r="I299" i="12"/>
  <c r="I174" i="12"/>
  <c r="I304" i="12"/>
  <c r="I303" i="12"/>
  <c r="I318" i="12"/>
  <c r="I330" i="12"/>
  <c r="I327" i="12"/>
  <c r="I491" i="12"/>
  <c r="I110" i="12"/>
  <c r="I109" i="12"/>
  <c r="I379" i="12"/>
  <c r="I525" i="12"/>
  <c r="I416" i="12"/>
  <c r="I505" i="12"/>
  <c r="I309" i="12"/>
  <c r="I382" i="12"/>
  <c r="I372" i="12"/>
  <c r="I425" i="12"/>
  <c r="I446" i="12"/>
  <c r="I439" i="12"/>
  <c r="I348" i="12"/>
  <c r="I444" i="12"/>
  <c r="I345" i="12"/>
  <c r="I455" i="12"/>
  <c r="I454" i="12"/>
  <c r="I548" i="12"/>
  <c r="I557" i="12"/>
  <c r="I530" i="12"/>
  <c r="I458" i="12"/>
  <c r="I551" i="12"/>
  <c r="I543" i="12"/>
  <c r="I532" i="12"/>
  <c r="I535" i="12"/>
  <c r="I353" i="12"/>
  <c r="I95" i="12"/>
  <c r="I474" i="12"/>
  <c r="I399" i="12"/>
  <c r="I288" i="12"/>
  <c r="I128" i="12"/>
  <c r="I127" i="12"/>
  <c r="I125" i="12"/>
  <c r="I124" i="12"/>
  <c r="I126" i="12"/>
  <c r="I143" i="12"/>
  <c r="I305" i="12"/>
  <c r="I302" i="12"/>
  <c r="I317" i="12"/>
  <c r="I329" i="12"/>
  <c r="I339" i="12"/>
  <c r="I524" i="12"/>
  <c r="I487" i="12"/>
  <c r="I493" i="12"/>
  <c r="I503" i="12"/>
  <c r="I390" i="12"/>
  <c r="I506" i="12"/>
  <c r="I323" i="12"/>
  <c r="I354" i="12"/>
  <c r="I510" i="12"/>
  <c r="I385" i="12"/>
  <c r="I515" i="12"/>
  <c r="I496" i="12"/>
  <c r="I156" i="12"/>
  <c r="I311" i="12"/>
  <c r="I147" i="12"/>
  <c r="I179" i="12"/>
  <c r="I413" i="12"/>
  <c r="I350" i="12"/>
  <c r="I410" i="12"/>
  <c r="I363" i="12"/>
  <c r="I428" i="12"/>
  <c r="I434" i="12"/>
  <c r="I405" i="12"/>
  <c r="I464" i="12"/>
  <c r="I542" i="12"/>
  <c r="I539" i="12"/>
  <c r="I476" i="12"/>
  <c r="I473" i="12"/>
  <c r="I136" i="12"/>
  <c r="I400" i="12"/>
  <c r="I397" i="12"/>
  <c r="I325" i="12"/>
  <c r="I290" i="12"/>
  <c r="I98" i="12"/>
  <c r="I142" i="12"/>
  <c r="I509" i="12"/>
  <c r="I526" i="12"/>
  <c r="I497" i="12"/>
  <c r="I357" i="12"/>
  <c r="I484" i="12"/>
  <c r="I482" i="12"/>
  <c r="I389" i="12"/>
  <c r="I507" i="12"/>
  <c r="I355" i="12"/>
  <c r="I502" i="12"/>
  <c r="I479" i="12"/>
  <c r="I334" i="12"/>
  <c r="I414" i="12"/>
  <c r="I513" i="12"/>
  <c r="I412" i="12"/>
  <c r="I296" i="12"/>
  <c r="I332" i="12"/>
  <c r="I151" i="12"/>
  <c r="I106" i="12"/>
  <c r="I129" i="12"/>
  <c r="I403" i="12"/>
  <c r="I450" i="12"/>
  <c r="I422" i="12"/>
  <c r="I438" i="12"/>
  <c r="I442" i="12"/>
  <c r="I448" i="12"/>
  <c r="I533" i="12"/>
  <c r="I554" i="12"/>
  <c r="I537" i="12"/>
  <c r="I553" i="12"/>
  <c r="I463" i="12"/>
  <c r="I529" i="12"/>
  <c r="I550" i="12"/>
  <c r="I523" i="12"/>
  <c r="I145" i="12"/>
  <c r="I367" i="12"/>
  <c r="I536" i="12"/>
  <c r="I540" i="12"/>
  <c r="I120" i="12"/>
  <c r="I298" i="12"/>
  <c r="I172" i="12"/>
  <c r="I294" i="12"/>
  <c r="I306" i="12"/>
  <c r="I331" i="12"/>
  <c r="I398" i="12"/>
  <c r="I393" i="12"/>
  <c r="I394" i="12"/>
  <c r="I521" i="12"/>
  <c r="I356" i="12"/>
  <c r="I490" i="12"/>
  <c r="I500" i="12"/>
  <c r="I388" i="12"/>
  <c r="I483" i="12"/>
  <c r="I108" i="12"/>
  <c r="I498" i="12"/>
  <c r="I157" i="12"/>
  <c r="I494" i="12"/>
  <c r="I386" i="12"/>
  <c r="I495" i="12"/>
  <c r="I297" i="12"/>
  <c r="I182" i="12"/>
  <c r="I375" i="12"/>
  <c r="I376" i="12"/>
  <c r="I155" i="12"/>
  <c r="I373" i="12"/>
  <c r="I310" i="12"/>
  <c r="I104" i="12"/>
  <c r="I411" i="12"/>
  <c r="I404" i="12"/>
  <c r="I436" i="12"/>
  <c r="I349" i="12"/>
  <c r="I419" i="12"/>
  <c r="I362" i="12"/>
  <c r="I424" i="12"/>
  <c r="I449" i="12"/>
  <c r="I433" i="12"/>
  <c r="I531" i="12"/>
  <c r="I460" i="12"/>
  <c r="I343" i="12"/>
  <c r="I451" i="12"/>
  <c r="I421" i="12"/>
  <c r="I427" i="12"/>
  <c r="I432" i="12"/>
  <c r="I443" i="12"/>
  <c r="I461" i="12"/>
  <c r="I465" i="12"/>
  <c r="I519" i="12"/>
  <c r="I544" i="12"/>
  <c r="I541" i="12"/>
  <c r="I457" i="12"/>
  <c r="I94" i="12"/>
  <c r="I140" i="12"/>
  <c r="I469" i="12"/>
  <c r="I139" i="12"/>
  <c r="I137" i="12"/>
  <c r="I170" i="12"/>
  <c r="I168" i="12"/>
  <c r="I314" i="12"/>
  <c r="I291" i="12"/>
  <c r="I99" i="12"/>
  <c r="I293" i="12"/>
  <c r="I338" i="12"/>
  <c r="I504" i="12"/>
  <c r="I392" i="12"/>
  <c r="I107" i="12"/>
  <c r="I417" i="12"/>
  <c r="I322" i="12"/>
  <c r="I185" i="12"/>
  <c r="I320" i="12"/>
  <c r="I508" i="12"/>
  <c r="I374" i="12"/>
  <c r="I351" i="12"/>
  <c r="I308" i="12"/>
  <c r="I146" i="12"/>
  <c r="I371" i="12"/>
  <c r="I370" i="12"/>
  <c r="I369" i="12"/>
  <c r="I368" i="12"/>
  <c r="I161" i="12"/>
  <c r="I121" i="12"/>
  <c r="I119" i="12"/>
  <c r="I475" i="12"/>
  <c r="I466" i="12"/>
  <c r="I300" i="12"/>
  <c r="I122" i="12"/>
  <c r="I173" i="12"/>
  <c r="I358" i="12"/>
  <c r="I520" i="12"/>
  <c r="I187" i="12"/>
  <c r="I522" i="12"/>
  <c r="I333" i="12"/>
  <c r="I415" i="12"/>
  <c r="I408" i="12"/>
  <c r="I319" i="12"/>
  <c r="I184" i="12"/>
  <c r="I159" i="12"/>
  <c r="I105" i="12"/>
  <c r="I180" i="12"/>
  <c r="I407" i="12"/>
  <c r="I440" i="12"/>
  <c r="I423" i="12"/>
  <c r="I445" i="12"/>
  <c r="I347" i="12"/>
  <c r="I431" i="12"/>
  <c r="I527" i="12"/>
  <c r="I547" i="12"/>
  <c r="I552" i="12"/>
  <c r="I459" i="12"/>
  <c r="I546" i="12"/>
  <c r="I429" i="12"/>
  <c r="I361" i="12"/>
  <c r="I559" i="12"/>
  <c r="I472" i="12"/>
  <c r="I418" i="12"/>
  <c r="I167" i="12"/>
  <c r="I144" i="12"/>
  <c r="I316" i="12"/>
  <c r="I395" i="12"/>
  <c r="I499" i="12"/>
  <c r="I380" i="12"/>
  <c r="I130" i="12"/>
  <c r="I352" i="12"/>
  <c r="I486" i="12"/>
  <c r="I512" i="12"/>
  <c r="I480" i="12"/>
  <c r="I396" i="12"/>
  <c r="I477" i="12"/>
  <c r="I169" i="12"/>
  <c r="I289" i="12"/>
  <c r="I295" i="12"/>
  <c r="I328" i="12"/>
  <c r="I337" i="12"/>
  <c r="I336" i="12"/>
  <c r="I516" i="12"/>
  <c r="I391" i="12"/>
  <c r="I387" i="12"/>
  <c r="I158" i="12"/>
  <c r="I131" i="12"/>
  <c r="I150" i="12"/>
  <c r="I378" i="12"/>
  <c r="I485" i="12"/>
  <c r="I489" i="12"/>
  <c r="I383" i="12"/>
  <c r="I406" i="12"/>
  <c r="I366" i="12"/>
  <c r="I435" i="12"/>
  <c r="I342" i="12"/>
  <c r="I346" i="12"/>
  <c r="I558" i="12"/>
  <c r="I556" i="12"/>
  <c r="I468" i="12"/>
  <c r="I467" i="12"/>
  <c r="I176" i="12"/>
  <c r="I175" i="12"/>
  <c r="I307" i="12"/>
  <c r="I501" i="12"/>
  <c r="I481" i="12"/>
  <c r="I514" i="12"/>
  <c r="I188" i="12"/>
  <c r="I377" i="12"/>
  <c r="I324" i="12"/>
  <c r="F12" i="13"/>
  <c r="F20" i="13"/>
  <c r="F28" i="13"/>
  <c r="F36" i="13"/>
  <c r="F44" i="13"/>
  <c r="F13" i="13"/>
  <c r="F21" i="13"/>
  <c r="F29" i="13"/>
  <c r="F37" i="13"/>
  <c r="F45" i="13"/>
  <c r="F14" i="13"/>
  <c r="F22" i="13"/>
  <c r="F30" i="13"/>
  <c r="F38" i="13"/>
  <c r="F46" i="13"/>
  <c r="F15" i="13"/>
  <c r="F23" i="13"/>
  <c r="F31" i="13"/>
  <c r="F39" i="13"/>
  <c r="F47" i="13"/>
  <c r="F16" i="13"/>
  <c r="F24" i="13"/>
  <c r="F32" i="13"/>
  <c r="F40" i="13"/>
  <c r="F48" i="13"/>
  <c r="F17" i="13"/>
  <c r="F25" i="13"/>
  <c r="F33" i="13"/>
  <c r="F41" i="13"/>
  <c r="F49" i="13"/>
  <c r="F18" i="13"/>
  <c r="F26" i="13"/>
  <c r="F34" i="13"/>
  <c r="F42" i="13"/>
  <c r="F50" i="13"/>
  <c r="F19" i="13"/>
  <c r="F27" i="13"/>
  <c r="F35" i="13"/>
  <c r="F43" i="13"/>
  <c r="F51" i="13"/>
  <c r="F57" i="13"/>
  <c r="F65" i="13"/>
  <c r="F58" i="13"/>
  <c r="F66" i="13"/>
  <c r="F11" i="13"/>
  <c r="F59" i="13"/>
  <c r="F67" i="13"/>
  <c r="F52" i="13"/>
  <c r="F60" i="13"/>
  <c r="F53" i="13"/>
  <c r="F61" i="13"/>
  <c r="F54" i="13"/>
  <c r="F62" i="13"/>
  <c r="F55" i="13"/>
  <c r="F63" i="13"/>
  <c r="F56" i="13"/>
  <c r="F64" i="13"/>
  <c r="F87" i="13"/>
  <c r="F95" i="13"/>
  <c r="F103" i="13"/>
  <c r="F111" i="13"/>
  <c r="F119" i="13"/>
  <c r="F127" i="13"/>
  <c r="F135" i="13"/>
  <c r="F143" i="13"/>
  <c r="F151" i="13"/>
  <c r="F159" i="13"/>
  <c r="F167" i="13"/>
  <c r="F175" i="13"/>
  <c r="F183" i="13"/>
  <c r="F194" i="13"/>
  <c r="F202" i="13"/>
  <c r="F210" i="13"/>
  <c r="F230" i="13"/>
  <c r="F238" i="13"/>
  <c r="F246" i="13"/>
  <c r="F254" i="13"/>
  <c r="F262" i="13"/>
  <c r="F270" i="13"/>
  <c r="F278" i="13"/>
  <c r="F286" i="13"/>
  <c r="F294" i="13"/>
  <c r="F302" i="13"/>
  <c r="F310" i="13"/>
  <c r="F216" i="13"/>
  <c r="F224" i="13"/>
  <c r="F325" i="13"/>
  <c r="F333" i="13"/>
  <c r="F326" i="13"/>
  <c r="F150" i="13"/>
  <c r="F193" i="13"/>
  <c r="F277" i="13"/>
  <c r="F324" i="13"/>
  <c r="F80" i="13"/>
  <c r="F88" i="13"/>
  <c r="F96" i="13"/>
  <c r="F104" i="13"/>
  <c r="F112" i="13"/>
  <c r="F120" i="13"/>
  <c r="F128" i="13"/>
  <c r="F136" i="13"/>
  <c r="F144" i="13"/>
  <c r="F152" i="13"/>
  <c r="F160" i="13"/>
  <c r="F168" i="13"/>
  <c r="F176" i="13"/>
  <c r="F184" i="13"/>
  <c r="F195" i="13"/>
  <c r="F203" i="13"/>
  <c r="F211" i="13"/>
  <c r="F231" i="13"/>
  <c r="F239" i="13"/>
  <c r="F247" i="13"/>
  <c r="F255" i="13"/>
  <c r="F263" i="13"/>
  <c r="F271" i="13"/>
  <c r="F279" i="13"/>
  <c r="F287" i="13"/>
  <c r="F295" i="13"/>
  <c r="F303" i="13"/>
  <c r="F311" i="13"/>
  <c r="F217" i="13"/>
  <c r="F225" i="13"/>
  <c r="F334" i="13"/>
  <c r="F126" i="13"/>
  <c r="F182" i="13"/>
  <c r="F245" i="13"/>
  <c r="F215" i="13"/>
  <c r="F340" i="13"/>
  <c r="F81" i="13"/>
  <c r="F89" i="13"/>
  <c r="F97" i="13"/>
  <c r="F105" i="13"/>
  <c r="F113" i="13"/>
  <c r="F121" i="13"/>
  <c r="F129" i="13"/>
  <c r="F137" i="13"/>
  <c r="F145" i="13"/>
  <c r="F153" i="13"/>
  <c r="F161" i="13"/>
  <c r="F169" i="13"/>
  <c r="F177" i="13"/>
  <c r="F185" i="13"/>
  <c r="F196" i="13"/>
  <c r="F204" i="13"/>
  <c r="F212" i="13"/>
  <c r="F232" i="13"/>
  <c r="F240" i="13"/>
  <c r="F248" i="13"/>
  <c r="F256" i="13"/>
  <c r="F264" i="13"/>
  <c r="F272" i="13"/>
  <c r="F280" i="13"/>
  <c r="F288" i="13"/>
  <c r="F296" i="13"/>
  <c r="F304" i="13"/>
  <c r="F312" i="13"/>
  <c r="F218" i="13"/>
  <c r="F226" i="13"/>
  <c r="F327" i="13"/>
  <c r="F335" i="13"/>
  <c r="F336" i="13"/>
  <c r="F110" i="13"/>
  <c r="F142" i="13"/>
  <c r="F209" i="13"/>
  <c r="F261" i="13"/>
  <c r="F293" i="13"/>
  <c r="F332" i="13"/>
  <c r="F82" i="13"/>
  <c r="F90" i="13"/>
  <c r="F98" i="13"/>
  <c r="F106" i="13"/>
  <c r="F114" i="13"/>
  <c r="F122" i="13"/>
  <c r="F130" i="13"/>
  <c r="F138" i="13"/>
  <c r="F146" i="13"/>
  <c r="F154" i="13"/>
  <c r="F162" i="13"/>
  <c r="F170" i="13"/>
  <c r="F178" i="13"/>
  <c r="F186" i="13"/>
  <c r="F197" i="13"/>
  <c r="F205" i="13"/>
  <c r="F213" i="13"/>
  <c r="F233" i="13"/>
  <c r="F241" i="13"/>
  <c r="F249" i="13"/>
  <c r="F257" i="13"/>
  <c r="F265" i="13"/>
  <c r="F273" i="13"/>
  <c r="F281" i="13"/>
  <c r="F289" i="13"/>
  <c r="F297" i="13"/>
  <c r="F305" i="13"/>
  <c r="F313" i="13"/>
  <c r="F219" i="13"/>
  <c r="F320" i="13"/>
  <c r="F328" i="13"/>
  <c r="F339" i="13"/>
  <c r="F94" i="13"/>
  <c r="F166" i="13"/>
  <c r="F237" i="13"/>
  <c r="F301" i="13"/>
  <c r="F83" i="13"/>
  <c r="F91" i="13"/>
  <c r="F99" i="13"/>
  <c r="F107" i="13"/>
  <c r="F115" i="13"/>
  <c r="F123" i="13"/>
  <c r="F131" i="13"/>
  <c r="F139" i="13"/>
  <c r="F147" i="13"/>
  <c r="F155" i="13"/>
  <c r="F163" i="13"/>
  <c r="F171" i="13"/>
  <c r="F179" i="13"/>
  <c r="F187" i="13"/>
  <c r="F198" i="13"/>
  <c r="F206" i="13"/>
  <c r="F214" i="13"/>
  <c r="F234" i="13"/>
  <c r="F242" i="13"/>
  <c r="F250" i="13"/>
  <c r="F258" i="13"/>
  <c r="F266" i="13"/>
  <c r="F274" i="13"/>
  <c r="F282" i="13"/>
  <c r="F290" i="13"/>
  <c r="F298" i="13"/>
  <c r="F306" i="13"/>
  <c r="F314" i="13"/>
  <c r="F220" i="13"/>
  <c r="F321" i="13"/>
  <c r="F329" i="13"/>
  <c r="F337" i="13"/>
  <c r="F330" i="13"/>
  <c r="F331" i="13"/>
  <c r="F118" i="13"/>
  <c r="F201" i="13"/>
  <c r="F269" i="13"/>
  <c r="F285" i="13"/>
  <c r="F84" i="13"/>
  <c r="F92" i="13"/>
  <c r="F100" i="13"/>
  <c r="F108" i="13"/>
  <c r="F116" i="13"/>
  <c r="F124" i="13"/>
  <c r="F132" i="13"/>
  <c r="F140" i="13"/>
  <c r="F148" i="13"/>
  <c r="F156" i="13"/>
  <c r="F164" i="13"/>
  <c r="F172" i="13"/>
  <c r="F180" i="13"/>
  <c r="F191" i="13"/>
  <c r="F199" i="13"/>
  <c r="F207" i="13"/>
  <c r="F227" i="13"/>
  <c r="F235" i="13"/>
  <c r="F243" i="13"/>
  <c r="F251" i="13"/>
  <c r="F259" i="13"/>
  <c r="F267" i="13"/>
  <c r="F275" i="13"/>
  <c r="F283" i="13"/>
  <c r="F291" i="13"/>
  <c r="F299" i="13"/>
  <c r="F307" i="13"/>
  <c r="F315" i="13"/>
  <c r="F221" i="13"/>
  <c r="F322" i="13"/>
  <c r="F338" i="13"/>
  <c r="F102" i="13"/>
  <c r="F134" i="13"/>
  <c r="F174" i="13"/>
  <c r="F253" i="13"/>
  <c r="F223" i="13"/>
  <c r="F85" i="13"/>
  <c r="F93" i="13"/>
  <c r="F101" i="13"/>
  <c r="F109" i="13"/>
  <c r="F117" i="13"/>
  <c r="F125" i="13"/>
  <c r="F133" i="13"/>
  <c r="F141" i="13"/>
  <c r="F149" i="13"/>
  <c r="F157" i="13"/>
  <c r="F165" i="13"/>
  <c r="F173" i="13"/>
  <c r="F181" i="13"/>
  <c r="F192" i="13"/>
  <c r="F200" i="13"/>
  <c r="F208" i="13"/>
  <c r="F228" i="13"/>
  <c r="F236" i="13"/>
  <c r="F244" i="13"/>
  <c r="F252" i="13"/>
  <c r="F260" i="13"/>
  <c r="F268" i="13"/>
  <c r="F276" i="13"/>
  <c r="F284" i="13"/>
  <c r="F292" i="13"/>
  <c r="F300" i="13"/>
  <c r="F308" i="13"/>
  <c r="F316" i="13"/>
  <c r="F222" i="13"/>
  <c r="F323" i="13"/>
  <c r="F86" i="13"/>
  <c r="F158" i="13"/>
  <c r="F229" i="13"/>
  <c r="F309" i="13"/>
  <c r="BN3" i="13"/>
  <c r="BN4" i="13"/>
  <c r="S7" i="18"/>
  <c r="I15" i="18"/>
  <c r="G15" i="18"/>
  <c r="I28" i="22"/>
  <c r="J30" i="22"/>
  <c r="I11" i="7"/>
  <c r="I12" i="7"/>
  <c r="I13" i="7"/>
  <c r="I15" i="7" s="1"/>
  <c r="I14" i="7"/>
  <c r="H14" i="7"/>
  <c r="H13" i="7"/>
  <c r="H23" i="7" s="1"/>
  <c r="H12" i="7"/>
  <c r="H15" i="7" s="1"/>
  <c r="H11" i="7"/>
  <c r="G14" i="7"/>
  <c r="G13" i="7"/>
  <c r="G12" i="7"/>
  <c r="G11" i="7"/>
  <c r="I17" i="7"/>
  <c r="I16" i="7"/>
  <c r="I19" i="7"/>
  <c r="I24" i="7" s="1"/>
  <c r="H19" i="7"/>
  <c r="I18" i="7"/>
  <c r="H18" i="7"/>
  <c r="H17" i="7"/>
  <c r="H20" i="7" s="1"/>
  <c r="H16" i="7"/>
  <c r="G19" i="7"/>
  <c r="G18" i="7"/>
  <c r="G23" i="7" s="1"/>
  <c r="G17" i="7"/>
  <c r="G22" i="7" s="1"/>
  <c r="G16" i="7"/>
  <c r="F24" i="7"/>
  <c r="F23" i="7"/>
  <c r="F22" i="7"/>
  <c r="F21" i="7"/>
  <c r="F20" i="7"/>
  <c r="F15" i="7"/>
  <c r="I23" i="7"/>
  <c r="F25" i="7"/>
  <c r="I22" i="7"/>
  <c r="H24" i="7"/>
  <c r="H21" i="7"/>
  <c r="G24" i="7"/>
  <c r="G21" i="7"/>
  <c r="G15" i="7"/>
  <c r="I43" i="7"/>
  <c r="H43" i="7"/>
  <c r="G43" i="7"/>
  <c r="F43" i="7"/>
  <c r="E43" i="7"/>
  <c r="D43" i="7"/>
  <c r="H36" i="7"/>
  <c r="H31" i="7"/>
  <c r="I36" i="7"/>
  <c r="I31" i="7"/>
  <c r="G36" i="7"/>
  <c r="F36" i="7"/>
  <c r="F31" i="7"/>
  <c r="I42" i="7"/>
  <c r="H42" i="7"/>
  <c r="G42" i="7"/>
  <c r="F42" i="7"/>
  <c r="E42" i="7"/>
  <c r="D42" i="7"/>
  <c r="C42" i="7"/>
  <c r="E36" i="7"/>
  <c r="D36" i="7"/>
  <c r="C36" i="7"/>
  <c r="E20" i="7"/>
  <c r="E25" i="7" s="1"/>
  <c r="D20" i="7"/>
  <c r="C20" i="7"/>
  <c r="G31" i="7"/>
  <c r="E31" i="7"/>
  <c r="D31" i="7"/>
  <c r="C31" i="7"/>
  <c r="E24" i="7"/>
  <c r="D24" i="7"/>
  <c r="C24" i="7"/>
  <c r="E23" i="7"/>
  <c r="D23" i="7"/>
  <c r="C23" i="7"/>
  <c r="E22" i="7"/>
  <c r="D22" i="7"/>
  <c r="C22" i="7"/>
  <c r="E21" i="7"/>
  <c r="D21" i="7"/>
  <c r="C21" i="7"/>
  <c r="E15" i="7"/>
  <c r="D15" i="7"/>
  <c r="C15" i="7"/>
  <c r="D25" i="7"/>
  <c r="C25" i="7"/>
  <c r="L20" i="20"/>
  <c r="AD57" i="12" l="1"/>
  <c r="AE57" i="12" s="1"/>
  <c r="AJ433" i="12"/>
  <c r="AK27" i="12"/>
  <c r="AF277" i="12"/>
  <c r="AG277" i="12" s="1"/>
  <c r="P268" i="13"/>
  <c r="AB355" i="12"/>
  <c r="AC355" i="12" s="1"/>
  <c r="AK478" i="12"/>
  <c r="AF310" i="12"/>
  <c r="AG310" i="12" s="1"/>
  <c r="AJ86" i="12"/>
  <c r="AF44" i="12"/>
  <c r="AG44" i="12" s="1"/>
  <c r="L175" i="13"/>
  <c r="AK175" i="13"/>
  <c r="AF358" i="12"/>
  <c r="AG358" i="12" s="1"/>
  <c r="AB35" i="12"/>
  <c r="AC35" i="12" s="1"/>
  <c r="AF151" i="12"/>
  <c r="AG151" i="12" s="1"/>
  <c r="AB327" i="12"/>
  <c r="AC327" i="12" s="1"/>
  <c r="O149" i="13"/>
  <c r="Q268" i="13"/>
  <c r="AK301" i="12"/>
  <c r="AD450" i="12"/>
  <c r="AE450" i="12" s="1"/>
  <c r="AJ174" i="12"/>
  <c r="AV268" i="13"/>
  <c r="AB43" i="12"/>
  <c r="AC43" i="12" s="1"/>
  <c r="AJ333" i="12"/>
  <c r="AB476" i="12"/>
  <c r="AC476" i="12" s="1"/>
  <c r="AI268" i="13"/>
  <c r="AL268" i="13"/>
  <c r="AB25" i="12"/>
  <c r="AC25" i="12" s="1"/>
  <c r="AB380" i="12"/>
  <c r="AC380" i="12" s="1"/>
  <c r="AD467" i="12"/>
  <c r="AE467" i="12" s="1"/>
  <c r="AF494" i="12"/>
  <c r="AG494" i="12" s="1"/>
  <c r="AB289" i="12"/>
  <c r="AC289" i="12" s="1"/>
  <c r="AD542" i="12"/>
  <c r="AE542" i="12" s="1"/>
  <c r="AB352" i="12"/>
  <c r="AC352" i="12" s="1"/>
  <c r="AD386" i="12"/>
  <c r="AE386" i="12" s="1"/>
  <c r="AB44" i="12"/>
  <c r="AC44" i="12" s="1"/>
  <c r="AF247" i="12"/>
  <c r="AG247" i="12" s="1"/>
  <c r="AH149" i="13"/>
  <c r="AK466" i="12"/>
  <c r="AB516" i="12"/>
  <c r="AC516" i="12" s="1"/>
  <c r="AU149" i="13"/>
  <c r="AJ32" i="12"/>
  <c r="AD317" i="12"/>
  <c r="AE317" i="12" s="1"/>
  <c r="AD158" i="12"/>
  <c r="AE158" i="12" s="1"/>
  <c r="AF484" i="12"/>
  <c r="AG484" i="12" s="1"/>
  <c r="AF510" i="12"/>
  <c r="AG510" i="12" s="1"/>
  <c r="AF386" i="12"/>
  <c r="AG386" i="12" s="1"/>
  <c r="AF78" i="12"/>
  <c r="AG78" i="12" s="1"/>
  <c r="AF516" i="12"/>
  <c r="AG516" i="12" s="1"/>
  <c r="AB188" i="12"/>
  <c r="AC188" i="12" s="1"/>
  <c r="AB317" i="12"/>
  <c r="AC317" i="12" s="1"/>
  <c r="AH381" i="12"/>
  <c r="AI381" i="12" s="1"/>
  <c r="AH78" i="12"/>
  <c r="AI78" i="12" s="1"/>
  <c r="AD300" i="12"/>
  <c r="AE300" i="12" s="1"/>
  <c r="AJ302" i="12"/>
  <c r="AF27" i="12"/>
  <c r="AG27" i="12" s="1"/>
  <c r="AF506" i="12"/>
  <c r="AG506" i="12" s="1"/>
  <c r="AB124" i="12"/>
  <c r="AC124" i="12" s="1"/>
  <c r="AD352" i="12"/>
  <c r="AE352" i="12" s="1"/>
  <c r="AK184" i="12"/>
  <c r="AD44" i="12"/>
  <c r="AE44" i="12" s="1"/>
  <c r="AH467" i="12"/>
  <c r="AI467" i="12" s="1"/>
  <c r="AB4" i="12"/>
  <c r="AC4" i="12" s="1"/>
  <c r="AB27" i="12"/>
  <c r="AC27" i="12" s="1"/>
  <c r="AB493" i="12"/>
  <c r="AC493" i="12" s="1"/>
  <c r="AD478" i="12"/>
  <c r="AF288" i="12"/>
  <c r="AG288" i="12" s="1"/>
  <c r="AJ160" i="12"/>
  <c r="Y288" i="12"/>
  <c r="AF4" i="12"/>
  <c r="AG4" i="12" s="1"/>
  <c r="AK302" i="12"/>
  <c r="AD141" i="12"/>
  <c r="AE141" i="12" s="1"/>
  <c r="AD389" i="12"/>
  <c r="AE389" i="12" s="1"/>
  <c r="AD88" i="12"/>
  <c r="AE88" i="12" s="1"/>
  <c r="AB478" i="12"/>
  <c r="AC478" i="12" s="1"/>
  <c r="AB141" i="12"/>
  <c r="AC141" i="12" s="1"/>
  <c r="AF56" i="12"/>
  <c r="AG56" i="12" s="1"/>
  <c r="AD323" i="12"/>
  <c r="AH323" i="12" s="1"/>
  <c r="AI323" i="12" s="1"/>
  <c r="AB288" i="12"/>
  <c r="AC288" i="12" s="1"/>
  <c r="AD4" i="12"/>
  <c r="AE4" i="12" s="1"/>
  <c r="AF17" i="12"/>
  <c r="AG17" i="12" s="1"/>
  <c r="AD520" i="12"/>
  <c r="AE520" i="12" s="1"/>
  <c r="AF389" i="12"/>
  <c r="AG389" i="12" s="1"/>
  <c r="AD333" i="12"/>
  <c r="AE333" i="12" s="1"/>
  <c r="AD367" i="12"/>
  <c r="AE367" i="12" s="1"/>
  <c r="AD127" i="12"/>
  <c r="AE127" i="12" s="1"/>
  <c r="AF352" i="12"/>
  <c r="AG352" i="12" s="1"/>
  <c r="AF97" i="12"/>
  <c r="AG97" i="12" s="1"/>
  <c r="AD502" i="12"/>
  <c r="AE502" i="12" s="1"/>
  <c r="AB365" i="12"/>
  <c r="AC365" i="12" s="1"/>
  <c r="AB520" i="12"/>
  <c r="AC520" i="12" s="1"/>
  <c r="AD97" i="12"/>
  <c r="AE97" i="12" s="1"/>
  <c r="AB467" i="12"/>
  <c r="AC467" i="12" s="1"/>
  <c r="AF187" i="12"/>
  <c r="AG187" i="12" s="1"/>
  <c r="AD107" i="12"/>
  <c r="AE107" i="12" s="1"/>
  <c r="AJ335" i="12"/>
  <c r="AK29" i="12"/>
  <c r="AF467" i="12"/>
  <c r="AG467" i="12" s="1"/>
  <c r="AK32" i="12"/>
  <c r="AF110" i="12"/>
  <c r="AG110" i="12" s="1"/>
  <c r="AF323" i="12"/>
  <c r="AG323" i="12" s="1"/>
  <c r="AB386" i="12"/>
  <c r="AC386" i="12" s="1"/>
  <c r="AB56" i="12"/>
  <c r="AC56" i="12" s="1"/>
  <c r="AB482" i="12"/>
  <c r="AC482" i="12" s="1"/>
  <c r="AD153" i="12"/>
  <c r="AE153" i="12" s="1"/>
  <c r="AK247" i="12"/>
  <c r="AH155" i="12"/>
  <c r="AI155" i="12" s="1"/>
  <c r="N268" i="13"/>
  <c r="AD268" i="13"/>
  <c r="AB140" i="12"/>
  <c r="AC140" i="12" s="1"/>
  <c r="AD35" i="12"/>
  <c r="AE35" i="12" s="1"/>
  <c r="AK97" i="12"/>
  <c r="AJ97" i="12"/>
  <c r="AF478" i="12"/>
  <c r="AG478" i="12" s="1"/>
  <c r="AF148" i="12"/>
  <c r="AG148" i="12" s="1"/>
  <c r="AJ413" i="12"/>
  <c r="AD432" i="12"/>
  <c r="AE432" i="12" s="1"/>
  <c r="AD172" i="12"/>
  <c r="AE172" i="12" s="1"/>
  <c r="AJ301" i="12"/>
  <c r="AD59" i="12"/>
  <c r="AE59" i="12" s="1"/>
  <c r="AA502" i="12"/>
  <c r="T268" i="13"/>
  <c r="AJ268" i="13"/>
  <c r="AB469" i="12"/>
  <c r="AC469" i="12" s="1"/>
  <c r="AD123" i="12"/>
  <c r="AE123" i="12" s="1"/>
  <c r="AF62" i="12"/>
  <c r="AG62" i="12" s="1"/>
  <c r="AK464" i="12"/>
  <c r="AF469" i="12"/>
  <c r="AG469" i="12" s="1"/>
  <c r="AJ510" i="12"/>
  <c r="AB156" i="12"/>
  <c r="AC156" i="12" s="1"/>
  <c r="AD61" i="12"/>
  <c r="AH61" i="12" s="1"/>
  <c r="AI61" i="12" s="1"/>
  <c r="AK416" i="12"/>
  <c r="AD409" i="12"/>
  <c r="AE409" i="12" s="1"/>
  <c r="AJ145" i="12"/>
  <c r="K268" i="13"/>
  <c r="AW268" i="13"/>
  <c r="AF375" i="12"/>
  <c r="AG375" i="12" s="1"/>
  <c r="AJ478" i="12"/>
  <c r="AB359" i="12"/>
  <c r="AC359" i="12" s="1"/>
  <c r="AF453" i="12"/>
  <c r="AG453" i="12" s="1"/>
  <c r="AH304" i="12"/>
  <c r="AI304" i="12" s="1"/>
  <c r="Z268" i="13"/>
  <c r="AU268" i="13"/>
  <c r="AD291" i="12"/>
  <c r="AE291" i="12" s="1"/>
  <c r="AK88" i="12"/>
  <c r="AD383" i="12"/>
  <c r="AE383" i="12" s="1"/>
  <c r="AD140" i="12"/>
  <c r="AE140" i="12" s="1"/>
  <c r="AG268" i="13"/>
  <c r="AD469" i="12"/>
  <c r="AE469" i="12" s="1"/>
  <c r="AD315" i="12"/>
  <c r="AE315" i="12" s="1"/>
  <c r="AK313" i="12"/>
  <c r="AJ449" i="12"/>
  <c r="AD505" i="12"/>
  <c r="AE505" i="12" s="1"/>
  <c r="M175" i="13"/>
  <c r="AS175" i="13"/>
  <c r="AB418" i="12"/>
  <c r="AC418" i="12" s="1"/>
  <c r="AB464" i="12"/>
  <c r="AC464" i="12" s="1"/>
  <c r="AK299" i="12"/>
  <c r="AD86" i="12"/>
  <c r="AE86" i="12" s="1"/>
  <c r="U175" i="13"/>
  <c r="AN175" i="13"/>
  <c r="AJ396" i="12"/>
  <c r="AB175" i="13"/>
  <c r="AW175" i="13"/>
  <c r="AD350" i="12"/>
  <c r="AE350" i="12" s="1"/>
  <c r="AH455" i="12"/>
  <c r="AI455" i="12" s="1"/>
  <c r="AH175" i="13"/>
  <c r="Y175" i="13"/>
  <c r="AK543" i="12"/>
  <c r="Z310" i="13"/>
  <c r="AE175" i="13"/>
  <c r="AJ339" i="12"/>
  <c r="AK291" i="12"/>
  <c r="R175" i="13"/>
  <c r="AM175" i="13"/>
  <c r="AH389" i="12"/>
  <c r="AI389" i="12" s="1"/>
  <c r="S175" i="13"/>
  <c r="W175" i="13"/>
  <c r="Z175" i="13"/>
  <c r="AO175" i="13"/>
  <c r="AD477" i="12"/>
  <c r="AE477" i="12" s="1"/>
  <c r="AD36" i="12"/>
  <c r="AE36" i="12" s="1"/>
  <c r="AD169" i="12"/>
  <c r="AE169" i="12" s="1"/>
  <c r="AD100" i="12"/>
  <c r="AE100" i="12" s="1"/>
  <c r="AB455" i="12"/>
  <c r="AC455" i="12" s="1"/>
  <c r="AF339" i="12"/>
  <c r="AG339" i="12" s="1"/>
  <c r="AB145" i="12"/>
  <c r="AC145" i="12" s="1"/>
  <c r="AH107" i="12"/>
  <c r="AI107" i="12" s="1"/>
  <c r="J175" i="13"/>
  <c r="H175" i="13"/>
  <c r="AC175" i="13"/>
  <c r="AA175" i="13"/>
  <c r="AU175" i="13"/>
  <c r="AJ291" i="12"/>
  <c r="AB302" i="12"/>
  <c r="AC302" i="12" s="1"/>
  <c r="AB29" i="12"/>
  <c r="AC29" i="12" s="1"/>
  <c r="AB559" i="12"/>
  <c r="AC559" i="12" s="1"/>
  <c r="AB305" i="12"/>
  <c r="AC305" i="12" s="1"/>
  <c r="AD339" i="12"/>
  <c r="AE339" i="12" s="1"/>
  <c r="AF105" i="12"/>
  <c r="AG105" i="12" s="1"/>
  <c r="AD537" i="12"/>
  <c r="AE537" i="12" s="1"/>
  <c r="AK401" i="12"/>
  <c r="AD144" i="12"/>
  <c r="AE144" i="12" s="1"/>
  <c r="P175" i="13"/>
  <c r="N175" i="13"/>
  <c r="X175" i="13"/>
  <c r="AG175" i="13"/>
  <c r="AP175" i="13"/>
  <c r="AK331" i="12"/>
  <c r="AB37" i="12"/>
  <c r="AC37" i="12" s="1"/>
  <c r="AB459" i="12"/>
  <c r="AC459" i="12" s="1"/>
  <c r="AB18" i="12"/>
  <c r="AC18" i="12" s="1"/>
  <c r="AF18" i="12"/>
  <c r="AG18" i="12" s="1"/>
  <c r="AD398" i="12"/>
  <c r="AE398" i="12" s="1"/>
  <c r="AB497" i="12"/>
  <c r="AC497" i="12" s="1"/>
  <c r="AK322" i="12"/>
  <c r="AF549" i="12"/>
  <c r="AG549" i="12" s="1"/>
  <c r="AF544" i="12"/>
  <c r="AG544" i="12" s="1"/>
  <c r="AB397" i="12"/>
  <c r="AC397" i="12" s="1"/>
  <c r="AB291" i="12"/>
  <c r="AC291" i="12" s="1"/>
  <c r="V175" i="13"/>
  <c r="I175" i="13"/>
  <c r="AD175" i="13"/>
  <c r="BF175" i="13" s="1"/>
  <c r="AL175" i="13"/>
  <c r="AV175" i="13"/>
  <c r="AD7" i="12"/>
  <c r="AE7" i="12" s="1"/>
  <c r="AD335" i="12"/>
  <c r="AE335" i="12" s="1"/>
  <c r="AD497" i="12"/>
  <c r="AE497" i="12" s="1"/>
  <c r="AB544" i="12"/>
  <c r="AC544" i="12" s="1"/>
  <c r="AH37" i="12"/>
  <c r="AI37" i="12" s="1"/>
  <c r="Q175" i="13"/>
  <c r="BA175" i="13" s="1"/>
  <c r="O175" i="13"/>
  <c r="AJ175" i="13"/>
  <c r="AR175" i="13"/>
  <c r="BL175" i="13" s="1"/>
  <c r="AQ175" i="13"/>
  <c r="AF468" i="12"/>
  <c r="AG468" i="12" s="1"/>
  <c r="AJ98" i="12"/>
  <c r="AB31" i="12"/>
  <c r="AC31" i="12" s="1"/>
  <c r="AK339" i="12"/>
  <c r="AF335" i="12"/>
  <c r="AG335" i="12" s="1"/>
  <c r="AD423" i="12"/>
  <c r="AH423" i="12" s="1"/>
  <c r="AI423" i="12" s="1"/>
  <c r="AD532" i="12"/>
  <c r="AE532" i="12" s="1"/>
  <c r="AJ136" i="12"/>
  <c r="AF558" i="12"/>
  <c r="AG558" i="12" s="1"/>
  <c r="AE145" i="12"/>
  <c r="AH145" i="12"/>
  <c r="AI145" i="12" s="1"/>
  <c r="AE31" i="12"/>
  <c r="AH31" i="12"/>
  <c r="AI31" i="12" s="1"/>
  <c r="AH502" i="12"/>
  <c r="AI502" i="12" s="1"/>
  <c r="AH449" i="12"/>
  <c r="AI449" i="12" s="1"/>
  <c r="AK167" i="12"/>
  <c r="AB294" i="12"/>
  <c r="AC294" i="12" s="1"/>
  <c r="AB306" i="12"/>
  <c r="AC306" i="12" s="1"/>
  <c r="AK51" i="12"/>
  <c r="AF10" i="12"/>
  <c r="AG10" i="12" s="1"/>
  <c r="AK420" i="12"/>
  <c r="AF338" i="12"/>
  <c r="AG338" i="12" s="1"/>
  <c r="AJ322" i="12"/>
  <c r="AF361" i="12"/>
  <c r="AG361" i="12" s="1"/>
  <c r="AF39" i="12"/>
  <c r="AG39" i="12" s="1"/>
  <c r="AJ421" i="12"/>
  <c r="AB423" i="12"/>
  <c r="AC423" i="12" s="1"/>
  <c r="AB30" i="12"/>
  <c r="AC30" i="12" s="1"/>
  <c r="AF382" i="12"/>
  <c r="AG382" i="12" s="1"/>
  <c r="AE323" i="12"/>
  <c r="AJ298" i="12"/>
  <c r="AF504" i="12"/>
  <c r="AG504" i="12" s="1"/>
  <c r="AF308" i="12"/>
  <c r="AG308" i="12" s="1"/>
  <c r="AF146" i="12"/>
  <c r="AG146" i="12" s="1"/>
  <c r="AH348" i="12"/>
  <c r="AI348" i="12" s="1"/>
  <c r="AD420" i="12"/>
  <c r="AF185" i="12"/>
  <c r="AG185" i="12" s="1"/>
  <c r="AJ420" i="12"/>
  <c r="AB382" i="12"/>
  <c r="AC382" i="12" s="1"/>
  <c r="AB5" i="12"/>
  <c r="AC5" i="12" s="1"/>
  <c r="AB336" i="12"/>
  <c r="AC336" i="12" s="1"/>
  <c r="AD487" i="12"/>
  <c r="AK412" i="12"/>
  <c r="AF492" i="12"/>
  <c r="AG492" i="12" s="1"/>
  <c r="AJ8" i="12"/>
  <c r="AB556" i="12"/>
  <c r="AC556" i="12" s="1"/>
  <c r="AK431" i="12"/>
  <c r="AD433" i="12"/>
  <c r="AE433" i="12" s="1"/>
  <c r="AB349" i="12"/>
  <c r="AC349" i="12" s="1"/>
  <c r="AD18" i="12"/>
  <c r="AE18" i="12" s="1"/>
  <c r="AJ320" i="12"/>
  <c r="AK148" i="12"/>
  <c r="AF433" i="12"/>
  <c r="AG433" i="12" s="1"/>
  <c r="AB492" i="12"/>
  <c r="AC492" i="12" s="1"/>
  <c r="AH88" i="12"/>
  <c r="AI88" i="12" s="1"/>
  <c r="AH505" i="12"/>
  <c r="AI505" i="12" s="1"/>
  <c r="AF511" i="12"/>
  <c r="AG511" i="12" s="1"/>
  <c r="AK159" i="12"/>
  <c r="AK443" i="12"/>
  <c r="AD544" i="12"/>
  <c r="AE544" i="12" s="1"/>
  <c r="AB439" i="12"/>
  <c r="AC439" i="12" s="1"/>
  <c r="AF306" i="12"/>
  <c r="AG306" i="12" s="1"/>
  <c r="AK328" i="12"/>
  <c r="AJ183" i="12"/>
  <c r="AD453" i="12"/>
  <c r="AE453" i="12" s="1"/>
  <c r="AF550" i="12"/>
  <c r="AG550" i="12" s="1"/>
  <c r="V310" i="13"/>
  <c r="AJ330" i="12"/>
  <c r="AB433" i="12"/>
  <c r="AC433" i="12" s="1"/>
  <c r="AH124" i="12"/>
  <c r="AI124" i="12" s="1"/>
  <c r="AD119" i="12"/>
  <c r="AE119" i="12" s="1"/>
  <c r="AF291" i="12"/>
  <c r="AG291" i="12" s="1"/>
  <c r="AJ505" i="12"/>
  <c r="AB332" i="12"/>
  <c r="AC332" i="12" s="1"/>
  <c r="AF183" i="12"/>
  <c r="AG183" i="12" s="1"/>
  <c r="AK183" i="12"/>
  <c r="AJ538" i="12"/>
  <c r="AB167" i="12"/>
  <c r="AC167" i="12" s="1"/>
  <c r="AD308" i="12"/>
  <c r="AE308" i="12" s="1"/>
  <c r="AE39" i="12"/>
  <c r="AH39" i="12"/>
  <c r="AI39" i="12" s="1"/>
  <c r="AE351" i="12"/>
  <c r="AH351" i="12"/>
  <c r="AI351" i="12" s="1"/>
  <c r="AE329" i="12"/>
  <c r="AH329" i="12"/>
  <c r="AI329" i="12" s="1"/>
  <c r="AE403" i="12"/>
  <c r="AH403" i="12"/>
  <c r="AI403" i="12" s="1"/>
  <c r="AE289" i="12"/>
  <c r="AH289" i="12"/>
  <c r="AI289" i="12" s="1"/>
  <c r="AE98" i="12"/>
  <c r="AH98" i="12"/>
  <c r="AI98" i="12" s="1"/>
  <c r="AE61" i="12"/>
  <c r="AB329" i="12"/>
  <c r="AC329" i="12" s="1"/>
  <c r="AF173" i="12"/>
  <c r="AG173" i="12" s="1"/>
  <c r="AK109" i="12"/>
  <c r="AB351" i="12"/>
  <c r="AC351" i="12" s="1"/>
  <c r="AF319" i="12"/>
  <c r="AG319" i="12" s="1"/>
  <c r="AB58" i="12"/>
  <c r="AC58" i="12" s="1"/>
  <c r="AF67" i="12"/>
  <c r="AG67" i="12" s="1"/>
  <c r="AK8" i="12"/>
  <c r="AJ528" i="12"/>
  <c r="AK316" i="12"/>
  <c r="AF403" i="12"/>
  <c r="AG403" i="12" s="1"/>
  <c r="AB437" i="12"/>
  <c r="AC437" i="12" s="1"/>
  <c r="AA503" i="12"/>
  <c r="BK18" i="22"/>
  <c r="BK20" i="22" s="1"/>
  <c r="BK27" i="22" s="1"/>
  <c r="AA104" i="12"/>
  <c r="AH559" i="12"/>
  <c r="AI559" i="12" s="1"/>
  <c r="AH555" i="12"/>
  <c r="AI555" i="12" s="1"/>
  <c r="AF331" i="12"/>
  <c r="AG331" i="12" s="1"/>
  <c r="AJ391" i="12"/>
  <c r="AK108" i="12"/>
  <c r="AK498" i="12"/>
  <c r="AF181" i="12"/>
  <c r="AG181" i="12" s="1"/>
  <c r="AD82" i="12"/>
  <c r="AB87" i="12"/>
  <c r="AC87" i="12" s="1"/>
  <c r="AB85" i="12"/>
  <c r="AC85" i="12" s="1"/>
  <c r="AF65" i="12"/>
  <c r="AG65" i="12" s="1"/>
  <c r="AK407" i="12"/>
  <c r="AJ499" i="12"/>
  <c r="AJ316" i="12"/>
  <c r="AD183" i="12"/>
  <c r="AE183" i="12" s="1"/>
  <c r="AK503" i="12"/>
  <c r="AK370" i="12"/>
  <c r="AF167" i="12"/>
  <c r="AG167" i="12" s="1"/>
  <c r="AH146" i="12"/>
  <c r="AI146" i="12" s="1"/>
  <c r="AH549" i="12"/>
  <c r="AI549" i="12" s="1"/>
  <c r="AH97" i="12"/>
  <c r="AI97" i="12" s="1"/>
  <c r="AK298" i="12"/>
  <c r="AB96" i="12"/>
  <c r="AC96" i="12" s="1"/>
  <c r="AF36" i="12"/>
  <c r="AG36" i="12" s="1"/>
  <c r="AK174" i="12"/>
  <c r="AB339" i="12"/>
  <c r="AC339" i="12" s="1"/>
  <c r="AJ109" i="12"/>
  <c r="AF322" i="12"/>
  <c r="AG322" i="12" s="1"/>
  <c r="AJ332" i="12"/>
  <c r="AB488" i="12"/>
  <c r="AC488" i="12" s="1"/>
  <c r="AB373" i="12"/>
  <c r="AC373" i="12" s="1"/>
  <c r="AJ63" i="12"/>
  <c r="AJ407" i="12"/>
  <c r="AK528" i="12"/>
  <c r="AD345" i="12"/>
  <c r="AE345" i="12" s="1"/>
  <c r="AD465" i="12"/>
  <c r="AE465" i="12" s="1"/>
  <c r="AJ295" i="12"/>
  <c r="AJ181" i="12"/>
  <c r="AK181" i="12"/>
  <c r="AB59" i="12"/>
  <c r="AC59" i="12" s="1"/>
  <c r="AJ405" i="12"/>
  <c r="AF443" i="12"/>
  <c r="AG443" i="12" s="1"/>
  <c r="K149" i="13"/>
  <c r="AD294" i="12"/>
  <c r="AE294" i="12" s="1"/>
  <c r="AH41" i="12"/>
  <c r="AI41" i="12" s="1"/>
  <c r="Y19" i="12"/>
  <c r="AB487" i="12"/>
  <c r="AC487" i="12" s="1"/>
  <c r="AH58" i="12"/>
  <c r="AI58" i="12" s="1"/>
  <c r="AF393" i="12"/>
  <c r="AG393" i="12" s="1"/>
  <c r="AD173" i="12"/>
  <c r="AE173" i="12" s="1"/>
  <c r="AF328" i="12"/>
  <c r="AG328" i="12" s="1"/>
  <c r="AJ521" i="12"/>
  <c r="AD382" i="12"/>
  <c r="AE382" i="12" s="1"/>
  <c r="AK104" i="12"/>
  <c r="AK63" i="12"/>
  <c r="AK541" i="12"/>
  <c r="AD428" i="12"/>
  <c r="AB555" i="12"/>
  <c r="AC555" i="12" s="1"/>
  <c r="AD431" i="12"/>
  <c r="AD452" i="12"/>
  <c r="AE452" i="12" s="1"/>
  <c r="AJ108" i="12"/>
  <c r="AJ390" i="12"/>
  <c r="AK376" i="12"/>
  <c r="AD472" i="12"/>
  <c r="AJ185" i="12"/>
  <c r="AJ85" i="12"/>
  <c r="AJ9" i="12"/>
  <c r="AD102" i="12"/>
  <c r="AE102" i="12" s="1"/>
  <c r="AB421" i="12"/>
  <c r="AC421" i="12" s="1"/>
  <c r="AJ424" i="12"/>
  <c r="AJ551" i="12"/>
  <c r="AK499" i="12"/>
  <c r="AB395" i="12"/>
  <c r="AC395" i="12" s="1"/>
  <c r="AK356" i="12"/>
  <c r="AH110" i="12"/>
  <c r="AI110" i="12" s="1"/>
  <c r="AH108" i="12"/>
  <c r="AI108" i="12" s="1"/>
  <c r="AH35" i="12"/>
  <c r="AI35" i="12" s="1"/>
  <c r="AH396" i="12"/>
  <c r="AI396" i="12" s="1"/>
  <c r="AH153" i="12"/>
  <c r="AI153" i="12" s="1"/>
  <c r="AA268" i="13"/>
  <c r="AT268" i="13"/>
  <c r="AH456" i="12"/>
  <c r="AI456" i="12" s="1"/>
  <c r="AF140" i="12"/>
  <c r="AG140" i="12" s="1"/>
  <c r="AD473" i="12"/>
  <c r="AE473" i="12" s="1"/>
  <c r="AB36" i="12"/>
  <c r="AC36" i="12" s="1"/>
  <c r="AB299" i="12"/>
  <c r="AC299" i="12" s="1"/>
  <c r="AD328" i="12"/>
  <c r="AK391" i="12"/>
  <c r="AK521" i="12"/>
  <c r="AD511" i="12"/>
  <c r="AE511" i="12" s="1"/>
  <c r="AJ51" i="12"/>
  <c r="AD103" i="12"/>
  <c r="AK449" i="12"/>
  <c r="AB420" i="12"/>
  <c r="AC420" i="12" s="1"/>
  <c r="AK527" i="12"/>
  <c r="AK372" i="12"/>
  <c r="AF26" i="12"/>
  <c r="AG26" i="12" s="1"/>
  <c r="AB34" i="12"/>
  <c r="AC34" i="12" s="1"/>
  <c r="AK44" i="12"/>
  <c r="AJ376" i="12"/>
  <c r="AD359" i="12"/>
  <c r="AK85" i="12"/>
  <c r="AK9" i="12"/>
  <c r="AF365" i="12"/>
  <c r="AG365" i="12" s="1"/>
  <c r="AB513" i="12"/>
  <c r="AC513" i="12" s="1"/>
  <c r="AF420" i="12"/>
  <c r="AG420" i="12" s="1"/>
  <c r="AJ541" i="12"/>
  <c r="AB462" i="12"/>
  <c r="AC462" i="12" s="1"/>
  <c r="AD149" i="13"/>
  <c r="AB348" i="12"/>
  <c r="AC348" i="12" s="1"/>
  <c r="Y410" i="12"/>
  <c r="AH4" i="12"/>
  <c r="AI4" i="12" s="1"/>
  <c r="AD43" i="12"/>
  <c r="AF28" i="12"/>
  <c r="AG28" i="12" s="1"/>
  <c r="AF294" i="12"/>
  <c r="AG294" i="12" s="1"/>
  <c r="AB328" i="12"/>
  <c r="AC328" i="12" s="1"/>
  <c r="AJ356" i="12"/>
  <c r="AD159" i="12"/>
  <c r="AE159" i="12" s="1"/>
  <c r="AB511" i="12"/>
  <c r="AC511" i="12" s="1"/>
  <c r="AF518" i="12"/>
  <c r="AG518" i="12" s="1"/>
  <c r="AB183" i="12"/>
  <c r="AC183" i="12" s="1"/>
  <c r="AK129" i="12"/>
  <c r="AB103" i="12"/>
  <c r="AC103" i="12" s="1"/>
  <c r="AF38" i="12"/>
  <c r="AG38" i="12" s="1"/>
  <c r="AB367" i="12"/>
  <c r="AC367" i="12" s="1"/>
  <c r="AD437" i="12"/>
  <c r="AJ372" i="12"/>
  <c r="AJ357" i="12"/>
  <c r="AJ328" i="12"/>
  <c r="AB102" i="12"/>
  <c r="AC102" i="12" s="1"/>
  <c r="AK320" i="12"/>
  <c r="AB457" i="12"/>
  <c r="AC457" i="12" s="1"/>
  <c r="AF426" i="12"/>
  <c r="AG426" i="12" s="1"/>
  <c r="AJ453" i="12"/>
  <c r="AM149" i="13"/>
  <c r="AK390" i="12"/>
  <c r="AB68" i="12"/>
  <c r="AC68" i="12" s="1"/>
  <c r="AH513" i="12"/>
  <c r="AI513" i="12" s="1"/>
  <c r="AD121" i="12"/>
  <c r="AE121" i="12" s="1"/>
  <c r="AJ399" i="12"/>
  <c r="AB298" i="12"/>
  <c r="AC298" i="12" s="1"/>
  <c r="AJ129" i="12"/>
  <c r="AK531" i="12"/>
  <c r="AK357" i="12"/>
  <c r="AJ531" i="12"/>
  <c r="AJ450" i="12"/>
  <c r="AE524" i="12"/>
  <c r="AH524" i="12"/>
  <c r="AI524" i="12" s="1"/>
  <c r="AE399" i="12"/>
  <c r="AH399" i="12"/>
  <c r="AI399" i="12" s="1"/>
  <c r="AE464" i="12"/>
  <c r="AH464" i="12"/>
  <c r="AI464" i="12" s="1"/>
  <c r="AH295" i="12"/>
  <c r="AI295" i="12" s="1"/>
  <c r="AD466" i="12"/>
  <c r="AE466" i="12" s="1"/>
  <c r="AD509" i="12"/>
  <c r="AD293" i="12"/>
  <c r="AE293" i="12" s="1"/>
  <c r="AF32" i="12"/>
  <c r="AG32" i="12" s="1"/>
  <c r="AK98" i="12"/>
  <c r="AK332" i="12"/>
  <c r="AK155" i="12"/>
  <c r="AF12" i="12"/>
  <c r="AG12" i="12" s="1"/>
  <c r="AJ431" i="12"/>
  <c r="AK365" i="12"/>
  <c r="AD527" i="12"/>
  <c r="AE527" i="12" s="1"/>
  <c r="AD400" i="12"/>
  <c r="AE400" i="12" s="1"/>
  <c r="AB170" i="12"/>
  <c r="AC170" i="12" s="1"/>
  <c r="AB313" i="12"/>
  <c r="AC313" i="12" s="1"/>
  <c r="AJ151" i="12"/>
  <c r="AD147" i="12"/>
  <c r="AE147" i="12" s="1"/>
  <c r="AF101" i="12"/>
  <c r="AG101" i="12" s="1"/>
  <c r="AB409" i="12"/>
  <c r="AC409" i="12" s="1"/>
  <c r="AK439" i="12"/>
  <c r="AD360" i="12"/>
  <c r="AE360" i="12" s="1"/>
  <c r="AM310" i="13"/>
  <c r="Q149" i="13"/>
  <c r="AJ149" i="13"/>
  <c r="Y292" i="12"/>
  <c r="AB304" i="12"/>
  <c r="AC304" i="12" s="1"/>
  <c r="AH65" i="12"/>
  <c r="AI65" i="12" s="1"/>
  <c r="AH425" i="12"/>
  <c r="AI425" i="12" s="1"/>
  <c r="AH445" i="12"/>
  <c r="AI445" i="12" s="1"/>
  <c r="AJ94" i="12"/>
  <c r="AF399" i="12"/>
  <c r="AG399" i="12" s="1"/>
  <c r="AF398" i="12"/>
  <c r="AG398" i="12" s="1"/>
  <c r="AD32" i="12"/>
  <c r="AE32" i="12" s="1"/>
  <c r="AK326" i="12"/>
  <c r="AJ382" i="12"/>
  <c r="AD492" i="12"/>
  <c r="AK39" i="12"/>
  <c r="AK59" i="12"/>
  <c r="AF149" i="12"/>
  <c r="AG149" i="12" s="1"/>
  <c r="AJ401" i="12"/>
  <c r="AJ443" i="12"/>
  <c r="AK423" i="12"/>
  <c r="AJ349" i="12"/>
  <c r="AB432" i="12"/>
  <c r="AC432" i="12" s="1"/>
  <c r="AD529" i="12"/>
  <c r="AJ35" i="12"/>
  <c r="AF397" i="12"/>
  <c r="AG397" i="12" s="1"/>
  <c r="AK295" i="12"/>
  <c r="AK327" i="12"/>
  <c r="AK151" i="12"/>
  <c r="AF147" i="12"/>
  <c r="AG147" i="12" s="1"/>
  <c r="AD179" i="12"/>
  <c r="AK409" i="12"/>
  <c r="AD451" i="12"/>
  <c r="AH451" i="12" s="1"/>
  <c r="AI451" i="12" s="1"/>
  <c r="AS310" i="13"/>
  <c r="R149" i="13"/>
  <c r="AE149" i="13"/>
  <c r="AJ149" i="12"/>
  <c r="AA441" i="12"/>
  <c r="AH383" i="12"/>
  <c r="AI383" i="12" s="1"/>
  <c r="AH446" i="12"/>
  <c r="AI446" i="12" s="1"/>
  <c r="AH12" i="12"/>
  <c r="AI12" i="12" s="1"/>
  <c r="AF137" i="12"/>
  <c r="AG137" i="12" s="1"/>
  <c r="AD143" i="12"/>
  <c r="AE143" i="12" s="1"/>
  <c r="AF293" i="12"/>
  <c r="AG293" i="12" s="1"/>
  <c r="AK123" i="12"/>
  <c r="AF314" i="12"/>
  <c r="AG314" i="12" s="1"/>
  <c r="AF391" i="12"/>
  <c r="AG391" i="12" s="1"/>
  <c r="AF157" i="12"/>
  <c r="AG157" i="12" s="1"/>
  <c r="AD81" i="12"/>
  <c r="AE81" i="12" s="1"/>
  <c r="AJ59" i="12"/>
  <c r="AB180" i="12"/>
  <c r="AC180" i="12" s="1"/>
  <c r="AB448" i="12"/>
  <c r="AC448" i="12" s="1"/>
  <c r="AF43" i="12"/>
  <c r="AG43" i="12" s="1"/>
  <c r="AD168" i="12"/>
  <c r="AE168" i="12" s="1"/>
  <c r="AF313" i="12"/>
  <c r="AG313" i="12" s="1"/>
  <c r="AJ327" i="12"/>
  <c r="AB179" i="12"/>
  <c r="AC179" i="12" s="1"/>
  <c r="AF179" i="12"/>
  <c r="AG179" i="12" s="1"/>
  <c r="AF527" i="12"/>
  <c r="AG527" i="12" s="1"/>
  <c r="AF448" i="12"/>
  <c r="AG448" i="12" s="1"/>
  <c r="P310" i="13"/>
  <c r="AD503" i="12"/>
  <c r="AH503" i="12" s="1"/>
  <c r="AI503" i="12" s="1"/>
  <c r="S149" i="13"/>
  <c r="AP149" i="13"/>
  <c r="AF444" i="12"/>
  <c r="AG444" i="12" s="1"/>
  <c r="AH345" i="12"/>
  <c r="AI345" i="12" s="1"/>
  <c r="AH382" i="12"/>
  <c r="AI382" i="12" s="1"/>
  <c r="AH127" i="12"/>
  <c r="AI127" i="12" s="1"/>
  <c r="K175" i="13"/>
  <c r="T175" i="13"/>
  <c r="AI175" i="13"/>
  <c r="BI175" i="13" s="1"/>
  <c r="AF175" i="13"/>
  <c r="AH325" i="12"/>
  <c r="AI325" i="12" s="1"/>
  <c r="AH294" i="12"/>
  <c r="AI294" i="12" s="1"/>
  <c r="AD137" i="12"/>
  <c r="AE137" i="12" s="1"/>
  <c r="AF125" i="12"/>
  <c r="AG125" i="12" s="1"/>
  <c r="AJ466" i="12"/>
  <c r="AF509" i="12"/>
  <c r="AG509" i="12" s="1"/>
  <c r="AF497" i="12"/>
  <c r="AG497" i="12" s="1"/>
  <c r="AB335" i="12"/>
  <c r="AC335" i="12" s="1"/>
  <c r="AD504" i="12"/>
  <c r="AE504" i="12" s="1"/>
  <c r="AD518" i="12"/>
  <c r="AB12" i="12"/>
  <c r="AC12" i="12" s="1"/>
  <c r="AK551" i="12"/>
  <c r="AJ423" i="12"/>
  <c r="AB540" i="12"/>
  <c r="AC540" i="12" s="1"/>
  <c r="AK433" i="12"/>
  <c r="AB450" i="12"/>
  <c r="AC450" i="12" s="1"/>
  <c r="AJ409" i="12"/>
  <c r="AJ31" i="12"/>
  <c r="AF326" i="12"/>
  <c r="AG326" i="12" s="1"/>
  <c r="AF405" i="12"/>
  <c r="AG405" i="12" s="1"/>
  <c r="AK7" i="12"/>
  <c r="AD530" i="12"/>
  <c r="AE530" i="12" s="1"/>
  <c r="AJ340" i="12"/>
  <c r="AB341" i="12"/>
  <c r="AC341" i="12" s="1"/>
  <c r="AD533" i="12"/>
  <c r="AE533" i="12" s="1"/>
  <c r="K310" i="13"/>
  <c r="N149" i="13"/>
  <c r="AA149" i="13"/>
  <c r="AW149" i="13"/>
  <c r="AB509" i="12"/>
  <c r="AC509" i="12" s="1"/>
  <c r="Y168" i="12"/>
  <c r="Y41" i="12"/>
  <c r="AA31" i="12"/>
  <c r="AH291" i="12"/>
  <c r="AI291" i="12" s="1"/>
  <c r="AH333" i="12"/>
  <c r="AI333" i="12" s="1"/>
  <c r="AH300" i="12"/>
  <c r="AI300" i="12" s="1"/>
  <c r="AH462" i="12"/>
  <c r="AI462" i="12" s="1"/>
  <c r="AK169" i="12"/>
  <c r="AK136" i="12"/>
  <c r="AF168" i="12"/>
  <c r="AG168" i="12" s="1"/>
  <c r="AD395" i="12"/>
  <c r="AF395" i="12"/>
  <c r="AG395" i="12" s="1"/>
  <c r="AF487" i="12"/>
  <c r="AG487" i="12" s="1"/>
  <c r="AJ66" i="12"/>
  <c r="AB518" i="12"/>
  <c r="AC518" i="12" s="1"/>
  <c r="AB104" i="12"/>
  <c r="AC104" i="12" s="1"/>
  <c r="AF402" i="12"/>
  <c r="AG402" i="12" s="1"/>
  <c r="AB463" i="12"/>
  <c r="AC463" i="12" s="1"/>
  <c r="AK349" i="12"/>
  <c r="AJ439" i="12"/>
  <c r="AD397" i="12"/>
  <c r="AB398" i="12"/>
  <c r="AC398" i="12" s="1"/>
  <c r="AF447" i="12"/>
  <c r="AG447" i="12" s="1"/>
  <c r="AB447" i="12"/>
  <c r="AC447" i="12" s="1"/>
  <c r="N310" i="13"/>
  <c r="T149" i="13"/>
  <c r="AG149" i="13"/>
  <c r="AL149" i="13"/>
  <c r="AD313" i="12"/>
  <c r="AE313" i="12" s="1"/>
  <c r="AB41" i="12"/>
  <c r="AC41" i="12" s="1"/>
  <c r="AF409" i="12"/>
  <c r="AG409" i="12" s="1"/>
  <c r="BE18" i="22"/>
  <c r="BE20" i="22" s="1"/>
  <c r="BE27" i="22" s="1"/>
  <c r="AJ112" i="12"/>
  <c r="AH465" i="12"/>
  <c r="AI465" i="12" s="1"/>
  <c r="AH17" i="12"/>
  <c r="AI17" i="12" s="1"/>
  <c r="AH301" i="12"/>
  <c r="AI301" i="12" s="1"/>
  <c r="AK94" i="12"/>
  <c r="AF355" i="12"/>
  <c r="AG355" i="12" s="1"/>
  <c r="AJ377" i="12"/>
  <c r="AJ412" i="12"/>
  <c r="AD104" i="12"/>
  <c r="AF104" i="12"/>
  <c r="AG104" i="12" s="1"/>
  <c r="AD149" i="12"/>
  <c r="AE149" i="12" s="1"/>
  <c r="AB444" i="12"/>
  <c r="AC444" i="12" s="1"/>
  <c r="AB461" i="12"/>
  <c r="AC461" i="12" s="1"/>
  <c r="AD463" i="12"/>
  <c r="AD444" i="12"/>
  <c r="AE444" i="12" s="1"/>
  <c r="AK324" i="12"/>
  <c r="AF463" i="12"/>
  <c r="AG463" i="12" s="1"/>
  <c r="AF429" i="12"/>
  <c r="AG429" i="12" s="1"/>
  <c r="AD543" i="12"/>
  <c r="AE543" i="12" s="1"/>
  <c r="J149" i="13"/>
  <c r="AC149" i="13"/>
  <c r="BF149" i="13" s="1"/>
  <c r="AN149" i="13"/>
  <c r="AF41" i="12"/>
  <c r="AG41" i="12" s="1"/>
  <c r="AA299" i="12"/>
  <c r="AK53" i="12"/>
  <c r="Y112" i="12"/>
  <c r="AE369" i="12"/>
  <c r="AH369" i="12"/>
  <c r="AI369" i="12" s="1"/>
  <c r="AE370" i="12"/>
  <c r="AH370" i="12"/>
  <c r="AI370" i="12" s="1"/>
  <c r="AH20" i="12"/>
  <c r="AI20" i="12" s="1"/>
  <c r="AD521" i="12"/>
  <c r="AK504" i="12"/>
  <c r="AB394" i="12"/>
  <c r="AC394" i="12" s="1"/>
  <c r="AF8" i="12"/>
  <c r="AG8" i="12" s="1"/>
  <c r="AF20" i="12"/>
  <c r="AG20" i="12" s="1"/>
  <c r="AF370" i="12"/>
  <c r="AG370" i="12" s="1"/>
  <c r="AB316" i="12"/>
  <c r="AC316" i="12" s="1"/>
  <c r="AF410" i="12"/>
  <c r="AG410" i="12" s="1"/>
  <c r="AB354" i="12"/>
  <c r="AC354" i="12" s="1"/>
  <c r="AK41" i="12"/>
  <c r="Y498" i="12"/>
  <c r="AA552" i="12"/>
  <c r="AK552" i="12"/>
  <c r="AA411" i="12"/>
  <c r="AK411" i="12"/>
  <c r="AA11" i="12"/>
  <c r="AJ11" i="12"/>
  <c r="Y84" i="12"/>
  <c r="AF84" i="12"/>
  <c r="AG84" i="12" s="1"/>
  <c r="AD84" i="12"/>
  <c r="AE62" i="12"/>
  <c r="AH62" i="12"/>
  <c r="AI62" i="12" s="1"/>
  <c r="Y412" i="12"/>
  <c r="AF412" i="12"/>
  <c r="AG412" i="12" s="1"/>
  <c r="Y374" i="12"/>
  <c r="AD374" i="12"/>
  <c r="Y377" i="12"/>
  <c r="AB377" i="12"/>
  <c r="AC377" i="12" s="1"/>
  <c r="Y384" i="12"/>
  <c r="AF384" i="12"/>
  <c r="AG384" i="12" s="1"/>
  <c r="AD384" i="12"/>
  <c r="AE384" i="12" s="1"/>
  <c r="AA378" i="12"/>
  <c r="AK378" i="12"/>
  <c r="AA386" i="12"/>
  <c r="AK386" i="12"/>
  <c r="AA379" i="12"/>
  <c r="AK379" i="12"/>
  <c r="AA110" i="12"/>
  <c r="AJ110" i="12"/>
  <c r="AA389" i="12"/>
  <c r="AK389" i="12"/>
  <c r="AJ141" i="12"/>
  <c r="AA141" i="12"/>
  <c r="AF175" i="12"/>
  <c r="AG175" i="12" s="1"/>
  <c r="AD175" i="12"/>
  <c r="AO310" i="13"/>
  <c r="AW310" i="13"/>
  <c r="AL310" i="13"/>
  <c r="AC310" i="13"/>
  <c r="AK310" i="13"/>
  <c r="AG310" i="13"/>
  <c r="AH310" i="13"/>
  <c r="R310" i="13"/>
  <c r="AA476" i="12"/>
  <c r="AJ476" i="12"/>
  <c r="AA76" i="12"/>
  <c r="AJ76" i="12"/>
  <c r="AH141" i="12"/>
  <c r="AI141" i="12" s="1"/>
  <c r="AH173" i="12"/>
  <c r="AI173" i="12" s="1"/>
  <c r="AH484" i="12"/>
  <c r="AI484" i="12" s="1"/>
  <c r="I268" i="13"/>
  <c r="L268" i="13"/>
  <c r="AB268" i="13"/>
  <c r="BE268" i="13" s="1"/>
  <c r="Y268" i="13"/>
  <c r="AR268" i="13"/>
  <c r="AH410" i="12"/>
  <c r="AI410" i="12" s="1"/>
  <c r="AH290" i="12"/>
  <c r="AI290" i="12" s="1"/>
  <c r="AJ469" i="12"/>
  <c r="AF470" i="12"/>
  <c r="AG470" i="12" s="1"/>
  <c r="AB137" i="12"/>
  <c r="AC137" i="12" s="1"/>
  <c r="AD24" i="12"/>
  <c r="AK317" i="12"/>
  <c r="AF172" i="12"/>
  <c r="AG172" i="12" s="1"/>
  <c r="AF295" i="12"/>
  <c r="AG295" i="12" s="1"/>
  <c r="AD355" i="12"/>
  <c r="AF498" i="12"/>
  <c r="AG498" i="12" s="1"/>
  <c r="AD391" i="12"/>
  <c r="AJ187" i="12"/>
  <c r="AJ384" i="12"/>
  <c r="AD489" i="12"/>
  <c r="AB324" i="12"/>
  <c r="AC324" i="12" s="1"/>
  <c r="AJ155" i="12"/>
  <c r="AD148" i="12"/>
  <c r="AE148" i="12" s="1"/>
  <c r="AK413" i="12"/>
  <c r="AB446" i="12"/>
  <c r="AC446" i="12" s="1"/>
  <c r="AF367" i="12"/>
  <c r="AG367" i="12" s="1"/>
  <c r="AF298" i="12"/>
  <c r="AG298" i="12" s="1"/>
  <c r="AB483" i="12"/>
  <c r="AC483" i="12" s="1"/>
  <c r="AD388" i="12"/>
  <c r="AK384" i="12"/>
  <c r="AK142" i="12"/>
  <c r="AK523" i="12"/>
  <c r="AF383" i="12"/>
  <c r="AG383" i="12" s="1"/>
  <c r="AB364" i="12"/>
  <c r="AC364" i="12" s="1"/>
  <c r="Q310" i="13"/>
  <c r="X310" i="13"/>
  <c r="AN310" i="13"/>
  <c r="AD6" i="12"/>
  <c r="AH6" i="12" s="1"/>
  <c r="AI6" i="12" s="1"/>
  <c r="AD481" i="12"/>
  <c r="AA297" i="12"/>
  <c r="AK405" i="12"/>
  <c r="BG18" i="22"/>
  <c r="BG20" i="22" s="1"/>
  <c r="BG27" i="22" s="1"/>
  <c r="AH121" i="12"/>
  <c r="AI121" i="12" s="1"/>
  <c r="O268" i="13"/>
  <c r="AZ268" i="13" s="1"/>
  <c r="R268" i="13"/>
  <c r="AH268" i="13"/>
  <c r="AE268" i="13"/>
  <c r="AM268" i="13"/>
  <c r="AJ170" i="12"/>
  <c r="AK330" i="12"/>
  <c r="AF356" i="12"/>
  <c r="AG356" i="12" s="1"/>
  <c r="AB356" i="12"/>
  <c r="AC356" i="12" s="1"/>
  <c r="AK187" i="12"/>
  <c r="AF489" i="12"/>
  <c r="AG489" i="12" s="1"/>
  <c r="AK153" i="12"/>
  <c r="AD68" i="12"/>
  <c r="AB152" i="12"/>
  <c r="AC152" i="12" s="1"/>
  <c r="AB148" i="12"/>
  <c r="AC148" i="12" s="1"/>
  <c r="AF50" i="12"/>
  <c r="AG50" i="12" s="1"/>
  <c r="AK549" i="12"/>
  <c r="AF343" i="12"/>
  <c r="AG343" i="12" s="1"/>
  <c r="AF24" i="12"/>
  <c r="AG24" i="12" s="1"/>
  <c r="AB172" i="12"/>
  <c r="AC172" i="12" s="1"/>
  <c r="AD377" i="12"/>
  <c r="AK13" i="12"/>
  <c r="AB495" i="12"/>
  <c r="AC495" i="12" s="1"/>
  <c r="AJ395" i="12"/>
  <c r="AD364" i="12"/>
  <c r="AE364" i="12" s="1"/>
  <c r="AF364" i="12"/>
  <c r="AG364" i="12" s="1"/>
  <c r="AF556" i="12"/>
  <c r="AG556" i="12" s="1"/>
  <c r="M310" i="13"/>
  <c r="AD310" i="13"/>
  <c r="AI310" i="13"/>
  <c r="AB523" i="12"/>
  <c r="AC523" i="12" s="1"/>
  <c r="I173" i="13"/>
  <c r="AB66" i="12"/>
  <c r="AC66" i="12" s="1"/>
  <c r="AK297" i="12"/>
  <c r="AB451" i="12"/>
  <c r="AC451" i="12" s="1"/>
  <c r="Y391" i="12"/>
  <c r="AA435" i="12"/>
  <c r="AJ435" i="12"/>
  <c r="BH18" i="22"/>
  <c r="BH20" i="22" s="1"/>
  <c r="BH27" i="22" s="1"/>
  <c r="AH520" i="12"/>
  <c r="AI520" i="12" s="1"/>
  <c r="AH473" i="12"/>
  <c r="AI473" i="12" s="1"/>
  <c r="AH172" i="12"/>
  <c r="AI172" i="12" s="1"/>
  <c r="U268" i="13"/>
  <c r="M268" i="13"/>
  <c r="W268" i="13"/>
  <c r="AK268" i="13"/>
  <c r="BI268" i="13" s="1"/>
  <c r="AS268" i="13"/>
  <c r="BL268" i="13" s="1"/>
  <c r="AK120" i="12"/>
  <c r="AK469" i="12"/>
  <c r="AF474" i="12"/>
  <c r="AG474" i="12" s="1"/>
  <c r="AK170" i="12"/>
  <c r="AF481" i="12"/>
  <c r="AG481" i="12" s="1"/>
  <c r="AB498" i="12"/>
  <c r="AC498" i="12" s="1"/>
  <c r="AD324" i="12"/>
  <c r="AD515" i="12"/>
  <c r="AE515" i="12" s="1"/>
  <c r="AJ523" i="12"/>
  <c r="AF155" i="12"/>
  <c r="AG155" i="12" s="1"/>
  <c r="AB297" i="12"/>
  <c r="AC297" i="12" s="1"/>
  <c r="AJ153" i="12"/>
  <c r="AJ383" i="12"/>
  <c r="AK383" i="12"/>
  <c r="AD50" i="12"/>
  <c r="AJ365" i="12"/>
  <c r="AB362" i="12"/>
  <c r="AC362" i="12" s="1"/>
  <c r="AJ411" i="12"/>
  <c r="AB6" i="12"/>
  <c r="AC6" i="12" s="1"/>
  <c r="AK141" i="12"/>
  <c r="AF388" i="12"/>
  <c r="AG388" i="12" s="1"/>
  <c r="AF523" i="12"/>
  <c r="AG523" i="12" s="1"/>
  <c r="AB84" i="12"/>
  <c r="AC84" i="12" s="1"/>
  <c r="AJ13" i="12"/>
  <c r="AB375" i="12"/>
  <c r="AC375" i="12" s="1"/>
  <c r="AK395" i="12"/>
  <c r="AB412" i="12"/>
  <c r="AC412" i="12" s="1"/>
  <c r="AB154" i="12"/>
  <c r="AC154" i="12" s="1"/>
  <c r="AD343" i="12"/>
  <c r="AF425" i="12"/>
  <c r="AG425" i="12" s="1"/>
  <c r="AB550" i="12"/>
  <c r="AC550" i="12" s="1"/>
  <c r="U310" i="13"/>
  <c r="AE310" i="13"/>
  <c r="AP310" i="13"/>
  <c r="AC173" i="13"/>
  <c r="AA359" i="12"/>
  <c r="Y394" i="12"/>
  <c r="AJ479" i="12"/>
  <c r="Y443" i="12"/>
  <c r="AD443" i="12"/>
  <c r="AD438" i="12"/>
  <c r="AF438" i="12"/>
  <c r="AG438" i="12" s="1"/>
  <c r="Y361" i="12"/>
  <c r="AD361" i="12"/>
  <c r="AH169" i="12"/>
  <c r="AI169" i="12" s="1"/>
  <c r="AH147" i="12"/>
  <c r="AI147" i="12" s="1"/>
  <c r="J268" i="13"/>
  <c r="S268" i="13"/>
  <c r="BA268" i="13" s="1"/>
  <c r="AC268" i="13"/>
  <c r="AP268" i="13"/>
  <c r="AN268" i="13"/>
  <c r="AH532" i="12"/>
  <c r="AI532" i="12" s="1"/>
  <c r="AH331" i="12"/>
  <c r="AI331" i="12" s="1"/>
  <c r="AF475" i="12"/>
  <c r="AG475" i="12" s="1"/>
  <c r="AF473" i="12"/>
  <c r="AG473" i="12" s="1"/>
  <c r="AJ317" i="12"/>
  <c r="AK23" i="12"/>
  <c r="AJ125" i="12"/>
  <c r="AK34" i="12"/>
  <c r="AF337" i="12"/>
  <c r="AG337" i="12" s="1"/>
  <c r="AD501" i="12"/>
  <c r="AE501" i="12" s="1"/>
  <c r="AF417" i="12"/>
  <c r="AG417" i="12" s="1"/>
  <c r="AF297" i="12"/>
  <c r="AG297" i="12" s="1"/>
  <c r="AK505" i="12"/>
  <c r="AD412" i="12"/>
  <c r="AF68" i="12"/>
  <c r="AG68" i="12" s="1"/>
  <c r="AB50" i="12"/>
  <c r="AC50" i="12" s="1"/>
  <c r="AJ552" i="12"/>
  <c r="AD368" i="12"/>
  <c r="AK455" i="12"/>
  <c r="AD5" i="12"/>
  <c r="AK35" i="12"/>
  <c r="AB290" i="12"/>
  <c r="AC290" i="12" s="1"/>
  <c r="AJ490" i="12"/>
  <c r="AF501" i="12"/>
  <c r="AG501" i="12" s="1"/>
  <c r="AK490" i="12"/>
  <c r="AJ352" i="12"/>
  <c r="AD154" i="12"/>
  <c r="AK11" i="12"/>
  <c r="H310" i="13"/>
  <c r="T310" i="13"/>
  <c r="AV310" i="13"/>
  <c r="AK359" i="12"/>
  <c r="AF6" i="12"/>
  <c r="AG6" i="12" s="1"/>
  <c r="AF408" i="12"/>
  <c r="AG408" i="12" s="1"/>
  <c r="Y452" i="12"/>
  <c r="AB452" i="12"/>
  <c r="AC452" i="12" s="1"/>
  <c r="AA548" i="12"/>
  <c r="AJ548" i="12"/>
  <c r="AK341" i="12"/>
  <c r="AJ341" i="12"/>
  <c r="AF351" i="12"/>
  <c r="AG351" i="12" s="1"/>
  <c r="Y351" i="12"/>
  <c r="AF309" i="12"/>
  <c r="AG309" i="12" s="1"/>
  <c r="AB309" i="12"/>
  <c r="AC309" i="12" s="1"/>
  <c r="AA354" i="12"/>
  <c r="AJ354" i="12"/>
  <c r="AA481" i="12"/>
  <c r="AJ481" i="12"/>
  <c r="AA355" i="12"/>
  <c r="AK355" i="12"/>
  <c r="AA500" i="12"/>
  <c r="AK500" i="12"/>
  <c r="AJ500" i="12"/>
  <c r="AA307" i="12"/>
  <c r="AJ307" i="12"/>
  <c r="Y329" i="12"/>
  <c r="AF329" i="12"/>
  <c r="AG329" i="12" s="1"/>
  <c r="Y174" i="12"/>
  <c r="AD174" i="12"/>
  <c r="AE174" i="12" s="1"/>
  <c r="AB174" i="12"/>
  <c r="AC174" i="12" s="1"/>
  <c r="AA125" i="12"/>
  <c r="AF98" i="12"/>
  <c r="AG98" i="12" s="1"/>
  <c r="AB98" i="12"/>
  <c r="AC98" i="12" s="1"/>
  <c r="Y98" i="12"/>
  <c r="AF31" i="12"/>
  <c r="AG31" i="12" s="1"/>
  <c r="Y31" i="12"/>
  <c r="AA28" i="12"/>
  <c r="AK28" i="12"/>
  <c r="AA122" i="12"/>
  <c r="AK122" i="12"/>
  <c r="Y468" i="12"/>
  <c r="AB468" i="12"/>
  <c r="AC468" i="12" s="1"/>
  <c r="Y169" i="12"/>
  <c r="AF169" i="12"/>
  <c r="AG169" i="12" s="1"/>
  <c r="Y396" i="12"/>
  <c r="AF396" i="12"/>
  <c r="AG396" i="12" s="1"/>
  <c r="Y370" i="12"/>
  <c r="AB370" i="12"/>
  <c r="AC370" i="12" s="1"/>
  <c r="AA102" i="12"/>
  <c r="AK102" i="12"/>
  <c r="Y479" i="12"/>
  <c r="AB479" i="12"/>
  <c r="AC479" i="12" s="1"/>
  <c r="Y157" i="12"/>
  <c r="AD157" i="12"/>
  <c r="Y150" i="12"/>
  <c r="AB150" i="12"/>
  <c r="AC150" i="12" s="1"/>
  <c r="AF131" i="12"/>
  <c r="AG131" i="12" s="1"/>
  <c r="AD131" i="12"/>
  <c r="AE131" i="12" s="1"/>
  <c r="Y109" i="12"/>
  <c r="AB109" i="12"/>
  <c r="AC109" i="12" s="1"/>
  <c r="AD109" i="12"/>
  <c r="Y108" i="12"/>
  <c r="AB108" i="12"/>
  <c r="AC108" i="12" s="1"/>
  <c r="AF108" i="12"/>
  <c r="AG108" i="12" s="1"/>
  <c r="Y499" i="12"/>
  <c r="AD499" i="12"/>
  <c r="Y500" i="12"/>
  <c r="AF500" i="12"/>
  <c r="AG500" i="12" s="1"/>
  <c r="AD500" i="12"/>
  <c r="AB500" i="12"/>
  <c r="AC500" i="12" s="1"/>
  <c r="Y521" i="12"/>
  <c r="AB521" i="12"/>
  <c r="AC521" i="12" s="1"/>
  <c r="AA526" i="12"/>
  <c r="AK526" i="12"/>
  <c r="Y126" i="12"/>
  <c r="AD126" i="12"/>
  <c r="AK128" i="12"/>
  <c r="AA128" i="12"/>
  <c r="AJ289" i="12"/>
  <c r="AK289" i="12"/>
  <c r="AA289" i="12"/>
  <c r="Y472" i="12"/>
  <c r="AF472" i="12"/>
  <c r="AG472" i="12" s="1"/>
  <c r="AH433" i="12"/>
  <c r="AI433" i="12" s="1"/>
  <c r="AH8" i="12"/>
  <c r="AI8" i="12" s="1"/>
  <c r="AH510" i="12"/>
  <c r="AI510" i="12" s="1"/>
  <c r="AH544" i="12"/>
  <c r="AI544" i="12" s="1"/>
  <c r="H268" i="13"/>
  <c r="V268" i="13"/>
  <c r="AF268" i="13"/>
  <c r="X268" i="13"/>
  <c r="AQ268" i="13"/>
  <c r="AH336" i="12"/>
  <c r="AI336" i="12" s="1"/>
  <c r="AD135" i="12"/>
  <c r="AF135" i="12"/>
  <c r="AG135" i="12" s="1"/>
  <c r="AB473" i="12"/>
  <c r="AC473" i="12" s="1"/>
  <c r="AK168" i="12"/>
  <c r="AD33" i="12"/>
  <c r="AJ123" i="12"/>
  <c r="AF499" i="12"/>
  <c r="AG499" i="12" s="1"/>
  <c r="AH498" i="12"/>
  <c r="AI498" i="12" s="1"/>
  <c r="AD494" i="12"/>
  <c r="AF324" i="12"/>
  <c r="AG324" i="12" s="1"/>
  <c r="AK377" i="12"/>
  <c r="AK518" i="12"/>
  <c r="AB374" i="12"/>
  <c r="AC374" i="12" s="1"/>
  <c r="AF5" i="12"/>
  <c r="AG5" i="12" s="1"/>
  <c r="AD356" i="12"/>
  <c r="AE356" i="12" s="1"/>
  <c r="AD307" i="12"/>
  <c r="AE307" i="12" s="1"/>
  <c r="AF495" i="12"/>
  <c r="AG495" i="12" s="1"/>
  <c r="AJ386" i="12"/>
  <c r="AJ100" i="12"/>
  <c r="AF59" i="12"/>
  <c r="AG59" i="12" s="1"/>
  <c r="AJ324" i="12"/>
  <c r="AJ148" i="12"/>
  <c r="AB381" i="12"/>
  <c r="AC381" i="12" s="1"/>
  <c r="J310" i="13"/>
  <c r="I310" i="13"/>
  <c r="AF310" i="13"/>
  <c r="AJ120" i="12"/>
  <c r="AF126" i="12"/>
  <c r="AG126" i="12" s="1"/>
  <c r="Y388" i="12"/>
  <c r="AB410" i="12"/>
  <c r="AC410" i="12" s="1"/>
  <c r="AA446" i="12"/>
  <c r="AJ446" i="12"/>
  <c r="Y10" i="12"/>
  <c r="AB10" i="12"/>
  <c r="AC10" i="12" s="1"/>
  <c r="AJ179" i="12"/>
  <c r="AA179" i="12"/>
  <c r="AA105" i="12"/>
  <c r="AJ105" i="12"/>
  <c r="AA81" i="12"/>
  <c r="AJ81" i="12"/>
  <c r="AD310" i="12"/>
  <c r="Y310" i="12"/>
  <c r="AJ303" i="12"/>
  <c r="AJ504" i="12"/>
  <c r="AD394" i="12"/>
  <c r="AE394" i="12" s="1"/>
  <c r="AF479" i="12"/>
  <c r="AG479" i="12" s="1"/>
  <c r="AB20" i="12"/>
  <c r="AC20" i="12" s="1"/>
  <c r="AF406" i="12"/>
  <c r="AG406" i="12" s="1"/>
  <c r="AB126" i="12"/>
  <c r="AC126" i="12" s="1"/>
  <c r="Y494" i="12"/>
  <c r="AB429" i="12"/>
  <c r="AC429" i="12" s="1"/>
  <c r="Y429" i="12"/>
  <c r="Y362" i="12"/>
  <c r="AD362" i="12"/>
  <c r="Y436" i="12"/>
  <c r="AB436" i="12"/>
  <c r="AC436" i="12" s="1"/>
  <c r="AD436" i="12"/>
  <c r="AE436" i="12" s="1"/>
  <c r="AK480" i="12"/>
  <c r="AJ480" i="12"/>
  <c r="AA408" i="12"/>
  <c r="AK408" i="12"/>
  <c r="Y337" i="12"/>
  <c r="AB337" i="12"/>
  <c r="AC337" i="12" s="1"/>
  <c r="Y295" i="12"/>
  <c r="AB295" i="12"/>
  <c r="AC295" i="12" s="1"/>
  <c r="Y143" i="12"/>
  <c r="AB143" i="12"/>
  <c r="AC143" i="12" s="1"/>
  <c r="AA175" i="12"/>
  <c r="AJ175" i="12"/>
  <c r="J173" i="13"/>
  <c r="AE173" i="13"/>
  <c r="AB173" i="13"/>
  <c r="AD312" i="12"/>
  <c r="AH312" i="12" s="1"/>
  <c r="AI312" i="12" s="1"/>
  <c r="AA206" i="12"/>
  <c r="AK381" i="12"/>
  <c r="AK118" i="12"/>
  <c r="AJ116" i="12"/>
  <c r="Y312" i="12"/>
  <c r="AE482" i="12"/>
  <c r="AH482" i="12"/>
  <c r="AI482" i="12" s="1"/>
  <c r="AE426" i="12"/>
  <c r="AH426" i="12"/>
  <c r="AI426" i="12" s="1"/>
  <c r="AH315" i="12"/>
  <c r="AI315" i="12" s="1"/>
  <c r="AH468" i="12"/>
  <c r="AI468" i="12" s="1"/>
  <c r="AH168" i="12"/>
  <c r="AI168" i="12" s="1"/>
  <c r="AE423" i="12"/>
  <c r="AK300" i="12"/>
  <c r="AF299" i="12"/>
  <c r="AG299" i="12" s="1"/>
  <c r="AK6" i="12"/>
  <c r="AD506" i="12"/>
  <c r="AB389" i="12"/>
  <c r="AC389" i="12" s="1"/>
  <c r="AB506" i="12"/>
  <c r="AC506" i="12" s="1"/>
  <c r="AD378" i="12"/>
  <c r="AF333" i="12"/>
  <c r="AG333" i="12" s="1"/>
  <c r="AK103" i="12"/>
  <c r="AB527" i="12"/>
  <c r="AC527" i="12" s="1"/>
  <c r="AJ44" i="12"/>
  <c r="AB76" i="12"/>
  <c r="AC76" i="12" s="1"/>
  <c r="AJ305" i="12"/>
  <c r="AF35" i="12"/>
  <c r="AG35" i="12" s="1"/>
  <c r="AK106" i="12"/>
  <c r="Y338" i="12"/>
  <c r="AD56" i="12"/>
  <c r="AB24" i="12"/>
  <c r="AC24" i="12" s="1"/>
  <c r="AH149" i="12"/>
  <c r="AI149" i="12" s="1"/>
  <c r="AH527" i="12"/>
  <c r="AI527" i="12" s="1"/>
  <c r="AH288" i="12"/>
  <c r="AI288" i="12" s="1"/>
  <c r="AH537" i="12"/>
  <c r="AI537" i="12" s="1"/>
  <c r="AH384" i="12"/>
  <c r="AI384" i="12" s="1"/>
  <c r="AH335" i="12"/>
  <c r="AI335" i="12" s="1"/>
  <c r="AH330" i="12"/>
  <c r="AI330" i="12" s="1"/>
  <c r="AD476" i="12"/>
  <c r="AD299" i="12"/>
  <c r="AF317" i="12"/>
  <c r="AG317" i="12" s="1"/>
  <c r="AB323" i="12"/>
  <c r="AC323" i="12" s="1"/>
  <c r="AD516" i="12"/>
  <c r="AF520" i="12"/>
  <c r="AG520" i="12" s="1"/>
  <c r="AF359" i="12"/>
  <c r="AG359" i="12" s="1"/>
  <c r="AK450" i="12"/>
  <c r="AK335" i="12"/>
  <c r="AB99" i="12"/>
  <c r="AC99" i="12" s="1"/>
  <c r="AJ39" i="12"/>
  <c r="AJ106" i="12"/>
  <c r="AB338" i="12"/>
  <c r="AC338" i="12" s="1"/>
  <c r="Y309" i="12"/>
  <c r="AJ167" i="12"/>
  <c r="AH488" i="12"/>
  <c r="AI488" i="12" s="1"/>
  <c r="AH539" i="12"/>
  <c r="AI539" i="12" s="1"/>
  <c r="AH66" i="12"/>
  <c r="AI66" i="12" s="1"/>
  <c r="AB546" i="12"/>
  <c r="AC546" i="12" s="1"/>
  <c r="AD461" i="12"/>
  <c r="AB548" i="12"/>
  <c r="AC548" i="12" s="1"/>
  <c r="AF525" i="12"/>
  <c r="AG525" i="12" s="1"/>
  <c r="Y308" i="12"/>
  <c r="AK441" i="12"/>
  <c r="AA546" i="12"/>
  <c r="AJ546" i="12"/>
  <c r="AA457" i="12"/>
  <c r="AK457" i="12"/>
  <c r="AA463" i="12"/>
  <c r="AK463" i="12"/>
  <c r="AA460" i="12"/>
  <c r="AJ460" i="12"/>
  <c r="AA536" i="12"/>
  <c r="AJ536" i="12"/>
  <c r="AA454" i="12"/>
  <c r="AJ454" i="12"/>
  <c r="AA461" i="12"/>
  <c r="AJ461" i="12"/>
  <c r="AA360" i="12"/>
  <c r="AK360" i="12"/>
  <c r="AA342" i="12"/>
  <c r="AK342" i="12"/>
  <c r="Y290" i="12"/>
  <c r="AF290" i="12"/>
  <c r="AG290" i="12" s="1"/>
  <c r="AU310" i="13"/>
  <c r="AA310" i="13"/>
  <c r="BE310" i="13" s="1"/>
  <c r="W310" i="13"/>
  <c r="S310" i="13"/>
  <c r="BA310" i="13" s="1"/>
  <c r="AJ25" i="12"/>
  <c r="AA25" i="12"/>
  <c r="Y170" i="12"/>
  <c r="AD170" i="12"/>
  <c r="AA140" i="12"/>
  <c r="AK140" i="12"/>
  <c r="AD454" i="12"/>
  <c r="AE454" i="12" s="1"/>
  <c r="AB454" i="12"/>
  <c r="AC454" i="12" s="1"/>
  <c r="Y419" i="12"/>
  <c r="AD419" i="12"/>
  <c r="AE419" i="12" s="1"/>
  <c r="AA146" i="12"/>
  <c r="AK146" i="12"/>
  <c r="Y101" i="12"/>
  <c r="AB101" i="12"/>
  <c r="AC101" i="12" s="1"/>
  <c r="AE525" i="12"/>
  <c r="AH525" i="12"/>
  <c r="AI525" i="12" s="1"/>
  <c r="Y502" i="12"/>
  <c r="AF502" i="12"/>
  <c r="AG502" i="12" s="1"/>
  <c r="Y188" i="12"/>
  <c r="AD188" i="12"/>
  <c r="AB522" i="12"/>
  <c r="AC522" i="12" s="1"/>
  <c r="Y522" i="12"/>
  <c r="Y510" i="12"/>
  <c r="AB510" i="12"/>
  <c r="AC510" i="12" s="1"/>
  <c r="AF379" i="12"/>
  <c r="AG379" i="12" s="1"/>
  <c r="Y379" i="12"/>
  <c r="AD392" i="12"/>
  <c r="AB392" i="12"/>
  <c r="AC392" i="12" s="1"/>
  <c r="AA497" i="12"/>
  <c r="AJ497" i="12"/>
  <c r="AK288" i="12"/>
  <c r="AA288" i="12"/>
  <c r="AA467" i="12"/>
  <c r="AJ467" i="12"/>
  <c r="Y94" i="12"/>
  <c r="AD94" i="12"/>
  <c r="AH543" i="12"/>
  <c r="AI543" i="12" s="1"/>
  <c r="AD120" i="12"/>
  <c r="AA7" i="12"/>
  <c r="Y141" i="12"/>
  <c r="AA445" i="12"/>
  <c r="AJ445" i="12"/>
  <c r="AA366" i="12"/>
  <c r="AK366" i="12"/>
  <c r="Y7" i="12"/>
  <c r="AB7" i="12"/>
  <c r="AC7" i="12" s="1"/>
  <c r="Y146" i="12"/>
  <c r="AB146" i="12"/>
  <c r="AC146" i="12" s="1"/>
  <c r="AF106" i="12"/>
  <c r="AG106" i="12" s="1"/>
  <c r="AD106" i="12"/>
  <c r="AH106" i="12" s="1"/>
  <c r="AI106" i="12" s="1"/>
  <c r="AA87" i="12"/>
  <c r="AJ87" i="12"/>
  <c r="AA49" i="12"/>
  <c r="AJ49" i="12"/>
  <c r="AF296" i="12"/>
  <c r="AG296" i="12" s="1"/>
  <c r="AB296" i="12"/>
  <c r="AC296" i="12" s="1"/>
  <c r="AA18" i="12"/>
  <c r="AJ18" i="12"/>
  <c r="AK18" i="12"/>
  <c r="AJ338" i="12"/>
  <c r="AA338" i="12"/>
  <c r="Y302" i="12"/>
  <c r="AD302" i="12"/>
  <c r="Y305" i="12"/>
  <c r="AD305" i="12"/>
  <c r="AH305" i="12" s="1"/>
  <c r="AI305" i="12" s="1"/>
  <c r="AA294" i="12"/>
  <c r="AK294" i="12"/>
  <c r="Y325" i="12"/>
  <c r="AF325" i="12"/>
  <c r="AG325" i="12" s="1"/>
  <c r="Y300" i="12"/>
  <c r="AB300" i="12"/>
  <c r="AC300" i="12" s="1"/>
  <c r="AA397" i="12"/>
  <c r="AK397" i="12"/>
  <c r="AA400" i="12"/>
  <c r="AJ400" i="12"/>
  <c r="AE6" i="12"/>
  <c r="AJ103" i="12"/>
  <c r="AB435" i="12"/>
  <c r="AC435" i="12" s="1"/>
  <c r="AB460" i="12"/>
  <c r="AC460" i="12" s="1"/>
  <c r="AF401" i="12"/>
  <c r="AG401" i="12" s="1"/>
  <c r="AD546" i="12"/>
  <c r="AF460" i="12"/>
  <c r="AG460" i="12" s="1"/>
  <c r="AF546" i="12"/>
  <c r="AG546" i="12" s="1"/>
  <c r="AB94" i="12"/>
  <c r="AC94" i="12" s="1"/>
  <c r="AA137" i="12"/>
  <c r="Y333" i="12"/>
  <c r="AF476" i="12"/>
  <c r="AG476" i="12" s="1"/>
  <c r="AA20" i="12"/>
  <c r="AK20" i="12"/>
  <c r="Y85" i="12"/>
  <c r="AD85" i="12"/>
  <c r="AE85" i="12" s="1"/>
  <c r="Y159" i="12"/>
  <c r="AF159" i="12"/>
  <c r="AG159" i="12" s="1"/>
  <c r="AA311" i="12"/>
  <c r="AK311" i="12"/>
  <c r="AA508" i="12"/>
  <c r="AJ508" i="12"/>
  <c r="AA513" i="12"/>
  <c r="AJ513" i="12"/>
  <c r="AK513" i="12"/>
  <c r="AA36" i="12"/>
  <c r="AK36" i="12"/>
  <c r="AD418" i="12"/>
  <c r="AE418" i="12" s="1"/>
  <c r="Y418" i="12"/>
  <c r="AK468" i="12"/>
  <c r="AA468" i="12"/>
  <c r="BE175" i="13"/>
  <c r="AH337" i="12"/>
  <c r="AI337" i="12" s="1"/>
  <c r="AH44" i="12"/>
  <c r="AI44" i="12" s="1"/>
  <c r="AJ6" i="12"/>
  <c r="AK145" i="12"/>
  <c r="AB529" i="12"/>
  <c r="AC529" i="12" s="1"/>
  <c r="AD522" i="12"/>
  <c r="AE522" i="12" s="1"/>
  <c r="AB120" i="12"/>
  <c r="AC120" i="12" s="1"/>
  <c r="AK137" i="12"/>
  <c r="AF120" i="12"/>
  <c r="AG120" i="12" s="1"/>
  <c r="AD296" i="12"/>
  <c r="Y534" i="12"/>
  <c r="AF534" i="12"/>
  <c r="AG534" i="12" s="1"/>
  <c r="AD534" i="12"/>
  <c r="AA556" i="12"/>
  <c r="AJ556" i="12"/>
  <c r="AA540" i="12"/>
  <c r="AK540" i="12"/>
  <c r="AA542" i="12"/>
  <c r="AJ542" i="12"/>
  <c r="AA533" i="12"/>
  <c r="AJ533" i="12"/>
  <c r="AA429" i="12"/>
  <c r="AK429" i="12"/>
  <c r="Y129" i="12"/>
  <c r="AB129" i="12"/>
  <c r="AC129" i="12" s="1"/>
  <c r="Y319" i="12"/>
  <c r="AB319" i="12"/>
  <c r="AC319" i="12" s="1"/>
  <c r="AA150" i="12"/>
  <c r="AJ150" i="12"/>
  <c r="AA131" i="12"/>
  <c r="AJ131" i="12"/>
  <c r="AA483" i="12"/>
  <c r="AK483" i="12"/>
  <c r="AJ483" i="12"/>
  <c r="AA388" i="12"/>
  <c r="AJ388" i="12"/>
  <c r="AJ272" i="12"/>
  <c r="AA48" i="12"/>
  <c r="AF165" i="12"/>
  <c r="AG165" i="12" s="1"/>
  <c r="AF52" i="12"/>
  <c r="AG52" i="12" s="1"/>
  <c r="AD556" i="12"/>
  <c r="AD413" i="12"/>
  <c r="AB343" i="12"/>
  <c r="AC343" i="12" s="1"/>
  <c r="AK149" i="12"/>
  <c r="O173" i="13"/>
  <c r="AD115" i="12"/>
  <c r="AE115" i="12" s="1"/>
  <c r="AK86" i="12"/>
  <c r="AJ277" i="12"/>
  <c r="Y210" i="12"/>
  <c r="AA184" i="12"/>
  <c r="AJ313" i="12"/>
  <c r="AK186" i="12"/>
  <c r="AB73" i="12"/>
  <c r="AC73" i="12" s="1"/>
  <c r="AE458" i="12"/>
  <c r="AH458" i="12"/>
  <c r="AI458" i="12" s="1"/>
  <c r="AD28" i="12"/>
  <c r="AA370" i="12"/>
  <c r="AB187" i="12"/>
  <c r="AC187" i="12" s="1"/>
  <c r="AD187" i="12"/>
  <c r="AF130" i="12"/>
  <c r="AG130" i="12" s="1"/>
  <c r="AD130" i="12"/>
  <c r="AD380" i="12"/>
  <c r="Y380" i="12"/>
  <c r="AD387" i="12"/>
  <c r="Y387" i="12"/>
  <c r="AB387" i="12"/>
  <c r="AC387" i="12" s="1"/>
  <c r="Y484" i="12"/>
  <c r="AB484" i="12"/>
  <c r="AC484" i="12" s="1"/>
  <c r="AB13" i="12"/>
  <c r="AC13" i="12" s="1"/>
  <c r="AD13" i="12"/>
  <c r="AF13" i="12"/>
  <c r="AG13" i="12" s="1"/>
  <c r="Y327" i="12"/>
  <c r="AD327" i="12"/>
  <c r="Y330" i="12"/>
  <c r="AF330" i="12"/>
  <c r="AG330" i="12" s="1"/>
  <c r="AB330" i="12"/>
  <c r="AC330" i="12" s="1"/>
  <c r="Y315" i="12"/>
  <c r="AF315" i="12"/>
  <c r="AG315" i="12" s="1"/>
  <c r="AB176" i="12"/>
  <c r="AC176" i="12" s="1"/>
  <c r="AF176" i="12"/>
  <c r="AG176" i="12" s="1"/>
  <c r="AD298" i="12"/>
  <c r="AB28" i="12"/>
  <c r="AC28" i="12" s="1"/>
  <c r="AD540" i="12"/>
  <c r="AF459" i="12"/>
  <c r="AG459" i="12" s="1"/>
  <c r="AD550" i="12"/>
  <c r="AD45" i="12"/>
  <c r="Y426" i="12"/>
  <c r="AB426" i="12"/>
  <c r="AC426" i="12" s="1"/>
  <c r="AA427" i="12"/>
  <c r="AK427" i="12"/>
  <c r="AK434" i="12"/>
  <c r="AJ434" i="12"/>
  <c r="AA364" i="12"/>
  <c r="AJ364" i="12"/>
  <c r="AA404" i="12"/>
  <c r="AK404" i="12"/>
  <c r="Y145" i="12"/>
  <c r="AF145" i="12"/>
  <c r="AG145" i="12" s="1"/>
  <c r="AB39" i="12"/>
  <c r="AC39" i="12" s="1"/>
  <c r="Y39" i="12"/>
  <c r="AB106" i="12"/>
  <c r="AC106" i="12" s="1"/>
  <c r="Y106" i="12"/>
  <c r="AV319" i="13" s="1"/>
  <c r="AJ82" i="12"/>
  <c r="AA82" i="12"/>
  <c r="AK82" i="12"/>
  <c r="AJ60" i="12"/>
  <c r="AA60" i="12"/>
  <c r="AA58" i="12"/>
  <c r="AK58" i="12"/>
  <c r="AA65" i="12"/>
  <c r="AK65" i="12"/>
  <c r="AA67" i="12"/>
  <c r="AJ67" i="12"/>
  <c r="AA488" i="12"/>
  <c r="AJ488" i="12"/>
  <c r="AB524" i="12"/>
  <c r="AC524" i="12" s="1"/>
  <c r="Y524" i="12"/>
  <c r="AF524" i="12"/>
  <c r="AG524" i="12" s="1"/>
  <c r="AA398" i="12"/>
  <c r="AJ398" i="12"/>
  <c r="AB301" i="12"/>
  <c r="AC301" i="12" s="1"/>
  <c r="AF301" i="12"/>
  <c r="AG301" i="12" s="1"/>
  <c r="AA292" i="12"/>
  <c r="AK292" i="12"/>
  <c r="BD175" i="13"/>
  <c r="AK550" i="12"/>
  <c r="AA550" i="12"/>
  <c r="Y422" i="12"/>
  <c r="AB422" i="12"/>
  <c r="AC422" i="12" s="1"/>
  <c r="AF434" i="12"/>
  <c r="AG434" i="12" s="1"/>
  <c r="AD434" i="12"/>
  <c r="AE434" i="12" s="1"/>
  <c r="AD366" i="12"/>
  <c r="Y366" i="12"/>
  <c r="Y403" i="12"/>
  <c r="AB403" i="12"/>
  <c r="AC403" i="12" s="1"/>
  <c r="AD9" i="12"/>
  <c r="AB9" i="12"/>
  <c r="AC9" i="12" s="1"/>
  <c r="Y60" i="12"/>
  <c r="AD60" i="12"/>
  <c r="Y65" i="12"/>
  <c r="AB65" i="12"/>
  <c r="AC65" i="12" s="1"/>
  <c r="AA152" i="12"/>
  <c r="AK152" i="12"/>
  <c r="AA519" i="12"/>
  <c r="AK519" i="12"/>
  <c r="BJ175" i="13"/>
  <c r="AK399" i="12"/>
  <c r="AF45" i="12"/>
  <c r="AG45" i="12" s="1"/>
  <c r="AB553" i="12"/>
  <c r="AC553" i="12" s="1"/>
  <c r="Y549" i="12"/>
  <c r="AB549" i="12"/>
  <c r="AC549" i="12" s="1"/>
  <c r="AA456" i="12"/>
  <c r="AJ456" i="12"/>
  <c r="AK456" i="12"/>
  <c r="AA558" i="12"/>
  <c r="AK558" i="12"/>
  <c r="AA554" i="12"/>
  <c r="AJ554" i="12"/>
  <c r="AD424" i="12"/>
  <c r="AF424" i="12"/>
  <c r="AG424" i="12" s="1"/>
  <c r="AB424" i="12"/>
  <c r="AC424" i="12" s="1"/>
  <c r="AA451" i="12"/>
  <c r="AK451" i="12"/>
  <c r="AJ343" i="12"/>
  <c r="AA343" i="12"/>
  <c r="AB369" i="12"/>
  <c r="AC369" i="12" s="1"/>
  <c r="AF369" i="12"/>
  <c r="AG369" i="12" s="1"/>
  <c r="Y406" i="12"/>
  <c r="AB406" i="12"/>
  <c r="AC406" i="12" s="1"/>
  <c r="AD372" i="12"/>
  <c r="Y372" i="12"/>
  <c r="AA21" i="12"/>
  <c r="AJ21" i="12"/>
  <c r="Y152" i="12"/>
  <c r="AF152" i="12"/>
  <c r="AG152" i="12" s="1"/>
  <c r="AK310" i="12"/>
  <c r="AJ310" i="12"/>
  <c r="AA517" i="12"/>
  <c r="AJ517" i="12"/>
  <c r="Y373" i="12"/>
  <c r="AD373" i="12"/>
  <c r="Y311" i="12"/>
  <c r="AB311" i="12"/>
  <c r="AC311" i="12" s="1"/>
  <c r="AD508" i="12"/>
  <c r="AF508" i="12"/>
  <c r="AG508" i="12" s="1"/>
  <c r="Y519" i="12"/>
  <c r="AD519" i="12"/>
  <c r="AE519" i="12" s="1"/>
  <c r="Y513" i="12"/>
  <c r="AF513" i="12"/>
  <c r="AG513" i="12" s="1"/>
  <c r="AD376" i="12"/>
  <c r="Y376" i="12"/>
  <c r="AF376" i="12"/>
  <c r="AG376" i="12" s="1"/>
  <c r="Y320" i="12"/>
  <c r="AF320" i="12"/>
  <c r="AG320" i="12" s="1"/>
  <c r="AD320" i="12"/>
  <c r="AE320" i="12" s="1"/>
  <c r="Y322" i="12"/>
  <c r="AD322" i="12"/>
  <c r="AA168" i="12"/>
  <c r="Y553" i="12"/>
  <c r="AD553" i="12"/>
  <c r="AE553" i="12" s="1"/>
  <c r="AV18" i="22"/>
  <c r="AV20" i="22" s="1"/>
  <c r="AV27" i="22" s="1"/>
  <c r="AA314" i="12"/>
  <c r="AK314" i="12"/>
  <c r="BC18" i="22"/>
  <c r="BC20" i="22" s="1"/>
  <c r="BC27" i="22" s="1"/>
  <c r="AJ143" i="12"/>
  <c r="AK143" i="12"/>
  <c r="Y125" i="12"/>
  <c r="AD125" i="12"/>
  <c r="AF128" i="12"/>
  <c r="AG128" i="12" s="1"/>
  <c r="Y128" i="12"/>
  <c r="AD128" i="12"/>
  <c r="AE128" i="12" s="1"/>
  <c r="AB138" i="12"/>
  <c r="AC138" i="12" s="1"/>
  <c r="Y138" i="12"/>
  <c r="AD138" i="12"/>
  <c r="AE138" i="12" s="1"/>
  <c r="Y314" i="12"/>
  <c r="AD314" i="12"/>
  <c r="AA5" i="12"/>
  <c r="AK5" i="12"/>
  <c r="AJ138" i="12"/>
  <c r="AK138" i="12"/>
  <c r="AJ314" i="12"/>
  <c r="AJ23" i="12"/>
  <c r="AJ549" i="12"/>
  <c r="AB542" i="12"/>
  <c r="AC542" i="12" s="1"/>
  <c r="AD459" i="12"/>
  <c r="AD552" i="12"/>
  <c r="AF552" i="12"/>
  <c r="AG552" i="12" s="1"/>
  <c r="AK445" i="12"/>
  <c r="Y434" i="12"/>
  <c r="Y369" i="12"/>
  <c r="AA387" i="12"/>
  <c r="AJ387" i="12"/>
  <c r="AK107" i="12"/>
  <c r="AA107" i="12"/>
  <c r="AA482" i="12"/>
  <c r="AJ482" i="12"/>
  <c r="AA484" i="12"/>
  <c r="AK484" i="12"/>
  <c r="AK392" i="12"/>
  <c r="AJ392" i="12"/>
  <c r="AK516" i="12"/>
  <c r="AJ516" i="12"/>
  <c r="AA493" i="12"/>
  <c r="AK493" i="12"/>
  <c r="AA17" i="12"/>
  <c r="AJ17" i="12"/>
  <c r="AJ315" i="12"/>
  <c r="AA315" i="12"/>
  <c r="AA172" i="12"/>
  <c r="AK172" i="12"/>
  <c r="AA176" i="12"/>
  <c r="AJ176" i="12"/>
  <c r="Y96" i="12"/>
  <c r="AD96" i="12"/>
  <c r="AK33" i="12"/>
  <c r="AA33" i="12"/>
  <c r="AA290" i="12"/>
  <c r="AK290" i="12"/>
  <c r="AD471" i="12"/>
  <c r="AF471" i="12"/>
  <c r="AG471" i="12" s="1"/>
  <c r="AH173" i="13"/>
  <c r="AN173" i="13"/>
  <c r="S173" i="13"/>
  <c r="AR173" i="13"/>
  <c r="R173" i="13"/>
  <c r="AP173" i="13"/>
  <c r="L173" i="13"/>
  <c r="AA111" i="12"/>
  <c r="AD264" i="12"/>
  <c r="AF232" i="12"/>
  <c r="AG232" i="12" s="1"/>
  <c r="AD210" i="12"/>
  <c r="AE210" i="12" s="1"/>
  <c r="AB545" i="12"/>
  <c r="AC545" i="12" s="1"/>
  <c r="AJ527" i="12"/>
  <c r="AJ101" i="12"/>
  <c r="AA160" i="12"/>
  <c r="Y457" i="12"/>
  <c r="AJ169" i="12"/>
  <c r="AA453" i="12"/>
  <c r="AB173" i="12"/>
  <c r="AC173" i="12" s="1"/>
  <c r="AD90" i="12"/>
  <c r="AH90" i="12" s="1"/>
  <c r="AI90" i="12" s="1"/>
  <c r="Y258" i="12"/>
  <c r="AD243" i="12"/>
  <c r="AE243" i="12" s="1"/>
  <c r="AK56" i="12"/>
  <c r="AF153" i="12"/>
  <c r="AG153" i="12" s="1"/>
  <c r="AK352" i="12"/>
  <c r="AD297" i="12"/>
  <c r="AE297" i="12" s="1"/>
  <c r="AK396" i="12"/>
  <c r="AF529" i="12"/>
  <c r="AG529" i="12" s="1"/>
  <c r="AB384" i="12"/>
  <c r="AC384" i="12" s="1"/>
  <c r="AB153" i="12"/>
  <c r="AC153" i="12" s="1"/>
  <c r="Y78" i="12"/>
  <c r="AJ188" i="12"/>
  <c r="AB408" i="12"/>
  <c r="AC408" i="12" s="1"/>
  <c r="AA56" i="12"/>
  <c r="AK200" i="12"/>
  <c r="AB117" i="12"/>
  <c r="AC117" i="12" s="1"/>
  <c r="AB177" i="12"/>
  <c r="AC177" i="12" s="1"/>
  <c r="AB69" i="12"/>
  <c r="AC69" i="12" s="1"/>
  <c r="Y191" i="12"/>
  <c r="AD523" i="12"/>
  <c r="AE523" i="12" s="1"/>
  <c r="AB32" i="12"/>
  <c r="AC32" i="12" s="1"/>
  <c r="AB78" i="12"/>
  <c r="AC78" i="12" s="1"/>
  <c r="AJ525" i="12"/>
  <c r="AA341" i="12"/>
  <c r="Y90" i="12"/>
  <c r="AF69" i="12"/>
  <c r="AG69" i="12" s="1"/>
  <c r="AK93" i="12"/>
  <c r="AA70" i="12"/>
  <c r="Y202" i="12"/>
  <c r="AA254" i="12"/>
  <c r="AD205" i="12"/>
  <c r="AE205" i="12" s="1"/>
  <c r="AD191" i="12"/>
  <c r="AE191" i="12" s="1"/>
  <c r="AE344" i="12"/>
  <c r="AH344" i="12"/>
  <c r="AI344" i="12" s="1"/>
  <c r="AE342" i="12"/>
  <c r="AH342" i="12"/>
  <c r="AI342" i="12" s="1"/>
  <c r="AE393" i="12"/>
  <c r="AH393" i="12"/>
  <c r="AI393" i="12" s="1"/>
  <c r="BA18" i="22"/>
  <c r="BA20" i="22" s="1"/>
  <c r="BA27" i="22" s="1"/>
  <c r="AH158" i="12"/>
  <c r="AI158" i="12" s="1"/>
  <c r="AH542" i="12"/>
  <c r="AI542" i="12" s="1"/>
  <c r="AH293" i="12"/>
  <c r="AI293" i="12" s="1"/>
  <c r="AJ524" i="12"/>
  <c r="AB416" i="12"/>
  <c r="AC416" i="12" s="1"/>
  <c r="AD416" i="12"/>
  <c r="AJ385" i="12"/>
  <c r="AF440" i="12"/>
  <c r="AG440" i="12" s="1"/>
  <c r="AK539" i="12"/>
  <c r="AJ559" i="12"/>
  <c r="AB363" i="12"/>
  <c r="AC363" i="12" s="1"/>
  <c r="AJ344" i="12"/>
  <c r="AB342" i="12"/>
  <c r="AC342" i="12" s="1"/>
  <c r="AD558" i="12"/>
  <c r="AK555" i="12"/>
  <c r="AD441" i="12"/>
  <c r="AJ452" i="12"/>
  <c r="AK432" i="12"/>
  <c r="AJ42" i="12"/>
  <c r="AD402" i="12"/>
  <c r="AF542" i="12"/>
  <c r="AG542" i="12" s="1"/>
  <c r="AJ142" i="12"/>
  <c r="AF416" i="12"/>
  <c r="AG416" i="12" s="1"/>
  <c r="Y517" i="12"/>
  <c r="AF517" i="12"/>
  <c r="AG517" i="12" s="1"/>
  <c r="AD517" i="12"/>
  <c r="AA492" i="12"/>
  <c r="AK492" i="12"/>
  <c r="Y353" i="12"/>
  <c r="AB353" i="12"/>
  <c r="AC353" i="12" s="1"/>
  <c r="Y354" i="12"/>
  <c r="AD354" i="12"/>
  <c r="AA470" i="12"/>
  <c r="AJ470" i="12"/>
  <c r="Y474" i="12"/>
  <c r="AD474" i="12"/>
  <c r="AJ79" i="12"/>
  <c r="AA79" i="12"/>
  <c r="BI18" i="22"/>
  <c r="BI20" i="22" s="1"/>
  <c r="BI27" i="22" s="1"/>
  <c r="BD18" i="22"/>
  <c r="BD20" i="22" s="1"/>
  <c r="BD27" i="22" s="1"/>
  <c r="AH7" i="12"/>
  <c r="AI7" i="12" s="1"/>
  <c r="AH36" i="12"/>
  <c r="AI36" i="12" s="1"/>
  <c r="AH339" i="12"/>
  <c r="AI339" i="12" s="1"/>
  <c r="AH533" i="12"/>
  <c r="AI533" i="12" s="1"/>
  <c r="AH429" i="12"/>
  <c r="AI429" i="12" s="1"/>
  <c r="AJ472" i="12"/>
  <c r="AB139" i="12"/>
  <c r="AC139" i="12" s="1"/>
  <c r="AD440" i="12"/>
  <c r="AB558" i="12"/>
  <c r="AC558" i="12" s="1"/>
  <c r="AJ544" i="12"/>
  <c r="AB441" i="12"/>
  <c r="AC441" i="12" s="1"/>
  <c r="AF363" i="12"/>
  <c r="AG363" i="12" s="1"/>
  <c r="AD448" i="12"/>
  <c r="AJ474" i="12"/>
  <c r="AJ457" i="12"/>
  <c r="AJ432" i="12"/>
  <c r="AK40" i="12"/>
  <c r="AF441" i="12"/>
  <c r="AG441" i="12" s="1"/>
  <c r="AJ326" i="12"/>
  <c r="AF423" i="12"/>
  <c r="AG423" i="12" s="1"/>
  <c r="Y462" i="12"/>
  <c r="AF462" i="12"/>
  <c r="AG462" i="12" s="1"/>
  <c r="AJ367" i="12"/>
  <c r="AK367" i="12"/>
  <c r="AK14" i="12"/>
  <c r="AA14" i="12"/>
  <c r="Y81" i="12"/>
  <c r="AF81" i="12"/>
  <c r="AG81" i="12" s="1"/>
  <c r="AA84" i="12"/>
  <c r="AJ84" i="12"/>
  <c r="AA62" i="12"/>
  <c r="AK62" i="12"/>
  <c r="AA24" i="12"/>
  <c r="AJ24" i="12"/>
  <c r="AF466" i="12"/>
  <c r="AG466" i="12" s="1"/>
  <c r="Y466" i="12"/>
  <c r="Y470" i="12"/>
  <c r="AD470" i="12"/>
  <c r="AO173" i="13"/>
  <c r="X173" i="13"/>
  <c r="V173" i="13"/>
  <c r="AM173" i="13"/>
  <c r="AQ173" i="13"/>
  <c r="AF173" i="13"/>
  <c r="H173" i="13"/>
  <c r="AK477" i="12"/>
  <c r="AA477" i="12"/>
  <c r="AA135" i="12"/>
  <c r="AJ135" i="12"/>
  <c r="AF551" i="12"/>
  <c r="AG551" i="12" s="1"/>
  <c r="Y551" i="12"/>
  <c r="AD512" i="12"/>
  <c r="AH512" i="12" s="1"/>
  <c r="AI512" i="12" s="1"/>
  <c r="AF512" i="12"/>
  <c r="AG512" i="12" s="1"/>
  <c r="Y415" i="12"/>
  <c r="AF415" i="12"/>
  <c r="AG415" i="12" s="1"/>
  <c r="AK515" i="12"/>
  <c r="AA515" i="12"/>
  <c r="AA495" i="12"/>
  <c r="AK495" i="12"/>
  <c r="AA157" i="12"/>
  <c r="AJ157" i="12"/>
  <c r="AK358" i="12"/>
  <c r="AA358" i="12"/>
  <c r="AX18" i="22"/>
  <c r="AX20" i="22" s="1"/>
  <c r="AX27" i="22" s="1"/>
  <c r="AW18" i="22"/>
  <c r="AW20" i="22" s="1"/>
  <c r="AW27" i="22" s="1"/>
  <c r="BL18" i="22"/>
  <c r="BL20" i="22" s="1"/>
  <c r="BL27" i="22" s="1"/>
  <c r="AH119" i="12"/>
  <c r="AI119" i="12" s="1"/>
  <c r="AH10" i="12"/>
  <c r="AI10" i="12" s="1"/>
  <c r="AH349" i="12"/>
  <c r="AI349" i="12" s="1"/>
  <c r="AH415" i="12"/>
  <c r="AI415" i="12" s="1"/>
  <c r="AH497" i="12"/>
  <c r="AI497" i="12" s="1"/>
  <c r="AY175" i="13"/>
  <c r="AH144" i="12"/>
  <c r="AI144" i="12" s="1"/>
  <c r="AF316" i="12"/>
  <c r="AG316" i="12" s="1"/>
  <c r="AD27" i="12"/>
  <c r="AK157" i="12"/>
  <c r="AF496" i="12"/>
  <c r="AG496" i="12" s="1"/>
  <c r="AD496" i="12"/>
  <c r="AB528" i="12"/>
  <c r="AC528" i="12" s="1"/>
  <c r="AK344" i="12"/>
  <c r="AB440" i="12"/>
  <c r="AC440" i="12" s="1"/>
  <c r="AF174" i="12"/>
  <c r="AG174" i="12" s="1"/>
  <c r="AK474" i="12"/>
  <c r="AD363" i="12"/>
  <c r="AH363" i="12" s="1"/>
  <c r="AI363" i="12" s="1"/>
  <c r="AF419" i="12"/>
  <c r="AG419" i="12" s="1"/>
  <c r="AJ537" i="12"/>
  <c r="AB551" i="12"/>
  <c r="AC551" i="12" s="1"/>
  <c r="AJ529" i="12"/>
  <c r="AD306" i="12"/>
  <c r="AK385" i="12"/>
  <c r="AA337" i="12"/>
  <c r="AJ515" i="12"/>
  <c r="Y485" i="12"/>
  <c r="AJ555" i="12"/>
  <c r="AB536" i="12"/>
  <c r="AC536" i="12" s="1"/>
  <c r="AD536" i="12"/>
  <c r="AD548" i="12"/>
  <c r="AF548" i="12"/>
  <c r="AG548" i="12" s="1"/>
  <c r="Y465" i="12"/>
  <c r="AF465" i="12"/>
  <c r="AG465" i="12" s="1"/>
  <c r="AF454" i="12"/>
  <c r="AG454" i="12" s="1"/>
  <c r="Y454" i="12"/>
  <c r="Y428" i="12"/>
  <c r="AF428" i="12"/>
  <c r="AG428" i="12" s="1"/>
  <c r="Y368" i="12"/>
  <c r="AB368" i="12"/>
  <c r="AC368" i="12" s="1"/>
  <c r="AA350" i="12"/>
  <c r="AK350" i="12"/>
  <c r="AD19" i="12"/>
  <c r="AF19" i="12"/>
  <c r="AG19" i="12" s="1"/>
  <c r="AB62" i="12"/>
  <c r="AC62" i="12" s="1"/>
  <c r="Y62" i="12"/>
  <c r="Y61" i="12"/>
  <c r="AF61" i="12"/>
  <c r="AG61" i="12" s="1"/>
  <c r="Y64" i="12"/>
  <c r="AD64" i="12"/>
  <c r="Y66" i="12"/>
  <c r="AF66" i="12"/>
  <c r="AG66" i="12" s="1"/>
  <c r="AD151" i="12"/>
  <c r="AB151" i="12"/>
  <c r="AC151" i="12" s="1"/>
  <c r="AA171" i="12"/>
  <c r="AJ171" i="12"/>
  <c r="Y97" i="12"/>
  <c r="Y99" i="12"/>
  <c r="AD99" i="12"/>
  <c r="AQ310" i="13"/>
  <c r="AT310" i="13"/>
  <c r="AJ310" i="13"/>
  <c r="AR310" i="13"/>
  <c r="Y310" i="13"/>
  <c r="O310" i="13"/>
  <c r="AZ310" i="13" s="1"/>
  <c r="L310" i="13"/>
  <c r="BF18" i="22"/>
  <c r="BF20" i="22" s="1"/>
  <c r="BF27" i="22" s="1"/>
  <c r="BB18" i="22"/>
  <c r="BB20" i="22" s="1"/>
  <c r="BB27" i="22" s="1"/>
  <c r="AH432" i="12"/>
  <c r="AI432" i="12" s="1"/>
  <c r="AH81" i="12"/>
  <c r="AI81" i="12" s="1"/>
  <c r="AH59" i="12"/>
  <c r="AI59" i="12" s="1"/>
  <c r="AH131" i="12"/>
  <c r="AI131" i="12" s="1"/>
  <c r="AK475" i="12"/>
  <c r="AJ473" i="12"/>
  <c r="AJ358" i="12"/>
  <c r="AK353" i="12"/>
  <c r="AB512" i="12"/>
  <c r="AC512" i="12" s="1"/>
  <c r="AB485" i="12"/>
  <c r="AC485" i="12" s="1"/>
  <c r="AJ464" i="12"/>
  <c r="AK544" i="12"/>
  <c r="AJ486" i="12"/>
  <c r="AK479" i="12"/>
  <c r="AJ427" i="12"/>
  <c r="AK303" i="12"/>
  <c r="AK533" i="12"/>
  <c r="AK393" i="12"/>
  <c r="AA537" i="12"/>
  <c r="Y512" i="12"/>
  <c r="AK535" i="12"/>
  <c r="AJ535" i="12"/>
  <c r="AA440" i="12"/>
  <c r="AJ440" i="12"/>
  <c r="AA419" i="12"/>
  <c r="AJ419" i="12"/>
  <c r="AA402" i="12"/>
  <c r="AJ402" i="12"/>
  <c r="Y413" i="12"/>
  <c r="AB413" i="12"/>
  <c r="AC413" i="12" s="1"/>
  <c r="Y37" i="12"/>
  <c r="AF37" i="12"/>
  <c r="AG37" i="12" s="1"/>
  <c r="AJ16" i="12"/>
  <c r="AA16" i="12"/>
  <c r="AB100" i="12"/>
  <c r="AC100" i="12" s="1"/>
  <c r="Y100" i="12"/>
  <c r="AA318" i="12"/>
  <c r="AJ318" i="12"/>
  <c r="Y144" i="12"/>
  <c r="AF144" i="12"/>
  <c r="AG144" i="12" s="1"/>
  <c r="Y22" i="12"/>
  <c r="AD22" i="12"/>
  <c r="AB22" i="12"/>
  <c r="AC22" i="12" s="1"/>
  <c r="AY18" i="22"/>
  <c r="AY20" i="22" s="1"/>
  <c r="AY27" i="22" s="1"/>
  <c r="BJ18" i="22"/>
  <c r="BJ20" i="22" s="1"/>
  <c r="BJ27" i="22" s="1"/>
  <c r="AH148" i="12"/>
  <c r="AI148" i="12" s="1"/>
  <c r="AH152" i="12"/>
  <c r="AI152" i="12" s="1"/>
  <c r="AH319" i="12"/>
  <c r="AI319" i="12" s="1"/>
  <c r="AH466" i="12"/>
  <c r="AI466" i="12" s="1"/>
  <c r="AH32" i="12"/>
  <c r="AI32" i="12" s="1"/>
  <c r="AH140" i="12"/>
  <c r="AI140" i="12" s="1"/>
  <c r="AK472" i="12"/>
  <c r="AJ353" i="12"/>
  <c r="AK529" i="12"/>
  <c r="AK486" i="12"/>
  <c r="AK473" i="12"/>
  <c r="AK554" i="12"/>
  <c r="AF139" i="12"/>
  <c r="AG139" i="12" s="1"/>
  <c r="Y442" i="12"/>
  <c r="Y530" i="12"/>
  <c r="AF530" i="12"/>
  <c r="AG530" i="12" s="1"/>
  <c r="Y349" i="12"/>
  <c r="AF349" i="12"/>
  <c r="AG349" i="12" s="1"/>
  <c r="AJ304" i="12"/>
  <c r="AK304" i="12"/>
  <c r="AH15" i="12"/>
  <c r="AI15" i="12" s="1"/>
  <c r="AK119" i="12"/>
  <c r="AD139" i="12"/>
  <c r="AF485" i="12"/>
  <c r="AG485" i="12" s="1"/>
  <c r="AK546" i="12"/>
  <c r="AJ514" i="12"/>
  <c r="AK161" i="12"/>
  <c r="AB496" i="12"/>
  <c r="AC496" i="12" s="1"/>
  <c r="Y538" i="12"/>
  <c r="AD538" i="12"/>
  <c r="AE538" i="12" s="1"/>
  <c r="AA532" i="12"/>
  <c r="AK532" i="12"/>
  <c r="Y526" i="12"/>
  <c r="AF526" i="12"/>
  <c r="AG526" i="12" s="1"/>
  <c r="AD526" i="12"/>
  <c r="Y393" i="12"/>
  <c r="AB393" i="12"/>
  <c r="AC393" i="12" s="1"/>
  <c r="AZ18" i="22"/>
  <c r="AZ20" i="22" s="1"/>
  <c r="AZ27" i="22" s="1"/>
  <c r="AH452" i="12"/>
  <c r="AI452" i="12" s="1"/>
  <c r="AH479" i="12"/>
  <c r="AI479" i="12" s="1"/>
  <c r="AH421" i="12"/>
  <c r="AI421" i="12" s="1"/>
  <c r="AH406" i="12"/>
  <c r="AI406" i="12" s="1"/>
  <c r="AK524" i="12"/>
  <c r="AJ417" i="12"/>
  <c r="AK354" i="12"/>
  <c r="AB401" i="12"/>
  <c r="AC401" i="12" s="1"/>
  <c r="AJ455" i="12"/>
  <c r="AB552" i="12"/>
  <c r="AC552" i="12" s="1"/>
  <c r="AK559" i="12"/>
  <c r="AD435" i="12"/>
  <c r="AF435" i="12"/>
  <c r="AG435" i="12" s="1"/>
  <c r="AK452" i="12"/>
  <c r="AB402" i="12"/>
  <c r="AC402" i="12" s="1"/>
  <c r="AJ161" i="12"/>
  <c r="AB415" i="12"/>
  <c r="AC415" i="12" s="1"/>
  <c r="AD401" i="12"/>
  <c r="AK42" i="12"/>
  <c r="AJ393" i="12"/>
  <c r="AJ475" i="12"/>
  <c r="Y532" i="12"/>
  <c r="AB532" i="12"/>
  <c r="AC532" i="12" s="1"/>
  <c r="Y455" i="12"/>
  <c r="AF455" i="12"/>
  <c r="AG455" i="12" s="1"/>
  <c r="AA447" i="12"/>
  <c r="AJ447" i="12"/>
  <c r="AA485" i="12"/>
  <c r="AK485" i="12"/>
  <c r="AA415" i="12"/>
  <c r="AJ415" i="12"/>
  <c r="AB507" i="12"/>
  <c r="AC507" i="12" s="1"/>
  <c r="AD507" i="12"/>
  <c r="AF490" i="12"/>
  <c r="AG490" i="12" s="1"/>
  <c r="AB490" i="12"/>
  <c r="AC490" i="12" s="1"/>
  <c r="Y392" i="12"/>
  <c r="AF392" i="12"/>
  <c r="AG392" i="12" s="1"/>
  <c r="Y88" i="12"/>
  <c r="AF88" i="12"/>
  <c r="AG88" i="12" s="1"/>
  <c r="AD493" i="12"/>
  <c r="Y493" i="12"/>
  <c r="Y17" i="12"/>
  <c r="AB17" i="12"/>
  <c r="AC17" i="12" s="1"/>
  <c r="AJ178" i="12"/>
  <c r="AA186" i="12"/>
  <c r="AF48" i="12"/>
  <c r="AG48" i="12" s="1"/>
  <c r="Y73" i="12"/>
  <c r="AB163" i="12"/>
  <c r="AC163" i="12" s="1"/>
  <c r="AA132" i="12"/>
  <c r="AK54" i="12"/>
  <c r="AK398" i="12"/>
  <c r="AK49" i="12"/>
  <c r="AK333" i="12"/>
  <c r="AA436" i="12"/>
  <c r="AK525" i="12"/>
  <c r="AF457" i="12"/>
  <c r="AG457" i="12" s="1"/>
  <c r="AJ117" i="12"/>
  <c r="AD163" i="12"/>
  <c r="AE163" i="12" s="1"/>
  <c r="AB71" i="12"/>
  <c r="AC71" i="12" s="1"/>
  <c r="AB256" i="12"/>
  <c r="AC256" i="12" s="1"/>
  <c r="AJ230" i="12"/>
  <c r="AB193" i="12"/>
  <c r="AC193" i="12" s="1"/>
  <c r="AB247" i="12"/>
  <c r="AC247" i="12" s="1"/>
  <c r="Y284" i="12"/>
  <c r="AD341" i="12"/>
  <c r="AD178" i="12"/>
  <c r="AE178" i="12" s="1"/>
  <c r="Y262" i="12"/>
  <c r="AF115" i="12"/>
  <c r="AG115" i="12" s="1"/>
  <c r="AD69" i="12"/>
  <c r="AH69" i="12" s="1"/>
  <c r="AI69" i="12" s="1"/>
  <c r="AD177" i="12"/>
  <c r="AH177" i="12" s="1"/>
  <c r="AI177" i="12" s="1"/>
  <c r="AF86" i="12"/>
  <c r="AG86" i="12" s="1"/>
  <c r="Y48" i="12"/>
  <c r="AJ91" i="12"/>
  <c r="AK133" i="12"/>
  <c r="AA275" i="12"/>
  <c r="AF286" i="12"/>
  <c r="AG286" i="12" s="1"/>
  <c r="AB372" i="12"/>
  <c r="AC372" i="12" s="1"/>
  <c r="Y501" i="12"/>
  <c r="AB366" i="12"/>
  <c r="AC366" i="12" s="1"/>
  <c r="AF103" i="12"/>
  <c r="AG103" i="12" s="1"/>
  <c r="AJ366" i="12"/>
  <c r="AB438" i="12"/>
  <c r="AC438" i="12" s="1"/>
  <c r="AK446" i="12"/>
  <c r="AD408" i="12"/>
  <c r="AB80" i="12"/>
  <c r="AC80" i="12" s="1"/>
  <c r="AK166" i="12"/>
  <c r="AJ132" i="12"/>
  <c r="AB277" i="12"/>
  <c r="AC277" i="12" s="1"/>
  <c r="Y272" i="12"/>
  <c r="Y231" i="12"/>
  <c r="P298" i="13" s="1"/>
  <c r="AE171" i="12"/>
  <c r="AH171" i="12"/>
  <c r="AI171" i="12" s="1"/>
  <c r="AE417" i="12"/>
  <c r="AH417" i="12"/>
  <c r="AI417" i="12" s="1"/>
  <c r="AE514" i="12"/>
  <c r="AH514" i="12"/>
  <c r="AI514" i="12" s="1"/>
  <c r="AE414" i="12"/>
  <c r="AH414" i="12"/>
  <c r="AI414" i="12" s="1"/>
  <c r="AE334" i="12"/>
  <c r="AH334" i="12"/>
  <c r="AI334" i="12" s="1"/>
  <c r="AE460" i="12"/>
  <c r="AH460" i="12"/>
  <c r="AI460" i="12" s="1"/>
  <c r="Y385" i="12"/>
  <c r="Y460" i="12"/>
  <c r="AA547" i="12"/>
  <c r="AJ547" i="12"/>
  <c r="AF340" i="12"/>
  <c r="AG340" i="12" s="1"/>
  <c r="Y340" i="12"/>
  <c r="AD427" i="12"/>
  <c r="AE427" i="12" s="1"/>
  <c r="Y427" i="12"/>
  <c r="Y155" i="12"/>
  <c r="AB155" i="12"/>
  <c r="AC155" i="12" s="1"/>
  <c r="AK494" i="12"/>
  <c r="AA494" i="12"/>
  <c r="AB307" i="12"/>
  <c r="AC307" i="12" s="1"/>
  <c r="Y307" i="12"/>
  <c r="AA22" i="12"/>
  <c r="AJ22" i="12"/>
  <c r="AD557" i="12"/>
  <c r="AH557" i="12" s="1"/>
  <c r="AI557" i="12" s="1"/>
  <c r="Y557" i="12"/>
  <c r="AB557" i="12"/>
  <c r="AC557" i="12" s="1"/>
  <c r="Y160" i="12"/>
  <c r="AB160" i="12"/>
  <c r="AC160" i="12" s="1"/>
  <c r="AA296" i="12"/>
  <c r="AJ296" i="12"/>
  <c r="Y480" i="12"/>
  <c r="AB480" i="12"/>
  <c r="AC480" i="12" s="1"/>
  <c r="Y414" i="12"/>
  <c r="AF414" i="12"/>
  <c r="AG414" i="12" s="1"/>
  <c r="AD486" i="12"/>
  <c r="AF486" i="12"/>
  <c r="AG486" i="12" s="1"/>
  <c r="AJ95" i="12"/>
  <c r="AA95" i="12"/>
  <c r="AH490" i="12"/>
  <c r="AI490" i="12" s="1"/>
  <c r="AF142" i="12"/>
  <c r="AG142" i="12" s="1"/>
  <c r="AB142" i="12"/>
  <c r="AC142" i="12" s="1"/>
  <c r="AB515" i="12"/>
  <c r="AC515" i="12" s="1"/>
  <c r="AB184" i="12"/>
  <c r="AC184" i="12" s="1"/>
  <c r="AF161" i="12"/>
  <c r="AG161" i="12" s="1"/>
  <c r="AJ337" i="12"/>
  <c r="AJ159" i="12"/>
  <c r="AD156" i="12"/>
  <c r="Y515" i="12"/>
  <c r="Y514" i="12"/>
  <c r="AT319" i="13"/>
  <c r="AA465" i="12"/>
  <c r="AJ465" i="12"/>
  <c r="AF60" i="12"/>
  <c r="AG60" i="12" s="1"/>
  <c r="AB60" i="12"/>
  <c r="AC60" i="12" s="1"/>
  <c r="Y63" i="12"/>
  <c r="AD63" i="12"/>
  <c r="Y67" i="12"/>
  <c r="AB67" i="12"/>
  <c r="AC67" i="12" s="1"/>
  <c r="Y49" i="12"/>
  <c r="AD49" i="12"/>
  <c r="AD51" i="12"/>
  <c r="AE51" i="12" s="1"/>
  <c r="AB51" i="12"/>
  <c r="AC51" i="12" s="1"/>
  <c r="AA509" i="12"/>
  <c r="AK509" i="12"/>
  <c r="AD326" i="12"/>
  <c r="Y326" i="12"/>
  <c r="Y303" i="12"/>
  <c r="AD303" i="12"/>
  <c r="AB303" i="12"/>
  <c r="AC303" i="12" s="1"/>
  <c r="AF304" i="12"/>
  <c r="AG304" i="12" s="1"/>
  <c r="Y304" i="12"/>
  <c r="AL173" i="13"/>
  <c r="AJ173" i="13"/>
  <c r="AG173" i="13"/>
  <c r="Q173" i="13"/>
  <c r="T173" i="13"/>
  <c r="AU173" i="13"/>
  <c r="AW173" i="13"/>
  <c r="AD173" i="13"/>
  <c r="AA173" i="13"/>
  <c r="K173" i="13"/>
  <c r="N173" i="13"/>
  <c r="AT173" i="13"/>
  <c r="AV173" i="13"/>
  <c r="AI173" i="13"/>
  <c r="Z173" i="13"/>
  <c r="P173" i="13"/>
  <c r="AS173" i="13"/>
  <c r="AK173" i="13"/>
  <c r="W173" i="13"/>
  <c r="M173" i="13"/>
  <c r="U173" i="13"/>
  <c r="Y119" i="12"/>
  <c r="AB119" i="12"/>
  <c r="AC119" i="12" s="1"/>
  <c r="AF121" i="12"/>
  <c r="AG121" i="12" s="1"/>
  <c r="Y121" i="12"/>
  <c r="AH67" i="12"/>
  <c r="AI67" i="12" s="1"/>
  <c r="AB385" i="12"/>
  <c r="AC385" i="12" s="1"/>
  <c r="AD480" i="12"/>
  <c r="AK336" i="12"/>
  <c r="AK306" i="12"/>
  <c r="R319" i="13"/>
  <c r="AB486" i="12"/>
  <c r="AC486" i="12" s="1"/>
  <c r="AB514" i="12"/>
  <c r="AC514" i="12" s="1"/>
  <c r="AF456" i="12"/>
  <c r="AG456" i="12" s="1"/>
  <c r="Y456" i="12"/>
  <c r="AB456" i="12"/>
  <c r="AC456" i="12" s="1"/>
  <c r="AA458" i="12"/>
  <c r="AK458" i="12"/>
  <c r="AK530" i="12"/>
  <c r="AA530" i="12"/>
  <c r="Y536" i="12"/>
  <c r="AF536" i="12"/>
  <c r="AG536" i="12" s="1"/>
  <c r="Y407" i="12"/>
  <c r="AF407" i="12"/>
  <c r="AG407" i="12" s="1"/>
  <c r="AD407" i="12"/>
  <c r="AK10" i="12"/>
  <c r="AJ10" i="12"/>
  <c r="Y8" i="12"/>
  <c r="AB8" i="12"/>
  <c r="AC8" i="12" s="1"/>
  <c r="AJ373" i="12"/>
  <c r="AA373" i="12"/>
  <c r="AA319" i="12"/>
  <c r="AJ319" i="12"/>
  <c r="AK319" i="12"/>
  <c r="AD483" i="12"/>
  <c r="Y483" i="12"/>
  <c r="Y390" i="12"/>
  <c r="AF390" i="12"/>
  <c r="AG390" i="12" s="1"/>
  <c r="AD390" i="12"/>
  <c r="Y503" i="12"/>
  <c r="AB503" i="12"/>
  <c r="AC503" i="12" s="1"/>
  <c r="AJ487" i="12"/>
  <c r="AA487" i="12"/>
  <c r="Y29" i="12"/>
  <c r="AD29" i="12"/>
  <c r="Y25" i="12"/>
  <c r="AD25" i="12"/>
  <c r="AA325" i="12"/>
  <c r="AK325" i="12"/>
  <c r="AJ4" i="12"/>
  <c r="AK4" i="12"/>
  <c r="AF477" i="12"/>
  <c r="AG477" i="12" s="1"/>
  <c r="AB477" i="12"/>
  <c r="AC477" i="12" s="1"/>
  <c r="AE503" i="12"/>
  <c r="AH398" i="12"/>
  <c r="AI398" i="12" s="1"/>
  <c r="AH313" i="12"/>
  <c r="AI313" i="12" s="1"/>
  <c r="AJ306" i="12"/>
  <c r="AF514" i="12"/>
  <c r="AG514" i="12" s="1"/>
  <c r="AB547" i="12"/>
  <c r="AC547" i="12" s="1"/>
  <c r="AJ77" i="12"/>
  <c r="AJ121" i="12"/>
  <c r="AD340" i="12"/>
  <c r="Y421" i="12"/>
  <c r="AF421" i="12"/>
  <c r="AG421" i="12" s="1"/>
  <c r="AF345" i="12"/>
  <c r="AG345" i="12" s="1"/>
  <c r="Y345" i="12"/>
  <c r="AJ428" i="12"/>
  <c r="AK428" i="12"/>
  <c r="Y21" i="12"/>
  <c r="AD21" i="12"/>
  <c r="AA12" i="12"/>
  <c r="AK12" i="12"/>
  <c r="AJ180" i="12"/>
  <c r="AA180" i="12"/>
  <c r="AH360" i="12"/>
  <c r="AI360" i="12" s="1"/>
  <c r="AH436" i="12"/>
  <c r="AI436" i="12" s="1"/>
  <c r="AH180" i="12"/>
  <c r="AI180" i="12" s="1"/>
  <c r="AK121" i="12"/>
  <c r="AK437" i="12"/>
  <c r="AD547" i="12"/>
  <c r="AK382" i="12"/>
  <c r="AK77" i="12"/>
  <c r="AD495" i="12"/>
  <c r="AH495" i="12" s="1"/>
  <c r="AI495" i="12" s="1"/>
  <c r="AF547" i="12"/>
  <c r="AG547" i="12" s="1"/>
  <c r="Y555" i="12"/>
  <c r="AF555" i="12"/>
  <c r="AG555" i="12" s="1"/>
  <c r="Y348" i="12"/>
  <c r="AF348" i="12"/>
  <c r="AG348" i="12" s="1"/>
  <c r="AF449" i="12"/>
  <c r="AG449" i="12" s="1"/>
  <c r="AB449" i="12"/>
  <c r="AC449" i="12" s="1"/>
  <c r="AD439" i="12"/>
  <c r="Y439" i="12"/>
  <c r="AA368" i="12"/>
  <c r="AK368" i="12"/>
  <c r="AK38" i="12"/>
  <c r="AA38" i="12"/>
  <c r="Y105" i="12"/>
  <c r="AW247" i="13" s="1"/>
  <c r="AD105" i="12"/>
  <c r="AA83" i="12"/>
  <c r="AK83" i="12"/>
  <c r="AJ83" i="12"/>
  <c r="AA68" i="12"/>
  <c r="AK68" i="12"/>
  <c r="AA50" i="12"/>
  <c r="AJ50" i="12"/>
  <c r="AK50" i="12"/>
  <c r="AB379" i="12"/>
  <c r="AC379" i="12" s="1"/>
  <c r="AD379" i="12"/>
  <c r="AA130" i="12"/>
  <c r="AK130" i="12"/>
  <c r="AA158" i="12"/>
  <c r="AK158" i="12"/>
  <c r="AJ158" i="12"/>
  <c r="AA506" i="12"/>
  <c r="AK506" i="12"/>
  <c r="AK418" i="12"/>
  <c r="AA418" i="12"/>
  <c r="S4" i="18"/>
  <c r="O4" i="18"/>
  <c r="AE101" i="12"/>
  <c r="AH453" i="12"/>
  <c r="AI453" i="12" s="1"/>
  <c r="AD385" i="12"/>
  <c r="AJ437" i="12"/>
  <c r="AK497" i="12"/>
  <c r="AD375" i="12"/>
  <c r="AD160" i="12"/>
  <c r="AD142" i="12"/>
  <c r="AD184" i="12"/>
  <c r="AB538" i="12"/>
  <c r="AC538" i="12" s="1"/>
  <c r="AJ430" i="12"/>
  <c r="AA430" i="12"/>
  <c r="AF344" i="12"/>
  <c r="AG344" i="12" s="1"/>
  <c r="Y344" i="12"/>
  <c r="AB442" i="12"/>
  <c r="AC442" i="12" s="1"/>
  <c r="AD442" i="12"/>
  <c r="AK371" i="12"/>
  <c r="AJ371" i="12"/>
  <c r="AJ37" i="12"/>
  <c r="AA37" i="12"/>
  <c r="Y181" i="12"/>
  <c r="AD181" i="12"/>
  <c r="AA507" i="12"/>
  <c r="AJ507" i="12"/>
  <c r="AJ520" i="12"/>
  <c r="AK520" i="12"/>
  <c r="AA491" i="12"/>
  <c r="AJ491" i="12"/>
  <c r="AB175" i="12"/>
  <c r="AC175" i="12" s="1"/>
  <c r="Y175" i="12"/>
  <c r="Y123" i="12"/>
  <c r="AF123" i="12"/>
  <c r="AG123" i="12" s="1"/>
  <c r="AA124" i="12"/>
  <c r="AK124" i="12"/>
  <c r="AJ124" i="12"/>
  <c r="Y34" i="12"/>
  <c r="AD34" i="12"/>
  <c r="Y122" i="12"/>
  <c r="AD122" i="12"/>
  <c r="AF122" i="12"/>
  <c r="AG122" i="12" s="1"/>
  <c r="AH150" i="12"/>
  <c r="AI150" i="12" s="1"/>
  <c r="AK296" i="12"/>
  <c r="AJ336" i="12"/>
  <c r="AB414" i="12"/>
  <c r="AC414" i="12" s="1"/>
  <c r="AF184" i="12"/>
  <c r="AG184" i="12" s="1"/>
  <c r="AF156" i="12"/>
  <c r="AG156" i="12" s="1"/>
  <c r="AB383" i="12"/>
  <c r="AC383" i="12" s="1"/>
  <c r="Y559" i="12"/>
  <c r="AF559" i="12"/>
  <c r="AG559" i="12" s="1"/>
  <c r="Y533" i="12"/>
  <c r="AF533" i="12"/>
  <c r="AG533" i="12" s="1"/>
  <c r="AB430" i="12"/>
  <c r="AC430" i="12" s="1"/>
  <c r="Y430" i="12"/>
  <c r="AD430" i="12"/>
  <c r="AJ346" i="12"/>
  <c r="AA346" i="12"/>
  <c r="AA444" i="12"/>
  <c r="AK444" i="12"/>
  <c r="Y342" i="12"/>
  <c r="AF342" i="12"/>
  <c r="AG342" i="12" s="1"/>
  <c r="AF411" i="12"/>
  <c r="AG411" i="12" s="1"/>
  <c r="AB411" i="12"/>
  <c r="AC411" i="12" s="1"/>
  <c r="AB350" i="12"/>
  <c r="AC350" i="12" s="1"/>
  <c r="Y350" i="12"/>
  <c r="AJ489" i="12"/>
  <c r="AK489" i="12"/>
  <c r="AA489" i="12"/>
  <c r="AA480" i="12"/>
  <c r="Y110" i="12"/>
  <c r="AB110" i="12"/>
  <c r="AC110" i="12" s="1"/>
  <c r="AB107" i="12"/>
  <c r="AC107" i="12" s="1"/>
  <c r="Y107" i="12"/>
  <c r="AF292" i="12"/>
  <c r="AG292" i="12" s="1"/>
  <c r="AD292" i="12"/>
  <c r="AA144" i="12"/>
  <c r="AJ144" i="12"/>
  <c r="Y162" i="12"/>
  <c r="AE262" i="12"/>
  <c r="AA200" i="12"/>
  <c r="AJ274" i="12"/>
  <c r="AD134" i="12"/>
  <c r="AH134" i="12" s="1"/>
  <c r="AI134" i="12" s="1"/>
  <c r="AA274" i="12"/>
  <c r="Y113" i="12"/>
  <c r="AV293" i="13" s="1"/>
  <c r="AA277" i="12"/>
  <c r="AB226" i="12"/>
  <c r="AC226" i="12" s="1"/>
  <c r="AA233" i="12"/>
  <c r="AK194" i="12"/>
  <c r="Y208" i="12"/>
  <c r="AB131" i="12"/>
  <c r="AC131" i="12" s="1"/>
  <c r="I149" i="13"/>
  <c r="L149" i="13"/>
  <c r="AB149" i="13"/>
  <c r="Y149" i="13"/>
  <c r="AR149" i="13"/>
  <c r="AK338" i="12"/>
  <c r="AB396" i="12"/>
  <c r="AC396" i="12" s="1"/>
  <c r="Y481" i="12"/>
  <c r="AF341" i="12"/>
  <c r="AG341" i="12" s="1"/>
  <c r="AD167" i="12"/>
  <c r="Y111" i="12"/>
  <c r="AH165" i="12"/>
  <c r="AI165" i="12" s="1"/>
  <c r="AB70" i="12"/>
  <c r="AC70" i="12" s="1"/>
  <c r="AB252" i="12"/>
  <c r="AC252" i="12" s="1"/>
  <c r="AA216" i="12"/>
  <c r="Y93" i="12"/>
  <c r="AF111" i="12"/>
  <c r="AG111" i="12" s="1"/>
  <c r="AD111" i="12"/>
  <c r="AF248" i="12"/>
  <c r="AG248" i="12" s="1"/>
  <c r="U149" i="13"/>
  <c r="M149" i="13"/>
  <c r="W149" i="13"/>
  <c r="AK149" i="13"/>
  <c r="AS149" i="13"/>
  <c r="AK101" i="12"/>
  <c r="AF76" i="12"/>
  <c r="AG76" i="12" s="1"/>
  <c r="AF154" i="12"/>
  <c r="AG154" i="12" s="1"/>
  <c r="AA498" i="12"/>
  <c r="AJ48" i="12"/>
  <c r="AD74" i="12"/>
  <c r="AH74" i="12" s="1"/>
  <c r="AI74" i="12" s="1"/>
  <c r="AD73" i="12"/>
  <c r="AE73" i="12" s="1"/>
  <c r="AK117" i="12"/>
  <c r="AF206" i="12"/>
  <c r="AG206" i="12" s="1"/>
  <c r="AF93" i="12"/>
  <c r="AG93" i="12" s="1"/>
  <c r="AK216" i="12"/>
  <c r="Y190" i="12"/>
  <c r="AB284" i="12"/>
  <c r="AC284" i="12" s="1"/>
  <c r="AF190" i="12"/>
  <c r="AG190" i="12" s="1"/>
  <c r="P149" i="13"/>
  <c r="AZ149" i="13" s="1"/>
  <c r="Z149" i="13"/>
  <c r="AI149" i="13"/>
  <c r="AV149" i="13"/>
  <c r="AT149" i="13"/>
  <c r="AF150" i="12"/>
  <c r="AG150" i="12" s="1"/>
  <c r="AD76" i="12"/>
  <c r="AE76" i="12" s="1"/>
  <c r="AD311" i="12"/>
  <c r="AE311" i="12" s="1"/>
  <c r="AF178" i="12"/>
  <c r="AG178" i="12" s="1"/>
  <c r="AB165" i="12"/>
  <c r="AC165" i="12" s="1"/>
  <c r="AF92" i="12"/>
  <c r="AG92" i="12" s="1"/>
  <c r="AK89" i="12"/>
  <c r="AD113" i="12"/>
  <c r="AD117" i="12"/>
  <c r="AE117" i="12" s="1"/>
  <c r="AD52" i="12"/>
  <c r="AB560" i="12"/>
  <c r="AC560" i="12" s="1"/>
  <c r="AF202" i="12"/>
  <c r="AG202" i="12" s="1"/>
  <c r="AK191" i="12"/>
  <c r="Y209" i="12"/>
  <c r="AD190" i="12"/>
  <c r="AE190" i="12" s="1"/>
  <c r="H149" i="13"/>
  <c r="V149" i="13"/>
  <c r="AF149" i="13"/>
  <c r="BG149" i="13" s="1"/>
  <c r="X149" i="13"/>
  <c r="AQ149" i="13"/>
  <c r="BK149" i="13" s="1"/>
  <c r="AF94" i="12"/>
  <c r="AG94" i="12" s="1"/>
  <c r="AJ78" i="12"/>
  <c r="AA27" i="12"/>
  <c r="AA126" i="12"/>
  <c r="AB113" i="12"/>
  <c r="AC113" i="12" s="1"/>
  <c r="AK69" i="12"/>
  <c r="AK245" i="12"/>
  <c r="AF72" i="12"/>
  <c r="AG72" i="12" s="1"/>
  <c r="AF560" i="12"/>
  <c r="AG560" i="12" s="1"/>
  <c r="AK239" i="12"/>
  <c r="AK231" i="12"/>
  <c r="AB281" i="12"/>
  <c r="AC281" i="12" s="1"/>
  <c r="AD199" i="12"/>
  <c r="AE199" i="12" s="1"/>
  <c r="AD218" i="12"/>
  <c r="K5" i="18"/>
  <c r="AA459" i="12"/>
  <c r="AJ459" i="12"/>
  <c r="AA557" i="12"/>
  <c r="AK557" i="12"/>
  <c r="Y537" i="12"/>
  <c r="AF537" i="12"/>
  <c r="AG537" i="12" s="1"/>
  <c r="Y464" i="12"/>
  <c r="AF464" i="12"/>
  <c r="AG464" i="12" s="1"/>
  <c r="AD42" i="12"/>
  <c r="AF42" i="12"/>
  <c r="AG42" i="12" s="1"/>
  <c r="AB42" i="12"/>
  <c r="AC42" i="12" s="1"/>
  <c r="Y42" i="12"/>
  <c r="Y535" i="12"/>
  <c r="AD535" i="12"/>
  <c r="AF535" i="12"/>
  <c r="AG535" i="12" s="1"/>
  <c r="Y158" i="12"/>
  <c r="AF158" i="12"/>
  <c r="AG158" i="12" s="1"/>
  <c r="AJ380" i="12"/>
  <c r="AK380" i="12"/>
  <c r="AA380" i="12"/>
  <c r="Y95" i="12"/>
  <c r="AB95" i="12"/>
  <c r="AC95" i="12" s="1"/>
  <c r="AD95" i="12"/>
  <c r="AF95" i="12"/>
  <c r="AG95" i="12" s="1"/>
  <c r="AB77" i="12"/>
  <c r="AC77" i="12" s="1"/>
  <c r="AD77" i="12"/>
  <c r="Y77" i="12"/>
  <c r="S5" i="18"/>
  <c r="AA545" i="12"/>
  <c r="AJ545" i="12"/>
  <c r="Y528" i="12"/>
  <c r="AD528" i="12"/>
  <c r="AK351" i="12"/>
  <c r="AJ351" i="12"/>
  <c r="AA414" i="12"/>
  <c r="AK414" i="12"/>
  <c r="AJ414" i="12"/>
  <c r="AA375" i="12"/>
  <c r="AK375" i="12"/>
  <c r="AJ375" i="12"/>
  <c r="AK182" i="12"/>
  <c r="AA182" i="12"/>
  <c r="AJ182" i="12"/>
  <c r="AK334" i="12"/>
  <c r="AJ334" i="12"/>
  <c r="AJ156" i="12"/>
  <c r="AA156" i="12"/>
  <c r="AK156" i="12"/>
  <c r="AA99" i="12"/>
  <c r="AK99" i="12"/>
  <c r="Y23" i="12"/>
  <c r="AB23" i="12"/>
  <c r="AC23" i="12" s="1"/>
  <c r="AF23" i="12"/>
  <c r="AG23" i="12" s="1"/>
  <c r="AD23" i="12"/>
  <c r="AJ26" i="12"/>
  <c r="AA26" i="12"/>
  <c r="K4" i="18"/>
  <c r="AJ462" i="12"/>
  <c r="AK462" i="12"/>
  <c r="AA462" i="12"/>
  <c r="AA61" i="12"/>
  <c r="AK61" i="12"/>
  <c r="AK64" i="12"/>
  <c r="AA64" i="12"/>
  <c r="Y488" i="12"/>
  <c r="AF488" i="12"/>
  <c r="AG488" i="12" s="1"/>
  <c r="Y171" i="12"/>
  <c r="AB171" i="12"/>
  <c r="AC171" i="12" s="1"/>
  <c r="AF171" i="12"/>
  <c r="AG171" i="12" s="1"/>
  <c r="AA173" i="12"/>
  <c r="AK173" i="12"/>
  <c r="Y127" i="12"/>
  <c r="AB127" i="12"/>
  <c r="AC127" i="12" s="1"/>
  <c r="O5" i="18"/>
  <c r="AD11" i="12"/>
  <c r="AF11" i="12"/>
  <c r="AG11" i="12" s="1"/>
  <c r="AB11" i="12"/>
  <c r="AC11" i="12" s="1"/>
  <c r="Y11" i="12"/>
  <c r="AJ30" i="12"/>
  <c r="AA30" i="12"/>
  <c r="AK30" i="12"/>
  <c r="AD38" i="12"/>
  <c r="AB38" i="12"/>
  <c r="AC38" i="12" s="1"/>
  <c r="AB83" i="12"/>
  <c r="AC83" i="12" s="1"/>
  <c r="Y83" i="12"/>
  <c r="AD83" i="12"/>
  <c r="AH308" i="12"/>
  <c r="AI308" i="12" s="1"/>
  <c r="AD554" i="12"/>
  <c r="AA15" i="12"/>
  <c r="AK15" i="12"/>
  <c r="AF16" i="12"/>
  <c r="AG16" i="12" s="1"/>
  <c r="AD16" i="12"/>
  <c r="AB16" i="12"/>
  <c r="AC16" i="12" s="1"/>
  <c r="AE457" i="12"/>
  <c r="AH457" i="12"/>
  <c r="AI457" i="12" s="1"/>
  <c r="AD404" i="12"/>
  <c r="AB404" i="12"/>
  <c r="AC404" i="12" s="1"/>
  <c r="AF404" i="12"/>
  <c r="AG404" i="12" s="1"/>
  <c r="Y404" i="12"/>
  <c r="AA369" i="12"/>
  <c r="AJ369" i="12"/>
  <c r="AK369" i="12"/>
  <c r="AK410" i="12"/>
  <c r="AJ410" i="12"/>
  <c r="AA410" i="12"/>
  <c r="AA406" i="12"/>
  <c r="AJ406" i="12"/>
  <c r="AJ448" i="12"/>
  <c r="AA448" i="12"/>
  <c r="AA442" i="12"/>
  <c r="AK442" i="12"/>
  <c r="AJ442" i="12"/>
  <c r="AA345" i="12"/>
  <c r="AJ345" i="12"/>
  <c r="AA361" i="12"/>
  <c r="AJ361" i="12"/>
  <c r="AK361" i="12"/>
  <c r="AA348" i="12"/>
  <c r="AK348" i="12"/>
  <c r="AJ348" i="12"/>
  <c r="Y446" i="12"/>
  <c r="AF446" i="12"/>
  <c r="AG446" i="12" s="1"/>
  <c r="AE9" i="12"/>
  <c r="AH9" i="12"/>
  <c r="AI9" i="12" s="1"/>
  <c r="AF336" i="12"/>
  <c r="AG336" i="12" s="1"/>
  <c r="AB407" i="12"/>
  <c r="AC407" i="12" s="1"/>
  <c r="AD475" i="12"/>
  <c r="Y293" i="12"/>
  <c r="Y405" i="12"/>
  <c r="Y20" i="12"/>
  <c r="AA96" i="12"/>
  <c r="AB185" i="12"/>
  <c r="AC185" i="12" s="1"/>
  <c r="AB504" i="12"/>
  <c r="AC504" i="12" s="1"/>
  <c r="AB57" i="12"/>
  <c r="AC57" i="12" s="1"/>
  <c r="AK340" i="12"/>
  <c r="AA154" i="12"/>
  <c r="AK154" i="12"/>
  <c r="AJ154" i="12"/>
  <c r="Y26" i="12"/>
  <c r="AB26" i="12"/>
  <c r="AC26" i="12" s="1"/>
  <c r="AK470" i="12"/>
  <c r="AK305" i="12"/>
  <c r="AJ41" i="12"/>
  <c r="Y507" i="12"/>
  <c r="AJ331" i="12"/>
  <c r="AE512" i="12"/>
  <c r="AK96" i="12"/>
  <c r="Y9" i="12"/>
  <c r="AJ308" i="12"/>
  <c r="AA308" i="12"/>
  <c r="Y13" i="12"/>
  <c r="AA329" i="12"/>
  <c r="Y301" i="12"/>
  <c r="Y482" i="12"/>
  <c r="AF482" i="12"/>
  <c r="AG482" i="12" s="1"/>
  <c r="AF9" i="12"/>
  <c r="AG9" i="12" s="1"/>
  <c r="AD185" i="12"/>
  <c r="AD405" i="12"/>
  <c r="AK76" i="12"/>
  <c r="AJ381" i="12"/>
  <c r="AF57" i="12"/>
  <c r="AG57" i="12" s="1"/>
  <c r="AJ502" i="12"/>
  <c r="AJ102" i="12"/>
  <c r="AD309" i="12"/>
  <c r="AF437" i="12"/>
  <c r="AG437" i="12" s="1"/>
  <c r="AF543" i="12"/>
  <c r="AG543" i="12" s="1"/>
  <c r="Y543" i="12"/>
  <c r="Y87" i="12"/>
  <c r="AQ274" i="13" s="1"/>
  <c r="AD87" i="12"/>
  <c r="Y58" i="12"/>
  <c r="AF505" i="12"/>
  <c r="AG505" i="12" s="1"/>
  <c r="Y505" i="12"/>
  <c r="Y336" i="12"/>
  <c r="Y289" i="12"/>
  <c r="AF289" i="12"/>
  <c r="AG289" i="12" s="1"/>
  <c r="AA78" i="12"/>
  <c r="AB525" i="12"/>
  <c r="AC525" i="12" s="1"/>
  <c r="Y525" i="12"/>
  <c r="AK522" i="12"/>
  <c r="AA522" i="12"/>
  <c r="AF432" i="12"/>
  <c r="AG432" i="12" s="1"/>
  <c r="AH57" i="12"/>
  <c r="AI57" i="12" s="1"/>
  <c r="AB475" i="12"/>
  <c r="AC475" i="12" s="1"/>
  <c r="AF129" i="12"/>
  <c r="AG129" i="12" s="1"/>
  <c r="AF332" i="12"/>
  <c r="AG332" i="12" s="1"/>
  <c r="AJ19" i="12"/>
  <c r="AD422" i="12"/>
  <c r="Y471" i="12"/>
  <c r="Y51" i="12"/>
  <c r="AD411" i="12"/>
  <c r="AA19" i="12"/>
  <c r="Y508" i="12"/>
  <c r="AJ329" i="12"/>
  <c r="AA424" i="12"/>
  <c r="AK481" i="12"/>
  <c r="AA29" i="12"/>
  <c r="AB360" i="12"/>
  <c r="AC360" i="12" s="1"/>
  <c r="Y360" i="12"/>
  <c r="Y180" i="12"/>
  <c r="AF180" i="12"/>
  <c r="AG180" i="12" s="1"/>
  <c r="AJ147" i="12"/>
  <c r="AA147" i="12"/>
  <c r="Y378" i="12"/>
  <c r="AB378" i="12"/>
  <c r="AC378" i="12" s="1"/>
  <c r="AF318" i="12"/>
  <c r="AG318" i="12" s="1"/>
  <c r="AD318" i="12"/>
  <c r="Y176" i="12"/>
  <c r="AD176" i="12"/>
  <c r="AK188" i="12"/>
  <c r="AD447" i="12"/>
  <c r="AB519" i="12"/>
  <c r="AC519" i="12" s="1"/>
  <c r="AD129" i="12"/>
  <c r="AD332" i="12"/>
  <c r="AB320" i="12"/>
  <c r="AC320" i="12" s="1"/>
  <c r="AF49" i="12"/>
  <c r="AG49" i="12" s="1"/>
  <c r="Y45" i="12"/>
  <c r="Y12" i="12"/>
  <c r="AF58" i="12"/>
  <c r="AG58" i="12" s="1"/>
  <c r="AA553" i="12"/>
  <c r="AA371" i="12"/>
  <c r="Y438" i="12"/>
  <c r="AB340" i="12"/>
  <c r="AC340" i="12" s="1"/>
  <c r="AA362" i="12"/>
  <c r="AK362" i="12"/>
  <c r="AJ425" i="12"/>
  <c r="AA425" i="12"/>
  <c r="AA496" i="12"/>
  <c r="AK496" i="12"/>
  <c r="AB358" i="12"/>
  <c r="AC358" i="12" s="1"/>
  <c r="AD358" i="12"/>
  <c r="AF70" i="12"/>
  <c r="AG70" i="12" s="1"/>
  <c r="AA229" i="12"/>
  <c r="AA201" i="12"/>
  <c r="AD208" i="12"/>
  <c r="AE208" i="12" s="1"/>
  <c r="AE90" i="12"/>
  <c r="AB48" i="12"/>
  <c r="AC48" i="12" s="1"/>
  <c r="AB114" i="12"/>
  <c r="AC114" i="12" s="1"/>
  <c r="AF114" i="12"/>
  <c r="AG114" i="12" s="1"/>
  <c r="AK115" i="12"/>
  <c r="AA74" i="12"/>
  <c r="AA235" i="12"/>
  <c r="Y264" i="12"/>
  <c r="AA242" i="12"/>
  <c r="Y270" i="12"/>
  <c r="AD216" i="12"/>
  <c r="AH216" i="12" s="1"/>
  <c r="AI216" i="12" s="1"/>
  <c r="AB259" i="12"/>
  <c r="AC259" i="12" s="1"/>
  <c r="AD233" i="12"/>
  <c r="AK225" i="12"/>
  <c r="AA190" i="12"/>
  <c r="Y263" i="12"/>
  <c r="AJ312" i="12"/>
  <c r="AE48" i="12"/>
  <c r="AJ74" i="12"/>
  <c r="AB92" i="12"/>
  <c r="AC92" i="12" s="1"/>
  <c r="AF132" i="12"/>
  <c r="AG132" i="12" s="1"/>
  <c r="AD70" i="12"/>
  <c r="AA273" i="12"/>
  <c r="AA265" i="12"/>
  <c r="Y271" i="12"/>
  <c r="AB263" i="12"/>
  <c r="AC263" i="12" s="1"/>
  <c r="AA189" i="12"/>
  <c r="AA249" i="12"/>
  <c r="AA285" i="12"/>
  <c r="AE177" i="12"/>
  <c r="AA162" i="12"/>
  <c r="AD114" i="12"/>
  <c r="AH114" i="12" s="1"/>
  <c r="AI114" i="12" s="1"/>
  <c r="AB112" i="12"/>
  <c r="AC112" i="12" s="1"/>
  <c r="AD92" i="12"/>
  <c r="AH92" i="12" s="1"/>
  <c r="AI92" i="12" s="1"/>
  <c r="AK134" i="12"/>
  <c r="AJ118" i="12"/>
  <c r="AJ90" i="12"/>
  <c r="AK112" i="12"/>
  <c r="AF53" i="12"/>
  <c r="AG53" i="12" s="1"/>
  <c r="AD274" i="12"/>
  <c r="AH274" i="12" s="1"/>
  <c r="AI274" i="12" s="1"/>
  <c r="AF163" i="12"/>
  <c r="AG163" i="12" s="1"/>
  <c r="AJ54" i="12"/>
  <c r="AK70" i="12"/>
  <c r="AA560" i="12"/>
  <c r="AK264" i="12"/>
  <c r="AB232" i="12"/>
  <c r="AC232" i="12" s="1"/>
  <c r="AF271" i="12"/>
  <c r="AG271" i="12" s="1"/>
  <c r="AD263" i="12"/>
  <c r="AH263" i="12" s="1"/>
  <c r="AI263" i="12" s="1"/>
  <c r="AA238" i="12"/>
  <c r="AK227" i="12"/>
  <c r="AB230" i="12"/>
  <c r="AC230" i="12" s="1"/>
  <c r="AJ215" i="12"/>
  <c r="AB191" i="12"/>
  <c r="AC191" i="12" s="1"/>
  <c r="AA212" i="12"/>
  <c r="AJ218" i="12"/>
  <c r="AF220" i="12"/>
  <c r="AG220" i="12" s="1"/>
  <c r="AF538" i="12"/>
  <c r="AG538" i="12" s="1"/>
  <c r="AB47" i="12"/>
  <c r="AC47" i="12" s="1"/>
  <c r="AB118" i="12"/>
  <c r="AC118" i="12" s="1"/>
  <c r="AB274" i="12"/>
  <c r="AC274" i="12" s="1"/>
  <c r="AK90" i="12"/>
  <c r="AJ245" i="12"/>
  <c r="AH86" i="12"/>
  <c r="AI86" i="12" s="1"/>
  <c r="AF55" i="12"/>
  <c r="AG55" i="12" s="1"/>
  <c r="AF116" i="12"/>
  <c r="AG116" i="12" s="1"/>
  <c r="AA205" i="12"/>
  <c r="AB208" i="12"/>
  <c r="AC208" i="12" s="1"/>
  <c r="AF209" i="12"/>
  <c r="AG209" i="12" s="1"/>
  <c r="AJ212" i="12"/>
  <c r="AB198" i="12"/>
  <c r="AC198" i="12" s="1"/>
  <c r="AF47" i="12"/>
  <c r="AG47" i="12" s="1"/>
  <c r="AA93" i="12"/>
  <c r="Y165" i="12"/>
  <c r="AF262" i="12"/>
  <c r="AG262" i="12" s="1"/>
  <c r="AB115" i="12"/>
  <c r="AC115" i="12" s="1"/>
  <c r="AF274" i="12"/>
  <c r="AG274" i="12" s="1"/>
  <c r="AJ75" i="12"/>
  <c r="AD93" i="12"/>
  <c r="AD247" i="12"/>
  <c r="Y75" i="12"/>
  <c r="AK178" i="12"/>
  <c r="AA89" i="12"/>
  <c r="AD116" i="12"/>
  <c r="AE116" i="12" s="1"/>
  <c r="Y116" i="12"/>
  <c r="AK560" i="12"/>
  <c r="Y243" i="12"/>
  <c r="AJ256" i="12"/>
  <c r="AB210" i="12"/>
  <c r="AC210" i="12" s="1"/>
  <c r="AK248" i="12"/>
  <c r="AB237" i="12"/>
  <c r="AC237" i="12" s="1"/>
  <c r="AF205" i="12"/>
  <c r="AG205" i="12" s="1"/>
  <c r="Y199" i="12"/>
  <c r="AD225" i="12"/>
  <c r="AB211" i="12"/>
  <c r="AC211" i="12" s="1"/>
  <c r="AF198" i="12"/>
  <c r="AG198" i="12" s="1"/>
  <c r="AH18" i="12"/>
  <c r="AI18" i="12" s="1"/>
  <c r="AE26" i="12"/>
  <c r="AH26" i="12"/>
  <c r="AI26" i="12" s="1"/>
  <c r="Y531" i="12"/>
  <c r="AF531" i="12"/>
  <c r="AG531" i="12" s="1"/>
  <c r="AD531" i="12"/>
  <c r="AA438" i="12"/>
  <c r="AK438" i="12"/>
  <c r="Y347" i="12"/>
  <c r="AF347" i="12"/>
  <c r="AG347" i="12" s="1"/>
  <c r="AD347" i="12"/>
  <c r="AB347" i="12"/>
  <c r="AC347" i="12" s="1"/>
  <c r="Y346" i="12"/>
  <c r="AB346" i="12"/>
  <c r="AC346" i="12" s="1"/>
  <c r="AA422" i="12"/>
  <c r="AJ422" i="12"/>
  <c r="AK422" i="12"/>
  <c r="AJ363" i="12"/>
  <c r="AA363" i="12"/>
  <c r="AA511" i="12"/>
  <c r="AK511" i="12"/>
  <c r="AJ511" i="12"/>
  <c r="AE376" i="12"/>
  <c r="AH376" i="12"/>
  <c r="AI376" i="12" s="1"/>
  <c r="Y136" i="12"/>
  <c r="AB136" i="12"/>
  <c r="AC136" i="12" s="1"/>
  <c r="AD136" i="12"/>
  <c r="AA139" i="12"/>
  <c r="AJ139" i="12"/>
  <c r="AK139" i="12"/>
  <c r="Y79" i="12"/>
  <c r="AD79" i="12"/>
  <c r="AB79" i="12"/>
  <c r="AC79" i="12" s="1"/>
  <c r="AF79" i="12"/>
  <c r="AG79" i="12" s="1"/>
  <c r="AA57" i="12"/>
  <c r="AJ57" i="12"/>
  <c r="AK57" i="12"/>
  <c r="AA43" i="12"/>
  <c r="AK43" i="12"/>
  <c r="AJ43" i="12"/>
  <c r="Y14" i="12"/>
  <c r="AD14" i="12"/>
  <c r="AB14" i="12"/>
  <c r="AC14" i="12" s="1"/>
  <c r="AB399" i="12"/>
  <c r="AC399" i="12" s="1"/>
  <c r="Y399" i="12"/>
  <c r="AJ471" i="12"/>
  <c r="AK471" i="12"/>
  <c r="AA471" i="12"/>
  <c r="Y15" i="12"/>
  <c r="AB15" i="12"/>
  <c r="AC15" i="12" s="1"/>
  <c r="AF15" i="12"/>
  <c r="AG15" i="12" s="1"/>
  <c r="AA293" i="12"/>
  <c r="AK293" i="12"/>
  <c r="AJ293" i="12"/>
  <c r="AF124" i="12"/>
  <c r="AG124" i="12" s="1"/>
  <c r="Y124" i="12"/>
  <c r="AA127" i="12"/>
  <c r="AJ127" i="12"/>
  <c r="AK127" i="12"/>
  <c r="AA45" i="12"/>
  <c r="AJ45" i="12"/>
  <c r="AA534" i="12"/>
  <c r="AJ534" i="12"/>
  <c r="AF541" i="12"/>
  <c r="AG541" i="12" s="1"/>
  <c r="AD541" i="12"/>
  <c r="Y541" i="12"/>
  <c r="AJ512" i="12"/>
  <c r="AA512" i="12"/>
  <c r="AB331" i="12"/>
  <c r="AC331" i="12" s="1"/>
  <c r="Y331" i="12"/>
  <c r="AE120" i="12"/>
  <c r="AH120" i="12"/>
  <c r="AI120" i="12" s="1"/>
  <c r="AF381" i="12"/>
  <c r="AG381" i="12" s="1"/>
  <c r="Y381" i="12"/>
  <c r="AB182" i="12"/>
  <c r="AC182" i="12" s="1"/>
  <c r="AD182" i="12"/>
  <c r="AF182" i="12"/>
  <c r="AG182" i="12" s="1"/>
  <c r="Y182" i="12"/>
  <c r="Y334" i="12"/>
  <c r="AF334" i="12"/>
  <c r="AG334" i="12" s="1"/>
  <c r="AB334" i="12"/>
  <c r="AC334" i="12" s="1"/>
  <c r="Y130" i="12"/>
  <c r="AW35" i="13" s="1"/>
  <c r="AB130" i="12"/>
  <c r="AC130" i="12" s="1"/>
  <c r="Y458" i="12"/>
  <c r="AF458" i="12"/>
  <c r="AG458" i="12" s="1"/>
  <c r="AB458" i="12"/>
  <c r="AC458" i="12" s="1"/>
  <c r="Y554" i="12"/>
  <c r="AF554" i="12"/>
  <c r="AG554" i="12" s="1"/>
  <c r="AJ403" i="12"/>
  <c r="AA403" i="12"/>
  <c r="AF539" i="12"/>
  <c r="AG539" i="12" s="1"/>
  <c r="AB539" i="12"/>
  <c r="AC539" i="12" s="1"/>
  <c r="Y539" i="12"/>
  <c r="AB425" i="12"/>
  <c r="AC425" i="12" s="1"/>
  <c r="Y425" i="12"/>
  <c r="AA374" i="12"/>
  <c r="AK374" i="12"/>
  <c r="AJ374" i="12"/>
  <c r="Y417" i="12"/>
  <c r="AB417" i="12"/>
  <c r="AC417" i="12" s="1"/>
  <c r="Y161" i="12"/>
  <c r="AD161" i="12"/>
  <c r="Y357" i="12"/>
  <c r="AB357" i="12"/>
  <c r="AC357" i="12" s="1"/>
  <c r="AD357" i="12"/>
  <c r="AK394" i="12"/>
  <c r="AA394" i="12"/>
  <c r="AF40" i="12"/>
  <c r="AG40" i="12" s="1"/>
  <c r="AD40" i="12"/>
  <c r="AB40" i="12"/>
  <c r="AC40" i="12" s="1"/>
  <c r="Y40" i="12"/>
  <c r="AF540" i="12"/>
  <c r="AG540" i="12" s="1"/>
  <c r="AK347" i="12"/>
  <c r="AF21" i="12"/>
  <c r="AG21" i="12" s="1"/>
  <c r="Y33" i="12"/>
  <c r="Y490" i="12"/>
  <c r="AA538" i="12"/>
  <c r="AB147" i="12"/>
  <c r="AC147" i="12" s="1"/>
  <c r="AB431" i="12"/>
  <c r="AC431" i="12" s="1"/>
  <c r="AK309" i="12"/>
  <c r="AK66" i="12"/>
  <c r="AJ40" i="12"/>
  <c r="AD30" i="12"/>
  <c r="AB135" i="12"/>
  <c r="AC135" i="12" s="1"/>
  <c r="AB376" i="12"/>
  <c r="AC376" i="12" s="1"/>
  <c r="AF33" i="12"/>
  <c r="AG33" i="12" s="1"/>
  <c r="AK426" i="12"/>
  <c r="AB64" i="12"/>
  <c r="AC64" i="12" s="1"/>
  <c r="AA416" i="12"/>
  <c r="AA392" i="12"/>
  <c r="Y445" i="12"/>
  <c r="AB445" i="12"/>
  <c r="AC445" i="12" s="1"/>
  <c r="AJ463" i="12"/>
  <c r="AJ309" i="12"/>
  <c r="AF431" i="12"/>
  <c r="AG431" i="12" s="1"/>
  <c r="AA300" i="12"/>
  <c r="Y491" i="12"/>
  <c r="AA535" i="12"/>
  <c r="AA185" i="12"/>
  <c r="AA347" i="12"/>
  <c r="AA34" i="12"/>
  <c r="AJ126" i="12"/>
  <c r="AF445" i="12"/>
  <c r="AG445" i="12" s="1"/>
  <c r="AD353" i="12"/>
  <c r="AK417" i="12"/>
  <c r="AH269" i="12"/>
  <c r="AI269" i="12" s="1"/>
  <c r="AE269" i="12"/>
  <c r="AB453" i="12"/>
  <c r="AC453" i="12" s="1"/>
  <c r="AD365" i="12"/>
  <c r="AB325" i="12"/>
  <c r="AC325" i="12" s="1"/>
  <c r="Y82" i="12"/>
  <c r="Y371" i="12"/>
  <c r="Y489" i="12"/>
  <c r="AA323" i="12"/>
  <c r="AK323" i="12"/>
  <c r="AJ426" i="12"/>
  <c r="AD371" i="12"/>
  <c r="AA88" i="12"/>
  <c r="AF30" i="12"/>
  <c r="AG30" i="12" s="1"/>
  <c r="Y449" i="12"/>
  <c r="AA334" i="12"/>
  <c r="AK16" i="12"/>
  <c r="Y149" i="12"/>
  <c r="AA421" i="12"/>
  <c r="AA119" i="12"/>
  <c r="Y102" i="12"/>
  <c r="AJ539" i="12"/>
  <c r="AJ543" i="12"/>
  <c r="AF63" i="12"/>
  <c r="AG63" i="12" s="1"/>
  <c r="Y400" i="12"/>
  <c r="AF400" i="12"/>
  <c r="AG400" i="12" s="1"/>
  <c r="AB82" i="12"/>
  <c r="AC82" i="12" s="1"/>
  <c r="AF371" i="12"/>
  <c r="AG371" i="12" s="1"/>
  <c r="AD491" i="12"/>
  <c r="AD46" i="12"/>
  <c r="AK73" i="12"/>
  <c r="Y257" i="12"/>
  <c r="AA258" i="12"/>
  <c r="AJ261" i="12"/>
  <c r="AK255" i="12"/>
  <c r="AF219" i="12"/>
  <c r="AG219" i="12" s="1"/>
  <c r="AD256" i="12"/>
  <c r="AH256" i="12" s="1"/>
  <c r="AI256" i="12" s="1"/>
  <c r="AB239" i="12"/>
  <c r="AC239" i="12" s="1"/>
  <c r="AK197" i="12"/>
  <c r="Y246" i="12"/>
  <c r="Y248" i="12"/>
  <c r="AF270" i="12"/>
  <c r="AG270" i="12" s="1"/>
  <c r="AJ254" i="12"/>
  <c r="AJ280" i="12"/>
  <c r="AJ201" i="12"/>
  <c r="AD230" i="12"/>
  <c r="AA215" i="12"/>
  <c r="AA199" i="12"/>
  <c r="AB224" i="12"/>
  <c r="AC224" i="12" s="1"/>
  <c r="Y269" i="12"/>
  <c r="AB186" i="12"/>
  <c r="AC186" i="12" s="1"/>
  <c r="AB55" i="12"/>
  <c r="AC55" i="12" s="1"/>
  <c r="Y55" i="12"/>
  <c r="Y250" i="12"/>
  <c r="AD257" i="12"/>
  <c r="AJ263" i="12"/>
  <c r="AK261" i="12"/>
  <c r="AJ210" i="12"/>
  <c r="AA246" i="12"/>
  <c r="AA248" i="12"/>
  <c r="AD270" i="12"/>
  <c r="AE270" i="12" s="1"/>
  <c r="AK280" i="12"/>
  <c r="AA221" i="12"/>
  <c r="AK260" i="12"/>
  <c r="AB269" i="12"/>
  <c r="AC269" i="12" s="1"/>
  <c r="AF195" i="12"/>
  <c r="AG195" i="12" s="1"/>
  <c r="AJ287" i="12"/>
  <c r="AA80" i="12"/>
  <c r="AA226" i="12"/>
  <c r="AU298" i="13"/>
  <c r="AF186" i="12"/>
  <c r="AG186" i="12" s="1"/>
  <c r="AJ177" i="12"/>
  <c r="AJ80" i="12"/>
  <c r="AK165" i="12"/>
  <c r="AJ53" i="12"/>
  <c r="AA73" i="12"/>
  <c r="AJ133" i="12"/>
  <c r="AD91" i="12"/>
  <c r="AH91" i="12" s="1"/>
  <c r="AI91" i="12" s="1"/>
  <c r="AA71" i="12"/>
  <c r="AA251" i="12"/>
  <c r="AD202" i="12"/>
  <c r="AH202" i="12" s="1"/>
  <c r="AI202" i="12" s="1"/>
  <c r="AJ250" i="12"/>
  <c r="AF243" i="12"/>
  <c r="AG243" i="12" s="1"/>
  <c r="AB272" i="12"/>
  <c r="AC272" i="12" s="1"/>
  <c r="AF252" i="12"/>
  <c r="AG252" i="12" s="1"/>
  <c r="AA232" i="12"/>
  <c r="Y255" i="12"/>
  <c r="AK256" i="12"/>
  <c r="AB231" i="12"/>
  <c r="AC231" i="12" s="1"/>
  <c r="AJ246" i="12"/>
  <c r="AF259" i="12"/>
  <c r="AG259" i="12" s="1"/>
  <c r="AK214" i="12"/>
  <c r="AK230" i="12"/>
  <c r="AJ221" i="12"/>
  <c r="AD234" i="12"/>
  <c r="AE234" i="12" s="1"/>
  <c r="AD209" i="12"/>
  <c r="AE209" i="12" s="1"/>
  <c r="AF269" i="12"/>
  <c r="AG269" i="12" s="1"/>
  <c r="AD211" i="12"/>
  <c r="AE211" i="12" s="1"/>
  <c r="AV298" i="13"/>
  <c r="AD321" i="12"/>
  <c r="AH321" i="12" s="1"/>
  <c r="AI321" i="12" s="1"/>
  <c r="AB46" i="12"/>
  <c r="AC46" i="12" s="1"/>
  <c r="AB262" i="12"/>
  <c r="AC262" i="12" s="1"/>
  <c r="AB164" i="12"/>
  <c r="AC164" i="12" s="1"/>
  <c r="AK164" i="12"/>
  <c r="AD53" i="12"/>
  <c r="AH53" i="12" s="1"/>
  <c r="AI53" i="12" s="1"/>
  <c r="AK71" i="12"/>
  <c r="AA263" i="12"/>
  <c r="AF241" i="12"/>
  <c r="AG241" i="12" s="1"/>
  <c r="AA255" i="12"/>
  <c r="AF207" i="12"/>
  <c r="AG207" i="12" s="1"/>
  <c r="AD244" i="12"/>
  <c r="AK238" i="12"/>
  <c r="AJ204" i="12"/>
  <c r="Y282" i="12"/>
  <c r="Y192" i="12"/>
  <c r="AH117" i="12"/>
  <c r="AI117" i="12" s="1"/>
  <c r="AF177" i="12"/>
  <c r="AG177" i="12" s="1"/>
  <c r="AF46" i="12"/>
  <c r="AG46" i="12" s="1"/>
  <c r="AK47" i="12"/>
  <c r="AJ111" i="12"/>
  <c r="AB72" i="12"/>
  <c r="AC72" i="12" s="1"/>
  <c r="AF112" i="12"/>
  <c r="AG112" i="12" s="1"/>
  <c r="AF166" i="12"/>
  <c r="AG166" i="12" s="1"/>
  <c r="AD164" i="12"/>
  <c r="Y166" i="12"/>
  <c r="AJ164" i="12"/>
  <c r="AB53" i="12"/>
  <c r="AC53" i="12" s="1"/>
  <c r="AF90" i="12"/>
  <c r="AG90" i="12" s="1"/>
  <c r="AD72" i="12"/>
  <c r="AA55" i="12"/>
  <c r="AB255" i="12"/>
  <c r="AC255" i="12" s="1"/>
  <c r="Y229" i="12"/>
  <c r="AF282" i="12"/>
  <c r="AG282" i="12" s="1"/>
  <c r="Y217" i="12"/>
  <c r="AB312" i="12"/>
  <c r="AC312" i="12" s="1"/>
  <c r="AH115" i="12"/>
  <c r="AI115" i="12" s="1"/>
  <c r="AK177" i="12"/>
  <c r="AJ47" i="12"/>
  <c r="AA46" i="12"/>
  <c r="AJ165" i="12"/>
  <c r="AJ166" i="12"/>
  <c r="AF164" i="12"/>
  <c r="AG164" i="12" s="1"/>
  <c r="AJ134" i="12"/>
  <c r="AK75" i="12"/>
  <c r="AJ115" i="12"/>
  <c r="AD266" i="12"/>
  <c r="AH266" i="12" s="1"/>
  <c r="AI266" i="12" s="1"/>
  <c r="AD118" i="12"/>
  <c r="AH118" i="12" s="1"/>
  <c r="AI118" i="12" s="1"/>
  <c r="AF117" i="12"/>
  <c r="AG117" i="12" s="1"/>
  <c r="AF54" i="12"/>
  <c r="AG54" i="12" s="1"/>
  <c r="AF240" i="12"/>
  <c r="AG240" i="12" s="1"/>
  <c r="AJ236" i="12"/>
  <c r="AF261" i="12"/>
  <c r="AG261" i="12" s="1"/>
  <c r="AA279" i="12"/>
  <c r="AK241" i="12"/>
  <c r="AF255" i="12"/>
  <c r="AG255" i="12" s="1"/>
  <c r="AK276" i="12"/>
  <c r="Y256" i="12"/>
  <c r="AF197" i="12"/>
  <c r="AG197" i="12" s="1"/>
  <c r="AD189" i="12"/>
  <c r="AE189" i="12" s="1"/>
  <c r="AD282" i="12"/>
  <c r="AE282" i="12" s="1"/>
  <c r="AK192" i="12"/>
  <c r="AD254" i="12"/>
  <c r="AF217" i="12"/>
  <c r="AG217" i="12" s="1"/>
  <c r="AK267" i="12"/>
  <c r="AA218" i="12"/>
  <c r="AE255" i="12"/>
  <c r="AH255" i="12"/>
  <c r="AI255" i="12" s="1"/>
  <c r="AH284" i="12"/>
  <c r="AI284" i="12" s="1"/>
  <c r="AE284" i="12"/>
  <c r="AE258" i="12"/>
  <c r="AH258" i="12"/>
  <c r="AI258" i="12" s="1"/>
  <c r="AH192" i="12"/>
  <c r="AI192" i="12" s="1"/>
  <c r="AE192" i="12"/>
  <c r="AF266" i="12"/>
  <c r="AG266" i="12" s="1"/>
  <c r="AJ240" i="12"/>
  <c r="AD235" i="12"/>
  <c r="AE235" i="12" s="1"/>
  <c r="AJ252" i="12"/>
  <c r="AF242" i="12"/>
  <c r="AG242" i="12" s="1"/>
  <c r="AB204" i="12"/>
  <c r="AC204" i="12" s="1"/>
  <c r="AD285" i="12"/>
  <c r="AF213" i="12"/>
  <c r="AG213" i="12" s="1"/>
  <c r="AB266" i="12"/>
  <c r="AC266" i="12" s="1"/>
  <c r="AD245" i="12"/>
  <c r="AD250" i="12"/>
  <c r="AJ258" i="12"/>
  <c r="AK240" i="12"/>
  <c r="AK252" i="12"/>
  <c r="AF236" i="12"/>
  <c r="AG236" i="12" s="1"/>
  <c r="AD241" i="12"/>
  <c r="AB189" i="12"/>
  <c r="AC189" i="12" s="1"/>
  <c r="Y207" i="12"/>
  <c r="AJ203" i="12"/>
  <c r="AB238" i="12"/>
  <c r="AC238" i="12" s="1"/>
  <c r="AJ281" i="12"/>
  <c r="AF245" i="12"/>
  <c r="AG245" i="12" s="1"/>
  <c r="AB200" i="12"/>
  <c r="AC200" i="12" s="1"/>
  <c r="AA257" i="12"/>
  <c r="AH243" i="12"/>
  <c r="AI243" i="12" s="1"/>
  <c r="AD242" i="12"/>
  <c r="AD219" i="12"/>
  <c r="AJ197" i="12"/>
  <c r="AF189" i="12"/>
  <c r="AG189" i="12" s="1"/>
  <c r="AA231" i="12"/>
  <c r="AK203" i="12"/>
  <c r="AK244" i="12"/>
  <c r="AD238" i="12"/>
  <c r="AB248" i="12"/>
  <c r="AC248" i="12" s="1"/>
  <c r="Y249" i="12"/>
  <c r="AF237" i="12"/>
  <c r="AG237" i="12" s="1"/>
  <c r="AK281" i="12"/>
  <c r="AB192" i="12"/>
  <c r="AC192" i="12" s="1"/>
  <c r="AH205" i="12"/>
  <c r="AI205" i="12" s="1"/>
  <c r="AD227" i="12"/>
  <c r="AF199" i="12"/>
  <c r="AG199" i="12" s="1"/>
  <c r="AF193" i="12"/>
  <c r="AG193" i="12" s="1"/>
  <c r="AD253" i="12"/>
  <c r="AA283" i="12"/>
  <c r="AA239" i="12"/>
  <c r="Y268" i="12"/>
  <c r="AB195" i="12"/>
  <c r="AC195" i="12" s="1"/>
  <c r="AK196" i="12"/>
  <c r="AJ211" i="12"/>
  <c r="AF284" i="12"/>
  <c r="AG284" i="12" s="1"/>
  <c r="Y198" i="12"/>
  <c r="AB220" i="12"/>
  <c r="AC220" i="12" s="1"/>
  <c r="AA287" i="12"/>
  <c r="AB283" i="12"/>
  <c r="AC283" i="12" s="1"/>
  <c r="AJ206" i="12"/>
  <c r="Y206" i="12"/>
  <c r="AJ262" i="12"/>
  <c r="AF200" i="12"/>
  <c r="AG200" i="12" s="1"/>
  <c r="AA262" i="12"/>
  <c r="AF251" i="12"/>
  <c r="AG251" i="12" s="1"/>
  <c r="AK250" i="12"/>
  <c r="AB258" i="12"/>
  <c r="AC258" i="12" s="1"/>
  <c r="AD272" i="12"/>
  <c r="AJ242" i="12"/>
  <c r="AK236" i="12"/>
  <c r="AD232" i="12"/>
  <c r="AE232" i="12" s="1"/>
  <c r="AE281" i="12"/>
  <c r="AA278" i="12"/>
  <c r="Y285" i="12"/>
  <c r="AF192" i="12"/>
  <c r="AG192" i="12" s="1"/>
  <c r="Y227" i="12"/>
  <c r="AA225" i="12"/>
  <c r="Y234" i="12"/>
  <c r="AA268" i="12"/>
  <c r="AK211" i="12"/>
  <c r="AD283" i="12"/>
  <c r="AE283" i="12" s="1"/>
  <c r="AJ247" i="12"/>
  <c r="Y245" i="12"/>
  <c r="AD251" i="12"/>
  <c r="AE251" i="12" s="1"/>
  <c r="AK257" i="12"/>
  <c r="AF258" i="12"/>
  <c r="AG258" i="12" s="1"/>
  <c r="AA264" i="12"/>
  <c r="Y242" i="12"/>
  <c r="AF276" i="12"/>
  <c r="AG276" i="12" s="1"/>
  <c r="AA228" i="12"/>
  <c r="Y219" i="12"/>
  <c r="AF239" i="12"/>
  <c r="AG239" i="12" s="1"/>
  <c r="AD229" i="12"/>
  <c r="AA210" i="12"/>
  <c r="AD231" i="12"/>
  <c r="Y244" i="12"/>
  <c r="H304" i="13" s="1"/>
  <c r="AF249" i="12"/>
  <c r="AG249" i="12" s="1"/>
  <c r="AD237" i="12"/>
  <c r="AB254" i="12"/>
  <c r="AC254" i="12" s="1"/>
  <c r="AB227" i="12"/>
  <c r="AC227" i="12" s="1"/>
  <c r="AB221" i="12"/>
  <c r="AC221" i="12" s="1"/>
  <c r="AA260" i="12"/>
  <c r="AA234" i="12"/>
  <c r="Y253" i="12"/>
  <c r="AF268" i="12"/>
  <c r="AG268" i="12" s="1"/>
  <c r="AD200" i="12"/>
  <c r="AH200" i="12" s="1"/>
  <c r="AI200" i="12" s="1"/>
  <c r="Y241" i="12"/>
  <c r="AF228" i="12"/>
  <c r="AG228" i="12" s="1"/>
  <c r="AB203" i="12"/>
  <c r="AC203" i="12" s="1"/>
  <c r="AA244" i="12"/>
  <c r="AF281" i="12"/>
  <c r="AG281" i="12" s="1"/>
  <c r="AJ226" i="12"/>
  <c r="AJ278" i="12"/>
  <c r="AF285" i="12"/>
  <c r="AG285" i="12" s="1"/>
  <c r="AB213" i="12"/>
  <c r="AC213" i="12" s="1"/>
  <c r="AD217" i="12"/>
  <c r="AD286" i="12"/>
  <c r="AD221" i="12"/>
  <c r="AE221" i="12" s="1"/>
  <c r="AF234" i="12"/>
  <c r="AG234" i="12" s="1"/>
  <c r="AF224" i="12"/>
  <c r="AG224" i="12" s="1"/>
  <c r="AJ283" i="12"/>
  <c r="AD206" i="12"/>
  <c r="AJ266" i="12"/>
  <c r="AB250" i="12"/>
  <c r="AC250" i="12" s="1"/>
  <c r="AF235" i="12"/>
  <c r="AG235" i="12" s="1"/>
  <c r="AK272" i="12"/>
  <c r="AB261" i="12"/>
  <c r="AC261" i="12" s="1"/>
  <c r="AA241" i="12"/>
  <c r="AJ276" i="12"/>
  <c r="AD228" i="12"/>
  <c r="AE228" i="12" s="1"/>
  <c r="AK229" i="12"/>
  <c r="AF203" i="12"/>
  <c r="AG203" i="12" s="1"/>
  <c r="AA223" i="12"/>
  <c r="AF244" i="12"/>
  <c r="AG244" i="12" s="1"/>
  <c r="Y238" i="12"/>
  <c r="AD249" i="12"/>
  <c r="AK222" i="12"/>
  <c r="AD201" i="12"/>
  <c r="Y205" i="12"/>
  <c r="AF253" i="12"/>
  <c r="AG253" i="12" s="1"/>
  <c r="AK208" i="12"/>
  <c r="AD268" i="12"/>
  <c r="AK269" i="12"/>
  <c r="AK198" i="12"/>
  <c r="H25" i="7"/>
  <c r="H22" i="7"/>
  <c r="I21" i="7"/>
  <c r="I20" i="7"/>
  <c r="I25" i="7" s="1"/>
  <c r="G20" i="7"/>
  <c r="G25" i="7" s="1"/>
  <c r="J15" i="18"/>
  <c r="H15" i="18"/>
  <c r="G12" i="18"/>
  <c r="C12" i="18"/>
  <c r="C15" i="18"/>
  <c r="D15" i="18"/>
  <c r="E15" i="18"/>
  <c r="AE485" i="12"/>
  <c r="AH485" i="12"/>
  <c r="AI485" i="12" s="1"/>
  <c r="AH545" i="12"/>
  <c r="AI545" i="12" s="1"/>
  <c r="AE545" i="12"/>
  <c r="AR193" i="13"/>
  <c r="AT193" i="13"/>
  <c r="AA193" i="13"/>
  <c r="X193" i="13"/>
  <c r="I193" i="13"/>
  <c r="AL193" i="13"/>
  <c r="AN193" i="13"/>
  <c r="AF193" i="13"/>
  <c r="Q193" i="13"/>
  <c r="T193" i="13"/>
  <c r="AW193" i="13"/>
  <c r="AI193" i="13"/>
  <c r="Z193" i="13"/>
  <c r="K193" i="13"/>
  <c r="N193" i="13"/>
  <c r="AQ193" i="13"/>
  <c r="AC193" i="13"/>
  <c r="AK193" i="13"/>
  <c r="V193" i="13"/>
  <c r="H193" i="13"/>
  <c r="AV193" i="13"/>
  <c r="W193" i="13"/>
  <c r="AE193" i="13"/>
  <c r="P193" i="13"/>
  <c r="S193" i="13"/>
  <c r="AP193" i="13"/>
  <c r="AH193" i="13"/>
  <c r="Y193" i="13"/>
  <c r="J193" i="13"/>
  <c r="M193" i="13"/>
  <c r="AS193" i="13"/>
  <c r="AU193" i="13"/>
  <c r="AB193" i="13"/>
  <c r="AJ193" i="13"/>
  <c r="U193" i="13"/>
  <c r="R193" i="13"/>
  <c r="AM193" i="13"/>
  <c r="AO193" i="13"/>
  <c r="AG193" i="13"/>
  <c r="AD193" i="13"/>
  <c r="O193" i="13"/>
  <c r="L193" i="13"/>
  <c r="AE338" i="12"/>
  <c r="AH338" i="12"/>
  <c r="AI338" i="12" s="1"/>
  <c r="AE19" i="12"/>
  <c r="AH19" i="12"/>
  <c r="AI19" i="12" s="1"/>
  <c r="H97" i="13"/>
  <c r="H108" i="13"/>
  <c r="H167" i="13"/>
  <c r="K316" i="13"/>
  <c r="AE451" i="12"/>
  <c r="AB491" i="12"/>
  <c r="AC491" i="12" s="1"/>
  <c r="Y411" i="12"/>
  <c r="AK514" i="12"/>
  <c r="Y451" i="12"/>
  <c r="AK501" i="12"/>
  <c r="AF545" i="12"/>
  <c r="AG545" i="12" s="1"/>
  <c r="AB427" i="12"/>
  <c r="AC427" i="12" s="1"/>
  <c r="Y450" i="12"/>
  <c r="AA100" i="12"/>
  <c r="AA501" i="12"/>
  <c r="H8" i="13"/>
  <c r="H190" i="13"/>
  <c r="H318" i="13"/>
  <c r="H189" i="13"/>
  <c r="H317" i="13"/>
  <c r="H9" i="13"/>
  <c r="H336" i="13"/>
  <c r="H327" i="13"/>
  <c r="H223" i="13"/>
  <c r="H215" i="13"/>
  <c r="H306" i="13"/>
  <c r="H335" i="13"/>
  <c r="H325" i="13"/>
  <c r="H222" i="13"/>
  <c r="H316" i="13"/>
  <c r="H305" i="13"/>
  <c r="H340" i="13"/>
  <c r="H332" i="13"/>
  <c r="H322" i="13"/>
  <c r="H219" i="13"/>
  <c r="H312" i="13"/>
  <c r="H301" i="13"/>
  <c r="H334" i="13"/>
  <c r="H324" i="13"/>
  <c r="H221" i="13"/>
  <c r="H315" i="13"/>
  <c r="H333" i="13"/>
  <c r="H220" i="13"/>
  <c r="H303" i="13"/>
  <c r="H294" i="13"/>
  <c r="H286" i="13"/>
  <c r="H278" i="13"/>
  <c r="H267" i="13"/>
  <c r="H256" i="13"/>
  <c r="H245" i="13"/>
  <c r="H233" i="13"/>
  <c r="H213" i="13"/>
  <c r="H205" i="13"/>
  <c r="H195" i="13"/>
  <c r="H182" i="13"/>
  <c r="H172" i="13"/>
  <c r="H156" i="13"/>
  <c r="H147" i="13"/>
  <c r="H137" i="13"/>
  <c r="H129" i="13"/>
  <c r="H121" i="13"/>
  <c r="H113" i="13"/>
  <c r="H105" i="13"/>
  <c r="H338" i="13"/>
  <c r="H320" i="13"/>
  <c r="H308" i="13"/>
  <c r="H291" i="13"/>
  <c r="H283" i="13"/>
  <c r="H275" i="13"/>
  <c r="H263" i="13"/>
  <c r="H252" i="13"/>
  <c r="H238" i="13"/>
  <c r="H230" i="13"/>
  <c r="H210" i="13"/>
  <c r="H201" i="13"/>
  <c r="H187" i="13"/>
  <c r="H179" i="13"/>
  <c r="H169" i="13"/>
  <c r="H161" i="13"/>
  <c r="H153" i="13"/>
  <c r="H144" i="13"/>
  <c r="H134" i="13"/>
  <c r="H126" i="13"/>
  <c r="H118" i="13"/>
  <c r="H110" i="13"/>
  <c r="H102" i="13"/>
  <c r="H93" i="13"/>
  <c r="H81" i="13"/>
  <c r="H70" i="13"/>
  <c r="H60" i="13"/>
  <c r="H52" i="13"/>
  <c r="H44" i="13"/>
  <c r="H36" i="13"/>
  <c r="H27" i="13"/>
  <c r="H19" i="13"/>
  <c r="H11" i="13"/>
  <c r="H337" i="13"/>
  <c r="H225" i="13"/>
  <c r="H307" i="13"/>
  <c r="H297" i="13"/>
  <c r="H288" i="13"/>
  <c r="H280" i="13"/>
  <c r="H258" i="13"/>
  <c r="H249" i="13"/>
  <c r="H235" i="13"/>
  <c r="H227" i="13"/>
  <c r="H207" i="13"/>
  <c r="H197" i="13"/>
  <c r="H184" i="13"/>
  <c r="H176" i="13"/>
  <c r="H158" i="13"/>
  <c r="H150" i="13"/>
  <c r="H139" i="13"/>
  <c r="H131" i="13"/>
  <c r="H123" i="13"/>
  <c r="H115" i="13"/>
  <c r="H107" i="13"/>
  <c r="H99" i="13"/>
  <c r="H89" i="13"/>
  <c r="H75" i="13"/>
  <c r="H66" i="13"/>
  <c r="H57" i="13"/>
  <c r="H49" i="13"/>
  <c r="H41" i="13"/>
  <c r="H32" i="13"/>
  <c r="H24" i="13"/>
  <c r="H16" i="13"/>
  <c r="H331" i="13"/>
  <c r="H218" i="13"/>
  <c r="H300" i="13"/>
  <c r="H293" i="13"/>
  <c r="H285" i="13"/>
  <c r="H277" i="13"/>
  <c r="H255" i="13"/>
  <c r="H243" i="13"/>
  <c r="H232" i="13"/>
  <c r="H212" i="13"/>
  <c r="H204" i="13"/>
  <c r="H194" i="13"/>
  <c r="H181" i="13"/>
  <c r="H171" i="13"/>
  <c r="H163" i="13"/>
  <c r="H155" i="13"/>
  <c r="H146" i="13"/>
  <c r="H136" i="13"/>
  <c r="H128" i="13"/>
  <c r="H120" i="13"/>
  <c r="H112" i="13"/>
  <c r="H104" i="13"/>
  <c r="H96" i="13"/>
  <c r="H84" i="13"/>
  <c r="H72" i="13"/>
  <c r="H62" i="13"/>
  <c r="H54" i="13"/>
  <c r="H46" i="13"/>
  <c r="H38" i="13"/>
  <c r="H29" i="13"/>
  <c r="H21" i="13"/>
  <c r="H13" i="13"/>
  <c r="H323" i="13"/>
  <c r="H314" i="13"/>
  <c r="H282" i="13"/>
  <c r="H273" i="13"/>
  <c r="H261" i="13"/>
  <c r="H251" i="13"/>
  <c r="H237" i="13"/>
  <c r="H229" i="13"/>
  <c r="H209" i="13"/>
  <c r="H199" i="13"/>
  <c r="H186" i="13"/>
  <c r="H178" i="13"/>
  <c r="H168" i="13"/>
  <c r="H160" i="13"/>
  <c r="H152" i="13"/>
  <c r="H143" i="13"/>
  <c r="H133" i="13"/>
  <c r="H125" i="13"/>
  <c r="H117" i="13"/>
  <c r="H109" i="13"/>
  <c r="H101" i="13"/>
  <c r="H91" i="13"/>
  <c r="H78" i="13"/>
  <c r="H69" i="13"/>
  <c r="H59" i="13"/>
  <c r="H51" i="13"/>
  <c r="H43" i="13"/>
  <c r="H34" i="13"/>
  <c r="H330" i="13"/>
  <c r="H217" i="13"/>
  <c r="H299" i="13"/>
  <c r="H287" i="13"/>
  <c r="H279" i="13"/>
  <c r="H270" i="13"/>
  <c r="H257" i="13"/>
  <c r="H246" i="13"/>
  <c r="H234" i="13"/>
  <c r="H214" i="13"/>
  <c r="H206" i="13"/>
  <c r="H196" i="13"/>
  <c r="H183" i="13"/>
  <c r="H174" i="13"/>
  <c r="H165" i="13"/>
  <c r="H157" i="13"/>
  <c r="H148" i="13"/>
  <c r="H138" i="13"/>
  <c r="H130" i="13"/>
  <c r="H122" i="13"/>
  <c r="H114" i="13"/>
  <c r="H106" i="13"/>
  <c r="H98" i="13"/>
  <c r="H87" i="13"/>
  <c r="H74" i="13"/>
  <c r="H64" i="13"/>
  <c r="H56" i="13"/>
  <c r="H48" i="13"/>
  <c r="H40" i="13"/>
  <c r="H31" i="13"/>
  <c r="H23" i="13"/>
  <c r="H15" i="13"/>
  <c r="H329" i="13"/>
  <c r="H216" i="13"/>
  <c r="H276" i="13"/>
  <c r="H264" i="13"/>
  <c r="H253" i="13"/>
  <c r="H240" i="13"/>
  <c r="H231" i="13"/>
  <c r="H211" i="13"/>
  <c r="H203" i="13"/>
  <c r="H192" i="13"/>
  <c r="H180" i="13"/>
  <c r="H170" i="13"/>
  <c r="H162" i="13"/>
  <c r="H154" i="13"/>
  <c r="H145" i="13"/>
  <c r="H135" i="13"/>
  <c r="H127" i="13"/>
  <c r="H119" i="13"/>
  <c r="H111" i="13"/>
  <c r="H103" i="13"/>
  <c r="H95" i="13"/>
  <c r="H83" i="13"/>
  <c r="H71" i="13"/>
  <c r="H61" i="13"/>
  <c r="H53" i="13"/>
  <c r="H45" i="13"/>
  <c r="H37" i="13"/>
  <c r="H28" i="13"/>
  <c r="H20" i="13"/>
  <c r="H12" i="13"/>
  <c r="AM8" i="13"/>
  <c r="AM190" i="13"/>
  <c r="AM318" i="13"/>
  <c r="AM189" i="13"/>
  <c r="AM317" i="13"/>
  <c r="AM9" i="13"/>
  <c r="AM335" i="13"/>
  <c r="AM325" i="13"/>
  <c r="AM222" i="13"/>
  <c r="AM316" i="13"/>
  <c r="AM305" i="13"/>
  <c r="AM287" i="13"/>
  <c r="AM279" i="13"/>
  <c r="AM270" i="13"/>
  <c r="AM257" i="13"/>
  <c r="AM246" i="13"/>
  <c r="AM234" i="13"/>
  <c r="AM340" i="13"/>
  <c r="AM332" i="13"/>
  <c r="AM322" i="13"/>
  <c r="AM219" i="13"/>
  <c r="AM312" i="13"/>
  <c r="AM301" i="13"/>
  <c r="AM276" i="13"/>
  <c r="AM264" i="13"/>
  <c r="AM253" i="13"/>
  <c r="AM240" i="13"/>
  <c r="AM337" i="13"/>
  <c r="AM329" i="13"/>
  <c r="AM225" i="13"/>
  <c r="AM216" i="13"/>
  <c r="AM307" i="13"/>
  <c r="AM298" i="13"/>
  <c r="AM289" i="13"/>
  <c r="AM281" i="13"/>
  <c r="AM272" i="13"/>
  <c r="AM259" i="13"/>
  <c r="AM250" i="13"/>
  <c r="AM236" i="13"/>
  <c r="AM334" i="13"/>
  <c r="AM324" i="13"/>
  <c r="AM221" i="13"/>
  <c r="AM315" i="13"/>
  <c r="AM304" i="13"/>
  <c r="AM294" i="13"/>
  <c r="AM286" i="13"/>
  <c r="AM278" i="13"/>
  <c r="AM267" i="13"/>
  <c r="AM256" i="13"/>
  <c r="AM245" i="13"/>
  <c r="AM233" i="13"/>
  <c r="AM339" i="13"/>
  <c r="AM331" i="13"/>
  <c r="AM321" i="13"/>
  <c r="AM218" i="13"/>
  <c r="AM309" i="13"/>
  <c r="AM300" i="13"/>
  <c r="AM291" i="13"/>
  <c r="AM283" i="13"/>
  <c r="AM275" i="13"/>
  <c r="AM263" i="13"/>
  <c r="AM252" i="13"/>
  <c r="AM238" i="13"/>
  <c r="AM333" i="13"/>
  <c r="AM323" i="13"/>
  <c r="AM220" i="13"/>
  <c r="AM314" i="13"/>
  <c r="AM303" i="13"/>
  <c r="AM293" i="13"/>
  <c r="AM285" i="13"/>
  <c r="AM277" i="13"/>
  <c r="AM255" i="13"/>
  <c r="AM243" i="13"/>
  <c r="AM232" i="13"/>
  <c r="AM338" i="13"/>
  <c r="AM308" i="13"/>
  <c r="AM273" i="13"/>
  <c r="AM231" i="13"/>
  <c r="AM211" i="13"/>
  <c r="AM203" i="13"/>
  <c r="AM192" i="13"/>
  <c r="AM180" i="13"/>
  <c r="AM170" i="13"/>
  <c r="AM162" i="13"/>
  <c r="AM154" i="13"/>
  <c r="AM145" i="13"/>
  <c r="AM135" i="13"/>
  <c r="AM127" i="13"/>
  <c r="AM119" i="13"/>
  <c r="AM111" i="13"/>
  <c r="AM103" i="13"/>
  <c r="AM95" i="13"/>
  <c r="AM83" i="13"/>
  <c r="AM71" i="13"/>
  <c r="AM61" i="13"/>
  <c r="AM53" i="13"/>
  <c r="AM45" i="13"/>
  <c r="AM37" i="13"/>
  <c r="AM28" i="13"/>
  <c r="AM20" i="13"/>
  <c r="AM12" i="13"/>
  <c r="AM336" i="13"/>
  <c r="AM306" i="13"/>
  <c r="AM228" i="13"/>
  <c r="AM208" i="13"/>
  <c r="AM198" i="13"/>
  <c r="AM185" i="13"/>
  <c r="AM177" i="13"/>
  <c r="AM167" i="13"/>
  <c r="AM159" i="13"/>
  <c r="AM151" i="13"/>
  <c r="AM141" i="13"/>
  <c r="AM132" i="13"/>
  <c r="AM124" i="13"/>
  <c r="AM116" i="13"/>
  <c r="AM108" i="13"/>
  <c r="AM100" i="13"/>
  <c r="AM90" i="13"/>
  <c r="AM67" i="13"/>
  <c r="AM58" i="13"/>
  <c r="AM50" i="13"/>
  <c r="AM42" i="13"/>
  <c r="AM33" i="13"/>
  <c r="AM25" i="13"/>
  <c r="AM17" i="13"/>
  <c r="AM217" i="13"/>
  <c r="AM282" i="13"/>
  <c r="AM237" i="13"/>
  <c r="AM213" i="13"/>
  <c r="AM205" i="13"/>
  <c r="AM195" i="13"/>
  <c r="AM182" i="13"/>
  <c r="AM172" i="13"/>
  <c r="AM156" i="13"/>
  <c r="AM147" i="13"/>
  <c r="AM137" i="13"/>
  <c r="AM129" i="13"/>
  <c r="AM121" i="13"/>
  <c r="AM113" i="13"/>
  <c r="AM105" i="13"/>
  <c r="AM97" i="13"/>
  <c r="AM85" i="13"/>
  <c r="AM73" i="13"/>
  <c r="AM63" i="13"/>
  <c r="AM55" i="13"/>
  <c r="AM47" i="13"/>
  <c r="AM39" i="13"/>
  <c r="AM30" i="13"/>
  <c r="AM22" i="13"/>
  <c r="AM14" i="13"/>
  <c r="AM215" i="13"/>
  <c r="AM280" i="13"/>
  <c r="AM235" i="13"/>
  <c r="AM230" i="13"/>
  <c r="AM210" i="13"/>
  <c r="AM201" i="13"/>
  <c r="AM187" i="13"/>
  <c r="AM179" i="13"/>
  <c r="AM169" i="13"/>
  <c r="AM161" i="13"/>
  <c r="AM153" i="13"/>
  <c r="AM144" i="13"/>
  <c r="AM134" i="13"/>
  <c r="AM126" i="13"/>
  <c r="AM118" i="13"/>
  <c r="AM110" i="13"/>
  <c r="AM102" i="13"/>
  <c r="AM93" i="13"/>
  <c r="AM81" i="13"/>
  <c r="AM70" i="13"/>
  <c r="AM60" i="13"/>
  <c r="AM52" i="13"/>
  <c r="AM44" i="13"/>
  <c r="AM36" i="13"/>
  <c r="AM27" i="13"/>
  <c r="AM19" i="13"/>
  <c r="AM11" i="13"/>
  <c r="AM320" i="13"/>
  <c r="AM251" i="13"/>
  <c r="AM227" i="13"/>
  <c r="AM207" i="13"/>
  <c r="AM197" i="13"/>
  <c r="AM184" i="13"/>
  <c r="AM176" i="13"/>
  <c r="AM158" i="13"/>
  <c r="AM150" i="13"/>
  <c r="AM139" i="13"/>
  <c r="AM131" i="13"/>
  <c r="AM123" i="13"/>
  <c r="AM115" i="13"/>
  <c r="AM107" i="13"/>
  <c r="AM99" i="13"/>
  <c r="AM89" i="13"/>
  <c r="AM75" i="13"/>
  <c r="AM66" i="13"/>
  <c r="AM57" i="13"/>
  <c r="AM49" i="13"/>
  <c r="AM41" i="13"/>
  <c r="AM32" i="13"/>
  <c r="AM24" i="13"/>
  <c r="AM16" i="13"/>
  <c r="AM330" i="13"/>
  <c r="AM299" i="13"/>
  <c r="AM261" i="13"/>
  <c r="AM229" i="13"/>
  <c r="AM209" i="13"/>
  <c r="AM199" i="13"/>
  <c r="AM186" i="13"/>
  <c r="AM178" i="13"/>
  <c r="AM168" i="13"/>
  <c r="AM160" i="13"/>
  <c r="AM152" i="13"/>
  <c r="AM143" i="13"/>
  <c r="AM133" i="13"/>
  <c r="AM125" i="13"/>
  <c r="AM117" i="13"/>
  <c r="AM109" i="13"/>
  <c r="AM101" i="13"/>
  <c r="AM91" i="13"/>
  <c r="AM78" i="13"/>
  <c r="AM69" i="13"/>
  <c r="AM59" i="13"/>
  <c r="AM51" i="13"/>
  <c r="AM43" i="13"/>
  <c r="AM34" i="13"/>
  <c r="AM26" i="13"/>
  <c r="AM18" i="13"/>
  <c r="AM206" i="13"/>
  <c r="AM165" i="13"/>
  <c r="AM130" i="13"/>
  <c r="AM98" i="13"/>
  <c r="AM56" i="13"/>
  <c r="AM23" i="13"/>
  <c r="AM204" i="13"/>
  <c r="AM163" i="13"/>
  <c r="AM128" i="13"/>
  <c r="AM96" i="13"/>
  <c r="AM54" i="13"/>
  <c r="AM21" i="13"/>
  <c r="AM258" i="13"/>
  <c r="AM214" i="13"/>
  <c r="AM174" i="13"/>
  <c r="AM138" i="13"/>
  <c r="AM106" i="13"/>
  <c r="AM64" i="13"/>
  <c r="AM31" i="13"/>
  <c r="AM249" i="13"/>
  <c r="AM212" i="13"/>
  <c r="AM171" i="13"/>
  <c r="AM136" i="13"/>
  <c r="AM104" i="13"/>
  <c r="AM62" i="13"/>
  <c r="AM29" i="13"/>
  <c r="AM297" i="13"/>
  <c r="AM183" i="13"/>
  <c r="AM148" i="13"/>
  <c r="AM114" i="13"/>
  <c r="AM74" i="13"/>
  <c r="AM40" i="13"/>
  <c r="AM327" i="13"/>
  <c r="AM196" i="13"/>
  <c r="AM157" i="13"/>
  <c r="AM122" i="13"/>
  <c r="AM87" i="13"/>
  <c r="AM48" i="13"/>
  <c r="AM15" i="13"/>
  <c r="AM155" i="13"/>
  <c r="AM13" i="13"/>
  <c r="AM146" i="13"/>
  <c r="AM223" i="13"/>
  <c r="AM194" i="13"/>
  <c r="AM46" i="13"/>
  <c r="AM288" i="13"/>
  <c r="AM181" i="13"/>
  <c r="AM38" i="13"/>
  <c r="AM84" i="13"/>
  <c r="AM120" i="13"/>
  <c r="AM112" i="13"/>
  <c r="AM72" i="13"/>
  <c r="AE8" i="13"/>
  <c r="AE190" i="13"/>
  <c r="AE318" i="13"/>
  <c r="AE189" i="13"/>
  <c r="AE317" i="13"/>
  <c r="AE9" i="13"/>
  <c r="AE336" i="13"/>
  <c r="AE327" i="13"/>
  <c r="AE223" i="13"/>
  <c r="AE215" i="13"/>
  <c r="AE306" i="13"/>
  <c r="AE297" i="13"/>
  <c r="AE288" i="13"/>
  <c r="AE280" i="13"/>
  <c r="AE258" i="13"/>
  <c r="AE249" i="13"/>
  <c r="AE235" i="13"/>
  <c r="AE227" i="13"/>
  <c r="AE207" i="13"/>
  <c r="AE197" i="13"/>
  <c r="AE184" i="13"/>
  <c r="AE176" i="13"/>
  <c r="AE158" i="13"/>
  <c r="AE150" i="13"/>
  <c r="AE139" i="13"/>
  <c r="AE131" i="13"/>
  <c r="AE123" i="13"/>
  <c r="AE115" i="13"/>
  <c r="AE107" i="13"/>
  <c r="AE99" i="13"/>
  <c r="AE89" i="13"/>
  <c r="AE75" i="13"/>
  <c r="AE66" i="13"/>
  <c r="AE57" i="13"/>
  <c r="AE49" i="13"/>
  <c r="AE41" i="13"/>
  <c r="AE32" i="13"/>
  <c r="AE24" i="13"/>
  <c r="AE16" i="13"/>
  <c r="AE333" i="13"/>
  <c r="AE323" i="13"/>
  <c r="AE220" i="13"/>
  <c r="AE314" i="13"/>
  <c r="AE303" i="13"/>
  <c r="AE293" i="13"/>
  <c r="AE285" i="13"/>
  <c r="AE277" i="13"/>
  <c r="AE255" i="13"/>
  <c r="AE243" i="13"/>
  <c r="AE232" i="13"/>
  <c r="AE212" i="13"/>
  <c r="AE204" i="13"/>
  <c r="AE194" i="13"/>
  <c r="AE181" i="13"/>
  <c r="AE171" i="13"/>
  <c r="AE163" i="13"/>
  <c r="AE155" i="13"/>
  <c r="AE146" i="13"/>
  <c r="AE136" i="13"/>
  <c r="AE128" i="13"/>
  <c r="AE120" i="13"/>
  <c r="AE112" i="13"/>
  <c r="AE104" i="13"/>
  <c r="AE96" i="13"/>
  <c r="AE84" i="13"/>
  <c r="AE72" i="13"/>
  <c r="AE62" i="13"/>
  <c r="AE54" i="13"/>
  <c r="AE46" i="13"/>
  <c r="AE38" i="13"/>
  <c r="AE29" i="13"/>
  <c r="AE21" i="13"/>
  <c r="AE13" i="13"/>
  <c r="AE338" i="13"/>
  <c r="AE330" i="13"/>
  <c r="AE320" i="13"/>
  <c r="AE217" i="13"/>
  <c r="AE308" i="13"/>
  <c r="AE299" i="13"/>
  <c r="AE282" i="13"/>
  <c r="AE273" i="13"/>
  <c r="AE261" i="13"/>
  <c r="AE251" i="13"/>
  <c r="AE237" i="13"/>
  <c r="AE229" i="13"/>
  <c r="AE209" i="13"/>
  <c r="AE199" i="13"/>
  <c r="AE186" i="13"/>
  <c r="AE178" i="13"/>
  <c r="AE168" i="13"/>
  <c r="AE160" i="13"/>
  <c r="AE152" i="13"/>
  <c r="AE143" i="13"/>
  <c r="AE133" i="13"/>
  <c r="AE125" i="13"/>
  <c r="AE117" i="13"/>
  <c r="AE109" i="13"/>
  <c r="AE101" i="13"/>
  <c r="AE91" i="13"/>
  <c r="AE78" i="13"/>
  <c r="AE69" i="13"/>
  <c r="AE59" i="13"/>
  <c r="AE51" i="13"/>
  <c r="AE43" i="13"/>
  <c r="AE34" i="13"/>
  <c r="AE26" i="13"/>
  <c r="AE18" i="13"/>
  <c r="AE335" i="13"/>
  <c r="AE325" i="13"/>
  <c r="AE222" i="13"/>
  <c r="AE316" i="13"/>
  <c r="AE305" i="13"/>
  <c r="AE287" i="13"/>
  <c r="AE279" i="13"/>
  <c r="AE270" i="13"/>
  <c r="AE257" i="13"/>
  <c r="AE246" i="13"/>
  <c r="AE234" i="13"/>
  <c r="AE214" i="13"/>
  <c r="AE206" i="13"/>
  <c r="AE196" i="13"/>
  <c r="AE183" i="13"/>
  <c r="AE174" i="13"/>
  <c r="AE165" i="13"/>
  <c r="AE157" i="13"/>
  <c r="AE148" i="13"/>
  <c r="AE138" i="13"/>
  <c r="AE130" i="13"/>
  <c r="AE122" i="13"/>
  <c r="AE114" i="13"/>
  <c r="AE106" i="13"/>
  <c r="AE98" i="13"/>
  <c r="AE87" i="13"/>
  <c r="AE74" i="13"/>
  <c r="AE64" i="13"/>
  <c r="AE56" i="13"/>
  <c r="AE48" i="13"/>
  <c r="AE40" i="13"/>
  <c r="AE31" i="13"/>
  <c r="AE23" i="13"/>
  <c r="AE15" i="13"/>
  <c r="AE340" i="13"/>
  <c r="AE332" i="13"/>
  <c r="AE322" i="13"/>
  <c r="AE219" i="13"/>
  <c r="AE312" i="13"/>
  <c r="AE301" i="13"/>
  <c r="AE276" i="13"/>
  <c r="AE264" i="13"/>
  <c r="AE253" i="13"/>
  <c r="AE240" i="13"/>
  <c r="AE231" i="13"/>
  <c r="AE211" i="13"/>
  <c r="AE203" i="13"/>
  <c r="AE192" i="13"/>
  <c r="AE180" i="13"/>
  <c r="AE170" i="13"/>
  <c r="AE162" i="13"/>
  <c r="AE154" i="13"/>
  <c r="AE145" i="13"/>
  <c r="AE135" i="13"/>
  <c r="AE127" i="13"/>
  <c r="AE119" i="13"/>
  <c r="AE111" i="13"/>
  <c r="AE103" i="13"/>
  <c r="AE95" i="13"/>
  <c r="AE83" i="13"/>
  <c r="AE71" i="13"/>
  <c r="AE61" i="13"/>
  <c r="AE53" i="13"/>
  <c r="AE45" i="13"/>
  <c r="AE37" i="13"/>
  <c r="AE28" i="13"/>
  <c r="AE20" i="13"/>
  <c r="AE12" i="13"/>
  <c r="AE334" i="13"/>
  <c r="AE324" i="13"/>
  <c r="AE221" i="13"/>
  <c r="AE315" i="13"/>
  <c r="AE304" i="13"/>
  <c r="AE294" i="13"/>
  <c r="AE286" i="13"/>
  <c r="AE278" i="13"/>
  <c r="AE267" i="13"/>
  <c r="AE256" i="13"/>
  <c r="AE245" i="13"/>
  <c r="AE233" i="13"/>
  <c r="AE213" i="13"/>
  <c r="AE205" i="13"/>
  <c r="AE195" i="13"/>
  <c r="AE182" i="13"/>
  <c r="AE172" i="13"/>
  <c r="AE156" i="13"/>
  <c r="AE147" i="13"/>
  <c r="AE137" i="13"/>
  <c r="AE129" i="13"/>
  <c r="AE121" i="13"/>
  <c r="AE113" i="13"/>
  <c r="AE105" i="13"/>
  <c r="AE97" i="13"/>
  <c r="AE85" i="13"/>
  <c r="AE73" i="13"/>
  <c r="AE63" i="13"/>
  <c r="AE55" i="13"/>
  <c r="AE47" i="13"/>
  <c r="AE39" i="13"/>
  <c r="AE30" i="13"/>
  <c r="AE22" i="13"/>
  <c r="AE14" i="13"/>
  <c r="AE329" i="13"/>
  <c r="AE298" i="13"/>
  <c r="AE259" i="13"/>
  <c r="AE208" i="13"/>
  <c r="AE167" i="13"/>
  <c r="AE132" i="13"/>
  <c r="AE100" i="13"/>
  <c r="AE58" i="13"/>
  <c r="AE25" i="13"/>
  <c r="AE339" i="13"/>
  <c r="AE309" i="13"/>
  <c r="AE275" i="13"/>
  <c r="AE230" i="13"/>
  <c r="AE179" i="13"/>
  <c r="AE144" i="13"/>
  <c r="AE110" i="13"/>
  <c r="AE70" i="13"/>
  <c r="AE36" i="13"/>
  <c r="AE337" i="13"/>
  <c r="AE307" i="13"/>
  <c r="AE272" i="13"/>
  <c r="AE228" i="13"/>
  <c r="AE177" i="13"/>
  <c r="AE141" i="13"/>
  <c r="AE108" i="13"/>
  <c r="AE67" i="13"/>
  <c r="AE33" i="13"/>
  <c r="AE218" i="13"/>
  <c r="AE283" i="13"/>
  <c r="AE238" i="13"/>
  <c r="AE187" i="13"/>
  <c r="AE153" i="13"/>
  <c r="AE118" i="13"/>
  <c r="AE81" i="13"/>
  <c r="AE44" i="13"/>
  <c r="AE11" i="13"/>
  <c r="AE216" i="13"/>
  <c r="AE281" i="13"/>
  <c r="AE236" i="13"/>
  <c r="AE185" i="13"/>
  <c r="AE151" i="13"/>
  <c r="AE116" i="13"/>
  <c r="AE42" i="13"/>
  <c r="AE321" i="13"/>
  <c r="AE291" i="13"/>
  <c r="AE252" i="13"/>
  <c r="AE201" i="13"/>
  <c r="AE161" i="13"/>
  <c r="AE126" i="13"/>
  <c r="AE93" i="13"/>
  <c r="AE52" i="13"/>
  <c r="AE19" i="13"/>
  <c r="AE225" i="13"/>
  <c r="AE289" i="13"/>
  <c r="AE250" i="13"/>
  <c r="AE198" i="13"/>
  <c r="AE159" i="13"/>
  <c r="AE124" i="13"/>
  <c r="AE90" i="13"/>
  <c r="AE50" i="13"/>
  <c r="AE17" i="13"/>
  <c r="AE134" i="13"/>
  <c r="AE331" i="13"/>
  <c r="AE27" i="13"/>
  <c r="AE210" i="13"/>
  <c r="AE102" i="13"/>
  <c r="AE300" i="13"/>
  <c r="AE169" i="13"/>
  <c r="AE60" i="13"/>
  <c r="AE263" i="13"/>
  <c r="W8" i="13"/>
  <c r="W190" i="13"/>
  <c r="W318" i="13"/>
  <c r="W189" i="13"/>
  <c r="W317" i="13"/>
  <c r="W9" i="13"/>
  <c r="W335" i="13"/>
  <c r="W325" i="13"/>
  <c r="W222" i="13"/>
  <c r="W316" i="13"/>
  <c r="W305" i="13"/>
  <c r="W287" i="13"/>
  <c r="W279" i="13"/>
  <c r="W270" i="13"/>
  <c r="W257" i="13"/>
  <c r="W340" i="13"/>
  <c r="W332" i="13"/>
  <c r="W322" i="13"/>
  <c r="W219" i="13"/>
  <c r="W312" i="13"/>
  <c r="W301" i="13"/>
  <c r="W276" i="13"/>
  <c r="W264" i="13"/>
  <c r="W253" i="13"/>
  <c r="W240" i="13"/>
  <c r="W231" i="13"/>
  <c r="W211" i="13"/>
  <c r="W203" i="13"/>
  <c r="W192" i="13"/>
  <c r="W180" i="13"/>
  <c r="W170" i="13"/>
  <c r="W162" i="13"/>
  <c r="W154" i="13"/>
  <c r="W145" i="13"/>
  <c r="W135" i="13"/>
  <c r="W127" i="13"/>
  <c r="W119" i="13"/>
  <c r="W111" i="13"/>
  <c r="W103" i="13"/>
  <c r="W95" i="13"/>
  <c r="W83" i="13"/>
  <c r="W71" i="13"/>
  <c r="W61" i="13"/>
  <c r="W53" i="13"/>
  <c r="W45" i="13"/>
  <c r="W37" i="13"/>
  <c r="W28" i="13"/>
  <c r="W20" i="13"/>
  <c r="W12" i="13"/>
  <c r="W337" i="13"/>
  <c r="W329" i="13"/>
  <c r="W225" i="13"/>
  <c r="W216" i="13"/>
  <c r="W307" i="13"/>
  <c r="W298" i="13"/>
  <c r="W289" i="13"/>
  <c r="W281" i="13"/>
  <c r="W272" i="13"/>
  <c r="W259" i="13"/>
  <c r="W250" i="13"/>
  <c r="W236" i="13"/>
  <c r="W228" i="13"/>
  <c r="W208" i="13"/>
  <c r="W198" i="13"/>
  <c r="W185" i="13"/>
  <c r="W177" i="13"/>
  <c r="W167" i="13"/>
  <c r="W159" i="13"/>
  <c r="W151" i="13"/>
  <c r="W141" i="13"/>
  <c r="W132" i="13"/>
  <c r="W124" i="13"/>
  <c r="W116" i="13"/>
  <c r="W108" i="13"/>
  <c r="W100" i="13"/>
  <c r="W90" i="13"/>
  <c r="W67" i="13"/>
  <c r="W58" i="13"/>
  <c r="W50" i="13"/>
  <c r="W42" i="13"/>
  <c r="W33" i="13"/>
  <c r="W25" i="13"/>
  <c r="W17" i="13"/>
  <c r="W334" i="13"/>
  <c r="W324" i="13"/>
  <c r="W221" i="13"/>
  <c r="W315" i="13"/>
  <c r="W304" i="13"/>
  <c r="W294" i="13"/>
  <c r="W286" i="13"/>
  <c r="W278" i="13"/>
  <c r="W267" i="13"/>
  <c r="W256" i="13"/>
  <c r="W245" i="13"/>
  <c r="W233" i="13"/>
  <c r="W213" i="13"/>
  <c r="W205" i="13"/>
  <c r="W195" i="13"/>
  <c r="W182" i="13"/>
  <c r="W172" i="13"/>
  <c r="W156" i="13"/>
  <c r="W147" i="13"/>
  <c r="W137" i="13"/>
  <c r="W129" i="13"/>
  <c r="W121" i="13"/>
  <c r="W113" i="13"/>
  <c r="W105" i="13"/>
  <c r="W97" i="13"/>
  <c r="W85" i="13"/>
  <c r="W73" i="13"/>
  <c r="W63" i="13"/>
  <c r="W55" i="13"/>
  <c r="W47" i="13"/>
  <c r="W39" i="13"/>
  <c r="W30" i="13"/>
  <c r="W22" i="13"/>
  <c r="W14" i="13"/>
  <c r="W339" i="13"/>
  <c r="W331" i="13"/>
  <c r="W321" i="13"/>
  <c r="W218" i="13"/>
  <c r="W309" i="13"/>
  <c r="W300" i="13"/>
  <c r="W291" i="13"/>
  <c r="W283" i="13"/>
  <c r="W275" i="13"/>
  <c r="W263" i="13"/>
  <c r="W252" i="13"/>
  <c r="W238" i="13"/>
  <c r="W230" i="13"/>
  <c r="W210" i="13"/>
  <c r="W201" i="13"/>
  <c r="W187" i="13"/>
  <c r="W179" i="13"/>
  <c r="W169" i="13"/>
  <c r="W161" i="13"/>
  <c r="W153" i="13"/>
  <c r="W144" i="13"/>
  <c r="W134" i="13"/>
  <c r="W126" i="13"/>
  <c r="W118" i="13"/>
  <c r="W110" i="13"/>
  <c r="W102" i="13"/>
  <c r="W93" i="13"/>
  <c r="W81" i="13"/>
  <c r="W70" i="13"/>
  <c r="W60" i="13"/>
  <c r="W52" i="13"/>
  <c r="W44" i="13"/>
  <c r="W36" i="13"/>
  <c r="W27" i="13"/>
  <c r="W19" i="13"/>
  <c r="W11" i="13"/>
  <c r="W336" i="13"/>
  <c r="W327" i="13"/>
  <c r="W223" i="13"/>
  <c r="W215" i="13"/>
  <c r="W306" i="13"/>
  <c r="W297" i="13"/>
  <c r="W288" i="13"/>
  <c r="W280" i="13"/>
  <c r="W258" i="13"/>
  <c r="W333" i="13"/>
  <c r="W323" i="13"/>
  <c r="W220" i="13"/>
  <c r="W314" i="13"/>
  <c r="W303" i="13"/>
  <c r="W293" i="13"/>
  <c r="W285" i="13"/>
  <c r="W277" i="13"/>
  <c r="W255" i="13"/>
  <c r="W243" i="13"/>
  <c r="W232" i="13"/>
  <c r="W212" i="13"/>
  <c r="W204" i="13"/>
  <c r="W194" i="13"/>
  <c r="W181" i="13"/>
  <c r="W171" i="13"/>
  <c r="W163" i="13"/>
  <c r="W155" i="13"/>
  <c r="W146" i="13"/>
  <c r="W136" i="13"/>
  <c r="W128" i="13"/>
  <c r="W120" i="13"/>
  <c r="W112" i="13"/>
  <c r="W104" i="13"/>
  <c r="W96" i="13"/>
  <c r="W84" i="13"/>
  <c r="W72" i="13"/>
  <c r="W62" i="13"/>
  <c r="W54" i="13"/>
  <c r="W46" i="13"/>
  <c r="W38" i="13"/>
  <c r="W29" i="13"/>
  <c r="W21" i="13"/>
  <c r="W13" i="13"/>
  <c r="W338" i="13"/>
  <c r="W330" i="13"/>
  <c r="W320" i="13"/>
  <c r="W217" i="13"/>
  <c r="W308" i="13"/>
  <c r="W299" i="13"/>
  <c r="W282" i="13"/>
  <c r="W273" i="13"/>
  <c r="W261" i="13"/>
  <c r="W251" i="13"/>
  <c r="W237" i="13"/>
  <c r="W229" i="13"/>
  <c r="W209" i="13"/>
  <c r="W199" i="13"/>
  <c r="W186" i="13"/>
  <c r="W178" i="13"/>
  <c r="W168" i="13"/>
  <c r="W160" i="13"/>
  <c r="W152" i="13"/>
  <c r="W143" i="13"/>
  <c r="W133" i="13"/>
  <c r="W125" i="13"/>
  <c r="W117" i="13"/>
  <c r="W109" i="13"/>
  <c r="W101" i="13"/>
  <c r="W91" i="13"/>
  <c r="W78" i="13"/>
  <c r="W69" i="13"/>
  <c r="W59" i="13"/>
  <c r="W51" i="13"/>
  <c r="W43" i="13"/>
  <c r="W34" i="13"/>
  <c r="W26" i="13"/>
  <c r="W18" i="13"/>
  <c r="W207" i="13"/>
  <c r="W131" i="13"/>
  <c r="W99" i="13"/>
  <c r="W57" i="13"/>
  <c r="W24" i="13"/>
  <c r="W206" i="13"/>
  <c r="W165" i="13"/>
  <c r="W130" i="13"/>
  <c r="W98" i="13"/>
  <c r="W56" i="13"/>
  <c r="W23" i="13"/>
  <c r="W227" i="13"/>
  <c r="W176" i="13"/>
  <c r="W139" i="13"/>
  <c r="W107" i="13"/>
  <c r="W66" i="13"/>
  <c r="W32" i="13"/>
  <c r="W214" i="13"/>
  <c r="W174" i="13"/>
  <c r="W138" i="13"/>
  <c r="W106" i="13"/>
  <c r="W64" i="13"/>
  <c r="W31" i="13"/>
  <c r="W235" i="13"/>
  <c r="W184" i="13"/>
  <c r="W150" i="13"/>
  <c r="W115" i="13"/>
  <c r="W75" i="13"/>
  <c r="W41" i="13"/>
  <c r="W234" i="13"/>
  <c r="W183" i="13"/>
  <c r="W148" i="13"/>
  <c r="W114" i="13"/>
  <c r="W74" i="13"/>
  <c r="W40" i="13"/>
  <c r="W249" i="13"/>
  <c r="W197" i="13"/>
  <c r="W158" i="13"/>
  <c r="W123" i="13"/>
  <c r="W89" i="13"/>
  <c r="W49" i="13"/>
  <c r="W16" i="13"/>
  <c r="W246" i="13"/>
  <c r="W196" i="13"/>
  <c r="W157" i="13"/>
  <c r="W122" i="13"/>
  <c r="W87" i="13"/>
  <c r="W48" i="13"/>
  <c r="W15" i="13"/>
  <c r="O8" i="13"/>
  <c r="O190" i="13"/>
  <c r="O318" i="13"/>
  <c r="O189" i="13"/>
  <c r="O317" i="13"/>
  <c r="O9" i="13"/>
  <c r="O337" i="13"/>
  <c r="O329" i="13"/>
  <c r="O225" i="13"/>
  <c r="O216" i="13"/>
  <c r="O307" i="13"/>
  <c r="O298" i="13"/>
  <c r="O289" i="13"/>
  <c r="O281" i="13"/>
  <c r="O272" i="13"/>
  <c r="O259" i="13"/>
  <c r="O250" i="13"/>
  <c r="O236" i="13"/>
  <c r="O228" i="13"/>
  <c r="O208" i="13"/>
  <c r="O198" i="13"/>
  <c r="O185" i="13"/>
  <c r="O177" i="13"/>
  <c r="O167" i="13"/>
  <c r="O159" i="13"/>
  <c r="O151" i="13"/>
  <c r="O141" i="13"/>
  <c r="O132" i="13"/>
  <c r="O124" i="13"/>
  <c r="O116" i="13"/>
  <c r="O108" i="13"/>
  <c r="O100" i="13"/>
  <c r="O90" i="13"/>
  <c r="O334" i="13"/>
  <c r="O324" i="13"/>
  <c r="O221" i="13"/>
  <c r="O315" i="13"/>
  <c r="O304" i="13"/>
  <c r="O294" i="13"/>
  <c r="O286" i="13"/>
  <c r="O278" i="13"/>
  <c r="O267" i="13"/>
  <c r="O256" i="13"/>
  <c r="O245" i="13"/>
  <c r="O233" i="13"/>
  <c r="O213" i="13"/>
  <c r="O205" i="13"/>
  <c r="O195" i="13"/>
  <c r="O182" i="13"/>
  <c r="O172" i="13"/>
  <c r="O156" i="13"/>
  <c r="O147" i="13"/>
  <c r="O137" i="13"/>
  <c r="O129" i="13"/>
  <c r="O121" i="13"/>
  <c r="O113" i="13"/>
  <c r="O105" i="13"/>
  <c r="O339" i="13"/>
  <c r="O331" i="13"/>
  <c r="O321" i="13"/>
  <c r="O218" i="13"/>
  <c r="O309" i="13"/>
  <c r="O300" i="13"/>
  <c r="O291" i="13"/>
  <c r="O283" i="13"/>
  <c r="O275" i="13"/>
  <c r="O263" i="13"/>
  <c r="O252" i="13"/>
  <c r="O238" i="13"/>
  <c r="O230" i="13"/>
  <c r="O210" i="13"/>
  <c r="O201" i="13"/>
  <c r="O187" i="13"/>
  <c r="O179" i="13"/>
  <c r="O169" i="13"/>
  <c r="O161" i="13"/>
  <c r="O153" i="13"/>
  <c r="O144" i="13"/>
  <c r="O134" i="13"/>
  <c r="O126" i="13"/>
  <c r="O118" i="13"/>
  <c r="O110" i="13"/>
  <c r="O102" i="13"/>
  <c r="O93" i="13"/>
  <c r="O336" i="13"/>
  <c r="O327" i="13"/>
  <c r="O223" i="13"/>
  <c r="O215" i="13"/>
  <c r="O306" i="13"/>
  <c r="O297" i="13"/>
  <c r="O288" i="13"/>
  <c r="O280" i="13"/>
  <c r="O258" i="13"/>
  <c r="O249" i="13"/>
  <c r="O235" i="13"/>
  <c r="O227" i="13"/>
  <c r="O207" i="13"/>
  <c r="O197" i="13"/>
  <c r="O184" i="13"/>
  <c r="O176" i="13"/>
  <c r="O158" i="13"/>
  <c r="O150" i="13"/>
  <c r="O139" i="13"/>
  <c r="O131" i="13"/>
  <c r="O123" i="13"/>
  <c r="O115" i="13"/>
  <c r="O107" i="13"/>
  <c r="O99" i="13"/>
  <c r="O333" i="13"/>
  <c r="O323" i="13"/>
  <c r="O220" i="13"/>
  <c r="O314" i="13"/>
  <c r="O303" i="13"/>
  <c r="O293" i="13"/>
  <c r="O285" i="13"/>
  <c r="O277" i="13"/>
  <c r="O255" i="13"/>
  <c r="O243" i="13"/>
  <c r="O232" i="13"/>
  <c r="O212" i="13"/>
  <c r="O204" i="13"/>
  <c r="O194" i="13"/>
  <c r="O181" i="13"/>
  <c r="O171" i="13"/>
  <c r="O163" i="13"/>
  <c r="O155" i="13"/>
  <c r="O146" i="13"/>
  <c r="O136" i="13"/>
  <c r="O128" i="13"/>
  <c r="O120" i="13"/>
  <c r="O112" i="13"/>
  <c r="O338" i="13"/>
  <c r="O330" i="13"/>
  <c r="O320" i="13"/>
  <c r="O217" i="13"/>
  <c r="O308" i="13"/>
  <c r="O299" i="13"/>
  <c r="O282" i="13"/>
  <c r="O273" i="13"/>
  <c r="O261" i="13"/>
  <c r="O251" i="13"/>
  <c r="O237" i="13"/>
  <c r="O229" i="13"/>
  <c r="O209" i="13"/>
  <c r="O199" i="13"/>
  <c r="O186" i="13"/>
  <c r="O178" i="13"/>
  <c r="O168" i="13"/>
  <c r="O160" i="13"/>
  <c r="O152" i="13"/>
  <c r="O143" i="13"/>
  <c r="O133" i="13"/>
  <c r="O125" i="13"/>
  <c r="O117" i="13"/>
  <c r="O109" i="13"/>
  <c r="O101" i="13"/>
  <c r="O335" i="13"/>
  <c r="O325" i="13"/>
  <c r="O222" i="13"/>
  <c r="O316" i="13"/>
  <c r="O305" i="13"/>
  <c r="O287" i="13"/>
  <c r="O279" i="13"/>
  <c r="O270" i="13"/>
  <c r="O257" i="13"/>
  <c r="O246" i="13"/>
  <c r="O234" i="13"/>
  <c r="O214" i="13"/>
  <c r="O206" i="13"/>
  <c r="O196" i="13"/>
  <c r="O183" i="13"/>
  <c r="O174" i="13"/>
  <c r="O165" i="13"/>
  <c r="O157" i="13"/>
  <c r="O148" i="13"/>
  <c r="O138" i="13"/>
  <c r="O130" i="13"/>
  <c r="O122" i="13"/>
  <c r="O114" i="13"/>
  <c r="O106" i="13"/>
  <c r="O98" i="13"/>
  <c r="O219" i="13"/>
  <c r="O240" i="13"/>
  <c r="O154" i="13"/>
  <c r="O67" i="13"/>
  <c r="O58" i="13"/>
  <c r="O50" i="13"/>
  <c r="O42" i="13"/>
  <c r="O33" i="13"/>
  <c r="O25" i="13"/>
  <c r="O17" i="13"/>
  <c r="O203" i="13"/>
  <c r="O127" i="13"/>
  <c r="O97" i="13"/>
  <c r="O85" i="13"/>
  <c r="O332" i="13"/>
  <c r="O264" i="13"/>
  <c r="O170" i="13"/>
  <c r="O104" i="13"/>
  <c r="O96" i="13"/>
  <c r="O81" i="13"/>
  <c r="O70" i="13"/>
  <c r="O60" i="13"/>
  <c r="O52" i="13"/>
  <c r="O44" i="13"/>
  <c r="O36" i="13"/>
  <c r="O27" i="13"/>
  <c r="O19" i="13"/>
  <c r="O11" i="13"/>
  <c r="O312" i="13"/>
  <c r="O231" i="13"/>
  <c r="O145" i="13"/>
  <c r="O103" i="13"/>
  <c r="O89" i="13"/>
  <c r="O75" i="13"/>
  <c r="O66" i="13"/>
  <c r="O57" i="13"/>
  <c r="O49" i="13"/>
  <c r="O41" i="13"/>
  <c r="O32" i="13"/>
  <c r="O24" i="13"/>
  <c r="O16" i="13"/>
  <c r="O192" i="13"/>
  <c r="O119" i="13"/>
  <c r="O95" i="13"/>
  <c r="O84" i="13"/>
  <c r="O72" i="13"/>
  <c r="O62" i="13"/>
  <c r="O54" i="13"/>
  <c r="O46" i="13"/>
  <c r="O38" i="13"/>
  <c r="O29" i="13"/>
  <c r="O21" i="13"/>
  <c r="O13" i="13"/>
  <c r="O301" i="13"/>
  <c r="O211" i="13"/>
  <c r="O135" i="13"/>
  <c r="O87" i="13"/>
  <c r="O74" i="13"/>
  <c r="O64" i="13"/>
  <c r="O56" i="13"/>
  <c r="O48" i="13"/>
  <c r="O40" i="13"/>
  <c r="O31" i="13"/>
  <c r="O23" i="13"/>
  <c r="O15" i="13"/>
  <c r="O162" i="13"/>
  <c r="O59" i="13"/>
  <c r="O45" i="13"/>
  <c r="O30" i="13"/>
  <c r="O276" i="13"/>
  <c r="O91" i="13"/>
  <c r="O51" i="13"/>
  <c r="O37" i="13"/>
  <c r="O22" i="13"/>
  <c r="O253" i="13"/>
  <c r="O43" i="13"/>
  <c r="O28" i="13"/>
  <c r="O14" i="13"/>
  <c r="O340" i="13"/>
  <c r="O73" i="13"/>
  <c r="O34" i="13"/>
  <c r="O20" i="13"/>
  <c r="O322" i="13"/>
  <c r="O63" i="13"/>
  <c r="O26" i="13"/>
  <c r="O12" i="13"/>
  <c r="O111" i="13"/>
  <c r="O83" i="13"/>
  <c r="O71" i="13"/>
  <c r="O55" i="13"/>
  <c r="O18" i="13"/>
  <c r="O78" i="13"/>
  <c r="O61" i="13"/>
  <c r="O47" i="13"/>
  <c r="H17" i="13"/>
  <c r="H30" i="13"/>
  <c r="H39" i="13"/>
  <c r="H47" i="13"/>
  <c r="H67" i="13"/>
  <c r="H124" i="13"/>
  <c r="H198" i="13"/>
  <c r="H289" i="13"/>
  <c r="H321" i="13"/>
  <c r="K132" i="13"/>
  <c r="AT9" i="13"/>
  <c r="AT8" i="13"/>
  <c r="AT335" i="13"/>
  <c r="AT325" i="13"/>
  <c r="AT222" i="13"/>
  <c r="AT316" i="13"/>
  <c r="AT305" i="13"/>
  <c r="AT190" i="13"/>
  <c r="AT318" i="13"/>
  <c r="AT189" i="13"/>
  <c r="AT317" i="13"/>
  <c r="AT332" i="13"/>
  <c r="AT329" i="13"/>
  <c r="AT324" i="13"/>
  <c r="AT321" i="13"/>
  <c r="AT223" i="13"/>
  <c r="AT220" i="13"/>
  <c r="AT217" i="13"/>
  <c r="AT287" i="13"/>
  <c r="AT279" i="13"/>
  <c r="AT270" i="13"/>
  <c r="AT257" i="13"/>
  <c r="AT246" i="13"/>
  <c r="AT234" i="13"/>
  <c r="AT214" i="13"/>
  <c r="AT206" i="13"/>
  <c r="AT196" i="13"/>
  <c r="AT183" i="13"/>
  <c r="AT174" i="13"/>
  <c r="AT165" i="13"/>
  <c r="AT157" i="13"/>
  <c r="AT148" i="13"/>
  <c r="AT138" i="13"/>
  <c r="AT130" i="13"/>
  <c r="AT122" i="13"/>
  <c r="AT219" i="13"/>
  <c r="AT216" i="13"/>
  <c r="AT315" i="13"/>
  <c r="AT309" i="13"/>
  <c r="AT306" i="13"/>
  <c r="AT303" i="13"/>
  <c r="AT299" i="13"/>
  <c r="AT289" i="13"/>
  <c r="AT281" i="13"/>
  <c r="AT272" i="13"/>
  <c r="AT259" i="13"/>
  <c r="AT250" i="13"/>
  <c r="AT236" i="13"/>
  <c r="AT228" i="13"/>
  <c r="AT208" i="13"/>
  <c r="AT198" i="13"/>
  <c r="AT185" i="13"/>
  <c r="AT177" i="13"/>
  <c r="AT167" i="13"/>
  <c r="AT159" i="13"/>
  <c r="AT151" i="13"/>
  <c r="AT141" i="13"/>
  <c r="AT132" i="13"/>
  <c r="AT124" i="13"/>
  <c r="AT116" i="13"/>
  <c r="AT108" i="13"/>
  <c r="AT100" i="13"/>
  <c r="AT90" i="13"/>
  <c r="AT67" i="13"/>
  <c r="AT340" i="13"/>
  <c r="AT337" i="13"/>
  <c r="AT334" i="13"/>
  <c r="AT331" i="13"/>
  <c r="AT327" i="13"/>
  <c r="AT323" i="13"/>
  <c r="AT320" i="13"/>
  <c r="AT286" i="13"/>
  <c r="AT278" i="13"/>
  <c r="AT267" i="13"/>
  <c r="AT256" i="13"/>
  <c r="AT245" i="13"/>
  <c r="AT233" i="13"/>
  <c r="AT213" i="13"/>
  <c r="AT205" i="13"/>
  <c r="AT195" i="13"/>
  <c r="AT182" i="13"/>
  <c r="AT301" i="13"/>
  <c r="AT298" i="13"/>
  <c r="AT294" i="13"/>
  <c r="AT291" i="13"/>
  <c r="AT283" i="13"/>
  <c r="AT275" i="13"/>
  <c r="AT263" i="13"/>
  <c r="AT252" i="13"/>
  <c r="AT238" i="13"/>
  <c r="AT230" i="13"/>
  <c r="AT210" i="13"/>
  <c r="AT201" i="13"/>
  <c r="AT187" i="13"/>
  <c r="AT179" i="13"/>
  <c r="AT169" i="13"/>
  <c r="AT161" i="13"/>
  <c r="AT153" i="13"/>
  <c r="AT144" i="13"/>
  <c r="AT134" i="13"/>
  <c r="AT126" i="13"/>
  <c r="AT118" i="13"/>
  <c r="AT339" i="13"/>
  <c r="AT336" i="13"/>
  <c r="AT333" i="13"/>
  <c r="AT330" i="13"/>
  <c r="AT285" i="13"/>
  <c r="AT277" i="13"/>
  <c r="AT255" i="13"/>
  <c r="AT243" i="13"/>
  <c r="AT232" i="13"/>
  <c r="AT212" i="13"/>
  <c r="AT204" i="13"/>
  <c r="AT194" i="13"/>
  <c r="AT181" i="13"/>
  <c r="AT171" i="13"/>
  <c r="AT163" i="13"/>
  <c r="AT155" i="13"/>
  <c r="AT146" i="13"/>
  <c r="AT136" i="13"/>
  <c r="AT128" i="13"/>
  <c r="AT120" i="13"/>
  <c r="AT112" i="13"/>
  <c r="AT104" i="13"/>
  <c r="AT96" i="13"/>
  <c r="AT84" i="13"/>
  <c r="AT72" i="13"/>
  <c r="AT62" i="13"/>
  <c r="AT221" i="13"/>
  <c r="AT304" i="13"/>
  <c r="AT251" i="13"/>
  <c r="AT231" i="13"/>
  <c r="AT147" i="13"/>
  <c r="AT129" i="13"/>
  <c r="AT110" i="13"/>
  <c r="AT103" i="13"/>
  <c r="AT78" i="13"/>
  <c r="AT70" i="13"/>
  <c r="AT61" i="13"/>
  <c r="AT58" i="13"/>
  <c r="AT50" i="13"/>
  <c r="AT42" i="13"/>
  <c r="AT33" i="13"/>
  <c r="AT25" i="13"/>
  <c r="AT17" i="13"/>
  <c r="AT314" i="13"/>
  <c r="AT293" i="13"/>
  <c r="AT258" i="13"/>
  <c r="AT237" i="13"/>
  <c r="AT211" i="13"/>
  <c r="AT176" i="13"/>
  <c r="AT158" i="13"/>
  <c r="AT139" i="13"/>
  <c r="AT123" i="13"/>
  <c r="AT113" i="13"/>
  <c r="AT106" i="13"/>
  <c r="AT99" i="13"/>
  <c r="AT73" i="13"/>
  <c r="AT64" i="13"/>
  <c r="AT55" i="13"/>
  <c r="AT47" i="13"/>
  <c r="AT39" i="13"/>
  <c r="AT30" i="13"/>
  <c r="AT22" i="13"/>
  <c r="AT14" i="13"/>
  <c r="AT322" i="13"/>
  <c r="AT312" i="13"/>
  <c r="AT249" i="13"/>
  <c r="AT229" i="13"/>
  <c r="AT203" i="13"/>
  <c r="AT168" i="13"/>
  <c r="AT152" i="13"/>
  <c r="AT133" i="13"/>
  <c r="AT117" i="13"/>
  <c r="AT109" i="13"/>
  <c r="AT102" i="13"/>
  <c r="AT95" i="13"/>
  <c r="AT69" i="13"/>
  <c r="AT60" i="13"/>
  <c r="AT52" i="13"/>
  <c r="AT44" i="13"/>
  <c r="AT36" i="13"/>
  <c r="AT27" i="13"/>
  <c r="AT19" i="13"/>
  <c r="AT11" i="13"/>
  <c r="AT218" i="13"/>
  <c r="AT300" i="13"/>
  <c r="AT235" i="13"/>
  <c r="AT209" i="13"/>
  <c r="AT192" i="13"/>
  <c r="AT162" i="13"/>
  <c r="AT145" i="13"/>
  <c r="AT127" i="13"/>
  <c r="AT105" i="13"/>
  <c r="AT98" i="13"/>
  <c r="AT89" i="13"/>
  <c r="AT63" i="13"/>
  <c r="AT57" i="13"/>
  <c r="AT49" i="13"/>
  <c r="AT41" i="13"/>
  <c r="AT32" i="13"/>
  <c r="AT24" i="13"/>
  <c r="AT16" i="13"/>
  <c r="AT308" i="13"/>
  <c r="AT276" i="13"/>
  <c r="AT227" i="13"/>
  <c r="AT199" i="13"/>
  <c r="AT180" i="13"/>
  <c r="AT172" i="13"/>
  <c r="AT156" i="13"/>
  <c r="AT137" i="13"/>
  <c r="AT121" i="13"/>
  <c r="AT101" i="13"/>
  <c r="AT93" i="13"/>
  <c r="AT83" i="13"/>
  <c r="AT54" i="13"/>
  <c r="AT46" i="13"/>
  <c r="AT38" i="13"/>
  <c r="AT29" i="13"/>
  <c r="AT21" i="13"/>
  <c r="AT13" i="13"/>
  <c r="AT215" i="13"/>
  <c r="AT207" i="13"/>
  <c r="AT184" i="13"/>
  <c r="AT150" i="13"/>
  <c r="AT135" i="13"/>
  <c r="AT31" i="13"/>
  <c r="AT288" i="13"/>
  <c r="AT264" i="13"/>
  <c r="AT240" i="13"/>
  <c r="AT131" i="13"/>
  <c r="AT119" i="13"/>
  <c r="AT97" i="13"/>
  <c r="AT85" i="13"/>
  <c r="AT71" i="13"/>
  <c r="AT59" i="13"/>
  <c r="AT53" i="13"/>
  <c r="AT23" i="13"/>
  <c r="AT178" i="13"/>
  <c r="AT115" i="13"/>
  <c r="AT107" i="13"/>
  <c r="AT51" i="13"/>
  <c r="AT45" i="13"/>
  <c r="AT15" i="13"/>
  <c r="AT338" i="13"/>
  <c r="AT307" i="13"/>
  <c r="AT282" i="13"/>
  <c r="AT261" i="13"/>
  <c r="AT160" i="13"/>
  <c r="AT81" i="13"/>
  <c r="AT43" i="13"/>
  <c r="AT37" i="13"/>
  <c r="AT197" i="13"/>
  <c r="AT143" i="13"/>
  <c r="AT114" i="13"/>
  <c r="AT34" i="13"/>
  <c r="AT28" i="13"/>
  <c r="AT297" i="13"/>
  <c r="AT186" i="13"/>
  <c r="AT170" i="13"/>
  <c r="AT111" i="13"/>
  <c r="AT48" i="13"/>
  <c r="AT18" i="13"/>
  <c r="AT12" i="13"/>
  <c r="AT273" i="13"/>
  <c r="AT253" i="13"/>
  <c r="AT56" i="13"/>
  <c r="AT26" i="13"/>
  <c r="AT154" i="13"/>
  <c r="AT91" i="13"/>
  <c r="AT20" i="13"/>
  <c r="AT225" i="13"/>
  <c r="AT87" i="13"/>
  <c r="AT74" i="13"/>
  <c r="AT40" i="13"/>
  <c r="AT75" i="13"/>
  <c r="AT66" i="13"/>
  <c r="AT280" i="13"/>
  <c r="AT125" i="13"/>
  <c r="AL9" i="13"/>
  <c r="AL8" i="13"/>
  <c r="AL190" i="13"/>
  <c r="AL318" i="13"/>
  <c r="AL189" i="13"/>
  <c r="AL317" i="13"/>
  <c r="AL338" i="13"/>
  <c r="AL330" i="13"/>
  <c r="AL320" i="13"/>
  <c r="AL217" i="13"/>
  <c r="AL308" i="13"/>
  <c r="AL299" i="13"/>
  <c r="AL282" i="13"/>
  <c r="AL273" i="13"/>
  <c r="AL261" i="13"/>
  <c r="AL251" i="13"/>
  <c r="AL237" i="13"/>
  <c r="AL335" i="13"/>
  <c r="AL325" i="13"/>
  <c r="AL222" i="13"/>
  <c r="AL316" i="13"/>
  <c r="AL305" i="13"/>
  <c r="AL287" i="13"/>
  <c r="AL279" i="13"/>
  <c r="AL270" i="13"/>
  <c r="AL257" i="13"/>
  <c r="AL246" i="13"/>
  <c r="AL234" i="13"/>
  <c r="AL340" i="13"/>
  <c r="AL332" i="13"/>
  <c r="AL322" i="13"/>
  <c r="AL219" i="13"/>
  <c r="AL312" i="13"/>
  <c r="AL301" i="13"/>
  <c r="AL276" i="13"/>
  <c r="AL264" i="13"/>
  <c r="AL253" i="13"/>
  <c r="AL240" i="13"/>
  <c r="AL337" i="13"/>
  <c r="AL329" i="13"/>
  <c r="AL225" i="13"/>
  <c r="AL216" i="13"/>
  <c r="AL307" i="13"/>
  <c r="AL298" i="13"/>
  <c r="AL289" i="13"/>
  <c r="AL281" i="13"/>
  <c r="AL272" i="13"/>
  <c r="AL259" i="13"/>
  <c r="AL250" i="13"/>
  <c r="AL236" i="13"/>
  <c r="AL334" i="13"/>
  <c r="AL324" i="13"/>
  <c r="AL221" i="13"/>
  <c r="AL315" i="13"/>
  <c r="AL304" i="13"/>
  <c r="AL294" i="13"/>
  <c r="AL286" i="13"/>
  <c r="AL278" i="13"/>
  <c r="AL267" i="13"/>
  <c r="AL256" i="13"/>
  <c r="AL245" i="13"/>
  <c r="AL233" i="13"/>
  <c r="AL336" i="13"/>
  <c r="AL327" i="13"/>
  <c r="AL223" i="13"/>
  <c r="AL215" i="13"/>
  <c r="AL306" i="13"/>
  <c r="AL297" i="13"/>
  <c r="AL288" i="13"/>
  <c r="AL280" i="13"/>
  <c r="AL258" i="13"/>
  <c r="AL249" i="13"/>
  <c r="AL235" i="13"/>
  <c r="AL220" i="13"/>
  <c r="AL285" i="13"/>
  <c r="AL243" i="13"/>
  <c r="AL214" i="13"/>
  <c r="AL206" i="13"/>
  <c r="AL196" i="13"/>
  <c r="AL183" i="13"/>
  <c r="AL174" i="13"/>
  <c r="AL165" i="13"/>
  <c r="AL157" i="13"/>
  <c r="AL148" i="13"/>
  <c r="AL138" i="13"/>
  <c r="AL130" i="13"/>
  <c r="AL122" i="13"/>
  <c r="AL114" i="13"/>
  <c r="AL106" i="13"/>
  <c r="AL98" i="13"/>
  <c r="AL87" i="13"/>
  <c r="AL74" i="13"/>
  <c r="AL64" i="13"/>
  <c r="AL56" i="13"/>
  <c r="AL48" i="13"/>
  <c r="AL40" i="13"/>
  <c r="AL31" i="13"/>
  <c r="AL23" i="13"/>
  <c r="AL15" i="13"/>
  <c r="AL218" i="13"/>
  <c r="AL283" i="13"/>
  <c r="AL238" i="13"/>
  <c r="AL231" i="13"/>
  <c r="AL211" i="13"/>
  <c r="AL203" i="13"/>
  <c r="AL192" i="13"/>
  <c r="AL180" i="13"/>
  <c r="AL170" i="13"/>
  <c r="AL162" i="13"/>
  <c r="AL154" i="13"/>
  <c r="AL145" i="13"/>
  <c r="AL135" i="13"/>
  <c r="AL127" i="13"/>
  <c r="AL119" i="13"/>
  <c r="AL111" i="13"/>
  <c r="AL103" i="13"/>
  <c r="AL95" i="13"/>
  <c r="AL83" i="13"/>
  <c r="AL71" i="13"/>
  <c r="AL61" i="13"/>
  <c r="AL53" i="13"/>
  <c r="AL45" i="13"/>
  <c r="AL37" i="13"/>
  <c r="AL28" i="13"/>
  <c r="AL20" i="13"/>
  <c r="AL12" i="13"/>
  <c r="AL323" i="13"/>
  <c r="AL293" i="13"/>
  <c r="AL255" i="13"/>
  <c r="AL228" i="13"/>
  <c r="AL208" i="13"/>
  <c r="AL198" i="13"/>
  <c r="AL185" i="13"/>
  <c r="AL177" i="13"/>
  <c r="AL167" i="13"/>
  <c r="AL159" i="13"/>
  <c r="AL151" i="13"/>
  <c r="AL141" i="13"/>
  <c r="AL132" i="13"/>
  <c r="AL124" i="13"/>
  <c r="AL116" i="13"/>
  <c r="AL108" i="13"/>
  <c r="AL100" i="13"/>
  <c r="AL90" i="13"/>
  <c r="AL67" i="13"/>
  <c r="AL58" i="13"/>
  <c r="AL50" i="13"/>
  <c r="AL42" i="13"/>
  <c r="AL33" i="13"/>
  <c r="AL25" i="13"/>
  <c r="AL17" i="13"/>
  <c r="AL321" i="13"/>
  <c r="AL291" i="13"/>
  <c r="AL252" i="13"/>
  <c r="AL213" i="13"/>
  <c r="AL205" i="13"/>
  <c r="AL195" i="13"/>
  <c r="AL182" i="13"/>
  <c r="AL172" i="13"/>
  <c r="AL156" i="13"/>
  <c r="AL147" i="13"/>
  <c r="AL137" i="13"/>
  <c r="AL129" i="13"/>
  <c r="AL121" i="13"/>
  <c r="AL113" i="13"/>
  <c r="AL105" i="13"/>
  <c r="AL97" i="13"/>
  <c r="AL85" i="13"/>
  <c r="AL73" i="13"/>
  <c r="AL63" i="13"/>
  <c r="AL55" i="13"/>
  <c r="AL47" i="13"/>
  <c r="AL39" i="13"/>
  <c r="AL30" i="13"/>
  <c r="AL22" i="13"/>
  <c r="AL14" i="13"/>
  <c r="AL333" i="13"/>
  <c r="AL303" i="13"/>
  <c r="AL230" i="13"/>
  <c r="AL210" i="13"/>
  <c r="AL201" i="13"/>
  <c r="AL187" i="13"/>
  <c r="AL179" i="13"/>
  <c r="AL169" i="13"/>
  <c r="AL161" i="13"/>
  <c r="AL153" i="13"/>
  <c r="AL144" i="13"/>
  <c r="AL134" i="13"/>
  <c r="AL126" i="13"/>
  <c r="AL118" i="13"/>
  <c r="AL110" i="13"/>
  <c r="AL102" i="13"/>
  <c r="AL93" i="13"/>
  <c r="AL81" i="13"/>
  <c r="AL70" i="13"/>
  <c r="AL60" i="13"/>
  <c r="AL52" i="13"/>
  <c r="AL44" i="13"/>
  <c r="AL36" i="13"/>
  <c r="AL27" i="13"/>
  <c r="AL19" i="13"/>
  <c r="AL11" i="13"/>
  <c r="AL314" i="13"/>
  <c r="AL277" i="13"/>
  <c r="AL232" i="13"/>
  <c r="AL212" i="13"/>
  <c r="AL204" i="13"/>
  <c r="AL194" i="13"/>
  <c r="AL181" i="13"/>
  <c r="AL171" i="13"/>
  <c r="AL163" i="13"/>
  <c r="AL155" i="13"/>
  <c r="AL146" i="13"/>
  <c r="AL136" i="13"/>
  <c r="AL128" i="13"/>
  <c r="AL120" i="13"/>
  <c r="AL112" i="13"/>
  <c r="AL104" i="13"/>
  <c r="AL96" i="13"/>
  <c r="AL84" i="13"/>
  <c r="AL72" i="13"/>
  <c r="AL62" i="13"/>
  <c r="AL54" i="13"/>
  <c r="AL46" i="13"/>
  <c r="AL38" i="13"/>
  <c r="AL29" i="13"/>
  <c r="AL21" i="13"/>
  <c r="AL13" i="13"/>
  <c r="AL275" i="13"/>
  <c r="AL229" i="13"/>
  <c r="AL178" i="13"/>
  <c r="AL143" i="13"/>
  <c r="AL109" i="13"/>
  <c r="AL69" i="13"/>
  <c r="AL34" i="13"/>
  <c r="AL263" i="13"/>
  <c r="AL227" i="13"/>
  <c r="AL176" i="13"/>
  <c r="AL139" i="13"/>
  <c r="AL107" i="13"/>
  <c r="AL66" i="13"/>
  <c r="AL32" i="13"/>
  <c r="AL309" i="13"/>
  <c r="AL186" i="13"/>
  <c r="AL152" i="13"/>
  <c r="AL117" i="13"/>
  <c r="AL78" i="13"/>
  <c r="AL43" i="13"/>
  <c r="AL300" i="13"/>
  <c r="AL184" i="13"/>
  <c r="AL150" i="13"/>
  <c r="AL115" i="13"/>
  <c r="AL75" i="13"/>
  <c r="AL41" i="13"/>
  <c r="AL339" i="13"/>
  <c r="AL199" i="13"/>
  <c r="AL160" i="13"/>
  <c r="AL125" i="13"/>
  <c r="AL91" i="13"/>
  <c r="AL51" i="13"/>
  <c r="AL18" i="13"/>
  <c r="AL209" i="13"/>
  <c r="AL168" i="13"/>
  <c r="AL133" i="13"/>
  <c r="AL101" i="13"/>
  <c r="AL59" i="13"/>
  <c r="AL26" i="13"/>
  <c r="AL207" i="13"/>
  <c r="AL57" i="13"/>
  <c r="AL331" i="13"/>
  <c r="AL197" i="13"/>
  <c r="AL49" i="13"/>
  <c r="AL99" i="13"/>
  <c r="AL89" i="13"/>
  <c r="AL131" i="13"/>
  <c r="AL24" i="13"/>
  <c r="AL158" i="13"/>
  <c r="AL123" i="13"/>
  <c r="AL16" i="13"/>
  <c r="AD9" i="13"/>
  <c r="AD8" i="13"/>
  <c r="AD190" i="13"/>
  <c r="AD318" i="13"/>
  <c r="AD189" i="13"/>
  <c r="AD317" i="13"/>
  <c r="AD339" i="13"/>
  <c r="AD331" i="13"/>
  <c r="AD321" i="13"/>
  <c r="AD218" i="13"/>
  <c r="AD309" i="13"/>
  <c r="AD300" i="13"/>
  <c r="AD291" i="13"/>
  <c r="AD283" i="13"/>
  <c r="AD275" i="13"/>
  <c r="AD263" i="13"/>
  <c r="AD252" i="13"/>
  <c r="AD238" i="13"/>
  <c r="AD230" i="13"/>
  <c r="AD210" i="13"/>
  <c r="AD201" i="13"/>
  <c r="AD187" i="13"/>
  <c r="AD179" i="13"/>
  <c r="AD169" i="13"/>
  <c r="AD161" i="13"/>
  <c r="AD153" i="13"/>
  <c r="AD144" i="13"/>
  <c r="AD134" i="13"/>
  <c r="AD126" i="13"/>
  <c r="AD118" i="13"/>
  <c r="AD110" i="13"/>
  <c r="AD102" i="13"/>
  <c r="AD93" i="13"/>
  <c r="AD81" i="13"/>
  <c r="AD70" i="13"/>
  <c r="AD60" i="13"/>
  <c r="AD52" i="13"/>
  <c r="AD44" i="13"/>
  <c r="AD36" i="13"/>
  <c r="AD27" i="13"/>
  <c r="AD19" i="13"/>
  <c r="AD11" i="13"/>
  <c r="AD336" i="13"/>
  <c r="AD327" i="13"/>
  <c r="AD223" i="13"/>
  <c r="AD215" i="13"/>
  <c r="AD306" i="13"/>
  <c r="AD297" i="13"/>
  <c r="AD288" i="13"/>
  <c r="AD280" i="13"/>
  <c r="AD258" i="13"/>
  <c r="AD249" i="13"/>
  <c r="AD235" i="13"/>
  <c r="AD227" i="13"/>
  <c r="AD207" i="13"/>
  <c r="AD197" i="13"/>
  <c r="AD184" i="13"/>
  <c r="AD176" i="13"/>
  <c r="AD158" i="13"/>
  <c r="AD150" i="13"/>
  <c r="AD139" i="13"/>
  <c r="AD131" i="13"/>
  <c r="AD123" i="13"/>
  <c r="AD115" i="13"/>
  <c r="AD107" i="13"/>
  <c r="AD99" i="13"/>
  <c r="AD89" i="13"/>
  <c r="AD75" i="13"/>
  <c r="AD66" i="13"/>
  <c r="AD57" i="13"/>
  <c r="AD49" i="13"/>
  <c r="AD41" i="13"/>
  <c r="AD32" i="13"/>
  <c r="AD24" i="13"/>
  <c r="AD16" i="13"/>
  <c r="AD333" i="13"/>
  <c r="AD323" i="13"/>
  <c r="AD220" i="13"/>
  <c r="AD314" i="13"/>
  <c r="AD303" i="13"/>
  <c r="AD293" i="13"/>
  <c r="AD285" i="13"/>
  <c r="AD277" i="13"/>
  <c r="AD255" i="13"/>
  <c r="AD243" i="13"/>
  <c r="AD232" i="13"/>
  <c r="AD212" i="13"/>
  <c r="AD204" i="13"/>
  <c r="AD194" i="13"/>
  <c r="AD181" i="13"/>
  <c r="AD171" i="13"/>
  <c r="AD163" i="13"/>
  <c r="AD155" i="13"/>
  <c r="AD146" i="13"/>
  <c r="AD136" i="13"/>
  <c r="AD128" i="13"/>
  <c r="AD120" i="13"/>
  <c r="AD112" i="13"/>
  <c r="AD104" i="13"/>
  <c r="AD96" i="13"/>
  <c r="AD84" i="13"/>
  <c r="AD72" i="13"/>
  <c r="AD62" i="13"/>
  <c r="AD54" i="13"/>
  <c r="AD46" i="13"/>
  <c r="AD38" i="13"/>
  <c r="AD29" i="13"/>
  <c r="AD21" i="13"/>
  <c r="AD13" i="13"/>
  <c r="AD338" i="13"/>
  <c r="AD330" i="13"/>
  <c r="AD320" i="13"/>
  <c r="AD217" i="13"/>
  <c r="AD308" i="13"/>
  <c r="AD299" i="13"/>
  <c r="AD282" i="13"/>
  <c r="AD273" i="13"/>
  <c r="AD261" i="13"/>
  <c r="AD251" i="13"/>
  <c r="AD237" i="13"/>
  <c r="AD229" i="13"/>
  <c r="AD209" i="13"/>
  <c r="AD199" i="13"/>
  <c r="AD186" i="13"/>
  <c r="AD178" i="13"/>
  <c r="AD168" i="13"/>
  <c r="AD160" i="13"/>
  <c r="AD152" i="13"/>
  <c r="AD143" i="13"/>
  <c r="AD133" i="13"/>
  <c r="AD125" i="13"/>
  <c r="AD117" i="13"/>
  <c r="AD109" i="13"/>
  <c r="AD101" i="13"/>
  <c r="AD91" i="13"/>
  <c r="AD78" i="13"/>
  <c r="AD69" i="13"/>
  <c r="AD59" i="13"/>
  <c r="AD51" i="13"/>
  <c r="AD43" i="13"/>
  <c r="AD34" i="13"/>
  <c r="AD26" i="13"/>
  <c r="AD18" i="13"/>
  <c r="AD335" i="13"/>
  <c r="AD325" i="13"/>
  <c r="AD222" i="13"/>
  <c r="AD316" i="13"/>
  <c r="AD305" i="13"/>
  <c r="AD287" i="13"/>
  <c r="AD279" i="13"/>
  <c r="AD270" i="13"/>
  <c r="AD257" i="13"/>
  <c r="AD246" i="13"/>
  <c r="AD234" i="13"/>
  <c r="AD214" i="13"/>
  <c r="AD206" i="13"/>
  <c r="AD196" i="13"/>
  <c r="AD183" i="13"/>
  <c r="AD174" i="13"/>
  <c r="AD165" i="13"/>
  <c r="AD157" i="13"/>
  <c r="AD148" i="13"/>
  <c r="AD138" i="13"/>
  <c r="AD130" i="13"/>
  <c r="AD122" i="13"/>
  <c r="AD114" i="13"/>
  <c r="AD106" i="13"/>
  <c r="AD98" i="13"/>
  <c r="AD87" i="13"/>
  <c r="AD74" i="13"/>
  <c r="AD64" i="13"/>
  <c r="AD56" i="13"/>
  <c r="AD48" i="13"/>
  <c r="AD40" i="13"/>
  <c r="AD31" i="13"/>
  <c r="AD23" i="13"/>
  <c r="AD15" i="13"/>
  <c r="AD337" i="13"/>
  <c r="AD329" i="13"/>
  <c r="AD225" i="13"/>
  <c r="AD216" i="13"/>
  <c r="AD307" i="13"/>
  <c r="AD298" i="13"/>
  <c r="AD289" i="13"/>
  <c r="AD281" i="13"/>
  <c r="AD272" i="13"/>
  <c r="AD259" i="13"/>
  <c r="AD250" i="13"/>
  <c r="AD236" i="13"/>
  <c r="AD228" i="13"/>
  <c r="AD208" i="13"/>
  <c r="AD198" i="13"/>
  <c r="AD185" i="13"/>
  <c r="AD177" i="13"/>
  <c r="AD167" i="13"/>
  <c r="AD159" i="13"/>
  <c r="AD151" i="13"/>
  <c r="AD141" i="13"/>
  <c r="AD132" i="13"/>
  <c r="AD124" i="13"/>
  <c r="AD116" i="13"/>
  <c r="AD108" i="13"/>
  <c r="AD100" i="13"/>
  <c r="AD90" i="13"/>
  <c r="AD67" i="13"/>
  <c r="AD58" i="13"/>
  <c r="AD50" i="13"/>
  <c r="AD42" i="13"/>
  <c r="AD33" i="13"/>
  <c r="AD25" i="13"/>
  <c r="AD17" i="13"/>
  <c r="AD340" i="13"/>
  <c r="AD312" i="13"/>
  <c r="AD276" i="13"/>
  <c r="AD231" i="13"/>
  <c r="AD180" i="13"/>
  <c r="AD145" i="13"/>
  <c r="AD111" i="13"/>
  <c r="AD71" i="13"/>
  <c r="AD37" i="13"/>
  <c r="AD221" i="13"/>
  <c r="AD286" i="13"/>
  <c r="AD245" i="13"/>
  <c r="AD195" i="13"/>
  <c r="AD156" i="13"/>
  <c r="AD121" i="13"/>
  <c r="AD85" i="13"/>
  <c r="AD47" i="13"/>
  <c r="AD14" i="13"/>
  <c r="AD219" i="13"/>
  <c r="AD240" i="13"/>
  <c r="AD192" i="13"/>
  <c r="AD154" i="13"/>
  <c r="AD119" i="13"/>
  <c r="AD83" i="13"/>
  <c r="AD45" i="13"/>
  <c r="AD12" i="13"/>
  <c r="AD324" i="13"/>
  <c r="AD294" i="13"/>
  <c r="AD256" i="13"/>
  <c r="AD205" i="13"/>
  <c r="AD129" i="13"/>
  <c r="AD97" i="13"/>
  <c r="AD55" i="13"/>
  <c r="AD22" i="13"/>
  <c r="AD322" i="13"/>
  <c r="AD253" i="13"/>
  <c r="AD203" i="13"/>
  <c r="AD162" i="13"/>
  <c r="AD127" i="13"/>
  <c r="AD95" i="13"/>
  <c r="AD53" i="13"/>
  <c r="AD20" i="13"/>
  <c r="AD334" i="13"/>
  <c r="AD304" i="13"/>
  <c r="AD267" i="13"/>
  <c r="AD213" i="13"/>
  <c r="AD172" i="13"/>
  <c r="AD137" i="13"/>
  <c r="AD105" i="13"/>
  <c r="AD63" i="13"/>
  <c r="AD30" i="13"/>
  <c r="AD332" i="13"/>
  <c r="AD301" i="13"/>
  <c r="AD264" i="13"/>
  <c r="AD211" i="13"/>
  <c r="AD170" i="13"/>
  <c r="AD135" i="13"/>
  <c r="AD103" i="13"/>
  <c r="AD61" i="13"/>
  <c r="AD28" i="13"/>
  <c r="AD39" i="13"/>
  <c r="AD233" i="13"/>
  <c r="AD113" i="13"/>
  <c r="AD315" i="13"/>
  <c r="AD182" i="13"/>
  <c r="AD73" i="13"/>
  <c r="AD278" i="13"/>
  <c r="AD147" i="13"/>
  <c r="V9" i="13"/>
  <c r="V8" i="13"/>
  <c r="V190" i="13"/>
  <c r="V318" i="13"/>
  <c r="V189" i="13"/>
  <c r="V317" i="13"/>
  <c r="V336" i="13"/>
  <c r="V333" i="13"/>
  <c r="V338" i="13"/>
  <c r="V335" i="13"/>
  <c r="V337" i="13"/>
  <c r="V334" i="13"/>
  <c r="V332" i="13"/>
  <c r="V322" i="13"/>
  <c r="V219" i="13"/>
  <c r="V312" i="13"/>
  <c r="V301" i="13"/>
  <c r="V276" i="13"/>
  <c r="V264" i="13"/>
  <c r="V253" i="13"/>
  <c r="V240" i="13"/>
  <c r="V231" i="13"/>
  <c r="V211" i="13"/>
  <c r="V203" i="13"/>
  <c r="V192" i="13"/>
  <c r="V180" i="13"/>
  <c r="V170" i="13"/>
  <c r="V162" i="13"/>
  <c r="V154" i="13"/>
  <c r="V145" i="13"/>
  <c r="V135" i="13"/>
  <c r="V127" i="13"/>
  <c r="V119" i="13"/>
  <c r="V111" i="13"/>
  <c r="V103" i="13"/>
  <c r="V95" i="13"/>
  <c r="V83" i="13"/>
  <c r="V71" i="13"/>
  <c r="V61" i="13"/>
  <c r="V53" i="13"/>
  <c r="V45" i="13"/>
  <c r="V37" i="13"/>
  <c r="V28" i="13"/>
  <c r="V20" i="13"/>
  <c r="V12" i="13"/>
  <c r="V329" i="13"/>
  <c r="V225" i="13"/>
  <c r="V216" i="13"/>
  <c r="V307" i="13"/>
  <c r="V298" i="13"/>
  <c r="V340" i="13"/>
  <c r="V324" i="13"/>
  <c r="V221" i="13"/>
  <c r="V315" i="13"/>
  <c r="V304" i="13"/>
  <c r="V294" i="13"/>
  <c r="V286" i="13"/>
  <c r="V278" i="13"/>
  <c r="V267" i="13"/>
  <c r="V256" i="13"/>
  <c r="V245" i="13"/>
  <c r="V233" i="13"/>
  <c r="V213" i="13"/>
  <c r="V205" i="13"/>
  <c r="V195" i="13"/>
  <c r="V182" i="13"/>
  <c r="V172" i="13"/>
  <c r="V156" i="13"/>
  <c r="V147" i="13"/>
  <c r="V137" i="13"/>
  <c r="V129" i="13"/>
  <c r="V121" i="13"/>
  <c r="V113" i="13"/>
  <c r="V105" i="13"/>
  <c r="V97" i="13"/>
  <c r="V85" i="13"/>
  <c r="V73" i="13"/>
  <c r="V63" i="13"/>
  <c r="V55" i="13"/>
  <c r="V47" i="13"/>
  <c r="V39" i="13"/>
  <c r="V30" i="13"/>
  <c r="V22" i="13"/>
  <c r="V14" i="13"/>
  <c r="V339" i="13"/>
  <c r="V331" i="13"/>
  <c r="V321" i="13"/>
  <c r="V218" i="13"/>
  <c r="V309" i="13"/>
  <c r="V300" i="13"/>
  <c r="V291" i="13"/>
  <c r="V283" i="13"/>
  <c r="V275" i="13"/>
  <c r="V263" i="13"/>
  <c r="V252" i="13"/>
  <c r="V238" i="13"/>
  <c r="V230" i="13"/>
  <c r="V210" i="13"/>
  <c r="V201" i="13"/>
  <c r="V187" i="13"/>
  <c r="V179" i="13"/>
  <c r="V169" i="13"/>
  <c r="V161" i="13"/>
  <c r="V153" i="13"/>
  <c r="V144" i="13"/>
  <c r="V134" i="13"/>
  <c r="V126" i="13"/>
  <c r="V118" i="13"/>
  <c r="V110" i="13"/>
  <c r="V102" i="13"/>
  <c r="V93" i="13"/>
  <c r="V81" i="13"/>
  <c r="V70" i="13"/>
  <c r="V60" i="13"/>
  <c r="V52" i="13"/>
  <c r="V44" i="13"/>
  <c r="V36" i="13"/>
  <c r="V27" i="13"/>
  <c r="V19" i="13"/>
  <c r="V11" i="13"/>
  <c r="V327" i="13"/>
  <c r="V223" i="13"/>
  <c r="V215" i="13"/>
  <c r="V306" i="13"/>
  <c r="V297" i="13"/>
  <c r="V288" i="13"/>
  <c r="V280" i="13"/>
  <c r="V258" i="13"/>
  <c r="V249" i="13"/>
  <c r="V235" i="13"/>
  <c r="V227" i="13"/>
  <c r="V207" i="13"/>
  <c r="V197" i="13"/>
  <c r="V184" i="13"/>
  <c r="V176" i="13"/>
  <c r="V158" i="13"/>
  <c r="V150" i="13"/>
  <c r="V139" i="13"/>
  <c r="V131" i="13"/>
  <c r="V123" i="13"/>
  <c r="V115" i="13"/>
  <c r="V107" i="13"/>
  <c r="V99" i="13"/>
  <c r="V89" i="13"/>
  <c r="V75" i="13"/>
  <c r="V66" i="13"/>
  <c r="V57" i="13"/>
  <c r="V49" i="13"/>
  <c r="V41" i="13"/>
  <c r="V32" i="13"/>
  <c r="V24" i="13"/>
  <c r="V16" i="13"/>
  <c r="V323" i="13"/>
  <c r="V220" i="13"/>
  <c r="V314" i="13"/>
  <c r="V303" i="13"/>
  <c r="V293" i="13"/>
  <c r="V285" i="13"/>
  <c r="V277" i="13"/>
  <c r="V330" i="13"/>
  <c r="V320" i="13"/>
  <c r="V217" i="13"/>
  <c r="V308" i="13"/>
  <c r="V299" i="13"/>
  <c r="V282" i="13"/>
  <c r="V273" i="13"/>
  <c r="V261" i="13"/>
  <c r="V251" i="13"/>
  <c r="V237" i="13"/>
  <c r="V229" i="13"/>
  <c r="V209" i="13"/>
  <c r="V199" i="13"/>
  <c r="V186" i="13"/>
  <c r="V178" i="13"/>
  <c r="V168" i="13"/>
  <c r="V160" i="13"/>
  <c r="V152" i="13"/>
  <c r="V143" i="13"/>
  <c r="V133" i="13"/>
  <c r="V125" i="13"/>
  <c r="V117" i="13"/>
  <c r="V109" i="13"/>
  <c r="V101" i="13"/>
  <c r="V91" i="13"/>
  <c r="V78" i="13"/>
  <c r="V69" i="13"/>
  <c r="V59" i="13"/>
  <c r="V51" i="13"/>
  <c r="V43" i="13"/>
  <c r="V34" i="13"/>
  <c r="V26" i="13"/>
  <c r="V18" i="13"/>
  <c r="V325" i="13"/>
  <c r="V222" i="13"/>
  <c r="V316" i="13"/>
  <c r="V305" i="13"/>
  <c r="V287" i="13"/>
  <c r="V279" i="13"/>
  <c r="V270" i="13"/>
  <c r="V257" i="13"/>
  <c r="V246" i="13"/>
  <c r="V234" i="13"/>
  <c r="V214" i="13"/>
  <c r="V206" i="13"/>
  <c r="V196" i="13"/>
  <c r="V183" i="13"/>
  <c r="V174" i="13"/>
  <c r="V165" i="13"/>
  <c r="V157" i="13"/>
  <c r="V148" i="13"/>
  <c r="V138" i="13"/>
  <c r="V130" i="13"/>
  <c r="V122" i="13"/>
  <c r="V114" i="13"/>
  <c r="V106" i="13"/>
  <c r="V98" i="13"/>
  <c r="V87" i="13"/>
  <c r="V74" i="13"/>
  <c r="V64" i="13"/>
  <c r="V56" i="13"/>
  <c r="V48" i="13"/>
  <c r="V40" i="13"/>
  <c r="V31" i="13"/>
  <c r="V23" i="13"/>
  <c r="V15" i="13"/>
  <c r="V243" i="13"/>
  <c r="V194" i="13"/>
  <c r="V155" i="13"/>
  <c r="V120" i="13"/>
  <c r="V84" i="13"/>
  <c r="V46" i="13"/>
  <c r="V13" i="13"/>
  <c r="V228" i="13"/>
  <c r="V177" i="13"/>
  <c r="V141" i="13"/>
  <c r="V108" i="13"/>
  <c r="V67" i="13"/>
  <c r="V33" i="13"/>
  <c r="V272" i="13"/>
  <c r="V255" i="13"/>
  <c r="V204" i="13"/>
  <c r="V163" i="13"/>
  <c r="V128" i="13"/>
  <c r="V96" i="13"/>
  <c r="V54" i="13"/>
  <c r="V21" i="13"/>
  <c r="V236" i="13"/>
  <c r="V185" i="13"/>
  <c r="V151" i="13"/>
  <c r="V116" i="13"/>
  <c r="V42" i="13"/>
  <c r="V289" i="13"/>
  <c r="V212" i="13"/>
  <c r="V171" i="13"/>
  <c r="V136" i="13"/>
  <c r="V104" i="13"/>
  <c r="V62" i="13"/>
  <c r="V29" i="13"/>
  <c r="V250" i="13"/>
  <c r="V198" i="13"/>
  <c r="V159" i="13"/>
  <c r="V124" i="13"/>
  <c r="V90" i="13"/>
  <c r="V50" i="13"/>
  <c r="V17" i="13"/>
  <c r="V232" i="13"/>
  <c r="V181" i="13"/>
  <c r="V146" i="13"/>
  <c r="V112" i="13"/>
  <c r="V72" i="13"/>
  <c r="V38" i="13"/>
  <c r="V208" i="13"/>
  <c r="V100" i="13"/>
  <c r="V167" i="13"/>
  <c r="V281" i="13"/>
  <c r="V58" i="13"/>
  <c r="V132" i="13"/>
  <c r="V25" i="13"/>
  <c r="V259" i="13"/>
  <c r="N9" i="13"/>
  <c r="N8" i="13"/>
  <c r="N190" i="13"/>
  <c r="N318" i="13"/>
  <c r="N189" i="13"/>
  <c r="N317" i="13"/>
  <c r="N340" i="13"/>
  <c r="N332" i="13"/>
  <c r="N322" i="13"/>
  <c r="N219" i="13"/>
  <c r="N312" i="13"/>
  <c r="N301" i="13"/>
  <c r="N276" i="13"/>
  <c r="N264" i="13"/>
  <c r="N253" i="13"/>
  <c r="N240" i="13"/>
  <c r="N231" i="13"/>
  <c r="N211" i="13"/>
  <c r="N203" i="13"/>
  <c r="N192" i="13"/>
  <c r="N180" i="13"/>
  <c r="N170" i="13"/>
  <c r="N162" i="13"/>
  <c r="N154" i="13"/>
  <c r="N145" i="13"/>
  <c r="N135" i="13"/>
  <c r="N127" i="13"/>
  <c r="N119" i="13"/>
  <c r="N111" i="13"/>
  <c r="N103" i="13"/>
  <c r="N95" i="13"/>
  <c r="N337" i="13"/>
  <c r="N329" i="13"/>
  <c r="N225" i="13"/>
  <c r="N216" i="13"/>
  <c r="N307" i="13"/>
  <c r="N298" i="13"/>
  <c r="AZ298" i="13" s="1"/>
  <c r="N289" i="13"/>
  <c r="N281" i="13"/>
  <c r="N272" i="13"/>
  <c r="N259" i="13"/>
  <c r="N250" i="13"/>
  <c r="N236" i="13"/>
  <c r="N228" i="13"/>
  <c r="N208" i="13"/>
  <c r="N198" i="13"/>
  <c r="N185" i="13"/>
  <c r="N177" i="13"/>
  <c r="N167" i="13"/>
  <c r="N159" i="13"/>
  <c r="N151" i="13"/>
  <c r="N141" i="13"/>
  <c r="N132" i="13"/>
  <c r="N124" i="13"/>
  <c r="N116" i="13"/>
  <c r="N108" i="13"/>
  <c r="N334" i="13"/>
  <c r="N324" i="13"/>
  <c r="N221" i="13"/>
  <c r="N315" i="13"/>
  <c r="N304" i="13"/>
  <c r="N294" i="13"/>
  <c r="N286" i="13"/>
  <c r="N278" i="13"/>
  <c r="N267" i="13"/>
  <c r="N256" i="13"/>
  <c r="N245" i="13"/>
  <c r="N233" i="13"/>
  <c r="N213" i="13"/>
  <c r="N205" i="13"/>
  <c r="N195" i="13"/>
  <c r="N182" i="13"/>
  <c r="N172" i="13"/>
  <c r="N156" i="13"/>
  <c r="N147" i="13"/>
  <c r="N137" i="13"/>
  <c r="N129" i="13"/>
  <c r="N121" i="13"/>
  <c r="N113" i="13"/>
  <c r="N105" i="13"/>
  <c r="N97" i="13"/>
  <c r="N339" i="13"/>
  <c r="N331" i="13"/>
  <c r="N321" i="13"/>
  <c r="N218" i="13"/>
  <c r="N309" i="13"/>
  <c r="N300" i="13"/>
  <c r="N291" i="13"/>
  <c r="N283" i="13"/>
  <c r="N275" i="13"/>
  <c r="N263" i="13"/>
  <c r="N252" i="13"/>
  <c r="N238" i="13"/>
  <c r="N230" i="13"/>
  <c r="N210" i="13"/>
  <c r="N201" i="13"/>
  <c r="N187" i="13"/>
  <c r="N179" i="13"/>
  <c r="N169" i="13"/>
  <c r="N161" i="13"/>
  <c r="N153" i="13"/>
  <c r="N144" i="13"/>
  <c r="N134" i="13"/>
  <c r="N126" i="13"/>
  <c r="N118" i="13"/>
  <c r="N110" i="13"/>
  <c r="N102" i="13"/>
  <c r="N93" i="13"/>
  <c r="N336" i="13"/>
  <c r="N327" i="13"/>
  <c r="N223" i="13"/>
  <c r="N215" i="13"/>
  <c r="N306" i="13"/>
  <c r="N297" i="13"/>
  <c r="N288" i="13"/>
  <c r="N280" i="13"/>
  <c r="N258" i="13"/>
  <c r="N249" i="13"/>
  <c r="N235" i="13"/>
  <c r="N227" i="13"/>
  <c r="N207" i="13"/>
  <c r="N197" i="13"/>
  <c r="N184" i="13"/>
  <c r="N176" i="13"/>
  <c r="N158" i="13"/>
  <c r="N150" i="13"/>
  <c r="N139" i="13"/>
  <c r="N131" i="13"/>
  <c r="N123" i="13"/>
  <c r="N115" i="13"/>
  <c r="N107" i="13"/>
  <c r="N333" i="13"/>
  <c r="N323" i="13"/>
  <c r="N220" i="13"/>
  <c r="N314" i="13"/>
  <c r="N303" i="13"/>
  <c r="N293" i="13"/>
  <c r="N285" i="13"/>
  <c r="N277" i="13"/>
  <c r="N255" i="13"/>
  <c r="N243" i="13"/>
  <c r="N232" i="13"/>
  <c r="N212" i="13"/>
  <c r="N204" i="13"/>
  <c r="N194" i="13"/>
  <c r="N181" i="13"/>
  <c r="N171" i="13"/>
  <c r="N163" i="13"/>
  <c r="N155" i="13"/>
  <c r="N146" i="13"/>
  <c r="N136" i="13"/>
  <c r="N128" i="13"/>
  <c r="N120" i="13"/>
  <c r="N112" i="13"/>
  <c r="N104" i="13"/>
  <c r="N338" i="13"/>
  <c r="N330" i="13"/>
  <c r="N320" i="13"/>
  <c r="N217" i="13"/>
  <c r="N308" i="13"/>
  <c r="N299" i="13"/>
  <c r="N282" i="13"/>
  <c r="N273" i="13"/>
  <c r="N261" i="13"/>
  <c r="N251" i="13"/>
  <c r="N237" i="13"/>
  <c r="N229" i="13"/>
  <c r="N209" i="13"/>
  <c r="N199" i="13"/>
  <c r="N186" i="13"/>
  <c r="N178" i="13"/>
  <c r="N168" i="13"/>
  <c r="N160" i="13"/>
  <c r="N152" i="13"/>
  <c r="N143" i="13"/>
  <c r="N133" i="13"/>
  <c r="N125" i="13"/>
  <c r="N117" i="13"/>
  <c r="N109" i="13"/>
  <c r="N101" i="13"/>
  <c r="N91" i="13"/>
  <c r="N206" i="13"/>
  <c r="N130" i="13"/>
  <c r="N98" i="13"/>
  <c r="N83" i="13"/>
  <c r="N71" i="13"/>
  <c r="N61" i="13"/>
  <c r="N53" i="13"/>
  <c r="N45" i="13"/>
  <c r="N37" i="13"/>
  <c r="N28" i="13"/>
  <c r="N20" i="13"/>
  <c r="N12" i="13"/>
  <c r="N335" i="13"/>
  <c r="N270" i="13"/>
  <c r="N174" i="13"/>
  <c r="N106" i="13"/>
  <c r="N90" i="13"/>
  <c r="N316" i="13"/>
  <c r="N234" i="13"/>
  <c r="N148" i="13"/>
  <c r="N85" i="13"/>
  <c r="N73" i="13"/>
  <c r="N63" i="13"/>
  <c r="N55" i="13"/>
  <c r="N47" i="13"/>
  <c r="N39" i="13"/>
  <c r="N30" i="13"/>
  <c r="N22" i="13"/>
  <c r="N14" i="13"/>
  <c r="N287" i="13"/>
  <c r="N196" i="13"/>
  <c r="N122" i="13"/>
  <c r="N96" i="13"/>
  <c r="N81" i="13"/>
  <c r="N70" i="13"/>
  <c r="N60" i="13"/>
  <c r="AZ60" i="13" s="1"/>
  <c r="N52" i="13"/>
  <c r="N44" i="13"/>
  <c r="N36" i="13"/>
  <c r="N27" i="13"/>
  <c r="N19" i="13"/>
  <c r="N11" i="13"/>
  <c r="N325" i="13"/>
  <c r="N257" i="13"/>
  <c r="N165" i="13"/>
  <c r="N89" i="13"/>
  <c r="N75" i="13"/>
  <c r="N66" i="13"/>
  <c r="N57" i="13"/>
  <c r="N49" i="13"/>
  <c r="N41" i="13"/>
  <c r="N32" i="13"/>
  <c r="N24" i="13"/>
  <c r="N16" i="13"/>
  <c r="N279" i="13"/>
  <c r="N183" i="13"/>
  <c r="N114" i="13"/>
  <c r="N100" i="13"/>
  <c r="N78" i="13"/>
  <c r="N69" i="13"/>
  <c r="N59" i="13"/>
  <c r="N51" i="13"/>
  <c r="N43" i="13"/>
  <c r="N34" i="13"/>
  <c r="N26" i="13"/>
  <c r="N18" i="13"/>
  <c r="N38" i="13"/>
  <c r="N23" i="13"/>
  <c r="AZ23" i="13" s="1"/>
  <c r="N157" i="13"/>
  <c r="N67" i="13"/>
  <c r="N29" i="13"/>
  <c r="N15" i="13"/>
  <c r="N138" i="13"/>
  <c r="N74" i="13"/>
  <c r="N58" i="13"/>
  <c r="N21" i="13"/>
  <c r="N246" i="13"/>
  <c r="N87" i="13"/>
  <c r="AZ87" i="13" s="1"/>
  <c r="N64" i="13"/>
  <c r="N50" i="13"/>
  <c r="N13" i="13"/>
  <c r="N214" i="13"/>
  <c r="N84" i="13"/>
  <c r="N72" i="13"/>
  <c r="N56" i="13"/>
  <c r="N42" i="13"/>
  <c r="N222" i="13"/>
  <c r="N62" i="13"/>
  <c r="N48" i="13"/>
  <c r="N33" i="13"/>
  <c r="N305" i="13"/>
  <c r="N54" i="13"/>
  <c r="N40" i="13"/>
  <c r="N25" i="13"/>
  <c r="H85" i="13"/>
  <c r="H151" i="13"/>
  <c r="H236" i="13"/>
  <c r="K42" i="13"/>
  <c r="K185" i="13"/>
  <c r="O53" i="13"/>
  <c r="AF346" i="12"/>
  <c r="AG346" i="12" s="1"/>
  <c r="AD346" i="12"/>
  <c r="H100" i="13"/>
  <c r="H177" i="13"/>
  <c r="H272" i="13"/>
  <c r="K100" i="13"/>
  <c r="AA434" i="12"/>
  <c r="AB344" i="12"/>
  <c r="AC344" i="12" s="1"/>
  <c r="Y131" i="12"/>
  <c r="AK346" i="12"/>
  <c r="AK553" i="12"/>
  <c r="AK436" i="12"/>
  <c r="H14" i="13"/>
  <c r="H25" i="13"/>
  <c r="H73" i="13"/>
  <c r="H132" i="13"/>
  <c r="H208" i="13"/>
  <c r="H298" i="13"/>
  <c r="H339" i="13"/>
  <c r="K151" i="13"/>
  <c r="O69" i="13"/>
  <c r="AF427" i="12"/>
  <c r="AG427" i="12" s="1"/>
  <c r="Y545" i="12"/>
  <c r="AD551" i="12"/>
  <c r="AK510" i="12"/>
  <c r="AB318" i="12"/>
  <c r="AC318" i="12" s="1"/>
  <c r="AD316" i="12"/>
  <c r="Y16" i="12"/>
  <c r="AQ189" i="13"/>
  <c r="AQ317" i="13"/>
  <c r="AQ9" i="13"/>
  <c r="AQ8" i="13"/>
  <c r="AQ190" i="13"/>
  <c r="AQ318" i="13"/>
  <c r="AQ339" i="13"/>
  <c r="AQ331" i="13"/>
  <c r="AQ321" i="13"/>
  <c r="AQ218" i="13"/>
  <c r="AQ309" i="13"/>
  <c r="AQ300" i="13"/>
  <c r="AQ291" i="13"/>
  <c r="AQ283" i="13"/>
  <c r="AQ275" i="13"/>
  <c r="AQ336" i="13"/>
  <c r="AQ327" i="13"/>
  <c r="AQ223" i="13"/>
  <c r="AQ215" i="13"/>
  <c r="AQ306" i="13"/>
  <c r="AQ297" i="13"/>
  <c r="AQ288" i="13"/>
  <c r="AQ333" i="13"/>
  <c r="AQ323" i="13"/>
  <c r="AQ220" i="13"/>
  <c r="AQ314" i="13"/>
  <c r="AQ303" i="13"/>
  <c r="AQ293" i="13"/>
  <c r="AQ285" i="13"/>
  <c r="AQ277" i="13"/>
  <c r="AQ338" i="13"/>
  <c r="AQ330" i="13"/>
  <c r="AQ320" i="13"/>
  <c r="AQ217" i="13"/>
  <c r="AQ308" i="13"/>
  <c r="AQ299" i="13"/>
  <c r="AQ282" i="13"/>
  <c r="AQ273" i="13"/>
  <c r="AQ335" i="13"/>
  <c r="AQ325" i="13"/>
  <c r="AQ222" i="13"/>
  <c r="AQ316" i="13"/>
  <c r="AQ305" i="13"/>
  <c r="AQ287" i="13"/>
  <c r="AQ279" i="13"/>
  <c r="AQ332" i="13"/>
  <c r="AQ324" i="13"/>
  <c r="AQ298" i="13"/>
  <c r="AQ272" i="13"/>
  <c r="AQ263" i="13"/>
  <c r="AQ252" i="13"/>
  <c r="AQ238" i="13"/>
  <c r="AQ230" i="13"/>
  <c r="AQ210" i="13"/>
  <c r="AQ201" i="13"/>
  <c r="AQ187" i="13"/>
  <c r="AQ179" i="13"/>
  <c r="AQ169" i="13"/>
  <c r="AQ161" i="13"/>
  <c r="AQ153" i="13"/>
  <c r="AQ144" i="13"/>
  <c r="AQ134" i="13"/>
  <c r="AQ126" i="13"/>
  <c r="AQ118" i="13"/>
  <c r="AQ110" i="13"/>
  <c r="AQ102" i="13"/>
  <c r="AQ93" i="13"/>
  <c r="AQ322" i="13"/>
  <c r="AQ221" i="13"/>
  <c r="AQ289" i="13"/>
  <c r="AQ278" i="13"/>
  <c r="AQ258" i="13"/>
  <c r="AQ249" i="13"/>
  <c r="AQ235" i="13"/>
  <c r="AQ227" i="13"/>
  <c r="AQ207" i="13"/>
  <c r="AQ197" i="13"/>
  <c r="AQ184" i="13"/>
  <c r="AQ176" i="13"/>
  <c r="AQ158" i="13"/>
  <c r="AQ150" i="13"/>
  <c r="AQ139" i="13"/>
  <c r="AQ131" i="13"/>
  <c r="AQ123" i="13"/>
  <c r="AQ219" i="13"/>
  <c r="AQ315" i="13"/>
  <c r="AQ255" i="13"/>
  <c r="AQ243" i="13"/>
  <c r="AQ232" i="13"/>
  <c r="AQ212" i="13"/>
  <c r="AQ204" i="13"/>
  <c r="AQ194" i="13"/>
  <c r="AQ181" i="13"/>
  <c r="AQ171" i="13"/>
  <c r="AQ163" i="13"/>
  <c r="AQ155" i="13"/>
  <c r="AQ146" i="13"/>
  <c r="AQ136" i="13"/>
  <c r="AQ128" i="13"/>
  <c r="AQ120" i="13"/>
  <c r="AQ112" i="13"/>
  <c r="AQ104" i="13"/>
  <c r="AQ96" i="13"/>
  <c r="AQ337" i="13"/>
  <c r="AQ312" i="13"/>
  <c r="AQ304" i="13"/>
  <c r="AQ276" i="13"/>
  <c r="AQ261" i="13"/>
  <c r="AQ251" i="13"/>
  <c r="AQ237" i="13"/>
  <c r="AQ229" i="13"/>
  <c r="AQ209" i="13"/>
  <c r="AQ199" i="13"/>
  <c r="AQ186" i="13"/>
  <c r="AQ178" i="13"/>
  <c r="AQ168" i="13"/>
  <c r="AQ160" i="13"/>
  <c r="AQ152" i="13"/>
  <c r="AQ143" i="13"/>
  <c r="AQ133" i="13"/>
  <c r="AQ125" i="13"/>
  <c r="AQ117" i="13"/>
  <c r="AQ109" i="13"/>
  <c r="AQ101" i="13"/>
  <c r="AQ329" i="13"/>
  <c r="AQ301" i="13"/>
  <c r="AQ294" i="13"/>
  <c r="AQ281" i="13"/>
  <c r="AQ270" i="13"/>
  <c r="AQ257" i="13"/>
  <c r="AQ246" i="13"/>
  <c r="AQ234" i="13"/>
  <c r="AQ214" i="13"/>
  <c r="AQ206" i="13"/>
  <c r="AQ196" i="13"/>
  <c r="AQ183" i="13"/>
  <c r="AQ174" i="13"/>
  <c r="AQ165" i="13"/>
  <c r="AQ157" i="13"/>
  <c r="AQ148" i="13"/>
  <c r="AQ138" i="13"/>
  <c r="AQ130" i="13"/>
  <c r="AQ122" i="13"/>
  <c r="AQ114" i="13"/>
  <c r="AQ106" i="13"/>
  <c r="AQ98" i="13"/>
  <c r="AQ216" i="13"/>
  <c r="AQ280" i="13"/>
  <c r="AQ259" i="13"/>
  <c r="AQ250" i="13"/>
  <c r="AQ236" i="13"/>
  <c r="AQ228" i="13"/>
  <c r="AQ208" i="13"/>
  <c r="AQ198" i="13"/>
  <c r="AQ185" i="13"/>
  <c r="AQ177" i="13"/>
  <c r="AQ167" i="13"/>
  <c r="AQ159" i="13"/>
  <c r="AQ151" i="13"/>
  <c r="AQ141" i="13"/>
  <c r="AQ132" i="13"/>
  <c r="AQ124" i="13"/>
  <c r="AQ116" i="13"/>
  <c r="AQ108" i="13"/>
  <c r="AQ100" i="13"/>
  <c r="AQ334" i="13"/>
  <c r="AQ307" i="13"/>
  <c r="AQ245" i="13"/>
  <c r="AQ195" i="13"/>
  <c r="AQ156" i="13"/>
  <c r="AQ121" i="13"/>
  <c r="AQ113" i="13"/>
  <c r="AQ99" i="13"/>
  <c r="AQ91" i="13"/>
  <c r="AQ78" i="13"/>
  <c r="AQ69" i="13"/>
  <c r="AQ59" i="13"/>
  <c r="AQ51" i="13"/>
  <c r="AQ43" i="13"/>
  <c r="AQ34" i="13"/>
  <c r="AQ26" i="13"/>
  <c r="AQ18" i="13"/>
  <c r="AQ240" i="13"/>
  <c r="AQ192" i="13"/>
  <c r="AQ154" i="13"/>
  <c r="AQ119" i="13"/>
  <c r="AQ105" i="13"/>
  <c r="AQ87" i="13"/>
  <c r="AQ74" i="13"/>
  <c r="AQ64" i="13"/>
  <c r="AQ56" i="13"/>
  <c r="AQ48" i="13"/>
  <c r="AQ40" i="13"/>
  <c r="AQ31" i="13"/>
  <c r="AQ23" i="13"/>
  <c r="AQ15" i="13"/>
  <c r="AQ256" i="13"/>
  <c r="AQ205" i="13"/>
  <c r="AQ129" i="13"/>
  <c r="AQ111" i="13"/>
  <c r="AQ97" i="13"/>
  <c r="AQ83" i="13"/>
  <c r="AQ71" i="13"/>
  <c r="AQ61" i="13"/>
  <c r="AQ53" i="13"/>
  <c r="AQ45" i="13"/>
  <c r="AQ37" i="13"/>
  <c r="AQ28" i="13"/>
  <c r="AQ20" i="13"/>
  <c r="AQ12" i="13"/>
  <c r="AQ225" i="13"/>
  <c r="AQ253" i="13"/>
  <c r="AQ203" i="13"/>
  <c r="AQ162" i="13"/>
  <c r="AQ127" i="13"/>
  <c r="AQ103" i="13"/>
  <c r="AQ90" i="13"/>
  <c r="AQ67" i="13"/>
  <c r="AQ58" i="13"/>
  <c r="AQ50" i="13"/>
  <c r="AQ42" i="13"/>
  <c r="AQ33" i="13"/>
  <c r="AQ25" i="13"/>
  <c r="AQ17" i="13"/>
  <c r="AQ267" i="13"/>
  <c r="AQ213" i="13"/>
  <c r="AQ172" i="13"/>
  <c r="AQ137" i="13"/>
  <c r="AQ95" i="13"/>
  <c r="AQ85" i="13"/>
  <c r="AQ73" i="13"/>
  <c r="AQ63" i="13"/>
  <c r="AQ55" i="13"/>
  <c r="AQ47" i="13"/>
  <c r="AQ39" i="13"/>
  <c r="AQ30" i="13"/>
  <c r="AQ22" i="13"/>
  <c r="AQ14" i="13"/>
  <c r="AQ340" i="13"/>
  <c r="AQ233" i="13"/>
  <c r="AQ182" i="13"/>
  <c r="AQ147" i="13"/>
  <c r="AQ115" i="13"/>
  <c r="AQ89" i="13"/>
  <c r="AQ75" i="13"/>
  <c r="AQ66" i="13"/>
  <c r="AQ57" i="13"/>
  <c r="AQ49" i="13"/>
  <c r="AQ41" i="13"/>
  <c r="AQ32" i="13"/>
  <c r="AQ24" i="13"/>
  <c r="AQ16" i="13"/>
  <c r="AQ231" i="13"/>
  <c r="AQ62" i="13"/>
  <c r="AQ29" i="13"/>
  <c r="AQ286" i="13"/>
  <c r="AQ211" i="13"/>
  <c r="AQ60" i="13"/>
  <c r="AQ27" i="13"/>
  <c r="AQ72" i="13"/>
  <c r="AQ38" i="13"/>
  <c r="AQ264" i="13"/>
  <c r="AQ70" i="13"/>
  <c r="AQ36" i="13"/>
  <c r="AQ145" i="13"/>
  <c r="AQ107" i="13"/>
  <c r="AQ84" i="13"/>
  <c r="AQ46" i="13"/>
  <c r="AQ13" i="13"/>
  <c r="AQ180" i="13"/>
  <c r="AQ54" i="13"/>
  <c r="AQ21" i="13"/>
  <c r="AQ170" i="13"/>
  <c r="AQ19" i="13"/>
  <c r="AQ135" i="13"/>
  <c r="AQ11" i="13"/>
  <c r="AQ52" i="13"/>
  <c r="AQ81" i="13"/>
  <c r="AQ44" i="13"/>
  <c r="AI189" i="13"/>
  <c r="AI317" i="13"/>
  <c r="AI9" i="13"/>
  <c r="AI8" i="13"/>
  <c r="AI190" i="13"/>
  <c r="AI318" i="13"/>
  <c r="AI337" i="13"/>
  <c r="AI329" i="13"/>
  <c r="AI225" i="13"/>
  <c r="AI216" i="13"/>
  <c r="AI307" i="13"/>
  <c r="AI298" i="13"/>
  <c r="AI289" i="13"/>
  <c r="AI281" i="13"/>
  <c r="AI272" i="13"/>
  <c r="AI259" i="13"/>
  <c r="AI250" i="13"/>
  <c r="AI236" i="13"/>
  <c r="AI228" i="13"/>
  <c r="AI208" i="13"/>
  <c r="AI198" i="13"/>
  <c r="AI185" i="13"/>
  <c r="AI177" i="13"/>
  <c r="AI167" i="13"/>
  <c r="AI159" i="13"/>
  <c r="AI151" i="13"/>
  <c r="AI141" i="13"/>
  <c r="AI132" i="13"/>
  <c r="AI124" i="13"/>
  <c r="AI116" i="13"/>
  <c r="AI108" i="13"/>
  <c r="AI100" i="13"/>
  <c r="AI334" i="13"/>
  <c r="AI324" i="13"/>
  <c r="AI221" i="13"/>
  <c r="AI315" i="13"/>
  <c r="AI304" i="13"/>
  <c r="AI294" i="13"/>
  <c r="AI286" i="13"/>
  <c r="AI278" i="13"/>
  <c r="AI267" i="13"/>
  <c r="AI256" i="13"/>
  <c r="AI245" i="13"/>
  <c r="AI233" i="13"/>
  <c r="AI213" i="13"/>
  <c r="AI205" i="13"/>
  <c r="AI195" i="13"/>
  <c r="AI182" i="13"/>
  <c r="AI172" i="13"/>
  <c r="AI156" i="13"/>
  <c r="AI147" i="13"/>
  <c r="AI137" i="13"/>
  <c r="AI129" i="13"/>
  <c r="AI121" i="13"/>
  <c r="AI339" i="13"/>
  <c r="AI331" i="13"/>
  <c r="AI321" i="13"/>
  <c r="AI218" i="13"/>
  <c r="AI309" i="13"/>
  <c r="AI300" i="13"/>
  <c r="AI291" i="13"/>
  <c r="AI283" i="13"/>
  <c r="AI275" i="13"/>
  <c r="AI263" i="13"/>
  <c r="AI252" i="13"/>
  <c r="AI238" i="13"/>
  <c r="AI230" i="13"/>
  <c r="AI210" i="13"/>
  <c r="AI201" i="13"/>
  <c r="AI187" i="13"/>
  <c r="AI179" i="13"/>
  <c r="AI169" i="13"/>
  <c r="AI161" i="13"/>
  <c r="AI153" i="13"/>
  <c r="AI144" i="13"/>
  <c r="AI134" i="13"/>
  <c r="AI126" i="13"/>
  <c r="AI118" i="13"/>
  <c r="AI110" i="13"/>
  <c r="AI102" i="13"/>
  <c r="AI93" i="13"/>
  <c r="AI336" i="13"/>
  <c r="AI327" i="13"/>
  <c r="AI223" i="13"/>
  <c r="AI215" i="13"/>
  <c r="AI306" i="13"/>
  <c r="AI297" i="13"/>
  <c r="AI288" i="13"/>
  <c r="AI280" i="13"/>
  <c r="AI258" i="13"/>
  <c r="AI249" i="13"/>
  <c r="AI235" i="13"/>
  <c r="AI227" i="13"/>
  <c r="AI207" i="13"/>
  <c r="AI197" i="13"/>
  <c r="AI184" i="13"/>
  <c r="AI176" i="13"/>
  <c r="AI158" i="13"/>
  <c r="AI150" i="13"/>
  <c r="AI139" i="13"/>
  <c r="AI131" i="13"/>
  <c r="AI123" i="13"/>
  <c r="AI115" i="13"/>
  <c r="AI107" i="13"/>
  <c r="AI99" i="13"/>
  <c r="AI333" i="13"/>
  <c r="AI323" i="13"/>
  <c r="AI220" i="13"/>
  <c r="AI314" i="13"/>
  <c r="AI303" i="13"/>
  <c r="AI293" i="13"/>
  <c r="AI285" i="13"/>
  <c r="AI277" i="13"/>
  <c r="AI255" i="13"/>
  <c r="AI243" i="13"/>
  <c r="AI232" i="13"/>
  <c r="AI212" i="13"/>
  <c r="AI204" i="13"/>
  <c r="AI194" i="13"/>
  <c r="AI181" i="13"/>
  <c r="AI171" i="13"/>
  <c r="AI163" i="13"/>
  <c r="AI155" i="13"/>
  <c r="AI146" i="13"/>
  <c r="AI136" i="13"/>
  <c r="AI128" i="13"/>
  <c r="AI120" i="13"/>
  <c r="AI112" i="13"/>
  <c r="AI104" i="13"/>
  <c r="AI96" i="13"/>
  <c r="AI335" i="13"/>
  <c r="AI325" i="13"/>
  <c r="AI222" i="13"/>
  <c r="AI316" i="13"/>
  <c r="AI305" i="13"/>
  <c r="AI287" i="13"/>
  <c r="AI279" i="13"/>
  <c r="AI270" i="13"/>
  <c r="AI257" i="13"/>
  <c r="AI246" i="13"/>
  <c r="AI234" i="13"/>
  <c r="AI214" i="13"/>
  <c r="AI206" i="13"/>
  <c r="AI196" i="13"/>
  <c r="AI183" i="13"/>
  <c r="AI174" i="13"/>
  <c r="AI165" i="13"/>
  <c r="AI157" i="13"/>
  <c r="AI148" i="13"/>
  <c r="AI138" i="13"/>
  <c r="AI130" i="13"/>
  <c r="AI122" i="13"/>
  <c r="AI114" i="13"/>
  <c r="AI106" i="13"/>
  <c r="AI98" i="13"/>
  <c r="AI332" i="13"/>
  <c r="AI301" i="13"/>
  <c r="AI264" i="13"/>
  <c r="AI211" i="13"/>
  <c r="AI170" i="13"/>
  <c r="AI135" i="13"/>
  <c r="AI89" i="13"/>
  <c r="AI75" i="13"/>
  <c r="AI66" i="13"/>
  <c r="AI57" i="13"/>
  <c r="AI49" i="13"/>
  <c r="AI41" i="13"/>
  <c r="AI32" i="13"/>
  <c r="AI24" i="13"/>
  <c r="AI16" i="13"/>
  <c r="AI330" i="13"/>
  <c r="AI299" i="13"/>
  <c r="AI261" i="13"/>
  <c r="AI209" i="13"/>
  <c r="AI168" i="13"/>
  <c r="AI133" i="13"/>
  <c r="AI113" i="13"/>
  <c r="AI84" i="13"/>
  <c r="AI72" i="13"/>
  <c r="AI62" i="13"/>
  <c r="AI54" i="13"/>
  <c r="AI46" i="13"/>
  <c r="AI38" i="13"/>
  <c r="AI29" i="13"/>
  <c r="AI21" i="13"/>
  <c r="AI13" i="13"/>
  <c r="AI340" i="13"/>
  <c r="AI312" i="13"/>
  <c r="AI276" i="13"/>
  <c r="AI231" i="13"/>
  <c r="AI180" i="13"/>
  <c r="AI145" i="13"/>
  <c r="AI105" i="13"/>
  <c r="AI91" i="13"/>
  <c r="AI78" i="13"/>
  <c r="AI69" i="13"/>
  <c r="AI59" i="13"/>
  <c r="AI51" i="13"/>
  <c r="AI43" i="13"/>
  <c r="AI34" i="13"/>
  <c r="AI26" i="13"/>
  <c r="AI18" i="13"/>
  <c r="AI338" i="13"/>
  <c r="AI308" i="13"/>
  <c r="AI273" i="13"/>
  <c r="AI229" i="13"/>
  <c r="AI178" i="13"/>
  <c r="AI143" i="13"/>
  <c r="AI111" i="13"/>
  <c r="AI97" i="13"/>
  <c r="AI87" i="13"/>
  <c r="AI74" i="13"/>
  <c r="AI64" i="13"/>
  <c r="AI56" i="13"/>
  <c r="AI48" i="13"/>
  <c r="AI40" i="13"/>
  <c r="AI31" i="13"/>
  <c r="AI23" i="13"/>
  <c r="AI15" i="13"/>
  <c r="AI219" i="13"/>
  <c r="AI240" i="13"/>
  <c r="AI192" i="13"/>
  <c r="AI154" i="13"/>
  <c r="AI119" i="13"/>
  <c r="AI103" i="13"/>
  <c r="AI83" i="13"/>
  <c r="AI71" i="13"/>
  <c r="AI61" i="13"/>
  <c r="AI53" i="13"/>
  <c r="AI45" i="13"/>
  <c r="AI37" i="13"/>
  <c r="AI28" i="13"/>
  <c r="AI20" i="13"/>
  <c r="AI12" i="13"/>
  <c r="AI322" i="13"/>
  <c r="AI253" i="13"/>
  <c r="AI203" i="13"/>
  <c r="AI162" i="13"/>
  <c r="AI127" i="13"/>
  <c r="AI101" i="13"/>
  <c r="AI85" i="13"/>
  <c r="AI73" i="13"/>
  <c r="AI63" i="13"/>
  <c r="AI55" i="13"/>
  <c r="AI47" i="13"/>
  <c r="AI39" i="13"/>
  <c r="AI30" i="13"/>
  <c r="AI22" i="13"/>
  <c r="AI14" i="13"/>
  <c r="AI251" i="13"/>
  <c r="AI81" i="13"/>
  <c r="AI44" i="13"/>
  <c r="AI11" i="13"/>
  <c r="AI237" i="13"/>
  <c r="AI95" i="13"/>
  <c r="AI42" i="13"/>
  <c r="AI125" i="13"/>
  <c r="AI52" i="13"/>
  <c r="AI19" i="13"/>
  <c r="AI282" i="13"/>
  <c r="AI117" i="13"/>
  <c r="AI90" i="13"/>
  <c r="AI50" i="13"/>
  <c r="AI17" i="13"/>
  <c r="AI320" i="13"/>
  <c r="AI160" i="13"/>
  <c r="AI60" i="13"/>
  <c r="AI27" i="13"/>
  <c r="AI199" i="13"/>
  <c r="AI70" i="13"/>
  <c r="AI36" i="13"/>
  <c r="AI217" i="13"/>
  <c r="AI109" i="13"/>
  <c r="AI33" i="13"/>
  <c r="AI25" i="13"/>
  <c r="AI186" i="13"/>
  <c r="AI67" i="13"/>
  <c r="AI152" i="13"/>
  <c r="AI58" i="13"/>
  <c r="AA189" i="13"/>
  <c r="AA317" i="13"/>
  <c r="AA9" i="13"/>
  <c r="AA8" i="13"/>
  <c r="AA190" i="13"/>
  <c r="AA318" i="13"/>
  <c r="AA333" i="13"/>
  <c r="AA323" i="13"/>
  <c r="AA220" i="13"/>
  <c r="AA338" i="13"/>
  <c r="AA330" i="13"/>
  <c r="AA320" i="13"/>
  <c r="AA217" i="13"/>
  <c r="AA335" i="13"/>
  <c r="AA325" i="13"/>
  <c r="AA222" i="13"/>
  <c r="AA316" i="13"/>
  <c r="AA305" i="13"/>
  <c r="AA340" i="13"/>
  <c r="AA332" i="13"/>
  <c r="AA322" i="13"/>
  <c r="AA219" i="13"/>
  <c r="AA312" i="13"/>
  <c r="AA337" i="13"/>
  <c r="AA329" i="13"/>
  <c r="AA225" i="13"/>
  <c r="AA216" i="13"/>
  <c r="AA307" i="13"/>
  <c r="AA339" i="13"/>
  <c r="AA331" i="13"/>
  <c r="AA321" i="13"/>
  <c r="AA218" i="13"/>
  <c r="AA309" i="13"/>
  <c r="AA334" i="13"/>
  <c r="AA308" i="13"/>
  <c r="AA303" i="13"/>
  <c r="AA293" i="13"/>
  <c r="AA285" i="13"/>
  <c r="AA277" i="13"/>
  <c r="AA255" i="13"/>
  <c r="AA243" i="13"/>
  <c r="AA232" i="13"/>
  <c r="AA212" i="13"/>
  <c r="AA204" i="13"/>
  <c r="AA194" i="13"/>
  <c r="AA181" i="13"/>
  <c r="AA171" i="13"/>
  <c r="AA163" i="13"/>
  <c r="AA215" i="13"/>
  <c r="AA299" i="13"/>
  <c r="AA282" i="13"/>
  <c r="AA273" i="13"/>
  <c r="AA261" i="13"/>
  <c r="AA251" i="13"/>
  <c r="AA237" i="13"/>
  <c r="AA229" i="13"/>
  <c r="AA209" i="13"/>
  <c r="AA199" i="13"/>
  <c r="AA315" i="13"/>
  <c r="AA306" i="13"/>
  <c r="AA287" i="13"/>
  <c r="AA279" i="13"/>
  <c r="AA270" i="13"/>
  <c r="AA257" i="13"/>
  <c r="AA246" i="13"/>
  <c r="AA234" i="13"/>
  <c r="AA214" i="13"/>
  <c r="AA206" i="13"/>
  <c r="AA196" i="13"/>
  <c r="AA183" i="13"/>
  <c r="AA174" i="13"/>
  <c r="AA165" i="13"/>
  <c r="AA157" i="13"/>
  <c r="AA223" i="13"/>
  <c r="AA301" i="13"/>
  <c r="AA276" i="13"/>
  <c r="AA264" i="13"/>
  <c r="AA253" i="13"/>
  <c r="AA240" i="13"/>
  <c r="AA231" i="13"/>
  <c r="AA211" i="13"/>
  <c r="AA203" i="13"/>
  <c r="AA192" i="13"/>
  <c r="AA180" i="13"/>
  <c r="AA170" i="13"/>
  <c r="AA162" i="13"/>
  <c r="AA221" i="13"/>
  <c r="AA314" i="13"/>
  <c r="AA298" i="13"/>
  <c r="AA289" i="13"/>
  <c r="AA281" i="13"/>
  <c r="AA272" i="13"/>
  <c r="AA259" i="13"/>
  <c r="AA250" i="13"/>
  <c r="AA236" i="13"/>
  <c r="AA228" i="13"/>
  <c r="AA208" i="13"/>
  <c r="AA198" i="13"/>
  <c r="AA185" i="13"/>
  <c r="AA177" i="13"/>
  <c r="AA167" i="13"/>
  <c r="AA159" i="13"/>
  <c r="AA327" i="13"/>
  <c r="AA304" i="13"/>
  <c r="AA294" i="13"/>
  <c r="AA286" i="13"/>
  <c r="AA278" i="13"/>
  <c r="AA267" i="13"/>
  <c r="AA256" i="13"/>
  <c r="AA245" i="13"/>
  <c r="AA233" i="13"/>
  <c r="AA213" i="13"/>
  <c r="AA205" i="13"/>
  <c r="AA195" i="13"/>
  <c r="AA182" i="13"/>
  <c r="AA172" i="13"/>
  <c r="AA156" i="13"/>
  <c r="AA324" i="13"/>
  <c r="AA300" i="13"/>
  <c r="AA291" i="13"/>
  <c r="AA283" i="13"/>
  <c r="AA275" i="13"/>
  <c r="AA263" i="13"/>
  <c r="AA252" i="13"/>
  <c r="AA238" i="13"/>
  <c r="AA230" i="13"/>
  <c r="AA210" i="13"/>
  <c r="AA201" i="13"/>
  <c r="AA187" i="13"/>
  <c r="AA179" i="13"/>
  <c r="AA169" i="13"/>
  <c r="AA161" i="13"/>
  <c r="AA249" i="13"/>
  <c r="AA176" i="13"/>
  <c r="AA152" i="13"/>
  <c r="AA143" i="13"/>
  <c r="AA133" i="13"/>
  <c r="AA125" i="13"/>
  <c r="AA117" i="13"/>
  <c r="AA109" i="13"/>
  <c r="AA101" i="13"/>
  <c r="AA91" i="13"/>
  <c r="AA78" i="13"/>
  <c r="AA69" i="13"/>
  <c r="AA59" i="13"/>
  <c r="AA51" i="13"/>
  <c r="AA43" i="13"/>
  <c r="AA34" i="13"/>
  <c r="AA26" i="13"/>
  <c r="AA18" i="13"/>
  <c r="AA297" i="13"/>
  <c r="AA207" i="13"/>
  <c r="AA186" i="13"/>
  <c r="AA148" i="13"/>
  <c r="AA138" i="13"/>
  <c r="AA130" i="13"/>
  <c r="AA122" i="13"/>
  <c r="AA114" i="13"/>
  <c r="AA106" i="13"/>
  <c r="AA98" i="13"/>
  <c r="AA87" i="13"/>
  <c r="AA74" i="13"/>
  <c r="AA64" i="13"/>
  <c r="AA56" i="13"/>
  <c r="AA48" i="13"/>
  <c r="AA40" i="13"/>
  <c r="AA31" i="13"/>
  <c r="AA23" i="13"/>
  <c r="AA15" i="13"/>
  <c r="AA184" i="13"/>
  <c r="AA154" i="13"/>
  <c r="AA145" i="13"/>
  <c r="AA135" i="13"/>
  <c r="AA127" i="13"/>
  <c r="AA119" i="13"/>
  <c r="AA111" i="13"/>
  <c r="AA103" i="13"/>
  <c r="AA95" i="13"/>
  <c r="AA83" i="13"/>
  <c r="AA71" i="13"/>
  <c r="AA61" i="13"/>
  <c r="AA53" i="13"/>
  <c r="AA45" i="13"/>
  <c r="AA37" i="13"/>
  <c r="AA28" i="13"/>
  <c r="AA20" i="13"/>
  <c r="AA12" i="13"/>
  <c r="AA336" i="13"/>
  <c r="AA235" i="13"/>
  <c r="AA160" i="13"/>
  <c r="AA151" i="13"/>
  <c r="AA141" i="13"/>
  <c r="AA132" i="13"/>
  <c r="AA124" i="13"/>
  <c r="AA116" i="13"/>
  <c r="AA108" i="13"/>
  <c r="AA100" i="13"/>
  <c r="AA90" i="13"/>
  <c r="AA67" i="13"/>
  <c r="AA58" i="13"/>
  <c r="AA50" i="13"/>
  <c r="AA42" i="13"/>
  <c r="AA33" i="13"/>
  <c r="AA25" i="13"/>
  <c r="AA17" i="13"/>
  <c r="AA288" i="13"/>
  <c r="AA197" i="13"/>
  <c r="AA158" i="13"/>
  <c r="AA147" i="13"/>
  <c r="AA137" i="13"/>
  <c r="AA129" i="13"/>
  <c r="AA121" i="13"/>
  <c r="AA113" i="13"/>
  <c r="AA105" i="13"/>
  <c r="AA97" i="13"/>
  <c r="AA85" i="13"/>
  <c r="AA73" i="13"/>
  <c r="AA63" i="13"/>
  <c r="AA55" i="13"/>
  <c r="AA47" i="13"/>
  <c r="AA39" i="13"/>
  <c r="AA30" i="13"/>
  <c r="AA22" i="13"/>
  <c r="AA14" i="13"/>
  <c r="AA258" i="13"/>
  <c r="AA168" i="13"/>
  <c r="AA153" i="13"/>
  <c r="AA144" i="13"/>
  <c r="AA134" i="13"/>
  <c r="AA126" i="13"/>
  <c r="AA118" i="13"/>
  <c r="AA110" i="13"/>
  <c r="AA102" i="13"/>
  <c r="AA93" i="13"/>
  <c r="AA81" i="13"/>
  <c r="AA70" i="13"/>
  <c r="AA60" i="13"/>
  <c r="AA52" i="13"/>
  <c r="AA44" i="13"/>
  <c r="AA36" i="13"/>
  <c r="AA27" i="13"/>
  <c r="AA19" i="13"/>
  <c r="AA11" i="13"/>
  <c r="AA227" i="13"/>
  <c r="AA150" i="13"/>
  <c r="AA139" i="13"/>
  <c r="AA131" i="13"/>
  <c r="AA123" i="13"/>
  <c r="AA115" i="13"/>
  <c r="AA107" i="13"/>
  <c r="AA99" i="13"/>
  <c r="AA89" i="13"/>
  <c r="AA75" i="13"/>
  <c r="AA66" i="13"/>
  <c r="AA57" i="13"/>
  <c r="AA49" i="13"/>
  <c r="AA41" i="13"/>
  <c r="AA32" i="13"/>
  <c r="AA24" i="13"/>
  <c r="AA16" i="13"/>
  <c r="AA280" i="13"/>
  <c r="AA178" i="13"/>
  <c r="AA155" i="13"/>
  <c r="AA146" i="13"/>
  <c r="AA136" i="13"/>
  <c r="AA128" i="13"/>
  <c r="AA120" i="13"/>
  <c r="AA112" i="13"/>
  <c r="AA104" i="13"/>
  <c r="AA96" i="13"/>
  <c r="AA84" i="13"/>
  <c r="AA72" i="13"/>
  <c r="AA62" i="13"/>
  <c r="AA54" i="13"/>
  <c r="AA46" i="13"/>
  <c r="AA38" i="13"/>
  <c r="AA29" i="13"/>
  <c r="AA21" i="13"/>
  <c r="AA13" i="13"/>
  <c r="S189" i="13"/>
  <c r="S317" i="13"/>
  <c r="S9" i="13"/>
  <c r="S8" i="13"/>
  <c r="S190" i="13"/>
  <c r="S318" i="13"/>
  <c r="S334" i="13"/>
  <c r="S324" i="13"/>
  <c r="S221" i="13"/>
  <c r="S315" i="13"/>
  <c r="S304" i="13"/>
  <c r="S294" i="13"/>
  <c r="S286" i="13"/>
  <c r="S278" i="13"/>
  <c r="S267" i="13"/>
  <c r="S256" i="13"/>
  <c r="S245" i="13"/>
  <c r="S233" i="13"/>
  <c r="S213" i="13"/>
  <c r="S205" i="13"/>
  <c r="S195" i="13"/>
  <c r="S182" i="13"/>
  <c r="S336" i="13"/>
  <c r="S327" i="13"/>
  <c r="S223" i="13"/>
  <c r="S215" i="13"/>
  <c r="S306" i="13"/>
  <c r="S297" i="13"/>
  <c r="S288" i="13"/>
  <c r="S280" i="13"/>
  <c r="S258" i="13"/>
  <c r="S249" i="13"/>
  <c r="S235" i="13"/>
  <c r="S227" i="13"/>
  <c r="S207" i="13"/>
  <c r="S197" i="13"/>
  <c r="S184" i="13"/>
  <c r="S333" i="13"/>
  <c r="S323" i="13"/>
  <c r="S220" i="13"/>
  <c r="S314" i="13"/>
  <c r="S303" i="13"/>
  <c r="S293" i="13"/>
  <c r="S285" i="13"/>
  <c r="S277" i="13"/>
  <c r="S255" i="13"/>
  <c r="S243" i="13"/>
  <c r="S232" i="13"/>
  <c r="S212" i="13"/>
  <c r="S204" i="13"/>
  <c r="S194" i="13"/>
  <c r="S181" i="13"/>
  <c r="S338" i="13"/>
  <c r="S330" i="13"/>
  <c r="S320" i="13"/>
  <c r="S217" i="13"/>
  <c r="S308" i="13"/>
  <c r="S299" i="13"/>
  <c r="S282" i="13"/>
  <c r="S273" i="13"/>
  <c r="S261" i="13"/>
  <c r="S251" i="13"/>
  <c r="S237" i="13"/>
  <c r="S229" i="13"/>
  <c r="S209" i="13"/>
  <c r="S199" i="13"/>
  <c r="S186" i="13"/>
  <c r="S340" i="13"/>
  <c r="S332" i="13"/>
  <c r="S322" i="13"/>
  <c r="S219" i="13"/>
  <c r="S312" i="13"/>
  <c r="S301" i="13"/>
  <c r="S276" i="13"/>
  <c r="S264" i="13"/>
  <c r="S253" i="13"/>
  <c r="S240" i="13"/>
  <c r="S231" i="13"/>
  <c r="S211" i="13"/>
  <c r="S203" i="13"/>
  <c r="S192" i="13"/>
  <c r="S337" i="13"/>
  <c r="S329" i="13"/>
  <c r="S225" i="13"/>
  <c r="S216" i="13"/>
  <c r="S307" i="13"/>
  <c r="S298" i="13"/>
  <c r="S289" i="13"/>
  <c r="S281" i="13"/>
  <c r="S272" i="13"/>
  <c r="S259" i="13"/>
  <c r="S250" i="13"/>
  <c r="S236" i="13"/>
  <c r="S228" i="13"/>
  <c r="S208" i="13"/>
  <c r="S316" i="13"/>
  <c r="S279" i="13"/>
  <c r="S234" i="13"/>
  <c r="S187" i="13"/>
  <c r="S180" i="13"/>
  <c r="S170" i="13"/>
  <c r="S162" i="13"/>
  <c r="S154" i="13"/>
  <c r="S145" i="13"/>
  <c r="S135" i="13"/>
  <c r="S127" i="13"/>
  <c r="S119" i="13"/>
  <c r="S111" i="13"/>
  <c r="S103" i="13"/>
  <c r="S95" i="13"/>
  <c r="S83" i="13"/>
  <c r="S71" i="13"/>
  <c r="S61" i="13"/>
  <c r="S53" i="13"/>
  <c r="S45" i="13"/>
  <c r="S37" i="13"/>
  <c r="S28" i="13"/>
  <c r="S20" i="13"/>
  <c r="S12" i="13"/>
  <c r="S331" i="13"/>
  <c r="S300" i="13"/>
  <c r="S263" i="13"/>
  <c r="S210" i="13"/>
  <c r="S198" i="13"/>
  <c r="S177" i="13"/>
  <c r="S167" i="13"/>
  <c r="S159" i="13"/>
  <c r="S151" i="13"/>
  <c r="S141" i="13"/>
  <c r="S132" i="13"/>
  <c r="S124" i="13"/>
  <c r="S116" i="13"/>
  <c r="S108" i="13"/>
  <c r="S100" i="13"/>
  <c r="S90" i="13"/>
  <c r="S67" i="13"/>
  <c r="S58" i="13"/>
  <c r="S50" i="13"/>
  <c r="S42" i="13"/>
  <c r="S33" i="13"/>
  <c r="S25" i="13"/>
  <c r="S17" i="13"/>
  <c r="S222" i="13"/>
  <c r="S287" i="13"/>
  <c r="S246" i="13"/>
  <c r="S185" i="13"/>
  <c r="S172" i="13"/>
  <c r="S156" i="13"/>
  <c r="S147" i="13"/>
  <c r="S137" i="13"/>
  <c r="S129" i="13"/>
  <c r="S121" i="13"/>
  <c r="S113" i="13"/>
  <c r="S105" i="13"/>
  <c r="S97" i="13"/>
  <c r="S85" i="13"/>
  <c r="S73" i="13"/>
  <c r="S63" i="13"/>
  <c r="S55" i="13"/>
  <c r="S47" i="13"/>
  <c r="S39" i="13"/>
  <c r="S30" i="13"/>
  <c r="S22" i="13"/>
  <c r="S14" i="13"/>
  <c r="S339" i="13"/>
  <c r="S309" i="13"/>
  <c r="S275" i="13"/>
  <c r="S230" i="13"/>
  <c r="S196" i="13"/>
  <c r="S179" i="13"/>
  <c r="S169" i="13"/>
  <c r="S161" i="13"/>
  <c r="S153" i="13"/>
  <c r="S144" i="13"/>
  <c r="S134" i="13"/>
  <c r="S126" i="13"/>
  <c r="S118" i="13"/>
  <c r="S110" i="13"/>
  <c r="S102" i="13"/>
  <c r="S93" i="13"/>
  <c r="S81" i="13"/>
  <c r="S70" i="13"/>
  <c r="S60" i="13"/>
  <c r="S52" i="13"/>
  <c r="S44" i="13"/>
  <c r="S36" i="13"/>
  <c r="S27" i="13"/>
  <c r="S19" i="13"/>
  <c r="S11" i="13"/>
  <c r="S325" i="13"/>
  <c r="S257" i="13"/>
  <c r="S206" i="13"/>
  <c r="S183" i="13"/>
  <c r="S176" i="13"/>
  <c r="S158" i="13"/>
  <c r="S150" i="13"/>
  <c r="S139" i="13"/>
  <c r="S131" i="13"/>
  <c r="S123" i="13"/>
  <c r="S115" i="13"/>
  <c r="S107" i="13"/>
  <c r="S99" i="13"/>
  <c r="S89" i="13"/>
  <c r="S75" i="13"/>
  <c r="S66" i="13"/>
  <c r="S57" i="13"/>
  <c r="S49" i="13"/>
  <c r="S41" i="13"/>
  <c r="S32" i="13"/>
  <c r="S24" i="13"/>
  <c r="S16" i="13"/>
  <c r="S218" i="13"/>
  <c r="S283" i="13"/>
  <c r="S238" i="13"/>
  <c r="S171" i="13"/>
  <c r="S163" i="13"/>
  <c r="S155" i="13"/>
  <c r="S146" i="13"/>
  <c r="S136" i="13"/>
  <c r="S128" i="13"/>
  <c r="S120" i="13"/>
  <c r="S112" i="13"/>
  <c r="S104" i="13"/>
  <c r="S96" i="13"/>
  <c r="S84" i="13"/>
  <c r="S72" i="13"/>
  <c r="S62" i="13"/>
  <c r="S54" i="13"/>
  <c r="S46" i="13"/>
  <c r="S38" i="13"/>
  <c r="S29" i="13"/>
  <c r="S21" i="13"/>
  <c r="S13" i="13"/>
  <c r="S335" i="13"/>
  <c r="S305" i="13"/>
  <c r="S270" i="13"/>
  <c r="S214" i="13"/>
  <c r="S178" i="13"/>
  <c r="S168" i="13"/>
  <c r="S160" i="13"/>
  <c r="S152" i="13"/>
  <c r="S143" i="13"/>
  <c r="S133" i="13"/>
  <c r="S125" i="13"/>
  <c r="S117" i="13"/>
  <c r="S109" i="13"/>
  <c r="S101" i="13"/>
  <c r="S91" i="13"/>
  <c r="S78" i="13"/>
  <c r="S69" i="13"/>
  <c r="S59" i="13"/>
  <c r="S51" i="13"/>
  <c r="S43" i="13"/>
  <c r="S34" i="13"/>
  <c r="S26" i="13"/>
  <c r="S18" i="13"/>
  <c r="S252" i="13"/>
  <c r="S148" i="13"/>
  <c r="S74" i="13"/>
  <c r="S122" i="13"/>
  <c r="S48" i="13"/>
  <c r="S321" i="13"/>
  <c r="S165" i="13"/>
  <c r="S98" i="13"/>
  <c r="S23" i="13"/>
  <c r="S201" i="13"/>
  <c r="S138" i="13"/>
  <c r="S64" i="13"/>
  <c r="S114" i="13"/>
  <c r="S40" i="13"/>
  <c r="S130" i="13"/>
  <c r="S56" i="13"/>
  <c r="S31" i="13"/>
  <c r="S291" i="13"/>
  <c r="S15" i="13"/>
  <c r="S106" i="13"/>
  <c r="S87" i="13"/>
  <c r="S174" i="13"/>
  <c r="S157" i="13"/>
  <c r="K189" i="13"/>
  <c r="K317" i="13"/>
  <c r="K9" i="13"/>
  <c r="K8" i="13"/>
  <c r="K190" i="13"/>
  <c r="K318" i="13"/>
  <c r="K334" i="13"/>
  <c r="K324" i="13"/>
  <c r="K221" i="13"/>
  <c r="K315" i="13"/>
  <c r="K304" i="13"/>
  <c r="K294" i="13"/>
  <c r="K286" i="13"/>
  <c r="K278" i="13"/>
  <c r="K267" i="13"/>
  <c r="K256" i="13"/>
  <c r="K245" i="13"/>
  <c r="K233" i="13"/>
  <c r="K213" i="13"/>
  <c r="K205" i="13"/>
  <c r="K195" i="13"/>
  <c r="K182" i="13"/>
  <c r="K172" i="13"/>
  <c r="K156" i="13"/>
  <c r="K147" i="13"/>
  <c r="K137" i="13"/>
  <c r="K129" i="13"/>
  <c r="K121" i="13"/>
  <c r="K113" i="13"/>
  <c r="K105" i="13"/>
  <c r="K97" i="13"/>
  <c r="K85" i="13"/>
  <c r="K73" i="13"/>
  <c r="K63" i="13"/>
  <c r="K55" i="13"/>
  <c r="K47" i="13"/>
  <c r="K39" i="13"/>
  <c r="K30" i="13"/>
  <c r="K22" i="13"/>
  <c r="K14" i="13"/>
  <c r="K336" i="13"/>
  <c r="K327" i="13"/>
  <c r="K223" i="13"/>
  <c r="K215" i="13"/>
  <c r="K306" i="13"/>
  <c r="K297" i="13"/>
  <c r="K288" i="13"/>
  <c r="K280" i="13"/>
  <c r="K258" i="13"/>
  <c r="K249" i="13"/>
  <c r="K235" i="13"/>
  <c r="K227" i="13"/>
  <c r="K333" i="13"/>
  <c r="K323" i="13"/>
  <c r="K220" i="13"/>
  <c r="K314" i="13"/>
  <c r="K303" i="13"/>
  <c r="K293" i="13"/>
  <c r="K285" i="13"/>
  <c r="K277" i="13"/>
  <c r="K255" i="13"/>
  <c r="K243" i="13"/>
  <c r="K232" i="13"/>
  <c r="K212" i="13"/>
  <c r="K204" i="13"/>
  <c r="K194" i="13"/>
  <c r="K181" i="13"/>
  <c r="K171" i="13"/>
  <c r="K163" i="13"/>
  <c r="K155" i="13"/>
  <c r="K146" i="13"/>
  <c r="K136" i="13"/>
  <c r="K128" i="13"/>
  <c r="K120" i="13"/>
  <c r="K112" i="13"/>
  <c r="K104" i="13"/>
  <c r="K96" i="13"/>
  <c r="K84" i="13"/>
  <c r="K72" i="13"/>
  <c r="K62" i="13"/>
  <c r="K54" i="13"/>
  <c r="K46" i="13"/>
  <c r="K38" i="13"/>
  <c r="K29" i="13"/>
  <c r="K21" i="13"/>
  <c r="K13" i="13"/>
  <c r="K338" i="13"/>
  <c r="K330" i="13"/>
  <c r="K320" i="13"/>
  <c r="K217" i="13"/>
  <c r="K308" i="13"/>
  <c r="K299" i="13"/>
  <c r="K282" i="13"/>
  <c r="K273" i="13"/>
  <c r="K261" i="13"/>
  <c r="K251" i="13"/>
  <c r="K237" i="13"/>
  <c r="K229" i="13"/>
  <c r="K209" i="13"/>
  <c r="K199" i="13"/>
  <c r="K186" i="13"/>
  <c r="K178" i="13"/>
  <c r="K168" i="13"/>
  <c r="K160" i="13"/>
  <c r="K152" i="13"/>
  <c r="K143" i="13"/>
  <c r="K133" i="13"/>
  <c r="K125" i="13"/>
  <c r="K117" i="13"/>
  <c r="K109" i="13"/>
  <c r="K101" i="13"/>
  <c r="K91" i="13"/>
  <c r="K78" i="13"/>
  <c r="K69" i="13"/>
  <c r="K59" i="13"/>
  <c r="K51" i="13"/>
  <c r="K43" i="13"/>
  <c r="K34" i="13"/>
  <c r="K26" i="13"/>
  <c r="K18" i="13"/>
  <c r="K340" i="13"/>
  <c r="K332" i="13"/>
  <c r="K322" i="13"/>
  <c r="K219" i="13"/>
  <c r="K312" i="13"/>
  <c r="K301" i="13"/>
  <c r="K276" i="13"/>
  <c r="K264" i="13"/>
  <c r="K253" i="13"/>
  <c r="K240" i="13"/>
  <c r="K231" i="13"/>
  <c r="K211" i="13"/>
  <c r="K203" i="13"/>
  <c r="K192" i="13"/>
  <c r="K180" i="13"/>
  <c r="K170" i="13"/>
  <c r="K162" i="13"/>
  <c r="K154" i="13"/>
  <c r="K145" i="13"/>
  <c r="K135" i="13"/>
  <c r="K127" i="13"/>
  <c r="K119" i="13"/>
  <c r="K111" i="13"/>
  <c r="K103" i="13"/>
  <c r="K95" i="13"/>
  <c r="K83" i="13"/>
  <c r="K71" i="13"/>
  <c r="K61" i="13"/>
  <c r="K53" i="13"/>
  <c r="K45" i="13"/>
  <c r="K37" i="13"/>
  <c r="K28" i="13"/>
  <c r="K20" i="13"/>
  <c r="K12" i="13"/>
  <c r="K339" i="13"/>
  <c r="K305" i="13"/>
  <c r="K289" i="13"/>
  <c r="K275" i="13"/>
  <c r="K214" i="13"/>
  <c r="K201" i="13"/>
  <c r="K179" i="13"/>
  <c r="K161" i="13"/>
  <c r="K144" i="13"/>
  <c r="K126" i="13"/>
  <c r="K110" i="13"/>
  <c r="K93" i="13"/>
  <c r="K70" i="13"/>
  <c r="K52" i="13"/>
  <c r="K36" i="13"/>
  <c r="K19" i="13"/>
  <c r="K331" i="13"/>
  <c r="K281" i="13"/>
  <c r="K263" i="13"/>
  <c r="K207" i="13"/>
  <c r="K184" i="13"/>
  <c r="K150" i="13"/>
  <c r="K131" i="13"/>
  <c r="K115" i="13"/>
  <c r="K99" i="13"/>
  <c r="K75" i="13"/>
  <c r="K57" i="13"/>
  <c r="K41" i="13"/>
  <c r="K24" i="13"/>
  <c r="K337" i="13"/>
  <c r="K321" i="13"/>
  <c r="K287" i="13"/>
  <c r="K272" i="13"/>
  <c r="K252" i="13"/>
  <c r="K206" i="13"/>
  <c r="K183" i="13"/>
  <c r="K165" i="13"/>
  <c r="K148" i="13"/>
  <c r="K130" i="13"/>
  <c r="K114" i="13"/>
  <c r="K98" i="13"/>
  <c r="K74" i="13"/>
  <c r="K56" i="13"/>
  <c r="K40" i="13"/>
  <c r="K23" i="13"/>
  <c r="K329" i="13"/>
  <c r="K218" i="13"/>
  <c r="K279" i="13"/>
  <c r="K259" i="13"/>
  <c r="K238" i="13"/>
  <c r="K198" i="13"/>
  <c r="K177" i="13"/>
  <c r="K159" i="13"/>
  <c r="K141" i="13"/>
  <c r="K124" i="13"/>
  <c r="K108" i="13"/>
  <c r="K90" i="13"/>
  <c r="K67" i="13"/>
  <c r="K50" i="13"/>
  <c r="K33" i="13"/>
  <c r="K17" i="13"/>
  <c r="K335" i="13"/>
  <c r="K225" i="13"/>
  <c r="K309" i="13"/>
  <c r="K270" i="13"/>
  <c r="K250" i="13"/>
  <c r="K230" i="13"/>
  <c r="K187" i="13"/>
  <c r="K169" i="13"/>
  <c r="K153" i="13"/>
  <c r="K134" i="13"/>
  <c r="K118" i="13"/>
  <c r="K102" i="13"/>
  <c r="K81" i="13"/>
  <c r="K60" i="13"/>
  <c r="K44" i="13"/>
  <c r="K27" i="13"/>
  <c r="K11" i="13"/>
  <c r="K325" i="13"/>
  <c r="K216" i="13"/>
  <c r="K300" i="13"/>
  <c r="K257" i="13"/>
  <c r="K236" i="13"/>
  <c r="K210" i="13"/>
  <c r="K197" i="13"/>
  <c r="K176" i="13"/>
  <c r="K158" i="13"/>
  <c r="K139" i="13"/>
  <c r="K123" i="13"/>
  <c r="K107" i="13"/>
  <c r="K89" i="13"/>
  <c r="K66" i="13"/>
  <c r="K49" i="13"/>
  <c r="K32" i="13"/>
  <c r="K16" i="13"/>
  <c r="K222" i="13"/>
  <c r="K307" i="13"/>
  <c r="K291" i="13"/>
  <c r="K246" i="13"/>
  <c r="K228" i="13"/>
  <c r="K196" i="13"/>
  <c r="K174" i="13"/>
  <c r="K157" i="13"/>
  <c r="K138" i="13"/>
  <c r="K122" i="13"/>
  <c r="K106" i="13"/>
  <c r="K87" i="13"/>
  <c r="K64" i="13"/>
  <c r="K48" i="13"/>
  <c r="K31" i="13"/>
  <c r="K15" i="13"/>
  <c r="H26" i="13"/>
  <c r="H33" i="13"/>
  <c r="H42" i="13"/>
  <c r="H50" i="13"/>
  <c r="H90" i="13"/>
  <c r="H116" i="13"/>
  <c r="H159" i="13"/>
  <c r="H250" i="13"/>
  <c r="K58" i="13"/>
  <c r="K208" i="13"/>
  <c r="N17" i="13"/>
  <c r="H63" i="13"/>
  <c r="H185" i="13"/>
  <c r="H281" i="13"/>
  <c r="H309" i="13"/>
  <c r="K116" i="13"/>
  <c r="K298" i="13"/>
  <c r="N99" i="13"/>
  <c r="AF461" i="12"/>
  <c r="AG461" i="12" s="1"/>
  <c r="H22" i="13"/>
  <c r="H141" i="13"/>
  <c r="H228" i="13"/>
  <c r="K25" i="13"/>
  <c r="K167" i="13"/>
  <c r="K234" i="13"/>
  <c r="N31" i="13"/>
  <c r="O180" i="13"/>
  <c r="AS9" i="13"/>
  <c r="AS338" i="13"/>
  <c r="AS330" i="13"/>
  <c r="AS320" i="13"/>
  <c r="AS217" i="13"/>
  <c r="AS308" i="13"/>
  <c r="AS299" i="13"/>
  <c r="AS8" i="13"/>
  <c r="AS190" i="13"/>
  <c r="AS318" i="13"/>
  <c r="AS189" i="13"/>
  <c r="AS317" i="13"/>
  <c r="AS316" i="13"/>
  <c r="AS312" i="13"/>
  <c r="AS307" i="13"/>
  <c r="AS304" i="13"/>
  <c r="AS300" i="13"/>
  <c r="AS297" i="13"/>
  <c r="AS293" i="13"/>
  <c r="AS282" i="13"/>
  <c r="AS273" i="13"/>
  <c r="AS261" i="13"/>
  <c r="AS251" i="13"/>
  <c r="AS237" i="13"/>
  <c r="AS229" i="13"/>
  <c r="AS209" i="13"/>
  <c r="AS199" i="13"/>
  <c r="AS186" i="13"/>
  <c r="AS178" i="13"/>
  <c r="AS168" i="13"/>
  <c r="AS160" i="13"/>
  <c r="AS152" i="13"/>
  <c r="AS143" i="13"/>
  <c r="AS133" i="13"/>
  <c r="AS125" i="13"/>
  <c r="AS117" i="13"/>
  <c r="AS276" i="13"/>
  <c r="AS264" i="13"/>
  <c r="AS253" i="13"/>
  <c r="AS240" i="13"/>
  <c r="AS231" i="13"/>
  <c r="AS211" i="13"/>
  <c r="AS203" i="13"/>
  <c r="AS192" i="13"/>
  <c r="AS180" i="13"/>
  <c r="AS170" i="13"/>
  <c r="AS162" i="13"/>
  <c r="AS154" i="13"/>
  <c r="AS145" i="13"/>
  <c r="AS135" i="13"/>
  <c r="AS127" i="13"/>
  <c r="AS119" i="13"/>
  <c r="AS111" i="13"/>
  <c r="AS103" i="13"/>
  <c r="AS95" i="13"/>
  <c r="AS83" i="13"/>
  <c r="AS71" i="13"/>
  <c r="AS61" i="13"/>
  <c r="AS222" i="13"/>
  <c r="AS219" i="13"/>
  <c r="AS216" i="13"/>
  <c r="AS315" i="13"/>
  <c r="AS309" i="13"/>
  <c r="AS306" i="13"/>
  <c r="AS303" i="13"/>
  <c r="AS289" i="13"/>
  <c r="AS281" i="13"/>
  <c r="AS272" i="13"/>
  <c r="AS259" i="13"/>
  <c r="AS250" i="13"/>
  <c r="AS236" i="13"/>
  <c r="AS228" i="13"/>
  <c r="AS208" i="13"/>
  <c r="AS198" i="13"/>
  <c r="AS185" i="13"/>
  <c r="AS340" i="13"/>
  <c r="AS337" i="13"/>
  <c r="AS334" i="13"/>
  <c r="AS331" i="13"/>
  <c r="AS327" i="13"/>
  <c r="AS323" i="13"/>
  <c r="AS286" i="13"/>
  <c r="AS278" i="13"/>
  <c r="AS267" i="13"/>
  <c r="AS256" i="13"/>
  <c r="AS245" i="13"/>
  <c r="AS233" i="13"/>
  <c r="AS213" i="13"/>
  <c r="AS205" i="13"/>
  <c r="AS195" i="13"/>
  <c r="AS182" i="13"/>
  <c r="AS172" i="13"/>
  <c r="AS156" i="13"/>
  <c r="AS147" i="13"/>
  <c r="AS137" i="13"/>
  <c r="AS129" i="13"/>
  <c r="AS121" i="13"/>
  <c r="AS325" i="13"/>
  <c r="AS322" i="13"/>
  <c r="AS225" i="13"/>
  <c r="AS221" i="13"/>
  <c r="AS218" i="13"/>
  <c r="AS215" i="13"/>
  <c r="AS314" i="13"/>
  <c r="AS288" i="13"/>
  <c r="AS280" i="13"/>
  <c r="AS258" i="13"/>
  <c r="AS249" i="13"/>
  <c r="AS235" i="13"/>
  <c r="AS227" i="13"/>
  <c r="AS207" i="13"/>
  <c r="AS197" i="13"/>
  <c r="AS184" i="13"/>
  <c r="AS176" i="13"/>
  <c r="AS158" i="13"/>
  <c r="AS150" i="13"/>
  <c r="AS139" i="13"/>
  <c r="AS131" i="13"/>
  <c r="AS123" i="13"/>
  <c r="AS115" i="13"/>
  <c r="AS107" i="13"/>
  <c r="AS99" i="13"/>
  <c r="AS89" i="13"/>
  <c r="AS75" i="13"/>
  <c r="AS66" i="13"/>
  <c r="AS335" i="13"/>
  <c r="AS294" i="13"/>
  <c r="AS287" i="13"/>
  <c r="AS238" i="13"/>
  <c r="AS212" i="13"/>
  <c r="AS196" i="13"/>
  <c r="AS177" i="13"/>
  <c r="AS159" i="13"/>
  <c r="AS141" i="13"/>
  <c r="AS124" i="13"/>
  <c r="AS114" i="13"/>
  <c r="AS96" i="13"/>
  <c r="AS85" i="13"/>
  <c r="AS74" i="13"/>
  <c r="AS53" i="13"/>
  <c r="AS45" i="13"/>
  <c r="AS37" i="13"/>
  <c r="AS28" i="13"/>
  <c r="AS20" i="13"/>
  <c r="AS12" i="13"/>
  <c r="AS324" i="13"/>
  <c r="AS279" i="13"/>
  <c r="AS230" i="13"/>
  <c r="AS204" i="13"/>
  <c r="AS183" i="13"/>
  <c r="AS169" i="13"/>
  <c r="AS153" i="13"/>
  <c r="AS134" i="13"/>
  <c r="AS118" i="13"/>
  <c r="AS110" i="13"/>
  <c r="AS90" i="13"/>
  <c r="AS78" i="13"/>
  <c r="AS70" i="13"/>
  <c r="AS58" i="13"/>
  <c r="AS50" i="13"/>
  <c r="AS42" i="13"/>
  <c r="AS33" i="13"/>
  <c r="AS25" i="13"/>
  <c r="AS17" i="13"/>
  <c r="AS333" i="13"/>
  <c r="AS220" i="13"/>
  <c r="AS301" i="13"/>
  <c r="AS285" i="13"/>
  <c r="AS270" i="13"/>
  <c r="AS210" i="13"/>
  <c r="AS194" i="13"/>
  <c r="AS163" i="13"/>
  <c r="AS146" i="13"/>
  <c r="AS128" i="13"/>
  <c r="AS113" i="13"/>
  <c r="AS106" i="13"/>
  <c r="AS84" i="13"/>
  <c r="AS73" i="13"/>
  <c r="AS64" i="13"/>
  <c r="AS55" i="13"/>
  <c r="AS47" i="13"/>
  <c r="AS39" i="13"/>
  <c r="AS30" i="13"/>
  <c r="AS22" i="13"/>
  <c r="AS14" i="13"/>
  <c r="AS332" i="13"/>
  <c r="AS291" i="13"/>
  <c r="AS277" i="13"/>
  <c r="AS257" i="13"/>
  <c r="AS201" i="13"/>
  <c r="AS181" i="13"/>
  <c r="AS174" i="13"/>
  <c r="AS157" i="13"/>
  <c r="AS138" i="13"/>
  <c r="AS122" i="13"/>
  <c r="AS109" i="13"/>
  <c r="AS102" i="13"/>
  <c r="AS69" i="13"/>
  <c r="AS60" i="13"/>
  <c r="AS52" i="13"/>
  <c r="AS44" i="13"/>
  <c r="AS36" i="13"/>
  <c r="AS27" i="13"/>
  <c r="AS19" i="13"/>
  <c r="AS11" i="13"/>
  <c r="AS339" i="13"/>
  <c r="AS321" i="13"/>
  <c r="AS283" i="13"/>
  <c r="AS246" i="13"/>
  <c r="AS187" i="13"/>
  <c r="AS167" i="13"/>
  <c r="AS151" i="13"/>
  <c r="AS132" i="13"/>
  <c r="AS116" i="13"/>
  <c r="AS112" i="13"/>
  <c r="AS105" i="13"/>
  <c r="AS98" i="13"/>
  <c r="AS72" i="13"/>
  <c r="AS63" i="13"/>
  <c r="AS57" i="13"/>
  <c r="AS49" i="13"/>
  <c r="AS41" i="13"/>
  <c r="AS32" i="13"/>
  <c r="AS24" i="13"/>
  <c r="AS16" i="13"/>
  <c r="AS329" i="13"/>
  <c r="AS223" i="13"/>
  <c r="AS243" i="13"/>
  <c r="AS120" i="13"/>
  <c r="AS108" i="13"/>
  <c r="AS100" i="13"/>
  <c r="AS87" i="13"/>
  <c r="AS46" i="13"/>
  <c r="AS40" i="13"/>
  <c r="AS179" i="13"/>
  <c r="AS165" i="13"/>
  <c r="AS38" i="13"/>
  <c r="AS31" i="13"/>
  <c r="AS263" i="13"/>
  <c r="AS234" i="13"/>
  <c r="AS206" i="13"/>
  <c r="AS161" i="13"/>
  <c r="AS148" i="13"/>
  <c r="AS97" i="13"/>
  <c r="AS59" i="13"/>
  <c r="AS29" i="13"/>
  <c r="AS23" i="13"/>
  <c r="AS144" i="13"/>
  <c r="AS130" i="13"/>
  <c r="AS67" i="13"/>
  <c r="AS51" i="13"/>
  <c r="AS21" i="13"/>
  <c r="AS15" i="13"/>
  <c r="AS336" i="13"/>
  <c r="AS305" i="13"/>
  <c r="AS255" i="13"/>
  <c r="AS232" i="13"/>
  <c r="AS126" i="13"/>
  <c r="AS104" i="13"/>
  <c r="AS93" i="13"/>
  <c r="AS81" i="13"/>
  <c r="AS43" i="13"/>
  <c r="AS13" i="13"/>
  <c r="AS275" i="13"/>
  <c r="AS252" i="13"/>
  <c r="AS214" i="13"/>
  <c r="AS155" i="13"/>
  <c r="AS101" i="13"/>
  <c r="AS91" i="13"/>
  <c r="AS56" i="13"/>
  <c r="AS26" i="13"/>
  <c r="AS62" i="13"/>
  <c r="AS54" i="13"/>
  <c r="AS136" i="13"/>
  <c r="AS48" i="13"/>
  <c r="AS18" i="13"/>
  <c r="AS298" i="13"/>
  <c r="AS34" i="13"/>
  <c r="AS171" i="13"/>
  <c r="AK9" i="13"/>
  <c r="AK8" i="13"/>
  <c r="AK190" i="13"/>
  <c r="AK318" i="13"/>
  <c r="AK189" i="13"/>
  <c r="AK317" i="13"/>
  <c r="AK339" i="13"/>
  <c r="AK331" i="13"/>
  <c r="AK321" i="13"/>
  <c r="AK218" i="13"/>
  <c r="AK309" i="13"/>
  <c r="AK300" i="13"/>
  <c r="AK291" i="13"/>
  <c r="AK283" i="13"/>
  <c r="AK275" i="13"/>
  <c r="AK263" i="13"/>
  <c r="AK252" i="13"/>
  <c r="AK238" i="13"/>
  <c r="AK230" i="13"/>
  <c r="AK210" i="13"/>
  <c r="AK201" i="13"/>
  <c r="AK187" i="13"/>
  <c r="AK179" i="13"/>
  <c r="AK169" i="13"/>
  <c r="AK161" i="13"/>
  <c r="AK153" i="13"/>
  <c r="AK144" i="13"/>
  <c r="AK134" i="13"/>
  <c r="AK126" i="13"/>
  <c r="AK118" i="13"/>
  <c r="AK110" i="13"/>
  <c r="AK102" i="13"/>
  <c r="AK336" i="13"/>
  <c r="AK327" i="13"/>
  <c r="AK223" i="13"/>
  <c r="AK215" i="13"/>
  <c r="AK306" i="13"/>
  <c r="AK297" i="13"/>
  <c r="AK288" i="13"/>
  <c r="AK280" i="13"/>
  <c r="AK258" i="13"/>
  <c r="AK249" i="13"/>
  <c r="AK235" i="13"/>
  <c r="AK227" i="13"/>
  <c r="AK207" i="13"/>
  <c r="AK197" i="13"/>
  <c r="AK184" i="13"/>
  <c r="AK176" i="13"/>
  <c r="AK158" i="13"/>
  <c r="AK150" i="13"/>
  <c r="AK139" i="13"/>
  <c r="AK131" i="13"/>
  <c r="AK123" i="13"/>
  <c r="AK115" i="13"/>
  <c r="AK333" i="13"/>
  <c r="AK323" i="13"/>
  <c r="AK220" i="13"/>
  <c r="AK314" i="13"/>
  <c r="AK303" i="13"/>
  <c r="AK293" i="13"/>
  <c r="AK285" i="13"/>
  <c r="AK277" i="13"/>
  <c r="AK255" i="13"/>
  <c r="AK243" i="13"/>
  <c r="AK232" i="13"/>
  <c r="AK212" i="13"/>
  <c r="AK204" i="13"/>
  <c r="AK194" i="13"/>
  <c r="AK181" i="13"/>
  <c r="AK171" i="13"/>
  <c r="AK163" i="13"/>
  <c r="AK155" i="13"/>
  <c r="AK146" i="13"/>
  <c r="AK136" i="13"/>
  <c r="AK128" i="13"/>
  <c r="AK120" i="13"/>
  <c r="AK112" i="13"/>
  <c r="AK104" i="13"/>
  <c r="AK96" i="13"/>
  <c r="AK338" i="13"/>
  <c r="AK330" i="13"/>
  <c r="AK320" i="13"/>
  <c r="AK217" i="13"/>
  <c r="AK308" i="13"/>
  <c r="AK299" i="13"/>
  <c r="AK282" i="13"/>
  <c r="AK273" i="13"/>
  <c r="AK261" i="13"/>
  <c r="AK251" i="13"/>
  <c r="AK237" i="13"/>
  <c r="AK229" i="13"/>
  <c r="AK209" i="13"/>
  <c r="AK199" i="13"/>
  <c r="AK186" i="13"/>
  <c r="AK178" i="13"/>
  <c r="AK168" i="13"/>
  <c r="AK160" i="13"/>
  <c r="AK152" i="13"/>
  <c r="AK143" i="13"/>
  <c r="AK133" i="13"/>
  <c r="AK125" i="13"/>
  <c r="AK117" i="13"/>
  <c r="AK109" i="13"/>
  <c r="AK101" i="13"/>
  <c r="AK335" i="13"/>
  <c r="AK325" i="13"/>
  <c r="AK222" i="13"/>
  <c r="AK316" i="13"/>
  <c r="AK305" i="13"/>
  <c r="AK287" i="13"/>
  <c r="AK279" i="13"/>
  <c r="AK270" i="13"/>
  <c r="AK257" i="13"/>
  <c r="AK246" i="13"/>
  <c r="AK234" i="13"/>
  <c r="AK214" i="13"/>
  <c r="AK206" i="13"/>
  <c r="AK196" i="13"/>
  <c r="AK183" i="13"/>
  <c r="AK174" i="13"/>
  <c r="AK165" i="13"/>
  <c r="AK157" i="13"/>
  <c r="AK148" i="13"/>
  <c r="AK138" i="13"/>
  <c r="AK130" i="13"/>
  <c r="AK122" i="13"/>
  <c r="AK114" i="13"/>
  <c r="AK106" i="13"/>
  <c r="AK98" i="13"/>
  <c r="AK337" i="13"/>
  <c r="AK329" i="13"/>
  <c r="AK225" i="13"/>
  <c r="AK216" i="13"/>
  <c r="AK307" i="13"/>
  <c r="AK298" i="13"/>
  <c r="AK289" i="13"/>
  <c r="AK281" i="13"/>
  <c r="AK272" i="13"/>
  <c r="AK259" i="13"/>
  <c r="AK250" i="13"/>
  <c r="AK236" i="13"/>
  <c r="AK228" i="13"/>
  <c r="AK208" i="13"/>
  <c r="AK198" i="13"/>
  <c r="AK185" i="13"/>
  <c r="AK177" i="13"/>
  <c r="AK167" i="13"/>
  <c r="AK159" i="13"/>
  <c r="AK151" i="13"/>
  <c r="AK141" i="13"/>
  <c r="AK132" i="13"/>
  <c r="AK124" i="13"/>
  <c r="AK116" i="13"/>
  <c r="AK108" i="13"/>
  <c r="AK100" i="13"/>
  <c r="AK315" i="13"/>
  <c r="AK278" i="13"/>
  <c r="AK233" i="13"/>
  <c r="AK182" i="13"/>
  <c r="AK147" i="13"/>
  <c r="AK113" i="13"/>
  <c r="AK99" i="13"/>
  <c r="AK91" i="13"/>
  <c r="AK78" i="13"/>
  <c r="AK69" i="13"/>
  <c r="AK59" i="13"/>
  <c r="AK51" i="13"/>
  <c r="AK43" i="13"/>
  <c r="AK34" i="13"/>
  <c r="AK26" i="13"/>
  <c r="AK18" i="13"/>
  <c r="AK340" i="13"/>
  <c r="AK312" i="13"/>
  <c r="AK276" i="13"/>
  <c r="AK231" i="13"/>
  <c r="AK180" i="13"/>
  <c r="AK145" i="13"/>
  <c r="AK105" i="13"/>
  <c r="AK87" i="13"/>
  <c r="AK74" i="13"/>
  <c r="AK64" i="13"/>
  <c r="AK56" i="13"/>
  <c r="AK48" i="13"/>
  <c r="AK40" i="13"/>
  <c r="AK31" i="13"/>
  <c r="AK23" i="13"/>
  <c r="AK15" i="13"/>
  <c r="AK221" i="13"/>
  <c r="AK286" i="13"/>
  <c r="AK245" i="13"/>
  <c r="AK195" i="13"/>
  <c r="AK156" i="13"/>
  <c r="AK121" i="13"/>
  <c r="AK111" i="13"/>
  <c r="AK97" i="13"/>
  <c r="AK83" i="13"/>
  <c r="AK71" i="13"/>
  <c r="AK61" i="13"/>
  <c r="AK53" i="13"/>
  <c r="AK45" i="13"/>
  <c r="AK37" i="13"/>
  <c r="AK28" i="13"/>
  <c r="AK20" i="13"/>
  <c r="AK12" i="13"/>
  <c r="AK219" i="13"/>
  <c r="AK240" i="13"/>
  <c r="AK192" i="13"/>
  <c r="AK154" i="13"/>
  <c r="AK119" i="13"/>
  <c r="AK103" i="13"/>
  <c r="AK90" i="13"/>
  <c r="AK67" i="13"/>
  <c r="AK58" i="13"/>
  <c r="AK50" i="13"/>
  <c r="AK42" i="13"/>
  <c r="AK33" i="13"/>
  <c r="AK25" i="13"/>
  <c r="AK17" i="13"/>
  <c r="AK324" i="13"/>
  <c r="AK294" i="13"/>
  <c r="AK256" i="13"/>
  <c r="AK205" i="13"/>
  <c r="AK129" i="13"/>
  <c r="AK95" i="13"/>
  <c r="AK85" i="13"/>
  <c r="AK73" i="13"/>
  <c r="AK63" i="13"/>
  <c r="AK55" i="13"/>
  <c r="AK47" i="13"/>
  <c r="AK39" i="13"/>
  <c r="AK30" i="13"/>
  <c r="AK22" i="13"/>
  <c r="AK14" i="13"/>
  <c r="AK334" i="13"/>
  <c r="AK304" i="13"/>
  <c r="AK267" i="13"/>
  <c r="AK213" i="13"/>
  <c r="AK172" i="13"/>
  <c r="AK137" i="13"/>
  <c r="AK93" i="13"/>
  <c r="AK89" i="13"/>
  <c r="AK75" i="13"/>
  <c r="AK66" i="13"/>
  <c r="AK57" i="13"/>
  <c r="AK49" i="13"/>
  <c r="AK41" i="13"/>
  <c r="AK32" i="13"/>
  <c r="AK24" i="13"/>
  <c r="AK16" i="13"/>
  <c r="AK301" i="13"/>
  <c r="AK135" i="13"/>
  <c r="AK54" i="13"/>
  <c r="AK21" i="13"/>
  <c r="AK127" i="13"/>
  <c r="AK52" i="13"/>
  <c r="AK19" i="13"/>
  <c r="AK332" i="13"/>
  <c r="AK170" i="13"/>
  <c r="AK62" i="13"/>
  <c r="AK29" i="13"/>
  <c r="AK322" i="13"/>
  <c r="AK162" i="13"/>
  <c r="AK60" i="13"/>
  <c r="AK27" i="13"/>
  <c r="AK211" i="13"/>
  <c r="AK72" i="13"/>
  <c r="AK38" i="13"/>
  <c r="AK264" i="13"/>
  <c r="AK107" i="13"/>
  <c r="AK84" i="13"/>
  <c r="AK46" i="13"/>
  <c r="AK13" i="13"/>
  <c r="AK44" i="13"/>
  <c r="AK36" i="13"/>
  <c r="AK253" i="13"/>
  <c r="AK81" i="13"/>
  <c r="AK203" i="13"/>
  <c r="AK70" i="13"/>
  <c r="AK11" i="13"/>
  <c r="AC9" i="13"/>
  <c r="BF9" i="13" s="1"/>
  <c r="AC8" i="13"/>
  <c r="AC190" i="13"/>
  <c r="BF190" i="13" s="1"/>
  <c r="AC318" i="13"/>
  <c r="BF318" i="13" s="1"/>
  <c r="AC189" i="13"/>
  <c r="BF189" i="13" s="1"/>
  <c r="AC317" i="13"/>
  <c r="BF317" i="13" s="1"/>
  <c r="AC334" i="13"/>
  <c r="BF334" i="13" s="1"/>
  <c r="AC324" i="13"/>
  <c r="BF324" i="13" s="1"/>
  <c r="AC221" i="13"/>
  <c r="BF221" i="13" s="1"/>
  <c r="AC315" i="13"/>
  <c r="BF315" i="13" s="1"/>
  <c r="AC304" i="13"/>
  <c r="BF304" i="13" s="1"/>
  <c r="AC294" i="13"/>
  <c r="BF294" i="13" s="1"/>
  <c r="AC286" i="13"/>
  <c r="BF286" i="13" s="1"/>
  <c r="AC278" i="13"/>
  <c r="BF278" i="13" s="1"/>
  <c r="AC267" i="13"/>
  <c r="BF267" i="13" s="1"/>
  <c r="AC256" i="13"/>
  <c r="BF256" i="13" s="1"/>
  <c r="AC245" i="13"/>
  <c r="BF245" i="13" s="1"/>
  <c r="AC233" i="13"/>
  <c r="BF233" i="13" s="1"/>
  <c r="AC213" i="13"/>
  <c r="BF213" i="13" s="1"/>
  <c r="AC205" i="13"/>
  <c r="BF205" i="13" s="1"/>
  <c r="AC195" i="13"/>
  <c r="BF195" i="13" s="1"/>
  <c r="AC182" i="13"/>
  <c r="BF182" i="13" s="1"/>
  <c r="AC172" i="13"/>
  <c r="BF172" i="13" s="1"/>
  <c r="AC156" i="13"/>
  <c r="BF156" i="13" s="1"/>
  <c r="AC147" i="13"/>
  <c r="BF147" i="13" s="1"/>
  <c r="AC137" i="13"/>
  <c r="BF137" i="13" s="1"/>
  <c r="AC129" i="13"/>
  <c r="BF129" i="13" s="1"/>
  <c r="AC121" i="13"/>
  <c r="BF121" i="13" s="1"/>
  <c r="AC113" i="13"/>
  <c r="BF113" i="13" s="1"/>
  <c r="AC105" i="13"/>
  <c r="BF105" i="13" s="1"/>
  <c r="AC97" i="13"/>
  <c r="BF97" i="13" s="1"/>
  <c r="AC85" i="13"/>
  <c r="BF85" i="13" s="1"/>
  <c r="AC73" i="13"/>
  <c r="BF73" i="13" s="1"/>
  <c r="AC63" i="13"/>
  <c r="BF63" i="13" s="1"/>
  <c r="AC55" i="13"/>
  <c r="BF55" i="13" s="1"/>
  <c r="AC47" i="13"/>
  <c r="BF47" i="13" s="1"/>
  <c r="AC39" i="13"/>
  <c r="BF39" i="13" s="1"/>
  <c r="AC30" i="13"/>
  <c r="BF30" i="13" s="1"/>
  <c r="AC22" i="13"/>
  <c r="BF22" i="13" s="1"/>
  <c r="AC14" i="13"/>
  <c r="BF14" i="13" s="1"/>
  <c r="AC339" i="13"/>
  <c r="BF339" i="13" s="1"/>
  <c r="AC331" i="13"/>
  <c r="BF331" i="13" s="1"/>
  <c r="AC321" i="13"/>
  <c r="BF321" i="13" s="1"/>
  <c r="AC218" i="13"/>
  <c r="BF218" i="13" s="1"/>
  <c r="AC309" i="13"/>
  <c r="BF309" i="13" s="1"/>
  <c r="AC300" i="13"/>
  <c r="BF300" i="13" s="1"/>
  <c r="AC291" i="13"/>
  <c r="BF291" i="13" s="1"/>
  <c r="AC283" i="13"/>
  <c r="BF283" i="13" s="1"/>
  <c r="AC275" i="13"/>
  <c r="BF275" i="13" s="1"/>
  <c r="AC263" i="13"/>
  <c r="BF263" i="13" s="1"/>
  <c r="AC252" i="13"/>
  <c r="BF252" i="13" s="1"/>
  <c r="AC238" i="13"/>
  <c r="BF238" i="13" s="1"/>
  <c r="AC230" i="13"/>
  <c r="BF230" i="13" s="1"/>
  <c r="AC210" i="13"/>
  <c r="BF210" i="13" s="1"/>
  <c r="AC201" i="13"/>
  <c r="BF201" i="13" s="1"/>
  <c r="AC187" i="13"/>
  <c r="BF187" i="13" s="1"/>
  <c r="AC179" i="13"/>
  <c r="BF179" i="13" s="1"/>
  <c r="AC169" i="13"/>
  <c r="BF169" i="13" s="1"/>
  <c r="AC161" i="13"/>
  <c r="BF161" i="13" s="1"/>
  <c r="AC153" i="13"/>
  <c r="BF153" i="13" s="1"/>
  <c r="AC144" i="13"/>
  <c r="BF144" i="13" s="1"/>
  <c r="AC134" i="13"/>
  <c r="BF134" i="13" s="1"/>
  <c r="AC126" i="13"/>
  <c r="BF126" i="13" s="1"/>
  <c r="AC118" i="13"/>
  <c r="BF118" i="13" s="1"/>
  <c r="AC110" i="13"/>
  <c r="BF110" i="13" s="1"/>
  <c r="AC102" i="13"/>
  <c r="BF102" i="13" s="1"/>
  <c r="AC93" i="13"/>
  <c r="BF93" i="13" s="1"/>
  <c r="AC81" i="13"/>
  <c r="BF81" i="13" s="1"/>
  <c r="AC70" i="13"/>
  <c r="BF70" i="13" s="1"/>
  <c r="AC60" i="13"/>
  <c r="BF60" i="13" s="1"/>
  <c r="AC52" i="13"/>
  <c r="BF52" i="13" s="1"/>
  <c r="AC44" i="13"/>
  <c r="BF44" i="13" s="1"/>
  <c r="AC36" i="13"/>
  <c r="BF36" i="13" s="1"/>
  <c r="AC27" i="13"/>
  <c r="BF27" i="13" s="1"/>
  <c r="AC19" i="13"/>
  <c r="BF19" i="13" s="1"/>
  <c r="AC11" i="13"/>
  <c r="BF11" i="13" s="1"/>
  <c r="AC336" i="13"/>
  <c r="BF336" i="13" s="1"/>
  <c r="AC327" i="13"/>
  <c r="BF327" i="13" s="1"/>
  <c r="AC223" i="13"/>
  <c r="BF223" i="13" s="1"/>
  <c r="AC215" i="13"/>
  <c r="BF215" i="13" s="1"/>
  <c r="AC306" i="13"/>
  <c r="BF306" i="13" s="1"/>
  <c r="AC297" i="13"/>
  <c r="BF297" i="13" s="1"/>
  <c r="AC288" i="13"/>
  <c r="BF288" i="13" s="1"/>
  <c r="AC280" i="13"/>
  <c r="BF280" i="13" s="1"/>
  <c r="AC258" i="13"/>
  <c r="BF258" i="13" s="1"/>
  <c r="AC249" i="13"/>
  <c r="BF249" i="13" s="1"/>
  <c r="AC235" i="13"/>
  <c r="BF235" i="13" s="1"/>
  <c r="AC227" i="13"/>
  <c r="BF227" i="13" s="1"/>
  <c r="AC207" i="13"/>
  <c r="BF207" i="13" s="1"/>
  <c r="AC197" i="13"/>
  <c r="BF197" i="13" s="1"/>
  <c r="AC184" i="13"/>
  <c r="BF184" i="13" s="1"/>
  <c r="AC176" i="13"/>
  <c r="BF176" i="13" s="1"/>
  <c r="AC158" i="13"/>
  <c r="BF158" i="13" s="1"/>
  <c r="AC150" i="13"/>
  <c r="BF150" i="13" s="1"/>
  <c r="AC139" i="13"/>
  <c r="BF139" i="13" s="1"/>
  <c r="AC131" i="13"/>
  <c r="BF131" i="13" s="1"/>
  <c r="AC123" i="13"/>
  <c r="BF123" i="13" s="1"/>
  <c r="AC115" i="13"/>
  <c r="BF115" i="13" s="1"/>
  <c r="AC107" i="13"/>
  <c r="BF107" i="13" s="1"/>
  <c r="AC99" i="13"/>
  <c r="BF99" i="13" s="1"/>
  <c r="AC89" i="13"/>
  <c r="BF89" i="13" s="1"/>
  <c r="AC75" i="13"/>
  <c r="BF75" i="13" s="1"/>
  <c r="AC66" i="13"/>
  <c r="BF66" i="13" s="1"/>
  <c r="AC57" i="13"/>
  <c r="BF57" i="13" s="1"/>
  <c r="AC49" i="13"/>
  <c r="BF49" i="13" s="1"/>
  <c r="AC41" i="13"/>
  <c r="BF41" i="13" s="1"/>
  <c r="AC32" i="13"/>
  <c r="BF32" i="13" s="1"/>
  <c r="AC24" i="13"/>
  <c r="BF24" i="13" s="1"/>
  <c r="AC16" i="13"/>
  <c r="BF16" i="13" s="1"/>
  <c r="AC333" i="13"/>
  <c r="BF333" i="13" s="1"/>
  <c r="AC323" i="13"/>
  <c r="BF323" i="13" s="1"/>
  <c r="AC220" i="13"/>
  <c r="BF220" i="13" s="1"/>
  <c r="AC314" i="13"/>
  <c r="BF314" i="13" s="1"/>
  <c r="AC303" i="13"/>
  <c r="BF303" i="13" s="1"/>
  <c r="AC293" i="13"/>
  <c r="BF293" i="13" s="1"/>
  <c r="AC285" i="13"/>
  <c r="BF285" i="13" s="1"/>
  <c r="AC277" i="13"/>
  <c r="BF277" i="13" s="1"/>
  <c r="AC255" i="13"/>
  <c r="BF255" i="13" s="1"/>
  <c r="AC243" i="13"/>
  <c r="BF243" i="13" s="1"/>
  <c r="AC232" i="13"/>
  <c r="BF232" i="13" s="1"/>
  <c r="AC212" i="13"/>
  <c r="BF212" i="13" s="1"/>
  <c r="AC204" i="13"/>
  <c r="BF204" i="13" s="1"/>
  <c r="AC194" i="13"/>
  <c r="BF194" i="13" s="1"/>
  <c r="AC181" i="13"/>
  <c r="BF181" i="13" s="1"/>
  <c r="AC171" i="13"/>
  <c r="BF171" i="13" s="1"/>
  <c r="AC163" i="13"/>
  <c r="BF163" i="13" s="1"/>
  <c r="AC155" i="13"/>
  <c r="BF155" i="13" s="1"/>
  <c r="AC146" i="13"/>
  <c r="BF146" i="13" s="1"/>
  <c r="AC136" i="13"/>
  <c r="BF136" i="13" s="1"/>
  <c r="AC128" i="13"/>
  <c r="BF128" i="13" s="1"/>
  <c r="AC120" i="13"/>
  <c r="BF120" i="13" s="1"/>
  <c r="AC112" i="13"/>
  <c r="BF112" i="13" s="1"/>
  <c r="AC104" i="13"/>
  <c r="BF104" i="13" s="1"/>
  <c r="AC96" i="13"/>
  <c r="BF96" i="13" s="1"/>
  <c r="AC84" i="13"/>
  <c r="BF84" i="13" s="1"/>
  <c r="AC72" i="13"/>
  <c r="BF72" i="13" s="1"/>
  <c r="AC62" i="13"/>
  <c r="BF62" i="13" s="1"/>
  <c r="AC54" i="13"/>
  <c r="BF54" i="13" s="1"/>
  <c r="AC46" i="13"/>
  <c r="BF46" i="13" s="1"/>
  <c r="AC38" i="13"/>
  <c r="BF38" i="13" s="1"/>
  <c r="AC29" i="13"/>
  <c r="BF29" i="13" s="1"/>
  <c r="AC21" i="13"/>
  <c r="BF21" i="13" s="1"/>
  <c r="AC13" i="13"/>
  <c r="BF13" i="13" s="1"/>
  <c r="AC338" i="13"/>
  <c r="BF338" i="13" s="1"/>
  <c r="AC330" i="13"/>
  <c r="BF330" i="13" s="1"/>
  <c r="AC320" i="13"/>
  <c r="BF320" i="13" s="1"/>
  <c r="AC217" i="13"/>
  <c r="BF217" i="13" s="1"/>
  <c r="AC308" i="13"/>
  <c r="BF308" i="13" s="1"/>
  <c r="AC299" i="13"/>
  <c r="BF299" i="13" s="1"/>
  <c r="AC282" i="13"/>
  <c r="BF282" i="13" s="1"/>
  <c r="AC273" i="13"/>
  <c r="BF273" i="13" s="1"/>
  <c r="AC261" i="13"/>
  <c r="BF261" i="13" s="1"/>
  <c r="AC251" i="13"/>
  <c r="BF251" i="13" s="1"/>
  <c r="AC237" i="13"/>
  <c r="BF237" i="13" s="1"/>
  <c r="AC229" i="13"/>
  <c r="BF229" i="13" s="1"/>
  <c r="AC209" i="13"/>
  <c r="BF209" i="13" s="1"/>
  <c r="AC199" i="13"/>
  <c r="BF199" i="13" s="1"/>
  <c r="AC186" i="13"/>
  <c r="BF186" i="13" s="1"/>
  <c r="AC178" i="13"/>
  <c r="BF178" i="13" s="1"/>
  <c r="AC168" i="13"/>
  <c r="BF168" i="13" s="1"/>
  <c r="AC160" i="13"/>
  <c r="BF160" i="13" s="1"/>
  <c r="AC152" i="13"/>
  <c r="BF152" i="13" s="1"/>
  <c r="AC143" i="13"/>
  <c r="BF143" i="13" s="1"/>
  <c r="AC133" i="13"/>
  <c r="BF133" i="13" s="1"/>
  <c r="AC125" i="13"/>
  <c r="BF125" i="13" s="1"/>
  <c r="AC117" i="13"/>
  <c r="BF117" i="13" s="1"/>
  <c r="AC109" i="13"/>
  <c r="BF109" i="13" s="1"/>
  <c r="AC101" i="13"/>
  <c r="BF101" i="13" s="1"/>
  <c r="AC91" i="13"/>
  <c r="BF91" i="13" s="1"/>
  <c r="AC78" i="13"/>
  <c r="BF78" i="13" s="1"/>
  <c r="AC69" i="13"/>
  <c r="BF69" i="13" s="1"/>
  <c r="AC59" i="13"/>
  <c r="BF59" i="13" s="1"/>
  <c r="AC51" i="13"/>
  <c r="BF51" i="13" s="1"/>
  <c r="AC43" i="13"/>
  <c r="BF43" i="13" s="1"/>
  <c r="AC34" i="13"/>
  <c r="BF34" i="13" s="1"/>
  <c r="AC26" i="13"/>
  <c r="BF26" i="13" s="1"/>
  <c r="AC18" i="13"/>
  <c r="BF18" i="13" s="1"/>
  <c r="AC340" i="13"/>
  <c r="BF340" i="13" s="1"/>
  <c r="AC332" i="13"/>
  <c r="BF332" i="13" s="1"/>
  <c r="AC322" i="13"/>
  <c r="BF322" i="13" s="1"/>
  <c r="AC219" i="13"/>
  <c r="BF219" i="13" s="1"/>
  <c r="AC312" i="13"/>
  <c r="BF312" i="13" s="1"/>
  <c r="AC301" i="13"/>
  <c r="BF301" i="13" s="1"/>
  <c r="AC276" i="13"/>
  <c r="BF276" i="13" s="1"/>
  <c r="AC264" i="13"/>
  <c r="BF264" i="13" s="1"/>
  <c r="AC253" i="13"/>
  <c r="BF253" i="13" s="1"/>
  <c r="AC240" i="13"/>
  <c r="BF240" i="13" s="1"/>
  <c r="AC231" i="13"/>
  <c r="BF231" i="13" s="1"/>
  <c r="AC211" i="13"/>
  <c r="BF211" i="13" s="1"/>
  <c r="AC203" i="13"/>
  <c r="BF203" i="13" s="1"/>
  <c r="AC192" i="13"/>
  <c r="BF192" i="13" s="1"/>
  <c r="AC180" i="13"/>
  <c r="BF180" i="13" s="1"/>
  <c r="AC170" i="13"/>
  <c r="BF170" i="13" s="1"/>
  <c r="AC162" i="13"/>
  <c r="BF162" i="13" s="1"/>
  <c r="AC154" i="13"/>
  <c r="BF154" i="13" s="1"/>
  <c r="AC145" i="13"/>
  <c r="BF145" i="13" s="1"/>
  <c r="AC135" i="13"/>
  <c r="BF135" i="13" s="1"/>
  <c r="AC127" i="13"/>
  <c r="BF127" i="13" s="1"/>
  <c r="AC119" i="13"/>
  <c r="BF119" i="13" s="1"/>
  <c r="AC111" i="13"/>
  <c r="BF111" i="13" s="1"/>
  <c r="AC103" i="13"/>
  <c r="BF103" i="13" s="1"/>
  <c r="AC95" i="13"/>
  <c r="BF95" i="13" s="1"/>
  <c r="AC83" i="13"/>
  <c r="BF83" i="13" s="1"/>
  <c r="AC71" i="13"/>
  <c r="BF71" i="13" s="1"/>
  <c r="AC61" i="13"/>
  <c r="BF61" i="13" s="1"/>
  <c r="AC53" i="13"/>
  <c r="BF53" i="13" s="1"/>
  <c r="AC45" i="13"/>
  <c r="BF45" i="13" s="1"/>
  <c r="AC37" i="13"/>
  <c r="BF37" i="13" s="1"/>
  <c r="AC28" i="13"/>
  <c r="BF28" i="13" s="1"/>
  <c r="AC20" i="13"/>
  <c r="BF20" i="13" s="1"/>
  <c r="AC12" i="13"/>
  <c r="BF12" i="13" s="1"/>
  <c r="AC222" i="13"/>
  <c r="BF222" i="13" s="1"/>
  <c r="AC287" i="13"/>
  <c r="BF287" i="13" s="1"/>
  <c r="AC246" i="13"/>
  <c r="BF246" i="13" s="1"/>
  <c r="AC196" i="13"/>
  <c r="BF196" i="13" s="1"/>
  <c r="AC157" i="13"/>
  <c r="BF157" i="13" s="1"/>
  <c r="AC122" i="13"/>
  <c r="BF122" i="13" s="1"/>
  <c r="AC87" i="13"/>
  <c r="BF87" i="13" s="1"/>
  <c r="AC48" i="13"/>
  <c r="BF48" i="13" s="1"/>
  <c r="AC15" i="13"/>
  <c r="BF15" i="13" s="1"/>
  <c r="AC329" i="13"/>
  <c r="BF329" i="13" s="1"/>
  <c r="AC298" i="13"/>
  <c r="BF298" i="13" s="1"/>
  <c r="AC259" i="13"/>
  <c r="BF259" i="13" s="1"/>
  <c r="AC208" i="13"/>
  <c r="BF208" i="13" s="1"/>
  <c r="AC167" i="13"/>
  <c r="BF167" i="13" s="1"/>
  <c r="AC132" i="13"/>
  <c r="BF132" i="13" s="1"/>
  <c r="AC100" i="13"/>
  <c r="BF100" i="13" s="1"/>
  <c r="AC58" i="13"/>
  <c r="BF58" i="13" s="1"/>
  <c r="AC25" i="13"/>
  <c r="BF25" i="13" s="1"/>
  <c r="AC325" i="13"/>
  <c r="BF325" i="13" s="1"/>
  <c r="AC257" i="13"/>
  <c r="BF257" i="13" s="1"/>
  <c r="AC206" i="13"/>
  <c r="BF206" i="13" s="1"/>
  <c r="AC165" i="13"/>
  <c r="BF165" i="13" s="1"/>
  <c r="AC130" i="13"/>
  <c r="BF130" i="13" s="1"/>
  <c r="AC98" i="13"/>
  <c r="BF98" i="13" s="1"/>
  <c r="AC56" i="13"/>
  <c r="BF56" i="13" s="1"/>
  <c r="AC23" i="13"/>
  <c r="BF23" i="13" s="1"/>
  <c r="AC337" i="13"/>
  <c r="BF337" i="13" s="1"/>
  <c r="AC307" i="13"/>
  <c r="BF307" i="13" s="1"/>
  <c r="AC272" i="13"/>
  <c r="BF272" i="13" s="1"/>
  <c r="AC228" i="13"/>
  <c r="BF228" i="13" s="1"/>
  <c r="AC177" i="13"/>
  <c r="BF177" i="13" s="1"/>
  <c r="AC141" i="13"/>
  <c r="BF141" i="13" s="1"/>
  <c r="AC108" i="13"/>
  <c r="BF108" i="13" s="1"/>
  <c r="AC67" i="13"/>
  <c r="BF67" i="13" s="1"/>
  <c r="AC33" i="13"/>
  <c r="BF33" i="13" s="1"/>
  <c r="AC335" i="13"/>
  <c r="BF335" i="13" s="1"/>
  <c r="AC305" i="13"/>
  <c r="BF305" i="13" s="1"/>
  <c r="AC270" i="13"/>
  <c r="BF270" i="13" s="1"/>
  <c r="AC214" i="13"/>
  <c r="BF214" i="13" s="1"/>
  <c r="AC174" i="13"/>
  <c r="BF174" i="13" s="1"/>
  <c r="AC138" i="13"/>
  <c r="BF138" i="13" s="1"/>
  <c r="AC106" i="13"/>
  <c r="BF106" i="13" s="1"/>
  <c r="AC64" i="13"/>
  <c r="BF64" i="13" s="1"/>
  <c r="AC31" i="13"/>
  <c r="BF31" i="13" s="1"/>
  <c r="AC216" i="13"/>
  <c r="BF216" i="13" s="1"/>
  <c r="AC281" i="13"/>
  <c r="BF281" i="13" s="1"/>
  <c r="AC236" i="13"/>
  <c r="BF236" i="13" s="1"/>
  <c r="AC185" i="13"/>
  <c r="BF185" i="13" s="1"/>
  <c r="AC151" i="13"/>
  <c r="BF151" i="13" s="1"/>
  <c r="AC116" i="13"/>
  <c r="BF116" i="13" s="1"/>
  <c r="AC42" i="13"/>
  <c r="BF42" i="13" s="1"/>
  <c r="AC316" i="13"/>
  <c r="BF316" i="13" s="1"/>
  <c r="AC279" i="13"/>
  <c r="BF279" i="13" s="1"/>
  <c r="AC234" i="13"/>
  <c r="BF234" i="13" s="1"/>
  <c r="AC183" i="13"/>
  <c r="BF183" i="13" s="1"/>
  <c r="AC148" i="13"/>
  <c r="BF148" i="13" s="1"/>
  <c r="AC114" i="13"/>
  <c r="BF114" i="13" s="1"/>
  <c r="AC74" i="13"/>
  <c r="BF74" i="13" s="1"/>
  <c r="AC40" i="13"/>
  <c r="BF40" i="13" s="1"/>
  <c r="AC250" i="13"/>
  <c r="BF250" i="13" s="1"/>
  <c r="AC124" i="13"/>
  <c r="BF124" i="13" s="1"/>
  <c r="AC225" i="13"/>
  <c r="BF225" i="13" s="1"/>
  <c r="AC17" i="13"/>
  <c r="BF17" i="13" s="1"/>
  <c r="AC198" i="13"/>
  <c r="BF198" i="13" s="1"/>
  <c r="AC90" i="13"/>
  <c r="BF90" i="13" s="1"/>
  <c r="AC289" i="13"/>
  <c r="BF289" i="13" s="1"/>
  <c r="AC159" i="13"/>
  <c r="BF159" i="13" s="1"/>
  <c r="AC50" i="13"/>
  <c r="BF50" i="13" s="1"/>
  <c r="U9" i="13"/>
  <c r="U8" i="13"/>
  <c r="U190" i="13"/>
  <c r="U318" i="13"/>
  <c r="U189" i="13"/>
  <c r="U317" i="13"/>
  <c r="U339" i="13"/>
  <c r="U336" i="13"/>
  <c r="U333" i="13"/>
  <c r="U338" i="13"/>
  <c r="U340" i="13"/>
  <c r="U337" i="13"/>
  <c r="U325" i="13"/>
  <c r="U222" i="13"/>
  <c r="U316" i="13"/>
  <c r="U305" i="13"/>
  <c r="U287" i="13"/>
  <c r="U279" i="13"/>
  <c r="U270" i="13"/>
  <c r="U257" i="13"/>
  <c r="U246" i="13"/>
  <c r="U234" i="13"/>
  <c r="U214" i="13"/>
  <c r="U206" i="13"/>
  <c r="U196" i="13"/>
  <c r="U183" i="13"/>
  <c r="U174" i="13"/>
  <c r="U165" i="13"/>
  <c r="U157" i="13"/>
  <c r="U148" i="13"/>
  <c r="U138" i="13"/>
  <c r="U130" i="13"/>
  <c r="U122" i="13"/>
  <c r="BB122" i="13" s="1"/>
  <c r="U114" i="13"/>
  <c r="U106" i="13"/>
  <c r="U98" i="13"/>
  <c r="U87" i="13"/>
  <c r="U74" i="13"/>
  <c r="U64" i="13"/>
  <c r="U56" i="13"/>
  <c r="U48" i="13"/>
  <c r="U40" i="13"/>
  <c r="U31" i="13"/>
  <c r="U23" i="13"/>
  <c r="U15" i="13"/>
  <c r="U332" i="13"/>
  <c r="U322" i="13"/>
  <c r="U219" i="13"/>
  <c r="U312" i="13"/>
  <c r="U301" i="13"/>
  <c r="U329" i="13"/>
  <c r="U225" i="13"/>
  <c r="U216" i="13"/>
  <c r="U307" i="13"/>
  <c r="U298" i="13"/>
  <c r="U289" i="13"/>
  <c r="U281" i="13"/>
  <c r="U272" i="13"/>
  <c r="U259" i="13"/>
  <c r="U250" i="13"/>
  <c r="U236" i="13"/>
  <c r="U228" i="13"/>
  <c r="U208" i="13"/>
  <c r="U198" i="13"/>
  <c r="U185" i="13"/>
  <c r="U177" i="13"/>
  <c r="U167" i="13"/>
  <c r="U159" i="13"/>
  <c r="U151" i="13"/>
  <c r="U141" i="13"/>
  <c r="U132" i="13"/>
  <c r="U124" i="13"/>
  <c r="U116" i="13"/>
  <c r="U108" i="13"/>
  <c r="U100" i="13"/>
  <c r="U90" i="13"/>
  <c r="U67" i="13"/>
  <c r="U58" i="13"/>
  <c r="U50" i="13"/>
  <c r="U42" i="13"/>
  <c r="U33" i="13"/>
  <c r="U25" i="13"/>
  <c r="U17" i="13"/>
  <c r="U324" i="13"/>
  <c r="U221" i="13"/>
  <c r="U315" i="13"/>
  <c r="U304" i="13"/>
  <c r="U294" i="13"/>
  <c r="U286" i="13"/>
  <c r="U278" i="13"/>
  <c r="U267" i="13"/>
  <c r="U256" i="13"/>
  <c r="U245" i="13"/>
  <c r="U233" i="13"/>
  <c r="U213" i="13"/>
  <c r="U205" i="13"/>
  <c r="U195" i="13"/>
  <c r="U182" i="13"/>
  <c r="U172" i="13"/>
  <c r="U156" i="13"/>
  <c r="U147" i="13"/>
  <c r="U137" i="13"/>
  <c r="U129" i="13"/>
  <c r="U121" i="13"/>
  <c r="U113" i="13"/>
  <c r="U105" i="13"/>
  <c r="U97" i="13"/>
  <c r="U85" i="13"/>
  <c r="U73" i="13"/>
  <c r="U63" i="13"/>
  <c r="U55" i="13"/>
  <c r="U47" i="13"/>
  <c r="U39" i="13"/>
  <c r="U30" i="13"/>
  <c r="U22" i="13"/>
  <c r="U14" i="13"/>
  <c r="U331" i="13"/>
  <c r="U321" i="13"/>
  <c r="U218" i="13"/>
  <c r="U309" i="13"/>
  <c r="U300" i="13"/>
  <c r="U291" i="13"/>
  <c r="U283" i="13"/>
  <c r="U275" i="13"/>
  <c r="U263" i="13"/>
  <c r="U252" i="13"/>
  <c r="U238" i="13"/>
  <c r="U230" i="13"/>
  <c r="U210" i="13"/>
  <c r="U201" i="13"/>
  <c r="U187" i="13"/>
  <c r="U179" i="13"/>
  <c r="U169" i="13"/>
  <c r="U161" i="13"/>
  <c r="U153" i="13"/>
  <c r="U144" i="13"/>
  <c r="U134" i="13"/>
  <c r="U126" i="13"/>
  <c r="U118" i="13"/>
  <c r="U110" i="13"/>
  <c r="U102" i="13"/>
  <c r="U93" i="13"/>
  <c r="U81" i="13"/>
  <c r="U70" i="13"/>
  <c r="U60" i="13"/>
  <c r="U52" i="13"/>
  <c r="U44" i="13"/>
  <c r="U36" i="13"/>
  <c r="U27" i="13"/>
  <c r="U19" i="13"/>
  <c r="U11" i="13"/>
  <c r="U327" i="13"/>
  <c r="U223" i="13"/>
  <c r="U215" i="13"/>
  <c r="U306" i="13"/>
  <c r="U297" i="13"/>
  <c r="U288" i="13"/>
  <c r="U280" i="13"/>
  <c r="U335" i="13"/>
  <c r="U323" i="13"/>
  <c r="U220" i="13"/>
  <c r="U314" i="13"/>
  <c r="U303" i="13"/>
  <c r="U293" i="13"/>
  <c r="U285" i="13"/>
  <c r="U277" i="13"/>
  <c r="U255" i="13"/>
  <c r="U243" i="13"/>
  <c r="U232" i="13"/>
  <c r="U212" i="13"/>
  <c r="U204" i="13"/>
  <c r="U194" i="13"/>
  <c r="U181" i="13"/>
  <c r="U171" i="13"/>
  <c r="U163" i="13"/>
  <c r="U155" i="13"/>
  <c r="U146" i="13"/>
  <c r="U136" i="13"/>
  <c r="U128" i="13"/>
  <c r="U120" i="13"/>
  <c r="U112" i="13"/>
  <c r="U104" i="13"/>
  <c r="U96" i="13"/>
  <c r="U84" i="13"/>
  <c r="U72" i="13"/>
  <c r="U62" i="13"/>
  <c r="U54" i="13"/>
  <c r="U46" i="13"/>
  <c r="U38" i="13"/>
  <c r="U29" i="13"/>
  <c r="U21" i="13"/>
  <c r="U13" i="13"/>
  <c r="U334" i="13"/>
  <c r="U330" i="13"/>
  <c r="U320" i="13"/>
  <c r="U217" i="13"/>
  <c r="U308" i="13"/>
  <c r="U299" i="13"/>
  <c r="U282" i="13"/>
  <c r="U273" i="13"/>
  <c r="U261" i="13"/>
  <c r="U251" i="13"/>
  <c r="U237" i="13"/>
  <c r="U229" i="13"/>
  <c r="U209" i="13"/>
  <c r="U199" i="13"/>
  <c r="U186" i="13"/>
  <c r="U178" i="13"/>
  <c r="U168" i="13"/>
  <c r="U160" i="13"/>
  <c r="U152" i="13"/>
  <c r="U143" i="13"/>
  <c r="U133" i="13"/>
  <c r="U125" i="13"/>
  <c r="U117" i="13"/>
  <c r="U109" i="13"/>
  <c r="U101" i="13"/>
  <c r="U91" i="13"/>
  <c r="U78" i="13"/>
  <c r="U69" i="13"/>
  <c r="U59" i="13"/>
  <c r="U51" i="13"/>
  <c r="U43" i="13"/>
  <c r="U34" i="13"/>
  <c r="U26" i="13"/>
  <c r="U18" i="13"/>
  <c r="U258" i="13"/>
  <c r="U207" i="13"/>
  <c r="U131" i="13"/>
  <c r="U99" i="13"/>
  <c r="U57" i="13"/>
  <c r="U24" i="13"/>
  <c r="U276" i="13"/>
  <c r="U240" i="13"/>
  <c r="U192" i="13"/>
  <c r="U154" i="13"/>
  <c r="U119" i="13"/>
  <c r="U83" i="13"/>
  <c r="U45" i="13"/>
  <c r="U12" i="13"/>
  <c r="U227" i="13"/>
  <c r="U176" i="13"/>
  <c r="U139" i="13"/>
  <c r="U107" i="13"/>
  <c r="U66" i="13"/>
  <c r="U32" i="13"/>
  <c r="U253" i="13"/>
  <c r="U203" i="13"/>
  <c r="U162" i="13"/>
  <c r="U127" i="13"/>
  <c r="U95" i="13"/>
  <c r="U53" i="13"/>
  <c r="U20" i="13"/>
  <c r="U235" i="13"/>
  <c r="U184" i="13"/>
  <c r="U150" i="13"/>
  <c r="U115" i="13"/>
  <c r="U75" i="13"/>
  <c r="U41" i="13"/>
  <c r="U264" i="13"/>
  <c r="U211" i="13"/>
  <c r="U170" i="13"/>
  <c r="U135" i="13"/>
  <c r="U103" i="13"/>
  <c r="U61" i="13"/>
  <c r="U28" i="13"/>
  <c r="U249" i="13"/>
  <c r="U197" i="13"/>
  <c r="U158" i="13"/>
  <c r="U123" i="13"/>
  <c r="U89" i="13"/>
  <c r="U49" i="13"/>
  <c r="U16" i="13"/>
  <c r="U111" i="13"/>
  <c r="U180" i="13"/>
  <c r="U71" i="13"/>
  <c r="U37" i="13"/>
  <c r="M9" i="13"/>
  <c r="M8" i="13"/>
  <c r="M190" i="13"/>
  <c r="M318" i="13"/>
  <c r="M189" i="13"/>
  <c r="M317" i="13"/>
  <c r="M336" i="13"/>
  <c r="M327" i="13"/>
  <c r="M223" i="13"/>
  <c r="M215" i="13"/>
  <c r="M306" i="13"/>
  <c r="M297" i="13"/>
  <c r="M288" i="13"/>
  <c r="M280" i="13"/>
  <c r="M258" i="13"/>
  <c r="M249" i="13"/>
  <c r="M235" i="13"/>
  <c r="M227" i="13"/>
  <c r="M207" i="13"/>
  <c r="M197" i="13"/>
  <c r="M184" i="13"/>
  <c r="M176" i="13"/>
  <c r="M158" i="13"/>
  <c r="M150" i="13"/>
  <c r="M139" i="13"/>
  <c r="M131" i="13"/>
  <c r="M123" i="13"/>
  <c r="M115" i="13"/>
  <c r="M107" i="13"/>
  <c r="M99" i="13"/>
  <c r="M89" i="13"/>
  <c r="M75" i="13"/>
  <c r="M66" i="13"/>
  <c r="M57" i="13"/>
  <c r="M49" i="13"/>
  <c r="M41" i="13"/>
  <c r="M32" i="13"/>
  <c r="M24" i="13"/>
  <c r="M16" i="13"/>
  <c r="M338" i="13"/>
  <c r="M330" i="13"/>
  <c r="M320" i="13"/>
  <c r="M217" i="13"/>
  <c r="M308" i="13"/>
  <c r="M299" i="13"/>
  <c r="M282" i="13"/>
  <c r="M273" i="13"/>
  <c r="M261" i="13"/>
  <c r="M251" i="13"/>
  <c r="M237" i="13"/>
  <c r="M229" i="13"/>
  <c r="M209" i="13"/>
  <c r="M335" i="13"/>
  <c r="M325" i="13"/>
  <c r="M222" i="13"/>
  <c r="M316" i="13"/>
  <c r="M305" i="13"/>
  <c r="M287" i="13"/>
  <c r="M279" i="13"/>
  <c r="M270" i="13"/>
  <c r="M257" i="13"/>
  <c r="M246" i="13"/>
  <c r="M234" i="13"/>
  <c r="M214" i="13"/>
  <c r="M206" i="13"/>
  <c r="M196" i="13"/>
  <c r="M183" i="13"/>
  <c r="M174" i="13"/>
  <c r="M165" i="13"/>
  <c r="M157" i="13"/>
  <c r="M148" i="13"/>
  <c r="M138" i="13"/>
  <c r="M130" i="13"/>
  <c r="M122" i="13"/>
  <c r="M114" i="13"/>
  <c r="M106" i="13"/>
  <c r="M98" i="13"/>
  <c r="M87" i="13"/>
  <c r="M74" i="13"/>
  <c r="M64" i="13"/>
  <c r="M56" i="13"/>
  <c r="M48" i="13"/>
  <c r="M40" i="13"/>
  <c r="M31" i="13"/>
  <c r="M23" i="13"/>
  <c r="M15" i="13"/>
  <c r="M340" i="13"/>
  <c r="M332" i="13"/>
  <c r="M322" i="13"/>
  <c r="M219" i="13"/>
  <c r="M312" i="13"/>
  <c r="M301" i="13"/>
  <c r="M276" i="13"/>
  <c r="M264" i="13"/>
  <c r="M253" i="13"/>
  <c r="M240" i="13"/>
  <c r="M231" i="13"/>
  <c r="M211" i="13"/>
  <c r="M203" i="13"/>
  <c r="M192" i="13"/>
  <c r="M180" i="13"/>
  <c r="M170" i="13"/>
  <c r="M162" i="13"/>
  <c r="M154" i="13"/>
  <c r="M145" i="13"/>
  <c r="M135" i="13"/>
  <c r="M127" i="13"/>
  <c r="M119" i="13"/>
  <c r="M111" i="13"/>
  <c r="M103" i="13"/>
  <c r="M95" i="13"/>
  <c r="M83" i="13"/>
  <c r="M71" i="13"/>
  <c r="M61" i="13"/>
  <c r="M53" i="13"/>
  <c r="M45" i="13"/>
  <c r="M37" i="13"/>
  <c r="M28" i="13"/>
  <c r="M20" i="13"/>
  <c r="M12" i="13"/>
  <c r="M334" i="13"/>
  <c r="M324" i="13"/>
  <c r="M221" i="13"/>
  <c r="M315" i="13"/>
  <c r="M304" i="13"/>
  <c r="M294" i="13"/>
  <c r="M286" i="13"/>
  <c r="M278" i="13"/>
  <c r="M267" i="13"/>
  <c r="M256" i="13"/>
  <c r="M245" i="13"/>
  <c r="M233" i="13"/>
  <c r="M213" i="13"/>
  <c r="M205" i="13"/>
  <c r="M195" i="13"/>
  <c r="M182" i="13"/>
  <c r="M172" i="13"/>
  <c r="M156" i="13"/>
  <c r="M147" i="13"/>
  <c r="M137" i="13"/>
  <c r="M129" i="13"/>
  <c r="M121" i="13"/>
  <c r="M113" i="13"/>
  <c r="M105" i="13"/>
  <c r="M97" i="13"/>
  <c r="M85" i="13"/>
  <c r="M73" i="13"/>
  <c r="M63" i="13"/>
  <c r="M55" i="13"/>
  <c r="M47" i="13"/>
  <c r="M39" i="13"/>
  <c r="M30" i="13"/>
  <c r="M22" i="13"/>
  <c r="M14" i="13"/>
  <c r="J14" i="13"/>
  <c r="I17" i="13"/>
  <c r="J22" i="13"/>
  <c r="I25" i="13"/>
  <c r="J30" i="13"/>
  <c r="I33" i="13"/>
  <c r="J39" i="13"/>
  <c r="I42" i="13"/>
  <c r="J47" i="13"/>
  <c r="I50" i="13"/>
  <c r="J55" i="13"/>
  <c r="I58" i="13"/>
  <c r="J63" i="13"/>
  <c r="I67" i="13"/>
  <c r="J73" i="13"/>
  <c r="J85" i="13"/>
  <c r="I90" i="13"/>
  <c r="J97" i="13"/>
  <c r="I100" i="13"/>
  <c r="J105" i="13"/>
  <c r="I108" i="13"/>
  <c r="J113" i="13"/>
  <c r="I116" i="13"/>
  <c r="J121" i="13"/>
  <c r="I124" i="13"/>
  <c r="J129" i="13"/>
  <c r="I132" i="13"/>
  <c r="J137" i="13"/>
  <c r="I141" i="13"/>
  <c r="J147" i="13"/>
  <c r="I151" i="13"/>
  <c r="J156" i="13"/>
  <c r="I159" i="13"/>
  <c r="I167" i="13"/>
  <c r="J172" i="13"/>
  <c r="I177" i="13"/>
  <c r="J182" i="13"/>
  <c r="I185" i="13"/>
  <c r="J195" i="13"/>
  <c r="I198" i="13"/>
  <c r="J205" i="13"/>
  <c r="I208" i="13"/>
  <c r="J213" i="13"/>
  <c r="I228" i="13"/>
  <c r="J233" i="13"/>
  <c r="I236" i="13"/>
  <c r="J245" i="13"/>
  <c r="I250" i="13"/>
  <c r="J256" i="13"/>
  <c r="I259" i="13"/>
  <c r="J267" i="13"/>
  <c r="I272" i="13"/>
  <c r="J278" i="13"/>
  <c r="I281" i="13"/>
  <c r="J286" i="13"/>
  <c r="I289" i="13"/>
  <c r="J294" i="13"/>
  <c r="J298" i="13"/>
  <c r="I304" i="13"/>
  <c r="J309" i="13"/>
  <c r="I221" i="13"/>
  <c r="J321" i="13"/>
  <c r="I334" i="13"/>
  <c r="J339" i="13"/>
  <c r="L20" i="13"/>
  <c r="M25" i="13"/>
  <c r="L37" i="13"/>
  <c r="M42" i="13"/>
  <c r="L53" i="13"/>
  <c r="M58" i="13"/>
  <c r="L71" i="13"/>
  <c r="L95" i="13"/>
  <c r="M100" i="13"/>
  <c r="L111" i="13"/>
  <c r="M116" i="13"/>
  <c r="L127" i="13"/>
  <c r="M132" i="13"/>
  <c r="L145" i="13"/>
  <c r="M151" i="13"/>
  <c r="L162" i="13"/>
  <c r="M167" i="13"/>
  <c r="L180" i="13"/>
  <c r="M185" i="13"/>
  <c r="L203" i="13"/>
  <c r="M208" i="13"/>
  <c r="L235" i="13"/>
  <c r="L256" i="13"/>
  <c r="L276" i="13"/>
  <c r="M283" i="13"/>
  <c r="M298" i="13"/>
  <c r="L215" i="13"/>
  <c r="L324" i="13"/>
  <c r="M333" i="13"/>
  <c r="P17" i="13"/>
  <c r="P31" i="13"/>
  <c r="P70" i="13"/>
  <c r="P100" i="13"/>
  <c r="P185" i="13"/>
  <c r="R59" i="13"/>
  <c r="U145" i="13"/>
  <c r="AR189" i="13"/>
  <c r="BL189" i="13" s="1"/>
  <c r="AR317" i="13"/>
  <c r="BL317" i="13" s="1"/>
  <c r="AR9" i="13"/>
  <c r="BL9" i="13" s="1"/>
  <c r="AR333" i="13"/>
  <c r="BL333" i="13" s="1"/>
  <c r="AR323" i="13"/>
  <c r="BL323" i="13" s="1"/>
  <c r="AR220" i="13"/>
  <c r="BL220" i="13" s="1"/>
  <c r="AR314" i="13"/>
  <c r="AR303" i="13"/>
  <c r="AR293" i="13"/>
  <c r="BL293" i="13" s="1"/>
  <c r="AR8" i="13"/>
  <c r="AR190" i="13"/>
  <c r="BL190" i="13" s="1"/>
  <c r="AR318" i="13"/>
  <c r="AR339" i="13"/>
  <c r="BL339" i="13" s="1"/>
  <c r="AR336" i="13"/>
  <c r="BL336" i="13" s="1"/>
  <c r="AR285" i="13"/>
  <c r="BL285" i="13" s="1"/>
  <c r="AR277" i="13"/>
  <c r="BL277" i="13" s="1"/>
  <c r="AR255" i="13"/>
  <c r="BL255" i="13" s="1"/>
  <c r="AR243" i="13"/>
  <c r="BL243" i="13" s="1"/>
  <c r="AR232" i="13"/>
  <c r="AR212" i="13"/>
  <c r="BL212" i="13" s="1"/>
  <c r="AR204" i="13"/>
  <c r="BL204" i="13" s="1"/>
  <c r="AR194" i="13"/>
  <c r="AR181" i="13"/>
  <c r="BL181" i="13" s="1"/>
  <c r="AR171" i="13"/>
  <c r="BL171" i="13" s="1"/>
  <c r="AR163" i="13"/>
  <c r="BL163" i="13" s="1"/>
  <c r="AR155" i="13"/>
  <c r="BL155" i="13" s="1"/>
  <c r="AR146" i="13"/>
  <c r="BL146" i="13" s="1"/>
  <c r="AR136" i="13"/>
  <c r="BL136" i="13" s="1"/>
  <c r="AR128" i="13"/>
  <c r="BL128" i="13" s="1"/>
  <c r="AR120" i="13"/>
  <c r="BL120" i="13" s="1"/>
  <c r="AR338" i="13"/>
  <c r="AR335" i="13"/>
  <c r="BL335" i="13" s="1"/>
  <c r="AR332" i="13"/>
  <c r="BL332" i="13" s="1"/>
  <c r="AR329" i="13"/>
  <c r="BL329" i="13" s="1"/>
  <c r="AR324" i="13"/>
  <c r="BL324" i="13" s="1"/>
  <c r="AR321" i="13"/>
  <c r="BL321" i="13" s="1"/>
  <c r="AR223" i="13"/>
  <c r="BL223" i="13" s="1"/>
  <c r="AR287" i="13"/>
  <c r="BL287" i="13" s="1"/>
  <c r="AR279" i="13"/>
  <c r="AR270" i="13"/>
  <c r="BL270" i="13" s="1"/>
  <c r="AR257" i="13"/>
  <c r="BL257" i="13" s="1"/>
  <c r="AR246" i="13"/>
  <c r="BL246" i="13" s="1"/>
  <c r="AR234" i="13"/>
  <c r="AR214" i="13"/>
  <c r="BL214" i="13" s="1"/>
  <c r="AR206" i="13"/>
  <c r="BL206" i="13" s="1"/>
  <c r="AR196" i="13"/>
  <c r="AR183" i="13"/>
  <c r="AR174" i="13"/>
  <c r="BL174" i="13" s="1"/>
  <c r="AR165" i="13"/>
  <c r="BL165" i="13" s="1"/>
  <c r="AR157" i="13"/>
  <c r="BL157" i="13" s="1"/>
  <c r="AR148" i="13"/>
  <c r="BL148" i="13" s="1"/>
  <c r="AR138" i="13"/>
  <c r="BL138" i="13" s="1"/>
  <c r="AR130" i="13"/>
  <c r="BL130" i="13" s="1"/>
  <c r="AR122" i="13"/>
  <c r="AR114" i="13"/>
  <c r="BL114" i="13" s="1"/>
  <c r="AR106" i="13"/>
  <c r="BL106" i="13" s="1"/>
  <c r="AR98" i="13"/>
  <c r="BL98" i="13" s="1"/>
  <c r="AR87" i="13"/>
  <c r="BL87" i="13" s="1"/>
  <c r="AR74" i="13"/>
  <c r="AR64" i="13"/>
  <c r="AR299" i="13"/>
  <c r="BL299" i="13" s="1"/>
  <c r="AR276" i="13"/>
  <c r="BL276" i="13" s="1"/>
  <c r="AR264" i="13"/>
  <c r="BL264" i="13" s="1"/>
  <c r="AR253" i="13"/>
  <c r="BL253" i="13" s="1"/>
  <c r="AR240" i="13"/>
  <c r="BL240" i="13" s="1"/>
  <c r="AR231" i="13"/>
  <c r="BL231" i="13" s="1"/>
  <c r="AR211" i="13"/>
  <c r="BL211" i="13" s="1"/>
  <c r="AR203" i="13"/>
  <c r="BL203" i="13" s="1"/>
  <c r="AR192" i="13"/>
  <c r="BL192" i="13" s="1"/>
  <c r="AR180" i="13"/>
  <c r="BL180" i="13" s="1"/>
  <c r="AR320" i="13"/>
  <c r="BL320" i="13" s="1"/>
  <c r="AR222" i="13"/>
  <c r="BL222" i="13" s="1"/>
  <c r="AR219" i="13"/>
  <c r="BL219" i="13" s="1"/>
  <c r="AR216" i="13"/>
  <c r="BL216" i="13" s="1"/>
  <c r="AR315" i="13"/>
  <c r="AR309" i="13"/>
  <c r="BL309" i="13" s="1"/>
  <c r="AR306" i="13"/>
  <c r="BL306" i="13" s="1"/>
  <c r="AR289" i="13"/>
  <c r="BL289" i="13" s="1"/>
  <c r="AR281" i="13"/>
  <c r="BL281" i="13" s="1"/>
  <c r="AR272" i="13"/>
  <c r="AR259" i="13"/>
  <c r="BL259" i="13" s="1"/>
  <c r="AR250" i="13"/>
  <c r="BL250" i="13" s="1"/>
  <c r="AR236" i="13"/>
  <c r="BL236" i="13" s="1"/>
  <c r="AR228" i="13"/>
  <c r="BL228" i="13" s="1"/>
  <c r="AR208" i="13"/>
  <c r="BL208" i="13" s="1"/>
  <c r="AR198" i="13"/>
  <c r="BL198" i="13" s="1"/>
  <c r="AR185" i="13"/>
  <c r="BL185" i="13" s="1"/>
  <c r="AR177" i="13"/>
  <c r="BL177" i="13" s="1"/>
  <c r="AR167" i="13"/>
  <c r="BL167" i="13" s="1"/>
  <c r="AR159" i="13"/>
  <c r="BL159" i="13" s="1"/>
  <c r="AR151" i="13"/>
  <c r="AR141" i="13"/>
  <c r="AR132" i="13"/>
  <c r="BL132" i="13" s="1"/>
  <c r="AR124" i="13"/>
  <c r="BL124" i="13" s="1"/>
  <c r="AR116" i="13"/>
  <c r="BL116" i="13" s="1"/>
  <c r="AR308" i="13"/>
  <c r="BL308" i="13" s="1"/>
  <c r="AR305" i="13"/>
  <c r="BL305" i="13" s="1"/>
  <c r="AR301" i="13"/>
  <c r="BL301" i="13" s="1"/>
  <c r="AR298" i="13"/>
  <c r="BL298" i="13" s="1"/>
  <c r="AR294" i="13"/>
  <c r="BL294" i="13" s="1"/>
  <c r="AR291" i="13"/>
  <c r="BL291" i="13" s="1"/>
  <c r="AR283" i="13"/>
  <c r="BL283" i="13" s="1"/>
  <c r="AR275" i="13"/>
  <c r="BL275" i="13" s="1"/>
  <c r="AR263" i="13"/>
  <c r="AR252" i="13"/>
  <c r="AR238" i="13"/>
  <c r="BL238" i="13" s="1"/>
  <c r="AR230" i="13"/>
  <c r="BL230" i="13" s="1"/>
  <c r="AR210" i="13"/>
  <c r="BL210" i="13" s="1"/>
  <c r="AR201" i="13"/>
  <c r="BL201" i="13" s="1"/>
  <c r="AR187" i="13"/>
  <c r="BL187" i="13" s="1"/>
  <c r="AR179" i="13"/>
  <c r="BL179" i="13" s="1"/>
  <c r="AR169" i="13"/>
  <c r="BL169" i="13" s="1"/>
  <c r="AR161" i="13"/>
  <c r="BL161" i="13" s="1"/>
  <c r="AR153" i="13"/>
  <c r="BL153" i="13" s="1"/>
  <c r="AR144" i="13"/>
  <c r="AR134" i="13"/>
  <c r="AR126" i="13"/>
  <c r="BL126" i="13" s="1"/>
  <c r="AR118" i="13"/>
  <c r="BL118" i="13" s="1"/>
  <c r="AR110" i="13"/>
  <c r="BL110" i="13" s="1"/>
  <c r="AR102" i="13"/>
  <c r="BL102" i="13" s="1"/>
  <c r="AR93" i="13"/>
  <c r="BL93" i="13" s="1"/>
  <c r="AR81" i="13"/>
  <c r="BL81" i="13" s="1"/>
  <c r="AR70" i="13"/>
  <c r="AR325" i="13"/>
  <c r="BL325" i="13" s="1"/>
  <c r="AR316" i="13"/>
  <c r="BL316" i="13" s="1"/>
  <c r="AR280" i="13"/>
  <c r="BL280" i="13" s="1"/>
  <c r="AR261" i="13"/>
  <c r="BL261" i="13" s="1"/>
  <c r="AR205" i="13"/>
  <c r="AR184" i="13"/>
  <c r="BL184" i="13" s="1"/>
  <c r="AR170" i="13"/>
  <c r="BL170" i="13" s="1"/>
  <c r="AR154" i="13"/>
  <c r="BL154" i="13" s="1"/>
  <c r="AR135" i="13"/>
  <c r="BL135" i="13" s="1"/>
  <c r="AR119" i="13"/>
  <c r="BL119" i="13" s="1"/>
  <c r="AR107" i="13"/>
  <c r="BL107" i="13" s="1"/>
  <c r="AR100" i="13"/>
  <c r="BL100" i="13" s="1"/>
  <c r="AR91" i="13"/>
  <c r="BL91" i="13" s="1"/>
  <c r="AR66" i="13"/>
  <c r="BL66" i="13" s="1"/>
  <c r="AR56" i="13"/>
  <c r="BL56" i="13" s="1"/>
  <c r="AR48" i="13"/>
  <c r="BL48" i="13" s="1"/>
  <c r="AR40" i="13"/>
  <c r="BL40" i="13" s="1"/>
  <c r="AR31" i="13"/>
  <c r="BL31" i="13" s="1"/>
  <c r="AR23" i="13"/>
  <c r="BL23" i="13" s="1"/>
  <c r="AR15" i="13"/>
  <c r="BL15" i="13" s="1"/>
  <c r="AR334" i="13"/>
  <c r="AR221" i="13"/>
  <c r="BL221" i="13" s="1"/>
  <c r="AR304" i="13"/>
  <c r="BL304" i="13" s="1"/>
  <c r="AR286" i="13"/>
  <c r="BL286" i="13" s="1"/>
  <c r="AR251" i="13"/>
  <c r="BL251" i="13" s="1"/>
  <c r="AR195" i="13"/>
  <c r="BL195" i="13" s="1"/>
  <c r="AR147" i="13"/>
  <c r="BL147" i="13" s="1"/>
  <c r="AR129" i="13"/>
  <c r="BL129" i="13" s="1"/>
  <c r="AR103" i="13"/>
  <c r="BL103" i="13" s="1"/>
  <c r="AR96" i="13"/>
  <c r="AR85" i="13"/>
  <c r="BL85" i="13" s="1"/>
  <c r="AR61" i="13"/>
  <c r="BL61" i="13" s="1"/>
  <c r="AR53" i="13"/>
  <c r="BL53" i="13" s="1"/>
  <c r="AR45" i="13"/>
  <c r="BL45" i="13" s="1"/>
  <c r="AR37" i="13"/>
  <c r="AR28" i="13"/>
  <c r="BL28" i="13" s="1"/>
  <c r="AR20" i="13"/>
  <c r="BL20" i="13" s="1"/>
  <c r="AR12" i="13"/>
  <c r="AR278" i="13"/>
  <c r="BL278" i="13" s="1"/>
  <c r="AR258" i="13"/>
  <c r="BL258" i="13" s="1"/>
  <c r="AR237" i="13"/>
  <c r="BL237" i="13" s="1"/>
  <c r="AR182" i="13"/>
  <c r="BL182" i="13" s="1"/>
  <c r="AR176" i="13"/>
  <c r="BL176" i="13" s="1"/>
  <c r="AR158" i="13"/>
  <c r="BL158" i="13" s="1"/>
  <c r="AR139" i="13"/>
  <c r="BL139" i="13" s="1"/>
  <c r="AR123" i="13"/>
  <c r="BL123" i="13" s="1"/>
  <c r="AR99" i="13"/>
  <c r="BL99" i="13" s="1"/>
  <c r="AR90" i="13"/>
  <c r="BL90" i="13" s="1"/>
  <c r="AR78" i="13"/>
  <c r="BL78" i="13" s="1"/>
  <c r="AR58" i="13"/>
  <c r="BL58" i="13" s="1"/>
  <c r="AR50" i="13"/>
  <c r="BL50" i="13" s="1"/>
  <c r="AR42" i="13"/>
  <c r="BL42" i="13" s="1"/>
  <c r="AR33" i="13"/>
  <c r="BL33" i="13" s="1"/>
  <c r="AR25" i="13"/>
  <c r="AR17" i="13"/>
  <c r="BL17" i="13" s="1"/>
  <c r="AR340" i="13"/>
  <c r="BL340" i="13" s="1"/>
  <c r="AR322" i="13"/>
  <c r="BL322" i="13" s="1"/>
  <c r="AR312" i="13"/>
  <c r="BL312" i="13" s="1"/>
  <c r="AR267" i="13"/>
  <c r="BL267" i="13" s="1"/>
  <c r="AR249" i="13"/>
  <c r="BL249" i="13" s="1"/>
  <c r="AR229" i="13"/>
  <c r="BL229" i="13" s="1"/>
  <c r="AR168" i="13"/>
  <c r="BL168" i="13" s="1"/>
  <c r="AR152" i="13"/>
  <c r="BL152" i="13" s="1"/>
  <c r="AR133" i="13"/>
  <c r="BL133" i="13" s="1"/>
  <c r="AR117" i="13"/>
  <c r="BL117" i="13" s="1"/>
  <c r="AR113" i="13"/>
  <c r="BL113" i="13" s="1"/>
  <c r="AR95" i="13"/>
  <c r="BL95" i="13" s="1"/>
  <c r="AR84" i="13"/>
  <c r="BL84" i="13" s="1"/>
  <c r="AR73" i="13"/>
  <c r="BL73" i="13" s="1"/>
  <c r="AR55" i="13"/>
  <c r="BL55" i="13" s="1"/>
  <c r="AR47" i="13"/>
  <c r="BL47" i="13" s="1"/>
  <c r="AR39" i="13"/>
  <c r="BL39" i="13" s="1"/>
  <c r="AR30" i="13"/>
  <c r="BL30" i="13" s="1"/>
  <c r="AR22" i="13"/>
  <c r="BL22" i="13" s="1"/>
  <c r="AR14" i="13"/>
  <c r="AR331" i="13"/>
  <c r="BL331" i="13" s="1"/>
  <c r="AR218" i="13"/>
  <c r="BL218" i="13" s="1"/>
  <c r="AR300" i="13"/>
  <c r="BL300" i="13" s="1"/>
  <c r="AR256" i="13"/>
  <c r="BL256" i="13" s="1"/>
  <c r="AR235" i="13"/>
  <c r="BL235" i="13" s="1"/>
  <c r="AR209" i="13"/>
  <c r="BL209" i="13" s="1"/>
  <c r="AR162" i="13"/>
  <c r="BL162" i="13" s="1"/>
  <c r="AR145" i="13"/>
  <c r="BL145" i="13" s="1"/>
  <c r="AR127" i="13"/>
  <c r="BL127" i="13" s="1"/>
  <c r="AR109" i="13"/>
  <c r="BL109" i="13" s="1"/>
  <c r="AR89" i="13"/>
  <c r="AR69" i="13"/>
  <c r="BL69" i="13" s="1"/>
  <c r="AR60" i="13"/>
  <c r="BL60" i="13" s="1"/>
  <c r="AR52" i="13"/>
  <c r="BL52" i="13" s="1"/>
  <c r="AR44" i="13"/>
  <c r="BL44" i="13" s="1"/>
  <c r="AR36" i="13"/>
  <c r="BL36" i="13" s="1"/>
  <c r="AR27" i="13"/>
  <c r="BL27" i="13" s="1"/>
  <c r="AR19" i="13"/>
  <c r="BL19" i="13" s="1"/>
  <c r="AR11" i="13"/>
  <c r="AR337" i="13"/>
  <c r="BL337" i="13" s="1"/>
  <c r="AR225" i="13"/>
  <c r="BL225" i="13" s="1"/>
  <c r="AR307" i="13"/>
  <c r="BL307" i="13" s="1"/>
  <c r="AR273" i="13"/>
  <c r="BL273" i="13" s="1"/>
  <c r="AR72" i="13"/>
  <c r="BL72" i="13" s="1"/>
  <c r="AR62" i="13"/>
  <c r="BL62" i="13" s="1"/>
  <c r="AR54" i="13"/>
  <c r="BL54" i="13" s="1"/>
  <c r="AR24" i="13"/>
  <c r="BL24" i="13" s="1"/>
  <c r="AR18" i="13"/>
  <c r="BL18" i="13" s="1"/>
  <c r="AR217" i="13"/>
  <c r="BL217" i="13" s="1"/>
  <c r="AR207" i="13"/>
  <c r="BL207" i="13" s="1"/>
  <c r="AR150" i="13"/>
  <c r="BL150" i="13" s="1"/>
  <c r="AR108" i="13"/>
  <c r="BL108" i="13" s="1"/>
  <c r="AR46" i="13"/>
  <c r="AR16" i="13"/>
  <c r="BL16" i="13" s="1"/>
  <c r="AR215" i="13"/>
  <c r="BL215" i="13" s="1"/>
  <c r="AR288" i="13"/>
  <c r="BL288" i="13" s="1"/>
  <c r="AR131" i="13"/>
  <c r="AR83" i="13"/>
  <c r="BL83" i="13" s="1"/>
  <c r="AR71" i="13"/>
  <c r="BL71" i="13" s="1"/>
  <c r="AR38" i="13"/>
  <c r="BL38" i="13" s="1"/>
  <c r="AR233" i="13"/>
  <c r="BL233" i="13" s="1"/>
  <c r="AR199" i="13"/>
  <c r="BL199" i="13" s="1"/>
  <c r="AR178" i="13"/>
  <c r="BL178" i="13" s="1"/>
  <c r="AR115" i="13"/>
  <c r="BL115" i="13" s="1"/>
  <c r="AR105" i="13"/>
  <c r="BL105" i="13" s="1"/>
  <c r="AR97" i="13"/>
  <c r="BL97" i="13" s="1"/>
  <c r="AR59" i="13"/>
  <c r="BL59" i="13" s="1"/>
  <c r="AR29" i="13"/>
  <c r="BL29" i="13" s="1"/>
  <c r="AR282" i="13"/>
  <c r="BL282" i="13" s="1"/>
  <c r="AR172" i="13"/>
  <c r="BL172" i="13" s="1"/>
  <c r="AR160" i="13"/>
  <c r="BL160" i="13" s="1"/>
  <c r="AR67" i="13"/>
  <c r="BL67" i="13" s="1"/>
  <c r="AR57" i="13"/>
  <c r="AR51" i="13"/>
  <c r="BL51" i="13" s="1"/>
  <c r="AR21" i="13"/>
  <c r="BL21" i="13" s="1"/>
  <c r="AR327" i="13"/>
  <c r="BL327" i="13" s="1"/>
  <c r="AR137" i="13"/>
  <c r="BL137" i="13" s="1"/>
  <c r="AR125" i="13"/>
  <c r="BL125" i="13" s="1"/>
  <c r="AR75" i="13"/>
  <c r="BL75" i="13" s="1"/>
  <c r="AR63" i="13"/>
  <c r="BL63" i="13" s="1"/>
  <c r="AR41" i="13"/>
  <c r="BL41" i="13" s="1"/>
  <c r="AR34" i="13"/>
  <c r="BL34" i="13" s="1"/>
  <c r="AR111" i="13"/>
  <c r="BL111" i="13" s="1"/>
  <c r="AR32" i="13"/>
  <c r="AR156" i="13"/>
  <c r="AR104" i="13"/>
  <c r="BL104" i="13" s="1"/>
  <c r="AR245" i="13"/>
  <c r="BL245" i="13" s="1"/>
  <c r="AR101" i="13"/>
  <c r="BL101" i="13" s="1"/>
  <c r="AR26" i="13"/>
  <c r="AR330" i="13"/>
  <c r="BL330" i="13" s="1"/>
  <c r="AR227" i="13"/>
  <c r="BL227" i="13" s="1"/>
  <c r="AR143" i="13"/>
  <c r="AR49" i="13"/>
  <c r="BL49" i="13" s="1"/>
  <c r="AR213" i="13"/>
  <c r="BL213" i="13" s="1"/>
  <c r="AR297" i="13"/>
  <c r="BL297" i="13" s="1"/>
  <c r="AR186" i="13"/>
  <c r="BL186" i="13" s="1"/>
  <c r="AR121" i="13"/>
  <c r="BL121" i="13" s="1"/>
  <c r="AR112" i="13"/>
  <c r="BL112" i="13" s="1"/>
  <c r="AR43" i="13"/>
  <c r="BL43" i="13" s="1"/>
  <c r="AR197" i="13"/>
  <c r="BL197" i="13" s="1"/>
  <c r="AR13" i="13"/>
  <c r="AJ189" i="13"/>
  <c r="AJ317" i="13"/>
  <c r="AJ9" i="13"/>
  <c r="AJ8" i="13"/>
  <c r="AJ190" i="13"/>
  <c r="AJ318" i="13"/>
  <c r="AJ334" i="13"/>
  <c r="AJ324" i="13"/>
  <c r="AJ221" i="13"/>
  <c r="AJ315" i="13"/>
  <c r="AJ304" i="13"/>
  <c r="AJ294" i="13"/>
  <c r="AJ286" i="13"/>
  <c r="AJ278" i="13"/>
  <c r="AJ267" i="13"/>
  <c r="AJ256" i="13"/>
  <c r="AJ245" i="13"/>
  <c r="AJ233" i="13"/>
  <c r="AJ213" i="13"/>
  <c r="AJ205" i="13"/>
  <c r="AJ195" i="13"/>
  <c r="AJ182" i="13"/>
  <c r="AJ172" i="13"/>
  <c r="AJ156" i="13"/>
  <c r="AJ147" i="13"/>
  <c r="AJ137" i="13"/>
  <c r="AJ129" i="13"/>
  <c r="AJ121" i="13"/>
  <c r="AJ113" i="13"/>
  <c r="AJ105" i="13"/>
  <c r="AJ97" i="13"/>
  <c r="AJ339" i="13"/>
  <c r="AJ331" i="13"/>
  <c r="AJ321" i="13"/>
  <c r="AJ218" i="13"/>
  <c r="AJ309" i="13"/>
  <c r="AJ300" i="13"/>
  <c r="AJ291" i="13"/>
  <c r="AJ283" i="13"/>
  <c r="AJ275" i="13"/>
  <c r="AJ263" i="13"/>
  <c r="AJ252" i="13"/>
  <c r="AJ238" i="13"/>
  <c r="AJ230" i="13"/>
  <c r="AJ210" i="13"/>
  <c r="AJ201" i="13"/>
  <c r="AJ187" i="13"/>
  <c r="AJ179" i="13"/>
  <c r="AJ169" i="13"/>
  <c r="AJ161" i="13"/>
  <c r="AJ153" i="13"/>
  <c r="AJ144" i="13"/>
  <c r="AJ134" i="13"/>
  <c r="AJ126" i="13"/>
  <c r="AJ118" i="13"/>
  <c r="AJ336" i="13"/>
  <c r="AJ327" i="13"/>
  <c r="AJ223" i="13"/>
  <c r="AJ215" i="13"/>
  <c r="AJ306" i="13"/>
  <c r="AJ297" i="13"/>
  <c r="AJ288" i="13"/>
  <c r="AJ280" i="13"/>
  <c r="AJ258" i="13"/>
  <c r="AJ249" i="13"/>
  <c r="AJ235" i="13"/>
  <c r="AJ227" i="13"/>
  <c r="AJ207" i="13"/>
  <c r="AJ197" i="13"/>
  <c r="AJ184" i="13"/>
  <c r="AJ176" i="13"/>
  <c r="AJ158" i="13"/>
  <c r="AJ150" i="13"/>
  <c r="AJ139" i="13"/>
  <c r="AJ131" i="13"/>
  <c r="AJ123" i="13"/>
  <c r="AJ115" i="13"/>
  <c r="AJ107" i="13"/>
  <c r="AJ99" i="13"/>
  <c r="AJ333" i="13"/>
  <c r="AJ323" i="13"/>
  <c r="AJ220" i="13"/>
  <c r="AJ314" i="13"/>
  <c r="AJ303" i="13"/>
  <c r="AJ293" i="13"/>
  <c r="AJ285" i="13"/>
  <c r="AJ277" i="13"/>
  <c r="AJ255" i="13"/>
  <c r="AJ243" i="13"/>
  <c r="AJ232" i="13"/>
  <c r="AJ212" i="13"/>
  <c r="AJ204" i="13"/>
  <c r="AJ194" i="13"/>
  <c r="AJ181" i="13"/>
  <c r="AJ171" i="13"/>
  <c r="AJ163" i="13"/>
  <c r="AJ155" i="13"/>
  <c r="AJ146" i="13"/>
  <c r="AJ136" i="13"/>
  <c r="AJ128" i="13"/>
  <c r="AJ120" i="13"/>
  <c r="AJ112" i="13"/>
  <c r="AJ104" i="13"/>
  <c r="AJ96" i="13"/>
  <c r="AJ338" i="13"/>
  <c r="AJ330" i="13"/>
  <c r="AJ320" i="13"/>
  <c r="AJ217" i="13"/>
  <c r="AJ308" i="13"/>
  <c r="AJ299" i="13"/>
  <c r="AJ282" i="13"/>
  <c r="AJ273" i="13"/>
  <c r="AJ261" i="13"/>
  <c r="AJ251" i="13"/>
  <c r="AJ237" i="13"/>
  <c r="AJ229" i="13"/>
  <c r="AJ209" i="13"/>
  <c r="AJ199" i="13"/>
  <c r="AJ186" i="13"/>
  <c r="AJ178" i="13"/>
  <c r="AJ168" i="13"/>
  <c r="AJ160" i="13"/>
  <c r="AJ152" i="13"/>
  <c r="AJ143" i="13"/>
  <c r="AJ133" i="13"/>
  <c r="AJ125" i="13"/>
  <c r="AJ117" i="13"/>
  <c r="AJ109" i="13"/>
  <c r="AJ101" i="13"/>
  <c r="AJ340" i="13"/>
  <c r="AJ332" i="13"/>
  <c r="AJ322" i="13"/>
  <c r="AJ219" i="13"/>
  <c r="AJ312" i="13"/>
  <c r="AJ301" i="13"/>
  <c r="AJ276" i="13"/>
  <c r="AJ264" i="13"/>
  <c r="AJ253" i="13"/>
  <c r="AJ240" i="13"/>
  <c r="AJ231" i="13"/>
  <c r="AJ211" i="13"/>
  <c r="AJ203" i="13"/>
  <c r="AJ192" i="13"/>
  <c r="AJ180" i="13"/>
  <c r="AJ170" i="13"/>
  <c r="AJ162" i="13"/>
  <c r="AJ154" i="13"/>
  <c r="AJ145" i="13"/>
  <c r="AJ135" i="13"/>
  <c r="AJ127" i="13"/>
  <c r="AJ119" i="13"/>
  <c r="AJ111" i="13"/>
  <c r="AJ103" i="13"/>
  <c r="AJ95" i="13"/>
  <c r="AJ225" i="13"/>
  <c r="AJ289" i="13"/>
  <c r="AJ250" i="13"/>
  <c r="AJ198" i="13"/>
  <c r="AJ159" i="13"/>
  <c r="AJ124" i="13"/>
  <c r="AJ106" i="13"/>
  <c r="AJ84" i="13"/>
  <c r="AJ72" i="13"/>
  <c r="AJ62" i="13"/>
  <c r="AJ54" i="13"/>
  <c r="AJ46" i="13"/>
  <c r="AJ38" i="13"/>
  <c r="AJ29" i="13"/>
  <c r="AJ21" i="13"/>
  <c r="AJ13" i="13"/>
  <c r="AJ222" i="13"/>
  <c r="AJ287" i="13"/>
  <c r="AJ246" i="13"/>
  <c r="AJ196" i="13"/>
  <c r="AJ157" i="13"/>
  <c r="AJ122" i="13"/>
  <c r="AJ98" i="13"/>
  <c r="AJ91" i="13"/>
  <c r="AJ78" i="13"/>
  <c r="AJ69" i="13"/>
  <c r="AJ59" i="13"/>
  <c r="AJ51" i="13"/>
  <c r="AJ43" i="13"/>
  <c r="AJ34" i="13"/>
  <c r="AJ26" i="13"/>
  <c r="AJ18" i="13"/>
  <c r="AJ329" i="13"/>
  <c r="AJ298" i="13"/>
  <c r="AJ259" i="13"/>
  <c r="AJ208" i="13"/>
  <c r="AJ167" i="13"/>
  <c r="AJ132" i="13"/>
  <c r="AJ87" i="13"/>
  <c r="AJ74" i="13"/>
  <c r="AJ64" i="13"/>
  <c r="AJ56" i="13"/>
  <c r="AJ48" i="13"/>
  <c r="AJ40" i="13"/>
  <c r="AJ31" i="13"/>
  <c r="AJ23" i="13"/>
  <c r="AJ15" i="13"/>
  <c r="AJ325" i="13"/>
  <c r="AJ257" i="13"/>
  <c r="AJ206" i="13"/>
  <c r="AJ165" i="13"/>
  <c r="AJ130" i="13"/>
  <c r="AJ83" i="13"/>
  <c r="AJ71" i="13"/>
  <c r="AJ61" i="13"/>
  <c r="AJ53" i="13"/>
  <c r="AJ45" i="13"/>
  <c r="AJ37" i="13"/>
  <c r="AJ28" i="13"/>
  <c r="AJ20" i="13"/>
  <c r="AJ12" i="13"/>
  <c r="AJ337" i="13"/>
  <c r="AJ307" i="13"/>
  <c r="AJ272" i="13"/>
  <c r="AJ228" i="13"/>
  <c r="AJ177" i="13"/>
  <c r="AJ141" i="13"/>
  <c r="AJ110" i="13"/>
  <c r="AJ90" i="13"/>
  <c r="AJ67" i="13"/>
  <c r="AJ58" i="13"/>
  <c r="AJ50" i="13"/>
  <c r="AJ42" i="13"/>
  <c r="AJ33" i="13"/>
  <c r="AJ25" i="13"/>
  <c r="AJ17" i="13"/>
  <c r="AJ216" i="13"/>
  <c r="AJ281" i="13"/>
  <c r="AJ236" i="13"/>
  <c r="AJ185" i="13"/>
  <c r="AJ151" i="13"/>
  <c r="AJ116" i="13"/>
  <c r="AJ108" i="13"/>
  <c r="AJ81" i="13"/>
  <c r="AJ70" i="13"/>
  <c r="AJ60" i="13"/>
  <c r="AJ52" i="13"/>
  <c r="AJ44" i="13"/>
  <c r="AJ36" i="13"/>
  <c r="AJ27" i="13"/>
  <c r="AJ19" i="13"/>
  <c r="AJ11" i="13"/>
  <c r="AJ183" i="13"/>
  <c r="AJ100" i="13"/>
  <c r="AJ66" i="13"/>
  <c r="AJ32" i="13"/>
  <c r="AJ335" i="13"/>
  <c r="AJ174" i="13"/>
  <c r="AJ63" i="13"/>
  <c r="AJ30" i="13"/>
  <c r="AJ234" i="13"/>
  <c r="AJ93" i="13"/>
  <c r="AJ75" i="13"/>
  <c r="AJ41" i="13"/>
  <c r="AJ214" i="13"/>
  <c r="AJ73" i="13"/>
  <c r="AJ39" i="13"/>
  <c r="AJ279" i="13"/>
  <c r="AJ114" i="13"/>
  <c r="AJ89" i="13"/>
  <c r="AJ49" i="13"/>
  <c r="AJ16" i="13"/>
  <c r="AJ316" i="13"/>
  <c r="AJ148" i="13"/>
  <c r="AJ57" i="13"/>
  <c r="AJ24" i="13"/>
  <c r="AJ47" i="13"/>
  <c r="AJ305" i="13"/>
  <c r="AJ102" i="13"/>
  <c r="AJ270" i="13"/>
  <c r="AJ85" i="13"/>
  <c r="AJ22" i="13"/>
  <c r="AJ14" i="13"/>
  <c r="AJ138" i="13"/>
  <c r="AJ55" i="13"/>
  <c r="AB189" i="13"/>
  <c r="AB317" i="13"/>
  <c r="AB9" i="13"/>
  <c r="AB8" i="13"/>
  <c r="AB190" i="13"/>
  <c r="AB318" i="13"/>
  <c r="AB338" i="13"/>
  <c r="AB330" i="13"/>
  <c r="AB320" i="13"/>
  <c r="AB217" i="13"/>
  <c r="AB335" i="13"/>
  <c r="AB325" i="13"/>
  <c r="AB222" i="13"/>
  <c r="AB316" i="13"/>
  <c r="AB340" i="13"/>
  <c r="AB332" i="13"/>
  <c r="AB322" i="13"/>
  <c r="AB219" i="13"/>
  <c r="AB312" i="13"/>
  <c r="AB337" i="13"/>
  <c r="AB329" i="13"/>
  <c r="AB225" i="13"/>
  <c r="AB216" i="13"/>
  <c r="AB307" i="13"/>
  <c r="AB334" i="13"/>
  <c r="AB324" i="13"/>
  <c r="AB221" i="13"/>
  <c r="AB315" i="13"/>
  <c r="AB304" i="13"/>
  <c r="AB336" i="13"/>
  <c r="AB327" i="13"/>
  <c r="AB223" i="13"/>
  <c r="AB215" i="13"/>
  <c r="AB306" i="13"/>
  <c r="AB321" i="13"/>
  <c r="AB299" i="13"/>
  <c r="AB282" i="13"/>
  <c r="AB273" i="13"/>
  <c r="AB261" i="13"/>
  <c r="AB251" i="13"/>
  <c r="AB237" i="13"/>
  <c r="AB229" i="13"/>
  <c r="AB209" i="13"/>
  <c r="AB199" i="13"/>
  <c r="AB186" i="13"/>
  <c r="AB178" i="13"/>
  <c r="AB168" i="13"/>
  <c r="AB160" i="13"/>
  <c r="AB333" i="13"/>
  <c r="AB287" i="13"/>
  <c r="AB279" i="13"/>
  <c r="AB270" i="13"/>
  <c r="AB257" i="13"/>
  <c r="AB246" i="13"/>
  <c r="AB234" i="13"/>
  <c r="AB214" i="13"/>
  <c r="AB206" i="13"/>
  <c r="AB331" i="13"/>
  <c r="AB301" i="13"/>
  <c r="AB276" i="13"/>
  <c r="AB264" i="13"/>
  <c r="AB253" i="13"/>
  <c r="AB240" i="13"/>
  <c r="AB231" i="13"/>
  <c r="AB211" i="13"/>
  <c r="AB203" i="13"/>
  <c r="AB192" i="13"/>
  <c r="AB180" i="13"/>
  <c r="AB170" i="13"/>
  <c r="AB162" i="13"/>
  <c r="AB314" i="13"/>
  <c r="AB298" i="13"/>
  <c r="AB289" i="13"/>
  <c r="AB281" i="13"/>
  <c r="AB272" i="13"/>
  <c r="AB259" i="13"/>
  <c r="AB250" i="13"/>
  <c r="AB236" i="13"/>
  <c r="AB228" i="13"/>
  <c r="AB208" i="13"/>
  <c r="AB198" i="13"/>
  <c r="AB185" i="13"/>
  <c r="AB177" i="13"/>
  <c r="AB167" i="13"/>
  <c r="AB159" i="13"/>
  <c r="AB339" i="13"/>
  <c r="AB305" i="13"/>
  <c r="AB294" i="13"/>
  <c r="AB286" i="13"/>
  <c r="AB278" i="13"/>
  <c r="AB267" i="13"/>
  <c r="AB256" i="13"/>
  <c r="AB245" i="13"/>
  <c r="AB233" i="13"/>
  <c r="AB213" i="13"/>
  <c r="AB205" i="13"/>
  <c r="AB195" i="13"/>
  <c r="AB182" i="13"/>
  <c r="AB172" i="13"/>
  <c r="AB156" i="13"/>
  <c r="AB220" i="13"/>
  <c r="AB309" i="13"/>
  <c r="AB300" i="13"/>
  <c r="AB291" i="13"/>
  <c r="AB283" i="13"/>
  <c r="AB275" i="13"/>
  <c r="AB263" i="13"/>
  <c r="AB252" i="13"/>
  <c r="AB238" i="13"/>
  <c r="AB230" i="13"/>
  <c r="AB210" i="13"/>
  <c r="AB201" i="13"/>
  <c r="AB187" i="13"/>
  <c r="AB179" i="13"/>
  <c r="AB169" i="13"/>
  <c r="AB161" i="13"/>
  <c r="AB218" i="13"/>
  <c r="AB297" i="13"/>
  <c r="AB288" i="13"/>
  <c r="AB280" i="13"/>
  <c r="AB258" i="13"/>
  <c r="AB249" i="13"/>
  <c r="AB235" i="13"/>
  <c r="AB227" i="13"/>
  <c r="AB207" i="13"/>
  <c r="AB197" i="13"/>
  <c r="AB184" i="13"/>
  <c r="AB176" i="13"/>
  <c r="AB158" i="13"/>
  <c r="AB277" i="13"/>
  <c r="AB163" i="13"/>
  <c r="AB148" i="13"/>
  <c r="AB138" i="13"/>
  <c r="AB130" i="13"/>
  <c r="AB122" i="13"/>
  <c r="AB114" i="13"/>
  <c r="AB106" i="13"/>
  <c r="AB98" i="13"/>
  <c r="AB87" i="13"/>
  <c r="AB74" i="13"/>
  <c r="AB64" i="13"/>
  <c r="AB56" i="13"/>
  <c r="AB48" i="13"/>
  <c r="AB40" i="13"/>
  <c r="AB31" i="13"/>
  <c r="AB23" i="13"/>
  <c r="AB15" i="13"/>
  <c r="AB243" i="13"/>
  <c r="AB174" i="13"/>
  <c r="AB154" i="13"/>
  <c r="AB145" i="13"/>
  <c r="AB135" i="13"/>
  <c r="AB127" i="13"/>
  <c r="AB119" i="13"/>
  <c r="AB111" i="13"/>
  <c r="AB103" i="13"/>
  <c r="AB95" i="13"/>
  <c r="AB83" i="13"/>
  <c r="AB71" i="13"/>
  <c r="AB61" i="13"/>
  <c r="AB53" i="13"/>
  <c r="AB45" i="13"/>
  <c r="AB37" i="13"/>
  <c r="AB28" i="13"/>
  <c r="AB20" i="13"/>
  <c r="AB12" i="13"/>
  <c r="AB293" i="13"/>
  <c r="AB204" i="13"/>
  <c r="AB171" i="13"/>
  <c r="AB151" i="13"/>
  <c r="AB141" i="13"/>
  <c r="AB132" i="13"/>
  <c r="AB124" i="13"/>
  <c r="AB116" i="13"/>
  <c r="AB108" i="13"/>
  <c r="AB100" i="13"/>
  <c r="AB90" i="13"/>
  <c r="AB67" i="13"/>
  <c r="AB58" i="13"/>
  <c r="AB50" i="13"/>
  <c r="AB42" i="13"/>
  <c r="AB33" i="13"/>
  <c r="AB25" i="13"/>
  <c r="AB17" i="13"/>
  <c r="AB183" i="13"/>
  <c r="AB147" i="13"/>
  <c r="AB137" i="13"/>
  <c r="AB129" i="13"/>
  <c r="AB121" i="13"/>
  <c r="AB113" i="13"/>
  <c r="AB105" i="13"/>
  <c r="AB97" i="13"/>
  <c r="AB85" i="13"/>
  <c r="AB73" i="13"/>
  <c r="AB63" i="13"/>
  <c r="AB55" i="13"/>
  <c r="AB47" i="13"/>
  <c r="AB39" i="13"/>
  <c r="AB30" i="13"/>
  <c r="AB22" i="13"/>
  <c r="AB14" i="13"/>
  <c r="AB323" i="13"/>
  <c r="AB232" i="13"/>
  <c r="AB181" i="13"/>
  <c r="AB153" i="13"/>
  <c r="AB144" i="13"/>
  <c r="AB134" i="13"/>
  <c r="AB126" i="13"/>
  <c r="AB118" i="13"/>
  <c r="AB110" i="13"/>
  <c r="AB102" i="13"/>
  <c r="AB93" i="13"/>
  <c r="AB81" i="13"/>
  <c r="AB70" i="13"/>
  <c r="AB60" i="13"/>
  <c r="AB52" i="13"/>
  <c r="AB44" i="13"/>
  <c r="AB36" i="13"/>
  <c r="AB27" i="13"/>
  <c r="AB19" i="13"/>
  <c r="AB11" i="13"/>
  <c r="AB285" i="13"/>
  <c r="AB196" i="13"/>
  <c r="AB157" i="13"/>
  <c r="AB150" i="13"/>
  <c r="AB139" i="13"/>
  <c r="AB131" i="13"/>
  <c r="AB123" i="13"/>
  <c r="AB115" i="13"/>
  <c r="AB107" i="13"/>
  <c r="AB99" i="13"/>
  <c r="AB89" i="13"/>
  <c r="AB75" i="13"/>
  <c r="AB66" i="13"/>
  <c r="AB57" i="13"/>
  <c r="AB49" i="13"/>
  <c r="AB41" i="13"/>
  <c r="AB32" i="13"/>
  <c r="AB24" i="13"/>
  <c r="AB16" i="13"/>
  <c r="AB308" i="13"/>
  <c r="AB255" i="13"/>
  <c r="AB194" i="13"/>
  <c r="AB155" i="13"/>
  <c r="AB146" i="13"/>
  <c r="AB136" i="13"/>
  <c r="AB128" i="13"/>
  <c r="AB120" i="13"/>
  <c r="AB112" i="13"/>
  <c r="AB104" i="13"/>
  <c r="AB96" i="13"/>
  <c r="AB84" i="13"/>
  <c r="AB72" i="13"/>
  <c r="AB62" i="13"/>
  <c r="AB54" i="13"/>
  <c r="AB46" i="13"/>
  <c r="AB38" i="13"/>
  <c r="AB29" i="13"/>
  <c r="AB21" i="13"/>
  <c r="AB13" i="13"/>
  <c r="AB303" i="13"/>
  <c r="AB212" i="13"/>
  <c r="AB165" i="13"/>
  <c r="AB152" i="13"/>
  <c r="AB143" i="13"/>
  <c r="AB133" i="13"/>
  <c r="AB125" i="13"/>
  <c r="AB117" i="13"/>
  <c r="AB109" i="13"/>
  <c r="AB101" i="13"/>
  <c r="AB91" i="13"/>
  <c r="AB78" i="13"/>
  <c r="AB69" i="13"/>
  <c r="AB59" i="13"/>
  <c r="AB51" i="13"/>
  <c r="AB43" i="13"/>
  <c r="AB34" i="13"/>
  <c r="AB26" i="13"/>
  <c r="AB18" i="13"/>
  <c r="T189" i="13"/>
  <c r="BB189" i="13" s="1"/>
  <c r="T317" i="13"/>
  <c r="BB317" i="13" s="1"/>
  <c r="T9" i="13"/>
  <c r="BB9" i="13" s="1"/>
  <c r="T8" i="13"/>
  <c r="T190" i="13"/>
  <c r="BB190" i="13" s="1"/>
  <c r="T318" i="13"/>
  <c r="BB318" i="13" s="1"/>
  <c r="T334" i="13"/>
  <c r="BB334" i="13" s="1"/>
  <c r="T339" i="13"/>
  <c r="BB339" i="13" s="1"/>
  <c r="T336" i="13"/>
  <c r="BB336" i="13" s="1"/>
  <c r="T333" i="13"/>
  <c r="BB333" i="13" s="1"/>
  <c r="T335" i="13"/>
  <c r="BB335" i="13" s="1"/>
  <c r="T340" i="13"/>
  <c r="BB340" i="13" s="1"/>
  <c r="T330" i="13"/>
  <c r="BB330" i="13" s="1"/>
  <c r="T320" i="13"/>
  <c r="BB320" i="13" s="1"/>
  <c r="T217" i="13"/>
  <c r="T308" i="13"/>
  <c r="BB308" i="13" s="1"/>
  <c r="T299" i="13"/>
  <c r="BB299" i="13" s="1"/>
  <c r="T282" i="13"/>
  <c r="BB282" i="13" s="1"/>
  <c r="T273" i="13"/>
  <c r="BB273" i="13" s="1"/>
  <c r="T261" i="13"/>
  <c r="BB261" i="13" s="1"/>
  <c r="T251" i="13"/>
  <c r="BB251" i="13" s="1"/>
  <c r="T237" i="13"/>
  <c r="T229" i="13"/>
  <c r="BB229" i="13" s="1"/>
  <c r="T209" i="13"/>
  <c r="BB209" i="13" s="1"/>
  <c r="T199" i="13"/>
  <c r="BB199" i="13" s="1"/>
  <c r="T186" i="13"/>
  <c r="BB186" i="13" s="1"/>
  <c r="T178" i="13"/>
  <c r="BB178" i="13" s="1"/>
  <c r="T168" i="13"/>
  <c r="BB168" i="13" s="1"/>
  <c r="T160" i="13"/>
  <c r="BB160" i="13" s="1"/>
  <c r="T152" i="13"/>
  <c r="T143" i="13"/>
  <c r="BB143" i="13" s="1"/>
  <c r="T133" i="13"/>
  <c r="BB133" i="13" s="1"/>
  <c r="T125" i="13"/>
  <c r="BB125" i="13" s="1"/>
  <c r="T117" i="13"/>
  <c r="BB117" i="13" s="1"/>
  <c r="T109" i="13"/>
  <c r="BB109" i="13" s="1"/>
  <c r="T101" i="13"/>
  <c r="BB101" i="13" s="1"/>
  <c r="T91" i="13"/>
  <c r="BB91" i="13" s="1"/>
  <c r="T78" i="13"/>
  <c r="T69" i="13"/>
  <c r="BB69" i="13" s="1"/>
  <c r="T59" i="13"/>
  <c r="BB59" i="13" s="1"/>
  <c r="T51" i="13"/>
  <c r="BB51" i="13" s="1"/>
  <c r="T43" i="13"/>
  <c r="BB43" i="13" s="1"/>
  <c r="T34" i="13"/>
  <c r="BB34" i="13" s="1"/>
  <c r="T26" i="13"/>
  <c r="BB26" i="13" s="1"/>
  <c r="T18" i="13"/>
  <c r="BB18" i="13" s="1"/>
  <c r="T325" i="13"/>
  <c r="T222" i="13"/>
  <c r="BB222" i="13" s="1"/>
  <c r="T316" i="13"/>
  <c r="BB316" i="13" s="1"/>
  <c r="T305" i="13"/>
  <c r="BB305" i="13" s="1"/>
  <c r="T332" i="13"/>
  <c r="BB332" i="13" s="1"/>
  <c r="T322" i="13"/>
  <c r="BB322" i="13" s="1"/>
  <c r="T219" i="13"/>
  <c r="BB219" i="13" s="1"/>
  <c r="T312" i="13"/>
  <c r="T301" i="13"/>
  <c r="BB301" i="13" s="1"/>
  <c r="T276" i="13"/>
  <c r="BB276" i="13" s="1"/>
  <c r="T264" i="13"/>
  <c r="BB264" i="13" s="1"/>
  <c r="T253" i="13"/>
  <c r="BB253" i="13" s="1"/>
  <c r="T240" i="13"/>
  <c r="BB240" i="13" s="1"/>
  <c r="T231" i="13"/>
  <c r="T211" i="13"/>
  <c r="T203" i="13"/>
  <c r="BB203" i="13" s="1"/>
  <c r="T192" i="13"/>
  <c r="BB192" i="13" s="1"/>
  <c r="T180" i="13"/>
  <c r="BB180" i="13" s="1"/>
  <c r="T170" i="13"/>
  <c r="BB170" i="13" s="1"/>
  <c r="T162" i="13"/>
  <c r="BB162" i="13" s="1"/>
  <c r="T154" i="13"/>
  <c r="BB154" i="13" s="1"/>
  <c r="T145" i="13"/>
  <c r="BB145" i="13" s="1"/>
  <c r="T135" i="13"/>
  <c r="BB135" i="13" s="1"/>
  <c r="T127" i="13"/>
  <c r="BB127" i="13" s="1"/>
  <c r="T119" i="13"/>
  <c r="BB119" i="13" s="1"/>
  <c r="T111" i="13"/>
  <c r="BB111" i="13" s="1"/>
  <c r="T103" i="13"/>
  <c r="T95" i="13"/>
  <c r="BB95" i="13" s="1"/>
  <c r="T83" i="13"/>
  <c r="BB83" i="13" s="1"/>
  <c r="T71" i="13"/>
  <c r="T61" i="13"/>
  <c r="T53" i="13"/>
  <c r="BB53" i="13" s="1"/>
  <c r="T45" i="13"/>
  <c r="BB45" i="13" s="1"/>
  <c r="T37" i="13"/>
  <c r="BB37" i="13" s="1"/>
  <c r="T28" i="13"/>
  <c r="T20" i="13"/>
  <c r="BB20" i="13" s="1"/>
  <c r="T12" i="13"/>
  <c r="BB12" i="13" s="1"/>
  <c r="T329" i="13"/>
  <c r="T225" i="13"/>
  <c r="BB225" i="13" s="1"/>
  <c r="T216" i="13"/>
  <c r="BB216" i="13" s="1"/>
  <c r="T307" i="13"/>
  <c r="BB307" i="13" s="1"/>
  <c r="T298" i="13"/>
  <c r="BB298" i="13" s="1"/>
  <c r="T289" i="13"/>
  <c r="T281" i="13"/>
  <c r="BB281" i="13" s="1"/>
  <c r="T272" i="13"/>
  <c r="BB272" i="13" s="1"/>
  <c r="T259" i="13"/>
  <c r="T250" i="13"/>
  <c r="BB250" i="13" s="1"/>
  <c r="T236" i="13"/>
  <c r="BB236" i="13" s="1"/>
  <c r="T228" i="13"/>
  <c r="BB228" i="13" s="1"/>
  <c r="T208" i="13"/>
  <c r="BB208" i="13" s="1"/>
  <c r="T198" i="13"/>
  <c r="T185" i="13"/>
  <c r="BB185" i="13" s="1"/>
  <c r="T177" i="13"/>
  <c r="BB177" i="13" s="1"/>
  <c r="T167" i="13"/>
  <c r="T159" i="13"/>
  <c r="BB159" i="13" s="1"/>
  <c r="T151" i="13"/>
  <c r="BB151" i="13" s="1"/>
  <c r="T141" i="13"/>
  <c r="BB141" i="13" s="1"/>
  <c r="T132" i="13"/>
  <c r="BB132" i="13" s="1"/>
  <c r="T124" i="13"/>
  <c r="T116" i="13"/>
  <c r="BB116" i="13" s="1"/>
  <c r="T108" i="13"/>
  <c r="BB108" i="13" s="1"/>
  <c r="T100" i="13"/>
  <c r="T90" i="13"/>
  <c r="BB90" i="13" s="1"/>
  <c r="T67" i="13"/>
  <c r="BB67" i="13" s="1"/>
  <c r="T58" i="13"/>
  <c r="BB58" i="13" s="1"/>
  <c r="T50" i="13"/>
  <c r="T42" i="13"/>
  <c r="BB42" i="13" s="1"/>
  <c r="T33" i="13"/>
  <c r="BB33" i="13" s="1"/>
  <c r="T25" i="13"/>
  <c r="T17" i="13"/>
  <c r="BB17" i="13" s="1"/>
  <c r="T338" i="13"/>
  <c r="BB338" i="13" s="1"/>
  <c r="T324" i="13"/>
  <c r="BB324" i="13" s="1"/>
  <c r="T221" i="13"/>
  <c r="BB221" i="13" s="1"/>
  <c r="T315" i="13"/>
  <c r="BB315" i="13" s="1"/>
  <c r="T304" i="13"/>
  <c r="BB304" i="13" s="1"/>
  <c r="T294" i="13"/>
  <c r="BB294" i="13" s="1"/>
  <c r="T286" i="13"/>
  <c r="BB286" i="13" s="1"/>
  <c r="T278" i="13"/>
  <c r="T267" i="13"/>
  <c r="BB267" i="13" s="1"/>
  <c r="T256" i="13"/>
  <c r="BB256" i="13" s="1"/>
  <c r="T245" i="13"/>
  <c r="BB245" i="13" s="1"/>
  <c r="T233" i="13"/>
  <c r="BB233" i="13" s="1"/>
  <c r="T213" i="13"/>
  <c r="BB213" i="13" s="1"/>
  <c r="T205" i="13"/>
  <c r="BB205" i="13" s="1"/>
  <c r="T195" i="13"/>
  <c r="BB195" i="13" s="1"/>
  <c r="T182" i="13"/>
  <c r="T172" i="13"/>
  <c r="BB172" i="13" s="1"/>
  <c r="T156" i="13"/>
  <c r="BB156" i="13" s="1"/>
  <c r="T147" i="13"/>
  <c r="BB147" i="13" s="1"/>
  <c r="T137" i="13"/>
  <c r="BB137" i="13" s="1"/>
  <c r="T129" i="13"/>
  <c r="BB129" i="13" s="1"/>
  <c r="T121" i="13"/>
  <c r="BB121" i="13" s="1"/>
  <c r="T113" i="13"/>
  <c r="T105" i="13"/>
  <c r="BB105" i="13" s="1"/>
  <c r="T97" i="13"/>
  <c r="BB97" i="13" s="1"/>
  <c r="T85" i="13"/>
  <c r="BB85" i="13" s="1"/>
  <c r="T73" i="13"/>
  <c r="BB73" i="13" s="1"/>
  <c r="T63" i="13"/>
  <c r="BB63" i="13" s="1"/>
  <c r="T55" i="13"/>
  <c r="BB55" i="13" s="1"/>
  <c r="T47" i="13"/>
  <c r="BB47" i="13" s="1"/>
  <c r="T39" i="13"/>
  <c r="T30" i="13"/>
  <c r="BB30" i="13" s="1"/>
  <c r="T22" i="13"/>
  <c r="BB22" i="13" s="1"/>
  <c r="T14" i="13"/>
  <c r="BB14" i="13" s="1"/>
  <c r="T337" i="13"/>
  <c r="BB337" i="13" s="1"/>
  <c r="T331" i="13"/>
  <c r="BB331" i="13" s="1"/>
  <c r="T321" i="13"/>
  <c r="BB321" i="13" s="1"/>
  <c r="T218" i="13"/>
  <c r="BB218" i="13" s="1"/>
  <c r="T309" i="13"/>
  <c r="BB309" i="13" s="1"/>
  <c r="T300" i="13"/>
  <c r="BB300" i="13" s="1"/>
  <c r="T291" i="13"/>
  <c r="BB291" i="13" s="1"/>
  <c r="T283" i="13"/>
  <c r="BB283" i="13" s="1"/>
  <c r="T275" i="13"/>
  <c r="T327" i="13"/>
  <c r="BB327" i="13" s="1"/>
  <c r="T223" i="13"/>
  <c r="BB223" i="13" s="1"/>
  <c r="T215" i="13"/>
  <c r="BB215" i="13" s="1"/>
  <c r="T306" i="13"/>
  <c r="BB306" i="13" s="1"/>
  <c r="T297" i="13"/>
  <c r="BB297" i="13" s="1"/>
  <c r="T288" i="13"/>
  <c r="BB288" i="13" s="1"/>
  <c r="T280" i="13"/>
  <c r="BB280" i="13" s="1"/>
  <c r="T258" i="13"/>
  <c r="BB258" i="13" s="1"/>
  <c r="T249" i="13"/>
  <c r="BB249" i="13" s="1"/>
  <c r="T235" i="13"/>
  <c r="BB235" i="13" s="1"/>
  <c r="T227" i="13"/>
  <c r="BB227" i="13" s="1"/>
  <c r="T207" i="13"/>
  <c r="BB207" i="13" s="1"/>
  <c r="T197" i="13"/>
  <c r="BB197" i="13" s="1"/>
  <c r="T184" i="13"/>
  <c r="BB184" i="13" s="1"/>
  <c r="T176" i="13"/>
  <c r="T158" i="13"/>
  <c r="BB158" i="13" s="1"/>
  <c r="T150" i="13"/>
  <c r="T139" i="13"/>
  <c r="BB139" i="13" s="1"/>
  <c r="T131" i="13"/>
  <c r="BB131" i="13" s="1"/>
  <c r="T123" i="13"/>
  <c r="BB123" i="13" s="1"/>
  <c r="T115" i="13"/>
  <c r="BB115" i="13" s="1"/>
  <c r="T107" i="13"/>
  <c r="BB107" i="13" s="1"/>
  <c r="T99" i="13"/>
  <c r="BB99" i="13" s="1"/>
  <c r="T89" i="13"/>
  <c r="BB89" i="13" s="1"/>
  <c r="T75" i="13"/>
  <c r="T66" i="13"/>
  <c r="T57" i="13"/>
  <c r="BB57" i="13" s="1"/>
  <c r="T49" i="13"/>
  <c r="BB49" i="13" s="1"/>
  <c r="T41" i="13"/>
  <c r="BB41" i="13" s="1"/>
  <c r="T32" i="13"/>
  <c r="BB32" i="13" s="1"/>
  <c r="T24" i="13"/>
  <c r="BB24" i="13" s="1"/>
  <c r="T16" i="13"/>
  <c r="BB16" i="13" s="1"/>
  <c r="T323" i="13"/>
  <c r="T220" i="13"/>
  <c r="BB220" i="13" s="1"/>
  <c r="T314" i="13"/>
  <c r="BB314" i="13" s="1"/>
  <c r="T303" i="13"/>
  <c r="BB303" i="13" s="1"/>
  <c r="T293" i="13"/>
  <c r="BB293" i="13" s="1"/>
  <c r="T285" i="13"/>
  <c r="T277" i="13"/>
  <c r="BB277" i="13" s="1"/>
  <c r="T255" i="13"/>
  <c r="T243" i="13"/>
  <c r="BB243" i="13" s="1"/>
  <c r="T232" i="13"/>
  <c r="BB232" i="13" s="1"/>
  <c r="T212" i="13"/>
  <c r="BB212" i="13" s="1"/>
  <c r="T204" i="13"/>
  <c r="BB204" i="13" s="1"/>
  <c r="T194" i="13"/>
  <c r="T181" i="13"/>
  <c r="BB181" i="13" s="1"/>
  <c r="T171" i="13"/>
  <c r="BB171" i="13" s="1"/>
  <c r="T163" i="13"/>
  <c r="T155" i="13"/>
  <c r="BB155" i="13" s="1"/>
  <c r="T146" i="13"/>
  <c r="BB146" i="13" s="1"/>
  <c r="T136" i="13"/>
  <c r="BB136" i="13" s="1"/>
  <c r="T128" i="13"/>
  <c r="BB128" i="13" s="1"/>
  <c r="T120" i="13"/>
  <c r="T112" i="13"/>
  <c r="BB112" i="13" s="1"/>
  <c r="T104" i="13"/>
  <c r="BB104" i="13" s="1"/>
  <c r="T96" i="13"/>
  <c r="T84" i="13"/>
  <c r="BB84" i="13" s="1"/>
  <c r="T72" i="13"/>
  <c r="BB72" i="13" s="1"/>
  <c r="T62" i="13"/>
  <c r="BB62" i="13" s="1"/>
  <c r="T54" i="13"/>
  <c r="BB54" i="13" s="1"/>
  <c r="T46" i="13"/>
  <c r="T38" i="13"/>
  <c r="BB38" i="13" s="1"/>
  <c r="T29" i="13"/>
  <c r="BB29" i="13" s="1"/>
  <c r="T21" i="13"/>
  <c r="T13" i="13"/>
  <c r="BB13" i="13" s="1"/>
  <c r="T279" i="13"/>
  <c r="BB279" i="13" s="1"/>
  <c r="T230" i="13"/>
  <c r="BB230" i="13" s="1"/>
  <c r="T179" i="13"/>
  <c r="BB179" i="13" s="1"/>
  <c r="T144" i="13"/>
  <c r="BB144" i="13" s="1"/>
  <c r="T110" i="13"/>
  <c r="BB110" i="13" s="1"/>
  <c r="T70" i="13"/>
  <c r="BB70" i="13" s="1"/>
  <c r="T36" i="13"/>
  <c r="T257" i="13"/>
  <c r="T206" i="13"/>
  <c r="BB206" i="13" s="1"/>
  <c r="T165" i="13"/>
  <c r="BB165" i="13" s="1"/>
  <c r="T130" i="13"/>
  <c r="BB130" i="13" s="1"/>
  <c r="T98" i="13"/>
  <c r="BB98" i="13" s="1"/>
  <c r="T56" i="13"/>
  <c r="BB56" i="13" s="1"/>
  <c r="T23" i="13"/>
  <c r="BB23" i="13" s="1"/>
  <c r="T238" i="13"/>
  <c r="BB238" i="13" s="1"/>
  <c r="T187" i="13"/>
  <c r="BB187" i="13" s="1"/>
  <c r="T153" i="13"/>
  <c r="BB153" i="13" s="1"/>
  <c r="T118" i="13"/>
  <c r="BB118" i="13" s="1"/>
  <c r="T81" i="13"/>
  <c r="BB81" i="13" s="1"/>
  <c r="T44" i="13"/>
  <c r="BB44" i="13" s="1"/>
  <c r="T11" i="13"/>
  <c r="BB11" i="13" s="1"/>
  <c r="T270" i="13"/>
  <c r="BB270" i="13" s="1"/>
  <c r="T214" i="13"/>
  <c r="BB214" i="13" s="1"/>
  <c r="T174" i="13"/>
  <c r="BB174" i="13" s="1"/>
  <c r="T138" i="13"/>
  <c r="BB138" i="13" s="1"/>
  <c r="T106" i="13"/>
  <c r="BB106" i="13" s="1"/>
  <c r="T64" i="13"/>
  <c r="BB64" i="13" s="1"/>
  <c r="T31" i="13"/>
  <c r="BB31" i="13" s="1"/>
  <c r="T252" i="13"/>
  <c r="BB252" i="13" s="1"/>
  <c r="T201" i="13"/>
  <c r="BB201" i="13" s="1"/>
  <c r="T161" i="13"/>
  <c r="T126" i="13"/>
  <c r="BB126" i="13" s="1"/>
  <c r="T93" i="13"/>
  <c r="BB93" i="13" s="1"/>
  <c r="T52" i="13"/>
  <c r="BB52" i="13" s="1"/>
  <c r="T19" i="13"/>
  <c r="BB19" i="13" s="1"/>
  <c r="T287" i="13"/>
  <c r="T234" i="13"/>
  <c r="BB234" i="13" s="1"/>
  <c r="T183" i="13"/>
  <c r="BB183" i="13" s="1"/>
  <c r="T148" i="13"/>
  <c r="BB148" i="13" s="1"/>
  <c r="T114" i="13"/>
  <c r="BB114" i="13" s="1"/>
  <c r="T74" i="13"/>
  <c r="BB74" i="13" s="1"/>
  <c r="T40" i="13"/>
  <c r="BB40" i="13" s="1"/>
  <c r="T263" i="13"/>
  <c r="BB263" i="13" s="1"/>
  <c r="T210" i="13"/>
  <c r="T169" i="13"/>
  <c r="BB169" i="13" s="1"/>
  <c r="T134" i="13"/>
  <c r="BB134" i="13" s="1"/>
  <c r="T102" i="13"/>
  <c r="BB102" i="13" s="1"/>
  <c r="T60" i="13"/>
  <c r="T27" i="13"/>
  <c r="BB27" i="13" s="1"/>
  <c r="T15" i="13"/>
  <c r="BB15" i="13" s="1"/>
  <c r="T196" i="13"/>
  <c r="BB196" i="13" s="1"/>
  <c r="T87" i="13"/>
  <c r="BB87" i="13" s="1"/>
  <c r="T157" i="13"/>
  <c r="BB157" i="13" s="1"/>
  <c r="T246" i="13"/>
  <c r="BB246" i="13" s="1"/>
  <c r="L189" i="13"/>
  <c r="L317" i="13"/>
  <c r="L9" i="13"/>
  <c r="L8" i="13"/>
  <c r="L190" i="13"/>
  <c r="L318" i="13"/>
  <c r="L339" i="13"/>
  <c r="L331" i="13"/>
  <c r="L321" i="13"/>
  <c r="L218" i="13"/>
  <c r="L309" i="13"/>
  <c r="L300" i="13"/>
  <c r="L291" i="13"/>
  <c r="L283" i="13"/>
  <c r="AY283" i="13" s="1"/>
  <c r="L275" i="13"/>
  <c r="L263" i="13"/>
  <c r="L252" i="13"/>
  <c r="L238" i="13"/>
  <c r="L230" i="13"/>
  <c r="L210" i="13"/>
  <c r="L201" i="13"/>
  <c r="L187" i="13"/>
  <c r="L179" i="13"/>
  <c r="L169" i="13"/>
  <c r="L161" i="13"/>
  <c r="L153" i="13"/>
  <c r="L144" i="13"/>
  <c r="L134" i="13"/>
  <c r="L126" i="13"/>
  <c r="L118" i="13"/>
  <c r="L110" i="13"/>
  <c r="L102" i="13"/>
  <c r="L93" i="13"/>
  <c r="L81" i="13"/>
  <c r="L70" i="13"/>
  <c r="L60" i="13"/>
  <c r="L52" i="13"/>
  <c r="L44" i="13"/>
  <c r="L36" i="13"/>
  <c r="L27" i="13"/>
  <c r="L19" i="13"/>
  <c r="L11" i="13"/>
  <c r="L333" i="13"/>
  <c r="L323" i="13"/>
  <c r="L220" i="13"/>
  <c r="L314" i="13"/>
  <c r="L303" i="13"/>
  <c r="L293" i="13"/>
  <c r="L285" i="13"/>
  <c r="L277" i="13"/>
  <c r="L255" i="13"/>
  <c r="L243" i="13"/>
  <c r="L232" i="13"/>
  <c r="L212" i="13"/>
  <c r="L338" i="13"/>
  <c r="L330" i="13"/>
  <c r="L320" i="13"/>
  <c r="L217" i="13"/>
  <c r="L308" i="13"/>
  <c r="L299" i="13"/>
  <c r="L282" i="13"/>
  <c r="L273" i="13"/>
  <c r="L261" i="13"/>
  <c r="L251" i="13"/>
  <c r="L237" i="13"/>
  <c r="L229" i="13"/>
  <c r="L209" i="13"/>
  <c r="L199" i="13"/>
  <c r="L186" i="13"/>
  <c r="L178" i="13"/>
  <c r="L168" i="13"/>
  <c r="L160" i="13"/>
  <c r="L152" i="13"/>
  <c r="L143" i="13"/>
  <c r="L133" i="13"/>
  <c r="L125" i="13"/>
  <c r="L117" i="13"/>
  <c r="L109" i="13"/>
  <c r="L101" i="13"/>
  <c r="L91" i="13"/>
  <c r="L78" i="13"/>
  <c r="L69" i="13"/>
  <c r="L59" i="13"/>
  <c r="L51" i="13"/>
  <c r="L43" i="13"/>
  <c r="L34" i="13"/>
  <c r="L26" i="13"/>
  <c r="L18" i="13"/>
  <c r="L335" i="13"/>
  <c r="L325" i="13"/>
  <c r="L222" i="13"/>
  <c r="L316" i="13"/>
  <c r="L305" i="13"/>
  <c r="L287" i="13"/>
  <c r="L279" i="13"/>
  <c r="L270" i="13"/>
  <c r="L257" i="13"/>
  <c r="L246" i="13"/>
  <c r="L234" i="13"/>
  <c r="L214" i="13"/>
  <c r="L206" i="13"/>
  <c r="L196" i="13"/>
  <c r="L183" i="13"/>
  <c r="L174" i="13"/>
  <c r="L165" i="13"/>
  <c r="L157" i="13"/>
  <c r="L148" i="13"/>
  <c r="L138" i="13"/>
  <c r="L130" i="13"/>
  <c r="L122" i="13"/>
  <c r="L114" i="13"/>
  <c r="L106" i="13"/>
  <c r="L98" i="13"/>
  <c r="L87" i="13"/>
  <c r="L74" i="13"/>
  <c r="L64" i="13"/>
  <c r="L56" i="13"/>
  <c r="L48" i="13"/>
  <c r="L40" i="13"/>
  <c r="L31" i="13"/>
  <c r="L23" i="13"/>
  <c r="L15" i="13"/>
  <c r="L337" i="13"/>
  <c r="L329" i="13"/>
  <c r="L225" i="13"/>
  <c r="L216" i="13"/>
  <c r="L307" i="13"/>
  <c r="L298" i="13"/>
  <c r="L289" i="13"/>
  <c r="L281" i="13"/>
  <c r="L272" i="13"/>
  <c r="L259" i="13"/>
  <c r="L250" i="13"/>
  <c r="L236" i="13"/>
  <c r="L228" i="13"/>
  <c r="L208" i="13"/>
  <c r="L198" i="13"/>
  <c r="L185" i="13"/>
  <c r="L177" i="13"/>
  <c r="L167" i="13"/>
  <c r="L159" i="13"/>
  <c r="L151" i="13"/>
  <c r="L141" i="13"/>
  <c r="L132" i="13"/>
  <c r="L124" i="13"/>
  <c r="L116" i="13"/>
  <c r="L108" i="13"/>
  <c r="L100" i="13"/>
  <c r="L90" i="13"/>
  <c r="L67" i="13"/>
  <c r="L58" i="13"/>
  <c r="L50" i="13"/>
  <c r="L42" i="13"/>
  <c r="L33" i="13"/>
  <c r="L25" i="13"/>
  <c r="L17" i="13"/>
  <c r="I12" i="13"/>
  <c r="J17" i="13"/>
  <c r="I20" i="13"/>
  <c r="J25" i="13"/>
  <c r="I28" i="13"/>
  <c r="J33" i="13"/>
  <c r="I37" i="13"/>
  <c r="J42" i="13"/>
  <c r="I45" i="13"/>
  <c r="J50" i="13"/>
  <c r="I53" i="13"/>
  <c r="J58" i="13"/>
  <c r="I61" i="13"/>
  <c r="J67" i="13"/>
  <c r="I71" i="13"/>
  <c r="I83" i="13"/>
  <c r="J90" i="13"/>
  <c r="I95" i="13"/>
  <c r="J100" i="13"/>
  <c r="I103" i="13"/>
  <c r="J108" i="13"/>
  <c r="I111" i="13"/>
  <c r="J116" i="13"/>
  <c r="I119" i="13"/>
  <c r="J124" i="13"/>
  <c r="I127" i="13"/>
  <c r="J132" i="13"/>
  <c r="I135" i="13"/>
  <c r="J141" i="13"/>
  <c r="I145" i="13"/>
  <c r="J151" i="13"/>
  <c r="I154" i="13"/>
  <c r="J159" i="13"/>
  <c r="I162" i="13"/>
  <c r="J167" i="13"/>
  <c r="I170" i="13"/>
  <c r="J177" i="13"/>
  <c r="I180" i="13"/>
  <c r="J185" i="13"/>
  <c r="I192" i="13"/>
  <c r="J198" i="13"/>
  <c r="I203" i="13"/>
  <c r="J208" i="13"/>
  <c r="I211" i="13"/>
  <c r="J228" i="13"/>
  <c r="I231" i="13"/>
  <c r="J236" i="13"/>
  <c r="I240" i="13"/>
  <c r="J250" i="13"/>
  <c r="I253" i="13"/>
  <c r="J259" i="13"/>
  <c r="I264" i="13"/>
  <c r="J272" i="13"/>
  <c r="I276" i="13"/>
  <c r="J281" i="13"/>
  <c r="J289" i="13"/>
  <c r="I305" i="13"/>
  <c r="J312" i="13"/>
  <c r="I222" i="13"/>
  <c r="J322" i="13"/>
  <c r="I335" i="13"/>
  <c r="J340" i="13"/>
  <c r="L21" i="13"/>
  <c r="M26" i="13"/>
  <c r="L38" i="13"/>
  <c r="M43" i="13"/>
  <c r="L54" i="13"/>
  <c r="M59" i="13"/>
  <c r="L72" i="13"/>
  <c r="M78" i="13"/>
  <c r="L96" i="13"/>
  <c r="M101" i="13"/>
  <c r="L112" i="13"/>
  <c r="M117" i="13"/>
  <c r="L128" i="13"/>
  <c r="M133" i="13"/>
  <c r="L146" i="13"/>
  <c r="M152" i="13"/>
  <c r="L163" i="13"/>
  <c r="M168" i="13"/>
  <c r="L181" i="13"/>
  <c r="M186" i="13"/>
  <c r="L204" i="13"/>
  <c r="M228" i="13"/>
  <c r="L249" i="13"/>
  <c r="L267" i="13"/>
  <c r="M277" i="13"/>
  <c r="M291" i="13"/>
  <c r="M307" i="13"/>
  <c r="L223" i="13"/>
  <c r="L334" i="13"/>
  <c r="P11" i="13"/>
  <c r="P25" i="13"/>
  <c r="P40" i="13"/>
  <c r="P208" i="13"/>
  <c r="U231" i="13"/>
  <c r="J53" i="13"/>
  <c r="I56" i="13"/>
  <c r="J61" i="13"/>
  <c r="I64" i="13"/>
  <c r="J71" i="13"/>
  <c r="I74" i="13"/>
  <c r="J83" i="13"/>
  <c r="I87" i="13"/>
  <c r="J95" i="13"/>
  <c r="I98" i="13"/>
  <c r="J103" i="13"/>
  <c r="I106" i="13"/>
  <c r="J111" i="13"/>
  <c r="I114" i="13"/>
  <c r="J119" i="13"/>
  <c r="I122" i="13"/>
  <c r="J127" i="13"/>
  <c r="I130" i="13"/>
  <c r="J135" i="13"/>
  <c r="I138" i="13"/>
  <c r="J145" i="13"/>
  <c r="I148" i="13"/>
  <c r="J154" i="13"/>
  <c r="I157" i="13"/>
  <c r="J162" i="13"/>
  <c r="I165" i="13"/>
  <c r="J170" i="13"/>
  <c r="I174" i="13"/>
  <c r="J180" i="13"/>
  <c r="I183" i="13"/>
  <c r="J192" i="13"/>
  <c r="I196" i="13"/>
  <c r="J203" i="13"/>
  <c r="I206" i="13"/>
  <c r="J211" i="13"/>
  <c r="I214" i="13"/>
  <c r="J231" i="13"/>
  <c r="I234" i="13"/>
  <c r="J240" i="13"/>
  <c r="I246" i="13"/>
  <c r="J253" i="13"/>
  <c r="I257" i="13"/>
  <c r="J264" i="13"/>
  <c r="I270" i="13"/>
  <c r="J276" i="13"/>
  <c r="I279" i="13"/>
  <c r="I287" i="13"/>
  <c r="I299" i="13"/>
  <c r="J305" i="13"/>
  <c r="I217" i="13"/>
  <c r="J222" i="13"/>
  <c r="I330" i="13"/>
  <c r="L16" i="13"/>
  <c r="M21" i="13"/>
  <c r="L32" i="13"/>
  <c r="M38" i="13"/>
  <c r="L49" i="13"/>
  <c r="M54" i="13"/>
  <c r="L66" i="13"/>
  <c r="M72" i="13"/>
  <c r="L89" i="13"/>
  <c r="M96" i="13"/>
  <c r="L107" i="13"/>
  <c r="M112" i="13"/>
  <c r="L123" i="13"/>
  <c r="M128" i="13"/>
  <c r="L139" i="13"/>
  <c r="M146" i="13"/>
  <c r="L158" i="13"/>
  <c r="M163" i="13"/>
  <c r="L176" i="13"/>
  <c r="M181" i="13"/>
  <c r="L197" i="13"/>
  <c r="M204" i="13"/>
  <c r="M210" i="13"/>
  <c r="M236" i="13"/>
  <c r="L258" i="13"/>
  <c r="L278" i="13"/>
  <c r="M285" i="13"/>
  <c r="M300" i="13"/>
  <c r="M216" i="13"/>
  <c r="L327" i="13"/>
  <c r="P19" i="13"/>
  <c r="P33" i="13"/>
  <c r="P48" i="13"/>
  <c r="P116" i="13"/>
  <c r="AP190" i="13"/>
  <c r="AP318" i="13"/>
  <c r="AP189" i="13"/>
  <c r="AP317" i="13"/>
  <c r="AP9" i="13"/>
  <c r="AP8" i="13"/>
  <c r="AP334" i="13"/>
  <c r="AP324" i="13"/>
  <c r="AP221" i="13"/>
  <c r="AP315" i="13"/>
  <c r="AP304" i="13"/>
  <c r="AP294" i="13"/>
  <c r="AP286" i="13"/>
  <c r="AP278" i="13"/>
  <c r="AP339" i="13"/>
  <c r="AP331" i="13"/>
  <c r="AP321" i="13"/>
  <c r="AP218" i="13"/>
  <c r="AP309" i="13"/>
  <c r="AP300" i="13"/>
  <c r="AP291" i="13"/>
  <c r="AP336" i="13"/>
  <c r="AP327" i="13"/>
  <c r="AP223" i="13"/>
  <c r="AP215" i="13"/>
  <c r="AP306" i="13"/>
  <c r="AP297" i="13"/>
  <c r="AP288" i="13"/>
  <c r="AP280" i="13"/>
  <c r="AP333" i="13"/>
  <c r="AP323" i="13"/>
  <c r="AP220" i="13"/>
  <c r="AP314" i="13"/>
  <c r="AP303" i="13"/>
  <c r="AP293" i="13"/>
  <c r="AP285" i="13"/>
  <c r="AP277" i="13"/>
  <c r="AP338" i="13"/>
  <c r="AP330" i="13"/>
  <c r="AP320" i="13"/>
  <c r="AP217" i="13"/>
  <c r="AP308" i="13"/>
  <c r="AP299" i="13"/>
  <c r="AP282" i="13"/>
  <c r="AP273" i="13"/>
  <c r="AP340" i="13"/>
  <c r="AP316" i="13"/>
  <c r="AP307" i="13"/>
  <c r="AP267" i="13"/>
  <c r="AP256" i="13"/>
  <c r="AP245" i="13"/>
  <c r="AP233" i="13"/>
  <c r="AP213" i="13"/>
  <c r="AP205" i="13"/>
  <c r="AP195" i="13"/>
  <c r="AP182" i="13"/>
  <c r="AP172" i="13"/>
  <c r="AP156" i="13"/>
  <c r="AP147" i="13"/>
  <c r="AP137" i="13"/>
  <c r="AP129" i="13"/>
  <c r="AP121" i="13"/>
  <c r="AP113" i="13"/>
  <c r="AP105" i="13"/>
  <c r="AP97" i="13"/>
  <c r="AP332" i="13"/>
  <c r="AP305" i="13"/>
  <c r="AP298" i="13"/>
  <c r="AP272" i="13"/>
  <c r="AP263" i="13"/>
  <c r="AP252" i="13"/>
  <c r="AP238" i="13"/>
  <c r="AP230" i="13"/>
  <c r="AP210" i="13"/>
  <c r="AP201" i="13"/>
  <c r="AP187" i="13"/>
  <c r="AP179" i="13"/>
  <c r="AP169" i="13"/>
  <c r="AP161" i="13"/>
  <c r="AP153" i="13"/>
  <c r="AP144" i="13"/>
  <c r="AP134" i="13"/>
  <c r="AP126" i="13"/>
  <c r="AP322" i="13"/>
  <c r="AP289" i="13"/>
  <c r="AP283" i="13"/>
  <c r="AP258" i="13"/>
  <c r="AP249" i="13"/>
  <c r="AP235" i="13"/>
  <c r="AP227" i="13"/>
  <c r="AP207" i="13"/>
  <c r="AP197" i="13"/>
  <c r="AP184" i="13"/>
  <c r="AP176" i="13"/>
  <c r="AP158" i="13"/>
  <c r="AP150" i="13"/>
  <c r="AP139" i="13"/>
  <c r="AP131" i="13"/>
  <c r="AP123" i="13"/>
  <c r="AP115" i="13"/>
  <c r="AP107" i="13"/>
  <c r="AP99" i="13"/>
  <c r="AP219" i="13"/>
  <c r="AP287" i="13"/>
  <c r="AP255" i="13"/>
  <c r="AP243" i="13"/>
  <c r="AP232" i="13"/>
  <c r="AP212" i="13"/>
  <c r="AP204" i="13"/>
  <c r="AP194" i="13"/>
  <c r="AP181" i="13"/>
  <c r="AP171" i="13"/>
  <c r="AP163" i="13"/>
  <c r="AP155" i="13"/>
  <c r="AP146" i="13"/>
  <c r="AP136" i="13"/>
  <c r="AP128" i="13"/>
  <c r="AP120" i="13"/>
  <c r="AP112" i="13"/>
  <c r="AP104" i="13"/>
  <c r="AP96" i="13"/>
  <c r="AP337" i="13"/>
  <c r="AP312" i="13"/>
  <c r="AP276" i="13"/>
  <c r="AP261" i="13"/>
  <c r="AP251" i="13"/>
  <c r="AP237" i="13"/>
  <c r="AP229" i="13"/>
  <c r="AP209" i="13"/>
  <c r="AP199" i="13"/>
  <c r="AP186" i="13"/>
  <c r="AP178" i="13"/>
  <c r="AP168" i="13"/>
  <c r="AP160" i="13"/>
  <c r="AP152" i="13"/>
  <c r="AP143" i="13"/>
  <c r="AP133" i="13"/>
  <c r="AP125" i="13"/>
  <c r="AP117" i="13"/>
  <c r="AP109" i="13"/>
  <c r="AP101" i="13"/>
  <c r="AP325" i="13"/>
  <c r="AP225" i="13"/>
  <c r="AP275" i="13"/>
  <c r="AP264" i="13"/>
  <c r="AP253" i="13"/>
  <c r="AP240" i="13"/>
  <c r="AP231" i="13"/>
  <c r="AP211" i="13"/>
  <c r="AP203" i="13"/>
  <c r="AP192" i="13"/>
  <c r="AP180" i="13"/>
  <c r="AP170" i="13"/>
  <c r="AP162" i="13"/>
  <c r="AP154" i="13"/>
  <c r="AP145" i="13"/>
  <c r="AP135" i="13"/>
  <c r="AP127" i="13"/>
  <c r="AP119" i="13"/>
  <c r="AP111" i="13"/>
  <c r="AP103" i="13"/>
  <c r="AP279" i="13"/>
  <c r="AP259" i="13"/>
  <c r="AP208" i="13"/>
  <c r="AP167" i="13"/>
  <c r="AP132" i="13"/>
  <c r="AP106" i="13"/>
  <c r="AP84" i="13"/>
  <c r="AP72" i="13"/>
  <c r="AP62" i="13"/>
  <c r="AP54" i="13"/>
  <c r="AP46" i="13"/>
  <c r="AP38" i="13"/>
  <c r="AP29" i="13"/>
  <c r="AP21" i="13"/>
  <c r="AP13" i="13"/>
  <c r="AP329" i="13"/>
  <c r="AP301" i="13"/>
  <c r="AP257" i="13"/>
  <c r="AP206" i="13"/>
  <c r="AP165" i="13"/>
  <c r="AP130" i="13"/>
  <c r="AP98" i="13"/>
  <c r="AP91" i="13"/>
  <c r="AP78" i="13"/>
  <c r="AP69" i="13"/>
  <c r="AP59" i="13"/>
  <c r="AP51" i="13"/>
  <c r="AP43" i="13"/>
  <c r="AP34" i="13"/>
  <c r="AP26" i="13"/>
  <c r="AP18" i="13"/>
  <c r="AP228" i="13"/>
  <c r="AP177" i="13"/>
  <c r="AP141" i="13"/>
  <c r="AP87" i="13"/>
  <c r="AP74" i="13"/>
  <c r="AP64" i="13"/>
  <c r="AP56" i="13"/>
  <c r="AP48" i="13"/>
  <c r="AP40" i="13"/>
  <c r="AP31" i="13"/>
  <c r="AP23" i="13"/>
  <c r="AP15" i="13"/>
  <c r="AP270" i="13"/>
  <c r="AP214" i="13"/>
  <c r="AP174" i="13"/>
  <c r="AP138" i="13"/>
  <c r="AP118" i="13"/>
  <c r="AP83" i="13"/>
  <c r="AP71" i="13"/>
  <c r="AP61" i="13"/>
  <c r="AP53" i="13"/>
  <c r="AP45" i="13"/>
  <c r="AP37" i="13"/>
  <c r="AP28" i="13"/>
  <c r="AP20" i="13"/>
  <c r="AP12" i="13"/>
  <c r="AP222" i="13"/>
  <c r="AP236" i="13"/>
  <c r="AP185" i="13"/>
  <c r="AP151" i="13"/>
  <c r="AP110" i="13"/>
  <c r="AP90" i="13"/>
  <c r="AP67" i="13"/>
  <c r="AP58" i="13"/>
  <c r="AP50" i="13"/>
  <c r="AP42" i="13"/>
  <c r="AP33" i="13"/>
  <c r="AP25" i="13"/>
  <c r="AP17" i="13"/>
  <c r="AP216" i="13"/>
  <c r="AP250" i="13"/>
  <c r="AP198" i="13"/>
  <c r="AP159" i="13"/>
  <c r="AP124" i="13"/>
  <c r="AP108" i="13"/>
  <c r="AP81" i="13"/>
  <c r="AP70" i="13"/>
  <c r="AP60" i="13"/>
  <c r="AP52" i="13"/>
  <c r="AP44" i="13"/>
  <c r="AP36" i="13"/>
  <c r="AP27" i="13"/>
  <c r="AP19" i="13"/>
  <c r="AP11" i="13"/>
  <c r="AP122" i="13"/>
  <c r="AP93" i="13"/>
  <c r="AP75" i="13"/>
  <c r="AP41" i="13"/>
  <c r="AP116" i="13"/>
  <c r="AP73" i="13"/>
  <c r="AP39" i="13"/>
  <c r="AP281" i="13"/>
  <c r="AP157" i="13"/>
  <c r="AP114" i="13"/>
  <c r="AP89" i="13"/>
  <c r="AP49" i="13"/>
  <c r="AP16" i="13"/>
  <c r="AP148" i="13"/>
  <c r="AP85" i="13"/>
  <c r="AP47" i="13"/>
  <c r="AP14" i="13"/>
  <c r="AP196" i="13"/>
  <c r="AP57" i="13"/>
  <c r="AP24" i="13"/>
  <c r="AP335" i="13"/>
  <c r="AP246" i="13"/>
  <c r="AP100" i="13"/>
  <c r="AP66" i="13"/>
  <c r="AP32" i="13"/>
  <c r="AP234" i="13"/>
  <c r="AP30" i="13"/>
  <c r="AP183" i="13"/>
  <c r="AP22" i="13"/>
  <c r="AP63" i="13"/>
  <c r="AP55" i="13"/>
  <c r="AP95" i="13"/>
  <c r="AP102" i="13"/>
  <c r="AH190" i="13"/>
  <c r="AH318" i="13"/>
  <c r="AH189" i="13"/>
  <c r="AH317" i="13"/>
  <c r="AH9" i="13"/>
  <c r="AH8" i="13"/>
  <c r="AH340" i="13"/>
  <c r="AH332" i="13"/>
  <c r="AH322" i="13"/>
  <c r="AH219" i="13"/>
  <c r="AH312" i="13"/>
  <c r="AH301" i="13"/>
  <c r="AH276" i="13"/>
  <c r="AH264" i="13"/>
  <c r="AH253" i="13"/>
  <c r="AH240" i="13"/>
  <c r="AH231" i="13"/>
  <c r="AH211" i="13"/>
  <c r="AH203" i="13"/>
  <c r="AH192" i="13"/>
  <c r="AH180" i="13"/>
  <c r="AH170" i="13"/>
  <c r="AH162" i="13"/>
  <c r="AH154" i="13"/>
  <c r="AH145" i="13"/>
  <c r="AH135" i="13"/>
  <c r="AH127" i="13"/>
  <c r="AH119" i="13"/>
  <c r="AH111" i="13"/>
  <c r="AH103" i="13"/>
  <c r="AH95" i="13"/>
  <c r="AH83" i="13"/>
  <c r="AH71" i="13"/>
  <c r="AH61" i="13"/>
  <c r="AH53" i="13"/>
  <c r="AH45" i="13"/>
  <c r="AH337" i="13"/>
  <c r="AH329" i="13"/>
  <c r="AH225" i="13"/>
  <c r="AH216" i="13"/>
  <c r="AH307" i="13"/>
  <c r="AH298" i="13"/>
  <c r="AH289" i="13"/>
  <c r="AH281" i="13"/>
  <c r="AH272" i="13"/>
  <c r="AH259" i="13"/>
  <c r="AH250" i="13"/>
  <c r="AH236" i="13"/>
  <c r="AH228" i="13"/>
  <c r="AH208" i="13"/>
  <c r="AH198" i="13"/>
  <c r="AH185" i="13"/>
  <c r="AH177" i="13"/>
  <c r="AH167" i="13"/>
  <c r="AH159" i="13"/>
  <c r="AH151" i="13"/>
  <c r="AH141" i="13"/>
  <c r="AH132" i="13"/>
  <c r="AH124" i="13"/>
  <c r="AH116" i="13"/>
  <c r="AH108" i="13"/>
  <c r="AH100" i="13"/>
  <c r="AH90" i="13"/>
  <c r="AH67" i="13"/>
  <c r="AH58" i="13"/>
  <c r="AH50" i="13"/>
  <c r="AH42" i="13"/>
  <c r="AH334" i="13"/>
  <c r="AH324" i="13"/>
  <c r="AH221" i="13"/>
  <c r="AH315" i="13"/>
  <c r="AH304" i="13"/>
  <c r="AH294" i="13"/>
  <c r="AH286" i="13"/>
  <c r="AH278" i="13"/>
  <c r="AH267" i="13"/>
  <c r="AH256" i="13"/>
  <c r="AH245" i="13"/>
  <c r="AH233" i="13"/>
  <c r="AH213" i="13"/>
  <c r="AH205" i="13"/>
  <c r="AH195" i="13"/>
  <c r="AH182" i="13"/>
  <c r="AH172" i="13"/>
  <c r="AH156" i="13"/>
  <c r="AH147" i="13"/>
  <c r="AH137" i="13"/>
  <c r="AH129" i="13"/>
  <c r="AH121" i="13"/>
  <c r="AH113" i="13"/>
  <c r="AH105" i="13"/>
  <c r="AH97" i="13"/>
  <c r="AH85" i="13"/>
  <c r="AH73" i="13"/>
  <c r="AH63" i="13"/>
  <c r="AH55" i="13"/>
  <c r="AH47" i="13"/>
  <c r="AH39" i="13"/>
  <c r="AH30" i="13"/>
  <c r="AH339" i="13"/>
  <c r="AH331" i="13"/>
  <c r="AH321" i="13"/>
  <c r="AH218" i="13"/>
  <c r="AH309" i="13"/>
  <c r="AH300" i="13"/>
  <c r="AH291" i="13"/>
  <c r="AH283" i="13"/>
  <c r="AH275" i="13"/>
  <c r="AH263" i="13"/>
  <c r="AH252" i="13"/>
  <c r="AH238" i="13"/>
  <c r="AH230" i="13"/>
  <c r="AH210" i="13"/>
  <c r="AH201" i="13"/>
  <c r="AH187" i="13"/>
  <c r="AH179" i="13"/>
  <c r="AH169" i="13"/>
  <c r="AH161" i="13"/>
  <c r="AH153" i="13"/>
  <c r="AH144" i="13"/>
  <c r="AH134" i="13"/>
  <c r="AH126" i="13"/>
  <c r="AH118" i="13"/>
  <c r="AH110" i="13"/>
  <c r="AH102" i="13"/>
  <c r="AH93" i="13"/>
  <c r="AH81" i="13"/>
  <c r="AH70" i="13"/>
  <c r="AH60" i="13"/>
  <c r="AH52" i="13"/>
  <c r="AH44" i="13"/>
  <c r="AH36" i="13"/>
  <c r="AH336" i="13"/>
  <c r="AH327" i="13"/>
  <c r="AH223" i="13"/>
  <c r="AH215" i="13"/>
  <c r="AH306" i="13"/>
  <c r="AH297" i="13"/>
  <c r="AH288" i="13"/>
  <c r="AH280" i="13"/>
  <c r="AH258" i="13"/>
  <c r="AH249" i="13"/>
  <c r="AH235" i="13"/>
  <c r="AH227" i="13"/>
  <c r="AH207" i="13"/>
  <c r="AH197" i="13"/>
  <c r="AH184" i="13"/>
  <c r="AH176" i="13"/>
  <c r="AH158" i="13"/>
  <c r="AH150" i="13"/>
  <c r="AH139" i="13"/>
  <c r="AH131" i="13"/>
  <c r="AH123" i="13"/>
  <c r="AH115" i="13"/>
  <c r="AH107" i="13"/>
  <c r="AH99" i="13"/>
  <c r="AH89" i="13"/>
  <c r="AH75" i="13"/>
  <c r="AH66" i="13"/>
  <c r="AH57" i="13"/>
  <c r="AH49" i="13"/>
  <c r="AH41" i="13"/>
  <c r="AH32" i="13"/>
  <c r="AH338" i="13"/>
  <c r="AH330" i="13"/>
  <c r="AH320" i="13"/>
  <c r="AH217" i="13"/>
  <c r="AH308" i="13"/>
  <c r="AH299" i="13"/>
  <c r="AH282" i="13"/>
  <c r="AH273" i="13"/>
  <c r="AH261" i="13"/>
  <c r="AH251" i="13"/>
  <c r="AH237" i="13"/>
  <c r="AH229" i="13"/>
  <c r="AH209" i="13"/>
  <c r="AH199" i="13"/>
  <c r="AH186" i="13"/>
  <c r="AH178" i="13"/>
  <c r="AH168" i="13"/>
  <c r="AH160" i="13"/>
  <c r="AH152" i="13"/>
  <c r="AH143" i="13"/>
  <c r="AH133" i="13"/>
  <c r="AH125" i="13"/>
  <c r="AH117" i="13"/>
  <c r="AH109" i="13"/>
  <c r="AH101" i="13"/>
  <c r="AH91" i="13"/>
  <c r="AH78" i="13"/>
  <c r="AH69" i="13"/>
  <c r="AH59" i="13"/>
  <c r="AH51" i="13"/>
  <c r="AH43" i="13"/>
  <c r="AH34" i="13"/>
  <c r="AH222" i="13"/>
  <c r="AH287" i="13"/>
  <c r="AH246" i="13"/>
  <c r="AH196" i="13"/>
  <c r="AH157" i="13"/>
  <c r="AH122" i="13"/>
  <c r="AH87" i="13"/>
  <c r="AH48" i="13"/>
  <c r="AH33" i="13"/>
  <c r="AH22" i="13"/>
  <c r="AH14" i="13"/>
  <c r="AH220" i="13"/>
  <c r="AH285" i="13"/>
  <c r="AH243" i="13"/>
  <c r="AH194" i="13"/>
  <c r="AH155" i="13"/>
  <c r="AH120" i="13"/>
  <c r="AH84" i="13"/>
  <c r="AH46" i="13"/>
  <c r="AH38" i="13"/>
  <c r="AH27" i="13"/>
  <c r="AH19" i="13"/>
  <c r="AH11" i="13"/>
  <c r="AH325" i="13"/>
  <c r="AH257" i="13"/>
  <c r="AH206" i="13"/>
  <c r="AH165" i="13"/>
  <c r="AH130" i="13"/>
  <c r="AH98" i="13"/>
  <c r="AH56" i="13"/>
  <c r="AH31" i="13"/>
  <c r="AH24" i="13"/>
  <c r="AH16" i="13"/>
  <c r="AH323" i="13"/>
  <c r="AH293" i="13"/>
  <c r="AH255" i="13"/>
  <c r="AH204" i="13"/>
  <c r="AH163" i="13"/>
  <c r="AH128" i="13"/>
  <c r="AH96" i="13"/>
  <c r="AH54" i="13"/>
  <c r="AH37" i="13"/>
  <c r="AH21" i="13"/>
  <c r="AH13" i="13"/>
  <c r="AH335" i="13"/>
  <c r="AH305" i="13"/>
  <c r="AH270" i="13"/>
  <c r="AH214" i="13"/>
  <c r="AH174" i="13"/>
  <c r="AH138" i="13"/>
  <c r="AH106" i="13"/>
  <c r="AH64" i="13"/>
  <c r="AH26" i="13"/>
  <c r="AH18" i="13"/>
  <c r="AH316" i="13"/>
  <c r="AH279" i="13"/>
  <c r="AH234" i="13"/>
  <c r="AH183" i="13"/>
  <c r="AH148" i="13"/>
  <c r="AH114" i="13"/>
  <c r="AH74" i="13"/>
  <c r="AH20" i="13"/>
  <c r="AH12" i="13"/>
  <c r="AH333" i="13"/>
  <c r="AH171" i="13"/>
  <c r="AH232" i="13"/>
  <c r="AH72" i="13"/>
  <c r="AH212" i="13"/>
  <c r="AH62" i="13"/>
  <c r="AH29" i="13"/>
  <c r="AH277" i="13"/>
  <c r="AH112" i="13"/>
  <c r="AH28" i="13"/>
  <c r="AH17" i="13"/>
  <c r="AH104" i="13"/>
  <c r="AH15" i="13"/>
  <c r="AH314" i="13"/>
  <c r="AH146" i="13"/>
  <c r="AH25" i="13"/>
  <c r="AH303" i="13"/>
  <c r="AH136" i="13"/>
  <c r="AH23" i="13"/>
  <c r="AH181" i="13"/>
  <c r="AH40" i="13"/>
  <c r="Z190" i="13"/>
  <c r="BE190" i="13" s="1"/>
  <c r="Z318" i="13"/>
  <c r="BE318" i="13" s="1"/>
  <c r="Z189" i="13"/>
  <c r="BE189" i="13" s="1"/>
  <c r="Z317" i="13"/>
  <c r="BE317" i="13" s="1"/>
  <c r="Z9" i="13"/>
  <c r="BE9" i="13" s="1"/>
  <c r="Z8" i="13"/>
  <c r="Z336" i="13"/>
  <c r="BE336" i="13" s="1"/>
  <c r="Z327" i="13"/>
  <c r="BE327" i="13" s="1"/>
  <c r="Z223" i="13"/>
  <c r="BE223" i="13" s="1"/>
  <c r="Z215" i="13"/>
  <c r="BE215" i="13" s="1"/>
  <c r="Z333" i="13"/>
  <c r="BE333" i="13" s="1"/>
  <c r="Z323" i="13"/>
  <c r="Z220" i="13"/>
  <c r="BE220" i="13" s="1"/>
  <c r="Z314" i="13"/>
  <c r="BE314" i="13" s="1"/>
  <c r="Z338" i="13"/>
  <c r="BE338" i="13" s="1"/>
  <c r="Z330" i="13"/>
  <c r="BE330" i="13" s="1"/>
  <c r="Z320" i="13"/>
  <c r="BE320" i="13" s="1"/>
  <c r="Z217" i="13"/>
  <c r="BE217" i="13" s="1"/>
  <c r="Z308" i="13"/>
  <c r="BE308" i="13" s="1"/>
  <c r="Z335" i="13"/>
  <c r="Z325" i="13"/>
  <c r="BE325" i="13" s="1"/>
  <c r="Z222" i="13"/>
  <c r="BE222" i="13" s="1"/>
  <c r="Z316" i="13"/>
  <c r="BE316" i="13" s="1"/>
  <c r="Z305" i="13"/>
  <c r="Z340" i="13"/>
  <c r="BE340" i="13" s="1"/>
  <c r="Z332" i="13"/>
  <c r="BE332" i="13" s="1"/>
  <c r="Z322" i="13"/>
  <c r="BE322" i="13" s="1"/>
  <c r="Z219" i="13"/>
  <c r="BE219" i="13" s="1"/>
  <c r="Z312" i="13"/>
  <c r="BE312" i="13" s="1"/>
  <c r="Z334" i="13"/>
  <c r="BE334" i="13" s="1"/>
  <c r="Z324" i="13"/>
  <c r="BE324" i="13" s="1"/>
  <c r="Z221" i="13"/>
  <c r="Z315" i="13"/>
  <c r="BE315" i="13" s="1"/>
  <c r="Z216" i="13"/>
  <c r="BE216" i="13" s="1"/>
  <c r="Z297" i="13"/>
  <c r="BE297" i="13" s="1"/>
  <c r="Z288" i="13"/>
  <c r="BE288" i="13" s="1"/>
  <c r="Z280" i="13"/>
  <c r="BE280" i="13" s="1"/>
  <c r="Z258" i="13"/>
  <c r="BE258" i="13" s="1"/>
  <c r="Z249" i="13"/>
  <c r="BE249" i="13" s="1"/>
  <c r="Z235" i="13"/>
  <c r="BE235" i="13" s="1"/>
  <c r="Z227" i="13"/>
  <c r="BE227" i="13" s="1"/>
  <c r="Z207" i="13"/>
  <c r="BE207" i="13" s="1"/>
  <c r="Z197" i="13"/>
  <c r="BE197" i="13" s="1"/>
  <c r="Z184" i="13"/>
  <c r="BE184" i="13" s="1"/>
  <c r="Z176" i="13"/>
  <c r="BE176" i="13" s="1"/>
  <c r="Z158" i="13"/>
  <c r="BE158" i="13" s="1"/>
  <c r="Z321" i="13"/>
  <c r="BE321" i="13" s="1"/>
  <c r="Z307" i="13"/>
  <c r="BE307" i="13" s="1"/>
  <c r="Z303" i="13"/>
  <c r="BE303" i="13" s="1"/>
  <c r="Z293" i="13"/>
  <c r="Z285" i="13"/>
  <c r="BE285" i="13" s="1"/>
  <c r="Z277" i="13"/>
  <c r="BE277" i="13" s="1"/>
  <c r="Z255" i="13"/>
  <c r="Z243" i="13"/>
  <c r="BE243" i="13" s="1"/>
  <c r="Z232" i="13"/>
  <c r="BE232" i="13" s="1"/>
  <c r="Z212" i="13"/>
  <c r="BE212" i="13" s="1"/>
  <c r="Z204" i="13"/>
  <c r="BE204" i="13" s="1"/>
  <c r="Z225" i="13"/>
  <c r="BE225" i="13" s="1"/>
  <c r="Z299" i="13"/>
  <c r="BE299" i="13" s="1"/>
  <c r="Z282" i="13"/>
  <c r="BE282" i="13" s="1"/>
  <c r="Z273" i="13"/>
  <c r="BE273" i="13" s="1"/>
  <c r="Z261" i="13"/>
  <c r="BE261" i="13" s="1"/>
  <c r="Z251" i="13"/>
  <c r="BE251" i="13" s="1"/>
  <c r="Z237" i="13"/>
  <c r="BE237" i="13" s="1"/>
  <c r="Z229" i="13"/>
  <c r="BE229" i="13" s="1"/>
  <c r="Z209" i="13"/>
  <c r="BE209" i="13" s="1"/>
  <c r="Z199" i="13"/>
  <c r="BE199" i="13" s="1"/>
  <c r="Z186" i="13"/>
  <c r="BE186" i="13" s="1"/>
  <c r="Z178" i="13"/>
  <c r="BE178" i="13" s="1"/>
  <c r="Z168" i="13"/>
  <c r="BE168" i="13" s="1"/>
  <c r="Z160" i="13"/>
  <c r="BE160" i="13" s="1"/>
  <c r="Z331" i="13"/>
  <c r="BE331" i="13" s="1"/>
  <c r="Z306" i="13"/>
  <c r="BE306" i="13" s="1"/>
  <c r="Z287" i="13"/>
  <c r="BE287" i="13" s="1"/>
  <c r="Z279" i="13"/>
  <c r="BE279" i="13" s="1"/>
  <c r="Z270" i="13"/>
  <c r="BE270" i="13" s="1"/>
  <c r="Z257" i="13"/>
  <c r="BE257" i="13" s="1"/>
  <c r="Z246" i="13"/>
  <c r="BE246" i="13" s="1"/>
  <c r="Z234" i="13"/>
  <c r="BE234" i="13" s="1"/>
  <c r="Z214" i="13"/>
  <c r="BE214" i="13" s="1"/>
  <c r="Z206" i="13"/>
  <c r="BE206" i="13" s="1"/>
  <c r="Z196" i="13"/>
  <c r="BE196" i="13" s="1"/>
  <c r="Z183" i="13"/>
  <c r="BE183" i="13" s="1"/>
  <c r="Z174" i="13"/>
  <c r="BE174" i="13" s="1"/>
  <c r="Z165" i="13"/>
  <c r="BE165" i="13" s="1"/>
  <c r="Z157" i="13"/>
  <c r="BE157" i="13" s="1"/>
  <c r="Z329" i="13"/>
  <c r="BE329" i="13" s="1"/>
  <c r="Z301" i="13"/>
  <c r="BE301" i="13" s="1"/>
  <c r="Z276" i="13"/>
  <c r="BE276" i="13" s="1"/>
  <c r="Z264" i="13"/>
  <c r="BE264" i="13" s="1"/>
  <c r="Z253" i="13"/>
  <c r="BE253" i="13" s="1"/>
  <c r="Z240" i="13"/>
  <c r="BE240" i="13" s="1"/>
  <c r="Z231" i="13"/>
  <c r="BE231" i="13" s="1"/>
  <c r="Z211" i="13"/>
  <c r="BE211" i="13" s="1"/>
  <c r="Z203" i="13"/>
  <c r="BE203" i="13" s="1"/>
  <c r="Z192" i="13"/>
  <c r="BE192" i="13" s="1"/>
  <c r="Z180" i="13"/>
  <c r="BE180" i="13" s="1"/>
  <c r="Z170" i="13"/>
  <c r="BE170" i="13" s="1"/>
  <c r="Z162" i="13"/>
  <c r="BE162" i="13" s="1"/>
  <c r="Z339" i="13"/>
  <c r="BE339" i="13" s="1"/>
  <c r="Z298" i="13"/>
  <c r="BE298" i="13" s="1"/>
  <c r="Z289" i="13"/>
  <c r="BE289" i="13" s="1"/>
  <c r="Z281" i="13"/>
  <c r="BE281" i="13" s="1"/>
  <c r="Z272" i="13"/>
  <c r="BE272" i="13" s="1"/>
  <c r="Z259" i="13"/>
  <c r="BE259" i="13" s="1"/>
  <c r="Z250" i="13"/>
  <c r="BE250" i="13" s="1"/>
  <c r="Z236" i="13"/>
  <c r="BE236" i="13" s="1"/>
  <c r="Z228" i="13"/>
  <c r="BE228" i="13" s="1"/>
  <c r="Z208" i="13"/>
  <c r="BE208" i="13" s="1"/>
  <c r="Z198" i="13"/>
  <c r="BE198" i="13" s="1"/>
  <c r="Z185" i="13"/>
  <c r="BE185" i="13" s="1"/>
  <c r="Z177" i="13"/>
  <c r="BE177" i="13" s="1"/>
  <c r="Z167" i="13"/>
  <c r="BE167" i="13" s="1"/>
  <c r="Z159" i="13"/>
  <c r="BE159" i="13" s="1"/>
  <c r="Z337" i="13"/>
  <c r="BE337" i="13" s="1"/>
  <c r="Z309" i="13"/>
  <c r="BE309" i="13" s="1"/>
  <c r="Z304" i="13"/>
  <c r="BE304" i="13" s="1"/>
  <c r="Z294" i="13"/>
  <c r="BE294" i="13" s="1"/>
  <c r="Z286" i="13"/>
  <c r="BE286" i="13" s="1"/>
  <c r="Z278" i="13"/>
  <c r="BE278" i="13" s="1"/>
  <c r="Z267" i="13"/>
  <c r="BE267" i="13" s="1"/>
  <c r="Z256" i="13"/>
  <c r="BE256" i="13" s="1"/>
  <c r="Z245" i="13"/>
  <c r="BE245" i="13" s="1"/>
  <c r="Z233" i="13"/>
  <c r="BE233" i="13" s="1"/>
  <c r="Z213" i="13"/>
  <c r="Z205" i="13"/>
  <c r="BE205" i="13" s="1"/>
  <c r="Z195" i="13"/>
  <c r="BE195" i="13" s="1"/>
  <c r="Z182" i="13"/>
  <c r="BE182" i="13" s="1"/>
  <c r="Z172" i="13"/>
  <c r="BE172" i="13" s="1"/>
  <c r="Z156" i="13"/>
  <c r="BE156" i="13" s="1"/>
  <c r="Z300" i="13"/>
  <c r="BE300" i="13" s="1"/>
  <c r="Z210" i="13"/>
  <c r="BE210" i="13" s="1"/>
  <c r="Z187" i="13"/>
  <c r="BE187" i="13" s="1"/>
  <c r="Z155" i="13"/>
  <c r="BE155" i="13" s="1"/>
  <c r="Z146" i="13"/>
  <c r="BE146" i="13" s="1"/>
  <c r="Z136" i="13"/>
  <c r="BE136" i="13" s="1"/>
  <c r="Z128" i="13"/>
  <c r="BE128" i="13" s="1"/>
  <c r="Z120" i="13"/>
  <c r="BE120" i="13" s="1"/>
  <c r="Z112" i="13"/>
  <c r="BE112" i="13" s="1"/>
  <c r="Z104" i="13"/>
  <c r="Z96" i="13"/>
  <c r="BE96" i="13" s="1"/>
  <c r="Z84" i="13"/>
  <c r="BE84" i="13" s="1"/>
  <c r="Z72" i="13"/>
  <c r="BE72" i="13" s="1"/>
  <c r="Z62" i="13"/>
  <c r="BE62" i="13" s="1"/>
  <c r="Z54" i="13"/>
  <c r="BE54" i="13" s="1"/>
  <c r="Z46" i="13"/>
  <c r="BE46" i="13" s="1"/>
  <c r="Z38" i="13"/>
  <c r="BE38" i="13" s="1"/>
  <c r="Z29" i="13"/>
  <c r="Z21" i="13"/>
  <c r="BE21" i="13" s="1"/>
  <c r="Z13" i="13"/>
  <c r="BE13" i="13" s="1"/>
  <c r="Z275" i="13"/>
  <c r="BE275" i="13" s="1"/>
  <c r="Z163" i="13"/>
  <c r="BE163" i="13" s="1"/>
  <c r="Z152" i="13"/>
  <c r="BE152" i="13" s="1"/>
  <c r="Z143" i="13"/>
  <c r="BE143" i="13" s="1"/>
  <c r="Z133" i="13"/>
  <c r="BE133" i="13" s="1"/>
  <c r="Z125" i="13"/>
  <c r="BE125" i="13" s="1"/>
  <c r="Z117" i="13"/>
  <c r="BE117" i="13" s="1"/>
  <c r="Z109" i="13"/>
  <c r="BE109" i="13" s="1"/>
  <c r="Z101" i="13"/>
  <c r="BE101" i="13" s="1"/>
  <c r="Z91" i="13"/>
  <c r="BE91" i="13" s="1"/>
  <c r="Z78" i="13"/>
  <c r="BE78" i="13" s="1"/>
  <c r="Z69" i="13"/>
  <c r="BE69" i="13" s="1"/>
  <c r="Z59" i="13"/>
  <c r="BE59" i="13" s="1"/>
  <c r="Z51" i="13"/>
  <c r="BE51" i="13" s="1"/>
  <c r="Z43" i="13"/>
  <c r="BE43" i="13" s="1"/>
  <c r="Z34" i="13"/>
  <c r="BE34" i="13" s="1"/>
  <c r="Z26" i="13"/>
  <c r="BE26" i="13" s="1"/>
  <c r="Z18" i="13"/>
  <c r="BE18" i="13" s="1"/>
  <c r="Z238" i="13"/>
  <c r="BE238" i="13" s="1"/>
  <c r="Z161" i="13"/>
  <c r="BE161" i="13" s="1"/>
  <c r="Z148" i="13"/>
  <c r="BE148" i="13" s="1"/>
  <c r="Z138" i="13"/>
  <c r="BE138" i="13" s="1"/>
  <c r="Z130" i="13"/>
  <c r="BE130" i="13" s="1"/>
  <c r="Z122" i="13"/>
  <c r="BE122" i="13" s="1"/>
  <c r="Z114" i="13"/>
  <c r="BE114" i="13" s="1"/>
  <c r="Z106" i="13"/>
  <c r="BE106" i="13" s="1"/>
  <c r="Z98" i="13"/>
  <c r="BE98" i="13" s="1"/>
  <c r="Z87" i="13"/>
  <c r="BE87" i="13" s="1"/>
  <c r="Z74" i="13"/>
  <c r="BE74" i="13" s="1"/>
  <c r="Z64" i="13"/>
  <c r="BE64" i="13" s="1"/>
  <c r="Z56" i="13"/>
  <c r="BE56" i="13" s="1"/>
  <c r="Z48" i="13"/>
  <c r="BE48" i="13" s="1"/>
  <c r="Z40" i="13"/>
  <c r="BE40" i="13" s="1"/>
  <c r="Z31" i="13"/>
  <c r="BE31" i="13" s="1"/>
  <c r="Z23" i="13"/>
  <c r="BE23" i="13" s="1"/>
  <c r="Z15" i="13"/>
  <c r="BE15" i="13" s="1"/>
  <c r="Z291" i="13"/>
  <c r="BE291" i="13" s="1"/>
  <c r="Z201" i="13"/>
  <c r="BE201" i="13" s="1"/>
  <c r="Z171" i="13"/>
  <c r="BE171" i="13" s="1"/>
  <c r="Z154" i="13"/>
  <c r="BE154" i="13" s="1"/>
  <c r="Z145" i="13"/>
  <c r="BE145" i="13" s="1"/>
  <c r="Z135" i="13"/>
  <c r="BE135" i="13" s="1"/>
  <c r="Z127" i="13"/>
  <c r="BE127" i="13" s="1"/>
  <c r="Z119" i="13"/>
  <c r="BE119" i="13" s="1"/>
  <c r="Z111" i="13"/>
  <c r="BE111" i="13" s="1"/>
  <c r="Z103" i="13"/>
  <c r="Z95" i="13"/>
  <c r="BE95" i="13" s="1"/>
  <c r="Z83" i="13"/>
  <c r="BE83" i="13" s="1"/>
  <c r="Z71" i="13"/>
  <c r="BE71" i="13" s="1"/>
  <c r="Z61" i="13"/>
  <c r="BE61" i="13" s="1"/>
  <c r="Z53" i="13"/>
  <c r="BE53" i="13" s="1"/>
  <c r="Z45" i="13"/>
  <c r="BE45" i="13" s="1"/>
  <c r="Z37" i="13"/>
  <c r="BE37" i="13" s="1"/>
  <c r="Z28" i="13"/>
  <c r="Z20" i="13"/>
  <c r="BE20" i="13" s="1"/>
  <c r="Z12" i="13"/>
  <c r="BE12" i="13" s="1"/>
  <c r="Z263" i="13"/>
  <c r="BE263" i="13" s="1"/>
  <c r="Z169" i="13"/>
  <c r="BE169" i="13" s="1"/>
  <c r="Z151" i="13"/>
  <c r="BE151" i="13" s="1"/>
  <c r="Z141" i="13"/>
  <c r="BE141" i="13" s="1"/>
  <c r="Z132" i="13"/>
  <c r="BE132" i="13" s="1"/>
  <c r="Z124" i="13"/>
  <c r="BE124" i="13" s="1"/>
  <c r="Z116" i="13"/>
  <c r="BE116" i="13" s="1"/>
  <c r="Z108" i="13"/>
  <c r="BE108" i="13" s="1"/>
  <c r="Z100" i="13"/>
  <c r="BE100" i="13" s="1"/>
  <c r="Z90" i="13"/>
  <c r="BE90" i="13" s="1"/>
  <c r="Z67" i="13"/>
  <c r="BE67" i="13" s="1"/>
  <c r="Z58" i="13"/>
  <c r="BE58" i="13" s="1"/>
  <c r="Z50" i="13"/>
  <c r="BE50" i="13" s="1"/>
  <c r="Z42" i="13"/>
  <c r="BE42" i="13" s="1"/>
  <c r="Z33" i="13"/>
  <c r="BE33" i="13" s="1"/>
  <c r="Z25" i="13"/>
  <c r="BE25" i="13" s="1"/>
  <c r="Z17" i="13"/>
  <c r="BE17" i="13" s="1"/>
  <c r="Z218" i="13"/>
  <c r="BE218" i="13" s="1"/>
  <c r="Z230" i="13"/>
  <c r="BE230" i="13" s="1"/>
  <c r="Z181" i="13"/>
  <c r="BE181" i="13" s="1"/>
  <c r="Z147" i="13"/>
  <c r="Z137" i="13"/>
  <c r="BE137" i="13" s="1"/>
  <c r="Z129" i="13"/>
  <c r="BE129" i="13" s="1"/>
  <c r="Z121" i="13"/>
  <c r="BE121" i="13" s="1"/>
  <c r="Z113" i="13"/>
  <c r="BE113" i="13" s="1"/>
  <c r="Z105" i="13"/>
  <c r="BE105" i="13" s="1"/>
  <c r="Z97" i="13"/>
  <c r="BE97" i="13" s="1"/>
  <c r="Z85" i="13"/>
  <c r="BE85" i="13" s="1"/>
  <c r="Z73" i="13"/>
  <c r="Z63" i="13"/>
  <c r="BE63" i="13" s="1"/>
  <c r="Z55" i="13"/>
  <c r="BE55" i="13" s="1"/>
  <c r="Z47" i="13"/>
  <c r="BE47" i="13" s="1"/>
  <c r="Z39" i="13"/>
  <c r="BE39" i="13" s="1"/>
  <c r="Z30" i="13"/>
  <c r="BE30" i="13" s="1"/>
  <c r="Z22" i="13"/>
  <c r="BE22" i="13" s="1"/>
  <c r="Z14" i="13"/>
  <c r="BE14" i="13" s="1"/>
  <c r="Z283" i="13"/>
  <c r="BE283" i="13" s="1"/>
  <c r="Z179" i="13"/>
  <c r="BE179" i="13" s="1"/>
  <c r="Z153" i="13"/>
  <c r="BE153" i="13" s="1"/>
  <c r="Z144" i="13"/>
  <c r="BE144" i="13" s="1"/>
  <c r="Z134" i="13"/>
  <c r="BE134" i="13" s="1"/>
  <c r="Z126" i="13"/>
  <c r="BE126" i="13" s="1"/>
  <c r="Z118" i="13"/>
  <c r="BE118" i="13" s="1"/>
  <c r="Z110" i="13"/>
  <c r="BE110" i="13" s="1"/>
  <c r="Z102" i="13"/>
  <c r="BE102" i="13" s="1"/>
  <c r="Z93" i="13"/>
  <c r="BE93" i="13" s="1"/>
  <c r="Z81" i="13"/>
  <c r="BE81" i="13" s="1"/>
  <c r="Z70" i="13"/>
  <c r="BE70" i="13" s="1"/>
  <c r="Z60" i="13"/>
  <c r="BE60" i="13" s="1"/>
  <c r="Z52" i="13"/>
  <c r="BE52" i="13" s="1"/>
  <c r="Z44" i="13"/>
  <c r="BE44" i="13" s="1"/>
  <c r="Z36" i="13"/>
  <c r="BE36" i="13" s="1"/>
  <c r="Z27" i="13"/>
  <c r="BE27" i="13" s="1"/>
  <c r="Z19" i="13"/>
  <c r="BE19" i="13" s="1"/>
  <c r="Z11" i="13"/>
  <c r="BE11" i="13" s="1"/>
  <c r="Z252" i="13"/>
  <c r="BE252" i="13" s="1"/>
  <c r="Z194" i="13"/>
  <c r="BE194" i="13" s="1"/>
  <c r="Z150" i="13"/>
  <c r="BE150" i="13" s="1"/>
  <c r="Z139" i="13"/>
  <c r="BE139" i="13" s="1"/>
  <c r="Z131" i="13"/>
  <c r="BE131" i="13" s="1"/>
  <c r="Z123" i="13"/>
  <c r="BE123" i="13" s="1"/>
  <c r="Z115" i="13"/>
  <c r="BE115" i="13" s="1"/>
  <c r="Z107" i="13"/>
  <c r="BE107" i="13" s="1"/>
  <c r="Z99" i="13"/>
  <c r="BE99" i="13" s="1"/>
  <c r="Z89" i="13"/>
  <c r="BE89" i="13" s="1"/>
  <c r="Z75" i="13"/>
  <c r="BE75" i="13" s="1"/>
  <c r="Z66" i="13"/>
  <c r="BE66" i="13" s="1"/>
  <c r="Z57" i="13"/>
  <c r="BE57" i="13" s="1"/>
  <c r="Z49" i="13"/>
  <c r="BE49" i="13" s="1"/>
  <c r="Z41" i="13"/>
  <c r="BE41" i="13" s="1"/>
  <c r="Z32" i="13"/>
  <c r="BE32" i="13" s="1"/>
  <c r="Z24" i="13"/>
  <c r="BE24" i="13" s="1"/>
  <c r="Z16" i="13"/>
  <c r="BE16" i="13" s="1"/>
  <c r="R190" i="13"/>
  <c r="R318" i="13"/>
  <c r="R189" i="13"/>
  <c r="R317" i="13"/>
  <c r="R9" i="13"/>
  <c r="R8" i="13"/>
  <c r="R337" i="13"/>
  <c r="R329" i="13"/>
  <c r="R225" i="13"/>
  <c r="R216" i="13"/>
  <c r="R307" i="13"/>
  <c r="R298" i="13"/>
  <c r="R289" i="13"/>
  <c r="R281" i="13"/>
  <c r="R272" i="13"/>
  <c r="R259" i="13"/>
  <c r="R250" i="13"/>
  <c r="R236" i="13"/>
  <c r="R228" i="13"/>
  <c r="R208" i="13"/>
  <c r="R198" i="13"/>
  <c r="R185" i="13"/>
  <c r="R339" i="13"/>
  <c r="R331" i="13"/>
  <c r="R321" i="13"/>
  <c r="R218" i="13"/>
  <c r="R309" i="13"/>
  <c r="R300" i="13"/>
  <c r="R291" i="13"/>
  <c r="R283" i="13"/>
  <c r="R275" i="13"/>
  <c r="R263" i="13"/>
  <c r="R252" i="13"/>
  <c r="R238" i="13"/>
  <c r="R230" i="13"/>
  <c r="R210" i="13"/>
  <c r="R201" i="13"/>
  <c r="R187" i="13"/>
  <c r="R336" i="13"/>
  <c r="R327" i="13"/>
  <c r="R223" i="13"/>
  <c r="R215" i="13"/>
  <c r="R306" i="13"/>
  <c r="R297" i="13"/>
  <c r="R288" i="13"/>
  <c r="R280" i="13"/>
  <c r="R258" i="13"/>
  <c r="R249" i="13"/>
  <c r="R235" i="13"/>
  <c r="R227" i="13"/>
  <c r="R207" i="13"/>
  <c r="R197" i="13"/>
  <c r="R184" i="13"/>
  <c r="R333" i="13"/>
  <c r="R323" i="13"/>
  <c r="R220" i="13"/>
  <c r="R314" i="13"/>
  <c r="R303" i="13"/>
  <c r="R293" i="13"/>
  <c r="R285" i="13"/>
  <c r="R277" i="13"/>
  <c r="R255" i="13"/>
  <c r="R243" i="13"/>
  <c r="R232" i="13"/>
  <c r="R212" i="13"/>
  <c r="R204" i="13"/>
  <c r="R194" i="13"/>
  <c r="R181" i="13"/>
  <c r="BA181" i="13" s="1"/>
  <c r="R335" i="13"/>
  <c r="R325" i="13"/>
  <c r="R222" i="13"/>
  <c r="R316" i="13"/>
  <c r="R305" i="13"/>
  <c r="R287" i="13"/>
  <c r="R279" i="13"/>
  <c r="R270" i="13"/>
  <c r="R257" i="13"/>
  <c r="R246" i="13"/>
  <c r="R234" i="13"/>
  <c r="R214" i="13"/>
  <c r="R206" i="13"/>
  <c r="R196" i="13"/>
  <c r="R183" i="13"/>
  <c r="R340" i="13"/>
  <c r="R332" i="13"/>
  <c r="R322" i="13"/>
  <c r="R219" i="13"/>
  <c r="R312" i="13"/>
  <c r="R301" i="13"/>
  <c r="R276" i="13"/>
  <c r="R264" i="13"/>
  <c r="R253" i="13"/>
  <c r="R240" i="13"/>
  <c r="R231" i="13"/>
  <c r="R211" i="13"/>
  <c r="R203" i="13"/>
  <c r="R320" i="13"/>
  <c r="R251" i="13"/>
  <c r="R199" i="13"/>
  <c r="R174" i="13"/>
  <c r="R165" i="13"/>
  <c r="R157" i="13"/>
  <c r="R148" i="13"/>
  <c r="R138" i="13"/>
  <c r="R130" i="13"/>
  <c r="R122" i="13"/>
  <c r="R114" i="13"/>
  <c r="R106" i="13"/>
  <c r="R98" i="13"/>
  <c r="R87" i="13"/>
  <c r="R74" i="13"/>
  <c r="R64" i="13"/>
  <c r="R56" i="13"/>
  <c r="R48" i="13"/>
  <c r="R40" i="13"/>
  <c r="R31" i="13"/>
  <c r="R23" i="13"/>
  <c r="R15" i="13"/>
  <c r="R315" i="13"/>
  <c r="R278" i="13"/>
  <c r="R233" i="13"/>
  <c r="R186" i="13"/>
  <c r="R180" i="13"/>
  <c r="R170" i="13"/>
  <c r="R162" i="13"/>
  <c r="R154" i="13"/>
  <c r="R145" i="13"/>
  <c r="R135" i="13"/>
  <c r="R127" i="13"/>
  <c r="R119" i="13"/>
  <c r="R111" i="13"/>
  <c r="R103" i="13"/>
  <c r="R95" i="13"/>
  <c r="R83" i="13"/>
  <c r="R71" i="13"/>
  <c r="R61" i="13"/>
  <c r="R53" i="13"/>
  <c r="R45" i="13"/>
  <c r="R37" i="13"/>
  <c r="R28" i="13"/>
  <c r="R20" i="13"/>
  <c r="R12" i="13"/>
  <c r="R330" i="13"/>
  <c r="R299" i="13"/>
  <c r="R261" i="13"/>
  <c r="R209" i="13"/>
  <c r="R177" i="13"/>
  <c r="R167" i="13"/>
  <c r="R159" i="13"/>
  <c r="R151" i="13"/>
  <c r="R141" i="13"/>
  <c r="R132" i="13"/>
  <c r="R124" i="13"/>
  <c r="R116" i="13"/>
  <c r="R108" i="13"/>
  <c r="R100" i="13"/>
  <c r="R90" i="13"/>
  <c r="R67" i="13"/>
  <c r="R58" i="13"/>
  <c r="R50" i="13"/>
  <c r="R42" i="13"/>
  <c r="R33" i="13"/>
  <c r="R25" i="13"/>
  <c r="R17" i="13"/>
  <c r="R221" i="13"/>
  <c r="R286" i="13"/>
  <c r="R245" i="13"/>
  <c r="R172" i="13"/>
  <c r="R156" i="13"/>
  <c r="R147" i="13"/>
  <c r="R137" i="13"/>
  <c r="R129" i="13"/>
  <c r="R121" i="13"/>
  <c r="R113" i="13"/>
  <c r="R105" i="13"/>
  <c r="R97" i="13"/>
  <c r="R85" i="13"/>
  <c r="R73" i="13"/>
  <c r="R63" i="13"/>
  <c r="R55" i="13"/>
  <c r="R47" i="13"/>
  <c r="R39" i="13"/>
  <c r="R30" i="13"/>
  <c r="R22" i="13"/>
  <c r="R14" i="13"/>
  <c r="R338" i="13"/>
  <c r="R308" i="13"/>
  <c r="R273" i="13"/>
  <c r="R229" i="13"/>
  <c r="R179" i="13"/>
  <c r="R169" i="13"/>
  <c r="R161" i="13"/>
  <c r="R153" i="13"/>
  <c r="R144" i="13"/>
  <c r="R134" i="13"/>
  <c r="R126" i="13"/>
  <c r="R118" i="13"/>
  <c r="R110" i="13"/>
  <c r="R102" i="13"/>
  <c r="R93" i="13"/>
  <c r="R81" i="13"/>
  <c r="R70" i="13"/>
  <c r="R60" i="13"/>
  <c r="R52" i="13"/>
  <c r="R44" i="13"/>
  <c r="R36" i="13"/>
  <c r="R27" i="13"/>
  <c r="R19" i="13"/>
  <c r="R11" i="13"/>
  <c r="R324" i="13"/>
  <c r="R294" i="13"/>
  <c r="R256" i="13"/>
  <c r="R205" i="13"/>
  <c r="R195" i="13"/>
  <c r="R176" i="13"/>
  <c r="R158" i="13"/>
  <c r="R150" i="13"/>
  <c r="R139" i="13"/>
  <c r="R131" i="13"/>
  <c r="R123" i="13"/>
  <c r="R115" i="13"/>
  <c r="R107" i="13"/>
  <c r="R99" i="13"/>
  <c r="R89" i="13"/>
  <c r="R75" i="13"/>
  <c r="R66" i="13"/>
  <c r="R57" i="13"/>
  <c r="R49" i="13"/>
  <c r="R41" i="13"/>
  <c r="R32" i="13"/>
  <c r="R24" i="13"/>
  <c r="R16" i="13"/>
  <c r="R217" i="13"/>
  <c r="R282" i="13"/>
  <c r="R237" i="13"/>
  <c r="R182" i="13"/>
  <c r="R171" i="13"/>
  <c r="R163" i="13"/>
  <c r="R155" i="13"/>
  <c r="R146" i="13"/>
  <c r="R136" i="13"/>
  <c r="R128" i="13"/>
  <c r="R120" i="13"/>
  <c r="R112" i="13"/>
  <c r="R104" i="13"/>
  <c r="R96" i="13"/>
  <c r="R84" i="13"/>
  <c r="R72" i="13"/>
  <c r="R62" i="13"/>
  <c r="R54" i="13"/>
  <c r="BA54" i="13" s="1"/>
  <c r="R46" i="13"/>
  <c r="R38" i="13"/>
  <c r="R29" i="13"/>
  <c r="R21" i="13"/>
  <c r="R13" i="13"/>
  <c r="R125" i="13"/>
  <c r="R51" i="13"/>
  <c r="R334" i="13"/>
  <c r="R168" i="13"/>
  <c r="R101" i="13"/>
  <c r="R26" i="13"/>
  <c r="R213" i="13"/>
  <c r="R143" i="13"/>
  <c r="R69" i="13"/>
  <c r="R117" i="13"/>
  <c r="R43" i="13"/>
  <c r="R304" i="13"/>
  <c r="R192" i="13"/>
  <c r="R160" i="13"/>
  <c r="R91" i="13"/>
  <c r="R18" i="13"/>
  <c r="R178" i="13"/>
  <c r="R109" i="13"/>
  <c r="R34" i="13"/>
  <c r="J190" i="13"/>
  <c r="J318" i="13"/>
  <c r="J189" i="13"/>
  <c r="J317" i="13"/>
  <c r="J9" i="13"/>
  <c r="J8" i="13"/>
  <c r="J338" i="13"/>
  <c r="J330" i="13"/>
  <c r="J320" i="13"/>
  <c r="J217" i="13"/>
  <c r="J308" i="13"/>
  <c r="J299" i="13"/>
  <c r="J337" i="13"/>
  <c r="J329" i="13"/>
  <c r="J225" i="13"/>
  <c r="J216" i="13"/>
  <c r="J307" i="13"/>
  <c r="J334" i="13"/>
  <c r="J324" i="13"/>
  <c r="J221" i="13"/>
  <c r="J315" i="13"/>
  <c r="J304" i="13"/>
  <c r="J336" i="13"/>
  <c r="J327" i="13"/>
  <c r="J223" i="13"/>
  <c r="J215" i="13"/>
  <c r="J306" i="13"/>
  <c r="J15" i="13"/>
  <c r="I18" i="13"/>
  <c r="J23" i="13"/>
  <c r="I26" i="13"/>
  <c r="J31" i="13"/>
  <c r="I34" i="13"/>
  <c r="J40" i="13"/>
  <c r="I43" i="13"/>
  <c r="J48" i="13"/>
  <c r="I51" i="13"/>
  <c r="J56" i="13"/>
  <c r="I59" i="13"/>
  <c r="J64" i="13"/>
  <c r="I69" i="13"/>
  <c r="J74" i="13"/>
  <c r="I78" i="13"/>
  <c r="J87" i="13"/>
  <c r="I91" i="13"/>
  <c r="J98" i="13"/>
  <c r="I101" i="13"/>
  <c r="J106" i="13"/>
  <c r="I109" i="13"/>
  <c r="J114" i="13"/>
  <c r="I117" i="13"/>
  <c r="J122" i="13"/>
  <c r="I125" i="13"/>
  <c r="J130" i="13"/>
  <c r="I133" i="13"/>
  <c r="J138" i="13"/>
  <c r="I143" i="13"/>
  <c r="J148" i="13"/>
  <c r="I152" i="13"/>
  <c r="J157" i="13"/>
  <c r="I160" i="13"/>
  <c r="J165" i="13"/>
  <c r="I168" i="13"/>
  <c r="J174" i="13"/>
  <c r="I178" i="13"/>
  <c r="J183" i="13"/>
  <c r="I186" i="13"/>
  <c r="J196" i="13"/>
  <c r="I199" i="13"/>
  <c r="J206" i="13"/>
  <c r="I209" i="13"/>
  <c r="J214" i="13"/>
  <c r="I229" i="13"/>
  <c r="J234" i="13"/>
  <c r="I237" i="13"/>
  <c r="J246" i="13"/>
  <c r="I251" i="13"/>
  <c r="J257" i="13"/>
  <c r="I261" i="13"/>
  <c r="J270" i="13"/>
  <c r="I273" i="13"/>
  <c r="J279" i="13"/>
  <c r="I282" i="13"/>
  <c r="J287" i="13"/>
  <c r="I306" i="13"/>
  <c r="J314" i="13"/>
  <c r="I223" i="13"/>
  <c r="J323" i="13"/>
  <c r="M11" i="13"/>
  <c r="L22" i="13"/>
  <c r="M27" i="13"/>
  <c r="L39" i="13"/>
  <c r="M44" i="13"/>
  <c r="L55" i="13"/>
  <c r="M60" i="13"/>
  <c r="L73" i="13"/>
  <c r="M81" i="13"/>
  <c r="L97" i="13"/>
  <c r="M102" i="13"/>
  <c r="L113" i="13"/>
  <c r="M118" i="13"/>
  <c r="L129" i="13"/>
  <c r="M134" i="13"/>
  <c r="L147" i="13"/>
  <c r="M153" i="13"/>
  <c r="M169" i="13"/>
  <c r="L182" i="13"/>
  <c r="M187" i="13"/>
  <c r="L205" i="13"/>
  <c r="L211" i="13"/>
  <c r="M230" i="13"/>
  <c r="M250" i="13"/>
  <c r="L286" i="13"/>
  <c r="M293" i="13"/>
  <c r="L301" i="13"/>
  <c r="M309" i="13"/>
  <c r="M225" i="13"/>
  <c r="L336" i="13"/>
  <c r="P27" i="13"/>
  <c r="P42" i="13"/>
  <c r="P56" i="13"/>
  <c r="P132" i="13"/>
  <c r="R267" i="13"/>
  <c r="AO190" i="13"/>
  <c r="BK190" i="13" s="1"/>
  <c r="AO318" i="13"/>
  <c r="AO189" i="13"/>
  <c r="BK189" i="13" s="1"/>
  <c r="AO317" i="13"/>
  <c r="BK317" i="13" s="1"/>
  <c r="AO9" i="13"/>
  <c r="BK9" i="13" s="1"/>
  <c r="AO8" i="13"/>
  <c r="AO337" i="13"/>
  <c r="BK337" i="13" s="1"/>
  <c r="AO329" i="13"/>
  <c r="BK329" i="13" s="1"/>
  <c r="AO225" i="13"/>
  <c r="BK225" i="13" s="1"/>
  <c r="AO216" i="13"/>
  <c r="BK216" i="13" s="1"/>
  <c r="AO307" i="13"/>
  <c r="BK307" i="13" s="1"/>
  <c r="AO298" i="13"/>
  <c r="BK298" i="13" s="1"/>
  <c r="AO289" i="13"/>
  <c r="BK289" i="13" s="1"/>
  <c r="AO281" i="13"/>
  <c r="AO272" i="13"/>
  <c r="BK272" i="13" s="1"/>
  <c r="AO334" i="13"/>
  <c r="BK334" i="13" s="1"/>
  <c r="AO324" i="13"/>
  <c r="BK324" i="13" s="1"/>
  <c r="AO221" i="13"/>
  <c r="BK221" i="13" s="1"/>
  <c r="AO315" i="13"/>
  <c r="BK315" i="13" s="1"/>
  <c r="AO304" i="13"/>
  <c r="BK304" i="13" s="1"/>
  <c r="AO294" i="13"/>
  <c r="BK294" i="13" s="1"/>
  <c r="AO339" i="13"/>
  <c r="AO331" i="13"/>
  <c r="BK331" i="13" s="1"/>
  <c r="AO321" i="13"/>
  <c r="BK321" i="13" s="1"/>
  <c r="AO218" i="13"/>
  <c r="BK218" i="13" s="1"/>
  <c r="AO309" i="13"/>
  <c r="BK309" i="13" s="1"/>
  <c r="AO300" i="13"/>
  <c r="BK300" i="13" s="1"/>
  <c r="AO291" i="13"/>
  <c r="BK291" i="13" s="1"/>
  <c r="AO283" i="13"/>
  <c r="BK283" i="13" s="1"/>
  <c r="AO275" i="13"/>
  <c r="BK275" i="13" s="1"/>
  <c r="AO336" i="13"/>
  <c r="BK336" i="13" s="1"/>
  <c r="AO327" i="13"/>
  <c r="BK327" i="13" s="1"/>
  <c r="AO223" i="13"/>
  <c r="BK223" i="13" s="1"/>
  <c r="AO215" i="13"/>
  <c r="BK215" i="13" s="1"/>
  <c r="AO306" i="13"/>
  <c r="BK306" i="13" s="1"/>
  <c r="AO297" i="13"/>
  <c r="BK297" i="13" s="1"/>
  <c r="AO288" i="13"/>
  <c r="BK288" i="13" s="1"/>
  <c r="AO280" i="13"/>
  <c r="AO333" i="13"/>
  <c r="BK333" i="13" s="1"/>
  <c r="AO323" i="13"/>
  <c r="BK323" i="13" s="1"/>
  <c r="AO220" i="13"/>
  <c r="BK220" i="13" s="1"/>
  <c r="AO314" i="13"/>
  <c r="AO303" i="13"/>
  <c r="BK303" i="13" s="1"/>
  <c r="AO293" i="13"/>
  <c r="BK293" i="13" s="1"/>
  <c r="AO285" i="13"/>
  <c r="BK285" i="13" s="1"/>
  <c r="AO277" i="13"/>
  <c r="AO222" i="13"/>
  <c r="BK222" i="13" s="1"/>
  <c r="AO279" i="13"/>
  <c r="BK279" i="13" s="1"/>
  <c r="AO259" i="13"/>
  <c r="BK259" i="13" s="1"/>
  <c r="AO250" i="13"/>
  <c r="BK250" i="13" s="1"/>
  <c r="AO236" i="13"/>
  <c r="BK236" i="13" s="1"/>
  <c r="AO228" i="13"/>
  <c r="BK228" i="13" s="1"/>
  <c r="AO208" i="13"/>
  <c r="BK208" i="13" s="1"/>
  <c r="AO198" i="13"/>
  <c r="BK198" i="13" s="1"/>
  <c r="AO185" i="13"/>
  <c r="BK185" i="13" s="1"/>
  <c r="AO177" i="13"/>
  <c r="BK177" i="13" s="1"/>
  <c r="AO167" i="13"/>
  <c r="AO159" i="13"/>
  <c r="BK159" i="13" s="1"/>
  <c r="AO151" i="13"/>
  <c r="BK151" i="13" s="1"/>
  <c r="AO141" i="13"/>
  <c r="BK141" i="13" s="1"/>
  <c r="AO132" i="13"/>
  <c r="AO124" i="13"/>
  <c r="AO116" i="13"/>
  <c r="BK116" i="13" s="1"/>
  <c r="AO108" i="13"/>
  <c r="BK108" i="13" s="1"/>
  <c r="AO100" i="13"/>
  <c r="AO340" i="13"/>
  <c r="BK340" i="13" s="1"/>
  <c r="AO316" i="13"/>
  <c r="BK316" i="13" s="1"/>
  <c r="AO267" i="13"/>
  <c r="BK267" i="13" s="1"/>
  <c r="AO256" i="13"/>
  <c r="BK256" i="13" s="1"/>
  <c r="AO245" i="13"/>
  <c r="BK245" i="13" s="1"/>
  <c r="AO233" i="13"/>
  <c r="BK233" i="13" s="1"/>
  <c r="AO213" i="13"/>
  <c r="BK213" i="13" s="1"/>
  <c r="AO205" i="13"/>
  <c r="BK205" i="13" s="1"/>
  <c r="AO195" i="13"/>
  <c r="BK195" i="13" s="1"/>
  <c r="AO182" i="13"/>
  <c r="BK182" i="13" s="1"/>
  <c r="AO172" i="13"/>
  <c r="BK172" i="13" s="1"/>
  <c r="AO156" i="13"/>
  <c r="BK156" i="13" s="1"/>
  <c r="AO147" i="13"/>
  <c r="BK147" i="13" s="1"/>
  <c r="AO137" i="13"/>
  <c r="BK137" i="13" s="1"/>
  <c r="AO129" i="13"/>
  <c r="BK129" i="13" s="1"/>
  <c r="AO121" i="13"/>
  <c r="BK121" i="13" s="1"/>
  <c r="AO338" i="13"/>
  <c r="BK338" i="13" s="1"/>
  <c r="AO332" i="13"/>
  <c r="AO305" i="13"/>
  <c r="BK305" i="13" s="1"/>
  <c r="AO278" i="13"/>
  <c r="BK278" i="13" s="1"/>
  <c r="AO263" i="13"/>
  <c r="BK263" i="13" s="1"/>
  <c r="AO252" i="13"/>
  <c r="BK252" i="13" s="1"/>
  <c r="AO238" i="13"/>
  <c r="BK238" i="13" s="1"/>
  <c r="AO230" i="13"/>
  <c r="BK230" i="13" s="1"/>
  <c r="AO210" i="13"/>
  <c r="BK210" i="13" s="1"/>
  <c r="AO201" i="13"/>
  <c r="AO187" i="13"/>
  <c r="BK187" i="13" s="1"/>
  <c r="AO179" i="13"/>
  <c r="BK179" i="13" s="1"/>
  <c r="AO169" i="13"/>
  <c r="BK169" i="13" s="1"/>
  <c r="AO161" i="13"/>
  <c r="BK161" i="13" s="1"/>
  <c r="AO153" i="13"/>
  <c r="BK153" i="13" s="1"/>
  <c r="AO144" i="13"/>
  <c r="BK144" i="13" s="1"/>
  <c r="AO134" i="13"/>
  <c r="BK134" i="13" s="1"/>
  <c r="AO126" i="13"/>
  <c r="AO118" i="13"/>
  <c r="BK118" i="13" s="1"/>
  <c r="AO110" i="13"/>
  <c r="BK110" i="13" s="1"/>
  <c r="AO102" i="13"/>
  <c r="BK102" i="13" s="1"/>
  <c r="AO93" i="13"/>
  <c r="BK93" i="13" s="1"/>
  <c r="AO330" i="13"/>
  <c r="BK330" i="13" s="1"/>
  <c r="AO322" i="13"/>
  <c r="BK322" i="13" s="1"/>
  <c r="AO282" i="13"/>
  <c r="AO258" i="13"/>
  <c r="BK258" i="13" s="1"/>
  <c r="AO249" i="13"/>
  <c r="BK249" i="13" s="1"/>
  <c r="AO235" i="13"/>
  <c r="AO227" i="13"/>
  <c r="BK227" i="13" s="1"/>
  <c r="AO207" i="13"/>
  <c r="BK207" i="13" s="1"/>
  <c r="AO197" i="13"/>
  <c r="BK197" i="13" s="1"/>
  <c r="AO184" i="13"/>
  <c r="AO176" i="13"/>
  <c r="BK176" i="13" s="1"/>
  <c r="AO158" i="13"/>
  <c r="BK158" i="13" s="1"/>
  <c r="AO150" i="13"/>
  <c r="AO139" i="13"/>
  <c r="BK139" i="13" s="1"/>
  <c r="AO131" i="13"/>
  <c r="BK131" i="13" s="1"/>
  <c r="AO123" i="13"/>
  <c r="BK123" i="13" s="1"/>
  <c r="AO115" i="13"/>
  <c r="AO107" i="13"/>
  <c r="BK107" i="13" s="1"/>
  <c r="AO99" i="13"/>
  <c r="BK99" i="13" s="1"/>
  <c r="AO320" i="13"/>
  <c r="BK320" i="13" s="1"/>
  <c r="AO219" i="13"/>
  <c r="AO287" i="13"/>
  <c r="BK287" i="13" s="1"/>
  <c r="AO255" i="13"/>
  <c r="BK255" i="13" s="1"/>
  <c r="AO243" i="13"/>
  <c r="BK243" i="13" s="1"/>
  <c r="AO232" i="13"/>
  <c r="BK232" i="13" s="1"/>
  <c r="AO212" i="13"/>
  <c r="BK212" i="13" s="1"/>
  <c r="AO204" i="13"/>
  <c r="BK204" i="13" s="1"/>
  <c r="AO194" i="13"/>
  <c r="AO181" i="13"/>
  <c r="BK181" i="13" s="1"/>
  <c r="AO171" i="13"/>
  <c r="BK171" i="13" s="1"/>
  <c r="AO163" i="13"/>
  <c r="BK163" i="13" s="1"/>
  <c r="AO155" i="13"/>
  <c r="BK155" i="13" s="1"/>
  <c r="AO146" i="13"/>
  <c r="BK146" i="13" s="1"/>
  <c r="AO136" i="13"/>
  <c r="BK136" i="13" s="1"/>
  <c r="AO128" i="13"/>
  <c r="BK128" i="13" s="1"/>
  <c r="AO120" i="13"/>
  <c r="AO112" i="13"/>
  <c r="BK112" i="13" s="1"/>
  <c r="AO104" i="13"/>
  <c r="BK104" i="13" s="1"/>
  <c r="AO96" i="13"/>
  <c r="BK96" i="13" s="1"/>
  <c r="AO335" i="13"/>
  <c r="BK335" i="13" s="1"/>
  <c r="AO308" i="13"/>
  <c r="BK308" i="13" s="1"/>
  <c r="AO301" i="13"/>
  <c r="BK301" i="13" s="1"/>
  <c r="AO286" i="13"/>
  <c r="BK286" i="13" s="1"/>
  <c r="AO270" i="13"/>
  <c r="AO257" i="13"/>
  <c r="BK257" i="13" s="1"/>
  <c r="AO246" i="13"/>
  <c r="BK246" i="13" s="1"/>
  <c r="AO234" i="13"/>
  <c r="BK234" i="13" s="1"/>
  <c r="AO214" i="13"/>
  <c r="AO206" i="13"/>
  <c r="BK206" i="13" s="1"/>
  <c r="AO196" i="13"/>
  <c r="BK196" i="13" s="1"/>
  <c r="AO183" i="13"/>
  <c r="BK183" i="13" s="1"/>
  <c r="AO174" i="13"/>
  <c r="AO165" i="13"/>
  <c r="BK165" i="13" s="1"/>
  <c r="AO157" i="13"/>
  <c r="BK157" i="13" s="1"/>
  <c r="AO148" i="13"/>
  <c r="BK148" i="13" s="1"/>
  <c r="AO138" i="13"/>
  <c r="BK138" i="13" s="1"/>
  <c r="AO130" i="13"/>
  <c r="BK130" i="13" s="1"/>
  <c r="AO122" i="13"/>
  <c r="BK122" i="13" s="1"/>
  <c r="AO114" i="13"/>
  <c r="BK114" i="13" s="1"/>
  <c r="AO106" i="13"/>
  <c r="AO98" i="13"/>
  <c r="BK98" i="13" s="1"/>
  <c r="AO231" i="13"/>
  <c r="BK231" i="13" s="1"/>
  <c r="AO180" i="13"/>
  <c r="BK180" i="13" s="1"/>
  <c r="AO145" i="13"/>
  <c r="BK145" i="13" s="1"/>
  <c r="AO89" i="13"/>
  <c r="BK89" i="13" s="1"/>
  <c r="AO75" i="13"/>
  <c r="BK75" i="13" s="1"/>
  <c r="AO66" i="13"/>
  <c r="BK66" i="13" s="1"/>
  <c r="AO57" i="13"/>
  <c r="AO49" i="13"/>
  <c r="BK49" i="13" s="1"/>
  <c r="AO41" i="13"/>
  <c r="BK41" i="13" s="1"/>
  <c r="AO32" i="13"/>
  <c r="BK32" i="13" s="1"/>
  <c r="AO24" i="13"/>
  <c r="BK24" i="13" s="1"/>
  <c r="AO16" i="13"/>
  <c r="BK16" i="13" s="1"/>
  <c r="AO276" i="13"/>
  <c r="BK276" i="13" s="1"/>
  <c r="AO229" i="13"/>
  <c r="BK229" i="13" s="1"/>
  <c r="AO178" i="13"/>
  <c r="BK178" i="13" s="1"/>
  <c r="AO143" i="13"/>
  <c r="BK143" i="13" s="1"/>
  <c r="AO113" i="13"/>
  <c r="BK113" i="13" s="1"/>
  <c r="AO84" i="13"/>
  <c r="BK84" i="13" s="1"/>
  <c r="AO72" i="13"/>
  <c r="BK72" i="13" s="1"/>
  <c r="AO62" i="13"/>
  <c r="BK62" i="13" s="1"/>
  <c r="AO54" i="13"/>
  <c r="BK54" i="13" s="1"/>
  <c r="AO46" i="13"/>
  <c r="BK46" i="13" s="1"/>
  <c r="AO38" i="13"/>
  <c r="AO29" i="13"/>
  <c r="BK29" i="13" s="1"/>
  <c r="AO21" i="13"/>
  <c r="BK21" i="13" s="1"/>
  <c r="AO13" i="13"/>
  <c r="BK13" i="13" s="1"/>
  <c r="AO325" i="13"/>
  <c r="AO299" i="13"/>
  <c r="BK299" i="13" s="1"/>
  <c r="AO273" i="13"/>
  <c r="BK273" i="13" s="1"/>
  <c r="AO240" i="13"/>
  <c r="BK240" i="13" s="1"/>
  <c r="AO192" i="13"/>
  <c r="AO154" i="13"/>
  <c r="BK154" i="13" s="1"/>
  <c r="AO119" i="13"/>
  <c r="BK119" i="13" s="1"/>
  <c r="AO105" i="13"/>
  <c r="BK105" i="13" s="1"/>
  <c r="AO91" i="13"/>
  <c r="BK91" i="13" s="1"/>
  <c r="AO78" i="13"/>
  <c r="BK78" i="13" s="1"/>
  <c r="AO69" i="13"/>
  <c r="BK69" i="13" s="1"/>
  <c r="AO59" i="13"/>
  <c r="BK59" i="13" s="1"/>
  <c r="AO51" i="13"/>
  <c r="BK51" i="13" s="1"/>
  <c r="AO43" i="13"/>
  <c r="BK43" i="13" s="1"/>
  <c r="AO34" i="13"/>
  <c r="BK34" i="13" s="1"/>
  <c r="AO26" i="13"/>
  <c r="BK26" i="13" s="1"/>
  <c r="AO18" i="13"/>
  <c r="BK18" i="13" s="1"/>
  <c r="AO237" i="13"/>
  <c r="BK237" i="13" s="1"/>
  <c r="AO186" i="13"/>
  <c r="BK186" i="13" s="1"/>
  <c r="AO152" i="13"/>
  <c r="BK152" i="13" s="1"/>
  <c r="AO111" i="13"/>
  <c r="BK111" i="13" s="1"/>
  <c r="AO97" i="13"/>
  <c r="BK97" i="13" s="1"/>
  <c r="AO87" i="13"/>
  <c r="BK87" i="13" s="1"/>
  <c r="AO74" i="13"/>
  <c r="BK74" i="13" s="1"/>
  <c r="AO64" i="13"/>
  <c r="AO56" i="13"/>
  <c r="BK56" i="13" s="1"/>
  <c r="AO48" i="13"/>
  <c r="BK48" i="13" s="1"/>
  <c r="AO40" i="13"/>
  <c r="BK40" i="13" s="1"/>
  <c r="AO31" i="13"/>
  <c r="AO23" i="13"/>
  <c r="BK23" i="13" s="1"/>
  <c r="AO15" i="13"/>
  <c r="BK15" i="13" s="1"/>
  <c r="AO253" i="13"/>
  <c r="AO203" i="13"/>
  <c r="BK203" i="13" s="1"/>
  <c r="AO162" i="13"/>
  <c r="BK162" i="13" s="1"/>
  <c r="AO127" i="13"/>
  <c r="BK127" i="13" s="1"/>
  <c r="AO117" i="13"/>
  <c r="AO103" i="13"/>
  <c r="BK103" i="13" s="1"/>
  <c r="AO83" i="13"/>
  <c r="BK83" i="13" s="1"/>
  <c r="AO71" i="13"/>
  <c r="BK71" i="13" s="1"/>
  <c r="AO61" i="13"/>
  <c r="BK61" i="13" s="1"/>
  <c r="AO53" i="13"/>
  <c r="BK53" i="13" s="1"/>
  <c r="AO45" i="13"/>
  <c r="BK45" i="13" s="1"/>
  <c r="AO37" i="13"/>
  <c r="BK37" i="13" s="1"/>
  <c r="AO28" i="13"/>
  <c r="BK28" i="13" s="1"/>
  <c r="AO20" i="13"/>
  <c r="BK20" i="13" s="1"/>
  <c r="AO12" i="13"/>
  <c r="BK12" i="13" s="1"/>
  <c r="AO264" i="13"/>
  <c r="BK264" i="13" s="1"/>
  <c r="AO211" i="13"/>
  <c r="AO170" i="13"/>
  <c r="BK170" i="13" s="1"/>
  <c r="AO135" i="13"/>
  <c r="BK135" i="13" s="1"/>
  <c r="AO101" i="13"/>
  <c r="BK101" i="13" s="1"/>
  <c r="AO95" i="13"/>
  <c r="AO85" i="13"/>
  <c r="BK85" i="13" s="1"/>
  <c r="AO73" i="13"/>
  <c r="BK73" i="13" s="1"/>
  <c r="AO63" i="13"/>
  <c r="BK63" i="13" s="1"/>
  <c r="AO55" i="13"/>
  <c r="AO47" i="13"/>
  <c r="BK47" i="13" s="1"/>
  <c r="AO39" i="13"/>
  <c r="BK39" i="13" s="1"/>
  <c r="AO30" i="13"/>
  <c r="BK30" i="13" s="1"/>
  <c r="AO22" i="13"/>
  <c r="BK22" i="13" s="1"/>
  <c r="AO14" i="13"/>
  <c r="BK14" i="13" s="1"/>
  <c r="AO312" i="13"/>
  <c r="BK312" i="13" s="1"/>
  <c r="AO168" i="13"/>
  <c r="BK168" i="13" s="1"/>
  <c r="AO52" i="13"/>
  <c r="AO19" i="13"/>
  <c r="BK19" i="13" s="1"/>
  <c r="AO160" i="13"/>
  <c r="BK160" i="13" s="1"/>
  <c r="AO90" i="13"/>
  <c r="BK90" i="13" s="1"/>
  <c r="AO50" i="13"/>
  <c r="BK50" i="13" s="1"/>
  <c r="AO17" i="13"/>
  <c r="BK17" i="13" s="1"/>
  <c r="AO209" i="13"/>
  <c r="BK209" i="13" s="1"/>
  <c r="AO60" i="13"/>
  <c r="BK60" i="13" s="1"/>
  <c r="AO27" i="13"/>
  <c r="AO199" i="13"/>
  <c r="BK199" i="13" s="1"/>
  <c r="AO109" i="13"/>
  <c r="BK109" i="13" s="1"/>
  <c r="AO58" i="13"/>
  <c r="BK58" i="13" s="1"/>
  <c r="AO25" i="13"/>
  <c r="AO261" i="13"/>
  <c r="BK261" i="13" s="1"/>
  <c r="AO70" i="13"/>
  <c r="BK70" i="13" s="1"/>
  <c r="AO36" i="13"/>
  <c r="BK36" i="13" s="1"/>
  <c r="AO133" i="13"/>
  <c r="BK133" i="13" s="1"/>
  <c r="AO81" i="13"/>
  <c r="BK81" i="13" s="1"/>
  <c r="AO44" i="13"/>
  <c r="BK44" i="13" s="1"/>
  <c r="AO11" i="13"/>
  <c r="BK11" i="13" s="1"/>
  <c r="AO67" i="13"/>
  <c r="BK67" i="13" s="1"/>
  <c r="AO125" i="13"/>
  <c r="BK125" i="13" s="1"/>
  <c r="AO217" i="13"/>
  <c r="BK217" i="13" s="1"/>
  <c r="AO42" i="13"/>
  <c r="AO33" i="13"/>
  <c r="BK33" i="13" s="1"/>
  <c r="AO251" i="13"/>
  <c r="BK251" i="13" s="1"/>
  <c r="AG190" i="13"/>
  <c r="AG318" i="13"/>
  <c r="AG189" i="13"/>
  <c r="AG317" i="13"/>
  <c r="AG9" i="13"/>
  <c r="AG8" i="13"/>
  <c r="AG335" i="13"/>
  <c r="AG325" i="13"/>
  <c r="AG222" i="13"/>
  <c r="AG316" i="13"/>
  <c r="AG305" i="13"/>
  <c r="AG287" i="13"/>
  <c r="AG279" i="13"/>
  <c r="AG270" i="13"/>
  <c r="AG257" i="13"/>
  <c r="AG246" i="13"/>
  <c r="AG234" i="13"/>
  <c r="AG214" i="13"/>
  <c r="AG206" i="13"/>
  <c r="AG196" i="13"/>
  <c r="AG183" i="13"/>
  <c r="AG174" i="13"/>
  <c r="AG165" i="13"/>
  <c r="AG157" i="13"/>
  <c r="AG148" i="13"/>
  <c r="AG138" i="13"/>
  <c r="AG130" i="13"/>
  <c r="AG122" i="13"/>
  <c r="AG114" i="13"/>
  <c r="AG106" i="13"/>
  <c r="AG98" i="13"/>
  <c r="AG87" i="13"/>
  <c r="AG74" i="13"/>
  <c r="AG64" i="13"/>
  <c r="AG56" i="13"/>
  <c r="AG48" i="13"/>
  <c r="AG340" i="13"/>
  <c r="AG332" i="13"/>
  <c r="AG322" i="13"/>
  <c r="AG219" i="13"/>
  <c r="AG312" i="13"/>
  <c r="AG301" i="13"/>
  <c r="AG276" i="13"/>
  <c r="AG264" i="13"/>
  <c r="AG253" i="13"/>
  <c r="AG240" i="13"/>
  <c r="AG231" i="13"/>
  <c r="AG211" i="13"/>
  <c r="AG203" i="13"/>
  <c r="AG192" i="13"/>
  <c r="AG180" i="13"/>
  <c r="AG170" i="13"/>
  <c r="AG162" i="13"/>
  <c r="AG154" i="13"/>
  <c r="AG145" i="13"/>
  <c r="AG135" i="13"/>
  <c r="AG127" i="13"/>
  <c r="AG119" i="13"/>
  <c r="AG111" i="13"/>
  <c r="AG103" i="13"/>
  <c r="AG95" i="13"/>
  <c r="AG83" i="13"/>
  <c r="AG71" i="13"/>
  <c r="AG61" i="13"/>
  <c r="AG53" i="13"/>
  <c r="AG45" i="13"/>
  <c r="AG337" i="13"/>
  <c r="AG329" i="13"/>
  <c r="AG225" i="13"/>
  <c r="AG216" i="13"/>
  <c r="AG307" i="13"/>
  <c r="AG298" i="13"/>
  <c r="AG289" i="13"/>
  <c r="AG281" i="13"/>
  <c r="AG272" i="13"/>
  <c r="AG259" i="13"/>
  <c r="AG250" i="13"/>
  <c r="AG236" i="13"/>
  <c r="AG228" i="13"/>
  <c r="AG208" i="13"/>
  <c r="AG198" i="13"/>
  <c r="AG185" i="13"/>
  <c r="AG177" i="13"/>
  <c r="AG167" i="13"/>
  <c r="AG159" i="13"/>
  <c r="AG151" i="13"/>
  <c r="AG141" i="13"/>
  <c r="AG132" i="13"/>
  <c r="AG124" i="13"/>
  <c r="AG116" i="13"/>
  <c r="AG108" i="13"/>
  <c r="AG100" i="13"/>
  <c r="AG90" i="13"/>
  <c r="AG67" i="13"/>
  <c r="AG58" i="13"/>
  <c r="AG50" i="13"/>
  <c r="AG42" i="13"/>
  <c r="AG33" i="13"/>
  <c r="AG334" i="13"/>
  <c r="AG324" i="13"/>
  <c r="AG221" i="13"/>
  <c r="AG315" i="13"/>
  <c r="AG304" i="13"/>
  <c r="AG294" i="13"/>
  <c r="AG286" i="13"/>
  <c r="AG278" i="13"/>
  <c r="AG267" i="13"/>
  <c r="AG256" i="13"/>
  <c r="AG245" i="13"/>
  <c r="AG233" i="13"/>
  <c r="AG213" i="13"/>
  <c r="AG205" i="13"/>
  <c r="AG195" i="13"/>
  <c r="AG182" i="13"/>
  <c r="AG172" i="13"/>
  <c r="AG156" i="13"/>
  <c r="AG147" i="13"/>
  <c r="AG137" i="13"/>
  <c r="AG129" i="13"/>
  <c r="AG121" i="13"/>
  <c r="AG113" i="13"/>
  <c r="AG105" i="13"/>
  <c r="AG97" i="13"/>
  <c r="AG85" i="13"/>
  <c r="AG73" i="13"/>
  <c r="AG63" i="13"/>
  <c r="AG55" i="13"/>
  <c r="AG47" i="13"/>
  <c r="AG39" i="13"/>
  <c r="AG30" i="13"/>
  <c r="AG339" i="13"/>
  <c r="AG331" i="13"/>
  <c r="AG321" i="13"/>
  <c r="AG218" i="13"/>
  <c r="AG309" i="13"/>
  <c r="AG300" i="13"/>
  <c r="AG291" i="13"/>
  <c r="AG283" i="13"/>
  <c r="AG275" i="13"/>
  <c r="AG263" i="13"/>
  <c r="AG252" i="13"/>
  <c r="AG238" i="13"/>
  <c r="AG230" i="13"/>
  <c r="AG210" i="13"/>
  <c r="AG201" i="13"/>
  <c r="AG187" i="13"/>
  <c r="AG179" i="13"/>
  <c r="AG169" i="13"/>
  <c r="AG161" i="13"/>
  <c r="AG153" i="13"/>
  <c r="AG144" i="13"/>
  <c r="AG134" i="13"/>
  <c r="AG126" i="13"/>
  <c r="AG118" i="13"/>
  <c r="AG110" i="13"/>
  <c r="AG102" i="13"/>
  <c r="AG93" i="13"/>
  <c r="AG81" i="13"/>
  <c r="AG70" i="13"/>
  <c r="AG60" i="13"/>
  <c r="AG52" i="13"/>
  <c r="AG44" i="13"/>
  <c r="AG36" i="13"/>
  <c r="AG333" i="13"/>
  <c r="AG323" i="13"/>
  <c r="AG220" i="13"/>
  <c r="AG314" i="13"/>
  <c r="AG303" i="13"/>
  <c r="AG293" i="13"/>
  <c r="AG285" i="13"/>
  <c r="AG277" i="13"/>
  <c r="AG255" i="13"/>
  <c r="AG243" i="13"/>
  <c r="AG232" i="13"/>
  <c r="AG212" i="13"/>
  <c r="AG204" i="13"/>
  <c r="AG194" i="13"/>
  <c r="AG181" i="13"/>
  <c r="AG171" i="13"/>
  <c r="AG163" i="13"/>
  <c r="AG155" i="13"/>
  <c r="AG146" i="13"/>
  <c r="AG136" i="13"/>
  <c r="AG128" i="13"/>
  <c r="AG120" i="13"/>
  <c r="AG112" i="13"/>
  <c r="AG104" i="13"/>
  <c r="AG96" i="13"/>
  <c r="AG84" i="13"/>
  <c r="AG72" i="13"/>
  <c r="AG62" i="13"/>
  <c r="AG54" i="13"/>
  <c r="AG46" i="13"/>
  <c r="AG38" i="13"/>
  <c r="AG29" i="13"/>
  <c r="AG330" i="13"/>
  <c r="AG299" i="13"/>
  <c r="AG261" i="13"/>
  <c r="AG209" i="13"/>
  <c r="AG168" i="13"/>
  <c r="AG133" i="13"/>
  <c r="AG101" i="13"/>
  <c r="AG59" i="13"/>
  <c r="AG40" i="13"/>
  <c r="AG28" i="13"/>
  <c r="AG25" i="13"/>
  <c r="AG17" i="13"/>
  <c r="AG327" i="13"/>
  <c r="AG297" i="13"/>
  <c r="AG258" i="13"/>
  <c r="AG207" i="13"/>
  <c r="AG131" i="13"/>
  <c r="AG99" i="13"/>
  <c r="AG57" i="13"/>
  <c r="AG32" i="13"/>
  <c r="AG22" i="13"/>
  <c r="AG14" i="13"/>
  <c r="AG338" i="13"/>
  <c r="AG308" i="13"/>
  <c r="AG273" i="13"/>
  <c r="AG229" i="13"/>
  <c r="AG178" i="13"/>
  <c r="AG143" i="13"/>
  <c r="AG109" i="13"/>
  <c r="AG69" i="13"/>
  <c r="AG27" i="13"/>
  <c r="AG19" i="13"/>
  <c r="AG11" i="13"/>
  <c r="AG336" i="13"/>
  <c r="AG306" i="13"/>
  <c r="AG227" i="13"/>
  <c r="AG176" i="13"/>
  <c r="AG139" i="13"/>
  <c r="AG107" i="13"/>
  <c r="AG66" i="13"/>
  <c r="AG31" i="13"/>
  <c r="AG24" i="13"/>
  <c r="AG16" i="13"/>
  <c r="AG217" i="13"/>
  <c r="AG282" i="13"/>
  <c r="AG237" i="13"/>
  <c r="AG186" i="13"/>
  <c r="AG152" i="13"/>
  <c r="AG117" i="13"/>
  <c r="AG78" i="13"/>
  <c r="AG43" i="13"/>
  <c r="AG37" i="13"/>
  <c r="AG21" i="13"/>
  <c r="AG13" i="13"/>
  <c r="AG320" i="13"/>
  <c r="AG251" i="13"/>
  <c r="AG199" i="13"/>
  <c r="AG160" i="13"/>
  <c r="AG125" i="13"/>
  <c r="AG91" i="13"/>
  <c r="AG51" i="13"/>
  <c r="AG41" i="13"/>
  <c r="AG34" i="13"/>
  <c r="AG23" i="13"/>
  <c r="AG15" i="13"/>
  <c r="AG235" i="13"/>
  <c r="AG75" i="13"/>
  <c r="AG288" i="13"/>
  <c r="AG123" i="13"/>
  <c r="AG20" i="13"/>
  <c r="AG280" i="13"/>
  <c r="AG115" i="13"/>
  <c r="AG18" i="13"/>
  <c r="AG223" i="13"/>
  <c r="AG158" i="13"/>
  <c r="AG215" i="13"/>
  <c r="AG150" i="13"/>
  <c r="AG26" i="13"/>
  <c r="AG197" i="13"/>
  <c r="AG49" i="13"/>
  <c r="AG184" i="13"/>
  <c r="AG12" i="13"/>
  <c r="AG249" i="13"/>
  <c r="AG89" i="13"/>
  <c r="Y190" i="13"/>
  <c r="Y318" i="13"/>
  <c r="Y189" i="13"/>
  <c r="Y317" i="13"/>
  <c r="Y9" i="13"/>
  <c r="Y8" i="13"/>
  <c r="Y337" i="13"/>
  <c r="Y329" i="13"/>
  <c r="Y225" i="13"/>
  <c r="Y216" i="13"/>
  <c r="Y307" i="13"/>
  <c r="Y298" i="13"/>
  <c r="Y289" i="13"/>
  <c r="Y281" i="13"/>
  <c r="Y272" i="13"/>
  <c r="Y259" i="13"/>
  <c r="Y334" i="13"/>
  <c r="Y324" i="13"/>
  <c r="Y221" i="13"/>
  <c r="Y315" i="13"/>
  <c r="Y304" i="13"/>
  <c r="Y294" i="13"/>
  <c r="Y286" i="13"/>
  <c r="Y278" i="13"/>
  <c r="Y267" i="13"/>
  <c r="Y256" i="13"/>
  <c r="Y245" i="13"/>
  <c r="Y233" i="13"/>
  <c r="Y213" i="13"/>
  <c r="Y205" i="13"/>
  <c r="Y195" i="13"/>
  <c r="Y182" i="13"/>
  <c r="Y172" i="13"/>
  <c r="Y156" i="13"/>
  <c r="Y147" i="13"/>
  <c r="Y137" i="13"/>
  <c r="Y129" i="13"/>
  <c r="Y121" i="13"/>
  <c r="Y113" i="13"/>
  <c r="Y105" i="13"/>
  <c r="Y97" i="13"/>
  <c r="Y85" i="13"/>
  <c r="Y73" i="13"/>
  <c r="Y63" i="13"/>
  <c r="Y55" i="13"/>
  <c r="Y47" i="13"/>
  <c r="Y39" i="13"/>
  <c r="Y30" i="13"/>
  <c r="Y22" i="13"/>
  <c r="Y14" i="13"/>
  <c r="Y339" i="13"/>
  <c r="Y331" i="13"/>
  <c r="Y321" i="13"/>
  <c r="Y218" i="13"/>
  <c r="Y309" i="13"/>
  <c r="Y300" i="13"/>
  <c r="Y291" i="13"/>
  <c r="Y283" i="13"/>
  <c r="Y275" i="13"/>
  <c r="Y263" i="13"/>
  <c r="Y252" i="13"/>
  <c r="Y238" i="13"/>
  <c r="Y230" i="13"/>
  <c r="Y210" i="13"/>
  <c r="Y201" i="13"/>
  <c r="Y187" i="13"/>
  <c r="Y179" i="13"/>
  <c r="Y169" i="13"/>
  <c r="Y161" i="13"/>
  <c r="Y153" i="13"/>
  <c r="Y144" i="13"/>
  <c r="Y134" i="13"/>
  <c r="Y126" i="13"/>
  <c r="Y118" i="13"/>
  <c r="Y110" i="13"/>
  <c r="Y102" i="13"/>
  <c r="Y93" i="13"/>
  <c r="Y81" i="13"/>
  <c r="Y70" i="13"/>
  <c r="Y60" i="13"/>
  <c r="Y52" i="13"/>
  <c r="Y44" i="13"/>
  <c r="Y36" i="13"/>
  <c r="Y27" i="13"/>
  <c r="Y19" i="13"/>
  <c r="Y11" i="13"/>
  <c r="Y336" i="13"/>
  <c r="Y327" i="13"/>
  <c r="Y223" i="13"/>
  <c r="Y215" i="13"/>
  <c r="Y306" i="13"/>
  <c r="Y297" i="13"/>
  <c r="Y288" i="13"/>
  <c r="Y280" i="13"/>
  <c r="Y258" i="13"/>
  <c r="Y249" i="13"/>
  <c r="Y235" i="13"/>
  <c r="Y227" i="13"/>
  <c r="Y207" i="13"/>
  <c r="Y197" i="13"/>
  <c r="Y184" i="13"/>
  <c r="Y176" i="13"/>
  <c r="Y158" i="13"/>
  <c r="Y150" i="13"/>
  <c r="Y139" i="13"/>
  <c r="Y131" i="13"/>
  <c r="Y123" i="13"/>
  <c r="Y115" i="13"/>
  <c r="Y107" i="13"/>
  <c r="Y99" i="13"/>
  <c r="Y89" i="13"/>
  <c r="Y75" i="13"/>
  <c r="Y66" i="13"/>
  <c r="Y57" i="13"/>
  <c r="Y49" i="13"/>
  <c r="Y41" i="13"/>
  <c r="Y32" i="13"/>
  <c r="Y24" i="13"/>
  <c r="Y16" i="13"/>
  <c r="Y333" i="13"/>
  <c r="Y323" i="13"/>
  <c r="Y220" i="13"/>
  <c r="Y314" i="13"/>
  <c r="Y303" i="13"/>
  <c r="Y293" i="13"/>
  <c r="Y285" i="13"/>
  <c r="Y277" i="13"/>
  <c r="Y255" i="13"/>
  <c r="Y243" i="13"/>
  <c r="Y232" i="13"/>
  <c r="Y212" i="13"/>
  <c r="Y204" i="13"/>
  <c r="Y194" i="13"/>
  <c r="Y181" i="13"/>
  <c r="Y171" i="13"/>
  <c r="Y163" i="13"/>
  <c r="Y155" i="13"/>
  <c r="Y146" i="13"/>
  <c r="Y136" i="13"/>
  <c r="Y128" i="13"/>
  <c r="Y120" i="13"/>
  <c r="Y112" i="13"/>
  <c r="Y104" i="13"/>
  <c r="Y96" i="13"/>
  <c r="Y84" i="13"/>
  <c r="Y72" i="13"/>
  <c r="Y62" i="13"/>
  <c r="Y54" i="13"/>
  <c r="Y46" i="13"/>
  <c r="Y38" i="13"/>
  <c r="Y29" i="13"/>
  <c r="Y21" i="13"/>
  <c r="Y13" i="13"/>
  <c r="Y338" i="13"/>
  <c r="Y330" i="13"/>
  <c r="Y320" i="13"/>
  <c r="Y217" i="13"/>
  <c r="Y308" i="13"/>
  <c r="Y299" i="13"/>
  <c r="Y282" i="13"/>
  <c r="Y273" i="13"/>
  <c r="Y261" i="13"/>
  <c r="Y251" i="13"/>
  <c r="Y335" i="13"/>
  <c r="Y325" i="13"/>
  <c r="Y222" i="13"/>
  <c r="Y316" i="13"/>
  <c r="Y305" i="13"/>
  <c r="Y287" i="13"/>
  <c r="Y279" i="13"/>
  <c r="Y270" i="13"/>
  <c r="Y257" i="13"/>
  <c r="Y246" i="13"/>
  <c r="Y234" i="13"/>
  <c r="Y214" i="13"/>
  <c r="Y206" i="13"/>
  <c r="Y196" i="13"/>
  <c r="Y183" i="13"/>
  <c r="Y174" i="13"/>
  <c r="Y165" i="13"/>
  <c r="Y157" i="13"/>
  <c r="Y148" i="13"/>
  <c r="Y138" i="13"/>
  <c r="Y130" i="13"/>
  <c r="Y122" i="13"/>
  <c r="Y114" i="13"/>
  <c r="Y106" i="13"/>
  <c r="Y98" i="13"/>
  <c r="Y87" i="13"/>
  <c r="Y74" i="13"/>
  <c r="Y64" i="13"/>
  <c r="Y56" i="13"/>
  <c r="Y48" i="13"/>
  <c r="Y40" i="13"/>
  <c r="Y31" i="13"/>
  <c r="Y23" i="13"/>
  <c r="Y15" i="13"/>
  <c r="Y340" i="13"/>
  <c r="Y332" i="13"/>
  <c r="Y322" i="13"/>
  <c r="Y219" i="13"/>
  <c r="Y312" i="13"/>
  <c r="Y301" i="13"/>
  <c r="Y276" i="13"/>
  <c r="Y264" i="13"/>
  <c r="Y253" i="13"/>
  <c r="Y240" i="13"/>
  <c r="Y231" i="13"/>
  <c r="Y211" i="13"/>
  <c r="Y203" i="13"/>
  <c r="Y192" i="13"/>
  <c r="Y180" i="13"/>
  <c r="Y170" i="13"/>
  <c r="Y162" i="13"/>
  <c r="Y154" i="13"/>
  <c r="Y145" i="13"/>
  <c r="Y135" i="13"/>
  <c r="Y127" i="13"/>
  <c r="Y119" i="13"/>
  <c r="Y111" i="13"/>
  <c r="Y103" i="13"/>
  <c r="Y95" i="13"/>
  <c r="Y83" i="13"/>
  <c r="Y71" i="13"/>
  <c r="Y61" i="13"/>
  <c r="Y53" i="13"/>
  <c r="Y45" i="13"/>
  <c r="Y37" i="13"/>
  <c r="Y28" i="13"/>
  <c r="Y20" i="13"/>
  <c r="Y12" i="13"/>
  <c r="Y229" i="13"/>
  <c r="Y178" i="13"/>
  <c r="Y143" i="13"/>
  <c r="Y109" i="13"/>
  <c r="Y69" i="13"/>
  <c r="Y34" i="13"/>
  <c r="Y228" i="13"/>
  <c r="Y177" i="13"/>
  <c r="Y141" i="13"/>
  <c r="Y108" i="13"/>
  <c r="Y67" i="13"/>
  <c r="Y33" i="13"/>
  <c r="Y237" i="13"/>
  <c r="Y186" i="13"/>
  <c r="Y152" i="13"/>
  <c r="Y117" i="13"/>
  <c r="Y78" i="13"/>
  <c r="Y43" i="13"/>
  <c r="Y236" i="13"/>
  <c r="Y185" i="13"/>
  <c r="Y151" i="13"/>
  <c r="Y116" i="13"/>
  <c r="Y42" i="13"/>
  <c r="Y199" i="13"/>
  <c r="Y160" i="13"/>
  <c r="Y125" i="13"/>
  <c r="Y91" i="13"/>
  <c r="Y51" i="13"/>
  <c r="Y18" i="13"/>
  <c r="Y250" i="13"/>
  <c r="Y198" i="13"/>
  <c r="Y159" i="13"/>
  <c r="Y124" i="13"/>
  <c r="Y90" i="13"/>
  <c r="Y50" i="13"/>
  <c r="Y17" i="13"/>
  <c r="Y209" i="13"/>
  <c r="Y168" i="13"/>
  <c r="Y133" i="13"/>
  <c r="Y101" i="13"/>
  <c r="Y59" i="13"/>
  <c r="Y26" i="13"/>
  <c r="Y208" i="13"/>
  <c r="Y167" i="13"/>
  <c r="Y132" i="13"/>
  <c r="Y100" i="13"/>
  <c r="Y58" i="13"/>
  <c r="Y25" i="13"/>
  <c r="Q190" i="13"/>
  <c r="BA190" i="13" s="1"/>
  <c r="Q318" i="13"/>
  <c r="Q189" i="13"/>
  <c r="BA189" i="13" s="1"/>
  <c r="Q317" i="13"/>
  <c r="BA317" i="13" s="1"/>
  <c r="Q9" i="13"/>
  <c r="BA9" i="13" s="1"/>
  <c r="Q8" i="13"/>
  <c r="Q340" i="13"/>
  <c r="BA340" i="13" s="1"/>
  <c r="Q332" i="13"/>
  <c r="BA332" i="13" s="1"/>
  <c r="Q322" i="13"/>
  <c r="BA322" i="13" s="1"/>
  <c r="Q219" i="13"/>
  <c r="Q312" i="13"/>
  <c r="BA312" i="13" s="1"/>
  <c r="Q301" i="13"/>
  <c r="BA301" i="13" s="1"/>
  <c r="Q276" i="13"/>
  <c r="BA276" i="13" s="1"/>
  <c r="Q264" i="13"/>
  <c r="BA264" i="13" s="1"/>
  <c r="Q253" i="13"/>
  <c r="BA253" i="13" s="1"/>
  <c r="Q240" i="13"/>
  <c r="Q231" i="13"/>
  <c r="BA231" i="13" s="1"/>
  <c r="Q211" i="13"/>
  <c r="BA211" i="13" s="1"/>
  <c r="Q203" i="13"/>
  <c r="BA203" i="13" s="1"/>
  <c r="Q192" i="13"/>
  <c r="Q334" i="13"/>
  <c r="BA334" i="13" s="1"/>
  <c r="Q324" i="13"/>
  <c r="BA324" i="13" s="1"/>
  <c r="Q221" i="13"/>
  <c r="BA221" i="13" s="1"/>
  <c r="Q315" i="13"/>
  <c r="Q304" i="13"/>
  <c r="BA304" i="13" s="1"/>
  <c r="Q294" i="13"/>
  <c r="BA294" i="13" s="1"/>
  <c r="Q286" i="13"/>
  <c r="BA286" i="13" s="1"/>
  <c r="Q278" i="13"/>
  <c r="Q267" i="13"/>
  <c r="BA267" i="13" s="1"/>
  <c r="Q256" i="13"/>
  <c r="BA256" i="13" s="1"/>
  <c r="Q245" i="13"/>
  <c r="BA245" i="13" s="1"/>
  <c r="Q233" i="13"/>
  <c r="Q213" i="13"/>
  <c r="BA213" i="13" s="1"/>
  <c r="Q205" i="13"/>
  <c r="BA205" i="13" s="1"/>
  <c r="Q195" i="13"/>
  <c r="BA195" i="13" s="1"/>
  <c r="Q182" i="13"/>
  <c r="Q339" i="13"/>
  <c r="BA339" i="13" s="1"/>
  <c r="Q331" i="13"/>
  <c r="BA331" i="13" s="1"/>
  <c r="Q321" i="13"/>
  <c r="BA321" i="13" s="1"/>
  <c r="Q218" i="13"/>
  <c r="Q309" i="13"/>
  <c r="BA309" i="13" s="1"/>
  <c r="Q300" i="13"/>
  <c r="BA300" i="13" s="1"/>
  <c r="Q291" i="13"/>
  <c r="BA291" i="13" s="1"/>
  <c r="Q283" i="13"/>
  <c r="Q275" i="13"/>
  <c r="BA275" i="13" s="1"/>
  <c r="Q263" i="13"/>
  <c r="BA263" i="13" s="1"/>
  <c r="Q252" i="13"/>
  <c r="BA252" i="13" s="1"/>
  <c r="Q238" i="13"/>
  <c r="Q230" i="13"/>
  <c r="BA230" i="13" s="1"/>
  <c r="Q210" i="13"/>
  <c r="BA210" i="13" s="1"/>
  <c r="Q201" i="13"/>
  <c r="BA201" i="13" s="1"/>
  <c r="Q187" i="13"/>
  <c r="Q336" i="13"/>
  <c r="BA336" i="13" s="1"/>
  <c r="Q327" i="13"/>
  <c r="BA327" i="13" s="1"/>
  <c r="Q223" i="13"/>
  <c r="BA223" i="13" s="1"/>
  <c r="Q215" i="13"/>
  <c r="Q306" i="13"/>
  <c r="BA306" i="13" s="1"/>
  <c r="Q297" i="13"/>
  <c r="BA297" i="13" s="1"/>
  <c r="Q288" i="13"/>
  <c r="BA288" i="13" s="1"/>
  <c r="Q280" i="13"/>
  <c r="Q258" i="13"/>
  <c r="BA258" i="13" s="1"/>
  <c r="Q249" i="13"/>
  <c r="BA249" i="13" s="1"/>
  <c r="Q235" i="13"/>
  <c r="Q227" i="13"/>
  <c r="BA227" i="13" s="1"/>
  <c r="Q207" i="13"/>
  <c r="BA207" i="13" s="1"/>
  <c r="Q197" i="13"/>
  <c r="BA197" i="13" s="1"/>
  <c r="Q184" i="13"/>
  <c r="Q338" i="13"/>
  <c r="BA338" i="13" s="1"/>
  <c r="Q330" i="13"/>
  <c r="BA330" i="13" s="1"/>
  <c r="Q320" i="13"/>
  <c r="BA320" i="13" s="1"/>
  <c r="Q217" i="13"/>
  <c r="Q308" i="13"/>
  <c r="BA308" i="13" s="1"/>
  <c r="Q299" i="13"/>
  <c r="BA299" i="13" s="1"/>
  <c r="Q282" i="13"/>
  <c r="BA282" i="13" s="1"/>
  <c r="Q273" i="13"/>
  <c r="BA273" i="13" s="1"/>
  <c r="Q261" i="13"/>
  <c r="BA261" i="13" s="1"/>
  <c r="Q251" i="13"/>
  <c r="BA251" i="13" s="1"/>
  <c r="Q237" i="13"/>
  <c r="BA237" i="13" s="1"/>
  <c r="Q229" i="13"/>
  <c r="BA229" i="13" s="1"/>
  <c r="Q209" i="13"/>
  <c r="BA209" i="13" s="1"/>
  <c r="Q199" i="13"/>
  <c r="BA199" i="13" s="1"/>
  <c r="Q186" i="13"/>
  <c r="BA186" i="13" s="1"/>
  <c r="Q335" i="13"/>
  <c r="BA335" i="13" s="1"/>
  <c r="Q325" i="13"/>
  <c r="BA325" i="13" s="1"/>
  <c r="Q222" i="13"/>
  <c r="BA222" i="13" s="1"/>
  <c r="Q316" i="13"/>
  <c r="Q305" i="13"/>
  <c r="BA305" i="13" s="1"/>
  <c r="Q287" i="13"/>
  <c r="BA287" i="13" s="1"/>
  <c r="Q279" i="13"/>
  <c r="Q270" i="13"/>
  <c r="BA270" i="13" s="1"/>
  <c r="Q257" i="13"/>
  <c r="BA257" i="13" s="1"/>
  <c r="Q246" i="13"/>
  <c r="BA246" i="13" s="1"/>
  <c r="Q234" i="13"/>
  <c r="Q214" i="13"/>
  <c r="BA214" i="13" s="1"/>
  <c r="Q206" i="13"/>
  <c r="BA206" i="13" s="1"/>
  <c r="Q333" i="13"/>
  <c r="BA333" i="13" s="1"/>
  <c r="Q303" i="13"/>
  <c r="BA303" i="13" s="1"/>
  <c r="Q212" i="13"/>
  <c r="BA212" i="13" s="1"/>
  <c r="Q178" i="13"/>
  <c r="BA178" i="13" s="1"/>
  <c r="Q168" i="13"/>
  <c r="BA168" i="13" s="1"/>
  <c r="Q160" i="13"/>
  <c r="BA160" i="13" s="1"/>
  <c r="Q152" i="13"/>
  <c r="BA152" i="13" s="1"/>
  <c r="Q143" i="13"/>
  <c r="BA143" i="13" s="1"/>
  <c r="Q133" i="13"/>
  <c r="Q125" i="13"/>
  <c r="BA125" i="13" s="1"/>
  <c r="Q117" i="13"/>
  <c r="BA117" i="13" s="1"/>
  <c r="Q109" i="13"/>
  <c r="BA109" i="13" s="1"/>
  <c r="Q101" i="13"/>
  <c r="Q91" i="13"/>
  <c r="BA91" i="13" s="1"/>
  <c r="Q78" i="13"/>
  <c r="BA78" i="13" s="1"/>
  <c r="Q69" i="13"/>
  <c r="BA69" i="13" s="1"/>
  <c r="Q59" i="13"/>
  <c r="BA59" i="13" s="1"/>
  <c r="Q51" i="13"/>
  <c r="BA51" i="13" s="1"/>
  <c r="Q43" i="13"/>
  <c r="BA43" i="13" s="1"/>
  <c r="Q34" i="13"/>
  <c r="BA34" i="13" s="1"/>
  <c r="Q26" i="13"/>
  <c r="Q18" i="13"/>
  <c r="BA18" i="13" s="1"/>
  <c r="Q225" i="13"/>
  <c r="BA225" i="13" s="1"/>
  <c r="Q289" i="13"/>
  <c r="BA289" i="13" s="1"/>
  <c r="Q250" i="13"/>
  <c r="BA250" i="13" s="1"/>
  <c r="Q174" i="13"/>
  <c r="BA174" i="13" s="1"/>
  <c r="Q165" i="13"/>
  <c r="BA165" i="13" s="1"/>
  <c r="Q157" i="13"/>
  <c r="BA157" i="13" s="1"/>
  <c r="Q148" i="13"/>
  <c r="Q138" i="13"/>
  <c r="BA138" i="13" s="1"/>
  <c r="Q130" i="13"/>
  <c r="BA130" i="13" s="1"/>
  <c r="Q122" i="13"/>
  <c r="BA122" i="13" s="1"/>
  <c r="Q114" i="13"/>
  <c r="BA114" i="13" s="1"/>
  <c r="Q106" i="13"/>
  <c r="BA106" i="13" s="1"/>
  <c r="Q98" i="13"/>
  <c r="BA98" i="13" s="1"/>
  <c r="Q87" i="13"/>
  <c r="BA87" i="13" s="1"/>
  <c r="Q74" i="13"/>
  <c r="Q64" i="13"/>
  <c r="BA64" i="13" s="1"/>
  <c r="Q56" i="13"/>
  <c r="BA56" i="13" s="1"/>
  <c r="Q48" i="13"/>
  <c r="BA48" i="13" s="1"/>
  <c r="Q40" i="13"/>
  <c r="BA40" i="13" s="1"/>
  <c r="Q31" i="13"/>
  <c r="BA31" i="13" s="1"/>
  <c r="Q23" i="13"/>
  <c r="BA23" i="13" s="1"/>
  <c r="Q15" i="13"/>
  <c r="BA15" i="13" s="1"/>
  <c r="Q314" i="13"/>
  <c r="Q277" i="13"/>
  <c r="BA277" i="13" s="1"/>
  <c r="Q232" i="13"/>
  <c r="BA232" i="13" s="1"/>
  <c r="Q198" i="13"/>
  <c r="BA198" i="13" s="1"/>
  <c r="Q180" i="13"/>
  <c r="BA180" i="13" s="1"/>
  <c r="Q170" i="13"/>
  <c r="BA170" i="13" s="1"/>
  <c r="Q162" i="13"/>
  <c r="BA162" i="13" s="1"/>
  <c r="Q154" i="13"/>
  <c r="BA154" i="13" s="1"/>
  <c r="Q145" i="13"/>
  <c r="Q135" i="13"/>
  <c r="BA135" i="13" s="1"/>
  <c r="Q127" i="13"/>
  <c r="BA127" i="13" s="1"/>
  <c r="Q119" i="13"/>
  <c r="BA119" i="13" s="1"/>
  <c r="Q111" i="13"/>
  <c r="BA111" i="13" s="1"/>
  <c r="Q103" i="13"/>
  <c r="BA103" i="13" s="1"/>
  <c r="Q95" i="13"/>
  <c r="BA95" i="13" s="1"/>
  <c r="Q83" i="13"/>
  <c r="BA83" i="13" s="1"/>
  <c r="Q71" i="13"/>
  <c r="Q61" i="13"/>
  <c r="BA61" i="13" s="1"/>
  <c r="Q53" i="13"/>
  <c r="BA53" i="13" s="1"/>
  <c r="Q45" i="13"/>
  <c r="BA45" i="13" s="1"/>
  <c r="Q37" i="13"/>
  <c r="BA37" i="13" s="1"/>
  <c r="Q28" i="13"/>
  <c r="BA28" i="13" s="1"/>
  <c r="Q20" i="13"/>
  <c r="BA20" i="13" s="1"/>
  <c r="Q12" i="13"/>
  <c r="BA12" i="13" s="1"/>
  <c r="Q329" i="13"/>
  <c r="BA329" i="13" s="1"/>
  <c r="Q298" i="13"/>
  <c r="BA298" i="13" s="1"/>
  <c r="Q259" i="13"/>
  <c r="BA259" i="13" s="1"/>
  <c r="Q208" i="13"/>
  <c r="BA208" i="13" s="1"/>
  <c r="Q185" i="13"/>
  <c r="Q177" i="13"/>
  <c r="BA177" i="13" s="1"/>
  <c r="Q167" i="13"/>
  <c r="BA167" i="13" s="1"/>
  <c r="Q159" i="13"/>
  <c r="BA159" i="13" s="1"/>
  <c r="Q151" i="13"/>
  <c r="BA151" i="13" s="1"/>
  <c r="Q141" i="13"/>
  <c r="BA141" i="13" s="1"/>
  <c r="Q132" i="13"/>
  <c r="BA132" i="13" s="1"/>
  <c r="Q124" i="13"/>
  <c r="BA124" i="13" s="1"/>
  <c r="Q116" i="13"/>
  <c r="BA116" i="13" s="1"/>
  <c r="Q108" i="13"/>
  <c r="BA108" i="13" s="1"/>
  <c r="Q100" i="13"/>
  <c r="BA100" i="13" s="1"/>
  <c r="Q90" i="13"/>
  <c r="BA90" i="13" s="1"/>
  <c r="Q67" i="13"/>
  <c r="BA67" i="13" s="1"/>
  <c r="Q58" i="13"/>
  <c r="BA58" i="13" s="1"/>
  <c r="Q50" i="13"/>
  <c r="BA50" i="13" s="1"/>
  <c r="Q42" i="13"/>
  <c r="BA42" i="13" s="1"/>
  <c r="Q33" i="13"/>
  <c r="BA33" i="13" s="1"/>
  <c r="Q25" i="13"/>
  <c r="BA25" i="13" s="1"/>
  <c r="Q17" i="13"/>
  <c r="BA17" i="13" s="1"/>
  <c r="Q220" i="13"/>
  <c r="BA220" i="13" s="1"/>
  <c r="Q285" i="13"/>
  <c r="BA285" i="13" s="1"/>
  <c r="Q243" i="13"/>
  <c r="BA243" i="13" s="1"/>
  <c r="Q196" i="13"/>
  <c r="BA196" i="13" s="1"/>
  <c r="Q172" i="13"/>
  <c r="Q156" i="13"/>
  <c r="BA156" i="13" s="1"/>
  <c r="Q147" i="13"/>
  <c r="BA147" i="13" s="1"/>
  <c r="Q137" i="13"/>
  <c r="BA137" i="13" s="1"/>
  <c r="Q129" i="13"/>
  <c r="BA129" i="13" s="1"/>
  <c r="Q121" i="13"/>
  <c r="BA121" i="13" s="1"/>
  <c r="Q113" i="13"/>
  <c r="BA113" i="13" s="1"/>
  <c r="Q105" i="13"/>
  <c r="BA105" i="13" s="1"/>
  <c r="Q97" i="13"/>
  <c r="BA97" i="13" s="1"/>
  <c r="Q85" i="13"/>
  <c r="BA85" i="13" s="1"/>
  <c r="Q73" i="13"/>
  <c r="BA73" i="13" s="1"/>
  <c r="Q63" i="13"/>
  <c r="BA63" i="13" s="1"/>
  <c r="Q55" i="13"/>
  <c r="BA55" i="13" s="1"/>
  <c r="Q47" i="13"/>
  <c r="BA47" i="13" s="1"/>
  <c r="Q39" i="13"/>
  <c r="BA39" i="13" s="1"/>
  <c r="Q30" i="13"/>
  <c r="BA30" i="13" s="1"/>
  <c r="Q22" i="13"/>
  <c r="BA22" i="13" s="1"/>
  <c r="Q14" i="13"/>
  <c r="BA14" i="13" s="1"/>
  <c r="Q337" i="13"/>
  <c r="BA337" i="13" s="1"/>
  <c r="Q307" i="13"/>
  <c r="BA307" i="13" s="1"/>
  <c r="Q272" i="13"/>
  <c r="BA272" i="13" s="1"/>
  <c r="Q228" i="13"/>
  <c r="BA228" i="13" s="1"/>
  <c r="Q183" i="13"/>
  <c r="BA183" i="13" s="1"/>
  <c r="Q179" i="13"/>
  <c r="BA179" i="13" s="1"/>
  <c r="Q169" i="13"/>
  <c r="BA169" i="13" s="1"/>
  <c r="Q161" i="13"/>
  <c r="BA161" i="13" s="1"/>
  <c r="Q153" i="13"/>
  <c r="BA153" i="13" s="1"/>
  <c r="Q144" i="13"/>
  <c r="Q134" i="13"/>
  <c r="BA134" i="13" s="1"/>
  <c r="Q126" i="13"/>
  <c r="BA126" i="13" s="1"/>
  <c r="Q118" i="13"/>
  <c r="BA118" i="13" s="1"/>
  <c r="Q110" i="13"/>
  <c r="BA110" i="13" s="1"/>
  <c r="Q102" i="13"/>
  <c r="BA102" i="13" s="1"/>
  <c r="Q93" i="13"/>
  <c r="BA93" i="13" s="1"/>
  <c r="Q81" i="13"/>
  <c r="BA81" i="13" s="1"/>
  <c r="Q70" i="13"/>
  <c r="Q60" i="13"/>
  <c r="BA60" i="13" s="1"/>
  <c r="Q52" i="13"/>
  <c r="BA52" i="13" s="1"/>
  <c r="Q44" i="13"/>
  <c r="BA44" i="13" s="1"/>
  <c r="Q36" i="13"/>
  <c r="BA36" i="13" s="1"/>
  <c r="Q27" i="13"/>
  <c r="BA27" i="13" s="1"/>
  <c r="Q19" i="13"/>
  <c r="BA19" i="13" s="1"/>
  <c r="Q11" i="13"/>
  <c r="BA11" i="13" s="1"/>
  <c r="Q323" i="13"/>
  <c r="BA323" i="13" s="1"/>
  <c r="Q293" i="13"/>
  <c r="BA293" i="13" s="1"/>
  <c r="Q255" i="13"/>
  <c r="BA255" i="13" s="1"/>
  <c r="Q204" i="13"/>
  <c r="BA204" i="13" s="1"/>
  <c r="Q194" i="13"/>
  <c r="BA194" i="13" s="1"/>
  <c r="Q176" i="13"/>
  <c r="BA176" i="13" s="1"/>
  <c r="Q158" i="13"/>
  <c r="BA158" i="13" s="1"/>
  <c r="Q150" i="13"/>
  <c r="BA150" i="13" s="1"/>
  <c r="Q139" i="13"/>
  <c r="BA139" i="13" s="1"/>
  <c r="Q131" i="13"/>
  <c r="BA131" i="13" s="1"/>
  <c r="Q123" i="13"/>
  <c r="BA123" i="13" s="1"/>
  <c r="Q115" i="13"/>
  <c r="BA115" i="13" s="1"/>
  <c r="Q107" i="13"/>
  <c r="BA107" i="13" s="1"/>
  <c r="Q99" i="13"/>
  <c r="BA99" i="13" s="1"/>
  <c r="Q89" i="13"/>
  <c r="BA89" i="13" s="1"/>
  <c r="Q75" i="13"/>
  <c r="BA75" i="13" s="1"/>
  <c r="Q66" i="13"/>
  <c r="BA66" i="13" s="1"/>
  <c r="Q57" i="13"/>
  <c r="BA57" i="13" s="1"/>
  <c r="Q49" i="13"/>
  <c r="BA49" i="13" s="1"/>
  <c r="Q41" i="13"/>
  <c r="BA41" i="13" s="1"/>
  <c r="Q32" i="13"/>
  <c r="BA32" i="13" s="1"/>
  <c r="Q24" i="13"/>
  <c r="BA24" i="13" s="1"/>
  <c r="Q16" i="13"/>
  <c r="BA16" i="13" s="1"/>
  <c r="Q171" i="13"/>
  <c r="BA171" i="13" s="1"/>
  <c r="Q104" i="13"/>
  <c r="BA104" i="13" s="1"/>
  <c r="Q29" i="13"/>
  <c r="BA29" i="13" s="1"/>
  <c r="Q236" i="13"/>
  <c r="BA236" i="13" s="1"/>
  <c r="Q146" i="13"/>
  <c r="BA146" i="13" s="1"/>
  <c r="Q72" i="13"/>
  <c r="BA72" i="13" s="1"/>
  <c r="Q120" i="13"/>
  <c r="BA120" i="13" s="1"/>
  <c r="Q46" i="13"/>
  <c r="BA46" i="13" s="1"/>
  <c r="Q216" i="13"/>
  <c r="BA216" i="13" s="1"/>
  <c r="Q163" i="13"/>
  <c r="BA163" i="13" s="1"/>
  <c r="Q96" i="13"/>
  <c r="BA96" i="13" s="1"/>
  <c r="Q21" i="13"/>
  <c r="BA21" i="13" s="1"/>
  <c r="Q136" i="13"/>
  <c r="BA136" i="13" s="1"/>
  <c r="Q62" i="13"/>
  <c r="BA62" i="13" s="1"/>
  <c r="Q281" i="13"/>
  <c r="BA281" i="13" s="1"/>
  <c r="Q155" i="13"/>
  <c r="BA155" i="13" s="1"/>
  <c r="Q84" i="13"/>
  <c r="BA84" i="13" s="1"/>
  <c r="Q13" i="13"/>
  <c r="BA13" i="13" s="1"/>
  <c r="I190" i="13"/>
  <c r="I318" i="13"/>
  <c r="I189" i="13"/>
  <c r="I317" i="13"/>
  <c r="I9" i="13"/>
  <c r="I8" i="13"/>
  <c r="I333" i="13"/>
  <c r="I323" i="13"/>
  <c r="I220" i="13"/>
  <c r="I314" i="13"/>
  <c r="I303" i="13"/>
  <c r="I340" i="13"/>
  <c r="I332" i="13"/>
  <c r="I322" i="13"/>
  <c r="I219" i="13"/>
  <c r="I312" i="13"/>
  <c r="I301" i="13"/>
  <c r="I337" i="13"/>
  <c r="I329" i="13"/>
  <c r="I225" i="13"/>
  <c r="I216" i="13"/>
  <c r="I307" i="13"/>
  <c r="I298" i="13"/>
  <c r="I339" i="13"/>
  <c r="I331" i="13"/>
  <c r="I321" i="13"/>
  <c r="I218" i="13"/>
  <c r="I309" i="13"/>
  <c r="I300" i="13"/>
  <c r="I13" i="13"/>
  <c r="J18" i="13"/>
  <c r="I21" i="13"/>
  <c r="J26" i="13"/>
  <c r="I29" i="13"/>
  <c r="J34" i="13"/>
  <c r="I38" i="13"/>
  <c r="J43" i="13"/>
  <c r="I46" i="13"/>
  <c r="J51" i="13"/>
  <c r="I54" i="13"/>
  <c r="J59" i="13"/>
  <c r="I62" i="13"/>
  <c r="J69" i="13"/>
  <c r="I72" i="13"/>
  <c r="J78" i="13"/>
  <c r="I84" i="13"/>
  <c r="J91" i="13"/>
  <c r="I96" i="13"/>
  <c r="J101" i="13"/>
  <c r="I104" i="13"/>
  <c r="J109" i="13"/>
  <c r="I112" i="13"/>
  <c r="J117" i="13"/>
  <c r="I120" i="13"/>
  <c r="J125" i="13"/>
  <c r="I128" i="13"/>
  <c r="J133" i="13"/>
  <c r="I136" i="13"/>
  <c r="J143" i="13"/>
  <c r="I146" i="13"/>
  <c r="J152" i="13"/>
  <c r="I155" i="13"/>
  <c r="J160" i="13"/>
  <c r="I163" i="13"/>
  <c r="J168" i="13"/>
  <c r="I171" i="13"/>
  <c r="J178" i="13"/>
  <c r="I181" i="13"/>
  <c r="J186" i="13"/>
  <c r="I194" i="13"/>
  <c r="J199" i="13"/>
  <c r="I204" i="13"/>
  <c r="J209" i="13"/>
  <c r="I212" i="13"/>
  <c r="J229" i="13"/>
  <c r="I232" i="13"/>
  <c r="J237" i="13"/>
  <c r="I243" i="13"/>
  <c r="J251" i="13"/>
  <c r="I255" i="13"/>
  <c r="J261" i="13"/>
  <c r="J273" i="13"/>
  <c r="I277" i="13"/>
  <c r="J282" i="13"/>
  <c r="I285" i="13"/>
  <c r="I293" i="13"/>
  <c r="J300" i="13"/>
  <c r="I315" i="13"/>
  <c r="J218" i="13"/>
  <c r="I324" i="13"/>
  <c r="J331" i="13"/>
  <c r="L12" i="13"/>
  <c r="M17" i="13"/>
  <c r="L28" i="13"/>
  <c r="M33" i="13"/>
  <c r="L45" i="13"/>
  <c r="M50" i="13"/>
  <c r="L61" i="13"/>
  <c r="M67" i="13"/>
  <c r="L83" i="13"/>
  <c r="M90" i="13"/>
  <c r="L103" i="13"/>
  <c r="M108" i="13"/>
  <c r="L119" i="13"/>
  <c r="M124" i="13"/>
  <c r="L135" i="13"/>
  <c r="M141" i="13"/>
  <c r="L154" i="13"/>
  <c r="M159" i="13"/>
  <c r="L170" i="13"/>
  <c r="M177" i="13"/>
  <c r="L192" i="13"/>
  <c r="M198" i="13"/>
  <c r="M212" i="13"/>
  <c r="L231" i="13"/>
  <c r="M238" i="13"/>
  <c r="M259" i="13"/>
  <c r="L280" i="13"/>
  <c r="L294" i="13"/>
  <c r="M303" i="13"/>
  <c r="L312" i="13"/>
  <c r="M218" i="13"/>
  <c r="M329" i="13"/>
  <c r="P36" i="13"/>
  <c r="P50" i="13"/>
  <c r="P64" i="13"/>
  <c r="Q112" i="13"/>
  <c r="BA112" i="13" s="1"/>
  <c r="AN8" i="13"/>
  <c r="AN190" i="13"/>
  <c r="AN318" i="13"/>
  <c r="AN189" i="13"/>
  <c r="AN317" i="13"/>
  <c r="AN9" i="13"/>
  <c r="AN340" i="13"/>
  <c r="AN332" i="13"/>
  <c r="AN322" i="13"/>
  <c r="AN219" i="13"/>
  <c r="AN312" i="13"/>
  <c r="AN301" i="13"/>
  <c r="AN276" i="13"/>
  <c r="AN264" i="13"/>
  <c r="AN253" i="13"/>
  <c r="AN240" i="13"/>
  <c r="AN337" i="13"/>
  <c r="AN329" i="13"/>
  <c r="AN225" i="13"/>
  <c r="AN216" i="13"/>
  <c r="AN307" i="13"/>
  <c r="AN298" i="13"/>
  <c r="AN289" i="13"/>
  <c r="AN281" i="13"/>
  <c r="AN272" i="13"/>
  <c r="AN259" i="13"/>
  <c r="AN250" i="13"/>
  <c r="AN236" i="13"/>
  <c r="AN334" i="13"/>
  <c r="AN324" i="13"/>
  <c r="AN221" i="13"/>
  <c r="AN315" i="13"/>
  <c r="AN304" i="13"/>
  <c r="AN294" i="13"/>
  <c r="AN286" i="13"/>
  <c r="AN278" i="13"/>
  <c r="AN267" i="13"/>
  <c r="AN256" i="13"/>
  <c r="AN245" i="13"/>
  <c r="AN233" i="13"/>
  <c r="AN339" i="13"/>
  <c r="AN331" i="13"/>
  <c r="AN321" i="13"/>
  <c r="AN218" i="13"/>
  <c r="AN309" i="13"/>
  <c r="AN300" i="13"/>
  <c r="AN291" i="13"/>
  <c r="AN283" i="13"/>
  <c r="AN275" i="13"/>
  <c r="AN263" i="13"/>
  <c r="AN252" i="13"/>
  <c r="AN238" i="13"/>
  <c r="AN336" i="13"/>
  <c r="AN327" i="13"/>
  <c r="AN223" i="13"/>
  <c r="AN215" i="13"/>
  <c r="AN306" i="13"/>
  <c r="AN297" i="13"/>
  <c r="AN288" i="13"/>
  <c r="AN280" i="13"/>
  <c r="AN258" i="13"/>
  <c r="AN249" i="13"/>
  <c r="AN235" i="13"/>
  <c r="AN338" i="13"/>
  <c r="AN330" i="13"/>
  <c r="AN320" i="13"/>
  <c r="AN217" i="13"/>
  <c r="AN308" i="13"/>
  <c r="AN299" i="13"/>
  <c r="AN282" i="13"/>
  <c r="AN273" i="13"/>
  <c r="AN261" i="13"/>
  <c r="AN251" i="13"/>
  <c r="AN237" i="13"/>
  <c r="AN325" i="13"/>
  <c r="AN257" i="13"/>
  <c r="AN228" i="13"/>
  <c r="AN208" i="13"/>
  <c r="AN198" i="13"/>
  <c r="AN185" i="13"/>
  <c r="AN177" i="13"/>
  <c r="AN167" i="13"/>
  <c r="AN159" i="13"/>
  <c r="AN151" i="13"/>
  <c r="AN141" i="13"/>
  <c r="AN132" i="13"/>
  <c r="AN124" i="13"/>
  <c r="AN116" i="13"/>
  <c r="AN108" i="13"/>
  <c r="AN100" i="13"/>
  <c r="AN90" i="13"/>
  <c r="AN67" i="13"/>
  <c r="AN58" i="13"/>
  <c r="AN50" i="13"/>
  <c r="AN42" i="13"/>
  <c r="AN33" i="13"/>
  <c r="AN25" i="13"/>
  <c r="AN17" i="13"/>
  <c r="AN323" i="13"/>
  <c r="AN293" i="13"/>
  <c r="AN255" i="13"/>
  <c r="AN213" i="13"/>
  <c r="AN205" i="13"/>
  <c r="AN195" i="13"/>
  <c r="AN182" i="13"/>
  <c r="AN172" i="13"/>
  <c r="AN156" i="13"/>
  <c r="AN147" i="13"/>
  <c r="AN137" i="13"/>
  <c r="AN129" i="13"/>
  <c r="AN121" i="13"/>
  <c r="AN113" i="13"/>
  <c r="AN105" i="13"/>
  <c r="AN97" i="13"/>
  <c r="AN85" i="13"/>
  <c r="AN73" i="13"/>
  <c r="AN63" i="13"/>
  <c r="AN55" i="13"/>
  <c r="AN47" i="13"/>
  <c r="AN39" i="13"/>
  <c r="AN30" i="13"/>
  <c r="AN22" i="13"/>
  <c r="AN14" i="13"/>
  <c r="AN335" i="13"/>
  <c r="AN305" i="13"/>
  <c r="AN270" i="13"/>
  <c r="AN230" i="13"/>
  <c r="AN210" i="13"/>
  <c r="AN201" i="13"/>
  <c r="AN187" i="13"/>
  <c r="AN179" i="13"/>
  <c r="AN169" i="13"/>
  <c r="AN161" i="13"/>
  <c r="AN153" i="13"/>
  <c r="AN144" i="13"/>
  <c r="AN134" i="13"/>
  <c r="AN126" i="13"/>
  <c r="AN118" i="13"/>
  <c r="AN110" i="13"/>
  <c r="AN102" i="13"/>
  <c r="AN93" i="13"/>
  <c r="AN81" i="13"/>
  <c r="AN70" i="13"/>
  <c r="AN60" i="13"/>
  <c r="AN52" i="13"/>
  <c r="AN44" i="13"/>
  <c r="AN36" i="13"/>
  <c r="AN27" i="13"/>
  <c r="AN19" i="13"/>
  <c r="AN11" i="13"/>
  <c r="AN333" i="13"/>
  <c r="AN303" i="13"/>
  <c r="AN227" i="13"/>
  <c r="AN207" i="13"/>
  <c r="AN197" i="13"/>
  <c r="AN184" i="13"/>
  <c r="AN176" i="13"/>
  <c r="AN158" i="13"/>
  <c r="AN150" i="13"/>
  <c r="AN139" i="13"/>
  <c r="AN131" i="13"/>
  <c r="AN123" i="13"/>
  <c r="AN115" i="13"/>
  <c r="AN107" i="13"/>
  <c r="AN99" i="13"/>
  <c r="AN89" i="13"/>
  <c r="AN75" i="13"/>
  <c r="AN66" i="13"/>
  <c r="AN57" i="13"/>
  <c r="AN49" i="13"/>
  <c r="AN41" i="13"/>
  <c r="AN32" i="13"/>
  <c r="AN24" i="13"/>
  <c r="AN16" i="13"/>
  <c r="AN316" i="13"/>
  <c r="AN279" i="13"/>
  <c r="AN234" i="13"/>
  <c r="AN212" i="13"/>
  <c r="AN204" i="13"/>
  <c r="AN194" i="13"/>
  <c r="AN181" i="13"/>
  <c r="AN171" i="13"/>
  <c r="AN163" i="13"/>
  <c r="AN155" i="13"/>
  <c r="AN146" i="13"/>
  <c r="AN136" i="13"/>
  <c r="AN128" i="13"/>
  <c r="AN120" i="13"/>
  <c r="AN112" i="13"/>
  <c r="AN104" i="13"/>
  <c r="AN96" i="13"/>
  <c r="AN84" i="13"/>
  <c r="AN72" i="13"/>
  <c r="AN62" i="13"/>
  <c r="AN54" i="13"/>
  <c r="AN46" i="13"/>
  <c r="AN38" i="13"/>
  <c r="AN29" i="13"/>
  <c r="AN21" i="13"/>
  <c r="AN13" i="13"/>
  <c r="AN222" i="13"/>
  <c r="AN287" i="13"/>
  <c r="AN246" i="13"/>
  <c r="AN214" i="13"/>
  <c r="AN206" i="13"/>
  <c r="AN196" i="13"/>
  <c r="AN183" i="13"/>
  <c r="AN174" i="13"/>
  <c r="AN165" i="13"/>
  <c r="AN157" i="13"/>
  <c r="AN148" i="13"/>
  <c r="AN138" i="13"/>
  <c r="AN130" i="13"/>
  <c r="AN122" i="13"/>
  <c r="AN114" i="13"/>
  <c r="AN106" i="13"/>
  <c r="AN98" i="13"/>
  <c r="AN87" i="13"/>
  <c r="AN74" i="13"/>
  <c r="AN64" i="13"/>
  <c r="AN56" i="13"/>
  <c r="AN48" i="13"/>
  <c r="AN40" i="13"/>
  <c r="AN31" i="13"/>
  <c r="AN23" i="13"/>
  <c r="AN15" i="13"/>
  <c r="AN220" i="13"/>
  <c r="AN192" i="13"/>
  <c r="AN154" i="13"/>
  <c r="AN119" i="13"/>
  <c r="AN83" i="13"/>
  <c r="AN45" i="13"/>
  <c r="AN12" i="13"/>
  <c r="AN314" i="13"/>
  <c r="AN186" i="13"/>
  <c r="AN152" i="13"/>
  <c r="AN117" i="13"/>
  <c r="AN78" i="13"/>
  <c r="AN43" i="13"/>
  <c r="AN203" i="13"/>
  <c r="AN162" i="13"/>
  <c r="AN127" i="13"/>
  <c r="AN95" i="13"/>
  <c r="AN53" i="13"/>
  <c r="AN20" i="13"/>
  <c r="AN199" i="13"/>
  <c r="AN160" i="13"/>
  <c r="AN125" i="13"/>
  <c r="AN91" i="13"/>
  <c r="AN51" i="13"/>
  <c r="AN18" i="13"/>
  <c r="AN243" i="13"/>
  <c r="AN211" i="13"/>
  <c r="AN170" i="13"/>
  <c r="AN135" i="13"/>
  <c r="AN103" i="13"/>
  <c r="AN61" i="13"/>
  <c r="AN28" i="13"/>
  <c r="AN285" i="13"/>
  <c r="AN231" i="13"/>
  <c r="AN180" i="13"/>
  <c r="AN145" i="13"/>
  <c r="AN111" i="13"/>
  <c r="AN71" i="13"/>
  <c r="AN37" i="13"/>
  <c r="AN109" i="13"/>
  <c r="AN101" i="13"/>
  <c r="AN143" i="13"/>
  <c r="AN133" i="13"/>
  <c r="AN277" i="13"/>
  <c r="AN178" i="13"/>
  <c r="AN34" i="13"/>
  <c r="AN229" i="13"/>
  <c r="AN69" i="13"/>
  <c r="AN168" i="13"/>
  <c r="AN59" i="13"/>
  <c r="AN232" i="13"/>
  <c r="AN26" i="13"/>
  <c r="AN209" i="13"/>
  <c r="AF8" i="13"/>
  <c r="AF190" i="13"/>
  <c r="BG190" i="13" s="1"/>
  <c r="AF318" i="13"/>
  <c r="BG318" i="13" s="1"/>
  <c r="AF189" i="13"/>
  <c r="BG189" i="13" s="1"/>
  <c r="AF317" i="13"/>
  <c r="BG317" i="13" s="1"/>
  <c r="AF9" i="13"/>
  <c r="BG9" i="13" s="1"/>
  <c r="AF338" i="13"/>
  <c r="BG338" i="13" s="1"/>
  <c r="AF330" i="13"/>
  <c r="BG330" i="13" s="1"/>
  <c r="AF320" i="13"/>
  <c r="BG320" i="13" s="1"/>
  <c r="AF217" i="13"/>
  <c r="BG217" i="13" s="1"/>
  <c r="AF308" i="13"/>
  <c r="BG308" i="13" s="1"/>
  <c r="AF299" i="13"/>
  <c r="BG299" i="13" s="1"/>
  <c r="AF282" i="13"/>
  <c r="BG282" i="13" s="1"/>
  <c r="AF273" i="13"/>
  <c r="BG273" i="13" s="1"/>
  <c r="AF261" i="13"/>
  <c r="BG261" i="13" s="1"/>
  <c r="AF251" i="13"/>
  <c r="BG251" i="13" s="1"/>
  <c r="AF237" i="13"/>
  <c r="BG237" i="13" s="1"/>
  <c r="AF229" i="13"/>
  <c r="BG229" i="13" s="1"/>
  <c r="AF209" i="13"/>
  <c r="BG209" i="13" s="1"/>
  <c r="AF199" i="13"/>
  <c r="BG199" i="13" s="1"/>
  <c r="AF186" i="13"/>
  <c r="BG186" i="13" s="1"/>
  <c r="AF178" i="13"/>
  <c r="BG178" i="13" s="1"/>
  <c r="AF168" i="13"/>
  <c r="BG168" i="13" s="1"/>
  <c r="AF160" i="13"/>
  <c r="BG160" i="13" s="1"/>
  <c r="AF152" i="13"/>
  <c r="BG152" i="13" s="1"/>
  <c r="AF143" i="13"/>
  <c r="BG143" i="13" s="1"/>
  <c r="AF133" i="13"/>
  <c r="BG133" i="13" s="1"/>
  <c r="AF125" i="13"/>
  <c r="BG125" i="13" s="1"/>
  <c r="AF117" i="13"/>
  <c r="BG117" i="13" s="1"/>
  <c r="AF109" i="13"/>
  <c r="BG109" i="13" s="1"/>
  <c r="AF101" i="13"/>
  <c r="BG101" i="13" s="1"/>
  <c r="AF91" i="13"/>
  <c r="BG91" i="13" s="1"/>
  <c r="AF78" i="13"/>
  <c r="BG78" i="13" s="1"/>
  <c r="AF69" i="13"/>
  <c r="BG69" i="13" s="1"/>
  <c r="AF59" i="13"/>
  <c r="BG59" i="13" s="1"/>
  <c r="AF51" i="13"/>
  <c r="BG51" i="13" s="1"/>
  <c r="AF335" i="13"/>
  <c r="BG335" i="13" s="1"/>
  <c r="AF325" i="13"/>
  <c r="BG325" i="13" s="1"/>
  <c r="AF222" i="13"/>
  <c r="BG222" i="13" s="1"/>
  <c r="AF316" i="13"/>
  <c r="BG316" i="13" s="1"/>
  <c r="AF305" i="13"/>
  <c r="BG305" i="13" s="1"/>
  <c r="AF287" i="13"/>
  <c r="BG287" i="13" s="1"/>
  <c r="AF279" i="13"/>
  <c r="BG279" i="13" s="1"/>
  <c r="AF270" i="13"/>
  <c r="BG270" i="13" s="1"/>
  <c r="AF257" i="13"/>
  <c r="BG257" i="13" s="1"/>
  <c r="AF246" i="13"/>
  <c r="BG246" i="13" s="1"/>
  <c r="AF234" i="13"/>
  <c r="BG234" i="13" s="1"/>
  <c r="AF214" i="13"/>
  <c r="BG214" i="13" s="1"/>
  <c r="AF206" i="13"/>
  <c r="BG206" i="13" s="1"/>
  <c r="AF196" i="13"/>
  <c r="BG196" i="13" s="1"/>
  <c r="AF183" i="13"/>
  <c r="BG183" i="13" s="1"/>
  <c r="AF174" i="13"/>
  <c r="BG174" i="13" s="1"/>
  <c r="AF165" i="13"/>
  <c r="BG165" i="13" s="1"/>
  <c r="AF157" i="13"/>
  <c r="BG157" i="13" s="1"/>
  <c r="AF148" i="13"/>
  <c r="BG148" i="13" s="1"/>
  <c r="AF138" i="13"/>
  <c r="BG138" i="13" s="1"/>
  <c r="AF130" i="13"/>
  <c r="BG130" i="13" s="1"/>
  <c r="AF122" i="13"/>
  <c r="BG122" i="13" s="1"/>
  <c r="AF114" i="13"/>
  <c r="BG114" i="13" s="1"/>
  <c r="AF106" i="13"/>
  <c r="BG106" i="13" s="1"/>
  <c r="AF98" i="13"/>
  <c r="BG98" i="13" s="1"/>
  <c r="AF87" i="13"/>
  <c r="BG87" i="13" s="1"/>
  <c r="AF74" i="13"/>
  <c r="BG74" i="13" s="1"/>
  <c r="AF64" i="13"/>
  <c r="BG64" i="13" s="1"/>
  <c r="AF56" i="13"/>
  <c r="BG56" i="13" s="1"/>
  <c r="AF48" i="13"/>
  <c r="BG48" i="13" s="1"/>
  <c r="AF40" i="13"/>
  <c r="BG40" i="13" s="1"/>
  <c r="AF340" i="13"/>
  <c r="BG340" i="13" s="1"/>
  <c r="AF332" i="13"/>
  <c r="BG332" i="13" s="1"/>
  <c r="AF322" i="13"/>
  <c r="BG322" i="13" s="1"/>
  <c r="AF219" i="13"/>
  <c r="BG219" i="13" s="1"/>
  <c r="AF312" i="13"/>
  <c r="BG312" i="13" s="1"/>
  <c r="AF301" i="13"/>
  <c r="BG301" i="13" s="1"/>
  <c r="AF276" i="13"/>
  <c r="BG276" i="13" s="1"/>
  <c r="AF264" i="13"/>
  <c r="BG264" i="13" s="1"/>
  <c r="AF253" i="13"/>
  <c r="BG253" i="13" s="1"/>
  <c r="AF240" i="13"/>
  <c r="BG240" i="13" s="1"/>
  <c r="AF231" i="13"/>
  <c r="BG231" i="13" s="1"/>
  <c r="AF211" i="13"/>
  <c r="BG211" i="13" s="1"/>
  <c r="AF203" i="13"/>
  <c r="BG203" i="13" s="1"/>
  <c r="AF192" i="13"/>
  <c r="BG192" i="13" s="1"/>
  <c r="AF180" i="13"/>
  <c r="BG180" i="13" s="1"/>
  <c r="AF170" i="13"/>
  <c r="BG170" i="13" s="1"/>
  <c r="AF162" i="13"/>
  <c r="BG162" i="13" s="1"/>
  <c r="AF154" i="13"/>
  <c r="BG154" i="13" s="1"/>
  <c r="AF145" i="13"/>
  <c r="BG145" i="13" s="1"/>
  <c r="AF135" i="13"/>
  <c r="BG135" i="13" s="1"/>
  <c r="AF127" i="13"/>
  <c r="BG127" i="13" s="1"/>
  <c r="AF119" i="13"/>
  <c r="BG119" i="13" s="1"/>
  <c r="AF111" i="13"/>
  <c r="BG111" i="13" s="1"/>
  <c r="AF103" i="13"/>
  <c r="BG103" i="13" s="1"/>
  <c r="AF95" i="13"/>
  <c r="BG95" i="13" s="1"/>
  <c r="AF83" i="13"/>
  <c r="BG83" i="13" s="1"/>
  <c r="AF71" i="13"/>
  <c r="BG71" i="13" s="1"/>
  <c r="AF61" i="13"/>
  <c r="BG61" i="13" s="1"/>
  <c r="AF53" i="13"/>
  <c r="BG53" i="13" s="1"/>
  <c r="AF45" i="13"/>
  <c r="BG45" i="13" s="1"/>
  <c r="AF37" i="13"/>
  <c r="BG37" i="13" s="1"/>
  <c r="AF28" i="13"/>
  <c r="BG28" i="13" s="1"/>
  <c r="AF337" i="13"/>
  <c r="BG337" i="13" s="1"/>
  <c r="AF329" i="13"/>
  <c r="BG329" i="13" s="1"/>
  <c r="AF225" i="13"/>
  <c r="BG225" i="13" s="1"/>
  <c r="AF216" i="13"/>
  <c r="BG216" i="13" s="1"/>
  <c r="AF307" i="13"/>
  <c r="BG307" i="13" s="1"/>
  <c r="AF298" i="13"/>
  <c r="BG298" i="13" s="1"/>
  <c r="AF289" i="13"/>
  <c r="BG289" i="13" s="1"/>
  <c r="AF281" i="13"/>
  <c r="BG281" i="13" s="1"/>
  <c r="AF272" i="13"/>
  <c r="BG272" i="13" s="1"/>
  <c r="AF259" i="13"/>
  <c r="BG259" i="13" s="1"/>
  <c r="AF250" i="13"/>
  <c r="BG250" i="13" s="1"/>
  <c r="AF236" i="13"/>
  <c r="BG236" i="13" s="1"/>
  <c r="AF228" i="13"/>
  <c r="BG228" i="13" s="1"/>
  <c r="AF208" i="13"/>
  <c r="BG208" i="13" s="1"/>
  <c r="AF198" i="13"/>
  <c r="BG198" i="13" s="1"/>
  <c r="AF185" i="13"/>
  <c r="BG185" i="13" s="1"/>
  <c r="AF177" i="13"/>
  <c r="BG177" i="13" s="1"/>
  <c r="AF167" i="13"/>
  <c r="BG167" i="13" s="1"/>
  <c r="AF159" i="13"/>
  <c r="BG159" i="13" s="1"/>
  <c r="AF151" i="13"/>
  <c r="BG151" i="13" s="1"/>
  <c r="AF141" i="13"/>
  <c r="BG141" i="13" s="1"/>
  <c r="AF132" i="13"/>
  <c r="BG132" i="13" s="1"/>
  <c r="AF124" i="13"/>
  <c r="BG124" i="13" s="1"/>
  <c r="AF116" i="13"/>
  <c r="BG116" i="13" s="1"/>
  <c r="AF108" i="13"/>
  <c r="BG108" i="13" s="1"/>
  <c r="AF100" i="13"/>
  <c r="BG100" i="13" s="1"/>
  <c r="AF90" i="13"/>
  <c r="BG90" i="13" s="1"/>
  <c r="AF67" i="13"/>
  <c r="BG67" i="13" s="1"/>
  <c r="AF58" i="13"/>
  <c r="BG58" i="13" s="1"/>
  <c r="AF50" i="13"/>
  <c r="BG50" i="13" s="1"/>
  <c r="AF42" i="13"/>
  <c r="BG42" i="13" s="1"/>
  <c r="AF33" i="13"/>
  <c r="BG33" i="13" s="1"/>
  <c r="AF334" i="13"/>
  <c r="BG334" i="13" s="1"/>
  <c r="AF324" i="13"/>
  <c r="BG324" i="13" s="1"/>
  <c r="AF221" i="13"/>
  <c r="BG221" i="13" s="1"/>
  <c r="AF315" i="13"/>
  <c r="BG315" i="13" s="1"/>
  <c r="AF304" i="13"/>
  <c r="BG304" i="13" s="1"/>
  <c r="AF294" i="13"/>
  <c r="BG294" i="13" s="1"/>
  <c r="AF286" i="13"/>
  <c r="BG286" i="13" s="1"/>
  <c r="AF278" i="13"/>
  <c r="BG278" i="13" s="1"/>
  <c r="AF267" i="13"/>
  <c r="BG267" i="13" s="1"/>
  <c r="AF256" i="13"/>
  <c r="BG256" i="13" s="1"/>
  <c r="AF245" i="13"/>
  <c r="BG245" i="13" s="1"/>
  <c r="AF233" i="13"/>
  <c r="BG233" i="13" s="1"/>
  <c r="AF213" i="13"/>
  <c r="BG213" i="13" s="1"/>
  <c r="AF205" i="13"/>
  <c r="BG205" i="13" s="1"/>
  <c r="AF195" i="13"/>
  <c r="BG195" i="13" s="1"/>
  <c r="AF182" i="13"/>
  <c r="BG182" i="13" s="1"/>
  <c r="AF172" i="13"/>
  <c r="BG172" i="13" s="1"/>
  <c r="AF156" i="13"/>
  <c r="BG156" i="13" s="1"/>
  <c r="AF147" i="13"/>
  <c r="BG147" i="13" s="1"/>
  <c r="AF137" i="13"/>
  <c r="BG137" i="13" s="1"/>
  <c r="AF129" i="13"/>
  <c r="BG129" i="13" s="1"/>
  <c r="AF121" i="13"/>
  <c r="BG121" i="13" s="1"/>
  <c r="AF113" i="13"/>
  <c r="BG113" i="13" s="1"/>
  <c r="AF105" i="13"/>
  <c r="BG105" i="13" s="1"/>
  <c r="AF97" i="13"/>
  <c r="BG97" i="13" s="1"/>
  <c r="AF85" i="13"/>
  <c r="BG85" i="13" s="1"/>
  <c r="AF73" i="13"/>
  <c r="BG73" i="13" s="1"/>
  <c r="AF63" i="13"/>
  <c r="BG63" i="13" s="1"/>
  <c r="AF55" i="13"/>
  <c r="BG55" i="13" s="1"/>
  <c r="AF47" i="13"/>
  <c r="BG47" i="13" s="1"/>
  <c r="AF39" i="13"/>
  <c r="BG39" i="13" s="1"/>
  <c r="AF30" i="13"/>
  <c r="BG30" i="13" s="1"/>
  <c r="AF336" i="13"/>
  <c r="BG336" i="13" s="1"/>
  <c r="AF327" i="13"/>
  <c r="BG327" i="13" s="1"/>
  <c r="AF223" i="13"/>
  <c r="BG223" i="13" s="1"/>
  <c r="AF215" i="13"/>
  <c r="BG215" i="13" s="1"/>
  <c r="AF306" i="13"/>
  <c r="BG306" i="13" s="1"/>
  <c r="AF297" i="13"/>
  <c r="BG297" i="13" s="1"/>
  <c r="AF288" i="13"/>
  <c r="BG288" i="13" s="1"/>
  <c r="AF280" i="13"/>
  <c r="BG280" i="13" s="1"/>
  <c r="AF258" i="13"/>
  <c r="BG258" i="13" s="1"/>
  <c r="AF249" i="13"/>
  <c r="BG249" i="13" s="1"/>
  <c r="AF235" i="13"/>
  <c r="BG235" i="13" s="1"/>
  <c r="AF227" i="13"/>
  <c r="BG227" i="13" s="1"/>
  <c r="AF207" i="13"/>
  <c r="BG207" i="13" s="1"/>
  <c r="AF197" i="13"/>
  <c r="BG197" i="13" s="1"/>
  <c r="AF184" i="13"/>
  <c r="BG184" i="13" s="1"/>
  <c r="AF176" i="13"/>
  <c r="BG176" i="13" s="1"/>
  <c r="AF158" i="13"/>
  <c r="BG158" i="13" s="1"/>
  <c r="AF150" i="13"/>
  <c r="BG150" i="13" s="1"/>
  <c r="AF139" i="13"/>
  <c r="BG139" i="13" s="1"/>
  <c r="AF131" i="13"/>
  <c r="BG131" i="13" s="1"/>
  <c r="AF123" i="13"/>
  <c r="BG123" i="13" s="1"/>
  <c r="AF115" i="13"/>
  <c r="BG115" i="13" s="1"/>
  <c r="AF107" i="13"/>
  <c r="BG107" i="13" s="1"/>
  <c r="AF99" i="13"/>
  <c r="BG99" i="13" s="1"/>
  <c r="AF89" i="13"/>
  <c r="BG89" i="13" s="1"/>
  <c r="AF75" i="13"/>
  <c r="BG75" i="13" s="1"/>
  <c r="AF66" i="13"/>
  <c r="BG66" i="13" s="1"/>
  <c r="AF57" i="13"/>
  <c r="BG57" i="13" s="1"/>
  <c r="AF49" i="13"/>
  <c r="BG49" i="13" s="1"/>
  <c r="AF41" i="13"/>
  <c r="BG41" i="13" s="1"/>
  <c r="AF32" i="13"/>
  <c r="BG32" i="13" s="1"/>
  <c r="AF314" i="13"/>
  <c r="BG314" i="13" s="1"/>
  <c r="AF277" i="13"/>
  <c r="BG277" i="13" s="1"/>
  <c r="AF232" i="13"/>
  <c r="BG232" i="13" s="1"/>
  <c r="AF181" i="13"/>
  <c r="BG181" i="13" s="1"/>
  <c r="AF146" i="13"/>
  <c r="BG146" i="13" s="1"/>
  <c r="AF112" i="13"/>
  <c r="BG112" i="13" s="1"/>
  <c r="AF72" i="13"/>
  <c r="BG72" i="13" s="1"/>
  <c r="AF20" i="13"/>
  <c r="BG20" i="13" s="1"/>
  <c r="AF12" i="13"/>
  <c r="BG12" i="13" s="1"/>
  <c r="AF339" i="13"/>
  <c r="BG339" i="13" s="1"/>
  <c r="AF309" i="13"/>
  <c r="BG309" i="13" s="1"/>
  <c r="AF275" i="13"/>
  <c r="BG275" i="13" s="1"/>
  <c r="AF230" i="13"/>
  <c r="BG230" i="13" s="1"/>
  <c r="AF179" i="13"/>
  <c r="BG179" i="13" s="1"/>
  <c r="AF144" i="13"/>
  <c r="BG144" i="13" s="1"/>
  <c r="AF110" i="13"/>
  <c r="BG110" i="13" s="1"/>
  <c r="AF70" i="13"/>
  <c r="BG70" i="13" s="1"/>
  <c r="AF25" i="13"/>
  <c r="BG25" i="13" s="1"/>
  <c r="AF17" i="13"/>
  <c r="BG17" i="13" s="1"/>
  <c r="AF220" i="13"/>
  <c r="BG220" i="13" s="1"/>
  <c r="AF285" i="13"/>
  <c r="BG285" i="13" s="1"/>
  <c r="AF243" i="13"/>
  <c r="BG243" i="13" s="1"/>
  <c r="AF194" i="13"/>
  <c r="BG194" i="13" s="1"/>
  <c r="AF155" i="13"/>
  <c r="BG155" i="13" s="1"/>
  <c r="AF120" i="13"/>
  <c r="BG120" i="13" s="1"/>
  <c r="AF84" i="13"/>
  <c r="BG84" i="13" s="1"/>
  <c r="AF46" i="13"/>
  <c r="BG46" i="13" s="1"/>
  <c r="AF38" i="13"/>
  <c r="BG38" i="13" s="1"/>
  <c r="AF22" i="13"/>
  <c r="BG22" i="13" s="1"/>
  <c r="AF14" i="13"/>
  <c r="BG14" i="13" s="1"/>
  <c r="AF218" i="13"/>
  <c r="BG218" i="13" s="1"/>
  <c r="AF283" i="13"/>
  <c r="BG283" i="13" s="1"/>
  <c r="AF238" i="13"/>
  <c r="BG238" i="13" s="1"/>
  <c r="AF187" i="13"/>
  <c r="BG187" i="13" s="1"/>
  <c r="AF153" i="13"/>
  <c r="BG153" i="13" s="1"/>
  <c r="AF118" i="13"/>
  <c r="BG118" i="13" s="1"/>
  <c r="AF81" i="13"/>
  <c r="BG81" i="13" s="1"/>
  <c r="AF44" i="13"/>
  <c r="BG44" i="13" s="1"/>
  <c r="AF27" i="13"/>
  <c r="BG27" i="13" s="1"/>
  <c r="AF19" i="13"/>
  <c r="BG19" i="13" s="1"/>
  <c r="AF11" i="13"/>
  <c r="BG11" i="13" s="1"/>
  <c r="AF323" i="13"/>
  <c r="BG323" i="13" s="1"/>
  <c r="AF293" i="13"/>
  <c r="BG293" i="13" s="1"/>
  <c r="AF255" i="13"/>
  <c r="BG255" i="13" s="1"/>
  <c r="AF204" i="13"/>
  <c r="BG204" i="13" s="1"/>
  <c r="AF163" i="13"/>
  <c r="BG163" i="13" s="1"/>
  <c r="AF128" i="13"/>
  <c r="BG128" i="13" s="1"/>
  <c r="AF96" i="13"/>
  <c r="BG96" i="13" s="1"/>
  <c r="AF54" i="13"/>
  <c r="BG54" i="13" s="1"/>
  <c r="AF31" i="13"/>
  <c r="BG31" i="13" s="1"/>
  <c r="AF24" i="13"/>
  <c r="BG24" i="13" s="1"/>
  <c r="AF16" i="13"/>
  <c r="BG16" i="13" s="1"/>
  <c r="AF333" i="13"/>
  <c r="BG333" i="13" s="1"/>
  <c r="AF303" i="13"/>
  <c r="BG303" i="13" s="1"/>
  <c r="AF212" i="13"/>
  <c r="BG212" i="13" s="1"/>
  <c r="AF171" i="13"/>
  <c r="BG171" i="13" s="1"/>
  <c r="AF136" i="13"/>
  <c r="BG136" i="13" s="1"/>
  <c r="AF104" i="13"/>
  <c r="BG104" i="13" s="1"/>
  <c r="AF62" i="13"/>
  <c r="BG62" i="13" s="1"/>
  <c r="AF29" i="13"/>
  <c r="BG29" i="13" s="1"/>
  <c r="AF26" i="13"/>
  <c r="BG26" i="13" s="1"/>
  <c r="AF18" i="13"/>
  <c r="BG18" i="13" s="1"/>
  <c r="AF291" i="13"/>
  <c r="BG291" i="13" s="1"/>
  <c r="AF126" i="13"/>
  <c r="BG126" i="13" s="1"/>
  <c r="AF36" i="13"/>
  <c r="BG36" i="13" s="1"/>
  <c r="AF21" i="13"/>
  <c r="BG21" i="13" s="1"/>
  <c r="AF331" i="13"/>
  <c r="BG331" i="13" s="1"/>
  <c r="AF169" i="13"/>
  <c r="BG169" i="13" s="1"/>
  <c r="AF34" i="13"/>
  <c r="BG34" i="13" s="1"/>
  <c r="AF321" i="13"/>
  <c r="BG321" i="13" s="1"/>
  <c r="AF161" i="13"/>
  <c r="BG161" i="13" s="1"/>
  <c r="AF210" i="13"/>
  <c r="BG210" i="13" s="1"/>
  <c r="AF60" i="13"/>
  <c r="BG60" i="13" s="1"/>
  <c r="AF201" i="13"/>
  <c r="BG201" i="13" s="1"/>
  <c r="AF52" i="13"/>
  <c r="BG52" i="13" s="1"/>
  <c r="AF263" i="13"/>
  <c r="BG263" i="13" s="1"/>
  <c r="AF102" i="13"/>
  <c r="BG102" i="13" s="1"/>
  <c r="AF15" i="13"/>
  <c r="BG15" i="13" s="1"/>
  <c r="AF252" i="13"/>
  <c r="BG252" i="13" s="1"/>
  <c r="AF93" i="13"/>
  <c r="BG93" i="13" s="1"/>
  <c r="AF43" i="13"/>
  <c r="BG43" i="13" s="1"/>
  <c r="AF13" i="13"/>
  <c r="BG13" i="13" s="1"/>
  <c r="AF300" i="13"/>
  <c r="BG300" i="13" s="1"/>
  <c r="AF134" i="13"/>
  <c r="BG134" i="13" s="1"/>
  <c r="AF23" i="13"/>
  <c r="BG23" i="13" s="1"/>
  <c r="X8" i="13"/>
  <c r="X190" i="13"/>
  <c r="X318" i="13"/>
  <c r="X189" i="13"/>
  <c r="X317" i="13"/>
  <c r="X9" i="13"/>
  <c r="X340" i="13"/>
  <c r="X332" i="13"/>
  <c r="X322" i="13"/>
  <c r="X219" i="13"/>
  <c r="X312" i="13"/>
  <c r="X301" i="13"/>
  <c r="X276" i="13"/>
  <c r="X264" i="13"/>
  <c r="X337" i="13"/>
  <c r="X329" i="13"/>
  <c r="X225" i="13"/>
  <c r="X216" i="13"/>
  <c r="X307" i="13"/>
  <c r="X298" i="13"/>
  <c r="X289" i="13"/>
  <c r="X281" i="13"/>
  <c r="X272" i="13"/>
  <c r="X259" i="13"/>
  <c r="X250" i="13"/>
  <c r="X236" i="13"/>
  <c r="X228" i="13"/>
  <c r="X208" i="13"/>
  <c r="X198" i="13"/>
  <c r="X185" i="13"/>
  <c r="X177" i="13"/>
  <c r="X167" i="13"/>
  <c r="X159" i="13"/>
  <c r="X151" i="13"/>
  <c r="X141" i="13"/>
  <c r="X132" i="13"/>
  <c r="X124" i="13"/>
  <c r="X116" i="13"/>
  <c r="X108" i="13"/>
  <c r="X100" i="13"/>
  <c r="X90" i="13"/>
  <c r="X67" i="13"/>
  <c r="X58" i="13"/>
  <c r="X50" i="13"/>
  <c r="X42" i="13"/>
  <c r="X33" i="13"/>
  <c r="X25" i="13"/>
  <c r="X17" i="13"/>
  <c r="X334" i="13"/>
  <c r="X324" i="13"/>
  <c r="X221" i="13"/>
  <c r="X315" i="13"/>
  <c r="X304" i="13"/>
  <c r="X294" i="13"/>
  <c r="X286" i="13"/>
  <c r="X278" i="13"/>
  <c r="X267" i="13"/>
  <c r="X256" i="13"/>
  <c r="X245" i="13"/>
  <c r="X233" i="13"/>
  <c r="X213" i="13"/>
  <c r="X205" i="13"/>
  <c r="X195" i="13"/>
  <c r="X182" i="13"/>
  <c r="X172" i="13"/>
  <c r="X156" i="13"/>
  <c r="X147" i="13"/>
  <c r="X137" i="13"/>
  <c r="X129" i="13"/>
  <c r="X121" i="13"/>
  <c r="X113" i="13"/>
  <c r="X105" i="13"/>
  <c r="X97" i="13"/>
  <c r="X85" i="13"/>
  <c r="X73" i="13"/>
  <c r="X63" i="13"/>
  <c r="X55" i="13"/>
  <c r="X47" i="13"/>
  <c r="X39" i="13"/>
  <c r="X30" i="13"/>
  <c r="X22" i="13"/>
  <c r="X14" i="13"/>
  <c r="X339" i="13"/>
  <c r="X331" i="13"/>
  <c r="X321" i="13"/>
  <c r="X218" i="13"/>
  <c r="X309" i="13"/>
  <c r="X300" i="13"/>
  <c r="X291" i="13"/>
  <c r="X283" i="13"/>
  <c r="X275" i="13"/>
  <c r="X263" i="13"/>
  <c r="X252" i="13"/>
  <c r="X238" i="13"/>
  <c r="X230" i="13"/>
  <c r="X210" i="13"/>
  <c r="X201" i="13"/>
  <c r="X187" i="13"/>
  <c r="X179" i="13"/>
  <c r="X169" i="13"/>
  <c r="X161" i="13"/>
  <c r="X153" i="13"/>
  <c r="X144" i="13"/>
  <c r="X134" i="13"/>
  <c r="X126" i="13"/>
  <c r="X118" i="13"/>
  <c r="X110" i="13"/>
  <c r="X102" i="13"/>
  <c r="X93" i="13"/>
  <c r="X81" i="13"/>
  <c r="X70" i="13"/>
  <c r="X60" i="13"/>
  <c r="X52" i="13"/>
  <c r="X44" i="13"/>
  <c r="X36" i="13"/>
  <c r="X27" i="13"/>
  <c r="X19" i="13"/>
  <c r="X11" i="13"/>
  <c r="X336" i="13"/>
  <c r="X327" i="13"/>
  <c r="X223" i="13"/>
  <c r="X215" i="13"/>
  <c r="X306" i="13"/>
  <c r="X297" i="13"/>
  <c r="X288" i="13"/>
  <c r="X280" i="13"/>
  <c r="X258" i="13"/>
  <c r="X249" i="13"/>
  <c r="X235" i="13"/>
  <c r="X227" i="13"/>
  <c r="X207" i="13"/>
  <c r="X197" i="13"/>
  <c r="X184" i="13"/>
  <c r="X176" i="13"/>
  <c r="X158" i="13"/>
  <c r="X150" i="13"/>
  <c r="X139" i="13"/>
  <c r="X131" i="13"/>
  <c r="X123" i="13"/>
  <c r="X115" i="13"/>
  <c r="X107" i="13"/>
  <c r="X99" i="13"/>
  <c r="X89" i="13"/>
  <c r="X75" i="13"/>
  <c r="X66" i="13"/>
  <c r="X57" i="13"/>
  <c r="X49" i="13"/>
  <c r="X41" i="13"/>
  <c r="X32" i="13"/>
  <c r="X24" i="13"/>
  <c r="X16" i="13"/>
  <c r="X333" i="13"/>
  <c r="X323" i="13"/>
  <c r="X220" i="13"/>
  <c r="X314" i="13"/>
  <c r="X303" i="13"/>
  <c r="X293" i="13"/>
  <c r="X285" i="13"/>
  <c r="X277" i="13"/>
  <c r="X255" i="13"/>
  <c r="X338" i="13"/>
  <c r="X330" i="13"/>
  <c r="X320" i="13"/>
  <c r="X217" i="13"/>
  <c r="X308" i="13"/>
  <c r="X299" i="13"/>
  <c r="X282" i="13"/>
  <c r="X273" i="13"/>
  <c r="X261" i="13"/>
  <c r="X251" i="13"/>
  <c r="X237" i="13"/>
  <c r="X229" i="13"/>
  <c r="X209" i="13"/>
  <c r="X199" i="13"/>
  <c r="X186" i="13"/>
  <c r="X178" i="13"/>
  <c r="X168" i="13"/>
  <c r="X160" i="13"/>
  <c r="X152" i="13"/>
  <c r="X143" i="13"/>
  <c r="X133" i="13"/>
  <c r="X125" i="13"/>
  <c r="X117" i="13"/>
  <c r="X109" i="13"/>
  <c r="X101" i="13"/>
  <c r="X91" i="13"/>
  <c r="X78" i="13"/>
  <c r="X69" i="13"/>
  <c r="X59" i="13"/>
  <c r="X51" i="13"/>
  <c r="X43" i="13"/>
  <c r="X34" i="13"/>
  <c r="X26" i="13"/>
  <c r="X18" i="13"/>
  <c r="X335" i="13"/>
  <c r="X325" i="13"/>
  <c r="X222" i="13"/>
  <c r="X316" i="13"/>
  <c r="X305" i="13"/>
  <c r="X287" i="13"/>
  <c r="X279" i="13"/>
  <c r="X270" i="13"/>
  <c r="X257" i="13"/>
  <c r="X246" i="13"/>
  <c r="X234" i="13"/>
  <c r="X214" i="13"/>
  <c r="X206" i="13"/>
  <c r="X196" i="13"/>
  <c r="X183" i="13"/>
  <c r="X174" i="13"/>
  <c r="X165" i="13"/>
  <c r="X157" i="13"/>
  <c r="X148" i="13"/>
  <c r="X138" i="13"/>
  <c r="X130" i="13"/>
  <c r="X122" i="13"/>
  <c r="X114" i="13"/>
  <c r="X106" i="13"/>
  <c r="X98" i="13"/>
  <c r="X87" i="13"/>
  <c r="X74" i="13"/>
  <c r="X64" i="13"/>
  <c r="X56" i="13"/>
  <c r="X48" i="13"/>
  <c r="X40" i="13"/>
  <c r="X31" i="13"/>
  <c r="X23" i="13"/>
  <c r="X15" i="13"/>
  <c r="X243" i="13"/>
  <c r="X194" i="13"/>
  <c r="X155" i="13"/>
  <c r="X120" i="13"/>
  <c r="X84" i="13"/>
  <c r="X46" i="13"/>
  <c r="X13" i="13"/>
  <c r="X240" i="13"/>
  <c r="X192" i="13"/>
  <c r="X154" i="13"/>
  <c r="X119" i="13"/>
  <c r="X83" i="13"/>
  <c r="X45" i="13"/>
  <c r="X12" i="13"/>
  <c r="X204" i="13"/>
  <c r="X163" i="13"/>
  <c r="X128" i="13"/>
  <c r="X96" i="13"/>
  <c r="X54" i="13"/>
  <c r="X21" i="13"/>
  <c r="X203" i="13"/>
  <c r="X162" i="13"/>
  <c r="X127" i="13"/>
  <c r="X95" i="13"/>
  <c r="X53" i="13"/>
  <c r="X20" i="13"/>
  <c r="X253" i="13"/>
  <c r="X212" i="13"/>
  <c r="X171" i="13"/>
  <c r="X136" i="13"/>
  <c r="X104" i="13"/>
  <c r="X62" i="13"/>
  <c r="X29" i="13"/>
  <c r="X211" i="13"/>
  <c r="X170" i="13"/>
  <c r="X135" i="13"/>
  <c r="X103" i="13"/>
  <c r="X61" i="13"/>
  <c r="X28" i="13"/>
  <c r="X232" i="13"/>
  <c r="X181" i="13"/>
  <c r="X146" i="13"/>
  <c r="X112" i="13"/>
  <c r="X72" i="13"/>
  <c r="X38" i="13"/>
  <c r="X231" i="13"/>
  <c r="X180" i="13"/>
  <c r="X145" i="13"/>
  <c r="X111" i="13"/>
  <c r="X71" i="13"/>
  <c r="X37" i="13"/>
  <c r="P8" i="13"/>
  <c r="P190" i="13"/>
  <c r="P318" i="13"/>
  <c r="P189" i="13"/>
  <c r="P317" i="13"/>
  <c r="P9" i="13"/>
  <c r="P334" i="13"/>
  <c r="P324" i="13"/>
  <c r="P221" i="13"/>
  <c r="P315" i="13"/>
  <c r="P304" i="13"/>
  <c r="P294" i="13"/>
  <c r="P286" i="13"/>
  <c r="P278" i="13"/>
  <c r="P267" i="13"/>
  <c r="P256" i="13"/>
  <c r="P245" i="13"/>
  <c r="P233" i="13"/>
  <c r="P213" i="13"/>
  <c r="P205" i="13"/>
  <c r="P195" i="13"/>
  <c r="P182" i="13"/>
  <c r="P172" i="13"/>
  <c r="P156" i="13"/>
  <c r="P147" i="13"/>
  <c r="P137" i="13"/>
  <c r="P129" i="13"/>
  <c r="P121" i="13"/>
  <c r="P113" i="13"/>
  <c r="P105" i="13"/>
  <c r="P97" i="13"/>
  <c r="P339" i="13"/>
  <c r="P331" i="13"/>
  <c r="P321" i="13"/>
  <c r="P218" i="13"/>
  <c r="P309" i="13"/>
  <c r="P300" i="13"/>
  <c r="P291" i="13"/>
  <c r="P283" i="13"/>
  <c r="P275" i="13"/>
  <c r="P263" i="13"/>
  <c r="P252" i="13"/>
  <c r="P238" i="13"/>
  <c r="P230" i="13"/>
  <c r="P210" i="13"/>
  <c r="P201" i="13"/>
  <c r="P187" i="13"/>
  <c r="P179" i="13"/>
  <c r="P169" i="13"/>
  <c r="P161" i="13"/>
  <c r="P153" i="13"/>
  <c r="P144" i="13"/>
  <c r="P134" i="13"/>
  <c r="P126" i="13"/>
  <c r="P118" i="13"/>
  <c r="P110" i="13"/>
  <c r="P102" i="13"/>
  <c r="P336" i="13"/>
  <c r="P327" i="13"/>
  <c r="P223" i="13"/>
  <c r="P215" i="13"/>
  <c r="P306" i="13"/>
  <c r="P297" i="13"/>
  <c r="P288" i="13"/>
  <c r="P280" i="13"/>
  <c r="P258" i="13"/>
  <c r="P249" i="13"/>
  <c r="P235" i="13"/>
  <c r="P227" i="13"/>
  <c r="P207" i="13"/>
  <c r="P197" i="13"/>
  <c r="P184" i="13"/>
  <c r="P176" i="13"/>
  <c r="P158" i="13"/>
  <c r="P150" i="13"/>
  <c r="P139" i="13"/>
  <c r="P131" i="13"/>
  <c r="P123" i="13"/>
  <c r="P115" i="13"/>
  <c r="P107" i="13"/>
  <c r="P99" i="13"/>
  <c r="P333" i="13"/>
  <c r="P323" i="13"/>
  <c r="P220" i="13"/>
  <c r="P314" i="13"/>
  <c r="P303" i="13"/>
  <c r="P293" i="13"/>
  <c r="P285" i="13"/>
  <c r="P277" i="13"/>
  <c r="P255" i="13"/>
  <c r="P243" i="13"/>
  <c r="P232" i="13"/>
  <c r="P212" i="13"/>
  <c r="P204" i="13"/>
  <c r="P194" i="13"/>
  <c r="P181" i="13"/>
  <c r="P171" i="13"/>
  <c r="P163" i="13"/>
  <c r="P155" i="13"/>
  <c r="P146" i="13"/>
  <c r="P136" i="13"/>
  <c r="P128" i="13"/>
  <c r="P120" i="13"/>
  <c r="P112" i="13"/>
  <c r="P104" i="13"/>
  <c r="P96" i="13"/>
  <c r="P338" i="13"/>
  <c r="P330" i="13"/>
  <c r="P320" i="13"/>
  <c r="P217" i="13"/>
  <c r="P308" i="13"/>
  <c r="P299" i="13"/>
  <c r="P282" i="13"/>
  <c r="P273" i="13"/>
  <c r="P261" i="13"/>
  <c r="P251" i="13"/>
  <c r="P237" i="13"/>
  <c r="P229" i="13"/>
  <c r="P209" i="13"/>
  <c r="P199" i="13"/>
  <c r="P186" i="13"/>
  <c r="P178" i="13"/>
  <c r="P168" i="13"/>
  <c r="P160" i="13"/>
  <c r="P152" i="13"/>
  <c r="P143" i="13"/>
  <c r="P133" i="13"/>
  <c r="P125" i="13"/>
  <c r="P117" i="13"/>
  <c r="P109" i="13"/>
  <c r="P335" i="13"/>
  <c r="P325" i="13"/>
  <c r="P222" i="13"/>
  <c r="P316" i="13"/>
  <c r="P305" i="13"/>
  <c r="P287" i="13"/>
  <c r="P279" i="13"/>
  <c r="P270" i="13"/>
  <c r="P257" i="13"/>
  <c r="P246" i="13"/>
  <c r="P234" i="13"/>
  <c r="P214" i="13"/>
  <c r="P206" i="13"/>
  <c r="P196" i="13"/>
  <c r="P183" i="13"/>
  <c r="P174" i="13"/>
  <c r="P165" i="13"/>
  <c r="P157" i="13"/>
  <c r="P148" i="13"/>
  <c r="P138" i="13"/>
  <c r="P130" i="13"/>
  <c r="P122" i="13"/>
  <c r="P114" i="13"/>
  <c r="P106" i="13"/>
  <c r="P98" i="13"/>
  <c r="P340" i="13"/>
  <c r="P332" i="13"/>
  <c r="P322" i="13"/>
  <c r="P219" i="13"/>
  <c r="P312" i="13"/>
  <c r="P301" i="13"/>
  <c r="P276" i="13"/>
  <c r="P264" i="13"/>
  <c r="P253" i="13"/>
  <c r="P240" i="13"/>
  <c r="P231" i="13"/>
  <c r="P211" i="13"/>
  <c r="P203" i="13"/>
  <c r="P192" i="13"/>
  <c r="P180" i="13"/>
  <c r="P170" i="13"/>
  <c r="P162" i="13"/>
  <c r="P154" i="13"/>
  <c r="P145" i="13"/>
  <c r="P135" i="13"/>
  <c r="P127" i="13"/>
  <c r="P119" i="13"/>
  <c r="P111" i="13"/>
  <c r="P103" i="13"/>
  <c r="P95" i="13"/>
  <c r="P337" i="13"/>
  <c r="P272" i="13"/>
  <c r="P177" i="13"/>
  <c r="P108" i="13"/>
  <c r="P90" i="13"/>
  <c r="P85" i="13"/>
  <c r="P73" i="13"/>
  <c r="P63" i="13"/>
  <c r="P55" i="13"/>
  <c r="P47" i="13"/>
  <c r="P39" i="13"/>
  <c r="P30" i="13"/>
  <c r="P22" i="13"/>
  <c r="P14" i="13"/>
  <c r="P216" i="13"/>
  <c r="P236" i="13"/>
  <c r="P151" i="13"/>
  <c r="P81" i="13"/>
  <c r="P289" i="13"/>
  <c r="P198" i="13"/>
  <c r="P124" i="13"/>
  <c r="P89" i="13"/>
  <c r="P75" i="13"/>
  <c r="P66" i="13"/>
  <c r="P57" i="13"/>
  <c r="P49" i="13"/>
  <c r="P41" i="13"/>
  <c r="P32" i="13"/>
  <c r="P24" i="13"/>
  <c r="P16" i="13"/>
  <c r="P329" i="13"/>
  <c r="P259" i="13"/>
  <c r="P167" i="13"/>
  <c r="P84" i="13"/>
  <c r="P72" i="13"/>
  <c r="P62" i="13"/>
  <c r="P54" i="13"/>
  <c r="P46" i="13"/>
  <c r="P38" i="13"/>
  <c r="P29" i="13"/>
  <c r="P21" i="13"/>
  <c r="P13" i="13"/>
  <c r="P307" i="13"/>
  <c r="P228" i="13"/>
  <c r="P141" i="13"/>
  <c r="P101" i="13"/>
  <c r="P78" i="13"/>
  <c r="P69" i="13"/>
  <c r="P59" i="13"/>
  <c r="P51" i="13"/>
  <c r="P43" i="13"/>
  <c r="P34" i="13"/>
  <c r="P26" i="13"/>
  <c r="P18" i="13"/>
  <c r="P225" i="13"/>
  <c r="P250" i="13"/>
  <c r="P159" i="13"/>
  <c r="P91" i="13"/>
  <c r="P83" i="13"/>
  <c r="P71" i="13"/>
  <c r="P61" i="13"/>
  <c r="P53" i="13"/>
  <c r="P45" i="13"/>
  <c r="P37" i="13"/>
  <c r="P28" i="13"/>
  <c r="P20" i="13"/>
  <c r="P12" i="13"/>
  <c r="J29" i="13"/>
  <c r="I32" i="13"/>
  <c r="J38" i="13"/>
  <c r="I41" i="13"/>
  <c r="J46" i="13"/>
  <c r="I49" i="13"/>
  <c r="J54" i="13"/>
  <c r="I57" i="13"/>
  <c r="J62" i="13"/>
  <c r="I66" i="13"/>
  <c r="J72" i="13"/>
  <c r="I75" i="13"/>
  <c r="J84" i="13"/>
  <c r="I89" i="13"/>
  <c r="J96" i="13"/>
  <c r="I99" i="13"/>
  <c r="J104" i="13"/>
  <c r="I107" i="13"/>
  <c r="J112" i="13"/>
  <c r="I115" i="13"/>
  <c r="J120" i="13"/>
  <c r="I123" i="13"/>
  <c r="J128" i="13"/>
  <c r="I131" i="13"/>
  <c r="J136" i="13"/>
  <c r="I139" i="13"/>
  <c r="J146" i="13"/>
  <c r="I150" i="13"/>
  <c r="J155" i="13"/>
  <c r="I158" i="13"/>
  <c r="J163" i="13"/>
  <c r="J171" i="13"/>
  <c r="I176" i="13"/>
  <c r="J181" i="13"/>
  <c r="I184" i="13"/>
  <c r="J194" i="13"/>
  <c r="I197" i="13"/>
  <c r="J204" i="13"/>
  <c r="I207" i="13"/>
  <c r="J212" i="13"/>
  <c r="I227" i="13"/>
  <c r="J232" i="13"/>
  <c r="I235" i="13"/>
  <c r="J243" i="13"/>
  <c r="I249" i="13"/>
  <c r="J255" i="13"/>
  <c r="I258" i="13"/>
  <c r="J277" i="13"/>
  <c r="I280" i="13"/>
  <c r="J285" i="13"/>
  <c r="I288" i="13"/>
  <c r="J293" i="13"/>
  <c r="I297" i="13"/>
  <c r="J301" i="13"/>
  <c r="I316" i="13"/>
  <c r="J219" i="13"/>
  <c r="I325" i="13"/>
  <c r="J332" i="13"/>
  <c r="L13" i="13"/>
  <c r="M18" i="13"/>
  <c r="L29" i="13"/>
  <c r="M34" i="13"/>
  <c r="L46" i="13"/>
  <c r="M51" i="13"/>
  <c r="L62" i="13"/>
  <c r="M69" i="13"/>
  <c r="L84" i="13"/>
  <c r="M91" i="13"/>
  <c r="L104" i="13"/>
  <c r="M109" i="13"/>
  <c r="L120" i="13"/>
  <c r="M125" i="13"/>
  <c r="L136" i="13"/>
  <c r="M143" i="13"/>
  <c r="L155" i="13"/>
  <c r="M160" i="13"/>
  <c r="L171" i="13"/>
  <c r="M178" i="13"/>
  <c r="L194" i="13"/>
  <c r="M199" i="13"/>
  <c r="L213" i="13"/>
  <c r="M232" i="13"/>
  <c r="L240" i="13"/>
  <c r="M252" i="13"/>
  <c r="M272" i="13"/>
  <c r="L288" i="13"/>
  <c r="L304" i="13"/>
  <c r="M314" i="13"/>
  <c r="L219" i="13"/>
  <c r="M321" i="13"/>
  <c r="M337" i="13"/>
  <c r="P44" i="13"/>
  <c r="P58" i="13"/>
  <c r="P74" i="13"/>
  <c r="Q128" i="13"/>
  <c r="BA128" i="13" s="1"/>
  <c r="J123" i="13"/>
  <c r="I126" i="13"/>
  <c r="J131" i="13"/>
  <c r="I134" i="13"/>
  <c r="J139" i="13"/>
  <c r="I144" i="13"/>
  <c r="J150" i="13"/>
  <c r="I153" i="13"/>
  <c r="J158" i="13"/>
  <c r="I161" i="13"/>
  <c r="I169" i="13"/>
  <c r="J176" i="13"/>
  <c r="I179" i="13"/>
  <c r="J184" i="13"/>
  <c r="I187" i="13"/>
  <c r="J197" i="13"/>
  <c r="I201" i="13"/>
  <c r="J207" i="13"/>
  <c r="I210" i="13"/>
  <c r="J227" i="13"/>
  <c r="I230" i="13"/>
  <c r="J235" i="13"/>
  <c r="I238" i="13"/>
  <c r="J249" i="13"/>
  <c r="I252" i="13"/>
  <c r="J258" i="13"/>
  <c r="I263" i="13"/>
  <c r="I275" i="13"/>
  <c r="J280" i="13"/>
  <c r="I283" i="13"/>
  <c r="J288" i="13"/>
  <c r="I291" i="13"/>
  <c r="J297" i="13"/>
  <c r="I308" i="13"/>
  <c r="J316" i="13"/>
  <c r="I320" i="13"/>
  <c r="J325" i="13"/>
  <c r="I338" i="13"/>
  <c r="M13" i="13"/>
  <c r="L24" i="13"/>
  <c r="M29" i="13"/>
  <c r="L41" i="13"/>
  <c r="M46" i="13"/>
  <c r="L57" i="13"/>
  <c r="M62" i="13"/>
  <c r="L75" i="13"/>
  <c r="M84" i="13"/>
  <c r="L99" i="13"/>
  <c r="M104" i="13"/>
  <c r="L115" i="13"/>
  <c r="M120" i="13"/>
  <c r="L131" i="13"/>
  <c r="M136" i="13"/>
  <c r="L150" i="13"/>
  <c r="M155" i="13"/>
  <c r="M171" i="13"/>
  <c r="L184" i="13"/>
  <c r="M194" i="13"/>
  <c r="L207" i="13"/>
  <c r="L233" i="13"/>
  <c r="M243" i="13"/>
  <c r="L253" i="13"/>
  <c r="M263" i="13"/>
  <c r="M281" i="13"/>
  <c r="L297" i="13"/>
  <c r="L315" i="13"/>
  <c r="M220" i="13"/>
  <c r="L322" i="13"/>
  <c r="M331" i="13"/>
  <c r="P15" i="13"/>
  <c r="P52" i="13"/>
  <c r="P67" i="13"/>
  <c r="P93" i="13"/>
  <c r="P281" i="13"/>
  <c r="Q38" i="13"/>
  <c r="BA38" i="13" s="1"/>
  <c r="R133" i="13"/>
  <c r="T48" i="13"/>
  <c r="BB48" i="13" s="1"/>
  <c r="AE47" i="12"/>
  <c r="AH47" i="12"/>
  <c r="AI47" i="12" s="1"/>
  <c r="J33" i="24"/>
  <c r="F33" i="24"/>
  <c r="E33" i="24"/>
  <c r="AE112" i="12"/>
  <c r="AH112" i="12"/>
  <c r="AI112" i="12" s="1"/>
  <c r="AB89" i="12"/>
  <c r="AC89" i="12" s="1"/>
  <c r="AF74" i="12"/>
  <c r="AG74" i="12" s="1"/>
  <c r="AE118" i="12"/>
  <c r="AF162" i="12"/>
  <c r="AG162" i="12" s="1"/>
  <c r="AD162" i="12"/>
  <c r="AD89" i="12"/>
  <c r="AE91" i="12"/>
  <c r="AF134" i="12"/>
  <c r="AG134" i="12" s="1"/>
  <c r="AD80" i="12"/>
  <c r="AA72" i="12"/>
  <c r="AA114" i="12"/>
  <c r="Y91" i="12"/>
  <c r="Y133" i="12"/>
  <c r="AE274" i="12"/>
  <c r="AE132" i="12"/>
  <c r="AH132" i="12"/>
  <c r="AI132" i="12" s="1"/>
  <c r="AE560" i="12"/>
  <c r="AH560" i="12"/>
  <c r="AI560" i="12" s="1"/>
  <c r="AH277" i="12"/>
  <c r="AI277" i="12" s="1"/>
  <c r="AE277" i="12"/>
  <c r="AH257" i="12"/>
  <c r="AI257" i="12" s="1"/>
  <c r="AE257" i="12"/>
  <c r="AH239" i="12"/>
  <c r="AI239" i="12" s="1"/>
  <c r="AE239" i="12"/>
  <c r="AH229" i="12"/>
  <c r="AI229" i="12" s="1"/>
  <c r="AE229" i="12"/>
  <c r="AD273" i="12"/>
  <c r="Y273" i="12"/>
  <c r="AF273" i="12"/>
  <c r="AG273" i="12" s="1"/>
  <c r="AB273" i="12"/>
  <c r="AC273" i="12" s="1"/>
  <c r="AH261" i="12"/>
  <c r="AI261" i="12" s="1"/>
  <c r="AE261" i="12"/>
  <c r="AD275" i="12"/>
  <c r="Y275" i="12"/>
  <c r="AF275" i="12"/>
  <c r="AG275" i="12" s="1"/>
  <c r="AB275" i="12"/>
  <c r="AC275" i="12" s="1"/>
  <c r="AK207" i="12"/>
  <c r="AJ207" i="12"/>
  <c r="AA207" i="12"/>
  <c r="AE248" i="12"/>
  <c r="AH248" i="12"/>
  <c r="AI248" i="12" s="1"/>
  <c r="AF321" i="12"/>
  <c r="AG321" i="12" s="1"/>
  <c r="AH73" i="12"/>
  <c r="AI73" i="12" s="1"/>
  <c r="AE53" i="12"/>
  <c r="AF80" i="12"/>
  <c r="AG80" i="12" s="1"/>
  <c r="AJ46" i="12"/>
  <c r="AK92" i="12"/>
  <c r="AD166" i="12"/>
  <c r="AD133" i="12"/>
  <c r="AK113" i="12"/>
  <c r="AD279" i="12"/>
  <c r="Y279" i="12"/>
  <c r="Y166" i="13" s="1"/>
  <c r="AF279" i="12"/>
  <c r="AG279" i="12" s="1"/>
  <c r="AB279" i="12"/>
  <c r="AC279" i="12" s="1"/>
  <c r="AH241" i="12"/>
  <c r="AI241" i="12" s="1"/>
  <c r="AE241" i="12"/>
  <c r="AB278" i="12"/>
  <c r="AC278" i="12" s="1"/>
  <c r="AF278" i="12"/>
  <c r="AG278" i="12" s="1"/>
  <c r="AD278" i="12"/>
  <c r="Y278" i="12"/>
  <c r="AD186" i="12"/>
  <c r="G31" i="24"/>
  <c r="I33" i="24" s="1"/>
  <c r="AE200" i="12"/>
  <c r="Y47" i="12"/>
  <c r="AJ162" i="12"/>
  <c r="AB74" i="12"/>
  <c r="AC74" i="12" s="1"/>
  <c r="AJ92" i="12"/>
  <c r="AK91" i="12"/>
  <c r="AJ113" i="12"/>
  <c r="AF118" i="12"/>
  <c r="AG118" i="12" s="1"/>
  <c r="AF89" i="12"/>
  <c r="AG89" i="12" s="1"/>
  <c r="AK243" i="12"/>
  <c r="AJ243" i="12"/>
  <c r="AA243" i="12"/>
  <c r="AE321" i="12"/>
  <c r="AK312" i="12"/>
  <c r="AJ321" i="12"/>
  <c r="K31" i="24"/>
  <c r="M33" i="24" s="1"/>
  <c r="H32" i="24"/>
  <c r="AE69" i="12"/>
  <c r="AE134" i="12"/>
  <c r="AB178" i="12"/>
  <c r="AC178" i="12" s="1"/>
  <c r="AB134" i="12"/>
  <c r="AC134" i="12" s="1"/>
  <c r="AJ69" i="12"/>
  <c r="AK72" i="12"/>
  <c r="AK266" i="12"/>
  <c r="AB91" i="12"/>
  <c r="AC91" i="12" s="1"/>
  <c r="AH203" i="12"/>
  <c r="AI203" i="12" s="1"/>
  <c r="AE203" i="12"/>
  <c r="AK321" i="12"/>
  <c r="G32" i="24"/>
  <c r="AD75" i="12"/>
  <c r="AH252" i="12"/>
  <c r="AI252" i="12" s="1"/>
  <c r="AE252" i="12"/>
  <c r="AH264" i="12"/>
  <c r="AI264" i="12" s="1"/>
  <c r="AE264" i="12"/>
  <c r="AD223" i="12"/>
  <c r="Y223" i="12"/>
  <c r="AF223" i="12"/>
  <c r="AG223" i="12" s="1"/>
  <c r="AB223" i="12"/>
  <c r="AC223" i="12" s="1"/>
  <c r="AH244" i="12"/>
  <c r="AI244" i="12" s="1"/>
  <c r="AE244" i="12"/>
  <c r="AJ114" i="12"/>
  <c r="AB133" i="12"/>
  <c r="AC133" i="12" s="1"/>
  <c r="AF75" i="12"/>
  <c r="AG75" i="12" s="1"/>
  <c r="AH55" i="12"/>
  <c r="AI55" i="12" s="1"/>
  <c r="AE55" i="12"/>
  <c r="AK202" i="12"/>
  <c r="AJ202" i="12"/>
  <c r="AA202" i="12"/>
  <c r="AD265" i="12"/>
  <c r="Y265" i="12"/>
  <c r="AF265" i="12"/>
  <c r="AG265" i="12" s="1"/>
  <c r="AB265" i="12"/>
  <c r="AC265" i="12" s="1"/>
  <c r="AK271" i="12"/>
  <c r="AJ271" i="12"/>
  <c r="AA271" i="12"/>
  <c r="AK219" i="12"/>
  <c r="AJ219" i="12"/>
  <c r="AA219" i="12"/>
  <c r="AB260" i="12"/>
  <c r="AC260" i="12" s="1"/>
  <c r="AD260" i="12"/>
  <c r="Y260" i="12"/>
  <c r="AF260" i="12"/>
  <c r="AG260" i="12" s="1"/>
  <c r="AB321" i="12"/>
  <c r="AC321" i="12" s="1"/>
  <c r="AH238" i="12"/>
  <c r="AI238" i="12" s="1"/>
  <c r="AE238" i="12"/>
  <c r="AD71" i="12"/>
  <c r="AJ273" i="12"/>
  <c r="Y240" i="12"/>
  <c r="AJ265" i="12"/>
  <c r="Y236" i="12"/>
  <c r="AJ279" i="12"/>
  <c r="Y276" i="12"/>
  <c r="AJ275" i="12"/>
  <c r="Y197" i="12"/>
  <c r="AJ223" i="12"/>
  <c r="AA282" i="12"/>
  <c r="AK282" i="12"/>
  <c r="AJ282" i="12"/>
  <c r="AB280" i="12"/>
  <c r="AC280" i="12" s="1"/>
  <c r="AD280" i="12"/>
  <c r="AF280" i="12"/>
  <c r="AG280" i="12" s="1"/>
  <c r="AK259" i="12"/>
  <c r="AA259" i="12"/>
  <c r="AB215" i="12"/>
  <c r="AC215" i="12" s="1"/>
  <c r="AD215" i="12"/>
  <c r="AF215" i="12"/>
  <c r="AG215" i="12" s="1"/>
  <c r="AH233" i="12"/>
  <c r="AI233" i="12" s="1"/>
  <c r="AE233" i="12"/>
  <c r="AE224" i="12"/>
  <c r="AH224" i="12"/>
  <c r="AI224" i="12" s="1"/>
  <c r="AK163" i="12"/>
  <c r="AJ163" i="12"/>
  <c r="AA52" i="12"/>
  <c r="AB54" i="12"/>
  <c r="AC54" i="12" s="1"/>
  <c r="AK116" i="12"/>
  <c r="Y560" i="12"/>
  <c r="Y251" i="12"/>
  <c r="AH251" i="12"/>
  <c r="AI251" i="12" s="1"/>
  <c r="AB257" i="12"/>
  <c r="AC257" i="12" s="1"/>
  <c r="AD240" i="12"/>
  <c r="Y235" i="12"/>
  <c r="AH235" i="12"/>
  <c r="AI235" i="12" s="1"/>
  <c r="AB264" i="12"/>
  <c r="AC264" i="12" s="1"/>
  <c r="AD236" i="12"/>
  <c r="AH232" i="12"/>
  <c r="AI232" i="12" s="1"/>
  <c r="AD276" i="12"/>
  <c r="Y228" i="12"/>
  <c r="AH228" i="12"/>
  <c r="AI228" i="12" s="1"/>
  <c r="AB229" i="12"/>
  <c r="AC229" i="12" s="1"/>
  <c r="AD197" i="12"/>
  <c r="AH189" i="12"/>
  <c r="AI189" i="12" s="1"/>
  <c r="AB246" i="12"/>
  <c r="AC246" i="12" s="1"/>
  <c r="AD204" i="12"/>
  <c r="Y204" i="12"/>
  <c r="AD226" i="12"/>
  <c r="AH201" i="12"/>
  <c r="AI201" i="12" s="1"/>
  <c r="AE201" i="12"/>
  <c r="AK224" i="12"/>
  <c r="AJ224" i="12"/>
  <c r="AA224" i="12"/>
  <c r="AE195" i="12"/>
  <c r="AH195" i="12"/>
  <c r="AI195" i="12" s="1"/>
  <c r="AA217" i="12"/>
  <c r="AK217" i="12"/>
  <c r="AJ217" i="12"/>
  <c r="AE193" i="12"/>
  <c r="AH193" i="12"/>
  <c r="AI193" i="12" s="1"/>
  <c r="AK195" i="12"/>
  <c r="AJ195" i="12"/>
  <c r="AA195" i="12"/>
  <c r="AH163" i="12"/>
  <c r="AI163" i="12" s="1"/>
  <c r="Y52" i="12"/>
  <c r="AJ55" i="12"/>
  <c r="AF71" i="12"/>
  <c r="AG71" i="12" s="1"/>
  <c r="AD271" i="12"/>
  <c r="AD207" i="12"/>
  <c r="AH270" i="12"/>
  <c r="AI270" i="12" s="1"/>
  <c r="AK204" i="12"/>
  <c r="AE216" i="12"/>
  <c r="AK193" i="12"/>
  <c r="AJ193" i="12"/>
  <c r="AA193" i="12"/>
  <c r="AH198" i="12"/>
  <c r="AI198" i="12" s="1"/>
  <c r="AE198" i="12"/>
  <c r="Y86" i="12"/>
  <c r="Y132" i="12"/>
  <c r="AB132" i="12"/>
  <c r="AC132" i="12" s="1"/>
  <c r="AD54" i="12"/>
  <c r="AJ251" i="12"/>
  <c r="Y277" i="12"/>
  <c r="AJ235" i="12"/>
  <c r="Y252" i="12"/>
  <c r="AJ232" i="12"/>
  <c r="Y261" i="12"/>
  <c r="AJ228" i="12"/>
  <c r="Y239" i="12"/>
  <c r="AJ189" i="12"/>
  <c r="Y203" i="12"/>
  <c r="AN295" i="13" s="1"/>
  <c r="AJ237" i="12"/>
  <c r="AA237" i="12"/>
  <c r="Y226" i="12"/>
  <c r="AE213" i="12"/>
  <c r="AH213" i="12"/>
  <c r="AI213" i="12" s="1"/>
  <c r="AF222" i="12"/>
  <c r="AG222" i="12" s="1"/>
  <c r="AB222" i="12"/>
  <c r="AC222" i="12" s="1"/>
  <c r="AD222" i="12"/>
  <c r="Y222" i="12"/>
  <c r="AE254" i="12"/>
  <c r="AH254" i="12"/>
  <c r="AI254" i="12" s="1"/>
  <c r="Y280" i="12"/>
  <c r="AE220" i="12"/>
  <c r="AH220" i="12"/>
  <c r="AI220" i="12" s="1"/>
  <c r="AD246" i="12"/>
  <c r="Y216" i="12"/>
  <c r="AF216" i="12"/>
  <c r="AG216" i="12" s="1"/>
  <c r="AE230" i="12"/>
  <c r="AH230" i="12"/>
  <c r="AI230" i="12" s="1"/>
  <c r="I267" i="12"/>
  <c r="I194" i="12"/>
  <c r="I191" i="12"/>
  <c r="I284" i="12"/>
  <c r="I209" i="12"/>
  <c r="I253" i="12"/>
  <c r="I286" i="12"/>
  <c r="I249" i="12"/>
  <c r="I248" i="12"/>
  <c r="I246" i="12"/>
  <c r="AH218" i="12"/>
  <c r="AI218" i="12" s="1"/>
  <c r="AE218" i="12"/>
  <c r="AK220" i="12"/>
  <c r="AJ220" i="12"/>
  <c r="AA220" i="12"/>
  <c r="AK270" i="12"/>
  <c r="AJ270" i="12"/>
  <c r="AK213" i="12"/>
  <c r="AA213" i="12"/>
  <c r="AE259" i="12"/>
  <c r="AH259" i="12"/>
  <c r="AI259" i="12" s="1"/>
  <c r="AF214" i="12"/>
  <c r="AG214" i="12" s="1"/>
  <c r="AB214" i="12"/>
  <c r="AC214" i="12" s="1"/>
  <c r="AD214" i="12"/>
  <c r="Y214" i="12"/>
  <c r="AH225" i="12"/>
  <c r="AI225" i="12" s="1"/>
  <c r="AE225" i="12"/>
  <c r="AB212" i="12"/>
  <c r="AC212" i="12" s="1"/>
  <c r="AD212" i="12"/>
  <c r="Y212" i="12"/>
  <c r="P284" i="13" s="1"/>
  <c r="AF212" i="12"/>
  <c r="AG212" i="12" s="1"/>
  <c r="I220" i="12"/>
  <c r="AJ249" i="12"/>
  <c r="Y281" i="12"/>
  <c r="AJ285" i="12"/>
  <c r="AA192" i="12"/>
  <c r="Y213" i="12"/>
  <c r="AF254" i="12"/>
  <c r="AG254" i="12" s="1"/>
  <c r="AJ205" i="12"/>
  <c r="AA227" i="12"/>
  <c r="Y259" i="12"/>
  <c r="AF230" i="12"/>
  <c r="AG230" i="12" s="1"/>
  <c r="I215" i="12"/>
  <c r="AJ199" i="12"/>
  <c r="AA191" i="12"/>
  <c r="Y193" i="12"/>
  <c r="P164" i="13" s="1"/>
  <c r="AF221" i="12"/>
  <c r="AG221" i="12" s="1"/>
  <c r="I260" i="12"/>
  <c r="AJ234" i="12"/>
  <c r="AA208" i="12"/>
  <c r="Y224" i="12"/>
  <c r="AJ268" i="12"/>
  <c r="AA269" i="12"/>
  <c r="Y195" i="12"/>
  <c r="AF211" i="12"/>
  <c r="AG211" i="12" s="1"/>
  <c r="I212" i="12"/>
  <c r="AJ190" i="12"/>
  <c r="AA198" i="12"/>
  <c r="Y220" i="12"/>
  <c r="AF283" i="12"/>
  <c r="AG283" i="12" s="1"/>
  <c r="I233" i="12"/>
  <c r="AJ286" i="12"/>
  <c r="Y194" i="12"/>
  <c r="I225" i="12"/>
  <c r="AJ253" i="12"/>
  <c r="Y267" i="12"/>
  <c r="AJ209" i="12"/>
  <c r="Y196" i="12"/>
  <c r="I218" i="12"/>
  <c r="AJ284" i="12"/>
  <c r="Y287" i="12"/>
  <c r="AA222" i="12"/>
  <c r="AF201" i="12"/>
  <c r="AG201" i="12" s="1"/>
  <c r="AA214" i="12"/>
  <c r="AF233" i="12"/>
  <c r="AG233" i="12" s="1"/>
  <c r="I199" i="12"/>
  <c r="AK286" i="12"/>
  <c r="AA194" i="12"/>
  <c r="AD194" i="12"/>
  <c r="AH221" i="12"/>
  <c r="AI221" i="12" s="1"/>
  <c r="AF225" i="12"/>
  <c r="AG225" i="12" s="1"/>
  <c r="I234" i="12"/>
  <c r="AK253" i="12"/>
  <c r="AA267" i="12"/>
  <c r="AD267" i="12"/>
  <c r="AK209" i="12"/>
  <c r="AA196" i="12"/>
  <c r="AD196" i="12"/>
  <c r="AH211" i="12"/>
  <c r="AI211" i="12" s="1"/>
  <c r="AF218" i="12"/>
  <c r="AG218" i="12" s="1"/>
  <c r="I190" i="12"/>
  <c r="AK284" i="12"/>
  <c r="AD287" i="12"/>
  <c r="AH283" i="12"/>
  <c r="AI283" i="12" s="1"/>
  <c r="Y201" i="12"/>
  <c r="Y233" i="12"/>
  <c r="AB194" i="12"/>
  <c r="AC194" i="12" s="1"/>
  <c r="Y225" i="12"/>
  <c r="I208" i="12"/>
  <c r="AB267" i="12"/>
  <c r="AC267" i="12" s="1"/>
  <c r="I269" i="12"/>
  <c r="AB196" i="12"/>
  <c r="AC196" i="12" s="1"/>
  <c r="Y218" i="12"/>
  <c r="Q290" i="13" s="1"/>
  <c r="I198" i="12"/>
  <c r="AB287" i="12"/>
  <c r="AC287" i="12" s="1"/>
  <c r="I196" i="12"/>
  <c r="I230" i="12"/>
  <c r="I221" i="12"/>
  <c r="I211" i="12"/>
  <c r="AY268" i="13" l="1"/>
  <c r="AH239" i="13"/>
  <c r="AH364" i="12"/>
  <c r="AI364" i="12" s="1"/>
  <c r="AH427" i="12"/>
  <c r="AI427" i="12" s="1"/>
  <c r="BK310" i="13"/>
  <c r="BG175" i="13"/>
  <c r="AH210" i="12"/>
  <c r="AI210" i="12" s="1"/>
  <c r="AD239" i="13"/>
  <c r="AI10" i="13"/>
  <c r="BG310" i="13"/>
  <c r="AH504" i="12"/>
  <c r="AI504" i="12" s="1"/>
  <c r="AM247" i="13"/>
  <c r="AE74" i="12"/>
  <c r="AQ319" i="13"/>
  <c r="AI247" i="13"/>
  <c r="AC319" i="13"/>
  <c r="BK175" i="13"/>
  <c r="BM175" i="13" s="1"/>
  <c r="AH394" i="12"/>
  <c r="AI394" i="12" s="1"/>
  <c r="AA239" i="13"/>
  <c r="BJ268" i="13"/>
  <c r="AH85" i="12"/>
  <c r="AI85" i="12" s="1"/>
  <c r="AH522" i="12"/>
  <c r="AI522" i="12" s="1"/>
  <c r="AZ175" i="13"/>
  <c r="BC175" i="13" s="1"/>
  <c r="AE239" i="13"/>
  <c r="AG239" i="13"/>
  <c r="AH350" i="12"/>
  <c r="AI350" i="12" s="1"/>
  <c r="AH409" i="12"/>
  <c r="AI409" i="12" s="1"/>
  <c r="S239" i="13"/>
  <c r="AJ239" i="13"/>
  <c r="AC239" i="13"/>
  <c r="AU239" i="13"/>
  <c r="AH123" i="12"/>
  <c r="AI123" i="12" s="1"/>
  <c r="AH469" i="12"/>
  <c r="AI469" i="12" s="1"/>
  <c r="I239" i="13"/>
  <c r="P239" i="13"/>
  <c r="AB239" i="13"/>
  <c r="AI239" i="13"/>
  <c r="BP175" i="13"/>
  <c r="AH400" i="12"/>
  <c r="AI400" i="12" s="1"/>
  <c r="AH367" i="12"/>
  <c r="AI367" i="12" s="1"/>
  <c r="Y239" i="13"/>
  <c r="AS239" i="13"/>
  <c r="AH477" i="12"/>
  <c r="AI477" i="12" s="1"/>
  <c r="AW239" i="13"/>
  <c r="AH356" i="12"/>
  <c r="AI356" i="12" s="1"/>
  <c r="N239" i="13"/>
  <c r="BD268" i="13"/>
  <c r="AH137" i="12"/>
  <c r="AI137" i="12" s="1"/>
  <c r="AH102" i="12"/>
  <c r="AI102" i="12" s="1"/>
  <c r="AR239" i="13"/>
  <c r="H239" i="13"/>
  <c r="J239" i="13"/>
  <c r="AN239" i="13"/>
  <c r="X10" i="13"/>
  <c r="BF268" i="13"/>
  <c r="AN35" i="13"/>
  <c r="N247" i="13"/>
  <c r="AH515" i="12"/>
  <c r="AI515" i="12" s="1"/>
  <c r="BB175" i="13"/>
  <c r="AH450" i="12"/>
  <c r="AI450" i="12" s="1"/>
  <c r="Q247" i="13"/>
  <c r="AH501" i="12"/>
  <c r="AI501" i="12" s="1"/>
  <c r="AH352" i="12"/>
  <c r="AI352" i="12" s="1"/>
  <c r="AH386" i="12"/>
  <c r="AI386" i="12" s="1"/>
  <c r="AJ247" i="13"/>
  <c r="AH174" i="12"/>
  <c r="AI174" i="12" s="1"/>
  <c r="AE557" i="12"/>
  <c r="AH317" i="12"/>
  <c r="AI317" i="12" s="1"/>
  <c r="AJ35" i="13"/>
  <c r="AE114" i="12"/>
  <c r="AP247" i="13"/>
  <c r="V35" i="13"/>
  <c r="Q239" i="13"/>
  <c r="R247" i="13"/>
  <c r="K239" i="13"/>
  <c r="AQ239" i="13"/>
  <c r="AE202" i="12"/>
  <c r="AC35" i="13"/>
  <c r="AE363" i="12"/>
  <c r="T239" i="13"/>
  <c r="V239" i="13"/>
  <c r="AV239" i="13"/>
  <c r="Y35" i="13"/>
  <c r="AE92" i="12"/>
  <c r="O239" i="13"/>
  <c r="AO239" i="13"/>
  <c r="AF239" i="13"/>
  <c r="AT239" i="13"/>
  <c r="M35" i="13"/>
  <c r="AH10" i="13"/>
  <c r="R239" i="13"/>
  <c r="AM239" i="13"/>
  <c r="X239" i="13"/>
  <c r="Z35" i="13"/>
  <c r="AK10" i="13"/>
  <c r="BD310" i="13"/>
  <c r="AB35" i="13"/>
  <c r="Q10" i="13"/>
  <c r="AE247" i="13"/>
  <c r="BD173" i="13"/>
  <c r="AE478" i="12"/>
  <c r="AH478" i="12"/>
  <c r="AI478" i="12" s="1"/>
  <c r="S8" i="18"/>
  <c r="S10" i="18" s="1"/>
  <c r="S12" i="18" s="1"/>
  <c r="BF173" i="13"/>
  <c r="BB268" i="13"/>
  <c r="BC268" i="13" s="1"/>
  <c r="BP268" i="13"/>
  <c r="BB310" i="13"/>
  <c r="AE256" i="12"/>
  <c r="AJ10" i="13"/>
  <c r="AH183" i="12"/>
  <c r="AI183" i="12" s="1"/>
  <c r="L239" i="13"/>
  <c r="AL239" i="13"/>
  <c r="Z239" i="13"/>
  <c r="AP239" i="13"/>
  <c r="AF35" i="13"/>
  <c r="AE263" i="12"/>
  <c r="AH138" i="12"/>
  <c r="AI138" i="12" s="1"/>
  <c r="AH143" i="12"/>
  <c r="AI143" i="12" s="1"/>
  <c r="AH100" i="12"/>
  <c r="AI100" i="12" s="1"/>
  <c r="AH282" i="12"/>
  <c r="AI282" i="12" s="1"/>
  <c r="BA149" i="13"/>
  <c r="AL35" i="13"/>
  <c r="L35" i="13"/>
  <c r="AE35" i="13"/>
  <c r="M10" i="13"/>
  <c r="AH128" i="12"/>
  <c r="AI128" i="12" s="1"/>
  <c r="H55" i="13"/>
  <c r="AK35" i="13"/>
  <c r="AM35" i="13"/>
  <c r="AT35" i="13"/>
  <c r="S10" i="13"/>
  <c r="AH178" i="12"/>
  <c r="AI178" i="12" s="1"/>
  <c r="BI310" i="13"/>
  <c r="AH530" i="12"/>
  <c r="AI530" i="12" s="1"/>
  <c r="AH444" i="12"/>
  <c r="AI444" i="12" s="1"/>
  <c r="AV35" i="13"/>
  <c r="AG35" i="13"/>
  <c r="N35" i="13"/>
  <c r="R35" i="13"/>
  <c r="W10" i="13"/>
  <c r="AH191" i="12"/>
  <c r="AI191" i="12" s="1"/>
  <c r="AS35" i="13"/>
  <c r="AQ35" i="13"/>
  <c r="Q35" i="13"/>
  <c r="I35" i="13"/>
  <c r="AE10" i="13"/>
  <c r="AH190" i="12"/>
  <c r="AI190" i="12" s="1"/>
  <c r="AS10" i="13"/>
  <c r="AH234" i="12"/>
  <c r="AI234" i="12" s="1"/>
  <c r="AR35" i="13"/>
  <c r="P35" i="13"/>
  <c r="H35" i="13"/>
  <c r="BG173" i="13"/>
  <c r="AH523" i="12"/>
  <c r="AI523" i="12" s="1"/>
  <c r="BG268" i="13"/>
  <c r="AH511" i="12"/>
  <c r="AI511" i="12" s="1"/>
  <c r="AH454" i="12"/>
  <c r="AI454" i="12" s="1"/>
  <c r="AH159" i="12"/>
  <c r="AI159" i="12" s="1"/>
  <c r="Y10" i="13"/>
  <c r="BD10" i="13" s="1"/>
  <c r="AO10" i="13"/>
  <c r="I10" i="13"/>
  <c r="AH209" i="12"/>
  <c r="AI209" i="12" s="1"/>
  <c r="AF10" i="13"/>
  <c r="AQ10" i="13"/>
  <c r="AA10" i="13"/>
  <c r="AE420" i="12"/>
  <c r="AH420" i="12"/>
  <c r="AI420" i="12" s="1"/>
  <c r="T10" i="13"/>
  <c r="AD10" i="13"/>
  <c r="AH199" i="12"/>
  <c r="AI199" i="12" s="1"/>
  <c r="BJ173" i="13"/>
  <c r="AE312" i="12"/>
  <c r="H10" i="13"/>
  <c r="R10" i="13"/>
  <c r="AP10" i="13"/>
  <c r="AH553" i="12"/>
  <c r="AI553" i="12" s="1"/>
  <c r="AE487" i="12"/>
  <c r="AH487" i="12"/>
  <c r="AI487" i="12" s="1"/>
  <c r="AE431" i="12"/>
  <c r="AH431" i="12"/>
  <c r="AI431" i="12" s="1"/>
  <c r="AC10" i="13"/>
  <c r="N10" i="13"/>
  <c r="AT10" i="13"/>
  <c r="AH116" i="12"/>
  <c r="AI116" i="12" s="1"/>
  <c r="Z247" i="13"/>
  <c r="AN247" i="13"/>
  <c r="AG247" i="13"/>
  <c r="AH247" i="13"/>
  <c r="BK268" i="13"/>
  <c r="BM268" i="13" s="1"/>
  <c r="AE43" i="12"/>
  <c r="AH43" i="12"/>
  <c r="AI43" i="12" s="1"/>
  <c r="AE428" i="12"/>
  <c r="AH428" i="12"/>
  <c r="AI428" i="12" s="1"/>
  <c r="AU247" i="13"/>
  <c r="K247" i="13"/>
  <c r="AQ247" i="13"/>
  <c r="AL247" i="13"/>
  <c r="AE472" i="12"/>
  <c r="AH472" i="12"/>
  <c r="AI472" i="12" s="1"/>
  <c r="J247" i="13"/>
  <c r="AS247" i="13"/>
  <c r="AA247" i="13"/>
  <c r="I247" i="13"/>
  <c r="AE328" i="12"/>
  <c r="AH328" i="12"/>
  <c r="AI328" i="12" s="1"/>
  <c r="AE82" i="12"/>
  <c r="AH82" i="12"/>
  <c r="AI82" i="12" s="1"/>
  <c r="J10" i="13"/>
  <c r="AM10" i="13"/>
  <c r="O10" i="13"/>
  <c r="AR10" i="13"/>
  <c r="AU200" i="13"/>
  <c r="S247" i="13"/>
  <c r="H247" i="13"/>
  <c r="AD247" i="13"/>
  <c r="L247" i="13"/>
  <c r="AE437" i="12"/>
  <c r="AH437" i="12"/>
  <c r="AI437" i="12" s="1"/>
  <c r="AC247" i="13"/>
  <c r="V247" i="13"/>
  <c r="AV247" i="13"/>
  <c r="Y247" i="13"/>
  <c r="U10" i="13"/>
  <c r="AE359" i="12"/>
  <c r="AH359" i="12"/>
  <c r="AI359" i="12" s="1"/>
  <c r="AG10" i="13"/>
  <c r="L10" i="13"/>
  <c r="AB10" i="13"/>
  <c r="AO247" i="13"/>
  <c r="AF247" i="13"/>
  <c r="BG247" i="13" s="1"/>
  <c r="T247" i="13"/>
  <c r="O247" i="13"/>
  <c r="AE103" i="12"/>
  <c r="AH103" i="12"/>
  <c r="AI103" i="12" s="1"/>
  <c r="AE463" i="12"/>
  <c r="AH463" i="12"/>
  <c r="AI463" i="12" s="1"/>
  <c r="AE397" i="12"/>
  <c r="AH397" i="12"/>
  <c r="AI397" i="12" s="1"/>
  <c r="AE529" i="12"/>
  <c r="AH529" i="12"/>
  <c r="AI529" i="12" s="1"/>
  <c r="BJ149" i="13"/>
  <c r="AE179" i="12"/>
  <c r="AH179" i="12"/>
  <c r="AI179" i="12" s="1"/>
  <c r="AE492" i="12"/>
  <c r="AH492" i="12"/>
  <c r="AI492" i="12" s="1"/>
  <c r="AH434" i="12"/>
  <c r="AI434" i="12" s="1"/>
  <c r="AH307" i="12"/>
  <c r="AI307" i="12" s="1"/>
  <c r="AE395" i="12"/>
  <c r="AH395" i="12"/>
  <c r="AI395" i="12" s="1"/>
  <c r="T35" i="13"/>
  <c r="AH35" i="13"/>
  <c r="AA35" i="13"/>
  <c r="AO35" i="13"/>
  <c r="K10" i="13"/>
  <c r="AN10" i="13"/>
  <c r="Z10" i="13"/>
  <c r="AV10" i="13"/>
  <c r="V10" i="13"/>
  <c r="BB10" i="13" s="1"/>
  <c r="P247" i="13"/>
  <c r="X247" i="13"/>
  <c r="AT247" i="13"/>
  <c r="AB247" i="13"/>
  <c r="BA173" i="13"/>
  <c r="AE305" i="12"/>
  <c r="AE518" i="12"/>
  <c r="AH518" i="12"/>
  <c r="AI518" i="12" s="1"/>
  <c r="AE509" i="12"/>
  <c r="AH509" i="12"/>
  <c r="AI509" i="12" s="1"/>
  <c r="AW298" i="13"/>
  <c r="AE104" i="12"/>
  <c r="AH104" i="12"/>
  <c r="AI104" i="12" s="1"/>
  <c r="AE266" i="12"/>
  <c r="X35" i="13"/>
  <c r="AD35" i="13"/>
  <c r="BF35" i="13" s="1"/>
  <c r="AP35" i="13"/>
  <c r="J35" i="13"/>
  <c r="P10" i="13"/>
  <c r="AL10" i="13"/>
  <c r="AU10" i="13"/>
  <c r="AW10" i="13"/>
  <c r="AH208" i="12"/>
  <c r="AI208" i="12" s="1"/>
  <c r="AE495" i="12"/>
  <c r="AE106" i="12"/>
  <c r="BL310" i="13"/>
  <c r="AH418" i="12"/>
  <c r="AI418" i="12" s="1"/>
  <c r="AH320" i="12"/>
  <c r="AI320" i="12" s="1"/>
  <c r="AE499" i="12"/>
  <c r="AH499" i="12"/>
  <c r="AI499" i="12" s="1"/>
  <c r="AE343" i="12"/>
  <c r="AH343" i="12"/>
  <c r="AI343" i="12" s="1"/>
  <c r="AE489" i="12"/>
  <c r="AH489" i="12"/>
  <c r="AI489" i="12" s="1"/>
  <c r="BF310" i="13"/>
  <c r="AE521" i="12"/>
  <c r="AH521" i="12"/>
  <c r="AI521" i="12" s="1"/>
  <c r="AQ248" i="13"/>
  <c r="AV248" i="13"/>
  <c r="AH248" i="13"/>
  <c r="Y248" i="13"/>
  <c r="P248" i="13"/>
  <c r="S248" i="13"/>
  <c r="AU248" i="13"/>
  <c r="AG248" i="13"/>
  <c r="AD248" i="13"/>
  <c r="U248" i="13"/>
  <c r="R248" i="13"/>
  <c r="W248" i="13"/>
  <c r="AO248" i="13"/>
  <c r="AA248" i="13"/>
  <c r="X248" i="13"/>
  <c r="O248" i="13"/>
  <c r="L248" i="13"/>
  <c r="AS248" i="13"/>
  <c r="AR248" i="13"/>
  <c r="AT248" i="13"/>
  <c r="AF248" i="13"/>
  <c r="AI248" i="13"/>
  <c r="I248" i="13"/>
  <c r="Q248" i="13"/>
  <c r="AW248" i="13"/>
  <c r="AL248" i="13"/>
  <c r="AN248" i="13"/>
  <c r="Z248" i="13"/>
  <c r="AC248" i="13"/>
  <c r="T248" i="13"/>
  <c r="K248" i="13"/>
  <c r="AK248" i="13"/>
  <c r="N248" i="13"/>
  <c r="AJ248" i="13"/>
  <c r="V248" i="13"/>
  <c r="J248" i="13"/>
  <c r="H248" i="13"/>
  <c r="AP248" i="13"/>
  <c r="M248" i="13"/>
  <c r="AM248" i="13"/>
  <c r="AB248" i="13"/>
  <c r="AE248" i="13"/>
  <c r="AE361" i="12"/>
  <c r="AH361" i="12"/>
  <c r="AI361" i="12" s="1"/>
  <c r="AE24" i="12"/>
  <c r="AH24" i="12"/>
  <c r="AI24" i="12" s="1"/>
  <c r="BJ310" i="13"/>
  <c r="AE310" i="12"/>
  <c r="AH310" i="12"/>
  <c r="AI310" i="12" s="1"/>
  <c r="AE494" i="12"/>
  <c r="AH494" i="12"/>
  <c r="AI494" i="12" s="1"/>
  <c r="AE135" i="12"/>
  <c r="AH135" i="12"/>
  <c r="AI135" i="12" s="1"/>
  <c r="AE412" i="12"/>
  <c r="AH412" i="12"/>
  <c r="AI412" i="12" s="1"/>
  <c r="AE377" i="12"/>
  <c r="AH377" i="12"/>
  <c r="AI377" i="12" s="1"/>
  <c r="AE68" i="12"/>
  <c r="AH68" i="12"/>
  <c r="AI68" i="12" s="1"/>
  <c r="AE391" i="12"/>
  <c r="AH391" i="12"/>
  <c r="AI391" i="12" s="1"/>
  <c r="AU35" i="13"/>
  <c r="K35" i="13"/>
  <c r="AI35" i="13"/>
  <c r="W35" i="13"/>
  <c r="U35" i="13"/>
  <c r="AH76" i="12"/>
  <c r="AI76" i="12" s="1"/>
  <c r="AE157" i="12"/>
  <c r="AH157" i="12"/>
  <c r="AI157" i="12" s="1"/>
  <c r="AE5" i="12"/>
  <c r="AH5" i="12"/>
  <c r="AI5" i="12" s="1"/>
  <c r="AE438" i="12"/>
  <c r="AH438" i="12"/>
  <c r="AI438" i="12" s="1"/>
  <c r="AE175" i="12"/>
  <c r="AH175" i="12"/>
  <c r="AI175" i="12" s="1"/>
  <c r="AE362" i="12"/>
  <c r="AH362" i="12"/>
  <c r="AI362" i="12" s="1"/>
  <c r="AE500" i="12"/>
  <c r="AH500" i="12"/>
  <c r="AI500" i="12" s="1"/>
  <c r="AE109" i="12"/>
  <c r="AH109" i="12"/>
  <c r="AI109" i="12" s="1"/>
  <c r="AE154" i="12"/>
  <c r="AH154" i="12"/>
  <c r="AI154" i="12" s="1"/>
  <c r="AE443" i="12"/>
  <c r="AH443" i="12"/>
  <c r="AI443" i="12" s="1"/>
  <c r="AE481" i="12"/>
  <c r="AH481" i="12"/>
  <c r="AI481" i="12" s="1"/>
  <c r="AE355" i="12"/>
  <c r="AH355" i="12"/>
  <c r="AI355" i="12" s="1"/>
  <c r="AE84" i="12"/>
  <c r="AH84" i="12"/>
  <c r="AI84" i="12" s="1"/>
  <c r="O35" i="13"/>
  <c r="S35" i="13"/>
  <c r="AH51" i="12"/>
  <c r="AI51" i="12" s="1"/>
  <c r="AE33" i="12"/>
  <c r="AH33" i="12"/>
  <c r="AI33" i="12" s="1"/>
  <c r="AE126" i="12"/>
  <c r="AH126" i="12"/>
  <c r="AI126" i="12" s="1"/>
  <c r="AE368" i="12"/>
  <c r="AH368" i="12"/>
  <c r="AI368" i="12" s="1"/>
  <c r="AE50" i="12"/>
  <c r="AH50" i="12"/>
  <c r="AI50" i="12" s="1"/>
  <c r="AE324" i="12"/>
  <c r="AH324" i="12"/>
  <c r="AI324" i="12" s="1"/>
  <c r="AH419" i="12"/>
  <c r="AI419" i="12" s="1"/>
  <c r="AE388" i="12"/>
  <c r="AH388" i="12"/>
  <c r="AI388" i="12" s="1"/>
  <c r="AE374" i="12"/>
  <c r="AH374" i="12"/>
  <c r="AI374" i="12" s="1"/>
  <c r="AE534" i="12"/>
  <c r="AH534" i="12"/>
  <c r="AI534" i="12" s="1"/>
  <c r="AE302" i="12"/>
  <c r="AH302" i="12"/>
  <c r="AI302" i="12" s="1"/>
  <c r="AH297" i="12"/>
  <c r="AI297" i="12" s="1"/>
  <c r="AE378" i="12"/>
  <c r="AH378" i="12"/>
  <c r="AI378" i="12" s="1"/>
  <c r="BH175" i="13"/>
  <c r="AE516" i="12"/>
  <c r="AH516" i="12"/>
  <c r="AI516" i="12" s="1"/>
  <c r="BE149" i="13"/>
  <c r="BL173" i="13"/>
  <c r="AE413" i="12"/>
  <c r="AH413" i="12"/>
  <c r="AI413" i="12" s="1"/>
  <c r="AE296" i="12"/>
  <c r="AH296" i="12"/>
  <c r="AI296" i="12" s="1"/>
  <c r="AE94" i="12"/>
  <c r="AH94" i="12"/>
  <c r="AI94" i="12" s="1"/>
  <c r="AH188" i="12"/>
  <c r="AI188" i="12" s="1"/>
  <c r="AE188" i="12"/>
  <c r="AE170" i="12"/>
  <c r="AH170" i="12"/>
  <c r="AI170" i="12" s="1"/>
  <c r="AE461" i="12"/>
  <c r="AH461" i="12"/>
  <c r="AI461" i="12" s="1"/>
  <c r="AH519" i="12"/>
  <c r="AI519" i="12" s="1"/>
  <c r="AE556" i="12"/>
  <c r="AH556" i="12"/>
  <c r="AI556" i="12" s="1"/>
  <c r="AE546" i="12"/>
  <c r="AH546" i="12"/>
  <c r="AI546" i="12" s="1"/>
  <c r="AE392" i="12"/>
  <c r="AH392" i="12"/>
  <c r="AI392" i="12" s="1"/>
  <c r="AE506" i="12"/>
  <c r="AH506" i="12"/>
  <c r="AI506" i="12" s="1"/>
  <c r="AE299" i="12"/>
  <c r="AH299" i="12"/>
  <c r="AI299" i="12" s="1"/>
  <c r="BH310" i="13"/>
  <c r="AE476" i="12"/>
  <c r="AH476" i="12"/>
  <c r="AI476" i="12" s="1"/>
  <c r="AE56" i="12"/>
  <c r="AH56" i="12"/>
  <c r="AI56" i="12" s="1"/>
  <c r="AE96" i="12"/>
  <c r="AH96" i="12"/>
  <c r="AI96" i="12" s="1"/>
  <c r="AE550" i="12"/>
  <c r="AH550" i="12"/>
  <c r="AI550" i="12" s="1"/>
  <c r="AE130" i="12"/>
  <c r="AH130" i="12"/>
  <c r="AI130" i="12" s="1"/>
  <c r="AE314" i="12"/>
  <c r="AH314" i="12"/>
  <c r="AI314" i="12" s="1"/>
  <c r="AE125" i="12"/>
  <c r="AH125" i="12"/>
  <c r="AI125" i="12" s="1"/>
  <c r="AE372" i="12"/>
  <c r="AH372" i="12"/>
  <c r="AI372" i="12" s="1"/>
  <c r="AH366" i="12"/>
  <c r="AI366" i="12" s="1"/>
  <c r="AE366" i="12"/>
  <c r="AE60" i="12"/>
  <c r="AH60" i="12"/>
  <c r="AI60" i="12" s="1"/>
  <c r="AE540" i="12"/>
  <c r="AH540" i="12"/>
  <c r="AI540" i="12" s="1"/>
  <c r="AE187" i="12"/>
  <c r="AH187" i="12"/>
  <c r="AI187" i="12" s="1"/>
  <c r="AE471" i="12"/>
  <c r="AH471" i="12"/>
  <c r="AI471" i="12" s="1"/>
  <c r="AE508" i="12"/>
  <c r="AH508" i="12"/>
  <c r="AI508" i="12" s="1"/>
  <c r="AE552" i="12"/>
  <c r="AH552" i="12"/>
  <c r="AI552" i="12" s="1"/>
  <c r="AE424" i="12"/>
  <c r="AH424" i="12"/>
  <c r="AI424" i="12" s="1"/>
  <c r="AE298" i="12"/>
  <c r="AH298" i="12"/>
  <c r="AI298" i="12" s="1"/>
  <c r="AE327" i="12"/>
  <c r="AH327" i="12"/>
  <c r="AI327" i="12" s="1"/>
  <c r="AE459" i="12"/>
  <c r="AH459" i="12"/>
  <c r="AI459" i="12" s="1"/>
  <c r="AE387" i="12"/>
  <c r="AH387" i="12"/>
  <c r="AI387" i="12" s="1"/>
  <c r="AE28" i="12"/>
  <c r="AH28" i="12"/>
  <c r="AI28" i="12" s="1"/>
  <c r="AE322" i="12"/>
  <c r="AH322" i="12"/>
  <c r="AI322" i="12" s="1"/>
  <c r="AE373" i="12"/>
  <c r="AH373" i="12"/>
  <c r="AI373" i="12" s="1"/>
  <c r="AE319" i="13"/>
  <c r="AK319" i="13"/>
  <c r="AP319" i="13"/>
  <c r="X319" i="13"/>
  <c r="AA319" i="13"/>
  <c r="AU319" i="13"/>
  <c r="AB319" i="13"/>
  <c r="AO319" i="13"/>
  <c r="M319" i="13"/>
  <c r="Q319" i="13"/>
  <c r="N319" i="13"/>
  <c r="S319" i="13"/>
  <c r="AL319" i="13"/>
  <c r="AH319" i="13"/>
  <c r="P319" i="13"/>
  <c r="AR319" i="13"/>
  <c r="W319" i="13"/>
  <c r="AM319" i="13"/>
  <c r="T319" i="13"/>
  <c r="AG319" i="13"/>
  <c r="AD319" i="13"/>
  <c r="AN319" i="13"/>
  <c r="I319" i="13"/>
  <c r="AS319" i="13"/>
  <c r="K319" i="13"/>
  <c r="O319" i="13"/>
  <c r="J319" i="13"/>
  <c r="Z319" i="13"/>
  <c r="H319" i="13"/>
  <c r="AJ319" i="13"/>
  <c r="AF319" i="13"/>
  <c r="AI319" i="13"/>
  <c r="L319" i="13"/>
  <c r="AY319" i="13" s="1"/>
  <c r="Y319" i="13"/>
  <c r="V319" i="13"/>
  <c r="AW319" i="13"/>
  <c r="U319" i="13"/>
  <c r="AE45" i="12"/>
  <c r="AH45" i="12"/>
  <c r="AI45" i="12" s="1"/>
  <c r="AE13" i="12"/>
  <c r="AH13" i="12"/>
  <c r="AI13" i="12" s="1"/>
  <c r="AE380" i="12"/>
  <c r="AH380" i="12"/>
  <c r="AI380" i="12" s="1"/>
  <c r="AV296" i="13"/>
  <c r="AS296" i="13"/>
  <c r="T296" i="13"/>
  <c r="AF296" i="13"/>
  <c r="AW296" i="13"/>
  <c r="AC296" i="13"/>
  <c r="AT296" i="13"/>
  <c r="H296" i="13"/>
  <c r="V296" i="13"/>
  <c r="Z296" i="13"/>
  <c r="AR296" i="13"/>
  <c r="R296" i="13"/>
  <c r="AE296" i="13"/>
  <c r="AN296" i="13"/>
  <c r="L296" i="13"/>
  <c r="U296" i="13"/>
  <c r="M296" i="13"/>
  <c r="K296" i="13"/>
  <c r="AO296" i="13"/>
  <c r="AP296" i="13"/>
  <c r="AH296" i="13"/>
  <c r="AM296" i="13"/>
  <c r="AL296" i="13"/>
  <c r="O296" i="13"/>
  <c r="AD296" i="13"/>
  <c r="J296" i="13"/>
  <c r="S296" i="13"/>
  <c r="AQ296" i="13"/>
  <c r="N296" i="13"/>
  <c r="Q296" i="13"/>
  <c r="X296" i="13"/>
  <c r="AG296" i="13"/>
  <c r="AJ296" i="13"/>
  <c r="P296" i="13"/>
  <c r="AK296" i="13"/>
  <c r="AI296" i="13"/>
  <c r="W296" i="13"/>
  <c r="I296" i="13"/>
  <c r="AA296" i="13"/>
  <c r="AU296" i="13"/>
  <c r="AB296" i="13"/>
  <c r="Y296" i="13"/>
  <c r="AE401" i="12"/>
  <c r="AH401" i="12"/>
  <c r="AI401" i="12" s="1"/>
  <c r="AE536" i="12"/>
  <c r="AH536" i="12"/>
  <c r="AI536" i="12" s="1"/>
  <c r="AE507" i="12"/>
  <c r="AH507" i="12"/>
  <c r="AI507" i="12" s="1"/>
  <c r="AE151" i="12"/>
  <c r="AH151" i="12"/>
  <c r="AI151" i="12" s="1"/>
  <c r="AE440" i="12"/>
  <c r="AH440" i="12"/>
  <c r="AI440" i="12" s="1"/>
  <c r="AE474" i="12"/>
  <c r="AH474" i="12"/>
  <c r="AI474" i="12" s="1"/>
  <c r="AE402" i="12"/>
  <c r="AH402" i="12"/>
  <c r="AI402" i="12" s="1"/>
  <c r="AE493" i="12"/>
  <c r="AH493" i="12"/>
  <c r="AI493" i="12" s="1"/>
  <c r="AE496" i="12"/>
  <c r="AH496" i="12"/>
  <c r="AI496" i="12" s="1"/>
  <c r="BK173" i="13"/>
  <c r="AE408" i="12"/>
  <c r="AH408" i="12"/>
  <c r="AI408" i="12" s="1"/>
  <c r="AE526" i="12"/>
  <c r="AH526" i="12"/>
  <c r="AI526" i="12" s="1"/>
  <c r="AE99" i="12"/>
  <c r="AH99" i="12"/>
  <c r="AI99" i="12" s="1"/>
  <c r="AE470" i="12"/>
  <c r="AH470" i="12"/>
  <c r="AI470" i="12" s="1"/>
  <c r="AE517" i="12"/>
  <c r="AH517" i="12"/>
  <c r="AI517" i="12" s="1"/>
  <c r="AE22" i="12"/>
  <c r="AH22" i="12"/>
  <c r="AI22" i="12" s="1"/>
  <c r="AY310" i="13"/>
  <c r="BC310" i="13" s="1"/>
  <c r="BP310" i="13"/>
  <c r="AE64" i="12"/>
  <c r="AH64" i="12"/>
  <c r="AI64" i="12" s="1"/>
  <c r="AE448" i="12"/>
  <c r="AH448" i="12"/>
  <c r="AI448" i="12" s="1"/>
  <c r="AE27" i="12"/>
  <c r="AH27" i="12"/>
  <c r="AI27" i="12" s="1"/>
  <c r="AE354" i="12"/>
  <c r="AH354" i="12"/>
  <c r="AI354" i="12" s="1"/>
  <c r="AE441" i="12"/>
  <c r="AH441" i="12"/>
  <c r="AI441" i="12" s="1"/>
  <c r="AH341" i="12"/>
  <c r="AI341" i="12" s="1"/>
  <c r="AE341" i="12"/>
  <c r="AH435" i="12"/>
  <c r="AI435" i="12" s="1"/>
  <c r="AE435" i="12"/>
  <c r="BF247" i="13"/>
  <c r="AH311" i="12"/>
  <c r="AI311" i="12" s="1"/>
  <c r="AH538" i="12"/>
  <c r="AI538" i="12" s="1"/>
  <c r="AE139" i="12"/>
  <c r="AH139" i="12"/>
  <c r="AI139" i="12" s="1"/>
  <c r="AE548" i="12"/>
  <c r="AH548" i="12"/>
  <c r="AI548" i="12" s="1"/>
  <c r="AE306" i="12"/>
  <c r="AH306" i="12"/>
  <c r="AI306" i="12" s="1"/>
  <c r="AE558" i="12"/>
  <c r="AH558" i="12"/>
  <c r="AI558" i="12" s="1"/>
  <c r="AE416" i="12"/>
  <c r="AH416" i="12"/>
  <c r="AI416" i="12" s="1"/>
  <c r="AH111" i="12"/>
  <c r="AI111" i="12" s="1"/>
  <c r="AE111" i="12"/>
  <c r="AE480" i="12"/>
  <c r="AH480" i="12"/>
  <c r="AI480" i="12" s="1"/>
  <c r="BI173" i="13"/>
  <c r="S15" i="18"/>
  <c r="BI149" i="13"/>
  <c r="AH167" i="12"/>
  <c r="AI167" i="12" s="1"/>
  <c r="AE167" i="12"/>
  <c r="AY149" i="13"/>
  <c r="AW293" i="13"/>
  <c r="AU293" i="13"/>
  <c r="AE385" i="12"/>
  <c r="AH385" i="12"/>
  <c r="AI385" i="12" s="1"/>
  <c r="AE379" i="12"/>
  <c r="AH379" i="12"/>
  <c r="AI379" i="12" s="1"/>
  <c r="AE21" i="12"/>
  <c r="AH21" i="12"/>
  <c r="AI21" i="12" s="1"/>
  <c r="AE340" i="12"/>
  <c r="AH340" i="12"/>
  <c r="AI340" i="12" s="1"/>
  <c r="AE25" i="12"/>
  <c r="AH25" i="12"/>
  <c r="AI25" i="12" s="1"/>
  <c r="AE390" i="12"/>
  <c r="AH390" i="12"/>
  <c r="AI390" i="12" s="1"/>
  <c r="BB173" i="13"/>
  <c r="AE303" i="12"/>
  <c r="AH303" i="12"/>
  <c r="AI303" i="12" s="1"/>
  <c r="AE49" i="12"/>
  <c r="AH49" i="12"/>
  <c r="AI49" i="12" s="1"/>
  <c r="AH156" i="12"/>
  <c r="AI156" i="12" s="1"/>
  <c r="AE156" i="12"/>
  <c r="BK193" i="13"/>
  <c r="AE292" i="12"/>
  <c r="AH292" i="12"/>
  <c r="AI292" i="12" s="1"/>
  <c r="AE439" i="12"/>
  <c r="AH439" i="12"/>
  <c r="AI439" i="12" s="1"/>
  <c r="AT313" i="13"/>
  <c r="AK313" i="13"/>
  <c r="W313" i="13"/>
  <c r="S313" i="13"/>
  <c r="P313" i="13"/>
  <c r="AN313" i="13"/>
  <c r="AF313" i="13"/>
  <c r="AH313" i="13"/>
  <c r="M313" i="13"/>
  <c r="J313" i="13"/>
  <c r="AV313" i="13"/>
  <c r="AS313" i="13"/>
  <c r="Z313" i="13"/>
  <c r="AB313" i="13"/>
  <c r="R313" i="13"/>
  <c r="O313" i="13"/>
  <c r="AP313" i="13"/>
  <c r="AM313" i="13"/>
  <c r="AE313" i="13"/>
  <c r="AG313" i="13"/>
  <c r="L313" i="13"/>
  <c r="I313" i="13"/>
  <c r="AJ313" i="13"/>
  <c r="AR313" i="13"/>
  <c r="Y313" i="13"/>
  <c r="AA313" i="13"/>
  <c r="V313" i="13"/>
  <c r="AW313" i="13"/>
  <c r="K313" i="13"/>
  <c r="AU313" i="13"/>
  <c r="AL313" i="13"/>
  <c r="AD313" i="13"/>
  <c r="U313" i="13"/>
  <c r="Q313" i="13"/>
  <c r="AO313" i="13"/>
  <c r="X313" i="13"/>
  <c r="N313" i="13"/>
  <c r="AZ313" i="13" s="1"/>
  <c r="AI313" i="13"/>
  <c r="AQ313" i="13"/>
  <c r="AC313" i="13"/>
  <c r="H313" i="13"/>
  <c r="T313" i="13"/>
  <c r="BJ239" i="13"/>
  <c r="AE184" i="12"/>
  <c r="AH184" i="12"/>
  <c r="AI184" i="12" s="1"/>
  <c r="AE105" i="12"/>
  <c r="AH105" i="12"/>
  <c r="AI105" i="12" s="1"/>
  <c r="AE29" i="12"/>
  <c r="AH29" i="12"/>
  <c r="AI29" i="12" s="1"/>
  <c r="AZ173" i="13"/>
  <c r="BL239" i="13"/>
  <c r="BD149" i="13"/>
  <c r="BH149" i="13" s="1"/>
  <c r="AE442" i="12"/>
  <c r="AH442" i="12"/>
  <c r="AI442" i="12" s="1"/>
  <c r="AE142" i="12"/>
  <c r="AH142" i="12"/>
  <c r="AI142" i="12" s="1"/>
  <c r="M247" i="13"/>
  <c r="U247" i="13"/>
  <c r="AR247" i="13"/>
  <c r="BL247" i="13" s="1"/>
  <c r="AK247" i="13"/>
  <c r="W247" i="13"/>
  <c r="AY173" i="13"/>
  <c r="BP173" i="13"/>
  <c r="AE326" i="12"/>
  <c r="AH326" i="12"/>
  <c r="AI326" i="12" s="1"/>
  <c r="AE52" i="12"/>
  <c r="AH52" i="12"/>
  <c r="AI52" i="12" s="1"/>
  <c r="AE122" i="12"/>
  <c r="AH122" i="12"/>
  <c r="AI122" i="12" s="1"/>
  <c r="AE160" i="12"/>
  <c r="AH160" i="12"/>
  <c r="AI160" i="12" s="1"/>
  <c r="AE547" i="12"/>
  <c r="AH547" i="12"/>
  <c r="AI547" i="12" s="1"/>
  <c r="AE483" i="12"/>
  <c r="AH483" i="12"/>
  <c r="AI483" i="12" s="1"/>
  <c r="AE63" i="12"/>
  <c r="AH63" i="12"/>
  <c r="AI63" i="12" s="1"/>
  <c r="AQ302" i="13"/>
  <c r="AN302" i="13"/>
  <c r="Z302" i="13"/>
  <c r="W302" i="13"/>
  <c r="H302" i="13"/>
  <c r="J302" i="13"/>
  <c r="AK302" i="13"/>
  <c r="AS302" i="13"/>
  <c r="T302" i="13"/>
  <c r="AH302" i="13"/>
  <c r="S302" i="13"/>
  <c r="AV302" i="13"/>
  <c r="AM302" i="13"/>
  <c r="AE302" i="13"/>
  <c r="AB302" i="13"/>
  <c r="M302" i="13"/>
  <c r="AP302" i="13"/>
  <c r="AR302" i="13"/>
  <c r="Y302" i="13"/>
  <c r="V302" i="13"/>
  <c r="R302" i="13"/>
  <c r="AU302" i="13"/>
  <c r="AL302" i="13"/>
  <c r="AD302" i="13"/>
  <c r="O302" i="13"/>
  <c r="L302" i="13"/>
  <c r="AO302" i="13"/>
  <c r="AG302" i="13"/>
  <c r="X302" i="13"/>
  <c r="I302" i="13"/>
  <c r="Q302" i="13"/>
  <c r="AI302" i="13"/>
  <c r="AA302" i="13"/>
  <c r="AJ302" i="13"/>
  <c r="U302" i="13"/>
  <c r="K302" i="13"/>
  <c r="AW302" i="13"/>
  <c r="AT302" i="13"/>
  <c r="AF302" i="13"/>
  <c r="AC302" i="13"/>
  <c r="N302" i="13"/>
  <c r="P302" i="13"/>
  <c r="BB149" i="13"/>
  <c r="BL149" i="13"/>
  <c r="AE430" i="12"/>
  <c r="AH430" i="12"/>
  <c r="AI430" i="12" s="1"/>
  <c r="AE181" i="12"/>
  <c r="AH181" i="12"/>
  <c r="AI181" i="12" s="1"/>
  <c r="AH375" i="12"/>
  <c r="AI375" i="12" s="1"/>
  <c r="AE375" i="12"/>
  <c r="BP149" i="13"/>
  <c r="AH113" i="12"/>
  <c r="AI113" i="12" s="1"/>
  <c r="AE113" i="12"/>
  <c r="AE34" i="12"/>
  <c r="AH34" i="12"/>
  <c r="AI34" i="12" s="1"/>
  <c r="AE407" i="12"/>
  <c r="AH407" i="12"/>
  <c r="AI407" i="12" s="1"/>
  <c r="BE173" i="13"/>
  <c r="AE486" i="12"/>
  <c r="AH486" i="12"/>
  <c r="AI486" i="12" s="1"/>
  <c r="BJ35" i="13"/>
  <c r="AO274" i="13"/>
  <c r="AE274" i="13"/>
  <c r="AK274" i="13"/>
  <c r="T274" i="13"/>
  <c r="I274" i="13"/>
  <c r="AM274" i="13"/>
  <c r="W274" i="13"/>
  <c r="AC274" i="13"/>
  <c r="H274" i="13"/>
  <c r="N274" i="13"/>
  <c r="Q274" i="13"/>
  <c r="L274" i="13"/>
  <c r="U274" i="13"/>
  <c r="AP274" i="13"/>
  <c r="AV274" i="13"/>
  <c r="V274" i="13"/>
  <c r="K274" i="13"/>
  <c r="AA274" i="13"/>
  <c r="AG274" i="13"/>
  <c r="Y274" i="13"/>
  <c r="AN274" i="13"/>
  <c r="AT274" i="13"/>
  <c r="Z274" i="13"/>
  <c r="AF274" i="13"/>
  <c r="AD274" i="13"/>
  <c r="AJ274" i="13"/>
  <c r="AH274" i="13"/>
  <c r="AI274" i="13"/>
  <c r="X274" i="13"/>
  <c r="AL274" i="13"/>
  <c r="AR274" i="13"/>
  <c r="O274" i="13"/>
  <c r="AU274" i="13"/>
  <c r="AW274" i="13"/>
  <c r="R274" i="13"/>
  <c r="AS274" i="13"/>
  <c r="M274" i="13"/>
  <c r="S274" i="13"/>
  <c r="AB274" i="13"/>
  <c r="J274" i="13"/>
  <c r="P274" i="13"/>
  <c r="AE11" i="12"/>
  <c r="AH11" i="12"/>
  <c r="AI11" i="12" s="1"/>
  <c r="AE95" i="12"/>
  <c r="AH95" i="12"/>
  <c r="AI95" i="12" s="1"/>
  <c r="AK239" i="13"/>
  <c r="BI239" i="13" s="1"/>
  <c r="W239" i="13"/>
  <c r="M239" i="13"/>
  <c r="U239" i="13"/>
  <c r="BK239" i="13"/>
  <c r="BG35" i="13"/>
  <c r="AE358" i="12"/>
  <c r="AH358" i="12"/>
  <c r="AI358" i="12" s="1"/>
  <c r="AE318" i="12"/>
  <c r="AH318" i="12"/>
  <c r="AI318" i="12" s="1"/>
  <c r="AE411" i="12"/>
  <c r="AH411" i="12"/>
  <c r="AI411" i="12" s="1"/>
  <c r="AE38" i="12"/>
  <c r="AH38" i="12"/>
  <c r="AI38" i="12" s="1"/>
  <c r="AE535" i="12"/>
  <c r="AH535" i="12"/>
  <c r="AI535" i="12" s="1"/>
  <c r="AE332" i="12"/>
  <c r="AH332" i="12"/>
  <c r="AI332" i="12" s="1"/>
  <c r="AE405" i="12"/>
  <c r="AH405" i="12"/>
  <c r="AI405" i="12" s="1"/>
  <c r="AE475" i="12"/>
  <c r="AH475" i="12"/>
  <c r="AI475" i="12" s="1"/>
  <c r="AE404" i="12"/>
  <c r="AH404" i="12"/>
  <c r="AI404" i="12" s="1"/>
  <c r="AE554" i="12"/>
  <c r="AH554" i="12"/>
  <c r="AI554" i="12" s="1"/>
  <c r="AN265" i="13"/>
  <c r="AE129" i="12"/>
  <c r="AH129" i="12"/>
  <c r="AI129" i="12" s="1"/>
  <c r="AE185" i="12"/>
  <c r="AH185" i="12"/>
  <c r="AI185" i="12" s="1"/>
  <c r="AE247" i="12"/>
  <c r="AH247" i="12"/>
  <c r="AI247" i="12" s="1"/>
  <c r="AE309" i="12"/>
  <c r="AH309" i="12"/>
  <c r="AI309" i="12" s="1"/>
  <c r="AH93" i="12"/>
  <c r="AI93" i="12" s="1"/>
  <c r="AE93" i="12"/>
  <c r="AE447" i="12"/>
  <c r="AH447" i="12"/>
  <c r="AI447" i="12" s="1"/>
  <c r="AE422" i="12"/>
  <c r="AH422" i="12"/>
  <c r="AI422" i="12" s="1"/>
  <c r="AE83" i="12"/>
  <c r="AH83" i="12"/>
  <c r="AI83" i="12" s="1"/>
  <c r="AE528" i="12"/>
  <c r="AH528" i="12"/>
  <c r="AI528" i="12" s="1"/>
  <c r="AE77" i="12"/>
  <c r="AH77" i="12"/>
  <c r="AI77" i="12" s="1"/>
  <c r="AH70" i="12"/>
  <c r="AI70" i="12" s="1"/>
  <c r="AE70" i="12"/>
  <c r="AE16" i="12"/>
  <c r="AH16" i="12"/>
  <c r="AI16" i="12" s="1"/>
  <c r="AL94" i="13"/>
  <c r="AN94" i="13"/>
  <c r="AF94" i="13"/>
  <c r="Q94" i="13"/>
  <c r="T94" i="13"/>
  <c r="AW94" i="13"/>
  <c r="AI94" i="13"/>
  <c r="Z94" i="13"/>
  <c r="K94" i="13"/>
  <c r="N94" i="13"/>
  <c r="AQ94" i="13"/>
  <c r="AC94" i="13"/>
  <c r="AK94" i="13"/>
  <c r="V94" i="13"/>
  <c r="H94" i="13"/>
  <c r="AV94" i="13"/>
  <c r="W94" i="13"/>
  <c r="AE94" i="13"/>
  <c r="P94" i="13"/>
  <c r="S94" i="13"/>
  <c r="AP94" i="13"/>
  <c r="AH94" i="13"/>
  <c r="Y94" i="13"/>
  <c r="J94" i="13"/>
  <c r="M94" i="13"/>
  <c r="AS94" i="13"/>
  <c r="AU94" i="13"/>
  <c r="AB94" i="13"/>
  <c r="AJ94" i="13"/>
  <c r="U94" i="13"/>
  <c r="R94" i="13"/>
  <c r="AM94" i="13"/>
  <c r="AO94" i="13"/>
  <c r="AG94" i="13"/>
  <c r="AD94" i="13"/>
  <c r="O94" i="13"/>
  <c r="L94" i="13"/>
  <c r="AR94" i="13"/>
  <c r="AT94" i="13"/>
  <c r="AA94" i="13"/>
  <c r="X94" i="13"/>
  <c r="I94" i="13"/>
  <c r="AE42" i="12"/>
  <c r="AH42" i="12"/>
  <c r="AI42" i="12" s="1"/>
  <c r="AW106" i="13"/>
  <c r="AV106" i="13"/>
  <c r="AU106" i="13"/>
  <c r="AE176" i="12"/>
  <c r="AH176" i="12"/>
  <c r="AI176" i="12" s="1"/>
  <c r="AH87" i="12"/>
  <c r="AI87" i="12" s="1"/>
  <c r="AE87" i="12"/>
  <c r="AC188" i="13"/>
  <c r="AQ188" i="13"/>
  <c r="R188" i="13"/>
  <c r="AV188" i="13"/>
  <c r="AE188" i="13"/>
  <c r="U188" i="13"/>
  <c r="AI188" i="13"/>
  <c r="J188" i="13"/>
  <c r="AN188" i="13"/>
  <c r="W188" i="13"/>
  <c r="M188" i="13"/>
  <c r="AA188" i="13"/>
  <c r="AW188" i="13"/>
  <c r="AF188" i="13"/>
  <c r="O188" i="13"/>
  <c r="AR188" i="13"/>
  <c r="S188" i="13"/>
  <c r="AO188" i="13"/>
  <c r="X188" i="13"/>
  <c r="AT188" i="13"/>
  <c r="AJ188" i="13"/>
  <c r="K188" i="13"/>
  <c r="AG188" i="13"/>
  <c r="P188" i="13"/>
  <c r="AL188" i="13"/>
  <c r="AB188" i="13"/>
  <c r="AP188" i="13"/>
  <c r="Y188" i="13"/>
  <c r="H188" i="13"/>
  <c r="AD188" i="13"/>
  <c r="AS188" i="13"/>
  <c r="T188" i="13"/>
  <c r="AH188" i="13"/>
  <c r="Q188" i="13"/>
  <c r="AU188" i="13"/>
  <c r="V188" i="13"/>
  <c r="AK188" i="13"/>
  <c r="L188" i="13"/>
  <c r="Z188" i="13"/>
  <c r="I188" i="13"/>
  <c r="AM188" i="13"/>
  <c r="N188" i="13"/>
  <c r="AE23" i="12"/>
  <c r="AH23" i="12"/>
  <c r="AI23" i="12" s="1"/>
  <c r="AE357" i="12"/>
  <c r="AH357" i="12"/>
  <c r="AI357" i="12" s="1"/>
  <c r="AE541" i="12"/>
  <c r="AH541" i="12"/>
  <c r="AI541" i="12" s="1"/>
  <c r="AE72" i="12"/>
  <c r="AH72" i="12"/>
  <c r="AI72" i="12" s="1"/>
  <c r="AE353" i="12"/>
  <c r="AH353" i="12"/>
  <c r="AI353" i="12" s="1"/>
  <c r="AL326" i="13"/>
  <c r="AO326" i="13"/>
  <c r="AH326" i="13"/>
  <c r="T326" i="13"/>
  <c r="J326" i="13"/>
  <c r="AW326" i="13"/>
  <c r="AI326" i="13"/>
  <c r="AB326" i="13"/>
  <c r="S326" i="13"/>
  <c r="O326" i="13"/>
  <c r="AQ326" i="13"/>
  <c r="AE326" i="13"/>
  <c r="V326" i="13"/>
  <c r="M326" i="13"/>
  <c r="I326" i="13"/>
  <c r="AT326" i="13"/>
  <c r="AK326" i="13"/>
  <c r="Y326" i="13"/>
  <c r="AG326" i="13"/>
  <c r="R326" i="13"/>
  <c r="N326" i="13"/>
  <c r="AN326" i="13"/>
  <c r="AV326" i="13"/>
  <c r="AD326" i="13"/>
  <c r="AA326" i="13"/>
  <c r="L326" i="13"/>
  <c r="H326" i="13"/>
  <c r="AS326" i="13"/>
  <c r="AP326" i="13"/>
  <c r="X326" i="13"/>
  <c r="U326" i="13"/>
  <c r="Q326" i="13"/>
  <c r="AM326" i="13"/>
  <c r="AJ326" i="13"/>
  <c r="AC326" i="13"/>
  <c r="AF326" i="13"/>
  <c r="K326" i="13"/>
  <c r="AR326" i="13"/>
  <c r="AU326" i="13"/>
  <c r="W326" i="13"/>
  <c r="Z326" i="13"/>
  <c r="BE326" i="13" s="1"/>
  <c r="P326" i="13"/>
  <c r="AE531" i="12"/>
  <c r="AH531" i="12"/>
  <c r="AI531" i="12" s="1"/>
  <c r="T15" i="18"/>
  <c r="AE46" i="12"/>
  <c r="AH46" i="12"/>
  <c r="AI46" i="12" s="1"/>
  <c r="AN266" i="13"/>
  <c r="AP266" i="13"/>
  <c r="W266" i="13"/>
  <c r="AE266" i="13"/>
  <c r="J266" i="13"/>
  <c r="M266" i="13"/>
  <c r="AS266" i="13"/>
  <c r="AU266" i="13"/>
  <c r="AH266" i="13"/>
  <c r="Y266" i="13"/>
  <c r="U266" i="13"/>
  <c r="AM266" i="13"/>
  <c r="AO266" i="13"/>
  <c r="AB266" i="13"/>
  <c r="R266" i="13"/>
  <c r="O266" i="13"/>
  <c r="AR266" i="13"/>
  <c r="AJ266" i="13"/>
  <c r="AG266" i="13"/>
  <c r="L266" i="13"/>
  <c r="I266" i="13"/>
  <c r="AL266" i="13"/>
  <c r="AD266" i="13"/>
  <c r="AA266" i="13"/>
  <c r="Q266" i="13"/>
  <c r="T266" i="13"/>
  <c r="AW266" i="13"/>
  <c r="X266" i="13"/>
  <c r="AF266" i="13"/>
  <c r="K266" i="13"/>
  <c r="N266" i="13"/>
  <c r="AQ266" i="13"/>
  <c r="AI266" i="13"/>
  <c r="Z266" i="13"/>
  <c r="V266" i="13"/>
  <c r="H266" i="13"/>
  <c r="AT266" i="13"/>
  <c r="AV266" i="13"/>
  <c r="AC266" i="13"/>
  <c r="BF266" i="13" s="1"/>
  <c r="AK266" i="13"/>
  <c r="P266" i="13"/>
  <c r="S266" i="13"/>
  <c r="BJ247" i="13"/>
  <c r="AE491" i="12"/>
  <c r="AH491" i="12"/>
  <c r="AI491" i="12" s="1"/>
  <c r="AE161" i="12"/>
  <c r="AH161" i="12"/>
  <c r="AI161" i="12" s="1"/>
  <c r="AM260" i="13"/>
  <c r="AE260" i="13"/>
  <c r="AH260" i="13"/>
  <c r="R260" i="13"/>
  <c r="O260" i="13"/>
  <c r="AR260" i="13"/>
  <c r="Y260" i="13"/>
  <c r="AB260" i="13"/>
  <c r="L260" i="13"/>
  <c r="I260" i="13"/>
  <c r="AL260" i="13"/>
  <c r="AJ260" i="13"/>
  <c r="AG260" i="13"/>
  <c r="Q260" i="13"/>
  <c r="T260" i="13"/>
  <c r="AU260" i="13"/>
  <c r="AW260" i="13"/>
  <c r="AD260" i="13"/>
  <c r="AA260" i="13"/>
  <c r="K260" i="13"/>
  <c r="N260" i="13"/>
  <c r="AO260" i="13"/>
  <c r="AQ260" i="13"/>
  <c r="X260" i="13"/>
  <c r="AF260" i="13"/>
  <c r="V260" i="13"/>
  <c r="H260" i="13"/>
  <c r="AT260" i="13"/>
  <c r="AV260" i="13"/>
  <c r="AI260" i="13"/>
  <c r="Z260" i="13"/>
  <c r="P260" i="13"/>
  <c r="AN260" i="13"/>
  <c r="AP260" i="13"/>
  <c r="AC260" i="13"/>
  <c r="S260" i="13"/>
  <c r="J260" i="13"/>
  <c r="AS260" i="13"/>
  <c r="AK260" i="13"/>
  <c r="W260" i="13"/>
  <c r="M260" i="13"/>
  <c r="U260" i="13"/>
  <c r="X271" i="13"/>
  <c r="J166" i="13"/>
  <c r="AE371" i="12"/>
  <c r="AH371" i="12"/>
  <c r="AI371" i="12" s="1"/>
  <c r="AH365" i="12"/>
  <c r="AI365" i="12" s="1"/>
  <c r="AE365" i="12"/>
  <c r="AE40" i="12"/>
  <c r="AH40" i="12"/>
  <c r="AI40" i="12" s="1"/>
  <c r="AL269" i="13"/>
  <c r="AJ269" i="13"/>
  <c r="AH269" i="13"/>
  <c r="AV269" i="13"/>
  <c r="AQ269" i="13"/>
  <c r="T269" i="13"/>
  <c r="AB269" i="13"/>
  <c r="AP269" i="13"/>
  <c r="Q269" i="13"/>
  <c r="I269" i="13"/>
  <c r="L269" i="13"/>
  <c r="AU269" i="13"/>
  <c r="N269" i="13"/>
  <c r="AF269" i="13"/>
  <c r="X269" i="13"/>
  <c r="O269" i="13"/>
  <c r="AS269" i="13"/>
  <c r="K269" i="13"/>
  <c r="AN269" i="13"/>
  <c r="AA269" i="13"/>
  <c r="AD269" i="13"/>
  <c r="S269" i="13"/>
  <c r="H269" i="13"/>
  <c r="Z269" i="13"/>
  <c r="AT269" i="13"/>
  <c r="AG269" i="13"/>
  <c r="M269" i="13"/>
  <c r="P269" i="13"/>
  <c r="V269" i="13"/>
  <c r="AI269" i="13"/>
  <c r="AR269" i="13"/>
  <c r="AO269" i="13"/>
  <c r="R269" i="13"/>
  <c r="J269" i="13"/>
  <c r="AE269" i="13"/>
  <c r="AK269" i="13"/>
  <c r="AW269" i="13"/>
  <c r="AM269" i="13"/>
  <c r="U269" i="13"/>
  <c r="Y269" i="13"/>
  <c r="W269" i="13"/>
  <c r="AC269" i="13"/>
  <c r="BE247" i="13"/>
  <c r="BB247" i="13"/>
  <c r="AE14" i="12"/>
  <c r="AH14" i="12"/>
  <c r="AI14" i="12" s="1"/>
  <c r="AH136" i="12"/>
  <c r="AI136" i="12" s="1"/>
  <c r="AE136" i="12"/>
  <c r="AE347" i="12"/>
  <c r="AH347" i="12"/>
  <c r="AI347" i="12" s="1"/>
  <c r="AE182" i="12"/>
  <c r="AH182" i="12"/>
  <c r="AI182" i="12" s="1"/>
  <c r="BA247" i="13"/>
  <c r="AE164" i="12"/>
  <c r="AH164" i="12"/>
  <c r="AI164" i="12" s="1"/>
  <c r="AH30" i="12"/>
  <c r="AI30" i="12" s="1"/>
  <c r="AE30" i="12"/>
  <c r="AP202" i="13"/>
  <c r="AL202" i="13"/>
  <c r="AJ202" i="13"/>
  <c r="U202" i="13"/>
  <c r="R202" i="13"/>
  <c r="AU202" i="13"/>
  <c r="AG202" i="13"/>
  <c r="AD202" i="13"/>
  <c r="O202" i="13"/>
  <c r="L202" i="13"/>
  <c r="AO202" i="13"/>
  <c r="AA202" i="13"/>
  <c r="X202" i="13"/>
  <c r="I202" i="13"/>
  <c r="Q202" i="13"/>
  <c r="AT202" i="13"/>
  <c r="AF202" i="13"/>
  <c r="AI202" i="13"/>
  <c r="T202" i="13"/>
  <c r="K202" i="13"/>
  <c r="AN202" i="13"/>
  <c r="Z202" i="13"/>
  <c r="AC202" i="13"/>
  <c r="N202" i="13"/>
  <c r="V202" i="13"/>
  <c r="AW202" i="13"/>
  <c r="AS202" i="13"/>
  <c r="AK202" i="13"/>
  <c r="W202" i="13"/>
  <c r="H202" i="13"/>
  <c r="P202" i="13"/>
  <c r="AQ202" i="13"/>
  <c r="AM202" i="13"/>
  <c r="AE202" i="13"/>
  <c r="AH202" i="13"/>
  <c r="S202" i="13"/>
  <c r="J202" i="13"/>
  <c r="AV202" i="13"/>
  <c r="AR202" i="13"/>
  <c r="Y202" i="13"/>
  <c r="AB202" i="13"/>
  <c r="M202" i="13"/>
  <c r="AZ247" i="13"/>
  <c r="AE79" i="12"/>
  <c r="AH79" i="12"/>
  <c r="AI79" i="12" s="1"/>
  <c r="AJ200" i="13"/>
  <c r="Y200" i="13"/>
  <c r="U200" i="13"/>
  <c r="S200" i="13"/>
  <c r="Z200" i="13"/>
  <c r="AQ200" i="13"/>
  <c r="AL200" i="13"/>
  <c r="AR200" i="13"/>
  <c r="O200" i="13"/>
  <c r="M200" i="13"/>
  <c r="AC200" i="13"/>
  <c r="AI200" i="13"/>
  <c r="AO200" i="13"/>
  <c r="R200" i="13"/>
  <c r="W200" i="13"/>
  <c r="AP200" i="13"/>
  <c r="AV200" i="13"/>
  <c r="AH200" i="13"/>
  <c r="AK200" i="13"/>
  <c r="AN200" i="13"/>
  <c r="AT200" i="13"/>
  <c r="N200" i="13"/>
  <c r="AE200" i="13"/>
  <c r="AS200" i="13"/>
  <c r="H200" i="13"/>
  <c r="K200" i="13"/>
  <c r="T200" i="13"/>
  <c r="I200" i="13"/>
  <c r="AM200" i="13"/>
  <c r="V200" i="13"/>
  <c r="AA200" i="13"/>
  <c r="Q200" i="13"/>
  <c r="L200" i="13"/>
  <c r="AF200" i="13"/>
  <c r="AD200" i="13"/>
  <c r="AG200" i="13"/>
  <c r="AB200" i="13"/>
  <c r="J200" i="13"/>
  <c r="P200" i="13"/>
  <c r="X200" i="13"/>
  <c r="AW200" i="13"/>
  <c r="AW74" i="13"/>
  <c r="AV74" i="13"/>
  <c r="AU74" i="13"/>
  <c r="AH250" i="12"/>
  <c r="AI250" i="12" s="1"/>
  <c r="AE250" i="12"/>
  <c r="BL35" i="13"/>
  <c r="BA10" i="13"/>
  <c r="BL10" i="13"/>
  <c r="L166" i="13"/>
  <c r="AE249" i="12"/>
  <c r="AH249" i="12"/>
  <c r="AI249" i="12" s="1"/>
  <c r="AW304" i="13"/>
  <c r="AV304" i="13"/>
  <c r="AU304" i="13"/>
  <c r="AE245" i="12"/>
  <c r="AH245" i="12"/>
  <c r="AI245" i="12" s="1"/>
  <c r="BP35" i="13"/>
  <c r="AE268" i="12"/>
  <c r="AH268" i="12"/>
  <c r="AI268" i="12" s="1"/>
  <c r="AW55" i="13"/>
  <c r="AV55" i="13"/>
  <c r="AU55" i="13"/>
  <c r="I55" i="13"/>
  <c r="AH231" i="12"/>
  <c r="AI231" i="12" s="1"/>
  <c r="AE231" i="12"/>
  <c r="BE35" i="13"/>
  <c r="AY35" i="13"/>
  <c r="BI35" i="13"/>
  <c r="BD35" i="13"/>
  <c r="BF10" i="13"/>
  <c r="AE286" i="12"/>
  <c r="AH286" i="12"/>
  <c r="AI286" i="12" s="1"/>
  <c r="AE253" i="12"/>
  <c r="AH253" i="12"/>
  <c r="AI253" i="12" s="1"/>
  <c r="AE285" i="12"/>
  <c r="AH285" i="12"/>
  <c r="AI285" i="12" s="1"/>
  <c r="BK35" i="13"/>
  <c r="AE217" i="12"/>
  <c r="AH217" i="12"/>
  <c r="AI217" i="12" s="1"/>
  <c r="BP10" i="13"/>
  <c r="AQ142" i="13"/>
  <c r="AC142" i="13"/>
  <c r="AK142" i="13"/>
  <c r="V142" i="13"/>
  <c r="H142" i="13"/>
  <c r="AV142" i="13"/>
  <c r="W142" i="13"/>
  <c r="AE142" i="13"/>
  <c r="P142" i="13"/>
  <c r="S142" i="13"/>
  <c r="AP142" i="13"/>
  <c r="AH142" i="13"/>
  <c r="Y142" i="13"/>
  <c r="J142" i="13"/>
  <c r="M142" i="13"/>
  <c r="AS142" i="13"/>
  <c r="AU142" i="13"/>
  <c r="AB142" i="13"/>
  <c r="AJ142" i="13"/>
  <c r="U142" i="13"/>
  <c r="R142" i="13"/>
  <c r="AM142" i="13"/>
  <c r="AO142" i="13"/>
  <c r="AG142" i="13"/>
  <c r="AD142" i="13"/>
  <c r="O142" i="13"/>
  <c r="L142" i="13"/>
  <c r="AR142" i="13"/>
  <c r="AT142" i="13"/>
  <c r="AA142" i="13"/>
  <c r="X142" i="13"/>
  <c r="I142" i="13"/>
  <c r="AL142" i="13"/>
  <c r="AN142" i="13"/>
  <c r="AF142" i="13"/>
  <c r="Q142" i="13"/>
  <c r="T142" i="13"/>
  <c r="AW142" i="13"/>
  <c r="AI142" i="13"/>
  <c r="Z142" i="13"/>
  <c r="K142" i="13"/>
  <c r="N142" i="13"/>
  <c r="AH272" i="12"/>
  <c r="AI272" i="12" s="1"/>
  <c r="AE272" i="12"/>
  <c r="AU65" i="13"/>
  <c r="AG65" i="13"/>
  <c r="AD65" i="13"/>
  <c r="U65" i="13"/>
  <c r="L65" i="13"/>
  <c r="AO65" i="13"/>
  <c r="AA65" i="13"/>
  <c r="X65" i="13"/>
  <c r="O65" i="13"/>
  <c r="Q65" i="13"/>
  <c r="AR65" i="13"/>
  <c r="AT65" i="13"/>
  <c r="AF65" i="13"/>
  <c r="AI65" i="13"/>
  <c r="T65" i="13"/>
  <c r="K65" i="13"/>
  <c r="AL65" i="13"/>
  <c r="AN65" i="13"/>
  <c r="Z65" i="13"/>
  <c r="AC65" i="13"/>
  <c r="N65" i="13"/>
  <c r="I65" i="13"/>
  <c r="AW65" i="13"/>
  <c r="AS65" i="13"/>
  <c r="AK65" i="13"/>
  <c r="W65" i="13"/>
  <c r="H65" i="13"/>
  <c r="AQ65" i="13"/>
  <c r="AM65" i="13"/>
  <c r="AE65" i="13"/>
  <c r="V65" i="13"/>
  <c r="S65" i="13"/>
  <c r="AV65" i="13"/>
  <c r="AH65" i="13"/>
  <c r="Y65" i="13"/>
  <c r="P65" i="13"/>
  <c r="M65" i="13"/>
  <c r="AP65" i="13"/>
  <c r="AB65" i="13"/>
  <c r="AJ65" i="13"/>
  <c r="J65" i="13"/>
  <c r="R65" i="13"/>
  <c r="AE219" i="12"/>
  <c r="AH219" i="12"/>
  <c r="AI219" i="12" s="1"/>
  <c r="BJ10" i="13"/>
  <c r="P166" i="13"/>
  <c r="BF239" i="13"/>
  <c r="AH206" i="12"/>
  <c r="AI206" i="12" s="1"/>
  <c r="AE206" i="12"/>
  <c r="AH237" i="12"/>
  <c r="AI237" i="12" s="1"/>
  <c r="AE237" i="12"/>
  <c r="AE227" i="12"/>
  <c r="AH227" i="12"/>
  <c r="AI227" i="12" s="1"/>
  <c r="AE242" i="12"/>
  <c r="AH242" i="12"/>
  <c r="AI242" i="12" s="1"/>
  <c r="AZ35" i="13"/>
  <c r="AZ10" i="13"/>
  <c r="O7" i="18"/>
  <c r="O8" i="18" s="1"/>
  <c r="I1" i="12"/>
  <c r="AT311" i="13"/>
  <c r="AA311" i="13"/>
  <c r="V311" i="13"/>
  <c r="AL311" i="13"/>
  <c r="AU311" i="13"/>
  <c r="Y311" i="13"/>
  <c r="AG311" i="13"/>
  <c r="P311" i="13"/>
  <c r="AM311" i="13"/>
  <c r="Q311" i="13"/>
  <c r="AQ311" i="13"/>
  <c r="AE311" i="13"/>
  <c r="S311" i="13"/>
  <c r="Z311" i="13"/>
  <c r="N311" i="13"/>
  <c r="AW311" i="13"/>
  <c r="AH311" i="13"/>
  <c r="AC311" i="13"/>
  <c r="H311" i="13"/>
  <c r="L311" i="13"/>
  <c r="J311" i="13"/>
  <c r="AO311" i="13"/>
  <c r="AP311" i="13"/>
  <c r="T311" i="13"/>
  <c r="AN311" i="13"/>
  <c r="U311" i="13"/>
  <c r="M311" i="13"/>
  <c r="AR311" i="13"/>
  <c r="K311" i="13"/>
  <c r="AS311" i="13"/>
  <c r="AD311" i="13"/>
  <c r="I311" i="13"/>
  <c r="AB311" i="13"/>
  <c r="AJ311" i="13"/>
  <c r="X311" i="13"/>
  <c r="AK311" i="13"/>
  <c r="R311" i="13"/>
  <c r="O311" i="13"/>
  <c r="AI311" i="13"/>
  <c r="W311" i="13"/>
  <c r="AV311" i="13"/>
  <c r="AF311" i="13"/>
  <c r="Y242" i="13"/>
  <c r="W242" i="13"/>
  <c r="P242" i="13"/>
  <c r="K242" i="13"/>
  <c r="AA242" i="13"/>
  <c r="AB242" i="13"/>
  <c r="AH242" i="13"/>
  <c r="AP242" i="13"/>
  <c r="AK242" i="13"/>
  <c r="AF242" i="13"/>
  <c r="AD242" i="13"/>
  <c r="AO242" i="13"/>
  <c r="AU242" i="13"/>
  <c r="AN242" i="13"/>
  <c r="AC242" i="13"/>
  <c r="X242" i="13"/>
  <c r="AL242" i="13"/>
  <c r="I242" i="13"/>
  <c r="AS242" i="13"/>
  <c r="AV242" i="13"/>
  <c r="H242" i="13"/>
  <c r="AW242" i="13"/>
  <c r="L242" i="13"/>
  <c r="AT242" i="13"/>
  <c r="V242" i="13"/>
  <c r="AG242" i="13"/>
  <c r="AM242" i="13"/>
  <c r="M242" i="13"/>
  <c r="Z242" i="13"/>
  <c r="AJ242" i="13"/>
  <c r="J242" i="13"/>
  <c r="AI242" i="13"/>
  <c r="T242" i="13"/>
  <c r="AR242" i="13"/>
  <c r="O242" i="13"/>
  <c r="U242" i="13"/>
  <c r="AE242" i="13"/>
  <c r="S242" i="13"/>
  <c r="AQ242" i="13"/>
  <c r="N242" i="13"/>
  <c r="Q242" i="13"/>
  <c r="R242" i="13"/>
  <c r="AH54" i="12"/>
  <c r="AI54" i="12" s="1"/>
  <c r="AE54" i="12"/>
  <c r="AE240" i="12"/>
  <c r="AH240" i="12"/>
  <c r="AI240" i="12" s="1"/>
  <c r="AE260" i="12"/>
  <c r="AH260" i="12"/>
  <c r="AI260" i="12" s="1"/>
  <c r="AW292" i="13"/>
  <c r="AV292" i="13"/>
  <c r="AU292" i="13"/>
  <c r="AT292" i="13"/>
  <c r="AL292" i="13"/>
  <c r="S292" i="13"/>
  <c r="AC292" i="13"/>
  <c r="AB292" i="13"/>
  <c r="N292" i="13"/>
  <c r="AK292" i="13"/>
  <c r="AA292" i="13"/>
  <c r="AS292" i="13"/>
  <c r="M292" i="13"/>
  <c r="AR292" i="13"/>
  <c r="Y292" i="13"/>
  <c r="AD292" i="13"/>
  <c r="T292" i="13"/>
  <c r="I292" i="13"/>
  <c r="AH292" i="13"/>
  <c r="W292" i="13"/>
  <c r="O292" i="13"/>
  <c r="AQ292" i="13"/>
  <c r="AM292" i="13"/>
  <c r="AE292" i="13"/>
  <c r="AI292" i="13"/>
  <c r="J292" i="13"/>
  <c r="AP292" i="13"/>
  <c r="V292" i="13"/>
  <c r="K292" i="13"/>
  <c r="H292" i="13"/>
  <c r="U292" i="13"/>
  <c r="AJ292" i="13"/>
  <c r="L292" i="13"/>
  <c r="J271" i="13"/>
  <c r="X290" i="13"/>
  <c r="X265" i="13"/>
  <c r="X284" i="13"/>
  <c r="AN166" i="13"/>
  <c r="AN284" i="13"/>
  <c r="J290" i="13"/>
  <c r="AO284" i="13"/>
  <c r="L271" i="13"/>
  <c r="L164" i="13"/>
  <c r="Z284" i="13"/>
  <c r="Z290" i="13"/>
  <c r="Z265" i="13"/>
  <c r="Z166" i="13"/>
  <c r="AC328" i="13"/>
  <c r="N328" i="13"/>
  <c r="P328" i="13"/>
  <c r="AU328" i="13"/>
  <c r="AW328" i="13"/>
  <c r="M328" i="13"/>
  <c r="AP328" i="13"/>
  <c r="Z328" i="13"/>
  <c r="AD328" i="13"/>
  <c r="I328" i="13"/>
  <c r="O328" i="13"/>
  <c r="S328" i="13"/>
  <c r="AT328" i="13"/>
  <c r="AG328" i="13"/>
  <c r="AM328" i="13"/>
  <c r="W328" i="13"/>
  <c r="AA328" i="13"/>
  <c r="J328" i="13"/>
  <c r="T328" i="13"/>
  <c r="AS328" i="13"/>
  <c r="L328" i="13"/>
  <c r="AV328" i="13"/>
  <c r="AH328" i="13"/>
  <c r="AO328" i="13"/>
  <c r="AK328" i="13"/>
  <c r="U328" i="13"/>
  <c r="AI328" i="13"/>
  <c r="AR328" i="13"/>
  <c r="Q328" i="13"/>
  <c r="AB328" i="13"/>
  <c r="AQ328" i="13"/>
  <c r="AF328" i="13"/>
  <c r="K328" i="13"/>
  <c r="AL328" i="13"/>
  <c r="X328" i="13"/>
  <c r="AE328" i="13"/>
  <c r="AN328" i="13"/>
  <c r="R328" i="13"/>
  <c r="AJ328" i="13"/>
  <c r="H328" i="13"/>
  <c r="Y328" i="13"/>
  <c r="V328" i="13"/>
  <c r="K7" i="18"/>
  <c r="K8" i="18" s="1"/>
  <c r="AE226" i="12"/>
  <c r="AH226" i="12"/>
  <c r="AI226" i="12" s="1"/>
  <c r="AB262" i="13"/>
  <c r="AH262" i="13"/>
  <c r="T262" i="13"/>
  <c r="AA262" i="13"/>
  <c r="Y262" i="13"/>
  <c r="AE262" i="13"/>
  <c r="P262" i="13"/>
  <c r="AI262" i="13"/>
  <c r="AO262" i="13"/>
  <c r="L262" i="13"/>
  <c r="AR262" i="13"/>
  <c r="AM262" i="13"/>
  <c r="H262" i="13"/>
  <c r="AF262" i="13"/>
  <c r="O262" i="13"/>
  <c r="R262" i="13"/>
  <c r="AV262" i="13"/>
  <c r="AQ262" i="13"/>
  <c r="W262" i="13"/>
  <c r="V262" i="13"/>
  <c r="AT262" i="13"/>
  <c r="AD262" i="13"/>
  <c r="U262" i="13"/>
  <c r="AK262" i="13"/>
  <c r="N262" i="13"/>
  <c r="AG262" i="13"/>
  <c r="AS262" i="13"/>
  <c r="AC262" i="13"/>
  <c r="Q262" i="13"/>
  <c r="AU262" i="13"/>
  <c r="J262" i="13"/>
  <c r="AW262" i="13"/>
  <c r="Z262" i="13"/>
  <c r="I262" i="13"/>
  <c r="AP262" i="13"/>
  <c r="M262" i="13"/>
  <c r="S262" i="13"/>
  <c r="AN262" i="13"/>
  <c r="K262" i="13"/>
  <c r="X262" i="13"/>
  <c r="AJ262" i="13"/>
  <c r="AL262" i="13"/>
  <c r="AH223" i="12"/>
  <c r="AI223" i="12" s="1"/>
  <c r="AE223" i="12"/>
  <c r="AH133" i="12"/>
  <c r="AI133" i="12" s="1"/>
  <c r="AE133" i="12"/>
  <c r="AH275" i="12"/>
  <c r="AI275" i="12" s="1"/>
  <c r="AE275" i="12"/>
  <c r="AE80" i="12"/>
  <c r="AH80" i="12"/>
  <c r="AI80" i="12" s="1"/>
  <c r="L33" i="24"/>
  <c r="P295" i="13"/>
  <c r="P290" i="13"/>
  <c r="P265" i="13"/>
  <c r="X164" i="13"/>
  <c r="X292" i="13"/>
  <c r="AF284" i="13"/>
  <c r="AF290" i="13"/>
  <c r="AN292" i="13"/>
  <c r="Y290" i="13"/>
  <c r="AG290" i="13"/>
  <c r="AG164" i="13"/>
  <c r="AO295" i="13"/>
  <c r="Z292" i="13"/>
  <c r="Z295" i="13"/>
  <c r="Z271" i="13"/>
  <c r="BE8" i="13"/>
  <c r="AH265" i="13"/>
  <c r="AP241" i="13"/>
  <c r="AL241" i="13"/>
  <c r="AJ241" i="13"/>
  <c r="AG241" i="13"/>
  <c r="L241" i="13"/>
  <c r="I241" i="13"/>
  <c r="AU241" i="13"/>
  <c r="AW241" i="13"/>
  <c r="AD241" i="13"/>
  <c r="AA241" i="13"/>
  <c r="Q241" i="13"/>
  <c r="AO241" i="13"/>
  <c r="AQ241" i="13"/>
  <c r="X241" i="13"/>
  <c r="T241" i="13"/>
  <c r="K241" i="13"/>
  <c r="AT241" i="13"/>
  <c r="AF241" i="13"/>
  <c r="AI241" i="13"/>
  <c r="N241" i="13"/>
  <c r="V241" i="13"/>
  <c r="AN241" i="13"/>
  <c r="Z241" i="13"/>
  <c r="AC241" i="13"/>
  <c r="H241" i="13"/>
  <c r="P241" i="13"/>
  <c r="AM241" i="13"/>
  <c r="AE241" i="13"/>
  <c r="AH241" i="13"/>
  <c r="M241" i="13"/>
  <c r="U241" i="13"/>
  <c r="AV241" i="13"/>
  <c r="AR241" i="13"/>
  <c r="Y241" i="13"/>
  <c r="AB241" i="13"/>
  <c r="R241" i="13"/>
  <c r="O241" i="13"/>
  <c r="J241" i="13"/>
  <c r="AS241" i="13"/>
  <c r="AK241" i="13"/>
  <c r="W241" i="13"/>
  <c r="S241" i="13"/>
  <c r="AU76" i="13"/>
  <c r="AW76" i="13"/>
  <c r="AV76" i="13"/>
  <c r="P76" i="13"/>
  <c r="AM76" i="13"/>
  <c r="AE76" i="13"/>
  <c r="S76" i="13"/>
  <c r="AS76" i="13"/>
  <c r="J76" i="13"/>
  <c r="AH76" i="13"/>
  <c r="K76" i="13"/>
  <c r="AL76" i="13"/>
  <c r="AA76" i="13"/>
  <c r="AC76" i="13"/>
  <c r="L76" i="13"/>
  <c r="AG76" i="13"/>
  <c r="AI76" i="13"/>
  <c r="U76" i="13"/>
  <c r="I76" i="13"/>
  <c r="AR76" i="13"/>
  <c r="AJ76" i="13"/>
  <c r="R76" i="13"/>
  <c r="AO76" i="13"/>
  <c r="Q76" i="13"/>
  <c r="AQ76" i="13"/>
  <c r="AB76" i="13"/>
  <c r="T76" i="13"/>
  <c r="O76" i="13"/>
  <c r="AT76" i="13"/>
  <c r="N76" i="13"/>
  <c r="H76" i="13"/>
  <c r="M76" i="13"/>
  <c r="W76" i="13"/>
  <c r="AK76" i="13"/>
  <c r="AD76" i="13"/>
  <c r="V76" i="13"/>
  <c r="Y76" i="13"/>
  <c r="AP76" i="13"/>
  <c r="Z76" i="13"/>
  <c r="X166" i="13"/>
  <c r="X76" i="13"/>
  <c r="AF292" i="13"/>
  <c r="Q166" i="13"/>
  <c r="Q265" i="13"/>
  <c r="Q271" i="13"/>
  <c r="Y265" i="13"/>
  <c r="AO292" i="13"/>
  <c r="R265" i="13"/>
  <c r="R271" i="13"/>
  <c r="P271" i="13"/>
  <c r="AF166" i="13"/>
  <c r="AF76" i="13"/>
  <c r="AF295" i="13"/>
  <c r="Q164" i="13"/>
  <c r="Q292" i="13"/>
  <c r="AG284" i="13"/>
  <c r="AO265" i="13"/>
  <c r="R290" i="13"/>
  <c r="AH196" i="12"/>
  <c r="AI196" i="12" s="1"/>
  <c r="AE196" i="12"/>
  <c r="AU244" i="13"/>
  <c r="X244" i="13"/>
  <c r="P244" i="13"/>
  <c r="W244" i="13"/>
  <c r="AR244" i="13"/>
  <c r="Q244" i="13"/>
  <c r="AW244" i="13"/>
  <c r="AF244" i="13"/>
  <c r="AN244" i="13"/>
  <c r="M244" i="13"/>
  <c r="Y244" i="13"/>
  <c r="T244" i="13"/>
  <c r="AD244" i="13"/>
  <c r="V244" i="13"/>
  <c r="AP244" i="13"/>
  <c r="U244" i="13"/>
  <c r="AB244" i="13"/>
  <c r="AA244" i="13"/>
  <c r="H244" i="13"/>
  <c r="AC244" i="13"/>
  <c r="AM244" i="13"/>
  <c r="L244" i="13"/>
  <c r="K244" i="13"/>
  <c r="AT244" i="13"/>
  <c r="S244" i="13"/>
  <c r="AE244" i="13"/>
  <c r="I244" i="13"/>
  <c r="N244" i="13"/>
  <c r="AV244" i="13"/>
  <c r="J244" i="13"/>
  <c r="AH244" i="13"/>
  <c r="AL244" i="13"/>
  <c r="AO244" i="13"/>
  <c r="AI244" i="13"/>
  <c r="AS244" i="13"/>
  <c r="R244" i="13"/>
  <c r="AJ244" i="13"/>
  <c r="AQ244" i="13"/>
  <c r="Z244" i="13"/>
  <c r="AK244" i="13"/>
  <c r="O244" i="13"/>
  <c r="AG244" i="13"/>
  <c r="AW79" i="13"/>
  <c r="N79" i="13"/>
  <c r="K79" i="13"/>
  <c r="AA79" i="13"/>
  <c r="AJ79" i="13"/>
  <c r="AE79" i="13"/>
  <c r="AC79" i="13"/>
  <c r="T79" i="13"/>
  <c r="AO79" i="13"/>
  <c r="AL79" i="13"/>
  <c r="M79" i="13"/>
  <c r="AM79" i="13"/>
  <c r="Z79" i="13"/>
  <c r="AI79" i="13"/>
  <c r="L79" i="13"/>
  <c r="AP79" i="13"/>
  <c r="AB79" i="13"/>
  <c r="P79" i="13"/>
  <c r="AN79" i="13"/>
  <c r="AF79" i="13"/>
  <c r="O79" i="13"/>
  <c r="Y79" i="13"/>
  <c r="AQ79" i="13"/>
  <c r="H79" i="13"/>
  <c r="AT79" i="13"/>
  <c r="AD79" i="13"/>
  <c r="AR79" i="13"/>
  <c r="W79" i="13"/>
  <c r="Q79" i="13"/>
  <c r="AG79" i="13"/>
  <c r="AV79" i="13"/>
  <c r="AK79" i="13"/>
  <c r="I79" i="13"/>
  <c r="AU79" i="13"/>
  <c r="R79" i="13"/>
  <c r="S79" i="13"/>
  <c r="AS79" i="13"/>
  <c r="V79" i="13"/>
  <c r="X79" i="13"/>
  <c r="U79" i="13"/>
  <c r="AH79" i="13"/>
  <c r="J79" i="13"/>
  <c r="AE207" i="12"/>
  <c r="AH207" i="12"/>
  <c r="AI207" i="12" s="1"/>
  <c r="AE236" i="12"/>
  <c r="AH236" i="12"/>
  <c r="AI236" i="12" s="1"/>
  <c r="AE280" i="12"/>
  <c r="AH280" i="12"/>
  <c r="AI280" i="12" s="1"/>
  <c r="AW271" i="13"/>
  <c r="AV271" i="13"/>
  <c r="AU271" i="13"/>
  <c r="AM271" i="13"/>
  <c r="M271" i="13"/>
  <c r="AB271" i="13"/>
  <c r="AT271" i="13"/>
  <c r="AC271" i="13"/>
  <c r="S271" i="13"/>
  <c r="AR271" i="13"/>
  <c r="H271" i="13"/>
  <c r="AE271" i="13"/>
  <c r="O271" i="13"/>
  <c r="AA271" i="13"/>
  <c r="AS271" i="13"/>
  <c r="AJ271" i="13"/>
  <c r="W271" i="13"/>
  <c r="N271" i="13"/>
  <c r="AQ271" i="13"/>
  <c r="AK271" i="13"/>
  <c r="AP271" i="13"/>
  <c r="K271" i="13"/>
  <c r="AL271" i="13"/>
  <c r="AI271" i="13"/>
  <c r="U271" i="13"/>
  <c r="T271" i="13"/>
  <c r="AG271" i="13"/>
  <c r="AD271" i="13"/>
  <c r="V271" i="13"/>
  <c r="AH271" i="13"/>
  <c r="AO271" i="13"/>
  <c r="AT24" i="22"/>
  <c r="AT36" i="22" s="1"/>
  <c r="AS24" i="22"/>
  <c r="AE89" i="12"/>
  <c r="AH89" i="12"/>
  <c r="AI89" i="12" s="1"/>
  <c r="G33" i="24"/>
  <c r="H33" i="24"/>
  <c r="AF271" i="13"/>
  <c r="AF164" i="13"/>
  <c r="Y284" i="13"/>
  <c r="AG292" i="13"/>
  <c r="AG295" i="13"/>
  <c r="R284" i="13"/>
  <c r="AO92" i="13"/>
  <c r="AB92" i="13"/>
  <c r="AJ92" i="13"/>
  <c r="J92" i="13"/>
  <c r="M92" i="13"/>
  <c r="AT92" i="13"/>
  <c r="AG92" i="13"/>
  <c r="AD92" i="13"/>
  <c r="U92" i="13"/>
  <c r="R92" i="13"/>
  <c r="AN92" i="13"/>
  <c r="AA92" i="13"/>
  <c r="X92" i="13"/>
  <c r="O92" i="13"/>
  <c r="L92" i="13"/>
  <c r="AW92" i="13"/>
  <c r="AS92" i="13"/>
  <c r="AF92" i="13"/>
  <c r="AI92" i="13"/>
  <c r="I92" i="13"/>
  <c r="Q92" i="13"/>
  <c r="AQ92" i="13"/>
  <c r="AM92" i="13"/>
  <c r="Z92" i="13"/>
  <c r="AC92" i="13"/>
  <c r="T92" i="13"/>
  <c r="K92" i="13"/>
  <c r="AV92" i="13"/>
  <c r="AR92" i="13"/>
  <c r="AK92" i="13"/>
  <c r="W92" i="13"/>
  <c r="N92" i="13"/>
  <c r="AP92" i="13"/>
  <c r="AL92" i="13"/>
  <c r="AE92" i="13"/>
  <c r="V92" i="13"/>
  <c r="H92" i="13"/>
  <c r="AU92" i="13"/>
  <c r="AH92" i="13"/>
  <c r="Y92" i="13"/>
  <c r="P92" i="13"/>
  <c r="S92" i="13"/>
  <c r="AE71" i="12"/>
  <c r="AH71" i="12"/>
  <c r="AI71" i="12" s="1"/>
  <c r="AH214" i="12"/>
  <c r="AI214" i="12" s="1"/>
  <c r="AE214" i="12"/>
  <c r="AH204" i="12"/>
  <c r="AI204" i="12" s="1"/>
  <c r="AE204" i="12"/>
  <c r="AH265" i="12"/>
  <c r="AI265" i="12" s="1"/>
  <c r="AE265" i="12"/>
  <c r="AW290" i="13"/>
  <c r="AV290" i="13"/>
  <c r="AU290" i="13"/>
  <c r="AL290" i="13"/>
  <c r="S290" i="13"/>
  <c r="U290" i="13"/>
  <c r="H290" i="13"/>
  <c r="M290" i="13"/>
  <c r="O290" i="13"/>
  <c r="AD290" i="13"/>
  <c r="K290" i="13"/>
  <c r="AP290" i="13"/>
  <c r="N290" i="13"/>
  <c r="AI290" i="13"/>
  <c r="AK290" i="13"/>
  <c r="T290" i="13"/>
  <c r="AC290" i="13"/>
  <c r="AJ290" i="13"/>
  <c r="AM290" i="13"/>
  <c r="V290" i="13"/>
  <c r="AR290" i="13"/>
  <c r="L290" i="13"/>
  <c r="AH290" i="13"/>
  <c r="I290" i="13"/>
  <c r="AE290" i="13"/>
  <c r="W290" i="13"/>
  <c r="BD290" i="13" s="1"/>
  <c r="AT290" i="13"/>
  <c r="AQ290" i="13"/>
  <c r="AA290" i="13"/>
  <c r="AS290" i="13"/>
  <c r="AB290" i="13"/>
  <c r="AG68" i="13"/>
  <c r="Q68" i="13"/>
  <c r="AM68" i="13"/>
  <c r="W68" i="13"/>
  <c r="AH68" i="13"/>
  <c r="AD68" i="13"/>
  <c r="AW68" i="13"/>
  <c r="Z68" i="13"/>
  <c r="N68" i="13"/>
  <c r="Y68" i="13"/>
  <c r="AO68" i="13"/>
  <c r="U68" i="13"/>
  <c r="AS68" i="13"/>
  <c r="AC68" i="13"/>
  <c r="AP68" i="13"/>
  <c r="P68" i="13"/>
  <c r="AB68" i="13"/>
  <c r="L68" i="13"/>
  <c r="AF68" i="13"/>
  <c r="T68" i="13"/>
  <c r="AL68" i="13"/>
  <c r="M68" i="13"/>
  <c r="AJ68" i="13"/>
  <c r="AN68" i="13"/>
  <c r="AI68" i="13"/>
  <c r="H68" i="13"/>
  <c r="AE68" i="13"/>
  <c r="J68" i="13"/>
  <c r="AA68" i="13"/>
  <c r="I68" i="13"/>
  <c r="AV68" i="13"/>
  <c r="V68" i="13"/>
  <c r="R68" i="13"/>
  <c r="X68" i="13"/>
  <c r="K68" i="13"/>
  <c r="AR68" i="13"/>
  <c r="S68" i="13"/>
  <c r="AT68" i="13"/>
  <c r="O68" i="13"/>
  <c r="AQ68" i="13"/>
  <c r="AK68" i="13"/>
  <c r="AU68" i="13"/>
  <c r="AQ191" i="13"/>
  <c r="AM191" i="13"/>
  <c r="Z191" i="13"/>
  <c r="AC191" i="13"/>
  <c r="T191" i="13"/>
  <c r="K191" i="13"/>
  <c r="AV191" i="13"/>
  <c r="AR191" i="13"/>
  <c r="AK191" i="13"/>
  <c r="W191" i="13"/>
  <c r="N191" i="13"/>
  <c r="AP191" i="13"/>
  <c r="AL191" i="13"/>
  <c r="AE191" i="13"/>
  <c r="V191" i="13"/>
  <c r="H191" i="13"/>
  <c r="AU191" i="13"/>
  <c r="AH191" i="13"/>
  <c r="Y191" i="13"/>
  <c r="P191" i="13"/>
  <c r="S191" i="13"/>
  <c r="AO191" i="13"/>
  <c r="AB191" i="13"/>
  <c r="AJ191" i="13"/>
  <c r="J191" i="13"/>
  <c r="M191" i="13"/>
  <c r="AT191" i="13"/>
  <c r="AG191" i="13"/>
  <c r="AD191" i="13"/>
  <c r="U191" i="13"/>
  <c r="R191" i="13"/>
  <c r="AN191" i="13"/>
  <c r="AA191" i="13"/>
  <c r="X191" i="13"/>
  <c r="O191" i="13"/>
  <c r="L191" i="13"/>
  <c r="AW191" i="13"/>
  <c r="AS191" i="13"/>
  <c r="AF191" i="13"/>
  <c r="AI191" i="13"/>
  <c r="I191" i="13"/>
  <c r="Q191" i="13"/>
  <c r="AE271" i="12"/>
  <c r="AH271" i="12"/>
  <c r="AI271" i="12" s="1"/>
  <c r="AH186" i="12"/>
  <c r="AI186" i="12" s="1"/>
  <c r="AE186" i="12"/>
  <c r="AT82" i="13"/>
  <c r="AF82" i="13"/>
  <c r="AI82" i="13"/>
  <c r="N82" i="13"/>
  <c r="V82" i="13"/>
  <c r="AN82" i="13"/>
  <c r="Z82" i="13"/>
  <c r="AC82" i="13"/>
  <c r="H82" i="13"/>
  <c r="P82" i="13"/>
  <c r="AS82" i="13"/>
  <c r="AK82" i="13"/>
  <c r="W82" i="13"/>
  <c r="S82" i="13"/>
  <c r="J82" i="13"/>
  <c r="AM82" i="13"/>
  <c r="AE82" i="13"/>
  <c r="AH82" i="13"/>
  <c r="M82" i="13"/>
  <c r="U82" i="13"/>
  <c r="AV82" i="13"/>
  <c r="AR82" i="13"/>
  <c r="Y82" i="13"/>
  <c r="AB82" i="13"/>
  <c r="R82" i="13"/>
  <c r="O82" i="13"/>
  <c r="AP82" i="13"/>
  <c r="AL82" i="13"/>
  <c r="AJ82" i="13"/>
  <c r="AG82" i="13"/>
  <c r="L82" i="13"/>
  <c r="I82" i="13"/>
  <c r="AU82" i="13"/>
  <c r="AW82" i="13"/>
  <c r="AD82" i="13"/>
  <c r="AA82" i="13"/>
  <c r="Q82" i="13"/>
  <c r="AO82" i="13"/>
  <c r="AQ82" i="13"/>
  <c r="X82" i="13"/>
  <c r="T82" i="13"/>
  <c r="K82" i="13"/>
  <c r="AH162" i="12"/>
  <c r="AI162" i="12" s="1"/>
  <c r="AE162" i="12"/>
  <c r="AF265" i="13"/>
  <c r="BG8" i="13"/>
  <c r="AN164" i="13"/>
  <c r="AN76" i="13"/>
  <c r="AN290" i="13"/>
  <c r="I265" i="13"/>
  <c r="Q295" i="13"/>
  <c r="Y271" i="13"/>
  <c r="AO290" i="13"/>
  <c r="BK290" i="13" s="1"/>
  <c r="R292" i="13"/>
  <c r="J265" i="13"/>
  <c r="P292" i="13"/>
  <c r="X295" i="13"/>
  <c r="AW265" i="13"/>
  <c r="AV265" i="13"/>
  <c r="AU265" i="13"/>
  <c r="AI265" i="13"/>
  <c r="T265" i="13"/>
  <c r="V265" i="13"/>
  <c r="AG265" i="13"/>
  <c r="AT265" i="13"/>
  <c r="AD265" i="13"/>
  <c r="S265" i="13"/>
  <c r="K265" i="13"/>
  <c r="AA265" i="13"/>
  <c r="AR265" i="13"/>
  <c r="AB265" i="13"/>
  <c r="L265" i="13"/>
  <c r="H265" i="13"/>
  <c r="AS265" i="13"/>
  <c r="AK265" i="13"/>
  <c r="AC265" i="13"/>
  <c r="O265" i="13"/>
  <c r="AL265" i="13"/>
  <c r="N265" i="13"/>
  <c r="AQ265" i="13"/>
  <c r="M265" i="13"/>
  <c r="AJ265" i="13"/>
  <c r="AP265" i="13"/>
  <c r="AE265" i="13"/>
  <c r="W265" i="13"/>
  <c r="BD265" i="13" s="1"/>
  <c r="AM265" i="13"/>
  <c r="U265" i="13"/>
  <c r="AL77" i="13"/>
  <c r="AJ77" i="13"/>
  <c r="AG77" i="13"/>
  <c r="Q77" i="13"/>
  <c r="T77" i="13"/>
  <c r="AU77" i="13"/>
  <c r="AW77" i="13"/>
  <c r="AD77" i="13"/>
  <c r="AA77" i="13"/>
  <c r="K77" i="13"/>
  <c r="N77" i="13"/>
  <c r="AO77" i="13"/>
  <c r="AQ77" i="13"/>
  <c r="X77" i="13"/>
  <c r="AF77" i="13"/>
  <c r="V77" i="13"/>
  <c r="H77" i="13"/>
  <c r="AT77" i="13"/>
  <c r="AV77" i="13"/>
  <c r="AI77" i="13"/>
  <c r="Z77" i="13"/>
  <c r="P77" i="13"/>
  <c r="AN77" i="13"/>
  <c r="AP77" i="13"/>
  <c r="AC77" i="13"/>
  <c r="S77" i="13"/>
  <c r="J77" i="13"/>
  <c r="AS77" i="13"/>
  <c r="AK77" i="13"/>
  <c r="W77" i="13"/>
  <c r="M77" i="13"/>
  <c r="U77" i="13"/>
  <c r="AM77" i="13"/>
  <c r="AE77" i="13"/>
  <c r="AH77" i="13"/>
  <c r="R77" i="13"/>
  <c r="O77" i="13"/>
  <c r="AR77" i="13"/>
  <c r="Y77" i="13"/>
  <c r="AB77" i="13"/>
  <c r="L77" i="13"/>
  <c r="I77" i="13"/>
  <c r="AE276" i="12"/>
  <c r="AH276" i="12"/>
  <c r="AI276" i="12" s="1"/>
  <c r="AW226" i="13"/>
  <c r="AC226" i="13"/>
  <c r="AS226" i="13"/>
  <c r="R226" i="13"/>
  <c r="AB226" i="13"/>
  <c r="AI226" i="13"/>
  <c r="H226" i="13"/>
  <c r="AF226" i="13"/>
  <c r="AJ226" i="13"/>
  <c r="Y226" i="13"/>
  <c r="AL226" i="13"/>
  <c r="AG226" i="13"/>
  <c r="AK226" i="13"/>
  <c r="P226" i="13"/>
  <c r="AH226" i="13"/>
  <c r="I226" i="13"/>
  <c r="AO226" i="13"/>
  <c r="X226" i="13"/>
  <c r="AN226" i="13"/>
  <c r="M226" i="13"/>
  <c r="AE226" i="13"/>
  <c r="Q226" i="13"/>
  <c r="V226" i="13"/>
  <c r="N226" i="13"/>
  <c r="U226" i="13"/>
  <c r="AP226" i="13"/>
  <c r="O226" i="13"/>
  <c r="AD226" i="13"/>
  <c r="AQ226" i="13"/>
  <c r="W226" i="13"/>
  <c r="AM226" i="13"/>
  <c r="L226" i="13"/>
  <c r="T226" i="13"/>
  <c r="AT226" i="13"/>
  <c r="S226" i="13"/>
  <c r="Z226" i="13"/>
  <c r="AR226" i="13"/>
  <c r="K226" i="13"/>
  <c r="AA226" i="13"/>
  <c r="AV226" i="13"/>
  <c r="J226" i="13"/>
  <c r="AU226" i="13"/>
  <c r="AE166" i="12"/>
  <c r="AH166" i="12"/>
  <c r="AI166" i="12" s="1"/>
  <c r="AR80" i="13"/>
  <c r="AK80" i="13"/>
  <c r="W80" i="13"/>
  <c r="M80" i="13"/>
  <c r="U80" i="13"/>
  <c r="AL80" i="13"/>
  <c r="AE80" i="13"/>
  <c r="AH80" i="13"/>
  <c r="R80" i="13"/>
  <c r="O80" i="13"/>
  <c r="AW80" i="13"/>
  <c r="Y80" i="13"/>
  <c r="AB80" i="13"/>
  <c r="L80" i="13"/>
  <c r="I80" i="13"/>
  <c r="AQ80" i="13"/>
  <c r="AJ80" i="13"/>
  <c r="AG80" i="13"/>
  <c r="Q80" i="13"/>
  <c r="T80" i="13"/>
  <c r="AT80" i="13"/>
  <c r="AV80" i="13"/>
  <c r="AD80" i="13"/>
  <c r="AA80" i="13"/>
  <c r="K80" i="13"/>
  <c r="N80" i="13"/>
  <c r="AN80" i="13"/>
  <c r="AP80" i="13"/>
  <c r="X80" i="13"/>
  <c r="AF80" i="13"/>
  <c r="V80" i="13"/>
  <c r="H80" i="13"/>
  <c r="AS80" i="13"/>
  <c r="AU80" i="13"/>
  <c r="AI80" i="13"/>
  <c r="Z80" i="13"/>
  <c r="P80" i="13"/>
  <c r="AM80" i="13"/>
  <c r="AO80" i="13"/>
  <c r="AC80" i="13"/>
  <c r="S80" i="13"/>
  <c r="J80" i="13"/>
  <c r="AH194" i="12"/>
  <c r="AI194" i="12" s="1"/>
  <c r="AE194" i="12"/>
  <c r="AV164" i="13"/>
  <c r="AU164" i="13"/>
  <c r="AW164" i="13"/>
  <c r="I164" i="13"/>
  <c r="AM164" i="13"/>
  <c r="O164" i="13"/>
  <c r="N164" i="13"/>
  <c r="AL164" i="13"/>
  <c r="AK164" i="13"/>
  <c r="M164" i="13"/>
  <c r="V164" i="13"/>
  <c r="U164" i="13"/>
  <c r="AJ164" i="13"/>
  <c r="AB164" i="13"/>
  <c r="Y164" i="13"/>
  <c r="K164" i="13"/>
  <c r="AC164" i="13"/>
  <c r="AP164" i="13"/>
  <c r="H164" i="13"/>
  <c r="AE164" i="13"/>
  <c r="AT164" i="13"/>
  <c r="AS164" i="13"/>
  <c r="T164" i="13"/>
  <c r="AD164" i="13"/>
  <c r="AI164" i="13"/>
  <c r="AA164" i="13"/>
  <c r="S164" i="13"/>
  <c r="J164" i="13"/>
  <c r="AR164" i="13"/>
  <c r="W164" i="13"/>
  <c r="AQ164" i="13"/>
  <c r="AH164" i="13"/>
  <c r="R164" i="13"/>
  <c r="Z164" i="13"/>
  <c r="AO164" i="13"/>
  <c r="AW284" i="13"/>
  <c r="AV284" i="13"/>
  <c r="AU284" i="13"/>
  <c r="H284" i="13"/>
  <c r="AJ284" i="13"/>
  <c r="AL284" i="13"/>
  <c r="AD284" i="13"/>
  <c r="S284" i="13"/>
  <c r="AC284" i="13"/>
  <c r="AB284" i="13"/>
  <c r="I284" i="13"/>
  <c r="AP284" i="13"/>
  <c r="N284" i="13"/>
  <c r="AQ284" i="13"/>
  <c r="AA284" i="13"/>
  <c r="AS284" i="13"/>
  <c r="M284" i="13"/>
  <c r="AR284" i="13"/>
  <c r="L284" i="13"/>
  <c r="J284" i="13"/>
  <c r="O284" i="13"/>
  <c r="T284" i="13"/>
  <c r="AH284" i="13"/>
  <c r="W284" i="13"/>
  <c r="BD284" i="13" s="1"/>
  <c r="AT284" i="13"/>
  <c r="AI284" i="13"/>
  <c r="AM284" i="13"/>
  <c r="AE284" i="13"/>
  <c r="AK284" i="13"/>
  <c r="U284" i="13"/>
  <c r="Q284" i="13"/>
  <c r="V284" i="13"/>
  <c r="K284" i="13"/>
  <c r="I271" i="13"/>
  <c r="AH287" i="12"/>
  <c r="AI287" i="12" s="1"/>
  <c r="AE287" i="12"/>
  <c r="AH267" i="12"/>
  <c r="AI267" i="12" s="1"/>
  <c r="AE267" i="12"/>
  <c r="S86" i="13"/>
  <c r="H86" i="13"/>
  <c r="AT86" i="13"/>
  <c r="AG86" i="13"/>
  <c r="P86" i="13"/>
  <c r="AU86" i="13"/>
  <c r="AL86" i="13"/>
  <c r="K86" i="13"/>
  <c r="AD86" i="13"/>
  <c r="U86" i="13"/>
  <c r="AQ86" i="13"/>
  <c r="W86" i="13"/>
  <c r="I86" i="13"/>
  <c r="AW86" i="13"/>
  <c r="R86" i="13"/>
  <c r="Y86" i="13"/>
  <c r="AF86" i="13"/>
  <c r="AS86" i="13"/>
  <c r="AA86" i="13"/>
  <c r="J86" i="13"/>
  <c r="AC86" i="13"/>
  <c r="AM86" i="13"/>
  <c r="AV86" i="13"/>
  <c r="O86" i="13"/>
  <c r="AK86" i="13"/>
  <c r="Q86" i="13"/>
  <c r="AB86" i="13"/>
  <c r="N86" i="13"/>
  <c r="M86" i="13"/>
  <c r="AI86" i="13"/>
  <c r="AO86" i="13"/>
  <c r="AP86" i="13"/>
  <c r="X86" i="13"/>
  <c r="V86" i="13"/>
  <c r="T86" i="13"/>
  <c r="AJ86" i="13"/>
  <c r="AE86" i="13"/>
  <c r="L86" i="13"/>
  <c r="Z86" i="13"/>
  <c r="AR86" i="13"/>
  <c r="AH86" i="13"/>
  <c r="AN86" i="13"/>
  <c r="AE212" i="12"/>
  <c r="AH212" i="12"/>
  <c r="AI212" i="12" s="1"/>
  <c r="AH222" i="12"/>
  <c r="AI222" i="12" s="1"/>
  <c r="AE222" i="12"/>
  <c r="AW295" i="13"/>
  <c r="AV295" i="13"/>
  <c r="AU295" i="13"/>
  <c r="AM295" i="13"/>
  <c r="L295" i="13"/>
  <c r="AE295" i="13"/>
  <c r="W295" i="13"/>
  <c r="N295" i="13"/>
  <c r="S295" i="13"/>
  <c r="AS295" i="13"/>
  <c r="AC295" i="13"/>
  <c r="AR295" i="13"/>
  <c r="AH295" i="13"/>
  <c r="AA295" i="13"/>
  <c r="R295" i="13"/>
  <c r="AT295" i="13"/>
  <c r="AL295" i="13"/>
  <c r="O295" i="13"/>
  <c r="U295" i="13"/>
  <c r="AJ295" i="13"/>
  <c r="AD295" i="13"/>
  <c r="K295" i="13"/>
  <c r="AK295" i="13"/>
  <c r="AB295" i="13"/>
  <c r="T295" i="13"/>
  <c r="M295" i="13"/>
  <c r="I295" i="13"/>
  <c r="Y295" i="13"/>
  <c r="H295" i="13"/>
  <c r="V295" i="13"/>
  <c r="AQ295" i="13"/>
  <c r="AI295" i="13"/>
  <c r="AP295" i="13"/>
  <c r="J295" i="13"/>
  <c r="X88" i="13"/>
  <c r="AB88" i="13"/>
  <c r="AT88" i="13"/>
  <c r="J88" i="13"/>
  <c r="AF88" i="13"/>
  <c r="Y88" i="13"/>
  <c r="T88" i="13"/>
  <c r="AS88" i="13"/>
  <c r="H88" i="13"/>
  <c r="AW88" i="13"/>
  <c r="O88" i="13"/>
  <c r="Q88" i="13"/>
  <c r="R88" i="13"/>
  <c r="U88" i="13"/>
  <c r="N88" i="13"/>
  <c r="AG88" i="13"/>
  <c r="AI88" i="13"/>
  <c r="AQ88" i="13"/>
  <c r="AH88" i="13"/>
  <c r="M88" i="13"/>
  <c r="K88" i="13"/>
  <c r="AJ88" i="13"/>
  <c r="P88" i="13"/>
  <c r="S88" i="13"/>
  <c r="Z88" i="13"/>
  <c r="AC88" i="13"/>
  <c r="AE88" i="13"/>
  <c r="W88" i="13"/>
  <c r="AN88" i="13"/>
  <c r="AA88" i="13"/>
  <c r="AO88" i="13"/>
  <c r="V88" i="13"/>
  <c r="AP88" i="13"/>
  <c r="AM88" i="13"/>
  <c r="I88" i="13"/>
  <c r="AL88" i="13"/>
  <c r="AK88" i="13"/>
  <c r="AD88" i="13"/>
  <c r="AU88" i="13"/>
  <c r="L88" i="13"/>
  <c r="AR88" i="13"/>
  <c r="AV88" i="13"/>
  <c r="G13" i="22"/>
  <c r="X13" i="22"/>
  <c r="AJ13" i="22"/>
  <c r="AI13" i="22"/>
  <c r="H13" i="22"/>
  <c r="W13" i="22"/>
  <c r="F13" i="22"/>
  <c r="Y13" i="22"/>
  <c r="K13" i="22"/>
  <c r="M13" i="22"/>
  <c r="AE13" i="22"/>
  <c r="AG13" i="22"/>
  <c r="AA13" i="22"/>
  <c r="AO13" i="22"/>
  <c r="N13" i="22"/>
  <c r="P13" i="22"/>
  <c r="V13" i="22"/>
  <c r="AD13" i="22"/>
  <c r="R13" i="22"/>
  <c r="AR13" i="22"/>
  <c r="AN13" i="22"/>
  <c r="O13" i="22"/>
  <c r="AB13" i="22"/>
  <c r="Q13" i="22"/>
  <c r="L13" i="22"/>
  <c r="AH13" i="22"/>
  <c r="Z13" i="22"/>
  <c r="AL13" i="22"/>
  <c r="T13" i="22"/>
  <c r="AC13" i="22"/>
  <c r="AQ13" i="22"/>
  <c r="S13" i="22"/>
  <c r="AF13" i="22"/>
  <c r="U13" i="22"/>
  <c r="AM13" i="22"/>
  <c r="AP13" i="22"/>
  <c r="I13" i="22"/>
  <c r="AK13" i="22"/>
  <c r="J13" i="22"/>
  <c r="AE197" i="12"/>
  <c r="AH197" i="12"/>
  <c r="AI197" i="12" s="1"/>
  <c r="AE75" i="12"/>
  <c r="AH75" i="12"/>
  <c r="AI75" i="12" s="1"/>
  <c r="AW166" i="13"/>
  <c r="AV166" i="13"/>
  <c r="AU166" i="13"/>
  <c r="AD166" i="13"/>
  <c r="V166" i="13"/>
  <c r="AA166" i="13"/>
  <c r="AR166" i="13"/>
  <c r="AH166" i="13"/>
  <c r="M166" i="13"/>
  <c r="AB166" i="13"/>
  <c r="K166" i="13"/>
  <c r="AC166" i="13"/>
  <c r="AP166" i="13"/>
  <c r="AG166" i="13"/>
  <c r="H166" i="13"/>
  <c r="AE166" i="13"/>
  <c r="O166" i="13"/>
  <c r="AQ166" i="13"/>
  <c r="AS166" i="13"/>
  <c r="AJ166" i="13"/>
  <c r="AM166" i="13"/>
  <c r="W166" i="13"/>
  <c r="BD166" i="13" s="1"/>
  <c r="AT166" i="13"/>
  <c r="N166" i="13"/>
  <c r="AK166" i="13"/>
  <c r="S166" i="13"/>
  <c r="R166" i="13"/>
  <c r="AL166" i="13"/>
  <c r="BJ166" i="13" s="1"/>
  <c r="AI166" i="13"/>
  <c r="U166" i="13"/>
  <c r="T166" i="13"/>
  <c r="AM140" i="13"/>
  <c r="AW140" i="13"/>
  <c r="AA140" i="13"/>
  <c r="R140" i="13"/>
  <c r="AO140" i="13"/>
  <c r="V140" i="13"/>
  <c r="AQ140" i="13"/>
  <c r="AN140" i="13"/>
  <c r="U140" i="13"/>
  <c r="AE140" i="13"/>
  <c r="AD140" i="13"/>
  <c r="AL140" i="13"/>
  <c r="N140" i="13"/>
  <c r="Q140" i="13"/>
  <c r="AG140" i="13"/>
  <c r="S140" i="13"/>
  <c r="AP140" i="13"/>
  <c r="W140" i="13"/>
  <c r="K140" i="13"/>
  <c r="I140" i="13"/>
  <c r="AT140" i="13"/>
  <c r="M140" i="13"/>
  <c r="P140" i="13"/>
  <c r="T140" i="13"/>
  <c r="AI140" i="13"/>
  <c r="L140" i="13"/>
  <c r="J140" i="13"/>
  <c r="Y140" i="13"/>
  <c r="AC140" i="13"/>
  <c r="AF140" i="13"/>
  <c r="O140" i="13"/>
  <c r="AJ140" i="13"/>
  <c r="AH140" i="13"/>
  <c r="AV140" i="13"/>
  <c r="Z140" i="13"/>
  <c r="AS140" i="13"/>
  <c r="X140" i="13"/>
  <c r="AB140" i="13"/>
  <c r="AU140" i="13"/>
  <c r="H140" i="13"/>
  <c r="AK140" i="13"/>
  <c r="AR140" i="13"/>
  <c r="AH246" i="12"/>
  <c r="AI246" i="12" s="1"/>
  <c r="AE246" i="12"/>
  <c r="AI24" i="22"/>
  <c r="H24" i="22"/>
  <c r="AK24" i="22"/>
  <c r="J24" i="22"/>
  <c r="J36" i="22" s="1"/>
  <c r="X24" i="22"/>
  <c r="AJ24" i="22"/>
  <c r="Y24" i="22"/>
  <c r="W24" i="22"/>
  <c r="F24" i="22"/>
  <c r="F36" i="22" s="1"/>
  <c r="G24" i="22"/>
  <c r="Z24" i="22"/>
  <c r="AP24" i="22"/>
  <c r="S24" i="22"/>
  <c r="AB24" i="22"/>
  <c r="AC24" i="22"/>
  <c r="AF24" i="22"/>
  <c r="AN24" i="22"/>
  <c r="AE24" i="22"/>
  <c r="V24" i="22"/>
  <c r="R24" i="22"/>
  <c r="AD24" i="22"/>
  <c r="AG24" i="22"/>
  <c r="AM24" i="22"/>
  <c r="I24" i="22"/>
  <c r="K24" i="22"/>
  <c r="K36" i="22" s="1"/>
  <c r="L24" i="22"/>
  <c r="L36" i="22" s="1"/>
  <c r="AR24" i="22"/>
  <c r="AO24" i="22"/>
  <c r="AH24" i="22"/>
  <c r="AA24" i="22"/>
  <c r="Q24" i="22"/>
  <c r="AL24" i="22"/>
  <c r="O24" i="22"/>
  <c r="N24" i="22"/>
  <c r="N36" i="22" s="1"/>
  <c r="U24" i="22"/>
  <c r="P24" i="22"/>
  <c r="T24" i="22"/>
  <c r="M24" i="22"/>
  <c r="M36" i="22" s="1"/>
  <c r="AQ24" i="22"/>
  <c r="AE215" i="12"/>
  <c r="AH215" i="12"/>
  <c r="AI215" i="12" s="1"/>
  <c r="AE278" i="12"/>
  <c r="AH278" i="12"/>
  <c r="AI278" i="12" s="1"/>
  <c r="AH279" i="12"/>
  <c r="AI279" i="12" s="1"/>
  <c r="AE279" i="12"/>
  <c r="AH273" i="12"/>
  <c r="AI273" i="12" s="1"/>
  <c r="AE273" i="12"/>
  <c r="K33" i="24"/>
  <c r="I166" i="13"/>
  <c r="AN271" i="13"/>
  <c r="AO166" i="13"/>
  <c r="BK166" i="13" s="1"/>
  <c r="BK124" i="13"/>
  <c r="BL252" i="13"/>
  <c r="BL64" i="13"/>
  <c r="AY25" i="13"/>
  <c r="AZ17" i="13"/>
  <c r="BP42" i="13"/>
  <c r="AY106" i="13"/>
  <c r="AY291" i="13"/>
  <c r="AY107" i="13"/>
  <c r="AY257" i="13"/>
  <c r="AY81" i="13"/>
  <c r="AY250" i="13"/>
  <c r="AY67" i="13"/>
  <c r="AY238" i="13"/>
  <c r="AY74" i="13"/>
  <c r="AY252" i="13"/>
  <c r="AY75" i="13"/>
  <c r="AY263" i="13"/>
  <c r="AY93" i="13"/>
  <c r="AY275" i="13"/>
  <c r="AY45" i="13"/>
  <c r="AY119" i="13"/>
  <c r="AY192" i="13"/>
  <c r="AY18" i="13"/>
  <c r="AY91" i="13"/>
  <c r="AY160" i="13"/>
  <c r="AY251" i="13"/>
  <c r="AY320" i="13"/>
  <c r="AY54" i="13"/>
  <c r="AY128" i="13"/>
  <c r="AY204" i="13"/>
  <c r="AY293" i="13"/>
  <c r="AY249" i="13"/>
  <c r="AY223" i="13"/>
  <c r="AY55" i="13"/>
  <c r="AY129" i="13"/>
  <c r="AY205" i="13"/>
  <c r="AY294" i="13"/>
  <c r="AY8" i="13"/>
  <c r="BI25" i="13"/>
  <c r="BI60" i="13"/>
  <c r="BI19" i="13"/>
  <c r="BI11" i="13"/>
  <c r="BI47" i="13"/>
  <c r="BI203" i="13"/>
  <c r="BI45" i="13"/>
  <c r="BI192" i="13"/>
  <c r="BI48" i="13"/>
  <c r="BI178" i="13"/>
  <c r="BI43" i="13"/>
  <c r="BI180" i="13"/>
  <c r="BI38" i="13"/>
  <c r="BI168" i="13"/>
  <c r="BI41" i="13"/>
  <c r="BI211" i="13"/>
  <c r="BI130" i="13"/>
  <c r="BI206" i="13"/>
  <c r="BI112" i="13"/>
  <c r="BI181" i="13"/>
  <c r="BI277" i="13"/>
  <c r="BI99" i="13"/>
  <c r="BI258" i="13"/>
  <c r="BI327" i="13"/>
  <c r="BI144" i="13"/>
  <c r="BI230" i="13"/>
  <c r="BI309" i="13"/>
  <c r="BI147" i="13"/>
  <c r="BI233" i="13"/>
  <c r="BI315" i="13"/>
  <c r="BI132" i="13"/>
  <c r="BI208" i="13"/>
  <c r="BI298" i="13"/>
  <c r="BI8" i="13"/>
  <c r="BP14" i="13"/>
  <c r="AE254" i="13"/>
  <c r="V254" i="13"/>
  <c r="AT254" i="13"/>
  <c r="X254" i="13"/>
  <c r="R254" i="13"/>
  <c r="AM254" i="13"/>
  <c r="P254" i="13"/>
  <c r="N254" i="13"/>
  <c r="AA254" i="13"/>
  <c r="L254" i="13"/>
  <c r="U254" i="13"/>
  <c r="M254" i="13"/>
  <c r="AQ254" i="13"/>
  <c r="H254" i="13"/>
  <c r="AC254" i="13"/>
  <c r="O254" i="13"/>
  <c r="AJ254" i="13"/>
  <c r="AB254" i="13"/>
  <c r="W254" i="13"/>
  <c r="Z254" i="13"/>
  <c r="AO254" i="13"/>
  <c r="AD254" i="13"/>
  <c r="AL254" i="13"/>
  <c r="Y254" i="13"/>
  <c r="AK254" i="13"/>
  <c r="AN254" i="13"/>
  <c r="K254" i="13"/>
  <c r="AG254" i="13"/>
  <c r="AP254" i="13"/>
  <c r="AR254" i="13"/>
  <c r="J254" i="13"/>
  <c r="AS254" i="13"/>
  <c r="T254" i="13"/>
  <c r="AU254" i="13"/>
  <c r="AV254" i="13"/>
  <c r="S254" i="13"/>
  <c r="AW254" i="13"/>
  <c r="AI254" i="13"/>
  <c r="Q254" i="13"/>
  <c r="AH254" i="13"/>
  <c r="AF254" i="13"/>
  <c r="I254" i="13"/>
  <c r="AZ40" i="13"/>
  <c r="AZ56" i="13"/>
  <c r="AZ246" i="13"/>
  <c r="AZ157" i="13"/>
  <c r="AZ51" i="13"/>
  <c r="AZ16" i="13"/>
  <c r="AZ89" i="13"/>
  <c r="AZ44" i="13"/>
  <c r="AZ287" i="13"/>
  <c r="AZ73" i="13"/>
  <c r="AZ270" i="13"/>
  <c r="AZ61" i="13"/>
  <c r="AZ101" i="13"/>
  <c r="AZ168" i="13"/>
  <c r="AZ261" i="13"/>
  <c r="AZ330" i="13"/>
  <c r="AZ155" i="13"/>
  <c r="AZ243" i="13"/>
  <c r="AZ220" i="13"/>
  <c r="AZ150" i="13"/>
  <c r="AZ235" i="13"/>
  <c r="AZ215" i="13"/>
  <c r="AZ126" i="13"/>
  <c r="AZ201" i="13"/>
  <c r="AZ291" i="13"/>
  <c r="AZ105" i="13"/>
  <c r="AZ172" i="13"/>
  <c r="AZ267" i="13"/>
  <c r="AZ334" i="13"/>
  <c r="AZ167" i="13"/>
  <c r="AZ259" i="13"/>
  <c r="AZ329" i="13"/>
  <c r="AZ145" i="13"/>
  <c r="AZ231" i="13"/>
  <c r="AZ312" i="13"/>
  <c r="AZ190" i="13"/>
  <c r="BJ207" i="13"/>
  <c r="BJ51" i="13"/>
  <c r="BJ115" i="13"/>
  <c r="BJ186" i="13"/>
  <c r="BJ263" i="13"/>
  <c r="BJ13" i="13"/>
  <c r="BJ84" i="13"/>
  <c r="BJ155" i="13"/>
  <c r="BJ277" i="13"/>
  <c r="BJ60" i="13"/>
  <c r="BJ134" i="13"/>
  <c r="BJ210" i="13"/>
  <c r="BJ39" i="13"/>
  <c r="BJ113" i="13"/>
  <c r="BJ182" i="13"/>
  <c r="BJ25" i="13"/>
  <c r="BJ100" i="13"/>
  <c r="BJ167" i="13"/>
  <c r="BJ323" i="13"/>
  <c r="BJ71" i="13"/>
  <c r="BJ145" i="13"/>
  <c r="BJ231" i="13"/>
  <c r="BJ48" i="13"/>
  <c r="BJ122" i="13"/>
  <c r="BJ196" i="13"/>
  <c r="BJ258" i="13"/>
  <c r="BJ327" i="13"/>
  <c r="BJ294" i="13"/>
  <c r="BJ259" i="13"/>
  <c r="BJ329" i="13"/>
  <c r="BJ301" i="13"/>
  <c r="BJ257" i="13"/>
  <c r="BJ325" i="13"/>
  <c r="BJ299" i="13"/>
  <c r="BJ318" i="13"/>
  <c r="BP124" i="13"/>
  <c r="BD246" i="13"/>
  <c r="BH246" i="13" s="1"/>
  <c r="BD40" i="13"/>
  <c r="BH40" i="13" s="1"/>
  <c r="BD115" i="13"/>
  <c r="BH115" i="13" s="1"/>
  <c r="BD174" i="13"/>
  <c r="BH174" i="13" s="1"/>
  <c r="BD23" i="13"/>
  <c r="BH23" i="13" s="1"/>
  <c r="BD99" i="13"/>
  <c r="BH99" i="13" s="1"/>
  <c r="BD51" i="13"/>
  <c r="BH51" i="13" s="1"/>
  <c r="BD125" i="13"/>
  <c r="BH125" i="13" s="1"/>
  <c r="BD199" i="13"/>
  <c r="BH199" i="13" s="1"/>
  <c r="BD21" i="13"/>
  <c r="BH21" i="13" s="1"/>
  <c r="BD96" i="13"/>
  <c r="BH96" i="13" s="1"/>
  <c r="BD163" i="13"/>
  <c r="BH163" i="13" s="1"/>
  <c r="BD255" i="13"/>
  <c r="BD323" i="13"/>
  <c r="BD215" i="13"/>
  <c r="BH215" i="13" s="1"/>
  <c r="BD44" i="13"/>
  <c r="BH44" i="13" s="1"/>
  <c r="BD118" i="13"/>
  <c r="BH118" i="13" s="1"/>
  <c r="BD187" i="13"/>
  <c r="BH187" i="13" s="1"/>
  <c r="BD283" i="13"/>
  <c r="BH283" i="13" s="1"/>
  <c r="BD14" i="13"/>
  <c r="BH14" i="13" s="1"/>
  <c r="BD85" i="13"/>
  <c r="BH85" i="13" s="1"/>
  <c r="BD156" i="13"/>
  <c r="BH156" i="13" s="1"/>
  <c r="BD245" i="13"/>
  <c r="BH245" i="13" s="1"/>
  <c r="BD221" i="13"/>
  <c r="BD58" i="13"/>
  <c r="BH58" i="13" s="1"/>
  <c r="BD132" i="13"/>
  <c r="BH132" i="13" s="1"/>
  <c r="BD208" i="13"/>
  <c r="BH208" i="13" s="1"/>
  <c r="BD298" i="13"/>
  <c r="BH298" i="13" s="1"/>
  <c r="BD28" i="13"/>
  <c r="BD103" i="13"/>
  <c r="BD170" i="13"/>
  <c r="BH170" i="13" s="1"/>
  <c r="BD264" i="13"/>
  <c r="BH264" i="13" s="1"/>
  <c r="BD332" i="13"/>
  <c r="BH332" i="13" s="1"/>
  <c r="BD316" i="13"/>
  <c r="BH316" i="13" s="1"/>
  <c r="BD190" i="13"/>
  <c r="BH190" i="13" s="1"/>
  <c r="BP53" i="13"/>
  <c r="BP127" i="13"/>
  <c r="BP203" i="13"/>
  <c r="BP56" i="13"/>
  <c r="BP130" i="13"/>
  <c r="BP206" i="13"/>
  <c r="BP69" i="13"/>
  <c r="BP143" i="13"/>
  <c r="BP229" i="13"/>
  <c r="BP323" i="13"/>
  <c r="BP72" i="13"/>
  <c r="BP146" i="13"/>
  <c r="BP232" i="13"/>
  <c r="BP218" i="13"/>
  <c r="BP66" i="13"/>
  <c r="BP139" i="13"/>
  <c r="BP227" i="13"/>
  <c r="BP307" i="13"/>
  <c r="BP52" i="13"/>
  <c r="BP126" i="13"/>
  <c r="BP201" i="13"/>
  <c r="BP291" i="13"/>
  <c r="BP137" i="13"/>
  <c r="BP213" i="13"/>
  <c r="BP303" i="13"/>
  <c r="BP301" i="13"/>
  <c r="BP222" i="13"/>
  <c r="BP9" i="13"/>
  <c r="AO224" i="13"/>
  <c r="AG224" i="13"/>
  <c r="X224" i="13"/>
  <c r="N224" i="13"/>
  <c r="U224" i="13"/>
  <c r="AW224" i="13"/>
  <c r="AI224" i="13"/>
  <c r="AA224" i="13"/>
  <c r="AA3" i="13" s="1"/>
  <c r="AC224" i="13"/>
  <c r="H224" i="13"/>
  <c r="P224" i="13"/>
  <c r="AQ224" i="13"/>
  <c r="AQ3" i="13" s="1"/>
  <c r="AT224" i="13"/>
  <c r="AF224" i="13"/>
  <c r="W224" i="13"/>
  <c r="S224" i="13"/>
  <c r="J224" i="13"/>
  <c r="AK224" i="13"/>
  <c r="AN224" i="13"/>
  <c r="Z224" i="13"/>
  <c r="AH224" i="13"/>
  <c r="M224" i="13"/>
  <c r="AV224" i="13"/>
  <c r="AS224" i="13"/>
  <c r="T224" i="13"/>
  <c r="AB224" i="13"/>
  <c r="R224" i="13"/>
  <c r="AP224" i="13"/>
  <c r="AM224" i="13"/>
  <c r="AE224" i="13"/>
  <c r="V224" i="13"/>
  <c r="L224" i="13"/>
  <c r="AJ224" i="13"/>
  <c r="AR224" i="13"/>
  <c r="Y224" i="13"/>
  <c r="O224" i="13"/>
  <c r="Q224" i="13"/>
  <c r="AU224" i="13"/>
  <c r="AL224" i="13"/>
  <c r="AD224" i="13"/>
  <c r="I224" i="13"/>
  <c r="K224" i="13"/>
  <c r="K3" i="13" s="1"/>
  <c r="BP108" i="13"/>
  <c r="BG193" i="13"/>
  <c r="BA172" i="13"/>
  <c r="BA185" i="13"/>
  <c r="BA133" i="13"/>
  <c r="BA279" i="13"/>
  <c r="BA184" i="13"/>
  <c r="BA280" i="13"/>
  <c r="BA187" i="13"/>
  <c r="BA283" i="13"/>
  <c r="BA182" i="13"/>
  <c r="BA278" i="13"/>
  <c r="BA192" i="13"/>
  <c r="BA8" i="13"/>
  <c r="BK42" i="13"/>
  <c r="BK27" i="13"/>
  <c r="BK52" i="13"/>
  <c r="BK55" i="13"/>
  <c r="BK211" i="13"/>
  <c r="BK253" i="13"/>
  <c r="BK64" i="13"/>
  <c r="BK325" i="13"/>
  <c r="BK214" i="13"/>
  <c r="BK115" i="13"/>
  <c r="BK184" i="13"/>
  <c r="BK282" i="13"/>
  <c r="BK126" i="13"/>
  <c r="BK201" i="13"/>
  <c r="BK332" i="13"/>
  <c r="BK132" i="13"/>
  <c r="BK277" i="13"/>
  <c r="BK280" i="13"/>
  <c r="BK339" i="13"/>
  <c r="BK281" i="13"/>
  <c r="BK8" i="13"/>
  <c r="BP18" i="13"/>
  <c r="BE255" i="13"/>
  <c r="BE221" i="13"/>
  <c r="BE305" i="13"/>
  <c r="BB210" i="13"/>
  <c r="BB287" i="13"/>
  <c r="BB46" i="13"/>
  <c r="BB120" i="13"/>
  <c r="BB194" i="13"/>
  <c r="BB285" i="13"/>
  <c r="BB176" i="13"/>
  <c r="BB275" i="13"/>
  <c r="BB50" i="13"/>
  <c r="BB124" i="13"/>
  <c r="BB198" i="13"/>
  <c r="BB289" i="13"/>
  <c r="BB28" i="13"/>
  <c r="BB103" i="13"/>
  <c r="BB8" i="13"/>
  <c r="BL26" i="13"/>
  <c r="BL57" i="13"/>
  <c r="BL131" i="13"/>
  <c r="BL14" i="13"/>
  <c r="BL37" i="13"/>
  <c r="BL334" i="13"/>
  <c r="BL205" i="13"/>
  <c r="BL263" i="13"/>
  <c r="BL272" i="13"/>
  <c r="BL74" i="13"/>
  <c r="BL234" i="13"/>
  <c r="BL232" i="13"/>
  <c r="BL318" i="13"/>
  <c r="BP259" i="13"/>
  <c r="BP58" i="13"/>
  <c r="BP228" i="13"/>
  <c r="AZ99" i="13"/>
  <c r="AY208" i="13"/>
  <c r="BP33" i="13"/>
  <c r="AY122" i="13"/>
  <c r="AY307" i="13"/>
  <c r="AY123" i="13"/>
  <c r="AY300" i="13"/>
  <c r="AY102" i="13"/>
  <c r="AY270" i="13"/>
  <c r="AY90" i="13"/>
  <c r="AY259" i="13"/>
  <c r="AY98" i="13"/>
  <c r="AY272" i="13"/>
  <c r="AY99" i="13"/>
  <c r="AY281" i="13"/>
  <c r="AY110" i="13"/>
  <c r="AY289" i="13"/>
  <c r="AY53" i="13"/>
  <c r="AY127" i="13"/>
  <c r="AY203" i="13"/>
  <c r="AY26" i="13"/>
  <c r="AY101" i="13"/>
  <c r="AY168" i="13"/>
  <c r="BC168" i="13" s="1"/>
  <c r="AY261" i="13"/>
  <c r="AY330" i="13"/>
  <c r="AY62" i="13"/>
  <c r="AY136" i="13"/>
  <c r="AY212" i="13"/>
  <c r="AY303" i="13"/>
  <c r="AY258" i="13"/>
  <c r="AY327" i="13"/>
  <c r="AY63" i="13"/>
  <c r="AY137" i="13"/>
  <c r="AY213" i="13"/>
  <c r="AY304" i="13"/>
  <c r="AY9" i="13"/>
  <c r="BI33" i="13"/>
  <c r="BI160" i="13"/>
  <c r="BI52" i="13"/>
  <c r="BI44" i="13"/>
  <c r="BI55" i="13"/>
  <c r="BI253" i="13"/>
  <c r="BI53" i="13"/>
  <c r="BI240" i="13"/>
  <c r="BI56" i="13"/>
  <c r="BI229" i="13"/>
  <c r="BI51" i="13"/>
  <c r="BM51" i="13" s="1"/>
  <c r="BI231" i="13"/>
  <c r="BI46" i="13"/>
  <c r="BI209" i="13"/>
  <c r="BI49" i="13"/>
  <c r="BI264" i="13"/>
  <c r="BI138" i="13"/>
  <c r="BI214" i="13"/>
  <c r="BI305" i="13"/>
  <c r="BI120" i="13"/>
  <c r="BI194" i="13"/>
  <c r="BI285" i="13"/>
  <c r="BI107" i="13"/>
  <c r="BI176" i="13"/>
  <c r="BI336" i="13"/>
  <c r="BI153" i="13"/>
  <c r="BI238" i="13"/>
  <c r="BI218" i="13"/>
  <c r="BI156" i="13"/>
  <c r="BI245" i="13"/>
  <c r="BI221" i="13"/>
  <c r="BI141" i="13"/>
  <c r="BI228" i="13"/>
  <c r="BI307" i="13"/>
  <c r="BI9" i="13"/>
  <c r="AY151" i="13"/>
  <c r="AZ54" i="13"/>
  <c r="AZ72" i="13"/>
  <c r="AZ21" i="13"/>
  <c r="AZ59" i="13"/>
  <c r="AZ24" i="13"/>
  <c r="AZ165" i="13"/>
  <c r="AZ52" i="13"/>
  <c r="AZ14" i="13"/>
  <c r="AZ85" i="13"/>
  <c r="AZ335" i="13"/>
  <c r="AZ71" i="13"/>
  <c r="AZ109" i="13"/>
  <c r="AZ178" i="13"/>
  <c r="AZ273" i="13"/>
  <c r="AZ338" i="13"/>
  <c r="AZ163" i="13"/>
  <c r="AZ255" i="13"/>
  <c r="AZ323" i="13"/>
  <c r="AZ158" i="13"/>
  <c r="AZ249" i="13"/>
  <c r="AZ223" i="13"/>
  <c r="AZ134" i="13"/>
  <c r="AZ210" i="13"/>
  <c r="AZ300" i="13"/>
  <c r="AZ113" i="13"/>
  <c r="AZ182" i="13"/>
  <c r="AZ278" i="13"/>
  <c r="AZ108" i="13"/>
  <c r="AZ177" i="13"/>
  <c r="AZ272" i="13"/>
  <c r="AZ337" i="13"/>
  <c r="AZ154" i="13"/>
  <c r="AZ240" i="13"/>
  <c r="AZ219" i="13"/>
  <c r="AZ8" i="13"/>
  <c r="BJ131" i="13"/>
  <c r="BJ26" i="13"/>
  <c r="BJ91" i="13"/>
  <c r="BJ150" i="13"/>
  <c r="BJ309" i="13"/>
  <c r="BJ34" i="13"/>
  <c r="BJ21" i="13"/>
  <c r="BJ96" i="13"/>
  <c r="BJ163" i="13"/>
  <c r="BJ314" i="13"/>
  <c r="BJ70" i="13"/>
  <c r="BJ144" i="13"/>
  <c r="BJ230" i="13"/>
  <c r="BJ47" i="13"/>
  <c r="BJ121" i="13"/>
  <c r="BJ195" i="13"/>
  <c r="BJ33" i="13"/>
  <c r="BJ108" i="13"/>
  <c r="BJ177" i="13"/>
  <c r="BJ12" i="13"/>
  <c r="BJ83" i="13"/>
  <c r="BJ154" i="13"/>
  <c r="BJ238" i="13"/>
  <c r="BJ56" i="13"/>
  <c r="BJ130" i="13"/>
  <c r="BJ206" i="13"/>
  <c r="BJ336" i="13"/>
  <c r="BJ304" i="13"/>
  <c r="BJ272" i="13"/>
  <c r="BJ337" i="13"/>
  <c r="BJ312" i="13"/>
  <c r="BJ270" i="13"/>
  <c r="BJ335" i="13"/>
  <c r="BJ308" i="13"/>
  <c r="BJ190" i="13"/>
  <c r="BP67" i="13"/>
  <c r="BD16" i="13"/>
  <c r="BH16" i="13" s="1"/>
  <c r="BD74" i="13"/>
  <c r="BH74" i="13" s="1"/>
  <c r="BD150" i="13"/>
  <c r="BH150" i="13" s="1"/>
  <c r="BD214" i="13"/>
  <c r="BH214" i="13" s="1"/>
  <c r="BD56" i="13"/>
  <c r="BH56" i="13" s="1"/>
  <c r="BD131" i="13"/>
  <c r="BH131" i="13" s="1"/>
  <c r="BD59" i="13"/>
  <c r="BH59" i="13" s="1"/>
  <c r="BD133" i="13"/>
  <c r="BH133" i="13" s="1"/>
  <c r="BD209" i="13"/>
  <c r="BH209" i="13" s="1"/>
  <c r="BD299" i="13"/>
  <c r="BH299" i="13" s="1"/>
  <c r="BD29" i="13"/>
  <c r="BD104" i="13"/>
  <c r="BD171" i="13"/>
  <c r="BH171" i="13" s="1"/>
  <c r="BD333" i="13"/>
  <c r="BH333" i="13" s="1"/>
  <c r="BD223" i="13"/>
  <c r="BH223" i="13" s="1"/>
  <c r="BD52" i="13"/>
  <c r="BH52" i="13" s="1"/>
  <c r="BD126" i="13"/>
  <c r="BH126" i="13" s="1"/>
  <c r="BD201" i="13"/>
  <c r="BH201" i="13" s="1"/>
  <c r="BD291" i="13"/>
  <c r="BH291" i="13" s="1"/>
  <c r="BD22" i="13"/>
  <c r="BH22" i="13" s="1"/>
  <c r="BD97" i="13"/>
  <c r="BH97" i="13" s="1"/>
  <c r="BD256" i="13"/>
  <c r="BH256" i="13" s="1"/>
  <c r="BD324" i="13"/>
  <c r="BH324" i="13" s="1"/>
  <c r="BD67" i="13"/>
  <c r="BH67" i="13" s="1"/>
  <c r="BD141" i="13"/>
  <c r="BH141" i="13" s="1"/>
  <c r="BD228" i="13"/>
  <c r="BH228" i="13" s="1"/>
  <c r="BD307" i="13"/>
  <c r="BH307" i="13" s="1"/>
  <c r="BD37" i="13"/>
  <c r="BH37" i="13" s="1"/>
  <c r="BD111" i="13"/>
  <c r="BH111" i="13" s="1"/>
  <c r="BD180" i="13"/>
  <c r="BH180" i="13" s="1"/>
  <c r="BD276" i="13"/>
  <c r="BH276" i="13" s="1"/>
  <c r="BD340" i="13"/>
  <c r="BH340" i="13" s="1"/>
  <c r="BD222" i="13"/>
  <c r="BH222" i="13" s="1"/>
  <c r="BD8" i="13"/>
  <c r="BP61" i="13"/>
  <c r="BP135" i="13"/>
  <c r="BP211" i="13"/>
  <c r="BP216" i="13"/>
  <c r="BP64" i="13"/>
  <c r="BP138" i="13"/>
  <c r="BP214" i="13"/>
  <c r="BP299" i="13"/>
  <c r="BP78" i="13"/>
  <c r="BP152" i="13"/>
  <c r="BP237" i="13"/>
  <c r="BP13" i="13"/>
  <c r="BP84" i="13"/>
  <c r="BP155" i="13"/>
  <c r="BP243" i="13"/>
  <c r="BP331" i="13"/>
  <c r="BP75" i="13"/>
  <c r="BP150" i="13"/>
  <c r="BP235" i="13"/>
  <c r="BP225" i="13"/>
  <c r="BP60" i="13"/>
  <c r="BP134" i="13"/>
  <c r="BP210" i="13"/>
  <c r="BP308" i="13"/>
  <c r="BP147" i="13"/>
  <c r="BP233" i="13"/>
  <c r="BP220" i="13"/>
  <c r="BP312" i="13"/>
  <c r="BP325" i="13"/>
  <c r="BP317" i="13"/>
  <c r="BP97" i="13"/>
  <c r="AZ193" i="13"/>
  <c r="BG239" i="13"/>
  <c r="BF8" i="13"/>
  <c r="BP141" i="13"/>
  <c r="AY298" i="13"/>
  <c r="BC298" i="13" s="1"/>
  <c r="AY58" i="13"/>
  <c r="BP26" i="13"/>
  <c r="AY138" i="13"/>
  <c r="AY222" i="13"/>
  <c r="AY139" i="13"/>
  <c r="AY216" i="13"/>
  <c r="AY118" i="13"/>
  <c r="AY309" i="13"/>
  <c r="AY108" i="13"/>
  <c r="AY279" i="13"/>
  <c r="AY114" i="13"/>
  <c r="AY287" i="13"/>
  <c r="AY115" i="13"/>
  <c r="AY126" i="13"/>
  <c r="AY305" i="13"/>
  <c r="AY61" i="13"/>
  <c r="AY135" i="13"/>
  <c r="AY211" i="13"/>
  <c r="AY301" i="13"/>
  <c r="AY34" i="13"/>
  <c r="AY109" i="13"/>
  <c r="AY178" i="13"/>
  <c r="AY273" i="13"/>
  <c r="AY338" i="13"/>
  <c r="AY72" i="13"/>
  <c r="AY146" i="13"/>
  <c r="AY232" i="13"/>
  <c r="AY314" i="13"/>
  <c r="AY336" i="13"/>
  <c r="AY73" i="13"/>
  <c r="AY147" i="13"/>
  <c r="AY233" i="13"/>
  <c r="AY315" i="13"/>
  <c r="AY317" i="13"/>
  <c r="BI109" i="13"/>
  <c r="BI320" i="13"/>
  <c r="BI125" i="13"/>
  <c r="BI81" i="13"/>
  <c r="BI63" i="13"/>
  <c r="BI61" i="13"/>
  <c r="BI64" i="13"/>
  <c r="BI273" i="13"/>
  <c r="BI59" i="13"/>
  <c r="BI276" i="13"/>
  <c r="BI54" i="13"/>
  <c r="BI261" i="13"/>
  <c r="BI57" i="13"/>
  <c r="BI301" i="13"/>
  <c r="BI148" i="13"/>
  <c r="BI234" i="13"/>
  <c r="BI316" i="13"/>
  <c r="BI128" i="13"/>
  <c r="BI204" i="13"/>
  <c r="BI293" i="13"/>
  <c r="BI115" i="13"/>
  <c r="BI184" i="13"/>
  <c r="BI280" i="13"/>
  <c r="BI93" i="13"/>
  <c r="BI161" i="13"/>
  <c r="BI252" i="13"/>
  <c r="BI321" i="13"/>
  <c r="BI256" i="13"/>
  <c r="BI324" i="13"/>
  <c r="BI151" i="13"/>
  <c r="BI236" i="13"/>
  <c r="BI216" i="13"/>
  <c r="BI317" i="13"/>
  <c r="AH316" i="12"/>
  <c r="AI316" i="12" s="1"/>
  <c r="AE316" i="12"/>
  <c r="BP339" i="13"/>
  <c r="AY185" i="13"/>
  <c r="AZ305" i="13"/>
  <c r="AZ84" i="13"/>
  <c r="AZ58" i="13"/>
  <c r="AZ38" i="13"/>
  <c r="AZ69" i="13"/>
  <c r="AZ32" i="13"/>
  <c r="AZ257" i="13"/>
  <c r="AZ22" i="13"/>
  <c r="AZ148" i="13"/>
  <c r="AZ12" i="13"/>
  <c r="AZ83" i="13"/>
  <c r="AZ117" i="13"/>
  <c r="AZ186" i="13"/>
  <c r="AZ282" i="13"/>
  <c r="AZ104" i="13"/>
  <c r="AZ171" i="13"/>
  <c r="AZ333" i="13"/>
  <c r="AZ258" i="13"/>
  <c r="AZ327" i="13"/>
  <c r="AZ144" i="13"/>
  <c r="AZ230" i="13"/>
  <c r="AZ309" i="13"/>
  <c r="AZ121" i="13"/>
  <c r="AZ195" i="13"/>
  <c r="AZ286" i="13"/>
  <c r="AZ116" i="13"/>
  <c r="AZ185" i="13"/>
  <c r="AZ281" i="13"/>
  <c r="AZ95" i="13"/>
  <c r="AZ162" i="13"/>
  <c r="AZ253" i="13"/>
  <c r="AZ322" i="13"/>
  <c r="AZ9" i="13"/>
  <c r="BJ89" i="13"/>
  <c r="BJ59" i="13"/>
  <c r="BJ125" i="13"/>
  <c r="BJ184" i="13"/>
  <c r="BJ32" i="13"/>
  <c r="BJ69" i="13"/>
  <c r="BJ29" i="13"/>
  <c r="BJ104" i="13"/>
  <c r="BJ171" i="13"/>
  <c r="BJ11" i="13"/>
  <c r="BJ81" i="13"/>
  <c r="BJ153" i="13"/>
  <c r="BJ55" i="13"/>
  <c r="BJ129" i="13"/>
  <c r="BJ205" i="13"/>
  <c r="BJ42" i="13"/>
  <c r="BJ116" i="13"/>
  <c r="BJ185" i="13"/>
  <c r="BJ20" i="13"/>
  <c r="BJ95" i="13"/>
  <c r="BJ162" i="13"/>
  <c r="BJ283" i="13"/>
  <c r="BJ64" i="13"/>
  <c r="BJ138" i="13"/>
  <c r="BJ214" i="13"/>
  <c r="BJ280" i="13"/>
  <c r="BJ233" i="13"/>
  <c r="BJ315" i="13"/>
  <c r="BJ281" i="13"/>
  <c r="BJ240" i="13"/>
  <c r="BJ219" i="13"/>
  <c r="BJ279" i="13"/>
  <c r="BJ237" i="13"/>
  <c r="BJ217" i="13"/>
  <c r="BJ8" i="13"/>
  <c r="BP47" i="13"/>
  <c r="BD15" i="13"/>
  <c r="BH15" i="13" s="1"/>
  <c r="BD49" i="13"/>
  <c r="BH49" i="13" s="1"/>
  <c r="BD114" i="13"/>
  <c r="BH114" i="13" s="1"/>
  <c r="BD184" i="13"/>
  <c r="BH184" i="13" s="1"/>
  <c r="BD32" i="13"/>
  <c r="BH32" i="13" s="1"/>
  <c r="BD98" i="13"/>
  <c r="BH98" i="13" s="1"/>
  <c r="BD69" i="13"/>
  <c r="BH69" i="13" s="1"/>
  <c r="BD143" i="13"/>
  <c r="BH143" i="13" s="1"/>
  <c r="BD229" i="13"/>
  <c r="BH229" i="13" s="1"/>
  <c r="BD308" i="13"/>
  <c r="BH308" i="13" s="1"/>
  <c r="BD38" i="13"/>
  <c r="BH38" i="13" s="1"/>
  <c r="BD112" i="13"/>
  <c r="BH112" i="13" s="1"/>
  <c r="BD181" i="13"/>
  <c r="BH181" i="13" s="1"/>
  <c r="BD277" i="13"/>
  <c r="BH277" i="13" s="1"/>
  <c r="BD258" i="13"/>
  <c r="BH258" i="13" s="1"/>
  <c r="BD327" i="13"/>
  <c r="BH327" i="13" s="1"/>
  <c r="BD60" i="13"/>
  <c r="BH60" i="13" s="1"/>
  <c r="BD134" i="13"/>
  <c r="BH134" i="13" s="1"/>
  <c r="BD210" i="13"/>
  <c r="BH210" i="13" s="1"/>
  <c r="BD300" i="13"/>
  <c r="BH300" i="13" s="1"/>
  <c r="BD30" i="13"/>
  <c r="BH30" i="13" s="1"/>
  <c r="BD105" i="13"/>
  <c r="BH105" i="13" s="1"/>
  <c r="BD172" i="13"/>
  <c r="BH172" i="13" s="1"/>
  <c r="BD267" i="13"/>
  <c r="BH267" i="13" s="1"/>
  <c r="BD334" i="13"/>
  <c r="BH334" i="13" s="1"/>
  <c r="BD151" i="13"/>
  <c r="BH151" i="13" s="1"/>
  <c r="BD236" i="13"/>
  <c r="BH236" i="13" s="1"/>
  <c r="BD216" i="13"/>
  <c r="BH216" i="13" s="1"/>
  <c r="BD45" i="13"/>
  <c r="BH45" i="13" s="1"/>
  <c r="BD119" i="13"/>
  <c r="BH119" i="13" s="1"/>
  <c r="BD192" i="13"/>
  <c r="BH192" i="13" s="1"/>
  <c r="BD257" i="13"/>
  <c r="BH257" i="13" s="1"/>
  <c r="BD325" i="13"/>
  <c r="BH325" i="13" s="1"/>
  <c r="BP71" i="13"/>
  <c r="BP145" i="13"/>
  <c r="BP231" i="13"/>
  <c r="BP329" i="13"/>
  <c r="BP74" i="13"/>
  <c r="BP148" i="13"/>
  <c r="BP234" i="13"/>
  <c r="BP217" i="13"/>
  <c r="BP91" i="13"/>
  <c r="BP160" i="13"/>
  <c r="BP251" i="13"/>
  <c r="BP21" i="13"/>
  <c r="BP96" i="13"/>
  <c r="BP163" i="13"/>
  <c r="BP255" i="13"/>
  <c r="BP16" i="13"/>
  <c r="BP89" i="13"/>
  <c r="BP158" i="13"/>
  <c r="BP249" i="13"/>
  <c r="BP337" i="13"/>
  <c r="BP70" i="13"/>
  <c r="BP144" i="13"/>
  <c r="BP230" i="13"/>
  <c r="BP320" i="13"/>
  <c r="BP156" i="13"/>
  <c r="BP245" i="13"/>
  <c r="BP333" i="13"/>
  <c r="BP219" i="13"/>
  <c r="BP335" i="13"/>
  <c r="BP189" i="13"/>
  <c r="BP55" i="13"/>
  <c r="BD193" i="13"/>
  <c r="AY193" i="13"/>
  <c r="BJ193" i="13"/>
  <c r="BD239" i="13"/>
  <c r="BL8" i="13"/>
  <c r="AY116" i="13"/>
  <c r="BP250" i="13"/>
  <c r="AY15" i="13"/>
  <c r="AY157" i="13"/>
  <c r="AY16" i="13"/>
  <c r="AY158" i="13"/>
  <c r="AY325" i="13"/>
  <c r="AY134" i="13"/>
  <c r="AY225" i="13"/>
  <c r="AY124" i="13"/>
  <c r="AY218" i="13"/>
  <c r="AY130" i="13"/>
  <c r="AY321" i="13"/>
  <c r="AY131" i="13"/>
  <c r="AY331" i="13"/>
  <c r="AY144" i="13"/>
  <c r="AY339" i="13"/>
  <c r="AY71" i="13"/>
  <c r="AY145" i="13"/>
  <c r="AY231" i="13"/>
  <c r="AY312" i="13"/>
  <c r="AY43" i="13"/>
  <c r="AY117" i="13"/>
  <c r="AY186" i="13"/>
  <c r="AY282" i="13"/>
  <c r="AY13" i="13"/>
  <c r="AY84" i="13"/>
  <c r="AY155" i="13"/>
  <c r="BC155" i="13" s="1"/>
  <c r="AY243" i="13"/>
  <c r="AY220" i="13"/>
  <c r="AY280" i="13"/>
  <c r="AY14" i="13"/>
  <c r="AY85" i="13"/>
  <c r="AY156" i="13"/>
  <c r="AY245" i="13"/>
  <c r="AY221" i="13"/>
  <c r="AY189" i="13"/>
  <c r="BI217" i="13"/>
  <c r="BI17" i="13"/>
  <c r="BI251" i="13"/>
  <c r="BI73" i="13"/>
  <c r="BI322" i="13"/>
  <c r="BI71" i="13"/>
  <c r="BI219" i="13"/>
  <c r="BI74" i="13"/>
  <c r="BI308" i="13"/>
  <c r="BI69" i="13"/>
  <c r="BI312" i="13"/>
  <c r="BI62" i="13"/>
  <c r="BI299" i="13"/>
  <c r="BI66" i="13"/>
  <c r="BI332" i="13"/>
  <c r="BI157" i="13"/>
  <c r="BI246" i="13"/>
  <c r="BI222" i="13"/>
  <c r="BI136" i="13"/>
  <c r="BI212" i="13"/>
  <c r="BI303" i="13"/>
  <c r="BI123" i="13"/>
  <c r="BI197" i="13"/>
  <c r="BI288" i="13"/>
  <c r="BI102" i="13"/>
  <c r="BI169" i="13"/>
  <c r="BI263" i="13"/>
  <c r="BI331" i="13"/>
  <c r="BI172" i="13"/>
  <c r="BI267" i="13"/>
  <c r="BI334" i="13"/>
  <c r="BI159" i="13"/>
  <c r="BI250" i="13"/>
  <c r="BI225" i="13"/>
  <c r="BI189" i="13"/>
  <c r="BP298" i="13"/>
  <c r="AY100" i="13"/>
  <c r="AY42" i="13"/>
  <c r="AZ33" i="13"/>
  <c r="AZ214" i="13"/>
  <c r="AZ74" i="13"/>
  <c r="AZ78" i="13"/>
  <c r="AZ41" i="13"/>
  <c r="AZ325" i="13"/>
  <c r="AZ70" i="13"/>
  <c r="AZ30" i="13"/>
  <c r="AZ234" i="13"/>
  <c r="AZ20" i="13"/>
  <c r="AZ98" i="13"/>
  <c r="AZ125" i="13"/>
  <c r="AZ199" i="13"/>
  <c r="AZ112" i="13"/>
  <c r="AZ181" i="13"/>
  <c r="AZ277" i="13"/>
  <c r="AZ107" i="13"/>
  <c r="AZ176" i="13"/>
  <c r="AZ336" i="13"/>
  <c r="AZ153" i="13"/>
  <c r="AZ238" i="13"/>
  <c r="AZ218" i="13"/>
  <c r="AZ129" i="13"/>
  <c r="AZ205" i="13"/>
  <c r="AZ294" i="13"/>
  <c r="AZ124" i="13"/>
  <c r="AZ198" i="13"/>
  <c r="AZ289" i="13"/>
  <c r="AZ103" i="13"/>
  <c r="AZ170" i="13"/>
  <c r="AZ264" i="13"/>
  <c r="AZ332" i="13"/>
  <c r="BJ99" i="13"/>
  <c r="BJ101" i="13"/>
  <c r="BJ160" i="13"/>
  <c r="BJ300" i="13"/>
  <c r="BJ66" i="13"/>
  <c r="BJ109" i="13"/>
  <c r="BJ38" i="13"/>
  <c r="BJ112" i="13"/>
  <c r="BJ181" i="13"/>
  <c r="BJ19" i="13"/>
  <c r="BJ93" i="13"/>
  <c r="BJ161" i="13"/>
  <c r="BJ303" i="13"/>
  <c r="BJ63" i="13"/>
  <c r="BJ137" i="13"/>
  <c r="BJ213" i="13"/>
  <c r="BJ50" i="13"/>
  <c r="BJ124" i="13"/>
  <c r="BJ198" i="13"/>
  <c r="BJ28" i="13"/>
  <c r="BJ103" i="13"/>
  <c r="BJ170" i="13"/>
  <c r="BJ218" i="13"/>
  <c r="BJ74" i="13"/>
  <c r="BJ148" i="13"/>
  <c r="BJ243" i="13"/>
  <c r="BJ288" i="13"/>
  <c r="BJ245" i="13"/>
  <c r="BJ221" i="13"/>
  <c r="BJ289" i="13"/>
  <c r="BJ253" i="13"/>
  <c r="BJ322" i="13"/>
  <c r="BJ287" i="13"/>
  <c r="BJ251" i="13"/>
  <c r="BJ320" i="13"/>
  <c r="BJ9" i="13"/>
  <c r="BP39" i="13"/>
  <c r="AZ46" i="13"/>
  <c r="BD48" i="13"/>
  <c r="BH48" i="13" s="1"/>
  <c r="BD89" i="13"/>
  <c r="BH89" i="13" s="1"/>
  <c r="BD148" i="13"/>
  <c r="BH148" i="13" s="1"/>
  <c r="BD235" i="13"/>
  <c r="BH235" i="13" s="1"/>
  <c r="BD66" i="13"/>
  <c r="BH66" i="13" s="1"/>
  <c r="BD130" i="13"/>
  <c r="BH130" i="13" s="1"/>
  <c r="BD207" i="13"/>
  <c r="BH207" i="13" s="1"/>
  <c r="BD78" i="13"/>
  <c r="BH78" i="13" s="1"/>
  <c r="BD152" i="13"/>
  <c r="BH152" i="13" s="1"/>
  <c r="BD237" i="13"/>
  <c r="BH237" i="13" s="1"/>
  <c r="BD217" i="13"/>
  <c r="BH217" i="13" s="1"/>
  <c r="BD46" i="13"/>
  <c r="BH46" i="13" s="1"/>
  <c r="BD120" i="13"/>
  <c r="BH120" i="13" s="1"/>
  <c r="BD194" i="13"/>
  <c r="BH194" i="13" s="1"/>
  <c r="BD285" i="13"/>
  <c r="BH285" i="13" s="1"/>
  <c r="BD336" i="13"/>
  <c r="BH336" i="13" s="1"/>
  <c r="BD70" i="13"/>
  <c r="BH70" i="13" s="1"/>
  <c r="BD144" i="13"/>
  <c r="BH144" i="13" s="1"/>
  <c r="BD230" i="13"/>
  <c r="BH230" i="13" s="1"/>
  <c r="BD309" i="13"/>
  <c r="BH309" i="13" s="1"/>
  <c r="BD39" i="13"/>
  <c r="BH39" i="13" s="1"/>
  <c r="BD113" i="13"/>
  <c r="BH113" i="13" s="1"/>
  <c r="BD182" i="13"/>
  <c r="BH182" i="13" s="1"/>
  <c r="BD278" i="13"/>
  <c r="BH278" i="13" s="1"/>
  <c r="BD17" i="13"/>
  <c r="BH17" i="13" s="1"/>
  <c r="BD90" i="13"/>
  <c r="BH90" i="13" s="1"/>
  <c r="BD159" i="13"/>
  <c r="BH159" i="13" s="1"/>
  <c r="BD250" i="13"/>
  <c r="BH250" i="13" s="1"/>
  <c r="BD225" i="13"/>
  <c r="BH225" i="13" s="1"/>
  <c r="BD53" i="13"/>
  <c r="BH53" i="13" s="1"/>
  <c r="BD127" i="13"/>
  <c r="BH127" i="13" s="1"/>
  <c r="BD203" i="13"/>
  <c r="BH203" i="13" s="1"/>
  <c r="BD270" i="13"/>
  <c r="BH270" i="13" s="1"/>
  <c r="BD335" i="13"/>
  <c r="BP12" i="13"/>
  <c r="BP83" i="13"/>
  <c r="BP154" i="13"/>
  <c r="BP240" i="13"/>
  <c r="BP15" i="13"/>
  <c r="BP87" i="13"/>
  <c r="BP157" i="13"/>
  <c r="BP246" i="13"/>
  <c r="BP330" i="13"/>
  <c r="BP101" i="13"/>
  <c r="BP168" i="13"/>
  <c r="BP261" i="13"/>
  <c r="BP29" i="13"/>
  <c r="BP104" i="13"/>
  <c r="BP171" i="13"/>
  <c r="BP24" i="13"/>
  <c r="BP99" i="13"/>
  <c r="BP258" i="13"/>
  <c r="BP11" i="13"/>
  <c r="BP81" i="13"/>
  <c r="BP153" i="13"/>
  <c r="BP238" i="13"/>
  <c r="BP338" i="13"/>
  <c r="BP256" i="13"/>
  <c r="BP304" i="13"/>
  <c r="BP322" i="13"/>
  <c r="BP306" i="13"/>
  <c r="BP318" i="13"/>
  <c r="BE193" i="13"/>
  <c r="BE239" i="13"/>
  <c r="BB239" i="13"/>
  <c r="BP22" i="13"/>
  <c r="BP309" i="13"/>
  <c r="BP159" i="13"/>
  <c r="AY31" i="13"/>
  <c r="AY174" i="13"/>
  <c r="AY32" i="13"/>
  <c r="AY176" i="13"/>
  <c r="AY11" i="13"/>
  <c r="AY153" i="13"/>
  <c r="AY335" i="13"/>
  <c r="AY141" i="13"/>
  <c r="AY329" i="13"/>
  <c r="AY148" i="13"/>
  <c r="AY337" i="13"/>
  <c r="AY150" i="13"/>
  <c r="AY19" i="13"/>
  <c r="AY161" i="13"/>
  <c r="AY12" i="13"/>
  <c r="AY83" i="13"/>
  <c r="AY154" i="13"/>
  <c r="AY240" i="13"/>
  <c r="AY219" i="13"/>
  <c r="AY51" i="13"/>
  <c r="AY125" i="13"/>
  <c r="AY199" i="13"/>
  <c r="AY21" i="13"/>
  <c r="AY96" i="13"/>
  <c r="AY163" i="13"/>
  <c r="AY255" i="13"/>
  <c r="AY323" i="13"/>
  <c r="AY288" i="13"/>
  <c r="AY22" i="13"/>
  <c r="AY97" i="13"/>
  <c r="AY256" i="13"/>
  <c r="AY324" i="13"/>
  <c r="BI58" i="13"/>
  <c r="BI36" i="13"/>
  <c r="BI50" i="13"/>
  <c r="BI42" i="13"/>
  <c r="BI14" i="13"/>
  <c r="BI85" i="13"/>
  <c r="BI12" i="13"/>
  <c r="BI83" i="13"/>
  <c r="BI15" i="13"/>
  <c r="BI87" i="13"/>
  <c r="BI338" i="13"/>
  <c r="BI78" i="13"/>
  <c r="BI340" i="13"/>
  <c r="BI72" i="13"/>
  <c r="BI330" i="13"/>
  <c r="BI75" i="13"/>
  <c r="BI98" i="13"/>
  <c r="BI165" i="13"/>
  <c r="BI257" i="13"/>
  <c r="BI325" i="13"/>
  <c r="BI146" i="13"/>
  <c r="BI232" i="13"/>
  <c r="BI314" i="13"/>
  <c r="BI131" i="13"/>
  <c r="BI207" i="13"/>
  <c r="BI297" i="13"/>
  <c r="BI110" i="13"/>
  <c r="BI179" i="13"/>
  <c r="BI275" i="13"/>
  <c r="BI339" i="13"/>
  <c r="BI182" i="13"/>
  <c r="BI278" i="13"/>
  <c r="BI100" i="13"/>
  <c r="BI167" i="13"/>
  <c r="BI259" i="13"/>
  <c r="BI329" i="13"/>
  <c r="BP208" i="13"/>
  <c r="BP272" i="13"/>
  <c r="BP236" i="13"/>
  <c r="AZ48" i="13"/>
  <c r="AZ13" i="13"/>
  <c r="AZ138" i="13"/>
  <c r="AZ18" i="13"/>
  <c r="AZ100" i="13"/>
  <c r="AZ49" i="13"/>
  <c r="AZ11" i="13"/>
  <c r="AZ81" i="13"/>
  <c r="AZ39" i="13"/>
  <c r="AZ316" i="13"/>
  <c r="AZ28" i="13"/>
  <c r="AZ130" i="13"/>
  <c r="AZ133" i="13"/>
  <c r="AZ209" i="13"/>
  <c r="AZ299" i="13"/>
  <c r="AZ120" i="13"/>
  <c r="AZ194" i="13"/>
  <c r="AZ285" i="13"/>
  <c r="AZ115" i="13"/>
  <c r="AZ184" i="13"/>
  <c r="AZ280" i="13"/>
  <c r="AZ93" i="13"/>
  <c r="AZ161" i="13"/>
  <c r="AZ252" i="13"/>
  <c r="AZ321" i="13"/>
  <c r="AZ137" i="13"/>
  <c r="AZ213" i="13"/>
  <c r="AZ304" i="13"/>
  <c r="AZ132" i="13"/>
  <c r="AZ208" i="13"/>
  <c r="AZ111" i="13"/>
  <c r="AZ180" i="13"/>
  <c r="AZ276" i="13"/>
  <c r="AZ340" i="13"/>
  <c r="BJ16" i="13"/>
  <c r="BJ49" i="13"/>
  <c r="BJ133" i="13"/>
  <c r="BJ199" i="13"/>
  <c r="BJ43" i="13"/>
  <c r="BJ107" i="13"/>
  <c r="BJ143" i="13"/>
  <c r="BJ46" i="13"/>
  <c r="BJ120" i="13"/>
  <c r="BJ194" i="13"/>
  <c r="BJ27" i="13"/>
  <c r="BJ102" i="13"/>
  <c r="BJ169" i="13"/>
  <c r="BJ333" i="13"/>
  <c r="BJ73" i="13"/>
  <c r="BJ147" i="13"/>
  <c r="BJ252" i="13"/>
  <c r="BJ58" i="13"/>
  <c r="BJ132" i="13"/>
  <c r="BJ208" i="13"/>
  <c r="BJ37" i="13"/>
  <c r="BJ111" i="13"/>
  <c r="BJ180" i="13"/>
  <c r="BJ15" i="13"/>
  <c r="BJ87" i="13"/>
  <c r="BJ157" i="13"/>
  <c r="BJ285" i="13"/>
  <c r="BJ297" i="13"/>
  <c r="BJ256" i="13"/>
  <c r="BJ324" i="13"/>
  <c r="BJ298" i="13"/>
  <c r="BJ264" i="13"/>
  <c r="BJ332" i="13"/>
  <c r="BJ261" i="13"/>
  <c r="BJ330" i="13"/>
  <c r="AY132" i="13"/>
  <c r="BP30" i="13"/>
  <c r="BD87" i="13"/>
  <c r="BH87" i="13" s="1"/>
  <c r="BD123" i="13"/>
  <c r="BH123" i="13" s="1"/>
  <c r="BD183" i="13"/>
  <c r="BH183" i="13" s="1"/>
  <c r="BD31" i="13"/>
  <c r="BH31" i="13" s="1"/>
  <c r="BD107" i="13"/>
  <c r="BH107" i="13" s="1"/>
  <c r="BD165" i="13"/>
  <c r="BH165" i="13" s="1"/>
  <c r="BD18" i="13"/>
  <c r="BH18" i="13" s="1"/>
  <c r="BD91" i="13"/>
  <c r="BH91" i="13" s="1"/>
  <c r="BD160" i="13"/>
  <c r="BH160" i="13" s="1"/>
  <c r="BD251" i="13"/>
  <c r="BH251" i="13" s="1"/>
  <c r="BD320" i="13"/>
  <c r="BH320" i="13" s="1"/>
  <c r="BD54" i="13"/>
  <c r="BH54" i="13" s="1"/>
  <c r="BD128" i="13"/>
  <c r="BH128" i="13" s="1"/>
  <c r="BD204" i="13"/>
  <c r="BH204" i="13" s="1"/>
  <c r="BD293" i="13"/>
  <c r="BD280" i="13"/>
  <c r="BH280" i="13" s="1"/>
  <c r="BD11" i="13"/>
  <c r="BH11" i="13" s="1"/>
  <c r="BD81" i="13"/>
  <c r="BH81" i="13" s="1"/>
  <c r="BD153" i="13"/>
  <c r="BH153" i="13" s="1"/>
  <c r="BD238" i="13"/>
  <c r="BH238" i="13" s="1"/>
  <c r="BD218" i="13"/>
  <c r="BH218" i="13" s="1"/>
  <c r="BD47" i="13"/>
  <c r="BH47" i="13" s="1"/>
  <c r="BD121" i="13"/>
  <c r="BH121" i="13" s="1"/>
  <c r="BD195" i="13"/>
  <c r="BH195" i="13" s="1"/>
  <c r="BD286" i="13"/>
  <c r="BH286" i="13" s="1"/>
  <c r="BD25" i="13"/>
  <c r="BH25" i="13" s="1"/>
  <c r="BD100" i="13"/>
  <c r="BH100" i="13" s="1"/>
  <c r="BD167" i="13"/>
  <c r="BH167" i="13" s="1"/>
  <c r="BD259" i="13"/>
  <c r="BH259" i="13" s="1"/>
  <c r="BD329" i="13"/>
  <c r="BH329" i="13" s="1"/>
  <c r="BD61" i="13"/>
  <c r="BH61" i="13" s="1"/>
  <c r="BD135" i="13"/>
  <c r="BH135" i="13" s="1"/>
  <c r="BD211" i="13"/>
  <c r="BH211" i="13" s="1"/>
  <c r="BD301" i="13"/>
  <c r="BH301" i="13" s="1"/>
  <c r="BD279" i="13"/>
  <c r="BH279" i="13" s="1"/>
  <c r="BD9" i="13"/>
  <c r="BH9" i="13" s="1"/>
  <c r="BP20" i="13"/>
  <c r="BP95" i="13"/>
  <c r="BP162" i="13"/>
  <c r="BP253" i="13"/>
  <c r="BP23" i="13"/>
  <c r="BP98" i="13"/>
  <c r="BP165" i="13"/>
  <c r="BP257" i="13"/>
  <c r="BP34" i="13"/>
  <c r="BP109" i="13"/>
  <c r="BP178" i="13"/>
  <c r="BP273" i="13"/>
  <c r="BP38" i="13"/>
  <c r="BP112" i="13"/>
  <c r="BP181" i="13"/>
  <c r="BP277" i="13"/>
  <c r="BP32" i="13"/>
  <c r="BP107" i="13"/>
  <c r="BP176" i="13"/>
  <c r="BP19" i="13"/>
  <c r="BP93" i="13"/>
  <c r="BP161" i="13"/>
  <c r="BP252" i="13"/>
  <c r="BP105" i="13"/>
  <c r="BP172" i="13"/>
  <c r="BP267" i="13"/>
  <c r="BP315" i="13"/>
  <c r="BP332" i="13"/>
  <c r="BP215" i="13"/>
  <c r="BP190" i="13"/>
  <c r="BP193" i="13"/>
  <c r="BI193" i="13"/>
  <c r="BA239" i="13"/>
  <c r="BA70" i="13"/>
  <c r="BA144" i="13"/>
  <c r="BA71" i="13"/>
  <c r="BA145" i="13"/>
  <c r="BA314" i="13"/>
  <c r="BA74" i="13"/>
  <c r="BA148" i="13"/>
  <c r="BA26" i="13"/>
  <c r="BA101" i="13"/>
  <c r="BA234" i="13"/>
  <c r="BA316" i="13"/>
  <c r="BA217" i="13"/>
  <c r="BA235" i="13"/>
  <c r="BA215" i="13"/>
  <c r="BA238" i="13"/>
  <c r="BA218" i="13"/>
  <c r="BA233" i="13"/>
  <c r="BA315" i="13"/>
  <c r="BA240" i="13"/>
  <c r="BA219" i="13"/>
  <c r="BA318" i="13"/>
  <c r="BK25" i="13"/>
  <c r="BK95" i="13"/>
  <c r="BK117" i="13"/>
  <c r="BK31" i="13"/>
  <c r="BK192" i="13"/>
  <c r="BK38" i="13"/>
  <c r="BK57" i="13"/>
  <c r="BK106" i="13"/>
  <c r="BK174" i="13"/>
  <c r="BK270" i="13"/>
  <c r="BK120" i="13"/>
  <c r="BK194" i="13"/>
  <c r="BK219" i="13"/>
  <c r="BK150" i="13"/>
  <c r="BK235" i="13"/>
  <c r="BK100" i="13"/>
  <c r="BK167" i="13"/>
  <c r="BK314" i="13"/>
  <c r="BK318" i="13"/>
  <c r="BE73" i="13"/>
  <c r="BE147" i="13"/>
  <c r="BE28" i="13"/>
  <c r="BE103" i="13"/>
  <c r="BE29" i="13"/>
  <c r="BE104" i="13"/>
  <c r="BE213" i="13"/>
  <c r="BE293" i="13"/>
  <c r="BE335" i="13"/>
  <c r="BE323" i="13"/>
  <c r="BB60" i="13"/>
  <c r="BB257" i="13"/>
  <c r="BB66" i="13"/>
  <c r="BB39" i="13"/>
  <c r="BB113" i="13"/>
  <c r="BB182" i="13"/>
  <c r="BB278" i="13"/>
  <c r="BB61" i="13"/>
  <c r="BB211" i="13"/>
  <c r="BL13" i="13"/>
  <c r="BL156" i="13"/>
  <c r="BL46" i="13"/>
  <c r="BL11" i="13"/>
  <c r="BL134" i="13"/>
  <c r="BL141" i="13"/>
  <c r="BL183" i="13"/>
  <c r="BL279" i="13"/>
  <c r="BL338" i="13"/>
  <c r="BL303" i="13"/>
  <c r="AZ31" i="13"/>
  <c r="BP281" i="13"/>
  <c r="BP116" i="13"/>
  <c r="AY48" i="13"/>
  <c r="AY196" i="13"/>
  <c r="AY49" i="13"/>
  <c r="AY197" i="13"/>
  <c r="AY27" i="13"/>
  <c r="AY169" i="13"/>
  <c r="AY17" i="13"/>
  <c r="AY159" i="13"/>
  <c r="AY23" i="13"/>
  <c r="BC23" i="13" s="1"/>
  <c r="AY165" i="13"/>
  <c r="AY24" i="13"/>
  <c r="AY36" i="13"/>
  <c r="AY179" i="13"/>
  <c r="AY20" i="13"/>
  <c r="AY95" i="13"/>
  <c r="AY162" i="13"/>
  <c r="AY253" i="13"/>
  <c r="AY322" i="13"/>
  <c r="AY59" i="13"/>
  <c r="AY133" i="13"/>
  <c r="AY209" i="13"/>
  <c r="AY299" i="13"/>
  <c r="AY29" i="13"/>
  <c r="AY104" i="13"/>
  <c r="AY171" i="13"/>
  <c r="AY333" i="13"/>
  <c r="AY297" i="13"/>
  <c r="AY30" i="13"/>
  <c r="AY105" i="13"/>
  <c r="AY172" i="13"/>
  <c r="AY267" i="13"/>
  <c r="AY334" i="13"/>
  <c r="BI152" i="13"/>
  <c r="BI70" i="13"/>
  <c r="BI90" i="13"/>
  <c r="BI22" i="13"/>
  <c r="BI101" i="13"/>
  <c r="BI20" i="13"/>
  <c r="BI103" i="13"/>
  <c r="BI23" i="13"/>
  <c r="BI97" i="13"/>
  <c r="BI18" i="13"/>
  <c r="BI91" i="13"/>
  <c r="BI13" i="13"/>
  <c r="BI84" i="13"/>
  <c r="BI16" i="13"/>
  <c r="BI89" i="13"/>
  <c r="BI106" i="13"/>
  <c r="BI174" i="13"/>
  <c r="BI270" i="13"/>
  <c r="BI335" i="13"/>
  <c r="BI155" i="13"/>
  <c r="BI243" i="13"/>
  <c r="BI220" i="13"/>
  <c r="BI139" i="13"/>
  <c r="BI227" i="13"/>
  <c r="BI306" i="13"/>
  <c r="BI118" i="13"/>
  <c r="BI187" i="13"/>
  <c r="BI283" i="13"/>
  <c r="BI121" i="13"/>
  <c r="BI195" i="13"/>
  <c r="BI286" i="13"/>
  <c r="BI108" i="13"/>
  <c r="BI177" i="13"/>
  <c r="BI272" i="13"/>
  <c r="BI337" i="13"/>
  <c r="V6" i="22"/>
  <c r="AG6" i="22"/>
  <c r="F19" i="22"/>
  <c r="AG18" i="22"/>
  <c r="AH19" i="22"/>
  <c r="AI6" i="22"/>
  <c r="AG19" i="22"/>
  <c r="G18" i="22"/>
  <c r="AS19" i="22"/>
  <c r="AS18" i="22"/>
  <c r="V18" i="22"/>
  <c r="U18" i="22"/>
  <c r="U6" i="22"/>
  <c r="H6" i="22"/>
  <c r="V19" i="22"/>
  <c r="AI18" i="22"/>
  <c r="I19" i="22"/>
  <c r="W6" i="22"/>
  <c r="AU18" i="22"/>
  <c r="U19" i="22"/>
  <c r="AH18" i="22"/>
  <c r="AH20" i="22" s="1"/>
  <c r="AH27" i="22" s="1"/>
  <c r="AH28" i="22" s="1"/>
  <c r="AI30" i="22" s="1"/>
  <c r="AH6" i="22"/>
  <c r="H18" i="22"/>
  <c r="F6" i="22"/>
  <c r="H19" i="22"/>
  <c r="AT18" i="22"/>
  <c r="F18" i="22"/>
  <c r="W19" i="22"/>
  <c r="G19" i="22"/>
  <c r="AU19" i="22"/>
  <c r="W18" i="22"/>
  <c r="K19" i="22"/>
  <c r="AT19" i="22"/>
  <c r="G6" i="22"/>
  <c r="J19" i="22"/>
  <c r="J6" i="22"/>
  <c r="AB19" i="22"/>
  <c r="Q18" i="22"/>
  <c r="J18" i="22"/>
  <c r="K18" i="22"/>
  <c r="K20" i="22" s="1"/>
  <c r="K27" i="22" s="1"/>
  <c r="K28" i="22" s="1"/>
  <c r="L30" i="22" s="1"/>
  <c r="Z19" i="22"/>
  <c r="T19" i="22"/>
  <c r="AB6" i="22"/>
  <c r="L19" i="22"/>
  <c r="N18" i="22"/>
  <c r="AC18" i="22"/>
  <c r="AE6" i="22"/>
  <c r="AD19" i="22"/>
  <c r="AK19" i="22"/>
  <c r="P18" i="22"/>
  <c r="M6" i="22"/>
  <c r="R19" i="22"/>
  <c r="AL18" i="22"/>
  <c r="O6" i="22"/>
  <c r="AF18" i="22"/>
  <c r="T6" i="22"/>
  <c r="AB18" i="22"/>
  <c r="AC19" i="22"/>
  <c r="AE19" i="22"/>
  <c r="AK6" i="22"/>
  <c r="P6" i="22"/>
  <c r="AP19" i="22"/>
  <c r="N19" i="22"/>
  <c r="AL19" i="22"/>
  <c r="I18" i="22"/>
  <c r="AF19" i="22"/>
  <c r="X19" i="22"/>
  <c r="Y6" i="22"/>
  <c r="AK18" i="22"/>
  <c r="AK20" i="22" s="1"/>
  <c r="AK27" i="22" s="1"/>
  <c r="AK28" i="22" s="1"/>
  <c r="AL30" i="22" s="1"/>
  <c r="AR18" i="22"/>
  <c r="AQ18" i="22"/>
  <c r="AJ6" i="22"/>
  <c r="AM18" i="22"/>
  <c r="L18" i="22"/>
  <c r="I6" i="22"/>
  <c r="AF6" i="22"/>
  <c r="T18" i="22"/>
  <c r="X6" i="22"/>
  <c r="Y18" i="22"/>
  <c r="N6" i="22"/>
  <c r="R18" i="22"/>
  <c r="AA18" i="22"/>
  <c r="AR6" i="22"/>
  <c r="AP18" i="22"/>
  <c r="AQ6" i="22"/>
  <c r="AJ19" i="22"/>
  <c r="AO6" i="22"/>
  <c r="AM6" i="22"/>
  <c r="AI19" i="22"/>
  <c r="Y19" i="22"/>
  <c r="M19" i="22"/>
  <c r="R6" i="22"/>
  <c r="AA6" i="22"/>
  <c r="AR19" i="22"/>
  <c r="AN6" i="22"/>
  <c r="AP6" i="22"/>
  <c r="AQ19" i="22"/>
  <c r="K6" i="22"/>
  <c r="Q6" i="22"/>
  <c r="X18" i="22"/>
  <c r="AD6" i="22"/>
  <c r="S19" i="22"/>
  <c r="O19" i="22"/>
  <c r="AN19" i="22"/>
  <c r="M18" i="22"/>
  <c r="M20" i="22" s="1"/>
  <c r="M27" i="22" s="1"/>
  <c r="M28" i="22" s="1"/>
  <c r="N30" i="22" s="1"/>
  <c r="AJ18" i="22"/>
  <c r="AL6" i="22"/>
  <c r="AC6" i="22"/>
  <c r="AE18" i="22"/>
  <c r="AE20" i="22" s="1"/>
  <c r="AE27" i="22" s="1"/>
  <c r="AE28" i="22" s="1"/>
  <c r="AF30" i="22" s="1"/>
  <c r="P19" i="22"/>
  <c r="AM19" i="22"/>
  <c r="L6" i="22"/>
  <c r="AA19" i="22"/>
  <c r="O18" i="22"/>
  <c r="Z18" i="22"/>
  <c r="Z20" i="22" s="1"/>
  <c r="Z27" i="22" s="1"/>
  <c r="Z28" i="22" s="1"/>
  <c r="AA30" i="22" s="1"/>
  <c r="S6" i="22"/>
  <c r="AO19" i="22"/>
  <c r="AD18" i="22"/>
  <c r="Q19" i="22"/>
  <c r="AO18" i="22"/>
  <c r="S18" i="22"/>
  <c r="Z6" i="22"/>
  <c r="AN18" i="22"/>
  <c r="AN20" i="22" s="1"/>
  <c r="AN27" i="22" s="1"/>
  <c r="AN28" i="22" s="1"/>
  <c r="AO30" i="22" s="1"/>
  <c r="AH551" i="12"/>
  <c r="AI551" i="12" s="1"/>
  <c r="AE551" i="12"/>
  <c r="BP132" i="13"/>
  <c r="BP177" i="13"/>
  <c r="BP151" i="13"/>
  <c r="AZ62" i="13"/>
  <c r="AZ50" i="13"/>
  <c r="AZ15" i="13"/>
  <c r="AZ26" i="13"/>
  <c r="AZ114" i="13"/>
  <c r="AZ57" i="13"/>
  <c r="AZ19" i="13"/>
  <c r="AZ96" i="13"/>
  <c r="AZ47" i="13"/>
  <c r="AZ90" i="13"/>
  <c r="AZ37" i="13"/>
  <c r="AZ206" i="13"/>
  <c r="AZ143" i="13"/>
  <c r="AZ229" i="13"/>
  <c r="AZ308" i="13"/>
  <c r="AZ128" i="13"/>
  <c r="AZ204" i="13"/>
  <c r="AZ293" i="13"/>
  <c r="AZ123" i="13"/>
  <c r="AZ197" i="13"/>
  <c r="AZ288" i="13"/>
  <c r="AZ102" i="13"/>
  <c r="AZ169" i="13"/>
  <c r="AZ263" i="13"/>
  <c r="AZ331" i="13"/>
  <c r="AZ147" i="13"/>
  <c r="AZ233" i="13"/>
  <c r="AZ315" i="13"/>
  <c r="AZ141" i="13"/>
  <c r="AZ228" i="13"/>
  <c r="AZ307" i="13"/>
  <c r="AZ119" i="13"/>
  <c r="AZ192" i="13"/>
  <c r="AZ317" i="13"/>
  <c r="BJ123" i="13"/>
  <c r="BJ197" i="13"/>
  <c r="BJ168" i="13"/>
  <c r="BJ339" i="13"/>
  <c r="BJ78" i="13"/>
  <c r="BJ139" i="13"/>
  <c r="BJ178" i="13"/>
  <c r="BJ54" i="13"/>
  <c r="BJ128" i="13"/>
  <c r="BJ204" i="13"/>
  <c r="BJ36" i="13"/>
  <c r="BJ110" i="13"/>
  <c r="BJ179" i="13"/>
  <c r="BJ14" i="13"/>
  <c r="BJ85" i="13"/>
  <c r="BJ156" i="13"/>
  <c r="BJ291" i="13"/>
  <c r="BJ67" i="13"/>
  <c r="BJ141" i="13"/>
  <c r="BJ228" i="13"/>
  <c r="BJ45" i="13"/>
  <c r="BJ119" i="13"/>
  <c r="BJ192" i="13"/>
  <c r="BJ23" i="13"/>
  <c r="BJ98" i="13"/>
  <c r="BJ165" i="13"/>
  <c r="BJ220" i="13"/>
  <c r="BJ306" i="13"/>
  <c r="BJ267" i="13"/>
  <c r="BJ334" i="13"/>
  <c r="BJ307" i="13"/>
  <c r="BJ276" i="13"/>
  <c r="BJ340" i="13"/>
  <c r="BJ305" i="13"/>
  <c r="BJ273" i="13"/>
  <c r="BJ338" i="13"/>
  <c r="BP321" i="13"/>
  <c r="BP17" i="13"/>
  <c r="BD122" i="13"/>
  <c r="BH122" i="13" s="1"/>
  <c r="BD158" i="13"/>
  <c r="BH158" i="13" s="1"/>
  <c r="BD234" i="13"/>
  <c r="BH234" i="13" s="1"/>
  <c r="BD64" i="13"/>
  <c r="BH64" i="13" s="1"/>
  <c r="BD139" i="13"/>
  <c r="BH139" i="13" s="1"/>
  <c r="BD206" i="13"/>
  <c r="BH206" i="13" s="1"/>
  <c r="BD26" i="13"/>
  <c r="BH26" i="13" s="1"/>
  <c r="BD101" i="13"/>
  <c r="BH101" i="13" s="1"/>
  <c r="BD168" i="13"/>
  <c r="BH168" i="13" s="1"/>
  <c r="BD261" i="13"/>
  <c r="BH261" i="13" s="1"/>
  <c r="BD330" i="13"/>
  <c r="BH330" i="13" s="1"/>
  <c r="BD62" i="13"/>
  <c r="BH62" i="13" s="1"/>
  <c r="BD136" i="13"/>
  <c r="BH136" i="13" s="1"/>
  <c r="BD212" i="13"/>
  <c r="BH212" i="13" s="1"/>
  <c r="BD303" i="13"/>
  <c r="BH303" i="13" s="1"/>
  <c r="BD288" i="13"/>
  <c r="BH288" i="13" s="1"/>
  <c r="BD19" i="13"/>
  <c r="BH19" i="13" s="1"/>
  <c r="BD93" i="13"/>
  <c r="BH93" i="13" s="1"/>
  <c r="BD161" i="13"/>
  <c r="BH161" i="13" s="1"/>
  <c r="BD252" i="13"/>
  <c r="BH252" i="13" s="1"/>
  <c r="BD321" i="13"/>
  <c r="BH321" i="13" s="1"/>
  <c r="BD55" i="13"/>
  <c r="BH55" i="13" s="1"/>
  <c r="BD129" i="13"/>
  <c r="BH129" i="13" s="1"/>
  <c r="BD205" i="13"/>
  <c r="BH205" i="13" s="1"/>
  <c r="BD294" i="13"/>
  <c r="BH294" i="13" s="1"/>
  <c r="BD33" i="13"/>
  <c r="BH33" i="13" s="1"/>
  <c r="BD108" i="13"/>
  <c r="BH108" i="13" s="1"/>
  <c r="BD177" i="13"/>
  <c r="BH177" i="13" s="1"/>
  <c r="BD272" i="13"/>
  <c r="BH272" i="13" s="1"/>
  <c r="BD337" i="13"/>
  <c r="BH337" i="13" s="1"/>
  <c r="BD71" i="13"/>
  <c r="BH71" i="13" s="1"/>
  <c r="BD145" i="13"/>
  <c r="BH145" i="13" s="1"/>
  <c r="BD231" i="13"/>
  <c r="BH231" i="13" s="1"/>
  <c r="BD312" i="13"/>
  <c r="BH312" i="13" s="1"/>
  <c r="BD287" i="13"/>
  <c r="BH287" i="13" s="1"/>
  <c r="BD317" i="13"/>
  <c r="BH317" i="13" s="1"/>
  <c r="BP28" i="13"/>
  <c r="BP103" i="13"/>
  <c r="BP170" i="13"/>
  <c r="BP264" i="13"/>
  <c r="BP31" i="13"/>
  <c r="BP106" i="13"/>
  <c r="BP174" i="13"/>
  <c r="BP270" i="13"/>
  <c r="BP43" i="13"/>
  <c r="BP117" i="13"/>
  <c r="BP186" i="13"/>
  <c r="BP282" i="13"/>
  <c r="BP46" i="13"/>
  <c r="BP120" i="13"/>
  <c r="BP194" i="13"/>
  <c r="BP285" i="13"/>
  <c r="BP41" i="13"/>
  <c r="BP115" i="13"/>
  <c r="BP184" i="13"/>
  <c r="BP280" i="13"/>
  <c r="BP27" i="13"/>
  <c r="BP102" i="13"/>
  <c r="BP169" i="13"/>
  <c r="BP263" i="13"/>
  <c r="BP113" i="13"/>
  <c r="BP182" i="13"/>
  <c r="BP278" i="13"/>
  <c r="BP221" i="13"/>
  <c r="BP340" i="13"/>
  <c r="BP223" i="13"/>
  <c r="BP8" i="13"/>
  <c r="H3" i="13"/>
  <c r="AY316" i="13"/>
  <c r="BC316" i="13" s="1"/>
  <c r="AZ239" i="13"/>
  <c r="BB161" i="13"/>
  <c r="BB36" i="13"/>
  <c r="BB21" i="13"/>
  <c r="BB96" i="13"/>
  <c r="BB163" i="13"/>
  <c r="BB255" i="13"/>
  <c r="BB323" i="13"/>
  <c r="BB75" i="13"/>
  <c r="BB150" i="13"/>
  <c r="BB25" i="13"/>
  <c r="BB100" i="13"/>
  <c r="BB167" i="13"/>
  <c r="BB259" i="13"/>
  <c r="BB329" i="13"/>
  <c r="BB71" i="13"/>
  <c r="BB231" i="13"/>
  <c r="BB312" i="13"/>
  <c r="BB325" i="13"/>
  <c r="BB78" i="13"/>
  <c r="BB152" i="13"/>
  <c r="BB237" i="13"/>
  <c r="BB217" i="13"/>
  <c r="BL143" i="13"/>
  <c r="BL32" i="13"/>
  <c r="BL89" i="13"/>
  <c r="BL25" i="13"/>
  <c r="BL12" i="13"/>
  <c r="BL96" i="13"/>
  <c r="BL70" i="13"/>
  <c r="BL144" i="13"/>
  <c r="BL151" i="13"/>
  <c r="BL315" i="13"/>
  <c r="BL122" i="13"/>
  <c r="BL196" i="13"/>
  <c r="BL194" i="13"/>
  <c r="BL314" i="13"/>
  <c r="AY234" i="13"/>
  <c r="BC234" i="13" s="1"/>
  <c r="BP185" i="13"/>
  <c r="BP90" i="13"/>
  <c r="AY64" i="13"/>
  <c r="AY228" i="13"/>
  <c r="AY66" i="13"/>
  <c r="AY210" i="13"/>
  <c r="BC210" i="13" s="1"/>
  <c r="AY44" i="13"/>
  <c r="BC44" i="13" s="1"/>
  <c r="AY187" i="13"/>
  <c r="AY33" i="13"/>
  <c r="BC33" i="13" s="1"/>
  <c r="AY177" i="13"/>
  <c r="BC177" i="13" s="1"/>
  <c r="AY40" i="13"/>
  <c r="BC40" i="13" s="1"/>
  <c r="AY183" i="13"/>
  <c r="AY41" i="13"/>
  <c r="BC41" i="13" s="1"/>
  <c r="AY184" i="13"/>
  <c r="BC184" i="13" s="1"/>
  <c r="AY52" i="13"/>
  <c r="BC52" i="13" s="1"/>
  <c r="AY201" i="13"/>
  <c r="BC201" i="13" s="1"/>
  <c r="AY28" i="13"/>
  <c r="BC28" i="13" s="1"/>
  <c r="AY103" i="13"/>
  <c r="BC103" i="13" s="1"/>
  <c r="AY170" i="13"/>
  <c r="BC170" i="13" s="1"/>
  <c r="AY264" i="13"/>
  <c r="BC264" i="13" s="1"/>
  <c r="AY332" i="13"/>
  <c r="BC332" i="13" s="1"/>
  <c r="AY69" i="13"/>
  <c r="BC69" i="13" s="1"/>
  <c r="AY143" i="13"/>
  <c r="AY229" i="13"/>
  <c r="AY308" i="13"/>
  <c r="AY38" i="13"/>
  <c r="BC38" i="13" s="1"/>
  <c r="AY112" i="13"/>
  <c r="BC112" i="13" s="1"/>
  <c r="AY181" i="13"/>
  <c r="BC181" i="13" s="1"/>
  <c r="AY277" i="13"/>
  <c r="BC277" i="13" s="1"/>
  <c r="AY227" i="13"/>
  <c r="AY306" i="13"/>
  <c r="AY39" i="13"/>
  <c r="BC39" i="13" s="1"/>
  <c r="AY113" i="13"/>
  <c r="BC113" i="13" s="1"/>
  <c r="AY182" i="13"/>
  <c r="BC182" i="13" s="1"/>
  <c r="AY278" i="13"/>
  <c r="BC278" i="13" s="1"/>
  <c r="AY318" i="13"/>
  <c r="BI67" i="13"/>
  <c r="BI199" i="13"/>
  <c r="BM199" i="13" s="1"/>
  <c r="BI117" i="13"/>
  <c r="BI95" i="13"/>
  <c r="BM95" i="13" s="1"/>
  <c r="BI30" i="13"/>
  <c r="BI127" i="13"/>
  <c r="BI28" i="13"/>
  <c r="BM28" i="13" s="1"/>
  <c r="BI119" i="13"/>
  <c r="BI31" i="13"/>
  <c r="BI111" i="13"/>
  <c r="BM111" i="13" s="1"/>
  <c r="BI26" i="13"/>
  <c r="BM26" i="13" s="1"/>
  <c r="BI105" i="13"/>
  <c r="BI21" i="13"/>
  <c r="BM21" i="13" s="1"/>
  <c r="BI113" i="13"/>
  <c r="BM113" i="13" s="1"/>
  <c r="BI24" i="13"/>
  <c r="BI135" i="13"/>
  <c r="BI114" i="13"/>
  <c r="BI183" i="13"/>
  <c r="BI279" i="13"/>
  <c r="BM279" i="13" s="1"/>
  <c r="BI96" i="13"/>
  <c r="BI163" i="13"/>
  <c r="BM163" i="13" s="1"/>
  <c r="BI255" i="13"/>
  <c r="BI323" i="13"/>
  <c r="BM323" i="13" s="1"/>
  <c r="BI150" i="13"/>
  <c r="BM150" i="13" s="1"/>
  <c r="BI235" i="13"/>
  <c r="BI215" i="13"/>
  <c r="BI126" i="13"/>
  <c r="BI201" i="13"/>
  <c r="BI291" i="13"/>
  <c r="BI129" i="13"/>
  <c r="BM129" i="13" s="1"/>
  <c r="BI205" i="13"/>
  <c r="BM205" i="13" s="1"/>
  <c r="BI294" i="13"/>
  <c r="BM294" i="13" s="1"/>
  <c r="BI116" i="13"/>
  <c r="BM116" i="13" s="1"/>
  <c r="BI185" i="13"/>
  <c r="BM185" i="13" s="1"/>
  <c r="BI281" i="13"/>
  <c r="BM281" i="13" s="1"/>
  <c r="BI318" i="13"/>
  <c r="BM318" i="13" s="1"/>
  <c r="BP73" i="13"/>
  <c r="BP100" i="13"/>
  <c r="BP85" i="13"/>
  <c r="AZ222" i="13"/>
  <c r="AZ64" i="13"/>
  <c r="AZ29" i="13"/>
  <c r="AZ34" i="13"/>
  <c r="AZ183" i="13"/>
  <c r="AZ66" i="13"/>
  <c r="AZ27" i="13"/>
  <c r="AZ122" i="13"/>
  <c r="AZ55" i="13"/>
  <c r="AZ106" i="13"/>
  <c r="AZ45" i="13"/>
  <c r="AZ152" i="13"/>
  <c r="AZ237" i="13"/>
  <c r="AZ217" i="13"/>
  <c r="AZ136" i="13"/>
  <c r="AZ212" i="13"/>
  <c r="AZ303" i="13"/>
  <c r="AZ131" i="13"/>
  <c r="AZ207" i="13"/>
  <c r="AZ297" i="13"/>
  <c r="AZ110" i="13"/>
  <c r="AZ179" i="13"/>
  <c r="AZ275" i="13"/>
  <c r="AZ339" i="13"/>
  <c r="AZ156" i="13"/>
  <c r="AZ245" i="13"/>
  <c r="AZ221" i="13"/>
  <c r="AZ151" i="13"/>
  <c r="AZ236" i="13"/>
  <c r="AZ216" i="13"/>
  <c r="AZ127" i="13"/>
  <c r="AZ203" i="13"/>
  <c r="AZ189" i="13"/>
  <c r="BJ158" i="13"/>
  <c r="BJ331" i="13"/>
  <c r="BJ209" i="13"/>
  <c r="BJ41" i="13"/>
  <c r="BJ117" i="13"/>
  <c r="BJ176" i="13"/>
  <c r="BJ229" i="13"/>
  <c r="BJ62" i="13"/>
  <c r="BJ136" i="13"/>
  <c r="BJ212" i="13"/>
  <c r="BJ44" i="13"/>
  <c r="BJ118" i="13"/>
  <c r="BJ187" i="13"/>
  <c r="BJ22" i="13"/>
  <c r="BJ97" i="13"/>
  <c r="BJ321" i="13"/>
  <c r="BJ151" i="13"/>
  <c r="BJ255" i="13"/>
  <c r="BJ53" i="13"/>
  <c r="BJ127" i="13"/>
  <c r="BJ203" i="13"/>
  <c r="BJ31" i="13"/>
  <c r="BJ106" i="13"/>
  <c r="BJ174" i="13"/>
  <c r="BJ235" i="13"/>
  <c r="BJ215" i="13"/>
  <c r="BJ278" i="13"/>
  <c r="BJ236" i="13"/>
  <c r="BJ216" i="13"/>
  <c r="BJ234" i="13"/>
  <c r="BJ316" i="13"/>
  <c r="BJ282" i="13"/>
  <c r="BJ317" i="13"/>
  <c r="BP289" i="13"/>
  <c r="BD157" i="13"/>
  <c r="BH157" i="13" s="1"/>
  <c r="BD197" i="13"/>
  <c r="BH197" i="13" s="1"/>
  <c r="BD41" i="13"/>
  <c r="BH41" i="13" s="1"/>
  <c r="BD106" i="13"/>
  <c r="BH106" i="13" s="1"/>
  <c r="BD176" i="13"/>
  <c r="BH176" i="13" s="1"/>
  <c r="BD24" i="13"/>
  <c r="BH24" i="13" s="1"/>
  <c r="BD34" i="13"/>
  <c r="BH34" i="13" s="1"/>
  <c r="BD109" i="13"/>
  <c r="BH109" i="13" s="1"/>
  <c r="BD178" i="13"/>
  <c r="BH178" i="13" s="1"/>
  <c r="BD273" i="13"/>
  <c r="BH273" i="13" s="1"/>
  <c r="BD338" i="13"/>
  <c r="BH338" i="13" s="1"/>
  <c r="BD72" i="13"/>
  <c r="BH72" i="13" s="1"/>
  <c r="BD146" i="13"/>
  <c r="BH146" i="13" s="1"/>
  <c r="BD232" i="13"/>
  <c r="BH232" i="13" s="1"/>
  <c r="BD314" i="13"/>
  <c r="BH314" i="13" s="1"/>
  <c r="BD297" i="13"/>
  <c r="BH297" i="13" s="1"/>
  <c r="BD27" i="13"/>
  <c r="BH27" i="13" s="1"/>
  <c r="BD102" i="13"/>
  <c r="BH102" i="13" s="1"/>
  <c r="BD169" i="13"/>
  <c r="BH169" i="13" s="1"/>
  <c r="BD263" i="13"/>
  <c r="BH263" i="13" s="1"/>
  <c r="BD331" i="13"/>
  <c r="BH331" i="13" s="1"/>
  <c r="BD63" i="13"/>
  <c r="BH63" i="13" s="1"/>
  <c r="BD137" i="13"/>
  <c r="BH137" i="13" s="1"/>
  <c r="BD213" i="13"/>
  <c r="BH213" i="13" s="1"/>
  <c r="BD304" i="13"/>
  <c r="BH304" i="13" s="1"/>
  <c r="BD42" i="13"/>
  <c r="BH42" i="13" s="1"/>
  <c r="BD116" i="13"/>
  <c r="BH116" i="13" s="1"/>
  <c r="BD185" i="13"/>
  <c r="BH185" i="13" s="1"/>
  <c r="BD281" i="13"/>
  <c r="BH281" i="13" s="1"/>
  <c r="BD12" i="13"/>
  <c r="BH12" i="13" s="1"/>
  <c r="BD83" i="13"/>
  <c r="BH83" i="13" s="1"/>
  <c r="BD154" i="13"/>
  <c r="BH154" i="13" s="1"/>
  <c r="BD240" i="13"/>
  <c r="BH240" i="13" s="1"/>
  <c r="BD219" i="13"/>
  <c r="BH219" i="13" s="1"/>
  <c r="BD189" i="13"/>
  <c r="BH189" i="13" s="1"/>
  <c r="BP37" i="13"/>
  <c r="BP111" i="13"/>
  <c r="BP180" i="13"/>
  <c r="BP276" i="13"/>
  <c r="BP40" i="13"/>
  <c r="BP114" i="13"/>
  <c r="BP183" i="13"/>
  <c r="BP279" i="13"/>
  <c r="BP51" i="13"/>
  <c r="BP125" i="13"/>
  <c r="BP199" i="13"/>
  <c r="BP54" i="13"/>
  <c r="BP128" i="13"/>
  <c r="BP204" i="13"/>
  <c r="BP293" i="13"/>
  <c r="BP49" i="13"/>
  <c r="BP123" i="13"/>
  <c r="BP197" i="13"/>
  <c r="BP288" i="13"/>
  <c r="BP36" i="13"/>
  <c r="BP110" i="13"/>
  <c r="BP179" i="13"/>
  <c r="BP275" i="13"/>
  <c r="BP121" i="13"/>
  <c r="BP195" i="13"/>
  <c r="BP286" i="13"/>
  <c r="BP324" i="13"/>
  <c r="BP305" i="13"/>
  <c r="BP327" i="13"/>
  <c r="BB193" i="13"/>
  <c r="AY239" i="13"/>
  <c r="AY167" i="13"/>
  <c r="BP63" i="13"/>
  <c r="BP50" i="13"/>
  <c r="AY87" i="13"/>
  <c r="BC87" i="13" s="1"/>
  <c r="AY246" i="13"/>
  <c r="BC246" i="13" s="1"/>
  <c r="AY89" i="13"/>
  <c r="BC89" i="13" s="1"/>
  <c r="AY236" i="13"/>
  <c r="AY60" i="13"/>
  <c r="BC60" i="13" s="1"/>
  <c r="AY230" i="13"/>
  <c r="BC230" i="13" s="1"/>
  <c r="AY50" i="13"/>
  <c r="AY198" i="13"/>
  <c r="BC198" i="13" s="1"/>
  <c r="AY56" i="13"/>
  <c r="BC56" i="13" s="1"/>
  <c r="AY206" i="13"/>
  <c r="AY57" i="13"/>
  <c r="AY207" i="13"/>
  <c r="AY70" i="13"/>
  <c r="BC70" i="13" s="1"/>
  <c r="AY214" i="13"/>
  <c r="BC214" i="13" s="1"/>
  <c r="AY37" i="13"/>
  <c r="AY111" i="13"/>
  <c r="BC111" i="13" s="1"/>
  <c r="AY180" i="13"/>
  <c r="BC180" i="13" s="1"/>
  <c r="AY276" i="13"/>
  <c r="BC276" i="13" s="1"/>
  <c r="AY340" i="13"/>
  <c r="BC340" i="13" s="1"/>
  <c r="AY78" i="13"/>
  <c r="AY152" i="13"/>
  <c r="AY237" i="13"/>
  <c r="AY217" i="13"/>
  <c r="AY46" i="13"/>
  <c r="BC46" i="13" s="1"/>
  <c r="AY120" i="13"/>
  <c r="BC120" i="13" s="1"/>
  <c r="AY194" i="13"/>
  <c r="BC194" i="13" s="1"/>
  <c r="AY285" i="13"/>
  <c r="BC285" i="13" s="1"/>
  <c r="AY235" i="13"/>
  <c r="BC235" i="13" s="1"/>
  <c r="AY215" i="13"/>
  <c r="BC215" i="13" s="1"/>
  <c r="AY47" i="13"/>
  <c r="AY121" i="13"/>
  <c r="BC121" i="13" s="1"/>
  <c r="AY195" i="13"/>
  <c r="BC195" i="13" s="1"/>
  <c r="AY286" i="13"/>
  <c r="BC286" i="13" s="1"/>
  <c r="AY190" i="13"/>
  <c r="BC190" i="13" s="1"/>
  <c r="BI186" i="13"/>
  <c r="BM186" i="13" s="1"/>
  <c r="BI27" i="13"/>
  <c r="BM27" i="13" s="1"/>
  <c r="BI282" i="13"/>
  <c r="BI237" i="13"/>
  <c r="BM237" i="13" s="1"/>
  <c r="BI39" i="13"/>
  <c r="BM39" i="13" s="1"/>
  <c r="BI162" i="13"/>
  <c r="BM162" i="13" s="1"/>
  <c r="BI37" i="13"/>
  <c r="BM37" i="13" s="1"/>
  <c r="BI154" i="13"/>
  <c r="BM154" i="13" s="1"/>
  <c r="BI40" i="13"/>
  <c r="BI143" i="13"/>
  <c r="BI34" i="13"/>
  <c r="BM34" i="13" s="1"/>
  <c r="BI145" i="13"/>
  <c r="BM145" i="13" s="1"/>
  <c r="BI29" i="13"/>
  <c r="BM29" i="13" s="1"/>
  <c r="BI133" i="13"/>
  <c r="BM133" i="13" s="1"/>
  <c r="BI32" i="13"/>
  <c r="BI170" i="13"/>
  <c r="BM170" i="13" s="1"/>
  <c r="BI122" i="13"/>
  <c r="BI196" i="13"/>
  <c r="BI287" i="13"/>
  <c r="BM287" i="13" s="1"/>
  <c r="BI104" i="13"/>
  <c r="BM104" i="13" s="1"/>
  <c r="BI171" i="13"/>
  <c r="BM171" i="13" s="1"/>
  <c r="BI333" i="13"/>
  <c r="BM333" i="13" s="1"/>
  <c r="BI158" i="13"/>
  <c r="BI249" i="13"/>
  <c r="BI223" i="13"/>
  <c r="BI134" i="13"/>
  <c r="BM134" i="13" s="1"/>
  <c r="BI210" i="13"/>
  <c r="BM210" i="13" s="1"/>
  <c r="BI300" i="13"/>
  <c r="BM300" i="13" s="1"/>
  <c r="BI137" i="13"/>
  <c r="BM137" i="13" s="1"/>
  <c r="BI213" i="13"/>
  <c r="BM213" i="13" s="1"/>
  <c r="BI304" i="13"/>
  <c r="BM304" i="13" s="1"/>
  <c r="BI124" i="13"/>
  <c r="BM124" i="13" s="1"/>
  <c r="BI198" i="13"/>
  <c r="BM198" i="13" s="1"/>
  <c r="BI289" i="13"/>
  <c r="BM289" i="13" s="1"/>
  <c r="BI190" i="13"/>
  <c r="BM190" i="13" s="1"/>
  <c r="BP25" i="13"/>
  <c r="AE346" i="12"/>
  <c r="K7" i="22" s="1"/>
  <c r="AH346" i="12"/>
  <c r="AI346" i="12" s="1"/>
  <c r="AZ25" i="13"/>
  <c r="AZ42" i="13"/>
  <c r="AZ67" i="13"/>
  <c r="AZ43" i="13"/>
  <c r="AZ279" i="13"/>
  <c r="AZ75" i="13"/>
  <c r="AZ36" i="13"/>
  <c r="AZ196" i="13"/>
  <c r="AZ63" i="13"/>
  <c r="AZ174" i="13"/>
  <c r="AZ53" i="13"/>
  <c r="AZ91" i="13"/>
  <c r="AZ160" i="13"/>
  <c r="AZ251" i="13"/>
  <c r="AZ320" i="13"/>
  <c r="AZ146" i="13"/>
  <c r="AZ232" i="13"/>
  <c r="AZ314" i="13"/>
  <c r="AZ139" i="13"/>
  <c r="AZ227" i="13"/>
  <c r="AZ306" i="13"/>
  <c r="AZ118" i="13"/>
  <c r="AZ187" i="13"/>
  <c r="AZ283" i="13"/>
  <c r="BC283" i="13" s="1"/>
  <c r="AZ97" i="13"/>
  <c r="AZ256" i="13"/>
  <c r="AZ324" i="13"/>
  <c r="AZ159" i="13"/>
  <c r="AZ250" i="13"/>
  <c r="AZ225" i="13"/>
  <c r="AZ135" i="13"/>
  <c r="AZ211" i="13"/>
  <c r="AZ301" i="13"/>
  <c r="AZ318" i="13"/>
  <c r="BJ24" i="13"/>
  <c r="BJ57" i="13"/>
  <c r="BJ18" i="13"/>
  <c r="BJ75" i="13"/>
  <c r="BJ152" i="13"/>
  <c r="BJ227" i="13"/>
  <c r="BJ275" i="13"/>
  <c r="BJ72" i="13"/>
  <c r="BJ146" i="13"/>
  <c r="BJ232" i="13"/>
  <c r="BJ52" i="13"/>
  <c r="BJ126" i="13"/>
  <c r="BJ201" i="13"/>
  <c r="BJ30" i="13"/>
  <c r="BJ105" i="13"/>
  <c r="BJ172" i="13"/>
  <c r="BJ17" i="13"/>
  <c r="BJ90" i="13"/>
  <c r="BJ159" i="13"/>
  <c r="BJ293" i="13"/>
  <c r="BJ61" i="13"/>
  <c r="BJ135" i="13"/>
  <c r="BJ211" i="13"/>
  <c r="BJ40" i="13"/>
  <c r="BJ114" i="13"/>
  <c r="BJ183" i="13"/>
  <c r="BJ249" i="13"/>
  <c r="BJ223" i="13"/>
  <c r="BJ286" i="13"/>
  <c r="BJ250" i="13"/>
  <c r="BJ225" i="13"/>
  <c r="BJ246" i="13"/>
  <c r="BJ222" i="13"/>
  <c r="BJ189" i="13"/>
  <c r="BP198" i="13"/>
  <c r="BD196" i="13"/>
  <c r="BH196" i="13" s="1"/>
  <c r="BD249" i="13"/>
  <c r="BH249" i="13" s="1"/>
  <c r="BD75" i="13"/>
  <c r="BH75" i="13" s="1"/>
  <c r="BD138" i="13"/>
  <c r="BH138" i="13" s="1"/>
  <c r="BD227" i="13"/>
  <c r="BH227" i="13" s="1"/>
  <c r="BD57" i="13"/>
  <c r="BH57" i="13" s="1"/>
  <c r="BD43" i="13"/>
  <c r="BH43" i="13" s="1"/>
  <c r="BD117" i="13"/>
  <c r="BH117" i="13" s="1"/>
  <c r="BD186" i="13"/>
  <c r="BH186" i="13" s="1"/>
  <c r="BD282" i="13"/>
  <c r="BH282" i="13" s="1"/>
  <c r="BD13" i="13"/>
  <c r="BH13" i="13" s="1"/>
  <c r="BD84" i="13"/>
  <c r="BH84" i="13" s="1"/>
  <c r="BD155" i="13"/>
  <c r="BH155" i="13" s="1"/>
  <c r="BD243" i="13"/>
  <c r="BH243" i="13" s="1"/>
  <c r="BD220" i="13"/>
  <c r="BH220" i="13" s="1"/>
  <c r="BD306" i="13"/>
  <c r="BH306" i="13" s="1"/>
  <c r="BD36" i="13"/>
  <c r="BH36" i="13" s="1"/>
  <c r="BD110" i="13"/>
  <c r="BH110" i="13" s="1"/>
  <c r="BD179" i="13"/>
  <c r="BH179" i="13" s="1"/>
  <c r="BD275" i="13"/>
  <c r="BH275" i="13" s="1"/>
  <c r="BD339" i="13"/>
  <c r="BH339" i="13" s="1"/>
  <c r="BD73" i="13"/>
  <c r="BH73" i="13" s="1"/>
  <c r="BD147" i="13"/>
  <c r="BH147" i="13" s="1"/>
  <c r="BD233" i="13"/>
  <c r="BH233" i="13" s="1"/>
  <c r="BD315" i="13"/>
  <c r="BH315" i="13" s="1"/>
  <c r="BD50" i="13"/>
  <c r="BH50" i="13" s="1"/>
  <c r="BD124" i="13"/>
  <c r="BH124" i="13" s="1"/>
  <c r="BD198" i="13"/>
  <c r="BH198" i="13" s="1"/>
  <c r="BD289" i="13"/>
  <c r="BH289" i="13" s="1"/>
  <c r="BD20" i="13"/>
  <c r="BH20" i="13" s="1"/>
  <c r="BD95" i="13"/>
  <c r="BH95" i="13" s="1"/>
  <c r="BD162" i="13"/>
  <c r="BH162" i="13" s="1"/>
  <c r="BD253" i="13"/>
  <c r="BH253" i="13" s="1"/>
  <c r="BD322" i="13"/>
  <c r="BH322" i="13" s="1"/>
  <c r="BD305" i="13"/>
  <c r="BH305" i="13" s="1"/>
  <c r="BD318" i="13"/>
  <c r="BH318" i="13" s="1"/>
  <c r="BP45" i="13"/>
  <c r="BP119" i="13"/>
  <c r="BP192" i="13"/>
  <c r="BP48" i="13"/>
  <c r="BP122" i="13"/>
  <c r="BP196" i="13"/>
  <c r="BP287" i="13"/>
  <c r="BP59" i="13"/>
  <c r="BP133" i="13"/>
  <c r="BP209" i="13"/>
  <c r="BP314" i="13"/>
  <c r="BP62" i="13"/>
  <c r="BP136" i="13"/>
  <c r="BP212" i="13"/>
  <c r="BP300" i="13"/>
  <c r="BP57" i="13"/>
  <c r="BP131" i="13"/>
  <c r="BP207" i="13"/>
  <c r="BP297" i="13"/>
  <c r="BP44" i="13"/>
  <c r="BP118" i="13"/>
  <c r="BP187" i="13"/>
  <c r="BP283" i="13"/>
  <c r="BP129" i="13"/>
  <c r="BP205" i="13"/>
  <c r="BP294" i="13"/>
  <c r="BP334" i="13"/>
  <c r="BP316" i="13"/>
  <c r="BP336" i="13"/>
  <c r="BP167" i="13"/>
  <c r="BF193" i="13"/>
  <c r="BA193" i="13"/>
  <c r="BL193" i="13"/>
  <c r="BP239" i="13"/>
  <c r="BA35" i="13" l="1"/>
  <c r="BA284" i="13"/>
  <c r="BI247" i="13"/>
  <c r="U15" i="18"/>
  <c r="V15" i="18"/>
  <c r="BA319" i="13"/>
  <c r="AY266" i="13"/>
  <c r="AY247" i="13"/>
  <c r="BH173" i="13"/>
  <c r="BK292" i="13"/>
  <c r="T20" i="22"/>
  <c r="T27" i="22" s="1"/>
  <c r="T28" i="22" s="1"/>
  <c r="BI164" i="13"/>
  <c r="BE292" i="13"/>
  <c r="BA313" i="13"/>
  <c r="BK302" i="13"/>
  <c r="BI10" i="13"/>
  <c r="BH268" i="13"/>
  <c r="AZ188" i="13"/>
  <c r="W3" i="13"/>
  <c r="BE242" i="13"/>
  <c r="AZ290" i="13"/>
  <c r="AY166" i="13"/>
  <c r="BB226" i="13"/>
  <c r="BP247" i="13"/>
  <c r="BE10" i="13"/>
  <c r="AY10" i="13"/>
  <c r="BC10" i="13" s="1"/>
  <c r="BL88" i="13"/>
  <c r="BI94" i="13"/>
  <c r="BJ266" i="13"/>
  <c r="AY326" i="13"/>
  <c r="BA188" i="13"/>
  <c r="BD247" i="13"/>
  <c r="BE319" i="13"/>
  <c r="AM3" i="13"/>
  <c r="Y3" i="13"/>
  <c r="AY302" i="13"/>
  <c r="AZ248" i="13"/>
  <c r="S20" i="22"/>
  <c r="S27" i="22" s="1"/>
  <c r="S28" i="22" s="1"/>
  <c r="T30" i="22" s="1"/>
  <c r="BM310" i="13"/>
  <c r="BK247" i="13"/>
  <c r="BB313" i="13"/>
  <c r="AY142" i="13"/>
  <c r="AT3" i="13"/>
  <c r="BG326" i="13"/>
  <c r="BI271" i="13"/>
  <c r="AY328" i="13"/>
  <c r="BI242" i="13"/>
  <c r="BK269" i="13"/>
  <c r="BE266" i="13"/>
  <c r="BM299" i="13"/>
  <c r="BD260" i="13"/>
  <c r="BH260" i="13" s="1"/>
  <c r="L14" i="22"/>
  <c r="Q3" i="13"/>
  <c r="BL328" i="13"/>
  <c r="BG10" i="13"/>
  <c r="BC239" i="13"/>
  <c r="BC229" i="13"/>
  <c r="BP319" i="13"/>
  <c r="BI313" i="13"/>
  <c r="BJ82" i="13"/>
  <c r="BB35" i="13"/>
  <c r="BC35" i="13" s="1"/>
  <c r="BG260" i="13"/>
  <c r="BK319" i="13"/>
  <c r="BA248" i="13"/>
  <c r="BF302" i="13"/>
  <c r="BK10" i="13"/>
  <c r="BM10" i="13" s="1"/>
  <c r="BG248" i="13"/>
  <c r="BF326" i="13"/>
  <c r="BM239" i="13"/>
  <c r="BM122" i="13"/>
  <c r="BG302" i="13"/>
  <c r="BD296" i="13"/>
  <c r="BE88" i="13"/>
  <c r="BG142" i="13"/>
  <c r="BL248" i="13"/>
  <c r="AZ142" i="13"/>
  <c r="BF260" i="13"/>
  <c r="BG76" i="13"/>
  <c r="BF313" i="13"/>
  <c r="V3" i="13"/>
  <c r="BM173" i="13"/>
  <c r="AY248" i="13"/>
  <c r="BL296" i="13"/>
  <c r="BB248" i="13"/>
  <c r="BI248" i="13"/>
  <c r="BF319" i="13"/>
  <c r="BP248" i="13"/>
  <c r="BF248" i="13"/>
  <c r="BK248" i="13"/>
  <c r="BE248" i="13"/>
  <c r="BD248" i="13"/>
  <c r="BF140" i="13"/>
  <c r="BL77" i="13"/>
  <c r="BE76" i="13"/>
  <c r="BJ274" i="13"/>
  <c r="BJ248" i="13"/>
  <c r="BF88" i="13"/>
  <c r="BA142" i="13"/>
  <c r="AZ140" i="13"/>
  <c r="BF295" i="13"/>
  <c r="AZ242" i="13"/>
  <c r="BB200" i="13"/>
  <c r="BI191" i="13"/>
  <c r="BD164" i="13"/>
  <c r="AZ262" i="13"/>
  <c r="BA200" i="13"/>
  <c r="BI319" i="13"/>
  <c r="BL319" i="13"/>
  <c r="BL92" i="13"/>
  <c r="BD269" i="13"/>
  <c r="BB319" i="13"/>
  <c r="AZ319" i="13"/>
  <c r="BD319" i="13"/>
  <c r="BI142" i="13"/>
  <c r="BL313" i="13"/>
  <c r="BC173" i="13"/>
  <c r="BA296" i="13"/>
  <c r="BG319" i="13"/>
  <c r="BJ319" i="13"/>
  <c r="BG200" i="13"/>
  <c r="BL202" i="13"/>
  <c r="BP296" i="13"/>
  <c r="BG271" i="13"/>
  <c r="AZ302" i="13"/>
  <c r="BP313" i="13"/>
  <c r="BJ296" i="13"/>
  <c r="BF296" i="13"/>
  <c r="AZ296" i="13"/>
  <c r="BG296" i="13"/>
  <c r="BI296" i="13"/>
  <c r="BC16" i="13"/>
  <c r="BK296" i="13"/>
  <c r="BB296" i="13"/>
  <c r="AY296" i="13"/>
  <c r="BE296" i="13"/>
  <c r="BC287" i="13"/>
  <c r="BM247" i="13"/>
  <c r="BE188" i="13"/>
  <c r="BM308" i="13"/>
  <c r="M3" i="13"/>
  <c r="BB302" i="13"/>
  <c r="BM149" i="13"/>
  <c r="BM13" i="13"/>
  <c r="BC133" i="13"/>
  <c r="BC243" i="13"/>
  <c r="BC73" i="13"/>
  <c r="BL254" i="13"/>
  <c r="BC247" i="13"/>
  <c r="BK188" i="13"/>
  <c r="BD188" i="13"/>
  <c r="BI302" i="13"/>
  <c r="AY313" i="13"/>
  <c r="BC313" i="13" s="1"/>
  <c r="BH247" i="13"/>
  <c r="BG266" i="13"/>
  <c r="BA302" i="13"/>
  <c r="BJ302" i="13"/>
  <c r="BG313" i="13"/>
  <c r="BL94" i="13"/>
  <c r="BP302" i="13"/>
  <c r="BJ313" i="13"/>
  <c r="BJ142" i="13"/>
  <c r="BD302" i="13"/>
  <c r="BE313" i="13"/>
  <c r="BC149" i="13"/>
  <c r="BM263" i="13"/>
  <c r="BC14" i="13"/>
  <c r="BD326" i="13"/>
  <c r="BI274" i="13"/>
  <c r="BE302" i="13"/>
  <c r="V20" i="22"/>
  <c r="V27" i="22" s="1"/>
  <c r="V28" i="22" s="1"/>
  <c r="W30" i="22" s="1"/>
  <c r="BC20" i="13"/>
  <c r="BL302" i="13"/>
  <c r="BK313" i="13"/>
  <c r="BD313" i="13"/>
  <c r="BC148" i="13"/>
  <c r="BC117" i="13"/>
  <c r="BC300" i="13"/>
  <c r="AY82" i="13"/>
  <c r="BJ244" i="13"/>
  <c r="AY188" i="13"/>
  <c r="BG188" i="13"/>
  <c r="BK94" i="13"/>
  <c r="BD94" i="13"/>
  <c r="AY94" i="13"/>
  <c r="BJ94" i="13"/>
  <c r="BM243" i="13"/>
  <c r="BM101" i="13"/>
  <c r="BC105" i="13"/>
  <c r="BC154" i="13"/>
  <c r="AZ166" i="13"/>
  <c r="BB82" i="13"/>
  <c r="BG191" i="13"/>
  <c r="BJ92" i="13"/>
  <c r="BE244" i="13"/>
  <c r="BI311" i="13"/>
  <c r="BE65" i="13"/>
  <c r="BL65" i="13"/>
  <c r="BK142" i="13"/>
  <c r="BL269" i="13"/>
  <c r="BA326" i="13"/>
  <c r="BP188" i="13"/>
  <c r="BE94" i="13"/>
  <c r="BB274" i="13"/>
  <c r="BC57" i="13"/>
  <c r="BM138" i="13"/>
  <c r="J3" i="13"/>
  <c r="AL3" i="13"/>
  <c r="BI284" i="13"/>
  <c r="BI269" i="13"/>
  <c r="BP94" i="13"/>
  <c r="BA274" i="13"/>
  <c r="BB142" i="13"/>
  <c r="BE260" i="13"/>
  <c r="BL326" i="13"/>
  <c r="AZ274" i="13"/>
  <c r="BC236" i="13"/>
  <c r="BM158" i="13"/>
  <c r="BC333" i="13"/>
  <c r="BM71" i="13"/>
  <c r="O3" i="13"/>
  <c r="BK80" i="13"/>
  <c r="BB94" i="13"/>
  <c r="AY274" i="13"/>
  <c r="BP274" i="13"/>
  <c r="BK274" i="13"/>
  <c r="AA14" i="22"/>
  <c r="BD77" i="13"/>
  <c r="BJ188" i="13"/>
  <c r="BF188" i="13"/>
  <c r="BF94" i="13"/>
  <c r="BA94" i="13"/>
  <c r="BG274" i="13"/>
  <c r="BF274" i="13"/>
  <c r="BM108" i="13"/>
  <c r="BM329" i="13"/>
  <c r="BF164" i="13"/>
  <c r="BF262" i="13"/>
  <c r="BG311" i="13"/>
  <c r="BG202" i="13"/>
  <c r="BF269" i="13"/>
  <c r="BB188" i="13"/>
  <c r="BL188" i="13"/>
  <c r="BG94" i="13"/>
  <c r="BL274" i="13"/>
  <c r="BE274" i="13"/>
  <c r="BD274" i="13"/>
  <c r="AY200" i="13"/>
  <c r="AZ202" i="13"/>
  <c r="BI188" i="13"/>
  <c r="AZ94" i="13"/>
  <c r="BC334" i="13"/>
  <c r="BC104" i="13"/>
  <c r="BM42" i="13"/>
  <c r="BC51" i="13"/>
  <c r="BM320" i="13"/>
  <c r="BH35" i="13"/>
  <c r="AZ200" i="13"/>
  <c r="AY202" i="13"/>
  <c r="AZ269" i="13"/>
  <c r="BI326" i="13"/>
  <c r="BM282" i="13"/>
  <c r="BC152" i="13"/>
  <c r="F14" i="22"/>
  <c r="BM30" i="13"/>
  <c r="BC308" i="13"/>
  <c r="BM259" i="13"/>
  <c r="BM50" i="13"/>
  <c r="BM59" i="13"/>
  <c r="BM285" i="13"/>
  <c r="BM253" i="13"/>
  <c r="AG3" i="13"/>
  <c r="BL295" i="13"/>
  <c r="BL290" i="13"/>
  <c r="BB244" i="13"/>
  <c r="BL242" i="13"/>
  <c r="BK200" i="13"/>
  <c r="BE200" i="13"/>
  <c r="BB202" i="13"/>
  <c r="BK202" i="13"/>
  <c r="BB260" i="13"/>
  <c r="AZ266" i="13"/>
  <c r="BF226" i="13"/>
  <c r="BJ328" i="13"/>
  <c r="BB242" i="13"/>
  <c r="BI200" i="13"/>
  <c r="BI202" i="13"/>
  <c r="BJ202" i="13"/>
  <c r="BI260" i="13"/>
  <c r="BK260" i="13"/>
  <c r="BA260" i="13"/>
  <c r="BL260" i="13"/>
  <c r="AZ326" i="13"/>
  <c r="BC209" i="13"/>
  <c r="BM207" i="13"/>
  <c r="BC31" i="13"/>
  <c r="BM69" i="13"/>
  <c r="BC280" i="13"/>
  <c r="BM148" i="13"/>
  <c r="AC3" i="13"/>
  <c r="AB3" i="13"/>
  <c r="BF241" i="13"/>
  <c r="BF200" i="13"/>
  <c r="AY269" i="13"/>
  <c r="AZ260" i="13"/>
  <c r="BK266" i="13"/>
  <c r="BB326" i="13"/>
  <c r="BM283" i="13"/>
  <c r="BM83" i="13"/>
  <c r="BC83" i="13"/>
  <c r="BM217" i="13"/>
  <c r="BC327" i="13"/>
  <c r="BA269" i="13"/>
  <c r="BJ269" i="13"/>
  <c r="AY260" i="13"/>
  <c r="BP266" i="13"/>
  <c r="BP326" i="13"/>
  <c r="BM335" i="13"/>
  <c r="BM324" i="13"/>
  <c r="BC305" i="13"/>
  <c r="AY92" i="13"/>
  <c r="BL76" i="13"/>
  <c r="BL292" i="13"/>
  <c r="BE142" i="13"/>
  <c r="BP200" i="13"/>
  <c r="BF202" i="13"/>
  <c r="BA202" i="13"/>
  <c r="BE269" i="13"/>
  <c r="BP260" i="13"/>
  <c r="BJ260" i="13"/>
  <c r="BD266" i="13"/>
  <c r="BK326" i="13"/>
  <c r="BC249" i="13"/>
  <c r="BC107" i="13"/>
  <c r="T7" i="22"/>
  <c r="AY88" i="13"/>
  <c r="BG88" i="13"/>
  <c r="BD295" i="13"/>
  <c r="BB290" i="13"/>
  <c r="BB92" i="13"/>
  <c r="BA79" i="13"/>
  <c r="BE79" i="13"/>
  <c r="AY244" i="13"/>
  <c r="BL200" i="13"/>
  <c r="BP202" i="13"/>
  <c r="BE202" i="13"/>
  <c r="BP269" i="13"/>
  <c r="BB266" i="13"/>
  <c r="BJ326" i="13"/>
  <c r="BM66" i="13"/>
  <c r="BD200" i="13"/>
  <c r="BJ200" i="13"/>
  <c r="BD202" i="13"/>
  <c r="BM269" i="13"/>
  <c r="BG269" i="13"/>
  <c r="BB269" i="13"/>
  <c r="BI266" i="13"/>
  <c r="BA266" i="13"/>
  <c r="BL266" i="13"/>
  <c r="AK3" i="13"/>
  <c r="AH5" i="13"/>
  <c r="AT5" i="13"/>
  <c r="AP3" i="13"/>
  <c r="U3" i="13"/>
  <c r="AE3" i="13"/>
  <c r="P14" i="22"/>
  <c r="P15" i="22" s="1"/>
  <c r="R3" i="13"/>
  <c r="BP65" i="13"/>
  <c r="BD142" i="13"/>
  <c r="BM155" i="13"/>
  <c r="BC30" i="13"/>
  <c r="BM131" i="13"/>
  <c r="BC158" i="13"/>
  <c r="BC213" i="13"/>
  <c r="BC208" i="13"/>
  <c r="BF77" i="13"/>
  <c r="AN3" i="13"/>
  <c r="Z3" i="13"/>
  <c r="BA290" i="13"/>
  <c r="BK241" i="13"/>
  <c r="BD65" i="13"/>
  <c r="BA65" i="13"/>
  <c r="BM143" i="13"/>
  <c r="BM201" i="13"/>
  <c r="BC187" i="13"/>
  <c r="BM223" i="13"/>
  <c r="BM126" i="13"/>
  <c r="BM337" i="13"/>
  <c r="BC59" i="13"/>
  <c r="BC49" i="13"/>
  <c r="BC335" i="13"/>
  <c r="BM288" i="13"/>
  <c r="BM280" i="13"/>
  <c r="BM64" i="13"/>
  <c r="BC72" i="13"/>
  <c r="BC108" i="13"/>
  <c r="BC58" i="13"/>
  <c r="BC330" i="13"/>
  <c r="BE226" i="13"/>
  <c r="AZ92" i="13"/>
  <c r="AY311" i="13"/>
  <c r="BJ65" i="13"/>
  <c r="BP142" i="13"/>
  <c r="BC206" i="13"/>
  <c r="BM183" i="13"/>
  <c r="BC227" i="13"/>
  <c r="BM32" i="13"/>
  <c r="BM114" i="13"/>
  <c r="BM31" i="13"/>
  <c r="BM67" i="13"/>
  <c r="BM119" i="13"/>
  <c r="J20" i="22"/>
  <c r="J27" i="22" s="1"/>
  <c r="W20" i="22"/>
  <c r="W27" i="22" s="1"/>
  <c r="W28" i="22" s="1"/>
  <c r="X30" i="22" s="1"/>
  <c r="BM272" i="13"/>
  <c r="BC322" i="13"/>
  <c r="BC199" i="13"/>
  <c r="BC153" i="13"/>
  <c r="BM219" i="13"/>
  <c r="BC157" i="13"/>
  <c r="BC338" i="13"/>
  <c r="BM99" i="13"/>
  <c r="BC238" i="13"/>
  <c r="AA7" i="22"/>
  <c r="AA40" i="22" s="1"/>
  <c r="BA140" i="13"/>
  <c r="BL265" i="13"/>
  <c r="I3" i="13"/>
  <c r="H4" i="13" s="1"/>
  <c r="BF244" i="13"/>
  <c r="BD244" i="13"/>
  <c r="BL311" i="13"/>
  <c r="AY65" i="13"/>
  <c r="BL142" i="13"/>
  <c r="BM142" i="13" s="1"/>
  <c r="BM35" i="13"/>
  <c r="BH335" i="13"/>
  <c r="BC281" i="13"/>
  <c r="AO3" i="13"/>
  <c r="AJ3" i="13"/>
  <c r="BG80" i="13"/>
  <c r="P3" i="13"/>
  <c r="X3" i="13"/>
  <c r="W4" i="13" s="1"/>
  <c r="BI265" i="13"/>
  <c r="BB65" i="13"/>
  <c r="AL20" i="22"/>
  <c r="AL27" i="22" s="1"/>
  <c r="AL28" i="22" s="1"/>
  <c r="AM30" i="22" s="1"/>
  <c r="N20" i="22"/>
  <c r="N27" i="22" s="1"/>
  <c r="N28" i="22" s="1"/>
  <c r="O30" i="22" s="1"/>
  <c r="BC162" i="13"/>
  <c r="BM325" i="13"/>
  <c r="BC176" i="13"/>
  <c r="BC124" i="13"/>
  <c r="BM81" i="13"/>
  <c r="BM153" i="13"/>
  <c r="BM160" i="13"/>
  <c r="BC101" i="13"/>
  <c r="BC99" i="13"/>
  <c r="AD3" i="13"/>
  <c r="L3" i="13"/>
  <c r="AS3" i="13"/>
  <c r="S3" i="13"/>
  <c r="BG254" i="13"/>
  <c r="BB254" i="13"/>
  <c r="BI65" i="13"/>
  <c r="BK65" i="13"/>
  <c r="BF142" i="13"/>
  <c r="BM291" i="13"/>
  <c r="BM103" i="13"/>
  <c r="BM257" i="13"/>
  <c r="BC337" i="13"/>
  <c r="BM125" i="13"/>
  <c r="BC336" i="13"/>
  <c r="BC109" i="13"/>
  <c r="BM33" i="13"/>
  <c r="BM309" i="13"/>
  <c r="BM19" i="13"/>
  <c r="BI77" i="13"/>
  <c r="AY68" i="13"/>
  <c r="BG68" i="13"/>
  <c r="BK244" i="13"/>
  <c r="BG328" i="13"/>
  <c r="AZ65" i="13"/>
  <c r="BG65" i="13"/>
  <c r="BM167" i="13"/>
  <c r="BM297" i="13"/>
  <c r="BM230" i="13"/>
  <c r="BM206" i="13"/>
  <c r="BM60" i="13"/>
  <c r="BI80" i="13"/>
  <c r="BD311" i="13"/>
  <c r="BF65" i="13"/>
  <c r="AO4" i="13"/>
  <c r="BM196" i="13"/>
  <c r="BC78" i="13"/>
  <c r="BC207" i="13"/>
  <c r="BM96" i="13"/>
  <c r="BM105" i="13"/>
  <c r="X20" i="22"/>
  <c r="X27" i="22" s="1"/>
  <c r="X28" i="22" s="1"/>
  <c r="Y30" i="22" s="1"/>
  <c r="X21" i="22"/>
  <c r="AP21" i="22"/>
  <c r="AP20" i="22"/>
  <c r="AP27" i="22" s="1"/>
  <c r="AP28" i="22" s="1"/>
  <c r="AQ30" i="22" s="1"/>
  <c r="U20" i="22"/>
  <c r="U27" i="22" s="1"/>
  <c r="U28" i="22" s="1"/>
  <c r="V30" i="22" s="1"/>
  <c r="U21" i="22"/>
  <c r="U22" i="22"/>
  <c r="AG20" i="22"/>
  <c r="AG27" i="22" s="1"/>
  <c r="AG28" i="22" s="1"/>
  <c r="AH30" i="22" s="1"/>
  <c r="AG21" i="22"/>
  <c r="AG22" i="22"/>
  <c r="BM286" i="13"/>
  <c r="BM139" i="13"/>
  <c r="BM89" i="13"/>
  <c r="BC267" i="13"/>
  <c r="BC29" i="13"/>
  <c r="BC95" i="13"/>
  <c r="BC17" i="13"/>
  <c r="K14" i="22"/>
  <c r="K15" i="22" s="1"/>
  <c r="BH293" i="13"/>
  <c r="BC132" i="13"/>
  <c r="BM275" i="13"/>
  <c r="BM146" i="13"/>
  <c r="BM340" i="13"/>
  <c r="BM14" i="13"/>
  <c r="BC22" i="13"/>
  <c r="BC125" i="13"/>
  <c r="BC19" i="13"/>
  <c r="BC11" i="13"/>
  <c r="BM250" i="13"/>
  <c r="BM102" i="13"/>
  <c r="BM246" i="13"/>
  <c r="BC220" i="13"/>
  <c r="BC43" i="13"/>
  <c r="BC131" i="13"/>
  <c r="BM151" i="13"/>
  <c r="BM184" i="13"/>
  <c r="BM301" i="13"/>
  <c r="BM61" i="13"/>
  <c r="BC233" i="13"/>
  <c r="BC61" i="13"/>
  <c r="BC309" i="13"/>
  <c r="AH7" i="22"/>
  <c r="S7" i="22"/>
  <c r="S40" i="22" s="1"/>
  <c r="Q7" i="22"/>
  <c r="Q8" i="22" s="1"/>
  <c r="R11" i="22" s="1"/>
  <c r="AT7" i="22"/>
  <c r="AT8" i="22" s="1"/>
  <c r="AU11" i="22" s="1"/>
  <c r="AM7" i="22"/>
  <c r="BC151" i="13"/>
  <c r="BM156" i="13"/>
  <c r="BM194" i="13"/>
  <c r="BM46" i="13"/>
  <c r="BM55" i="13"/>
  <c r="BC137" i="13"/>
  <c r="BC289" i="13"/>
  <c r="BC270" i="13"/>
  <c r="T14" i="22"/>
  <c r="Z14" i="22"/>
  <c r="AJ14" i="22"/>
  <c r="N14" i="22"/>
  <c r="N15" i="22" s="1"/>
  <c r="O33" i="22" s="1"/>
  <c r="O36" i="22" s="1"/>
  <c r="BJ224" i="13"/>
  <c r="BD224" i="13"/>
  <c r="BI224" i="13"/>
  <c r="BH103" i="13"/>
  <c r="BH323" i="13"/>
  <c r="AZ254" i="13"/>
  <c r="BM233" i="13"/>
  <c r="BM277" i="13"/>
  <c r="BM38" i="13"/>
  <c r="BM47" i="13"/>
  <c r="K5" i="13"/>
  <c r="BC293" i="13"/>
  <c r="BC18" i="13"/>
  <c r="BC252" i="13"/>
  <c r="BC291" i="13"/>
  <c r="BP140" i="13"/>
  <c r="BB140" i="13"/>
  <c r="BB166" i="13"/>
  <c r="BP166" i="13"/>
  <c r="BL166" i="13"/>
  <c r="BJ88" i="13"/>
  <c r="BD88" i="13"/>
  <c r="BA88" i="13"/>
  <c r="AY295" i="13"/>
  <c r="AZ86" i="13"/>
  <c r="BD86" i="13"/>
  <c r="BL284" i="13"/>
  <c r="BL164" i="13"/>
  <c r="AY80" i="13"/>
  <c r="BL80" i="13"/>
  <c r="BL226" i="13"/>
  <c r="BP77" i="13"/>
  <c r="BJ77" i="13"/>
  <c r="AZ82" i="13"/>
  <c r="BA191" i="13"/>
  <c r="BD191" i="13"/>
  <c r="BL68" i="13"/>
  <c r="BB68" i="13"/>
  <c r="BD68" i="13"/>
  <c r="AY290" i="13"/>
  <c r="BC290" i="13" s="1"/>
  <c r="BP92" i="13"/>
  <c r="BA92" i="13"/>
  <c r="BF271" i="13"/>
  <c r="BP79" i="13"/>
  <c r="BB79" i="13"/>
  <c r="BI244" i="13"/>
  <c r="BA292" i="13"/>
  <c r="BP76" i="13"/>
  <c r="BK76" i="13"/>
  <c r="BD241" i="13"/>
  <c r="BL241" i="13"/>
  <c r="BP241" i="13"/>
  <c r="AY262" i="13"/>
  <c r="BM40" i="13"/>
  <c r="BM117" i="13"/>
  <c r="BC306" i="13"/>
  <c r="BC143" i="13"/>
  <c r="Q40" i="22"/>
  <c r="F20" i="22"/>
  <c r="F27" i="22" s="1"/>
  <c r="F28" i="22" s="1"/>
  <c r="G30" i="22" s="1"/>
  <c r="G36" i="22" s="1"/>
  <c r="F21" i="22"/>
  <c r="AU20" i="22"/>
  <c r="AU27" i="22" s="1"/>
  <c r="BM195" i="13"/>
  <c r="BM220" i="13"/>
  <c r="BM16" i="13"/>
  <c r="BM20" i="13"/>
  <c r="BC172" i="13"/>
  <c r="BC299" i="13"/>
  <c r="BC169" i="13"/>
  <c r="BM179" i="13"/>
  <c r="BM78" i="13"/>
  <c r="BC288" i="13"/>
  <c r="BC150" i="13"/>
  <c r="BM159" i="13"/>
  <c r="BM157" i="13"/>
  <c r="BM74" i="13"/>
  <c r="BC189" i="13"/>
  <c r="BC312" i="13"/>
  <c r="BC321" i="13"/>
  <c r="BC185" i="13"/>
  <c r="BM115" i="13"/>
  <c r="BM57" i="13"/>
  <c r="BM63" i="13"/>
  <c r="BC147" i="13"/>
  <c r="BC273" i="13"/>
  <c r="BC118" i="13"/>
  <c r="X7" i="22"/>
  <c r="AB7" i="22"/>
  <c r="AE7" i="22"/>
  <c r="AE40" i="22" s="1"/>
  <c r="G7" i="22"/>
  <c r="G40" i="22" s="1"/>
  <c r="AL7" i="22"/>
  <c r="AL8" i="22" s="1"/>
  <c r="AM11" i="22" s="1"/>
  <c r="H7" i="22"/>
  <c r="BH104" i="13"/>
  <c r="BM218" i="13"/>
  <c r="BM120" i="13"/>
  <c r="BM231" i="13"/>
  <c r="BM44" i="13"/>
  <c r="BC63" i="13"/>
  <c r="BC261" i="13"/>
  <c r="BC110" i="13"/>
  <c r="BC102" i="13"/>
  <c r="AP14" i="22"/>
  <c r="AQ14" i="22"/>
  <c r="AQ15" i="22" s="1"/>
  <c r="R14" i="22"/>
  <c r="AB14" i="22"/>
  <c r="AB15" i="22" s="1"/>
  <c r="BG224" i="13"/>
  <c r="BH28" i="13"/>
  <c r="BH255" i="13"/>
  <c r="BA254" i="13"/>
  <c r="BJ254" i="13"/>
  <c r="BF254" i="13"/>
  <c r="AI3" i="13"/>
  <c r="AI4" i="13" s="1"/>
  <c r="BM147" i="13"/>
  <c r="BM181" i="13"/>
  <c r="BM180" i="13"/>
  <c r="BM11" i="13"/>
  <c r="BC8" i="13"/>
  <c r="BC204" i="13"/>
  <c r="BC192" i="13"/>
  <c r="BC74" i="13"/>
  <c r="BC106" i="13"/>
  <c r="L15" i="22"/>
  <c r="L35" i="22" s="1"/>
  <c r="L37" i="22" s="1"/>
  <c r="BP295" i="13"/>
  <c r="BB86" i="13"/>
  <c r="AY284" i="13"/>
  <c r="BF284" i="13"/>
  <c r="BF80" i="13"/>
  <c r="BP80" i="13"/>
  <c r="AZ265" i="13"/>
  <c r="BI82" i="13"/>
  <c r="BK68" i="13"/>
  <c r="BG164" i="13"/>
  <c r="BK271" i="13"/>
  <c r="BJ271" i="13"/>
  <c r="BF79" i="13"/>
  <c r="BA164" i="13"/>
  <c r="AZ76" i="13"/>
  <c r="BF76" i="13"/>
  <c r="AY241" i="13"/>
  <c r="BG262" i="13"/>
  <c r="K10" i="18"/>
  <c r="K16" i="18"/>
  <c r="BI328" i="13"/>
  <c r="BB328" i="13"/>
  <c r="BG242" i="13"/>
  <c r="BD242" i="13"/>
  <c r="BJ311" i="13"/>
  <c r="AJ21" i="22"/>
  <c r="AJ20" i="22"/>
  <c r="AJ27" i="22" s="1"/>
  <c r="AJ28" i="22" s="1"/>
  <c r="AK30" i="22" s="1"/>
  <c r="K8" i="22"/>
  <c r="L11" i="22" s="1"/>
  <c r="K40" i="22"/>
  <c r="AA20" i="22"/>
  <c r="AA27" i="22" s="1"/>
  <c r="AA28" i="22" s="1"/>
  <c r="AB30" i="22" s="1"/>
  <c r="AA21" i="22"/>
  <c r="L20" i="22"/>
  <c r="L27" i="22" s="1"/>
  <c r="L28" i="22" s="1"/>
  <c r="M30" i="22" s="1"/>
  <c r="L21" i="22"/>
  <c r="P20" i="22"/>
  <c r="P27" i="22" s="1"/>
  <c r="P28" i="22" s="1"/>
  <c r="Q30" i="22" s="1"/>
  <c r="AT20" i="22"/>
  <c r="AT27" i="22" s="1"/>
  <c r="AS20" i="22"/>
  <c r="AS27" i="22" s="1"/>
  <c r="AS21" i="22"/>
  <c r="BM121" i="13"/>
  <c r="BM84" i="13"/>
  <c r="BC179" i="13"/>
  <c r="BC27" i="13"/>
  <c r="BM110" i="13"/>
  <c r="BM338" i="13"/>
  <c r="BC323" i="13"/>
  <c r="BC219" i="13"/>
  <c r="BC32" i="13"/>
  <c r="H14" i="22"/>
  <c r="H15" i="22" s="1"/>
  <c r="H35" i="22" s="1"/>
  <c r="H37" i="22" s="1"/>
  <c r="BM334" i="13"/>
  <c r="BM197" i="13"/>
  <c r="BM332" i="13"/>
  <c r="BC221" i="13"/>
  <c r="BC231" i="13"/>
  <c r="BC130" i="13"/>
  <c r="AH3" i="13"/>
  <c r="BM256" i="13"/>
  <c r="BM293" i="13"/>
  <c r="BM261" i="13"/>
  <c r="BC178" i="13"/>
  <c r="BC126" i="13"/>
  <c r="BC216" i="13"/>
  <c r="AO7" i="22"/>
  <c r="AO40" i="22" s="1"/>
  <c r="AS7" i="22"/>
  <c r="AS8" i="22" s="1"/>
  <c r="AT11" i="22" s="1"/>
  <c r="AP7" i="22"/>
  <c r="AP40" i="22" s="1"/>
  <c r="J7" i="22"/>
  <c r="J8" i="22" s="1"/>
  <c r="K11" i="22" s="1"/>
  <c r="O7" i="22"/>
  <c r="O8" i="22" s="1"/>
  <c r="P11" i="22" s="1"/>
  <c r="BH29" i="13"/>
  <c r="BM9" i="13"/>
  <c r="BM238" i="13"/>
  <c r="BM305" i="13"/>
  <c r="BM52" i="13"/>
  <c r="Y14" i="22"/>
  <c r="Y15" i="22" s="1"/>
  <c r="AH14" i="22"/>
  <c r="AH15" i="22" s="1"/>
  <c r="AI33" i="22" s="1"/>
  <c r="AI36" i="22" s="1"/>
  <c r="W14" i="22"/>
  <c r="W15" i="22" s="1"/>
  <c r="X33" i="22" s="1"/>
  <c r="X36" i="22" s="1"/>
  <c r="AN14" i="22"/>
  <c r="AN15" i="22" s="1"/>
  <c r="BA224" i="13"/>
  <c r="BI254" i="13"/>
  <c r="BP254" i="13"/>
  <c r="BM112" i="13"/>
  <c r="BM43" i="13"/>
  <c r="BC294" i="13"/>
  <c r="BC128" i="13"/>
  <c r="BC119" i="13"/>
  <c r="BG140" i="13"/>
  <c r="BI166" i="13"/>
  <c r="BA86" i="13"/>
  <c r="BP86" i="13"/>
  <c r="BK164" i="13"/>
  <c r="BP164" i="13"/>
  <c r="BJ226" i="13"/>
  <c r="BG77" i="13"/>
  <c r="BJ265" i="13"/>
  <c r="BB265" i="13"/>
  <c r="BG82" i="13"/>
  <c r="BP191" i="13"/>
  <c r="BL191" i="13"/>
  <c r="AU5" i="13"/>
  <c r="AV3" i="13"/>
  <c r="AU3" i="13"/>
  <c r="BP68" i="13"/>
  <c r="BA68" i="13"/>
  <c r="BF290" i="13"/>
  <c r="BC92" i="13"/>
  <c r="BI92" i="13"/>
  <c r="AY271" i="13"/>
  <c r="BI79" i="13"/>
  <c r="BG244" i="13"/>
  <c r="BG295" i="13"/>
  <c r="BA271" i="13"/>
  <c r="BE241" i="13"/>
  <c r="BB241" i="13"/>
  <c r="BA262" i="13"/>
  <c r="BP262" i="13"/>
  <c r="AZ328" i="13"/>
  <c r="BK284" i="13"/>
  <c r="BI292" i="13"/>
  <c r="BB292" i="13"/>
  <c r="AZ292" i="13"/>
  <c r="BA242" i="13"/>
  <c r="BJ242" i="13"/>
  <c r="BP311" i="13"/>
  <c r="U30" i="22"/>
  <c r="BS28" i="22"/>
  <c r="BM249" i="13"/>
  <c r="BM215" i="13"/>
  <c r="AM20" i="22"/>
  <c r="AM27" i="22" s="1"/>
  <c r="AM28" i="22" s="1"/>
  <c r="AN30" i="22" s="1"/>
  <c r="AM21" i="22"/>
  <c r="I21" i="22"/>
  <c r="I22" i="22"/>
  <c r="I20" i="22"/>
  <c r="AB20" i="22"/>
  <c r="AB27" i="22" s="1"/>
  <c r="AB28" i="22" s="1"/>
  <c r="AC30" i="22" s="1"/>
  <c r="BM22" i="13"/>
  <c r="BC36" i="13"/>
  <c r="BC197" i="13"/>
  <c r="BM193" i="13"/>
  <c r="BM165" i="13"/>
  <c r="BM87" i="13"/>
  <c r="BM36" i="13"/>
  <c r="BC255" i="13"/>
  <c r="BC240" i="13"/>
  <c r="BC174" i="13"/>
  <c r="M14" i="22"/>
  <c r="M15" i="22" s="1"/>
  <c r="BC42" i="13"/>
  <c r="BM267" i="13"/>
  <c r="BM123" i="13"/>
  <c r="BC245" i="13"/>
  <c r="BC84" i="13"/>
  <c r="BC145" i="13"/>
  <c r="BC218" i="13"/>
  <c r="BC15" i="13"/>
  <c r="AC14" i="22"/>
  <c r="AC15" i="22" s="1"/>
  <c r="BM321" i="13"/>
  <c r="BM204" i="13"/>
  <c r="BM54" i="13"/>
  <c r="BC115" i="13"/>
  <c r="BC139" i="13"/>
  <c r="AC4" i="13"/>
  <c r="AQ7" i="22"/>
  <c r="AQ8" i="22" s="1"/>
  <c r="AR11" i="22" s="1"/>
  <c r="AF7" i="22"/>
  <c r="AF8" i="22" s="1"/>
  <c r="AG11" i="22" s="1"/>
  <c r="AR7" i="22"/>
  <c r="AR8" i="22" s="1"/>
  <c r="AS11" i="22" s="1"/>
  <c r="AK7" i="22"/>
  <c r="AK8" i="22" s="1"/>
  <c r="AL11" i="22" s="1"/>
  <c r="F7" i="22"/>
  <c r="F40" i="22" s="1"/>
  <c r="F41" i="22" s="1"/>
  <c r="BH8" i="13"/>
  <c r="BM307" i="13"/>
  <c r="BM214" i="13"/>
  <c r="BM229" i="13"/>
  <c r="BC258" i="13"/>
  <c r="BC123" i="13"/>
  <c r="T3" i="13"/>
  <c r="T4" i="13" s="1"/>
  <c r="AD14" i="22"/>
  <c r="AR14" i="22"/>
  <c r="AR15" i="22" s="1"/>
  <c r="AG14" i="22"/>
  <c r="AG15" i="22" s="1"/>
  <c r="AH33" i="22" s="1"/>
  <c r="AH36" i="22" s="1"/>
  <c r="AO14" i="22"/>
  <c r="AO15" i="22" s="1"/>
  <c r="BE224" i="13"/>
  <c r="AZ224" i="13"/>
  <c r="BK254" i="13"/>
  <c r="BM8" i="13"/>
  <c r="BM178" i="13"/>
  <c r="BC205" i="13"/>
  <c r="BC54" i="13"/>
  <c r="BC45" i="13"/>
  <c r="BC67" i="13"/>
  <c r="BK140" i="13"/>
  <c r="BF166" i="13"/>
  <c r="F15" i="22"/>
  <c r="F35" i="22" s="1"/>
  <c r="F37" i="22" s="1"/>
  <c r="BI88" i="13"/>
  <c r="BP88" i="13"/>
  <c r="BG86" i="13"/>
  <c r="BE164" i="13"/>
  <c r="BJ80" i="13"/>
  <c r="BM80" i="13" s="1"/>
  <c r="AF3" i="13"/>
  <c r="AF4" i="13" s="1"/>
  <c r="BP82" i="13"/>
  <c r="BI68" i="13"/>
  <c r="AZ68" i="13"/>
  <c r="BG92" i="13"/>
  <c r="BA265" i="13"/>
  <c r="BJ76" i="13"/>
  <c r="BF328" i="13"/>
  <c r="BF311" i="13"/>
  <c r="BA311" i="13"/>
  <c r="R21" i="22"/>
  <c r="R20" i="22"/>
  <c r="R27" i="22" s="1"/>
  <c r="R28" i="22" s="1"/>
  <c r="S30" i="22" s="1"/>
  <c r="BM135" i="13"/>
  <c r="BC318" i="13"/>
  <c r="BC183" i="13"/>
  <c r="BC228" i="13"/>
  <c r="AM8" i="22"/>
  <c r="AN11" i="22" s="1"/>
  <c r="AM40" i="22"/>
  <c r="T8" i="22"/>
  <c r="U11" i="22" s="1"/>
  <c r="T40" i="22"/>
  <c r="AI20" i="22"/>
  <c r="AI27" i="22" s="1"/>
  <c r="AI28" i="22" s="1"/>
  <c r="AJ30" i="22" s="1"/>
  <c r="G20" i="22"/>
  <c r="G27" i="22" s="1"/>
  <c r="G28" i="22" s="1"/>
  <c r="H30" i="22" s="1"/>
  <c r="H36" i="22" s="1"/>
  <c r="BM187" i="13"/>
  <c r="BM91" i="13"/>
  <c r="BM90" i="13"/>
  <c r="BC297" i="13"/>
  <c r="BC24" i="13"/>
  <c r="BM100" i="13"/>
  <c r="BM98" i="13"/>
  <c r="BM15" i="13"/>
  <c r="BM58" i="13"/>
  <c r="BC163" i="13"/>
  <c r="BC329" i="13"/>
  <c r="BC100" i="13"/>
  <c r="BM172" i="13"/>
  <c r="BM303" i="13"/>
  <c r="BM322" i="13"/>
  <c r="BC156" i="13"/>
  <c r="BC13" i="13"/>
  <c r="BC71" i="13"/>
  <c r="BH239" i="13"/>
  <c r="AL4" i="13"/>
  <c r="BM252" i="13"/>
  <c r="BM128" i="13"/>
  <c r="BM276" i="13"/>
  <c r="BC314" i="13"/>
  <c r="BC34" i="13"/>
  <c r="BC222" i="13"/>
  <c r="AG7" i="22"/>
  <c r="AN7" i="22"/>
  <c r="AN40" i="22" s="1"/>
  <c r="AJ7" i="22"/>
  <c r="AJ40" i="22" s="1"/>
  <c r="M7" i="22"/>
  <c r="M8" i="22" s="1"/>
  <c r="N11" i="22" s="1"/>
  <c r="L7" i="22"/>
  <c r="L40" i="22" s="1"/>
  <c r="N3" i="13"/>
  <c r="N4" i="13" s="1"/>
  <c r="BM228" i="13"/>
  <c r="BM336" i="13"/>
  <c r="BM56" i="13"/>
  <c r="BC303" i="13"/>
  <c r="BC26" i="13"/>
  <c r="BC272" i="13"/>
  <c r="BC307" i="13"/>
  <c r="S14" i="22"/>
  <c r="S15" i="22" s="1"/>
  <c r="T33" i="22" s="1"/>
  <c r="T36" i="22" s="1"/>
  <c r="AK14" i="22"/>
  <c r="AF14" i="22"/>
  <c r="BE254" i="13"/>
  <c r="BM298" i="13"/>
  <c r="BM144" i="13"/>
  <c r="BM130" i="13"/>
  <c r="BM48" i="13"/>
  <c r="BM25" i="13"/>
  <c r="BC129" i="13"/>
  <c r="BC320" i="13"/>
  <c r="BC275" i="13"/>
  <c r="BC250" i="13"/>
  <c r="BC25" i="13"/>
  <c r="BJ140" i="13"/>
  <c r="BL86" i="13"/>
  <c r="AY86" i="13"/>
  <c r="BB284" i="13"/>
  <c r="BJ284" i="13"/>
  <c r="BK226" i="13"/>
  <c r="BE77" i="13"/>
  <c r="BH77" i="13" s="1"/>
  <c r="BB77" i="13"/>
  <c r="BF265" i="13"/>
  <c r="AY265" i="13"/>
  <c r="BF82" i="13"/>
  <c r="BK191" i="13"/>
  <c r="AY191" i="13"/>
  <c r="BE68" i="13"/>
  <c r="BP290" i="13"/>
  <c r="BF92" i="13"/>
  <c r="BK92" i="13"/>
  <c r="BD79" i="13"/>
  <c r="BG79" i="13"/>
  <c r="BA244" i="13"/>
  <c r="BG166" i="13"/>
  <c r="BA166" i="13"/>
  <c r="BC166" i="13" s="1"/>
  <c r="BB76" i="13"/>
  <c r="AY76" i="13"/>
  <c r="BE271" i="13"/>
  <c r="BD262" i="13"/>
  <c r="BL262" i="13"/>
  <c r="BB262" i="13"/>
  <c r="BP328" i="13"/>
  <c r="BK328" i="13"/>
  <c r="BD328" i="13"/>
  <c r="BE328" i="13"/>
  <c r="BE166" i="13"/>
  <c r="BF292" i="13"/>
  <c r="BF242" i="13"/>
  <c r="AO20" i="22"/>
  <c r="AO27" i="22" s="1"/>
  <c r="AO28" i="22" s="1"/>
  <c r="AP30" i="22" s="1"/>
  <c r="BC217" i="13"/>
  <c r="BC37" i="13"/>
  <c r="BC50" i="13"/>
  <c r="BM24" i="13"/>
  <c r="BC64" i="13"/>
  <c r="O14" i="22"/>
  <c r="O15" i="22" s="1"/>
  <c r="Y20" i="22"/>
  <c r="Y27" i="22" s="1"/>
  <c r="Y28" i="22" s="1"/>
  <c r="Z30" i="22" s="1"/>
  <c r="AQ20" i="22"/>
  <c r="AQ27" i="22" s="1"/>
  <c r="AQ28" i="22" s="1"/>
  <c r="AR30" i="22" s="1"/>
  <c r="AF20" i="22"/>
  <c r="AF27" i="22" s="1"/>
  <c r="AF28" i="22" s="1"/>
  <c r="AG30" i="22" s="1"/>
  <c r="AE8" i="22"/>
  <c r="AF11" i="22" s="1"/>
  <c r="J28" i="22"/>
  <c r="K30" i="22" s="1"/>
  <c r="H20" i="22"/>
  <c r="BM118" i="13"/>
  <c r="BM270" i="13"/>
  <c r="BM18" i="13"/>
  <c r="BM70" i="13"/>
  <c r="BC165" i="13"/>
  <c r="BC196" i="13"/>
  <c r="BM278" i="13"/>
  <c r="BM75" i="13"/>
  <c r="BC324" i="13"/>
  <c r="BC96" i="13"/>
  <c r="BC141" i="13"/>
  <c r="BM331" i="13"/>
  <c r="BM212" i="13"/>
  <c r="BM62" i="13"/>
  <c r="BM73" i="13"/>
  <c r="BC85" i="13"/>
  <c r="BC282" i="13"/>
  <c r="BC339" i="13"/>
  <c r="BC225" i="13"/>
  <c r="BC116" i="13"/>
  <c r="BM317" i="13"/>
  <c r="BM161" i="13"/>
  <c r="BM316" i="13"/>
  <c r="BM109" i="13"/>
  <c r="BC232" i="13"/>
  <c r="BC301" i="13"/>
  <c r="BC114" i="13"/>
  <c r="BC138" i="13"/>
  <c r="V7" i="22"/>
  <c r="V8" i="22" s="1"/>
  <c r="W11" i="22" s="1"/>
  <c r="U7" i="22"/>
  <c r="U8" i="22" s="1"/>
  <c r="V11" i="22" s="1"/>
  <c r="I7" i="22"/>
  <c r="I40" i="22" s="1"/>
  <c r="Z7" i="22"/>
  <c r="Z40" i="22" s="1"/>
  <c r="BM141" i="13"/>
  <c r="BM176" i="13"/>
  <c r="BM264" i="13"/>
  <c r="BM240" i="13"/>
  <c r="BC9" i="13"/>
  <c r="BC212" i="13"/>
  <c r="BC203" i="13"/>
  <c r="BC98" i="13"/>
  <c r="BC122" i="13"/>
  <c r="AM14" i="22"/>
  <c r="AM15" i="22" s="1"/>
  <c r="AN33" i="22" s="1"/>
  <c r="AN36" i="22" s="1"/>
  <c r="AE14" i="22"/>
  <c r="AI14" i="22"/>
  <c r="G14" i="22"/>
  <c r="G15" i="22" s="1"/>
  <c r="AY224" i="13"/>
  <c r="BL224" i="13"/>
  <c r="BP224" i="13"/>
  <c r="AY254" i="13"/>
  <c r="BC254" i="13" s="1"/>
  <c r="BD254" i="13"/>
  <c r="BM208" i="13"/>
  <c r="BM327" i="13"/>
  <c r="BM211" i="13"/>
  <c r="BM192" i="13"/>
  <c r="BC55" i="13"/>
  <c r="BC251" i="13"/>
  <c r="BC93" i="13"/>
  <c r="BC81" i="13"/>
  <c r="BE140" i="13"/>
  <c r="AY140" i="13"/>
  <c r="BC140" i="13" s="1"/>
  <c r="T15" i="22"/>
  <c r="T35" i="22" s="1"/>
  <c r="AA15" i="22"/>
  <c r="AA35" i="22" s="1"/>
  <c r="BK88" i="13"/>
  <c r="AZ88" i="13"/>
  <c r="BB88" i="13"/>
  <c r="BB295" i="13"/>
  <c r="BJ295" i="13"/>
  <c r="BE86" i="13"/>
  <c r="BK86" i="13"/>
  <c r="BJ86" i="13"/>
  <c r="AZ284" i="13"/>
  <c r="AY164" i="13"/>
  <c r="BJ164" i="13"/>
  <c r="BE80" i="13"/>
  <c r="BB80" i="13"/>
  <c r="AZ226" i="13"/>
  <c r="BG226" i="13"/>
  <c r="BK77" i="13"/>
  <c r="BA77" i="13"/>
  <c r="BA295" i="13"/>
  <c r="BG265" i="13"/>
  <c r="BE82" i="13"/>
  <c r="BJ191" i="13"/>
  <c r="BB191" i="13"/>
  <c r="AV5" i="13"/>
  <c r="BI290" i="13"/>
  <c r="BE92" i="13"/>
  <c r="BP271" i="13"/>
  <c r="BL79" i="13"/>
  <c r="AY79" i="13"/>
  <c r="BL244" i="13"/>
  <c r="BG292" i="13"/>
  <c r="AZ241" i="13"/>
  <c r="BE295" i="13"/>
  <c r="BH295" i="13" s="1"/>
  <c r="BG290" i="13"/>
  <c r="BJ262" i="13"/>
  <c r="BE265" i="13"/>
  <c r="BP292" i="13"/>
  <c r="BB311" i="13"/>
  <c r="O20" i="22"/>
  <c r="O27" i="22" s="1"/>
  <c r="O28" i="22" s="1"/>
  <c r="P30" i="22" s="1"/>
  <c r="O21" i="22"/>
  <c r="BM235" i="13"/>
  <c r="BC66" i="13"/>
  <c r="BC47" i="13"/>
  <c r="BC237" i="13"/>
  <c r="BC167" i="13"/>
  <c r="BM255" i="13"/>
  <c r="BM127" i="13"/>
  <c r="AD20" i="22"/>
  <c r="AD27" i="22" s="1"/>
  <c r="AD28" i="22" s="1"/>
  <c r="AE30" i="22" s="1"/>
  <c r="AD21" i="22"/>
  <c r="X40" i="22"/>
  <c r="X8" i="22"/>
  <c r="Y11" i="22" s="1"/>
  <c r="AR20" i="22"/>
  <c r="AR27" i="22" s="1"/>
  <c r="AR28" i="22" s="1"/>
  <c r="O40" i="22"/>
  <c r="AC20" i="22"/>
  <c r="AC27" i="22" s="1"/>
  <c r="AC28" i="22" s="1"/>
  <c r="AD30" i="22" s="1"/>
  <c r="Q20" i="22"/>
  <c r="Q27" i="22" s="1"/>
  <c r="Q28" i="22" s="1"/>
  <c r="R30" i="22" s="1"/>
  <c r="AH8" i="22"/>
  <c r="AI11" i="22" s="1"/>
  <c r="AH40" i="22"/>
  <c r="H40" i="22"/>
  <c r="H8" i="22"/>
  <c r="I11" i="22" s="1"/>
  <c r="BM177" i="13"/>
  <c r="BM306" i="13"/>
  <c r="BM174" i="13"/>
  <c r="BM97" i="13"/>
  <c r="BM152" i="13"/>
  <c r="BC171" i="13"/>
  <c r="BC253" i="13"/>
  <c r="BC48" i="13"/>
  <c r="BM182" i="13"/>
  <c r="BM314" i="13"/>
  <c r="BM330" i="13"/>
  <c r="BM12" i="13"/>
  <c r="BC256" i="13"/>
  <c r="BC21" i="13"/>
  <c r="BC12" i="13"/>
  <c r="BM189" i="13"/>
  <c r="BM136" i="13"/>
  <c r="BM312" i="13"/>
  <c r="BM251" i="13"/>
  <c r="BC186" i="13"/>
  <c r="BC144" i="13"/>
  <c r="BC134" i="13"/>
  <c r="AR3" i="13"/>
  <c r="AR4" i="13" s="1"/>
  <c r="BC193" i="13"/>
  <c r="BM216" i="13"/>
  <c r="BM93" i="13"/>
  <c r="BM234" i="13"/>
  <c r="BM273" i="13"/>
  <c r="BC317" i="13"/>
  <c r="BC146" i="13"/>
  <c r="BC211" i="13"/>
  <c r="BC279" i="13"/>
  <c r="I14" i="22"/>
  <c r="I15" i="22" s="1"/>
  <c r="AI7" i="22"/>
  <c r="AI8" i="22" s="1"/>
  <c r="AJ11" i="22" s="1"/>
  <c r="P7" i="22"/>
  <c r="P8" i="22" s="1"/>
  <c r="Q11" i="22" s="1"/>
  <c r="W7" i="22"/>
  <c r="W40" i="22" s="1"/>
  <c r="Y7" i="22"/>
  <c r="Y8" i="22" s="1"/>
  <c r="Z11" i="22" s="1"/>
  <c r="BM221" i="13"/>
  <c r="BM107" i="13"/>
  <c r="BM49" i="13"/>
  <c r="BM53" i="13"/>
  <c r="BC304" i="13"/>
  <c r="BC136" i="13"/>
  <c r="BC127" i="13"/>
  <c r="BC259" i="13"/>
  <c r="U14" i="22"/>
  <c r="Q14" i="22"/>
  <c r="Q15" i="22" s="1"/>
  <c r="BB224" i="13"/>
  <c r="BF224" i="13"/>
  <c r="BK224" i="13"/>
  <c r="BH221" i="13"/>
  <c r="BM132" i="13"/>
  <c r="BM258" i="13"/>
  <c r="BM41" i="13"/>
  <c r="BM45" i="13"/>
  <c r="BC223" i="13"/>
  <c r="BC160" i="13"/>
  <c r="BC263" i="13"/>
  <c r="BC257" i="13"/>
  <c r="BL140" i="13"/>
  <c r="BD140" i="13"/>
  <c r="AP15" i="22"/>
  <c r="AQ33" i="22" s="1"/>
  <c r="AQ36" i="22" s="1"/>
  <c r="BI295" i="13"/>
  <c r="AZ295" i="13"/>
  <c r="BI86" i="13"/>
  <c r="BP284" i="13"/>
  <c r="BB164" i="13"/>
  <c r="AZ164" i="13"/>
  <c r="BA80" i="13"/>
  <c r="BD80" i="13"/>
  <c r="BP226" i="13"/>
  <c r="AZ77" i="13"/>
  <c r="BK82" i="13"/>
  <c r="BL82" i="13"/>
  <c r="BF191" i="13"/>
  <c r="BF68" i="13"/>
  <c r="BD92" i="13"/>
  <c r="BB271" i="13"/>
  <c r="AZ271" i="13"/>
  <c r="BL271" i="13"/>
  <c r="BJ79" i="13"/>
  <c r="AZ79" i="13"/>
  <c r="AZ244" i="13"/>
  <c r="BH244" i="13"/>
  <c r="BK265" i="13"/>
  <c r="BD76" i="13"/>
  <c r="BH76" i="13" s="1"/>
  <c r="BI76" i="13"/>
  <c r="BM76" i="13" s="1"/>
  <c r="BI241" i="13"/>
  <c r="BA241" i="13"/>
  <c r="BG284" i="13"/>
  <c r="BE262" i="13"/>
  <c r="BK262" i="13"/>
  <c r="BE290" i="13"/>
  <c r="AY292" i="13"/>
  <c r="BC292" i="13" s="1"/>
  <c r="BJ292" i="13"/>
  <c r="BP242" i="13"/>
  <c r="AZ311" i="13"/>
  <c r="O10" i="18"/>
  <c r="P16" i="18"/>
  <c r="BM227" i="13"/>
  <c r="BM106" i="13"/>
  <c r="BM23" i="13"/>
  <c r="BC159" i="13"/>
  <c r="J14" i="22"/>
  <c r="J15" i="22" s="1"/>
  <c r="J35" i="22" s="1"/>
  <c r="J37" i="22" s="1"/>
  <c r="BM339" i="13"/>
  <c r="BM232" i="13"/>
  <c r="BM72" i="13"/>
  <c r="BM85" i="13"/>
  <c r="BC97" i="13"/>
  <c r="BC161" i="13"/>
  <c r="BM225" i="13"/>
  <c r="BM169" i="13"/>
  <c r="BM222" i="13"/>
  <c r="BM17" i="13"/>
  <c r="BC331" i="13"/>
  <c r="BC325" i="13"/>
  <c r="BH193" i="13"/>
  <c r="BM236" i="13"/>
  <c r="BC315" i="13"/>
  <c r="BC135" i="13"/>
  <c r="AC7" i="22"/>
  <c r="AC40" i="22" s="1"/>
  <c r="R7" i="22"/>
  <c r="R40" i="22" s="1"/>
  <c r="AD7" i="22"/>
  <c r="AD40" i="22" s="1"/>
  <c r="N7" i="22"/>
  <c r="N8" i="22" s="1"/>
  <c r="O11" i="22" s="1"/>
  <c r="BM245" i="13"/>
  <c r="BM209" i="13"/>
  <c r="BC62" i="13"/>
  <c r="BC53" i="13"/>
  <c r="BC90" i="13"/>
  <c r="V14" i="22"/>
  <c r="AL14" i="22"/>
  <c r="X14" i="22"/>
  <c r="BM315" i="13"/>
  <c r="BM168" i="13"/>
  <c r="BM203" i="13"/>
  <c r="K4" i="13"/>
  <c r="BC91" i="13"/>
  <c r="BC75" i="13"/>
  <c r="BI140" i="13"/>
  <c r="Z15" i="22"/>
  <c r="AA33" i="22" s="1"/>
  <c r="AA36" i="22" s="1"/>
  <c r="R15" i="22"/>
  <c r="AJ15" i="22"/>
  <c r="AK33" i="22" s="1"/>
  <c r="AK36" i="22" s="1"/>
  <c r="AJ35" i="22"/>
  <c r="BF86" i="13"/>
  <c r="BH164" i="13"/>
  <c r="AZ80" i="13"/>
  <c r="AY226" i="13"/>
  <c r="BD226" i="13"/>
  <c r="BA226" i="13"/>
  <c r="BI226" i="13"/>
  <c r="BM226" i="13" s="1"/>
  <c r="AY77" i="13"/>
  <c r="BP265" i="13"/>
  <c r="BA82" i="13"/>
  <c r="BC82" i="13" s="1"/>
  <c r="BD82" i="13"/>
  <c r="BH82" i="13" s="1"/>
  <c r="AZ191" i="13"/>
  <c r="BE191" i="13"/>
  <c r="BJ68" i="13"/>
  <c r="BJ290" i="13"/>
  <c r="BD271" i="13"/>
  <c r="BH271" i="13" s="1"/>
  <c r="BK79" i="13"/>
  <c r="BP244" i="13"/>
  <c r="BA76" i="13"/>
  <c r="BG241" i="13"/>
  <c r="BJ241" i="13"/>
  <c r="BK295" i="13"/>
  <c r="BI262" i="13"/>
  <c r="BA328" i="13"/>
  <c r="BE284" i="13"/>
  <c r="BD292" i="13"/>
  <c r="BK242" i="13"/>
  <c r="AY242" i="13"/>
  <c r="BK311" i="13"/>
  <c r="BM311" i="13" s="1"/>
  <c r="BE311" i="13"/>
  <c r="BH10" i="13" l="1"/>
  <c r="BM94" i="13"/>
  <c r="Z4" i="13"/>
  <c r="BC200" i="13"/>
  <c r="BH296" i="13"/>
  <c r="BM319" i="13"/>
  <c r="BH88" i="13"/>
  <c r="BH326" i="13"/>
  <c r="BH266" i="13"/>
  <c r="BC142" i="13"/>
  <c r="BC302" i="13"/>
  <c r="BM248" i="13"/>
  <c r="BH248" i="13"/>
  <c r="BC248" i="13"/>
  <c r="BC319" i="13"/>
  <c r="BH319" i="13"/>
  <c r="BC296" i="13"/>
  <c r="BM242" i="13"/>
  <c r="AO8" i="22"/>
  <c r="AP11" i="22" s="1"/>
  <c r="BM164" i="13"/>
  <c r="BM296" i="13"/>
  <c r="BH313" i="13"/>
  <c r="BH284" i="13"/>
  <c r="BH188" i="13"/>
  <c r="BM313" i="13"/>
  <c r="BH311" i="13"/>
  <c r="BH290" i="13"/>
  <c r="BH140" i="13"/>
  <c r="BM302" i="13"/>
  <c r="F9" i="22"/>
  <c r="BH269" i="13"/>
  <c r="BM188" i="13"/>
  <c r="BM274" i="13"/>
  <c r="BH302" i="13"/>
  <c r="G41" i="22"/>
  <c r="BC274" i="13"/>
  <c r="BC188" i="13"/>
  <c r="BH200" i="13"/>
  <c r="BL3" i="13"/>
  <c r="G8" i="22"/>
  <c r="H11" i="22" s="1"/>
  <c r="BM266" i="13"/>
  <c r="BH94" i="13"/>
  <c r="BH226" i="13"/>
  <c r="AG35" i="22"/>
  <c r="BH254" i="13"/>
  <c r="BM284" i="13"/>
  <c r="BC326" i="13"/>
  <c r="BH274" i="13"/>
  <c r="BC94" i="13"/>
  <c r="BH202" i="13"/>
  <c r="BC266" i="13"/>
  <c r="BC202" i="13"/>
  <c r="BH65" i="13"/>
  <c r="BC269" i="13"/>
  <c r="BM260" i="13"/>
  <c r="BC260" i="13"/>
  <c r="BM262" i="13"/>
  <c r="BC311" i="13"/>
  <c r="AP33" i="22"/>
  <c r="AP36" i="22" s="1"/>
  <c r="K35" i="22"/>
  <c r="K37" i="22" s="1"/>
  <c r="AN8" i="22"/>
  <c r="AO11" i="22" s="1"/>
  <c r="N35" i="22"/>
  <c r="N37" i="22" s="1"/>
  <c r="AM9" i="22"/>
  <c r="BM202" i="13"/>
  <c r="AP35" i="22"/>
  <c r="AZ3" i="13"/>
  <c r="BC242" i="13"/>
  <c r="BC86" i="13"/>
  <c r="BM200" i="13"/>
  <c r="BM326" i="13"/>
  <c r="BH166" i="13"/>
  <c r="Q4" i="13"/>
  <c r="BG3" i="13"/>
  <c r="AR33" i="22"/>
  <c r="AR36" i="22" s="1"/>
  <c r="BL4" i="13"/>
  <c r="BH79" i="13"/>
  <c r="BC265" i="13"/>
  <c r="AZ4" i="13"/>
  <c r="AB35" i="22"/>
  <c r="BH80" i="13"/>
  <c r="BG4" i="13"/>
  <c r="BC88" i="13"/>
  <c r="BH265" i="13"/>
  <c r="W35" i="22"/>
  <c r="AQ40" i="22"/>
  <c r="BM271" i="13"/>
  <c r="AL40" i="22"/>
  <c r="BM65" i="13"/>
  <c r="BC77" i="13"/>
  <c r="AY3" i="13"/>
  <c r="BF3" i="13"/>
  <c r="AQ35" i="22"/>
  <c r="AQ37" i="22" s="1"/>
  <c r="AA9" i="22"/>
  <c r="U9" i="22"/>
  <c r="BF4" i="13"/>
  <c r="AS33" i="22"/>
  <c r="AS36" i="22" s="1"/>
  <c r="AA8" i="22"/>
  <c r="AB11" i="22" s="1"/>
  <c r="BH142" i="13"/>
  <c r="BK3" i="13"/>
  <c r="BJ4" i="13"/>
  <c r="AM35" i="22"/>
  <c r="BH328" i="13"/>
  <c r="BB4" i="13"/>
  <c r="BA4" i="13"/>
  <c r="S33" i="22"/>
  <c r="S36" i="22" s="1"/>
  <c r="BC244" i="13"/>
  <c r="AI40" i="22"/>
  <c r="BE4" i="13"/>
  <c r="BP4" i="13"/>
  <c r="BM265" i="13"/>
  <c r="P35" i="22"/>
  <c r="P37" i="22" s="1"/>
  <c r="Y35" i="22"/>
  <c r="AP9" i="22"/>
  <c r="BM77" i="13"/>
  <c r="R33" i="22"/>
  <c r="R36" i="22" s="1"/>
  <c r="O9" i="22"/>
  <c r="BM191" i="13"/>
  <c r="AB33" i="22"/>
  <c r="AB36" i="22" s="1"/>
  <c r="AG10" i="22"/>
  <c r="AJ8" i="22"/>
  <c r="AK11" i="22" s="1"/>
  <c r="BC328" i="13"/>
  <c r="BM166" i="13"/>
  <c r="BC65" i="13"/>
  <c r="P33" i="22"/>
  <c r="P36" i="22" s="1"/>
  <c r="O35" i="22"/>
  <c r="O37" i="22" s="1"/>
  <c r="AD33" i="22"/>
  <c r="AD36" i="22" s="1"/>
  <c r="AC35" i="22"/>
  <c r="AO33" i="22"/>
  <c r="AO36" i="22" s="1"/>
  <c r="AN35" i="22"/>
  <c r="AN37" i="22" s="1"/>
  <c r="BM79" i="13"/>
  <c r="Z33" i="22"/>
  <c r="Z36" i="22" s="1"/>
  <c r="W8" i="22"/>
  <c r="X11" i="22" s="1"/>
  <c r="BC241" i="13"/>
  <c r="BC284" i="13"/>
  <c r="V15" i="22"/>
  <c r="W33" i="22" s="1"/>
  <c r="W36" i="22" s="1"/>
  <c r="W37" i="22" s="1"/>
  <c r="BP3" i="13"/>
  <c r="BC262" i="13"/>
  <c r="AD15" i="22"/>
  <c r="AE33" i="22" s="1"/>
  <c r="AE36" i="22" s="1"/>
  <c r="Y40" i="22"/>
  <c r="I35" i="22"/>
  <c r="BJ3" i="13"/>
  <c r="BB3" i="13"/>
  <c r="BC271" i="13"/>
  <c r="BH242" i="13"/>
  <c r="BA3" i="13"/>
  <c r="AB8" i="22"/>
  <c r="AC11" i="22" s="1"/>
  <c r="AR40" i="22"/>
  <c r="BC80" i="13"/>
  <c r="AH35" i="22"/>
  <c r="AH37" i="22" s="1"/>
  <c r="AF40" i="22"/>
  <c r="BC226" i="13"/>
  <c r="AE15" i="22"/>
  <c r="AF33" i="22" s="1"/>
  <c r="AF36" i="22" s="1"/>
  <c r="BM140" i="13"/>
  <c r="U10" i="22"/>
  <c r="AL15" i="22"/>
  <c r="AM33" i="22" s="1"/>
  <c r="AM36" i="22" s="1"/>
  <c r="AM37" i="22" s="1"/>
  <c r="AD9" i="22"/>
  <c r="BC191" i="13"/>
  <c r="AK15" i="22"/>
  <c r="AL33" i="22" s="1"/>
  <c r="AL36" i="22" s="1"/>
  <c r="AJ9" i="22"/>
  <c r="AP8" i="22"/>
  <c r="AQ11" i="22" s="1"/>
  <c r="AC33" i="22"/>
  <c r="AC36" i="22" s="1"/>
  <c r="BI4" i="13"/>
  <c r="BD3" i="13"/>
  <c r="BM92" i="13"/>
  <c r="AG40" i="22"/>
  <c r="BC68" i="13"/>
  <c r="AB40" i="22"/>
  <c r="BH191" i="13"/>
  <c r="BM224" i="13"/>
  <c r="AC8" i="22"/>
  <c r="AD11" i="22" s="1"/>
  <c r="BM241" i="13"/>
  <c r="BM86" i="13"/>
  <c r="AR35" i="22"/>
  <c r="AA37" i="22"/>
  <c r="AD8" i="22"/>
  <c r="AE11" i="22" s="1"/>
  <c r="BH292" i="13"/>
  <c r="U40" i="22"/>
  <c r="BM295" i="13"/>
  <c r="R35" i="22"/>
  <c r="BH92" i="13"/>
  <c r="AI15" i="22"/>
  <c r="AJ33" i="22" s="1"/>
  <c r="AJ36" i="22" s="1"/>
  <c r="AJ37" i="22" s="1"/>
  <c r="X9" i="22"/>
  <c r="AO35" i="22"/>
  <c r="BM68" i="13"/>
  <c r="BI3" i="13"/>
  <c r="BD4" i="13"/>
  <c r="Q33" i="22"/>
  <c r="Q36" i="22" s="1"/>
  <c r="BM254" i="13"/>
  <c r="AG9" i="22"/>
  <c r="BM82" i="13"/>
  <c r="G35" i="22"/>
  <c r="G37" i="22" s="1"/>
  <c r="AF15" i="22"/>
  <c r="AG33" i="22" s="1"/>
  <c r="AG36" i="22" s="1"/>
  <c r="AG37" i="22" s="1"/>
  <c r="BK4" i="13"/>
  <c r="M40" i="22"/>
  <c r="BH241" i="13"/>
  <c r="X15" i="22"/>
  <c r="Y33" i="22" s="1"/>
  <c r="Y36" i="22" s="1"/>
  <c r="U15" i="22"/>
  <c r="V33" i="22" s="1"/>
  <c r="V36" i="22" s="1"/>
  <c r="BH224" i="13"/>
  <c r="J40" i="22"/>
  <c r="BC164" i="13"/>
  <c r="T37" i="22"/>
  <c r="Z35" i="22"/>
  <c r="BC79" i="13"/>
  <c r="BC224" i="13"/>
  <c r="F8" i="22"/>
  <c r="G11" i="22" s="1"/>
  <c r="N40" i="22"/>
  <c r="L9" i="22"/>
  <c r="BE3" i="13"/>
  <c r="V40" i="22"/>
  <c r="Q35" i="22"/>
  <c r="AG8" i="22"/>
  <c r="AH11" i="22" s="1"/>
  <c r="BM328" i="13"/>
  <c r="S8" i="22"/>
  <c r="T11" i="22" s="1"/>
  <c r="BT7" i="22"/>
  <c r="BH262" i="13"/>
  <c r="H41" i="22"/>
  <c r="I41" i="22" s="1"/>
  <c r="L8" i="22"/>
  <c r="M11" i="22" s="1"/>
  <c r="BM88" i="13"/>
  <c r="F42" i="22"/>
  <c r="G42" i="22" s="1"/>
  <c r="H42" i="22" s="1"/>
  <c r="I42" i="22" s="1"/>
  <c r="J42" i="22" s="1"/>
  <c r="K42" i="22" s="1"/>
  <c r="L42" i="22" s="1"/>
  <c r="M42" i="22" s="1"/>
  <c r="N42" i="22" s="1"/>
  <c r="O42" i="22" s="1"/>
  <c r="P42" i="22" s="1"/>
  <c r="Q42" i="22" s="1"/>
  <c r="R42" i="22" s="1"/>
  <c r="S42" i="22" s="1"/>
  <c r="T42" i="22" s="1"/>
  <c r="U42" i="22" s="1"/>
  <c r="V42" i="22" s="1"/>
  <c r="W42" i="22" s="1"/>
  <c r="X42" i="22" s="1"/>
  <c r="Y42" i="22" s="1"/>
  <c r="Z42" i="22" s="1"/>
  <c r="AA42" i="22" s="1"/>
  <c r="AB42" i="22" s="1"/>
  <c r="AC42" i="22" s="1"/>
  <c r="AD42" i="22" s="1"/>
  <c r="AE42" i="22" s="1"/>
  <c r="AF42" i="22" s="1"/>
  <c r="AG42" i="22" s="1"/>
  <c r="AH42" i="22" s="1"/>
  <c r="AI42" i="22" s="1"/>
  <c r="AJ42" i="22" s="1"/>
  <c r="AK42" i="22" s="1"/>
  <c r="AL42" i="22" s="1"/>
  <c r="AM42" i="22" s="1"/>
  <c r="AN42" i="22" s="1"/>
  <c r="AO42" i="22" s="1"/>
  <c r="AP42" i="22" s="1"/>
  <c r="AQ42" i="22" s="1"/>
  <c r="AR42" i="22" s="1"/>
  <c r="AS42" i="22" s="1"/>
  <c r="AT42" i="22" s="1"/>
  <c r="I8" i="22"/>
  <c r="P40" i="22"/>
  <c r="BH86" i="13"/>
  <c r="M35" i="22"/>
  <c r="M37" i="22" s="1"/>
  <c r="AK40" i="22"/>
  <c r="R8" i="22"/>
  <c r="S11" i="22" s="1"/>
  <c r="Q15" i="18"/>
  <c r="O12" i="18"/>
  <c r="P15" i="18"/>
  <c r="O15" i="18"/>
  <c r="R15" i="18"/>
  <c r="BM290" i="13"/>
  <c r="U33" i="22"/>
  <c r="U36" i="22" s="1"/>
  <c r="BT15" i="22"/>
  <c r="H27" i="22"/>
  <c r="H28" i="22" s="1"/>
  <c r="I30" i="22" s="1"/>
  <c r="I36" i="22" s="1"/>
  <c r="BQ22" i="22"/>
  <c r="BS19" i="22"/>
  <c r="BM292" i="13"/>
  <c r="S35" i="22"/>
  <c r="Z8" i="22"/>
  <c r="AA11" i="22" s="1"/>
  <c r="K12" i="18"/>
  <c r="N15" i="18"/>
  <c r="K15" i="18"/>
  <c r="L15" i="18"/>
  <c r="M15" i="18"/>
  <c r="I9" i="22"/>
  <c r="R9" i="22"/>
  <c r="BQ27" i="22"/>
  <c r="BC76" i="13"/>
  <c r="AY4" i="13"/>
  <c r="I10" i="22"/>
  <c r="BM244" i="13"/>
  <c r="BH68" i="13"/>
  <c r="BC295" i="13"/>
  <c r="AO37" i="22" l="1"/>
  <c r="Y37" i="22"/>
  <c r="AP37" i="22"/>
  <c r="S37" i="22"/>
  <c r="AR37" i="22"/>
  <c r="BM3" i="13"/>
  <c r="BH4" i="13"/>
  <c r="BQ40" i="22"/>
  <c r="Z37" i="22"/>
  <c r="BC3" i="13"/>
  <c r="AB37" i="22"/>
  <c r="BM4" i="13"/>
  <c r="R37" i="22"/>
  <c r="AK35" i="22"/>
  <c r="AK37" i="22" s="1"/>
  <c r="AE35" i="22"/>
  <c r="AE37" i="22" s="1"/>
  <c r="BT36" i="22"/>
  <c r="I37" i="22"/>
  <c r="I38" i="22" s="1"/>
  <c r="J38" i="22" s="1"/>
  <c r="K38" i="22" s="1"/>
  <c r="L38" i="22" s="1"/>
  <c r="M38" i="22" s="1"/>
  <c r="N38" i="22" s="1"/>
  <c r="O38" i="22" s="1"/>
  <c r="P38" i="22" s="1"/>
  <c r="BS35" i="22"/>
  <c r="X35" i="22"/>
  <c r="X37" i="22" s="1"/>
  <c r="AC37" i="22"/>
  <c r="AF35" i="22"/>
  <c r="AF37" i="22" s="1"/>
  <c r="Q37" i="22"/>
  <c r="J41" i="22"/>
  <c r="K41" i="22" s="1"/>
  <c r="L41" i="22" s="1"/>
  <c r="M41" i="22" s="1"/>
  <c r="N41" i="22" s="1"/>
  <c r="O41" i="22" s="1"/>
  <c r="P41" i="22" s="1"/>
  <c r="Q41" i="22" s="1"/>
  <c r="R41" i="22" s="1"/>
  <c r="S41" i="22" s="1"/>
  <c r="T41" i="22" s="1"/>
  <c r="U41" i="22" s="1"/>
  <c r="V41" i="22" s="1"/>
  <c r="W41" i="22" s="1"/>
  <c r="X41" i="22" s="1"/>
  <c r="Y41" i="22" s="1"/>
  <c r="Z41" i="22" s="1"/>
  <c r="AA41" i="22" s="1"/>
  <c r="AB41" i="22" s="1"/>
  <c r="AC41" i="22" s="1"/>
  <c r="AD41" i="22" s="1"/>
  <c r="AE41" i="22" s="1"/>
  <c r="AF41" i="22" s="1"/>
  <c r="AG41" i="22" s="1"/>
  <c r="AH41" i="22" s="1"/>
  <c r="AI41" i="22" s="1"/>
  <c r="AJ41" i="22" s="1"/>
  <c r="AK41" i="22" s="1"/>
  <c r="AL41" i="22" s="1"/>
  <c r="AM41" i="22" s="1"/>
  <c r="AN41" i="22" s="1"/>
  <c r="AO41" i="22" s="1"/>
  <c r="AP41" i="22" s="1"/>
  <c r="AQ41" i="22" s="1"/>
  <c r="AR41" i="22" s="1"/>
  <c r="AS41" i="22" s="1"/>
  <c r="AT41" i="22" s="1"/>
  <c r="BC4" i="13"/>
  <c r="V35" i="22"/>
  <c r="V37" i="22" s="1"/>
  <c r="BP10" i="22"/>
  <c r="BP40" i="22" s="1"/>
  <c r="J11" i="22"/>
  <c r="BH3" i="13"/>
  <c r="AI35" i="22"/>
  <c r="AI37" i="22" s="1"/>
  <c r="AD35" i="22"/>
  <c r="AD37" i="22" s="1"/>
  <c r="AL35" i="22"/>
  <c r="AL37" i="22" s="1"/>
  <c r="U35" i="22"/>
  <c r="U37" i="22" s="1"/>
  <c r="BP41" i="22" l="1"/>
  <c r="BS39" i="22" s="1"/>
  <c r="BQ41" i="22"/>
  <c r="BT39" i="22" s="1"/>
  <c r="Q38" i="22"/>
  <c r="R38" i="22" s="1"/>
  <c r="S38" i="22" s="1"/>
  <c r="T38" i="22" s="1"/>
  <c r="BT38" i="22" l="1"/>
  <c r="BT40" i="22" s="1"/>
  <c r="BS38" i="22"/>
  <c r="BS40" i="22" s="1"/>
  <c r="U38" i="22"/>
  <c r="V38" i="22" s="1"/>
  <c r="W38" i="22" s="1"/>
  <c r="X38" i="22" s="1"/>
  <c r="Y38" i="22" s="1"/>
  <c r="Z38" i="22" s="1"/>
  <c r="AA38" i="22" s="1"/>
  <c r="AB38" i="22" s="1"/>
  <c r="AC38" i="22" s="1"/>
  <c r="AD38" i="22" s="1"/>
  <c r="AE38" i="22" s="1"/>
  <c r="AF38" i="22" s="1"/>
  <c r="AG38" i="22" s="1"/>
  <c r="AH38" i="22" s="1"/>
  <c r="AI38" i="22" s="1"/>
  <c r="AJ38" i="22" s="1"/>
  <c r="AK38" i="22" s="1"/>
  <c r="AL38" i="22" s="1"/>
  <c r="AM38" i="22" s="1"/>
  <c r="AN38" i="22" s="1"/>
  <c r="AO38" i="22" s="1"/>
  <c r="AP38" i="22" s="1"/>
  <c r="AQ38" i="22" s="1"/>
  <c r="AR38" i="22" s="1"/>
  <c r="BS41" i="22" l="1"/>
  <c r="BT41" i="22"/>
</calcChain>
</file>

<file path=xl/sharedStrings.xml><?xml version="1.0" encoding="utf-8"?>
<sst xmlns="http://schemas.openxmlformats.org/spreadsheetml/2006/main" count="7075" uniqueCount="607">
  <si>
    <t>Demand</t>
  </si>
  <si>
    <t>Crowler Excavator</t>
  </si>
  <si>
    <t>Mini Excavator</t>
  </si>
  <si>
    <t>Wheel Excavator</t>
  </si>
  <si>
    <t>Wheel Loader</t>
  </si>
  <si>
    <t>Total</t>
  </si>
  <si>
    <t>Sales</t>
  </si>
  <si>
    <t>Share</t>
  </si>
  <si>
    <t>Purchase 
from HITACHI 
(unit)</t>
  </si>
  <si>
    <t>Purchase 
from HITACHI 
(amount)</t>
  </si>
  <si>
    <t>Dealer Name :</t>
  </si>
  <si>
    <t>Date :</t>
  </si>
  <si>
    <t>SUD ESPACE</t>
  </si>
  <si>
    <t>Number of employees for Rental Business</t>
  </si>
  <si>
    <t>Calender Year</t>
  </si>
  <si>
    <t>(1)Please specify the department number which you are interested in.</t>
  </si>
  <si>
    <t xml:space="preserve">    Department No.:</t>
  </si>
  <si>
    <t>(2) Expansion plan will start from year 2019.</t>
  </si>
  <si>
    <t xml:space="preserve">AA:  Sales of  Hitachi Products </t>
  </si>
  <si>
    <t>BB: Hitachi Rental Machines</t>
  </si>
  <si>
    <t>Number of Hitachi Rental Machines (No. of Units)</t>
  </si>
  <si>
    <t>Mini Excavators</t>
  </si>
  <si>
    <t>Excavators</t>
  </si>
  <si>
    <t>Wheel Excavators</t>
  </si>
  <si>
    <t>Wheel Loaders</t>
  </si>
  <si>
    <t>CC: Branch Offices and Employees</t>
  </si>
  <si>
    <t xml:space="preserve">Number of employees </t>
  </si>
  <si>
    <t>Branch Offices                                              (No. of branches)</t>
  </si>
  <si>
    <t>Assumption:</t>
  </si>
  <si>
    <t>TOTAL</t>
  </si>
  <si>
    <t>Type</t>
  </si>
  <si>
    <t>RABASTENS</t>
  </si>
  <si>
    <t>RODEZ</t>
  </si>
  <si>
    <t>MONTPELLIER</t>
  </si>
  <si>
    <t>ZX10</t>
  </si>
  <si>
    <t>ZX19</t>
  </si>
  <si>
    <t>ZX26</t>
  </si>
  <si>
    <t>ZX48</t>
  </si>
  <si>
    <t>ZX65</t>
  </si>
  <si>
    <t>ZX85</t>
  </si>
  <si>
    <t>ZX135</t>
  </si>
  <si>
    <t>ZX160</t>
  </si>
  <si>
    <t>ZX190</t>
  </si>
  <si>
    <t>ZX210</t>
  </si>
  <si>
    <t>ZX225</t>
  </si>
  <si>
    <t>ZX300</t>
  </si>
  <si>
    <t>ZX350</t>
  </si>
  <si>
    <t>ZX490</t>
  </si>
  <si>
    <t>ZW180</t>
  </si>
  <si>
    <t>ZW310</t>
  </si>
  <si>
    <t>6
incl. workshop and drivers</t>
  </si>
  <si>
    <t>7+5+4+4=20
incl. grp mnger, wkshp, drivers</t>
  </si>
  <si>
    <t>7 + 5 + 4 = 16
incl. grp mnger, wkshp, drivers</t>
  </si>
  <si>
    <t>7 + 5 = 12
incl. grp mnger, wkshp, drivers</t>
  </si>
  <si>
    <t>1 office SETP
+ 4 other Cpnies</t>
  </si>
  <si>
    <t>65 with SODIME</t>
  </si>
  <si>
    <r>
      <rPr>
        <b/>
        <u/>
        <sz val="11"/>
        <color theme="1"/>
        <rFont val="Calibri"/>
        <family val="2"/>
        <scheme val="minor"/>
      </rPr>
      <t xml:space="preserve">Sud Espace TP </t>
    </r>
    <r>
      <rPr>
        <u/>
        <sz val="11"/>
        <color theme="1"/>
        <rFont val="Calibri"/>
        <family val="2"/>
        <charset val="128"/>
        <scheme val="minor"/>
      </rPr>
      <t>current 'departements' are 09, 11, 31, 34, 66, 81, 82, and we cover south of 46</t>
    </r>
  </si>
  <si>
    <t>We'll open a branch in Montpellier, our current 34 territory.</t>
  </si>
  <si>
    <t>Our SETP expansion plan : dpt #12 (branch in Rodez) and all of 46.</t>
  </si>
  <si>
    <t>69
(2 sales+2mech)</t>
  </si>
  <si>
    <t>3 : 2 current + Narbonne open.
+ 5 other Cpnies</t>
  </si>
  <si>
    <r>
      <t xml:space="preserve">2 : SETP, SETP </t>
    </r>
    <r>
      <rPr>
        <b/>
        <sz val="11"/>
        <color theme="1"/>
        <rFont val="Calibri"/>
        <family val="2"/>
        <charset val="128"/>
        <scheme val="minor"/>
      </rPr>
      <t>LR</t>
    </r>
    <r>
      <rPr>
        <sz val="11"/>
        <color theme="1"/>
        <rFont val="Calibri"/>
        <family val="2"/>
        <charset val="128"/>
        <scheme val="minor"/>
      </rPr>
      <t xml:space="preserve">
+ 4 other Cpnies</t>
    </r>
  </si>
  <si>
    <r>
      <t xml:space="preserve">5 : Rodez </t>
    </r>
    <r>
      <rPr>
        <u/>
        <sz val="11"/>
        <color theme="1"/>
        <rFont val="Calibri"/>
        <family val="2"/>
        <charset val="128"/>
        <scheme val="minor"/>
      </rPr>
      <t>and</t>
    </r>
    <r>
      <rPr>
        <sz val="11"/>
        <color theme="1"/>
        <rFont val="Calibri"/>
        <family val="2"/>
        <charset val="128"/>
        <scheme val="minor"/>
      </rPr>
      <t xml:space="preserve"> Montpellier
+ other cpnies</t>
    </r>
  </si>
  <si>
    <r>
      <t xml:space="preserve">4 : open. Rodez </t>
    </r>
    <r>
      <rPr>
        <u/>
        <sz val="11"/>
        <color theme="1"/>
        <rFont val="Calibri"/>
        <family val="2"/>
        <charset val="128"/>
        <scheme val="minor"/>
      </rPr>
      <t>or</t>
    </r>
    <r>
      <rPr>
        <sz val="11"/>
        <color theme="1"/>
        <rFont val="Calibri"/>
        <family val="2"/>
        <charset val="128"/>
        <scheme val="minor"/>
      </rPr>
      <t xml:space="preserve"> Montpellier
+ 6 other cpnies</t>
    </r>
  </si>
  <si>
    <t xml:space="preserve">Branch Offices for Rental Business </t>
  </si>
  <si>
    <t>Turnover of Rental Business for Hitachi Products (k€)</t>
  </si>
  <si>
    <t>XMTP</t>
  </si>
  <si>
    <t>BTPS</t>
  </si>
  <si>
    <t>ZX33</t>
  </si>
  <si>
    <t>ZX55</t>
  </si>
  <si>
    <t>ZW250</t>
  </si>
  <si>
    <t>Catégorie</t>
  </si>
  <si>
    <t>Modèle</t>
  </si>
  <si>
    <t>Spec</t>
  </si>
  <si>
    <t>Status</t>
  </si>
  <si>
    <t>Mini Pelle</t>
  </si>
  <si>
    <t>ZX19U-5</t>
  </si>
  <si>
    <t>ZX26U-5</t>
  </si>
  <si>
    <t>CLR</t>
  </si>
  <si>
    <t>YLR</t>
  </si>
  <si>
    <t>ZX33U-5</t>
  </si>
  <si>
    <t>CLRNH</t>
  </si>
  <si>
    <t>ZX48U-5</t>
  </si>
  <si>
    <t>ZX55U-5</t>
  </si>
  <si>
    <t>ZX65USB-5</t>
  </si>
  <si>
    <t>Pelles/Chenilles</t>
  </si>
  <si>
    <t>ZX135US-6</t>
  </si>
  <si>
    <t>ZX135US-6-MN-BL</t>
  </si>
  <si>
    <t>ZX210-6</t>
  </si>
  <si>
    <t>ZX210LC-6-MN</t>
  </si>
  <si>
    <t>ZX350-6</t>
  </si>
  <si>
    <t>ZX350LCN-6-MN</t>
  </si>
  <si>
    <t>ZX490-6</t>
  </si>
  <si>
    <t>BE</t>
  </si>
  <si>
    <t>ZX85US-5A</t>
  </si>
  <si>
    <t>Mono</t>
  </si>
  <si>
    <t>ZX85USB-5A</t>
  </si>
  <si>
    <t>Delivery</t>
  </si>
  <si>
    <t>Remarque</t>
  </si>
  <si>
    <t>Sub-Dealer</t>
  </si>
  <si>
    <t>SETP</t>
  </si>
  <si>
    <t>Order</t>
  </si>
  <si>
    <t>Destination</t>
  </si>
  <si>
    <t>Site</t>
  </si>
  <si>
    <t>LOCATION</t>
  </si>
  <si>
    <t>VENTE</t>
  </si>
  <si>
    <t>BORDEAUX</t>
  </si>
  <si>
    <t>ORTHEZ</t>
  </si>
  <si>
    <t>Statut</t>
  </si>
  <si>
    <t>???</t>
  </si>
  <si>
    <t>Sub-Total</t>
  </si>
  <si>
    <t>oct.-17</t>
  </si>
  <si>
    <t>nov.-17</t>
  </si>
  <si>
    <t>janv.-18</t>
  </si>
  <si>
    <t>févr.-18</t>
  </si>
  <si>
    <t>mars-18</t>
  </si>
  <si>
    <t>avr.-18</t>
  </si>
  <si>
    <t>mai-18</t>
  </si>
  <si>
    <t>juin-18</t>
  </si>
  <si>
    <t>juil.-18</t>
  </si>
  <si>
    <t>août-18</t>
  </si>
  <si>
    <t>sept.-18</t>
  </si>
  <si>
    <t>oct.-18</t>
  </si>
  <si>
    <t>nov.-18</t>
  </si>
  <si>
    <t>janv.-20</t>
  </si>
  <si>
    <t>févr.-20</t>
  </si>
  <si>
    <t>mars-20</t>
  </si>
  <si>
    <t>avr.-20</t>
  </si>
  <si>
    <t>mai-20</t>
  </si>
  <si>
    <t>juin-20</t>
  </si>
  <si>
    <t>juil.-20</t>
  </si>
  <si>
    <t>août-20</t>
  </si>
  <si>
    <t>sept.-20</t>
  </si>
  <si>
    <t>oct.-20</t>
  </si>
  <si>
    <t>nov.-20</t>
  </si>
  <si>
    <t>2018-Q1</t>
  </si>
  <si>
    <t>2018-Q2</t>
  </si>
  <si>
    <t>2018-Q3</t>
  </si>
  <si>
    <t>2018-Q4</t>
  </si>
  <si>
    <t>2018</t>
  </si>
  <si>
    <t>2019-Q1</t>
  </si>
  <si>
    <t>2019-Q2</t>
  </si>
  <si>
    <t>2019-Q3</t>
  </si>
  <si>
    <t>2019-Q4</t>
  </si>
  <si>
    <t>2019</t>
  </si>
  <si>
    <t>2020-Q1</t>
  </si>
  <si>
    <t>2020-Q2</t>
  </si>
  <si>
    <t>2020-Q3</t>
  </si>
  <si>
    <t>2020-Q4</t>
  </si>
  <si>
    <t>2020</t>
  </si>
  <si>
    <t>2021</t>
  </si>
  <si>
    <t>Chargeuses</t>
  </si>
  <si>
    <t>ZW150-6</t>
  </si>
  <si>
    <t>ZW150-6-LSD</t>
  </si>
  <si>
    <t>ZW150-6-LSD-WFPR</t>
  </si>
  <si>
    <t>ZW150-6-TPD</t>
  </si>
  <si>
    <t>ZW150PL-6</t>
  </si>
  <si>
    <t>ZW150PL-6-LSD</t>
  </si>
  <si>
    <t>ZW150PL-6-LSD-WFPR</t>
  </si>
  <si>
    <t>ZW150PL-6-TPD</t>
  </si>
  <si>
    <t>ZW180-6</t>
  </si>
  <si>
    <t>ZW180-6-LSD</t>
  </si>
  <si>
    <t>ZW180-6-LSD-WFPR</t>
  </si>
  <si>
    <t>ZW180-6-TPD</t>
  </si>
  <si>
    <t>ZW180PL-6</t>
  </si>
  <si>
    <t>ZW180PL-6-LSD</t>
  </si>
  <si>
    <t>ZW180PL-6-LSD-WFPR</t>
  </si>
  <si>
    <t>ZW180PL-6-TPD</t>
  </si>
  <si>
    <t>ZW220-6</t>
  </si>
  <si>
    <t>ZW220-6-LSD</t>
  </si>
  <si>
    <t>ZW220-6-LSD-WFPR</t>
  </si>
  <si>
    <t>ZW220-6-TPD</t>
  </si>
  <si>
    <t>ZW250-6</t>
  </si>
  <si>
    <t>ZW250-6-LSD</t>
  </si>
  <si>
    <t>ZW250-6-LSD-WFPR</t>
  </si>
  <si>
    <t>ZW250-6-TPD</t>
  </si>
  <si>
    <t>ZW310-6</t>
  </si>
  <si>
    <t>ZW310-6-TPD</t>
  </si>
  <si>
    <t>ZX10U-2</t>
  </si>
  <si>
    <t>ZX17U-5</t>
  </si>
  <si>
    <t>ZX19-5A</t>
  </si>
  <si>
    <t>CLRK</t>
  </si>
  <si>
    <t>YLRK</t>
  </si>
  <si>
    <t>CLRK2</t>
  </si>
  <si>
    <t>CLRK2NH</t>
  </si>
  <si>
    <t>YLR-NH</t>
  </si>
  <si>
    <t>YLRK2</t>
  </si>
  <si>
    <t>YLRK2NH</t>
  </si>
  <si>
    <t>ZX38U-5</t>
  </si>
  <si>
    <t>ZX130-6</t>
  </si>
  <si>
    <t>ZX130-6-2P</t>
  </si>
  <si>
    <t>ZX130-6-2P-BL</t>
  </si>
  <si>
    <t>ZX130-6-MN</t>
  </si>
  <si>
    <t>ZX130-6-MN-BL</t>
  </si>
  <si>
    <t>ZX135US-6-2P-BL</t>
  </si>
  <si>
    <t>ZX160-6</t>
  </si>
  <si>
    <t>ZX160LC-6-2P</t>
  </si>
  <si>
    <t>ZX160LC-6-MN</t>
  </si>
  <si>
    <t>ZX190-6</t>
  </si>
  <si>
    <t>ZX190LC-6-2P</t>
  </si>
  <si>
    <t>ZX190LC-6-MN</t>
  </si>
  <si>
    <t>ZX210LC-6-2P</t>
  </si>
  <si>
    <t>ZX225US-6</t>
  </si>
  <si>
    <t>ZX225USLC-6-2P</t>
  </si>
  <si>
    <t>ZX225USLC-6-2P-BL</t>
  </si>
  <si>
    <t>ZX225USLC-6-MN</t>
  </si>
  <si>
    <t>ZX225USLC-6-MN-BL</t>
  </si>
  <si>
    <t>ZX250-6</t>
  </si>
  <si>
    <t>ZX250LC-6-2P</t>
  </si>
  <si>
    <t>ZX250LC-6-MN</t>
  </si>
  <si>
    <t>ZX250LCN-6-2P</t>
  </si>
  <si>
    <t>ZX250LCN-6-MN</t>
  </si>
  <si>
    <t>ZX300-6</t>
  </si>
  <si>
    <t>ZX300LC-6-2P</t>
  </si>
  <si>
    <t>ZX300LC-6-MN</t>
  </si>
  <si>
    <t>ZX300LCN-6-2P</t>
  </si>
  <si>
    <t>ZX300LCN-6-MN</t>
  </si>
  <si>
    <t>ZX350LC-6-2P</t>
  </si>
  <si>
    <t>ZX350LC-6-MN</t>
  </si>
  <si>
    <t>ZX350LCN-6-2P</t>
  </si>
  <si>
    <t>H</t>
  </si>
  <si>
    <t>Off-set</t>
  </si>
  <si>
    <t>2P</t>
  </si>
  <si>
    <t>Pelles/Pneus</t>
  </si>
  <si>
    <t>ZX140W-6</t>
  </si>
  <si>
    <t>ZX140W-6-2P</t>
  </si>
  <si>
    <t>ZX140W-6-MN</t>
  </si>
  <si>
    <t>ZX145W-6</t>
  </si>
  <si>
    <t>ZX145W-6-2P</t>
  </si>
  <si>
    <t>ZX170W-6</t>
  </si>
  <si>
    <t>ZX170W-6-2P</t>
  </si>
  <si>
    <t>ZX170W-6-MN</t>
  </si>
  <si>
    <t>ZX190W-6</t>
  </si>
  <si>
    <t>ZX190W-6-2P</t>
  </si>
  <si>
    <t>ZX190W-6-MN</t>
  </si>
  <si>
    <t>Category</t>
  </si>
  <si>
    <t>Concession</t>
  </si>
  <si>
    <t>ZW150</t>
  </si>
  <si>
    <t>Loader</t>
  </si>
  <si>
    <t>Bordeaux</t>
  </si>
  <si>
    <t>Mini-Excavator</t>
  </si>
  <si>
    <t>Excavator</t>
  </si>
  <si>
    <t>Montpellier</t>
  </si>
  <si>
    <t>Rodez</t>
  </si>
  <si>
    <t>ZW220</t>
  </si>
  <si>
    <t>ZX17</t>
  </si>
  <si>
    <t>ZX38</t>
  </si>
  <si>
    <t>ZX130</t>
  </si>
  <si>
    <t>ZX250</t>
  </si>
  <si>
    <t>ZX140</t>
  </si>
  <si>
    <t>ZX145</t>
  </si>
  <si>
    <t>ZX170</t>
  </si>
  <si>
    <t>Taille</t>
  </si>
  <si>
    <t>Total général</t>
  </si>
  <si>
    <t>Ordre</t>
  </si>
  <si>
    <t>Machine</t>
  </si>
  <si>
    <t>ModelSpec</t>
  </si>
  <si>
    <t>ZW</t>
  </si>
  <si>
    <t>LSD</t>
  </si>
  <si>
    <t>Chargeuse</t>
  </si>
  <si>
    <t>LSD-WFPR</t>
  </si>
  <si>
    <t>TPD</t>
  </si>
  <si>
    <t>Pelle/Chenilles</t>
  </si>
  <si>
    <t>Pelle/Pneus</t>
  </si>
  <si>
    <t>ZX</t>
  </si>
  <si>
    <t>U</t>
  </si>
  <si>
    <t>A</t>
  </si>
  <si>
    <t>BL</t>
  </si>
  <si>
    <t>MN</t>
  </si>
  <si>
    <t>Financement</t>
  </si>
  <si>
    <t>STOCK</t>
  </si>
  <si>
    <t>STOCKBAT</t>
  </si>
  <si>
    <t>1-05174-1     1042</t>
  </si>
  <si>
    <t>à donner à XMTP - délai décalé</t>
  </si>
  <si>
    <t>ZW75-6</t>
  </si>
  <si>
    <t>LOC PLUS</t>
  </si>
  <si>
    <t>à financer</t>
  </si>
  <si>
    <t>GINESTE</t>
  </si>
  <si>
    <t>TEPASSO</t>
  </si>
  <si>
    <t>NEROCAN</t>
  </si>
  <si>
    <t>STAP</t>
  </si>
  <si>
    <t>SANCHEZ</t>
  </si>
  <si>
    <t>PRUNET</t>
  </si>
  <si>
    <t>1-05114-1</t>
  </si>
  <si>
    <t>RECTANGLE BLEU</t>
  </si>
  <si>
    <t>COLAS</t>
  </si>
  <si>
    <t>SAS SRI TRAL</t>
  </si>
  <si>
    <t>livrée directement à Lezignan</t>
  </si>
  <si>
    <t>SOL FRERES</t>
  </si>
  <si>
    <t>VIAGREEN</t>
  </si>
  <si>
    <t>OrderDate</t>
  </si>
  <si>
    <t>OrderNum</t>
  </si>
  <si>
    <t>Client</t>
  </si>
  <si>
    <t>OriginInfo</t>
  </si>
  <si>
    <t>MachineId</t>
  </si>
  <si>
    <t>Confirm</t>
  </si>
  <si>
    <t>OrderPrice</t>
  </si>
  <si>
    <t>SOCOMA</t>
  </si>
  <si>
    <t xml:space="preserve">Progression 2019 : </t>
  </si>
  <si>
    <t>k€</t>
  </si>
  <si>
    <t>Flux</t>
  </si>
  <si>
    <t>financiers</t>
  </si>
  <si>
    <t>T1</t>
  </si>
  <si>
    <t>T2</t>
  </si>
  <si>
    <t>T3</t>
  </si>
  <si>
    <t>T4</t>
  </si>
  <si>
    <t>Total CA</t>
  </si>
  <si>
    <t>17030033</t>
  </si>
  <si>
    <t>17060095</t>
  </si>
  <si>
    <t>16080003</t>
  </si>
  <si>
    <t>17110004</t>
  </si>
  <si>
    <t>17060075</t>
  </si>
  <si>
    <t>17060093</t>
  </si>
  <si>
    <t>17100089</t>
  </si>
  <si>
    <t>17100093</t>
  </si>
  <si>
    <t>17110005</t>
  </si>
  <si>
    <t>17100087</t>
  </si>
  <si>
    <t>17100088</t>
  </si>
  <si>
    <t>17100090</t>
  </si>
  <si>
    <t>17100091</t>
  </si>
  <si>
    <t>17110008</t>
  </si>
  <si>
    <t>17100060</t>
  </si>
  <si>
    <t>17100061</t>
  </si>
  <si>
    <t>171100017</t>
  </si>
  <si>
    <t>17100057</t>
  </si>
  <si>
    <t>17100058</t>
  </si>
  <si>
    <t>17100086</t>
  </si>
  <si>
    <t>17080106</t>
  </si>
  <si>
    <t>17040092</t>
  </si>
  <si>
    <t>17070020</t>
  </si>
  <si>
    <t>17110079</t>
  </si>
  <si>
    <t>17100063</t>
  </si>
  <si>
    <t>17100062</t>
  </si>
  <si>
    <t>17100085</t>
  </si>
  <si>
    <t>17100084</t>
  </si>
  <si>
    <t>17030057</t>
  </si>
  <si>
    <t>17080105</t>
  </si>
  <si>
    <t>17020004</t>
  </si>
  <si>
    <t>17040042</t>
  </si>
  <si>
    <t>17040041</t>
  </si>
  <si>
    <t>17060097</t>
  </si>
  <si>
    <t>17070005</t>
  </si>
  <si>
    <t>17070049</t>
  </si>
  <si>
    <t>17070050</t>
  </si>
  <si>
    <t>17070051</t>
  </si>
  <si>
    <t>17070004</t>
  </si>
  <si>
    <t>17070001</t>
  </si>
  <si>
    <t>17100055</t>
  </si>
  <si>
    <t>17100056</t>
  </si>
  <si>
    <t>17100092</t>
  </si>
  <si>
    <t>17100059</t>
  </si>
  <si>
    <t>17100013</t>
  </si>
  <si>
    <t>17110007</t>
  </si>
  <si>
    <t>Model-Spec</t>
  </si>
  <si>
    <t>Model</t>
  </si>
  <si>
    <t>ZX26U-5-YLR</t>
  </si>
  <si>
    <t>ZX85USB-5A-Mono</t>
  </si>
  <si>
    <t>ZX48U-5-CLRNH</t>
  </si>
  <si>
    <t>ZX55U-5-CLRNH</t>
  </si>
  <si>
    <t>ZX65USB-5-CLRNH</t>
  </si>
  <si>
    <t>ZX490-6-BE</t>
  </si>
  <si>
    <t>ZX26U-5-CLR</t>
  </si>
  <si>
    <t>ZX33U-5-CLR</t>
  </si>
  <si>
    <t>ZX48U-5-CLR</t>
  </si>
  <si>
    <t>ZX65USB-5-CLR</t>
  </si>
  <si>
    <t>Nbre</t>
  </si>
  <si>
    <t>** Lost **</t>
  </si>
  <si>
    <t>ZX530</t>
  </si>
  <si>
    <t>ZX530-6</t>
  </si>
  <si>
    <t>LCH</t>
  </si>
  <si>
    <t>ZX530-6-LCH</t>
  </si>
  <si>
    <t>2P-BL</t>
  </si>
  <si>
    <t>MN-BL</t>
  </si>
  <si>
    <t>ZW75</t>
  </si>
  <si>
    <t>ZW75-6-TPD</t>
  </si>
  <si>
    <t>TDA</t>
  </si>
  <si>
    <t>ZX65USB-5-CLP</t>
  </si>
  <si>
    <t>CLP</t>
  </si>
  <si>
    <t>2017-12-06 ADV</t>
  </si>
  <si>
    <t>ARTISANAL BATIMENT</t>
  </si>
  <si>
    <t>GASPARINI</t>
  </si>
  <si>
    <t>17110137</t>
  </si>
  <si>
    <t>CARCELLER</t>
  </si>
  <si>
    <t>_Location</t>
  </si>
  <si>
    <t>_Stock</t>
  </si>
  <si>
    <t>CITELIUM</t>
  </si>
  <si>
    <t>2017-10 ADV</t>
  </si>
  <si>
    <t>2017-05 Forecast</t>
  </si>
  <si>
    <t>Ton.</t>
  </si>
  <si>
    <t>2017-11 BTPS</t>
  </si>
  <si>
    <t>2017-10 BTPS</t>
  </si>
  <si>
    <t>Budget</t>
  </si>
  <si>
    <t>Colonne2</t>
  </si>
  <si>
    <t>Colonne3</t>
  </si>
  <si>
    <t>1-05115-1 820</t>
  </si>
  <si>
    <t>1-05216-1 1041</t>
  </si>
  <si>
    <t>1-04917-1 798</t>
  </si>
  <si>
    <t>1-04906-1 792</t>
  </si>
  <si>
    <t>1-04628-1 821</t>
  </si>
  <si>
    <t>1-04964-1 794</t>
  </si>
  <si>
    <t>Bayonne</t>
  </si>
  <si>
    <t>Colonne4</t>
  </si>
  <si>
    <t/>
  </si>
  <si>
    <t>ZX26U-5-CLRK</t>
  </si>
  <si>
    <t>ZX26U-5-YLRK</t>
  </si>
  <si>
    <t>ZX33U-5-CLRK2</t>
  </si>
  <si>
    <t>ZX33U-5-CLRK2NH</t>
  </si>
  <si>
    <t>ZX33U-5-CLRNH</t>
  </si>
  <si>
    <t>ZX33U-5-YLR</t>
  </si>
  <si>
    <t>ZX33U-5-YLR-NH</t>
  </si>
  <si>
    <t>ZX33U-5-YLRK2</t>
  </si>
  <si>
    <t>ZX33U-5-YLRK2NH</t>
  </si>
  <si>
    <t>ZX38U-5-CLR</t>
  </si>
  <si>
    <t>ZX38U-5-CLRK2</t>
  </si>
  <si>
    <t>ZX38U-5-CLRK2NH</t>
  </si>
  <si>
    <t>ZX38U-5-CLRNH</t>
  </si>
  <si>
    <t>ZX38U-5-YLR</t>
  </si>
  <si>
    <t>ZX38U-5-YLR-NH</t>
  </si>
  <si>
    <t>ZX38U-5-YLRK2</t>
  </si>
  <si>
    <t>ZX38U-5-YLRK2NH</t>
  </si>
  <si>
    <t>ZX48U-5-CLRK2</t>
  </si>
  <si>
    <t>ZX48U-5-CLRK2NH</t>
  </si>
  <si>
    <t>ZX48U-5-YLR</t>
  </si>
  <si>
    <t>ZX48U-5-YLR-NH</t>
  </si>
  <si>
    <t>ZX48U-5-YLRK2</t>
  </si>
  <si>
    <t>ZX48U-5-YLRK2NH</t>
  </si>
  <si>
    <t>ZX55U-5-CLR</t>
  </si>
  <si>
    <t>ZX55U-5-CLRK2</t>
  </si>
  <si>
    <t>ZX55U-5-CLRK2NH</t>
  </si>
  <si>
    <t>ZX55U-5-YLR</t>
  </si>
  <si>
    <t>ZX55U-5-YLR-NH</t>
  </si>
  <si>
    <t>ZX55U-5-YLRK2</t>
  </si>
  <si>
    <t>ZX55U-5-YLRK2NH</t>
  </si>
  <si>
    <t>ZX65USB-5-CLRK2</t>
  </si>
  <si>
    <t>ZX65USB-5-CLRK2NH</t>
  </si>
  <si>
    <t>ZX65USB-5-YLR</t>
  </si>
  <si>
    <t>ZX65USB-5-YLR-NH</t>
  </si>
  <si>
    <t>ZX65USB-5-YLRK2</t>
  </si>
  <si>
    <t>ZX65USB-5-YLRK2NH</t>
  </si>
  <si>
    <t>ZX490-6-H</t>
  </si>
  <si>
    <t>ZX85US-5A-Mono</t>
  </si>
  <si>
    <t>ZX85US-5A-Off-set</t>
  </si>
  <si>
    <t>ZX85USB-5A-2P</t>
  </si>
  <si>
    <t>Price</t>
  </si>
  <si>
    <t>oct.-19</t>
  </si>
  <si>
    <t>déc.-17</t>
  </si>
  <si>
    <t>mars-19</t>
  </si>
  <si>
    <t>déc.-18</t>
  </si>
  <si>
    <t>mai-19</t>
  </si>
  <si>
    <t>juin-19</t>
  </si>
  <si>
    <t>août-19</t>
  </si>
  <si>
    <t>nov.-19</t>
  </si>
  <si>
    <t>janv.-19</t>
  </si>
  <si>
    <t>févr.-19</t>
  </si>
  <si>
    <t>avr.-19</t>
  </si>
  <si>
    <t>juil.-19</t>
  </si>
  <si>
    <t>sept.-19</t>
  </si>
  <si>
    <t>déc.-19</t>
  </si>
  <si>
    <t>déc.-20</t>
  </si>
  <si>
    <t>janv.-21</t>
  </si>
  <si>
    <t>févr.-21</t>
  </si>
  <si>
    <t>1-Forecast</t>
  </si>
  <si>
    <t>2-Reply</t>
  </si>
  <si>
    <t>3-Commande</t>
  </si>
  <si>
    <t>4-Livraison</t>
  </si>
  <si>
    <t>5-Livrée</t>
  </si>
  <si>
    <t xml:space="preserve">Sous-TOTAL : </t>
  </si>
  <si>
    <t xml:space="preserve">machines pr un montant de </t>
  </si>
  <si>
    <t>ESM TP</t>
  </si>
  <si>
    <t>_commun</t>
  </si>
  <si>
    <t>2017-12-08 MN</t>
  </si>
  <si>
    <t>Somme de Budget</t>
  </si>
  <si>
    <t>w</t>
  </si>
  <si>
    <t>-</t>
  </si>
  <si>
    <t>PayMonth</t>
  </si>
  <si>
    <t>PayYear</t>
  </si>
  <si>
    <t>LivrMois</t>
  </si>
  <si>
    <t>LivrAn</t>
  </si>
  <si>
    <t xml:space="preserve">Règlement à j+ </t>
  </si>
  <si>
    <t>DateLivr</t>
  </si>
  <si>
    <t>MoisLivr</t>
  </si>
  <si>
    <t>DatePaie</t>
  </si>
  <si>
    <t>MoisPaie</t>
  </si>
  <si>
    <t>Distrib</t>
  </si>
  <si>
    <t>MoisDistrib</t>
  </si>
  <si>
    <t>VteESM</t>
  </si>
  <si>
    <t>MoisVteESM</t>
  </si>
  <si>
    <t>RgltDistrib</t>
  </si>
  <si>
    <t>MoisRgltDistrib</t>
  </si>
  <si>
    <t>Paiement à HCME</t>
  </si>
  <si>
    <t>Réception de la machine</t>
  </si>
  <si>
    <t>Estim. vente stock</t>
  </si>
  <si>
    <t>RgltVteESM</t>
  </si>
  <si>
    <t>MoisRgltVteESM</t>
  </si>
  <si>
    <t>Rglt si Vte Stock</t>
  </si>
  <si>
    <t>Rglt si Commande</t>
  </si>
  <si>
    <t>Livraison des Cdes</t>
  </si>
  <si>
    <t xml:space="preserve">Vente stock ESM TP à j+ </t>
  </si>
  <si>
    <t>Rglt des vtes stock ESM TP</t>
  </si>
  <si>
    <t>Solde GESTION</t>
  </si>
  <si>
    <t>VENTE stock</t>
  </si>
  <si>
    <t>Résultat GESTION</t>
  </si>
  <si>
    <t>Somme de Nbre</t>
  </si>
  <si>
    <t>Début Exploitation</t>
  </si>
  <si>
    <t>Solde STOCK</t>
  </si>
  <si>
    <t>TOTAL Trimestre</t>
  </si>
  <si>
    <t>TOTAL Annuel</t>
  </si>
  <si>
    <t>Rglt à HCME</t>
  </si>
  <si>
    <t xml:space="preserve">dont marge : </t>
  </si>
  <si>
    <t>Achats</t>
  </si>
  <si>
    <t>TOTAL Mois</t>
  </si>
  <si>
    <t>TVA encaissée</t>
  </si>
  <si>
    <t>ACHATS des Commandes</t>
  </si>
  <si>
    <t>ACHATS pour Stock</t>
  </si>
  <si>
    <t>ACHATS</t>
  </si>
  <si>
    <t>Décaissement Achats</t>
  </si>
  <si>
    <t>TVA sur les VENTES</t>
  </si>
  <si>
    <t>VENTES</t>
  </si>
  <si>
    <t>MarkUp distrib.</t>
  </si>
  <si>
    <t>VENTE commandes</t>
  </si>
  <si>
    <t>Encaissement Ventes</t>
  </si>
  <si>
    <t>Encaiss. Ventes des Cdes</t>
  </si>
  <si>
    <t>Encaiss. Ventes Stocks</t>
  </si>
  <si>
    <t>Frais de Gestion</t>
  </si>
  <si>
    <t>Total Achats</t>
  </si>
  <si>
    <t>Total Trimestre</t>
  </si>
  <si>
    <t>Total Annuel</t>
  </si>
  <si>
    <t>TVA sur Frais</t>
  </si>
  <si>
    <t>Décaissement Frais de Gestion</t>
  </si>
  <si>
    <t>Décaissement à j+</t>
  </si>
  <si>
    <t>TRESORERIE</t>
  </si>
  <si>
    <t>TOTAL ENCAISSEMENT</t>
  </si>
  <si>
    <t>Capital initial</t>
  </si>
  <si>
    <t>Frais de Création</t>
  </si>
  <si>
    <t>Tréso initiale</t>
  </si>
  <si>
    <t>TOTAL DECAISSEMENT</t>
  </si>
  <si>
    <t>Solde interm. de Tréso</t>
  </si>
  <si>
    <t>SOLDE DE TRESO</t>
  </si>
  <si>
    <t>Saisonnalité</t>
  </si>
  <si>
    <t>HITACHI</t>
  </si>
  <si>
    <t xml:space="preserve">Part Hitachi : </t>
  </si>
  <si>
    <t xml:space="preserve">Baisse moyenne 2017 : </t>
  </si>
  <si>
    <t>(fin année)</t>
  </si>
  <si>
    <t>et 2018 :</t>
  </si>
  <si>
    <t>Pour cause de baisse des dispos HITACHI France : transition 2019</t>
  </si>
  <si>
    <t>Intégration SETP</t>
  </si>
  <si>
    <t>Forecast avec HITACHI, vu notamment</t>
  </si>
  <si>
    <t xml:space="preserve"> avec rattrapage des dispos pour commandes clients retardées.</t>
  </si>
  <si>
    <t xml:space="preserve">des flux : </t>
  </si>
  <si>
    <t>REGULARISER STE SUR REGIE (setp)</t>
  </si>
  <si>
    <t>10-2018</t>
  </si>
  <si>
    <t>11-2018</t>
  </si>
  <si>
    <t>04-2018</t>
  </si>
  <si>
    <t>05-2018</t>
  </si>
  <si>
    <t>06-2018</t>
  </si>
  <si>
    <t>07-2018</t>
  </si>
  <si>
    <t>08-2018</t>
  </si>
  <si>
    <t>09-2018</t>
  </si>
  <si>
    <t>pour les distributeurs</t>
  </si>
  <si>
    <t>pour les distributeurs.</t>
  </si>
  <si>
    <t xml:space="preserve"> PREVISIONNEL PAR TYPE DE MACHINES</t>
  </si>
  <si>
    <t>PREVISIONNEL PAR TYPE DE MACHINES</t>
  </si>
  <si>
    <t>Total Pelle/Chenilles</t>
  </si>
  <si>
    <t>Total Mini Pelle</t>
  </si>
  <si>
    <t>2017-12-13 ADV</t>
  </si>
  <si>
    <t>17120023</t>
  </si>
  <si>
    <t>17120024</t>
  </si>
  <si>
    <t>12-2018</t>
  </si>
  <si>
    <t>En cumulé</t>
  </si>
  <si>
    <t>Livraison</t>
  </si>
  <si>
    <t>Rglt HCME</t>
  </si>
  <si>
    <t>Encais. vente stock</t>
  </si>
  <si>
    <t>2022</t>
  </si>
  <si>
    <t>Crédit</t>
  </si>
  <si>
    <t>Débit</t>
  </si>
  <si>
    <t>Résultat</t>
  </si>
  <si>
    <t>Bilan</t>
  </si>
  <si>
    <t>Actif</t>
  </si>
  <si>
    <t>Passif</t>
  </si>
  <si>
    <t>Reversement TVA</t>
  </si>
  <si>
    <t>LIMA TP</t>
  </si>
  <si>
    <t>BOISSEUIL</t>
  </si>
  <si>
    <t>2017-12-29 LIMA</t>
  </si>
  <si>
    <t>ZX65U-5-CLR</t>
  </si>
  <si>
    <t>ZW95</t>
  </si>
  <si>
    <t xml:space="preserve">ZW95-6 </t>
  </si>
  <si>
    <t>_Client x</t>
  </si>
  <si>
    <t>ZW95-6</t>
  </si>
  <si>
    <t>ZW95-6-???</t>
  </si>
  <si>
    <t>2017-12 XMTP</t>
  </si>
  <si>
    <t>Boisseuil</t>
  </si>
  <si>
    <t>Lézignan</t>
  </si>
  <si>
    <t>LÉZIGNAN</t>
  </si>
  <si>
    <t>Orthez</t>
  </si>
  <si>
    <t>Rabastens</t>
  </si>
  <si>
    <t>2018-02-07 ADV</t>
  </si>
  <si>
    <t>2018-02-06 XMTP</t>
  </si>
  <si>
    <t>_TPAL</t>
  </si>
  <si>
    <t>Alloué</t>
  </si>
  <si>
    <t>Sans allocation</t>
  </si>
  <si>
    <t>ZX135US-6-MN</t>
  </si>
  <si>
    <t>Délai souhaité</t>
  </si>
  <si>
    <t>2 sur Dec et 2 jan2019</t>
  </si>
  <si>
    <t>ZX130LCN-6-MN</t>
  </si>
  <si>
    <t>ZX130LCN-6</t>
  </si>
  <si>
    <t>ZX190LCN-6-MN</t>
  </si>
  <si>
    <t>ZX190LCN-6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</si>
</sst>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-* #,##0.00\ _€_-;\-* #,##0.00\ _€_-;_-* &quot;-&quot;??\ _€_-;_-@_-"/>
    <numFmt numFmtId="164" formatCode="0.0%"/>
    <numFmt numFmtId="165" formatCode="[$-40C]d\ mmmm\ yyyy;@"/>
    <numFmt numFmtId="166" formatCode="_-* #,##0\ _€_-;\-* #,##0\ _€_-;_-* &quot;-&quot;??\ _€_-;_-@_-"/>
    <numFmt numFmtId="167" formatCode="[$-40C]mmm\-yy;@"/>
    <numFmt numFmtId="168" formatCode="[$-40C]mmm\ yyyy;@"/>
    <numFmt numFmtId="169" formatCode="[$-40C]mmm\-yyyy;@"/>
    <numFmt numFmtId="170" formatCode="#,##0\ [$€-40C]"/>
    <numFmt numFmtId="171" formatCode="#,##0_ ;[Red]\-#,##0\ "/>
    <numFmt numFmtId="172" formatCode="0;\-0;;@"/>
    <numFmt numFmtId="173" formatCode="[$-40C]d\-mmm\-yyyy;@"/>
    <numFmt numFmtId="174" formatCode="[$-40C]mmm\ yy;@"/>
  </numFmts>
  <fonts count="32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6"/>
      <color theme="1"/>
      <name val="Calibri"/>
      <family val="2"/>
      <charset val="128"/>
      <scheme val="minor"/>
    </font>
    <font>
      <sz val="18"/>
      <color theme="1"/>
      <name val="Calibri"/>
      <family val="2"/>
      <charset val="128"/>
      <scheme val="minor"/>
    </font>
    <font>
      <u/>
      <sz val="11"/>
      <color theme="1"/>
      <name val="Calibri"/>
      <family val="2"/>
      <charset val="128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28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charset val="128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128"/>
      <scheme val="minor"/>
    </font>
    <font>
      <sz val="12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</font>
    <font>
      <sz val="12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112">
    <border>
      <left/>
      <right/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medium">
        <color auto="1"/>
      </right>
      <top/>
      <bottom/>
      <diagonal/>
    </border>
    <border>
      <left style="dotted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 style="dashed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dotted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tted">
        <color auto="1"/>
      </left>
      <right style="medium">
        <color auto="1"/>
      </right>
      <top style="thin">
        <color auto="1"/>
      </top>
      <bottom/>
      <diagonal/>
    </border>
    <border>
      <left style="thin">
        <color theme="9"/>
      </left>
      <right/>
      <top/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theme="9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 style="thin">
        <color theme="9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auto="1"/>
      </left>
      <right/>
      <top style="thin">
        <color theme="8"/>
      </top>
      <bottom/>
      <diagonal/>
    </border>
    <border>
      <left style="medium">
        <color auto="1"/>
      </left>
      <right/>
      <top style="thin">
        <color theme="8"/>
      </top>
      <bottom/>
      <diagonal/>
    </border>
    <border>
      <left style="dotted">
        <color auto="1"/>
      </left>
      <right/>
      <top style="thin">
        <color theme="8"/>
      </top>
      <bottom/>
      <diagonal/>
    </border>
    <border>
      <left style="medium">
        <color auto="1"/>
      </left>
      <right style="medium">
        <color auto="1"/>
      </right>
      <top style="thin">
        <color theme="8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theme="8"/>
      </top>
      <bottom style="medium">
        <color auto="1"/>
      </bottom>
      <diagonal/>
    </border>
    <border>
      <left style="medium">
        <color auto="1"/>
      </left>
      <right/>
      <top style="thin">
        <color theme="8"/>
      </top>
      <bottom style="medium">
        <color auto="1"/>
      </bottom>
      <diagonal/>
    </border>
    <border>
      <left style="dotted">
        <color auto="1"/>
      </left>
      <right/>
      <top style="thin">
        <color theme="8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theme="8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thin">
        <color theme="9"/>
      </right>
      <top style="thin">
        <color theme="8"/>
      </top>
      <bottom style="thin">
        <color theme="9"/>
      </bottom>
      <diagonal/>
    </border>
    <border>
      <left style="medium">
        <color auto="1"/>
      </left>
      <right style="thin">
        <color theme="9"/>
      </right>
      <top style="thin">
        <color auto="1"/>
      </top>
      <bottom style="thin">
        <color theme="9"/>
      </bottom>
      <diagonal/>
    </border>
    <border>
      <left style="dotted">
        <color auto="1"/>
      </left>
      <right style="thin">
        <color theme="9"/>
      </right>
      <top style="thin">
        <color auto="1"/>
      </top>
      <bottom style="thin">
        <color theme="9"/>
      </bottom>
      <diagonal/>
    </border>
    <border>
      <left/>
      <right/>
      <top style="thin">
        <color theme="8"/>
      </top>
      <bottom/>
      <diagonal/>
    </border>
    <border>
      <left/>
      <right/>
      <top style="thin">
        <color theme="8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thin">
        <color theme="8"/>
      </top>
      <bottom style="thin">
        <color theme="9"/>
      </bottom>
      <diagonal/>
    </border>
    <border>
      <left/>
      <right style="thin">
        <color theme="9"/>
      </right>
      <top style="thin">
        <color theme="8"/>
      </top>
      <bottom style="thin">
        <color theme="9"/>
      </bottom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medium">
        <color auto="1"/>
      </right>
      <top style="thin">
        <color theme="8"/>
      </top>
      <bottom/>
      <diagonal/>
    </border>
    <border>
      <left style="dotted">
        <color auto="1"/>
      </left>
      <right style="medium">
        <color auto="1"/>
      </right>
      <top style="thin">
        <color theme="8"/>
      </top>
      <bottom style="medium">
        <color auto="1"/>
      </bottom>
      <diagonal/>
    </border>
    <border>
      <left style="medium">
        <color auto="1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medium">
        <color auto="1"/>
      </right>
      <top style="thin">
        <color theme="9"/>
      </top>
      <bottom style="thin">
        <color theme="9"/>
      </bottom>
      <diagonal/>
    </border>
    <border>
      <left style="medium">
        <color auto="1"/>
      </left>
      <right style="thin">
        <color theme="9"/>
      </right>
      <top style="thin">
        <color theme="8"/>
      </top>
      <bottom style="thin">
        <color auto="1"/>
      </bottom>
      <diagonal/>
    </border>
    <border>
      <left style="dotted">
        <color auto="1"/>
      </left>
      <right style="thin">
        <color theme="9"/>
      </right>
      <top style="thin">
        <color theme="8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thin">
        <color theme="8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9"/>
      </left>
      <right style="thin">
        <color theme="9"/>
      </right>
      <top style="medium">
        <color theme="9"/>
      </top>
      <bottom style="medium">
        <color theme="9"/>
      </bottom>
      <diagonal/>
    </border>
    <border>
      <left/>
      <right/>
      <top style="medium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</borders>
  <cellStyleXfs count="7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7" fillId="0" borderId="0" applyNumberFormat="0" applyFill="0" applyBorder="0" applyAlignment="0" applyProtection="0"/>
  </cellStyleXfs>
  <cellXfs count="45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0" xfId="0" applyFill="1" applyBorder="1" applyAlignment="1">
      <alignment vertical="center"/>
    </xf>
    <xf numFmtId="164" fontId="0" fillId="0" borderId="3" xfId="1" applyNumberFormat="1" applyFon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4" fontId="0" fillId="0" borderId="8" xfId="1" applyNumberFormat="1" applyFont="1" applyBorder="1" applyAlignment="1">
      <alignment vertical="center"/>
    </xf>
    <xf numFmtId="164" fontId="0" fillId="2" borderId="10" xfId="1" applyNumberFormat="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65" fontId="7" fillId="3" borderId="22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vertical="center"/>
    </xf>
    <xf numFmtId="165" fontId="7" fillId="3" borderId="17" xfId="0" applyNumberFormat="1" applyFont="1" applyFill="1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165" fontId="7" fillId="3" borderId="19" xfId="0" applyNumberFormat="1" applyFont="1" applyFill="1" applyBorder="1" applyAlignment="1">
      <alignment horizontal="left" vertical="center"/>
    </xf>
    <xf numFmtId="0" fontId="0" fillId="3" borderId="20" xfId="0" applyFill="1" applyBorder="1" applyAlignment="1">
      <alignment vertical="center"/>
    </xf>
    <xf numFmtId="165" fontId="7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right" vertical="center"/>
    </xf>
    <xf numFmtId="165" fontId="7" fillId="0" borderId="0" xfId="0" applyNumberFormat="1" applyFont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6" fontId="0" fillId="0" borderId="3" xfId="2" applyNumberFormat="1" applyFont="1" applyBorder="1" applyAlignment="1">
      <alignment vertical="center"/>
    </xf>
    <xf numFmtId="166" fontId="0" fillId="0" borderId="1" xfId="2" applyNumberFormat="1" applyFont="1" applyBorder="1" applyAlignment="1">
      <alignment vertical="center"/>
    </xf>
    <xf numFmtId="166" fontId="0" fillId="0" borderId="8" xfId="2" applyNumberFormat="1" applyFont="1" applyBorder="1" applyAlignment="1">
      <alignment vertical="center"/>
    </xf>
    <xf numFmtId="166" fontId="0" fillId="2" borderId="10" xfId="2" applyNumberFormat="1" applyFont="1" applyFill="1" applyBorder="1" applyAlignment="1">
      <alignment vertical="center"/>
    </xf>
    <xf numFmtId="166" fontId="0" fillId="3" borderId="3" xfId="2" applyNumberFormat="1" applyFont="1" applyFill="1" applyBorder="1" applyAlignment="1">
      <alignment vertical="center"/>
    </xf>
    <xf numFmtId="166" fontId="0" fillId="3" borderId="4" xfId="2" applyNumberFormat="1" applyFont="1" applyFill="1" applyBorder="1" applyAlignment="1">
      <alignment vertical="center"/>
    </xf>
    <xf numFmtId="166" fontId="0" fillId="3" borderId="1" xfId="2" applyNumberFormat="1" applyFont="1" applyFill="1" applyBorder="1" applyAlignment="1">
      <alignment vertical="center"/>
    </xf>
    <xf numFmtId="166" fontId="0" fillId="3" borderId="6" xfId="2" applyNumberFormat="1" applyFont="1" applyFill="1" applyBorder="1" applyAlignment="1">
      <alignment vertical="center"/>
    </xf>
    <xf numFmtId="166" fontId="0" fillId="3" borderId="8" xfId="2" applyNumberFormat="1" applyFont="1" applyFill="1" applyBorder="1" applyAlignment="1">
      <alignment vertical="center"/>
    </xf>
    <xf numFmtId="166" fontId="0" fillId="3" borderId="9" xfId="2" applyNumberFormat="1" applyFont="1" applyFill="1" applyBorder="1" applyAlignment="1">
      <alignment vertical="center"/>
    </xf>
    <xf numFmtId="166" fontId="0" fillId="2" borderId="11" xfId="2" applyNumberFormat="1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29" xfId="0" applyBorder="1" applyAlignment="1">
      <alignment vertical="center"/>
    </xf>
    <xf numFmtId="166" fontId="0" fillId="3" borderId="30" xfId="2" applyNumberFormat="1" applyFont="1" applyFill="1" applyBorder="1" applyAlignment="1">
      <alignment horizontal="center" vertical="center"/>
    </xf>
    <xf numFmtId="166" fontId="0" fillId="3" borderId="1" xfId="2" applyNumberFormat="1" applyFont="1" applyFill="1" applyBorder="1" applyAlignment="1">
      <alignment horizontal="center" vertical="center"/>
    </xf>
    <xf numFmtId="166" fontId="0" fillId="3" borderId="31" xfId="2" applyNumberFormat="1" applyFont="1" applyFill="1" applyBorder="1" applyAlignment="1">
      <alignment vertical="center"/>
    </xf>
    <xf numFmtId="166" fontId="0" fillId="4" borderId="33" xfId="2" applyNumberFormat="1" applyFont="1" applyFill="1" applyBorder="1" applyAlignment="1">
      <alignment vertical="center"/>
    </xf>
    <xf numFmtId="166" fontId="0" fillId="3" borderId="12" xfId="2" applyNumberFormat="1" applyFont="1" applyFill="1" applyBorder="1" applyAlignment="1">
      <alignment vertical="center"/>
    </xf>
    <xf numFmtId="166" fontId="0" fillId="3" borderId="12" xfId="2" applyNumberFormat="1" applyFont="1" applyFill="1" applyBorder="1" applyAlignment="1">
      <alignment horizontal="center" vertical="center" wrapText="1"/>
    </xf>
    <xf numFmtId="0" fontId="0" fillId="3" borderId="33" xfId="2" applyNumberFormat="1" applyFont="1" applyFill="1" applyBorder="1" applyAlignment="1">
      <alignment horizontal="center" vertical="center"/>
    </xf>
    <xf numFmtId="0" fontId="0" fillId="3" borderId="33" xfId="2" applyNumberFormat="1" applyFont="1" applyFill="1" applyBorder="1" applyAlignment="1">
      <alignment horizontal="center" vertical="center" wrapText="1"/>
    </xf>
    <xf numFmtId="0" fontId="0" fillId="0" borderId="3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31" xfId="0" applyBorder="1" applyAlignment="1">
      <alignment horizontal="left" vertical="center"/>
    </xf>
    <xf numFmtId="0" fontId="0" fillId="4" borderId="33" xfId="0" applyFill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3" borderId="1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5" fillId="3" borderId="33" xfId="2" applyNumberFormat="1" applyFont="1" applyFill="1" applyBorder="1" applyAlignment="1">
      <alignment horizontal="center" vertical="center" wrapText="1"/>
    </xf>
    <xf numFmtId="0" fontId="15" fillId="7" borderId="60" xfId="0" applyFont="1" applyFill="1" applyBorder="1" applyAlignment="1">
      <alignment horizontal="center" vertical="center"/>
    </xf>
    <xf numFmtId="0" fontId="15" fillId="7" borderId="6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49" fontId="16" fillId="0" borderId="0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171" fontId="19" fillId="0" borderId="0" xfId="2" applyNumberFormat="1" applyFont="1" applyAlignment="1">
      <alignment vertical="center"/>
    </xf>
    <xf numFmtId="171" fontId="18" fillId="0" borderId="0" xfId="2" applyNumberFormat="1" applyFont="1" applyAlignment="1">
      <alignment vertical="center"/>
    </xf>
    <xf numFmtId="0" fontId="18" fillId="6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0" borderId="0" xfId="0" quotePrefix="1" applyFont="1" applyAlignment="1">
      <alignment horizontal="left" vertical="center"/>
    </xf>
    <xf numFmtId="0" fontId="16" fillId="7" borderId="0" xfId="4" applyNumberFormat="1" applyFont="1" applyFill="1" applyBorder="1" applyAlignment="1">
      <alignment horizontal="center" vertical="center"/>
    </xf>
    <xf numFmtId="0" fontId="16" fillId="0" borderId="0" xfId="4" applyNumberFormat="1" applyFont="1" applyFill="1" applyBorder="1" applyAlignment="1">
      <alignment vertical="center"/>
    </xf>
    <xf numFmtId="0" fontId="20" fillId="0" borderId="0" xfId="4" applyNumberFormat="1" applyFont="1" applyFill="1" applyBorder="1" applyAlignment="1">
      <alignment horizontal="left" vertical="center"/>
    </xf>
    <xf numFmtId="0" fontId="20" fillId="0" borderId="0" xfId="4" applyNumberFormat="1" applyFont="1" applyFill="1" applyBorder="1" applyAlignment="1">
      <alignment horizontal="center" vertical="center"/>
    </xf>
    <xf numFmtId="168" fontId="16" fillId="0" borderId="0" xfId="4" applyNumberFormat="1" applyFont="1" applyFill="1" applyBorder="1" applyAlignment="1">
      <alignment horizontal="center" vertical="center"/>
    </xf>
    <xf numFmtId="0" fontId="16" fillId="0" borderId="0" xfId="4" applyNumberFormat="1" applyFont="1" applyFill="1" applyBorder="1" applyAlignment="1">
      <alignment horizontal="center" vertical="center"/>
    </xf>
    <xf numFmtId="167" fontId="16" fillId="0" borderId="0" xfId="4" applyNumberFormat="1" applyFont="1" applyFill="1" applyBorder="1" applyAlignment="1">
      <alignment horizontal="center" vertical="center"/>
    </xf>
    <xf numFmtId="0" fontId="16" fillId="0" borderId="0" xfId="4" applyFont="1" applyAlignment="1">
      <alignment horizontal="center" vertical="center"/>
    </xf>
    <xf numFmtId="0" fontId="16" fillId="0" borderId="0" xfId="4" applyFont="1" applyAlignment="1">
      <alignment vertical="center"/>
    </xf>
    <xf numFmtId="170" fontId="16" fillId="0" borderId="0" xfId="0" applyNumberFormat="1" applyFont="1" applyFill="1" applyBorder="1" applyAlignment="1">
      <alignment horizontal="center" vertical="center"/>
    </xf>
    <xf numFmtId="17" fontId="16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16" fillId="0" borderId="0" xfId="4" applyFont="1" applyFill="1" applyAlignment="1">
      <alignment horizontal="center" vertical="center"/>
    </xf>
    <xf numFmtId="0" fontId="16" fillId="0" borderId="0" xfId="4" applyFont="1" applyFill="1" applyAlignment="1">
      <alignment vertical="center"/>
    </xf>
    <xf numFmtId="0" fontId="16" fillId="0" borderId="0" xfId="0" applyFont="1" applyAlignment="1">
      <alignment vertical="center"/>
    </xf>
    <xf numFmtId="167" fontId="16" fillId="0" borderId="0" xfId="4" applyNumberFormat="1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0" fontId="16" fillId="0" borderId="0" xfId="6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16" fillId="0" borderId="0" xfId="4" applyNumberFormat="1" applyFont="1" applyFill="1" applyBorder="1" applyAlignment="1">
      <alignment horizontal="left" vertical="center"/>
    </xf>
    <xf numFmtId="0" fontId="14" fillId="0" borderId="62" xfId="0" applyNumberFormat="1" applyFont="1" applyFill="1" applyBorder="1" applyAlignment="1">
      <alignment horizontal="center" vertical="center"/>
    </xf>
    <xf numFmtId="0" fontId="12" fillId="0" borderId="62" xfId="0" applyFont="1" applyFill="1" applyBorder="1" applyAlignment="1">
      <alignment vertical="center"/>
    </xf>
    <xf numFmtId="0" fontId="14" fillId="0" borderId="62" xfId="0" applyNumberFormat="1" applyFont="1" applyFill="1" applyBorder="1" applyAlignment="1">
      <alignment horizontal="left" vertical="center"/>
    </xf>
    <xf numFmtId="0" fontId="14" fillId="0" borderId="65" xfId="0" applyNumberFormat="1" applyFont="1" applyFill="1" applyBorder="1" applyAlignment="1">
      <alignment horizontal="center" vertical="center"/>
    </xf>
    <xf numFmtId="0" fontId="12" fillId="0" borderId="63" xfId="0" applyFont="1" applyFill="1" applyBorder="1" applyAlignment="1">
      <alignment vertical="center"/>
    </xf>
    <xf numFmtId="0" fontId="14" fillId="0" borderId="63" xfId="0" applyNumberFormat="1" applyFont="1" applyFill="1" applyBorder="1" applyAlignment="1">
      <alignment horizontal="left" vertical="center"/>
    </xf>
    <xf numFmtId="0" fontId="15" fillId="7" borderId="60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4" fillId="0" borderId="64" xfId="0" applyNumberFormat="1" applyFont="1" applyFill="1" applyBorder="1" applyAlignment="1">
      <alignment horizontal="left" vertical="center"/>
    </xf>
    <xf numFmtId="0" fontId="16" fillId="7" borderId="0" xfId="4" applyNumberFormat="1" applyFont="1" applyFill="1" applyBorder="1" applyAlignment="1">
      <alignment horizontal="left" vertical="center"/>
    </xf>
    <xf numFmtId="0" fontId="14" fillId="0" borderId="6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67" fontId="16" fillId="0" borderId="0" xfId="4" quotePrefix="1" applyNumberFormat="1" applyFont="1" applyFill="1" applyBorder="1" applyAlignment="1">
      <alignment horizontal="left" vertical="center"/>
    </xf>
    <xf numFmtId="0" fontId="22" fillId="7" borderId="0" xfId="4" applyFont="1" applyFill="1" applyAlignment="1">
      <alignment horizontal="right" vertical="center"/>
    </xf>
    <xf numFmtId="0" fontId="16" fillId="0" borderId="0" xfId="4" applyFont="1" applyAlignment="1">
      <alignment horizontal="left" vertical="center"/>
    </xf>
    <xf numFmtId="0" fontId="16" fillId="6" borderId="0" xfId="0" applyFont="1" applyFill="1" applyBorder="1" applyAlignment="1">
      <alignment horizontal="left" vertical="center"/>
    </xf>
    <xf numFmtId="0" fontId="16" fillId="10" borderId="0" xfId="0" applyFont="1" applyFill="1" applyBorder="1" applyAlignment="1">
      <alignment horizontal="left" vertical="center"/>
    </xf>
    <xf numFmtId="0" fontId="16" fillId="7" borderId="0" xfId="4" applyFont="1" applyFill="1" applyAlignment="1">
      <alignment vertical="center"/>
    </xf>
    <xf numFmtId="0" fontId="16" fillId="7" borderId="0" xfId="4" applyFont="1" applyFill="1" applyAlignment="1">
      <alignment horizontal="right" vertical="center"/>
    </xf>
    <xf numFmtId="3" fontId="16" fillId="7" borderId="0" xfId="4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vertical="center"/>
    </xf>
    <xf numFmtId="0" fontId="16" fillId="3" borderId="0" xfId="4" applyFont="1" applyFill="1" applyAlignment="1">
      <alignment vertical="center"/>
    </xf>
    <xf numFmtId="167" fontId="16" fillId="3" borderId="0" xfId="4" applyNumberFormat="1" applyFont="1" applyFill="1" applyBorder="1" applyAlignment="1">
      <alignment horizontal="center" vertical="center"/>
    </xf>
    <xf numFmtId="0" fontId="16" fillId="3" borderId="0" xfId="0" applyNumberFormat="1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left" vertical="center"/>
    </xf>
    <xf numFmtId="170" fontId="16" fillId="3" borderId="0" xfId="0" applyNumberFormat="1" applyFont="1" applyFill="1" applyBorder="1" applyAlignment="1">
      <alignment horizontal="center" vertical="center"/>
    </xf>
    <xf numFmtId="0" fontId="16" fillId="2" borderId="0" xfId="4" applyNumberFormat="1" applyFont="1" applyFill="1" applyBorder="1" applyAlignment="1">
      <alignment horizontal="left" vertical="center"/>
    </xf>
    <xf numFmtId="0" fontId="0" fillId="0" borderId="0" xfId="0" pivotButton="1" applyAlignment="1">
      <alignment horizontal="center" vertical="center"/>
    </xf>
    <xf numFmtId="49" fontId="24" fillId="0" borderId="0" xfId="0" applyNumberFormat="1" applyFont="1" applyFill="1" applyBorder="1" applyAlignment="1">
      <alignment horizontal="center" vertical="center"/>
    </xf>
    <xf numFmtId="170" fontId="24" fillId="0" borderId="0" xfId="0" applyNumberFormat="1" applyFont="1" applyFill="1" applyBorder="1" applyAlignment="1">
      <alignment horizontal="center" vertical="center"/>
    </xf>
    <xf numFmtId="170" fontId="24" fillId="0" borderId="0" xfId="4" applyNumberFormat="1" applyFont="1" applyFill="1" applyBorder="1" applyAlignment="1">
      <alignment horizontal="center" vertical="center"/>
    </xf>
    <xf numFmtId="167" fontId="24" fillId="0" borderId="0" xfId="4" applyNumberFormat="1" applyFont="1" applyFill="1" applyBorder="1" applyAlignment="1">
      <alignment horizontal="center" vertical="center"/>
    </xf>
    <xf numFmtId="0" fontId="24" fillId="0" borderId="0" xfId="0" applyNumberFormat="1" applyFont="1" applyFill="1" applyBorder="1" applyAlignment="1">
      <alignment horizontal="center" vertical="center"/>
    </xf>
    <xf numFmtId="167" fontId="24" fillId="0" borderId="0" xfId="4" applyNumberFormat="1" applyFont="1" applyFill="1" applyAlignment="1">
      <alignment horizontal="left" vertical="center"/>
    </xf>
    <xf numFmtId="1" fontId="16" fillId="0" borderId="0" xfId="4" applyNumberFormat="1" applyFont="1" applyFill="1" applyBorder="1" applyAlignment="1">
      <alignment horizontal="center" vertical="center"/>
    </xf>
    <xf numFmtId="0" fontId="13" fillId="0" borderId="0" xfId="5" applyFont="1" applyAlignment="1">
      <alignment vertical="center"/>
    </xf>
    <xf numFmtId="0" fontId="13" fillId="0" borderId="48" xfId="5" applyFont="1" applyBorder="1" applyAlignment="1">
      <alignment vertical="center"/>
    </xf>
    <xf numFmtId="0" fontId="13" fillId="0" borderId="49" xfId="5" applyFont="1" applyBorder="1" applyAlignment="1">
      <alignment vertical="center"/>
    </xf>
    <xf numFmtId="0" fontId="13" fillId="0" borderId="39" xfId="5" applyFont="1" applyBorder="1" applyAlignment="1">
      <alignment vertical="center"/>
    </xf>
    <xf numFmtId="0" fontId="13" fillId="0" borderId="40" xfId="5" applyFont="1" applyBorder="1" applyAlignment="1">
      <alignment vertical="center"/>
    </xf>
    <xf numFmtId="0" fontId="13" fillId="0" borderId="41" xfId="5" applyFont="1" applyBorder="1" applyAlignment="1">
      <alignment vertical="center"/>
    </xf>
    <xf numFmtId="0" fontId="18" fillId="0" borderId="0" xfId="5" applyFont="1" applyAlignment="1">
      <alignment horizontal="center" vertical="center"/>
    </xf>
    <xf numFmtId="0" fontId="18" fillId="0" borderId="0" xfId="5" applyFont="1" applyFill="1" applyAlignment="1">
      <alignment horizontal="center" vertical="center"/>
    </xf>
    <xf numFmtId="0" fontId="18" fillId="0" borderId="39" xfId="5" applyFont="1" applyFill="1" applyBorder="1" applyAlignment="1">
      <alignment horizontal="center" vertical="center"/>
    </xf>
    <xf numFmtId="0" fontId="18" fillId="0" borderId="40" xfId="5" applyFont="1" applyFill="1" applyBorder="1" applyAlignment="1">
      <alignment horizontal="center" vertical="center"/>
    </xf>
    <xf numFmtId="0" fontId="18" fillId="0" borderId="41" xfId="5" applyFont="1" applyFill="1" applyBorder="1" applyAlignment="1">
      <alignment horizontal="center" vertical="center"/>
    </xf>
    <xf numFmtId="0" fontId="18" fillId="0" borderId="0" xfId="5" applyFont="1" applyAlignment="1">
      <alignment vertical="center"/>
    </xf>
    <xf numFmtId="0" fontId="18" fillId="0" borderId="0" xfId="5" applyFont="1" applyFill="1" applyAlignment="1">
      <alignment vertical="center"/>
    </xf>
    <xf numFmtId="0" fontId="13" fillId="0" borderId="0" xfId="5" applyFont="1" applyAlignment="1">
      <alignment horizontal="center" vertical="center"/>
    </xf>
    <xf numFmtId="0" fontId="13" fillId="0" borderId="0" xfId="5" applyFont="1" applyFill="1" applyAlignment="1">
      <alignment horizontal="center" vertical="center"/>
    </xf>
    <xf numFmtId="0" fontId="18" fillId="7" borderId="66" xfId="5" applyNumberFormat="1" applyFont="1" applyFill="1" applyBorder="1" applyAlignment="1">
      <alignment horizontal="center" vertical="center"/>
    </xf>
    <xf numFmtId="167" fontId="18" fillId="7" borderId="68" xfId="5" applyNumberFormat="1" applyFont="1" applyFill="1" applyBorder="1" applyAlignment="1">
      <alignment horizontal="center" vertical="center"/>
    </xf>
    <xf numFmtId="167" fontId="18" fillId="7" borderId="69" xfId="5" applyNumberFormat="1" applyFont="1" applyFill="1" applyBorder="1" applyAlignment="1">
      <alignment horizontal="center" vertical="center"/>
    </xf>
    <xf numFmtId="169" fontId="13" fillId="7" borderId="42" xfId="5" applyNumberFormat="1" applyFont="1" applyFill="1" applyBorder="1" applyAlignment="1">
      <alignment horizontal="center" vertical="center"/>
    </xf>
    <xf numFmtId="167" fontId="18" fillId="7" borderId="43" xfId="5" applyNumberFormat="1" applyFont="1" applyFill="1" applyBorder="1" applyAlignment="1">
      <alignment horizontal="center" vertical="center"/>
    </xf>
    <xf numFmtId="167" fontId="18" fillId="7" borderId="44" xfId="5" applyNumberFormat="1" applyFont="1" applyFill="1" applyBorder="1" applyAlignment="1">
      <alignment horizontal="center" vertical="center"/>
    </xf>
    <xf numFmtId="167" fontId="18" fillId="7" borderId="45" xfId="5" applyNumberFormat="1" applyFont="1" applyFill="1" applyBorder="1" applyAlignment="1">
      <alignment horizontal="center" vertical="center"/>
    </xf>
    <xf numFmtId="167" fontId="18" fillId="7" borderId="46" xfId="5" applyNumberFormat="1" applyFont="1" applyFill="1" applyBorder="1" applyAlignment="1">
      <alignment horizontal="center" vertical="center"/>
    </xf>
    <xf numFmtId="167" fontId="18" fillId="7" borderId="43" xfId="5" quotePrefix="1" applyNumberFormat="1" applyFont="1" applyFill="1" applyBorder="1" applyAlignment="1">
      <alignment horizontal="center" vertical="center"/>
    </xf>
    <xf numFmtId="167" fontId="18" fillId="7" borderId="47" xfId="5" applyNumberFormat="1" applyFont="1" applyFill="1" applyBorder="1" applyAlignment="1">
      <alignment horizontal="center" vertical="center"/>
    </xf>
    <xf numFmtId="167" fontId="18" fillId="7" borderId="78" xfId="5" applyNumberFormat="1" applyFont="1" applyFill="1" applyBorder="1" applyAlignment="1">
      <alignment horizontal="center" vertical="center"/>
    </xf>
    <xf numFmtId="167" fontId="13" fillId="0" borderId="43" xfId="5" applyNumberFormat="1" applyFont="1" applyBorder="1" applyAlignment="1">
      <alignment horizontal="center" vertical="center"/>
    </xf>
    <xf numFmtId="0" fontId="13" fillId="0" borderId="43" xfId="5" applyFont="1" applyBorder="1" applyAlignment="1">
      <alignment horizontal="center" vertical="center"/>
    </xf>
    <xf numFmtId="0" fontId="13" fillId="8" borderId="71" xfId="5" applyNumberFormat="1" applyFont="1" applyFill="1" applyBorder="1" applyAlignment="1">
      <alignment vertical="center"/>
    </xf>
    <xf numFmtId="0" fontId="13" fillId="9" borderId="67" xfId="5" applyNumberFormat="1" applyFont="1" applyFill="1" applyBorder="1" applyAlignment="1">
      <alignment vertical="center"/>
    </xf>
    <xf numFmtId="0" fontId="13" fillId="5" borderId="67" xfId="5" applyNumberFormat="1" applyFont="1" applyFill="1" applyBorder="1" applyAlignment="1">
      <alignment vertical="center"/>
    </xf>
    <xf numFmtId="0" fontId="13" fillId="8" borderId="58" xfId="5" applyNumberFormat="1" applyFont="1" applyFill="1" applyBorder="1" applyAlignment="1">
      <alignment vertical="center"/>
    </xf>
    <xf numFmtId="0" fontId="13" fillId="5" borderId="74" xfId="5" applyNumberFormat="1" applyFont="1" applyFill="1" applyBorder="1" applyAlignment="1">
      <alignment vertical="center"/>
    </xf>
    <xf numFmtId="0" fontId="18" fillId="0" borderId="39" xfId="5" applyFont="1" applyFill="1" applyBorder="1" applyAlignment="1">
      <alignment vertical="center"/>
    </xf>
    <xf numFmtId="0" fontId="18" fillId="0" borderId="40" xfId="5" applyFont="1" applyFill="1" applyBorder="1" applyAlignment="1">
      <alignment vertical="center"/>
    </xf>
    <xf numFmtId="0" fontId="18" fillId="0" borderId="41" xfId="5" applyFont="1" applyFill="1" applyBorder="1" applyAlignment="1">
      <alignment vertical="center"/>
    </xf>
    <xf numFmtId="0" fontId="13" fillId="0" borderId="0" xfId="5" applyFont="1" applyFill="1" applyAlignment="1">
      <alignment vertical="center"/>
    </xf>
    <xf numFmtId="0" fontId="13" fillId="0" borderId="0" xfId="5" applyFont="1" applyBorder="1" applyAlignment="1">
      <alignment vertical="center"/>
    </xf>
    <xf numFmtId="167" fontId="18" fillId="7" borderId="79" xfId="5" applyNumberFormat="1" applyFont="1" applyFill="1" applyBorder="1" applyAlignment="1">
      <alignment horizontal="center" vertical="center"/>
    </xf>
    <xf numFmtId="167" fontId="18" fillId="7" borderId="82" xfId="5" applyNumberFormat="1" applyFont="1" applyFill="1" applyBorder="1" applyAlignment="1">
      <alignment horizontal="center" vertical="center"/>
    </xf>
    <xf numFmtId="167" fontId="18" fillId="7" borderId="85" xfId="5" quotePrefix="1" applyNumberFormat="1" applyFont="1" applyFill="1" applyBorder="1" applyAlignment="1">
      <alignment horizontal="center" vertical="center"/>
    </xf>
    <xf numFmtId="167" fontId="18" fillId="7" borderId="87" xfId="5" applyNumberFormat="1" applyFont="1" applyFill="1" applyBorder="1" applyAlignment="1">
      <alignment horizontal="center" vertical="center"/>
    </xf>
    <xf numFmtId="167" fontId="18" fillId="7" borderId="88" xfId="5" applyNumberFormat="1" applyFont="1" applyFill="1" applyBorder="1" applyAlignment="1">
      <alignment horizontal="center" vertical="center"/>
    </xf>
    <xf numFmtId="0" fontId="13" fillId="0" borderId="89" xfId="5" applyFont="1" applyBorder="1" applyAlignment="1">
      <alignment vertical="center"/>
    </xf>
    <xf numFmtId="0" fontId="13" fillId="0" borderId="86" xfId="5" applyFont="1" applyBorder="1" applyAlignment="1">
      <alignment vertical="center"/>
    </xf>
    <xf numFmtId="167" fontId="18" fillId="7" borderId="90" xfId="5" applyNumberFormat="1" applyFont="1" applyFill="1" applyBorder="1" applyAlignment="1">
      <alignment horizontal="center" vertical="center"/>
    </xf>
    <xf numFmtId="1" fontId="13" fillId="0" borderId="80" xfId="5" applyNumberFormat="1" applyFont="1" applyFill="1" applyBorder="1" applyAlignment="1">
      <alignment horizontal="center" vertical="center"/>
    </xf>
    <xf numFmtId="1" fontId="13" fillId="0" borderId="81" xfId="5" applyNumberFormat="1" applyFont="1" applyFill="1" applyBorder="1" applyAlignment="1">
      <alignment horizontal="center" vertical="center"/>
    </xf>
    <xf numFmtId="1" fontId="13" fillId="0" borderId="84" xfId="5" applyNumberFormat="1" applyFont="1" applyFill="1" applyBorder="1" applyAlignment="1">
      <alignment horizontal="center" vertical="center"/>
    </xf>
    <xf numFmtId="167" fontId="18" fillId="7" borderId="95" xfId="5" applyNumberFormat="1" applyFont="1" applyFill="1" applyBorder="1" applyAlignment="1">
      <alignment horizontal="center" vertical="center"/>
    </xf>
    <xf numFmtId="167" fontId="18" fillId="7" borderId="96" xfId="5" applyNumberFormat="1" applyFont="1" applyFill="1" applyBorder="1" applyAlignment="1">
      <alignment horizontal="center" vertical="center"/>
    </xf>
    <xf numFmtId="167" fontId="18" fillId="7" borderId="97" xfId="5" applyNumberFormat="1" applyFont="1" applyFill="1" applyBorder="1" applyAlignment="1">
      <alignment horizontal="center" vertical="center"/>
    </xf>
    <xf numFmtId="0" fontId="24" fillId="0" borderId="0" xfId="4" applyNumberFormat="1" applyFont="1" applyFill="1" applyAlignment="1">
      <alignment horizontal="center" vertical="center"/>
    </xf>
    <xf numFmtId="0" fontId="24" fillId="0" borderId="0" xfId="4" applyNumberFormat="1" applyFont="1" applyFill="1" applyAlignment="1">
      <alignment horizontal="left" vertical="center"/>
    </xf>
    <xf numFmtId="0" fontId="25" fillId="0" borderId="0" xfId="4" applyNumberFormat="1" applyFont="1" applyFill="1" applyAlignment="1">
      <alignment horizontal="center" vertical="center"/>
    </xf>
    <xf numFmtId="168" fontId="24" fillId="0" borderId="0" xfId="4" applyNumberFormat="1" applyFont="1" applyFill="1" applyAlignment="1">
      <alignment horizontal="center" vertical="center"/>
    </xf>
    <xf numFmtId="167" fontId="24" fillId="0" borderId="0" xfId="4" applyNumberFormat="1" applyFont="1" applyFill="1" applyAlignment="1">
      <alignment horizontal="center" vertical="center"/>
    </xf>
    <xf numFmtId="0" fontId="24" fillId="0" borderId="0" xfId="4" applyNumberFormat="1" applyFont="1" applyFill="1" applyAlignment="1">
      <alignment vertical="center"/>
    </xf>
    <xf numFmtId="0" fontId="13" fillId="8" borderId="71" xfId="5" applyNumberFormat="1" applyFont="1" applyFill="1" applyBorder="1" applyAlignment="1">
      <alignment horizontal="center" vertical="center"/>
    </xf>
    <xf numFmtId="0" fontId="13" fillId="9" borderId="67" xfId="5" applyNumberFormat="1" applyFont="1" applyFill="1" applyBorder="1" applyAlignment="1">
      <alignment horizontal="center" vertical="center"/>
    </xf>
    <xf numFmtId="0" fontId="13" fillId="5" borderId="67" xfId="5" applyNumberFormat="1" applyFont="1" applyFill="1" applyBorder="1" applyAlignment="1">
      <alignment horizontal="center" vertical="center"/>
    </xf>
    <xf numFmtId="0" fontId="13" fillId="8" borderId="58" xfId="5" applyNumberFormat="1" applyFont="1" applyFill="1" applyBorder="1" applyAlignment="1">
      <alignment horizontal="center" vertical="center"/>
    </xf>
    <xf numFmtId="0" fontId="13" fillId="5" borderId="74" xfId="5" applyNumberFormat="1" applyFont="1" applyFill="1" applyBorder="1" applyAlignment="1">
      <alignment horizontal="center" vertical="center"/>
    </xf>
    <xf numFmtId="0" fontId="24" fillId="0" borderId="0" xfId="4" applyNumberFormat="1" applyFont="1" applyFill="1" applyBorder="1" applyAlignment="1">
      <alignment horizontal="center" vertical="center"/>
    </xf>
    <xf numFmtId="49" fontId="24" fillId="0" borderId="0" xfId="4" applyNumberFormat="1" applyFont="1" applyFill="1" applyAlignment="1">
      <alignment horizontal="center" vertical="center"/>
    </xf>
    <xf numFmtId="172" fontId="13" fillId="8" borderId="72" xfId="5" applyNumberFormat="1" applyFont="1" applyFill="1" applyBorder="1" applyAlignment="1">
      <alignment horizontal="center" vertical="center"/>
    </xf>
    <xf numFmtId="172" fontId="13" fillId="8" borderId="73" xfId="5" applyNumberFormat="1" applyFont="1" applyFill="1" applyBorder="1" applyAlignment="1">
      <alignment horizontal="center" vertical="center"/>
    </xf>
    <xf numFmtId="172" fontId="13" fillId="8" borderId="59" xfId="5" applyNumberFormat="1" applyFont="1" applyFill="1" applyBorder="1" applyAlignment="1">
      <alignment horizontal="center" vertical="center"/>
    </xf>
    <xf numFmtId="172" fontId="13" fillId="8" borderId="13" xfId="5" applyNumberFormat="1" applyFont="1" applyFill="1" applyBorder="1" applyAlignment="1">
      <alignment horizontal="center" vertical="center"/>
    </xf>
    <xf numFmtId="172" fontId="18" fillId="0" borderId="0" xfId="5" applyNumberFormat="1" applyFont="1" applyFill="1" applyBorder="1" applyAlignment="1">
      <alignment horizontal="center" vertical="center"/>
    </xf>
    <xf numFmtId="172" fontId="18" fillId="0" borderId="50" xfId="5" applyNumberFormat="1" applyFont="1" applyFill="1" applyBorder="1" applyAlignment="1">
      <alignment horizontal="center" vertical="center"/>
    </xf>
    <xf numFmtId="172" fontId="18" fillId="0" borderId="48" xfId="5" applyNumberFormat="1" applyFont="1" applyFill="1" applyBorder="1" applyAlignment="1">
      <alignment horizontal="center" vertical="center"/>
    </xf>
    <xf numFmtId="172" fontId="18" fillId="0" borderId="51" xfId="5" applyNumberFormat="1" applyFont="1" applyFill="1" applyBorder="1" applyAlignment="1">
      <alignment horizontal="center" vertical="center"/>
    </xf>
    <xf numFmtId="172" fontId="18" fillId="0" borderId="53" xfId="5" applyNumberFormat="1" applyFont="1" applyFill="1" applyBorder="1" applyAlignment="1">
      <alignment horizontal="center" vertical="center"/>
    </xf>
    <xf numFmtId="172" fontId="18" fillId="0" borderId="54" xfId="5" applyNumberFormat="1" applyFont="1" applyFill="1" applyBorder="1" applyAlignment="1">
      <alignment horizontal="center" vertical="center"/>
    </xf>
    <xf numFmtId="172" fontId="18" fillId="0" borderId="55" xfId="5" applyNumberFormat="1" applyFont="1" applyFill="1" applyBorder="1" applyAlignment="1">
      <alignment horizontal="center" vertical="center"/>
    </xf>
    <xf numFmtId="172" fontId="18" fillId="0" borderId="52" xfId="5" applyNumberFormat="1" applyFont="1" applyFill="1" applyBorder="1" applyAlignment="1">
      <alignment horizontal="center" vertical="center"/>
    </xf>
    <xf numFmtId="172" fontId="18" fillId="8" borderId="17" xfId="5" applyNumberFormat="1" applyFont="1" applyFill="1" applyBorder="1" applyAlignment="1">
      <alignment horizontal="center" vertical="center"/>
    </xf>
    <xf numFmtId="172" fontId="13" fillId="9" borderId="68" xfId="5" applyNumberFormat="1" applyFont="1" applyFill="1" applyBorder="1" applyAlignment="1">
      <alignment horizontal="center" vertical="center"/>
    </xf>
    <xf numFmtId="172" fontId="13" fillId="9" borderId="69" xfId="5" applyNumberFormat="1" applyFont="1" applyFill="1" applyBorder="1" applyAlignment="1">
      <alignment horizontal="center" vertical="center"/>
    </xf>
    <xf numFmtId="172" fontId="13" fillId="9" borderId="90" xfId="5" applyNumberFormat="1" applyFont="1" applyFill="1" applyBorder="1" applyAlignment="1">
      <alignment horizontal="center" vertical="center"/>
    </xf>
    <xf numFmtId="172" fontId="13" fillId="9" borderId="82" xfId="5" applyNumberFormat="1" applyFont="1" applyFill="1" applyBorder="1" applyAlignment="1">
      <alignment horizontal="center" vertical="center"/>
    </xf>
    <xf numFmtId="172" fontId="13" fillId="9" borderId="70" xfId="5" applyNumberFormat="1" applyFont="1" applyFill="1" applyBorder="1" applyAlignment="1">
      <alignment horizontal="center" vertical="center"/>
    </xf>
    <xf numFmtId="172" fontId="13" fillId="9" borderId="41" xfId="5" applyNumberFormat="1" applyFont="1" applyFill="1" applyBorder="1" applyAlignment="1">
      <alignment horizontal="center" vertical="center"/>
    </xf>
    <xf numFmtId="172" fontId="18" fillId="0" borderId="13" xfId="5" applyNumberFormat="1" applyFont="1" applyFill="1" applyBorder="1" applyAlignment="1">
      <alignment horizontal="center" vertical="center"/>
    </xf>
    <xf numFmtId="172" fontId="13" fillId="5" borderId="68" xfId="5" applyNumberFormat="1" applyFont="1" applyFill="1" applyBorder="1" applyAlignment="1">
      <alignment horizontal="center" vertical="center"/>
    </xf>
    <xf numFmtId="172" fontId="13" fillId="5" borderId="69" xfId="5" applyNumberFormat="1" applyFont="1" applyFill="1" applyBorder="1" applyAlignment="1">
      <alignment horizontal="center" vertical="center"/>
    </xf>
    <xf numFmtId="172" fontId="13" fillId="5" borderId="90" xfId="5" applyNumberFormat="1" applyFont="1" applyFill="1" applyBorder="1" applyAlignment="1">
      <alignment horizontal="center" vertical="center"/>
    </xf>
    <xf numFmtId="172" fontId="13" fillId="5" borderId="82" xfId="5" applyNumberFormat="1" applyFont="1" applyFill="1" applyBorder="1" applyAlignment="1">
      <alignment horizontal="center" vertical="center"/>
    </xf>
    <xf numFmtId="172" fontId="13" fillId="5" borderId="70" xfId="5" applyNumberFormat="1" applyFont="1" applyFill="1" applyBorder="1" applyAlignment="1">
      <alignment horizontal="center" vertical="center"/>
    </xf>
    <xf numFmtId="172" fontId="13" fillId="5" borderId="57" xfId="5" applyNumberFormat="1" applyFont="1" applyFill="1" applyBorder="1" applyAlignment="1">
      <alignment horizontal="center" vertical="center"/>
    </xf>
    <xf numFmtId="172" fontId="18" fillId="0" borderId="29" xfId="5" applyNumberFormat="1" applyFont="1" applyFill="1" applyBorder="1" applyAlignment="1">
      <alignment horizontal="center" vertical="center"/>
    </xf>
    <xf numFmtId="172" fontId="13" fillId="8" borderId="56" xfId="5" applyNumberFormat="1" applyFont="1" applyFill="1" applyBorder="1" applyAlignment="1">
      <alignment horizontal="center" vertical="center"/>
    </xf>
    <xf numFmtId="172" fontId="18" fillId="0" borderId="56" xfId="5" applyNumberFormat="1" applyFont="1" applyFill="1" applyBorder="1" applyAlignment="1">
      <alignment horizontal="center" vertical="center"/>
    </xf>
    <xf numFmtId="172" fontId="13" fillId="5" borderId="75" xfId="5" applyNumberFormat="1" applyFont="1" applyFill="1" applyBorder="1" applyAlignment="1">
      <alignment horizontal="center" vertical="center"/>
    </xf>
    <xf numFmtId="172" fontId="13" fillId="5" borderId="76" xfId="5" applyNumberFormat="1" applyFont="1" applyFill="1" applyBorder="1" applyAlignment="1">
      <alignment horizontal="center" vertical="center"/>
    </xf>
    <xf numFmtId="172" fontId="13" fillId="5" borderId="91" xfId="5" applyNumberFormat="1" applyFont="1" applyFill="1" applyBorder="1" applyAlignment="1">
      <alignment horizontal="center" vertical="center"/>
    </xf>
    <xf numFmtId="172" fontId="13" fillId="5" borderId="83" xfId="5" applyNumberFormat="1" applyFont="1" applyFill="1" applyBorder="1" applyAlignment="1">
      <alignment horizontal="center" vertical="center"/>
    </xf>
    <xf numFmtId="172" fontId="13" fillId="5" borderId="77" xfId="5" applyNumberFormat="1" applyFont="1" applyFill="1" applyBorder="1" applyAlignment="1">
      <alignment horizontal="center" vertical="center"/>
    </xf>
    <xf numFmtId="172" fontId="18" fillId="0" borderId="20" xfId="5" applyNumberFormat="1" applyFont="1" applyFill="1" applyBorder="1" applyAlignment="1">
      <alignment horizontal="center" vertical="center"/>
    </xf>
    <xf numFmtId="170" fontId="24" fillId="0" borderId="0" xfId="4" applyNumberFormat="1" applyFont="1" applyFill="1" applyAlignment="1">
      <alignment horizontal="center" vertical="center"/>
    </xf>
    <xf numFmtId="0" fontId="16" fillId="7" borderId="0" xfId="4" applyFont="1" applyFill="1" applyAlignment="1">
      <alignment horizontal="left" vertical="center"/>
    </xf>
    <xf numFmtId="0" fontId="16" fillId="0" borderId="0" xfId="4" applyNumberFormat="1" applyFont="1" applyFill="1" applyAlignment="1">
      <alignment horizontal="left" vertical="center"/>
    </xf>
    <xf numFmtId="0" fontId="16" fillId="0" borderId="0" xfId="4" applyNumberFormat="1" applyFont="1" applyFill="1" applyAlignment="1">
      <alignment vertical="center"/>
    </xf>
    <xf numFmtId="0" fontId="20" fillId="0" borderId="0" xfId="4" applyNumberFormat="1" applyFont="1" applyFill="1" applyAlignment="1">
      <alignment horizontal="center" vertical="center"/>
    </xf>
    <xf numFmtId="0" fontId="16" fillId="0" borderId="0" xfId="4" applyNumberFormat="1" applyFont="1" applyFill="1" applyAlignment="1">
      <alignment horizontal="center" vertical="center"/>
    </xf>
    <xf numFmtId="168" fontId="16" fillId="0" borderId="0" xfId="4" applyNumberFormat="1" applyFont="1" applyFill="1" applyAlignment="1">
      <alignment horizontal="center" vertical="center"/>
    </xf>
    <xf numFmtId="167" fontId="16" fillId="0" borderId="0" xfId="4" applyNumberFormat="1" applyFont="1" applyFill="1" applyAlignment="1">
      <alignment horizontal="left" vertical="center"/>
    </xf>
    <xf numFmtId="167" fontId="16" fillId="0" borderId="0" xfId="4" applyNumberFormat="1" applyFont="1" applyFill="1" applyAlignment="1">
      <alignment horizontal="center" vertical="center"/>
    </xf>
    <xf numFmtId="49" fontId="16" fillId="0" borderId="0" xfId="4" applyNumberFormat="1" applyFont="1" applyFill="1" applyAlignment="1">
      <alignment horizontal="center" vertical="center"/>
    </xf>
    <xf numFmtId="170" fontId="16" fillId="0" borderId="0" xfId="4" applyNumberFormat="1" applyFont="1" applyFill="1" applyAlignment="1">
      <alignment horizontal="center" vertical="center"/>
    </xf>
    <xf numFmtId="0" fontId="20" fillId="0" borderId="0" xfId="4" applyNumberFormat="1" applyFont="1" applyFill="1" applyAlignment="1">
      <alignment horizontal="left" vertical="center"/>
    </xf>
    <xf numFmtId="0" fontId="16" fillId="7" borderId="0" xfId="4" applyFont="1" applyFill="1" applyAlignment="1">
      <alignment horizontal="center" vertical="center"/>
    </xf>
    <xf numFmtId="0" fontId="16" fillId="11" borderId="0" xfId="4" applyNumberFormat="1" applyFont="1" applyFill="1" applyBorder="1" applyAlignment="1">
      <alignment horizontal="center" vertical="center"/>
    </xf>
    <xf numFmtId="1" fontId="16" fillId="11" borderId="0" xfId="4" applyNumberFormat="1" applyFont="1" applyFill="1" applyBorder="1" applyAlignment="1">
      <alignment horizontal="center" vertical="center"/>
    </xf>
    <xf numFmtId="168" fontId="16" fillId="11" borderId="0" xfId="4" applyNumberFormat="1" applyFont="1" applyFill="1" applyBorder="1" applyAlignment="1">
      <alignment horizontal="center" vertical="center"/>
    </xf>
    <xf numFmtId="1" fontId="13" fillId="0" borderId="0" xfId="5" applyNumberFormat="1" applyFont="1" applyFill="1" applyBorder="1" applyAlignment="1">
      <alignment horizontal="center" vertical="center"/>
    </xf>
    <xf numFmtId="173" fontId="16" fillId="0" borderId="0" xfId="4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17" xfId="4" applyFont="1" applyFill="1" applyBorder="1" applyAlignment="1">
      <alignment horizontal="left" vertical="center" indent="2"/>
    </xf>
    <xf numFmtId="0" fontId="16" fillId="0" borderId="18" xfId="4" applyFont="1" applyBorder="1" applyAlignment="1">
      <alignment horizontal="center" vertical="center"/>
    </xf>
    <xf numFmtId="0" fontId="16" fillId="0" borderId="17" xfId="4" applyFont="1" applyFill="1" applyBorder="1" applyAlignment="1">
      <alignment horizontal="center" vertical="center"/>
    </xf>
    <xf numFmtId="0" fontId="16" fillId="0" borderId="18" xfId="4" applyFont="1" applyFill="1" applyBorder="1" applyAlignment="1">
      <alignment horizontal="left" vertical="center" indent="2"/>
    </xf>
    <xf numFmtId="0" fontId="16" fillId="7" borderId="17" xfId="4" applyNumberFormat="1" applyFont="1" applyFill="1" applyBorder="1" applyAlignment="1">
      <alignment horizontal="center" vertical="center"/>
    </xf>
    <xf numFmtId="0" fontId="16" fillId="7" borderId="18" xfId="4" applyNumberFormat="1" applyFont="1" applyFill="1" applyBorder="1" applyAlignment="1">
      <alignment horizontal="center" vertical="center"/>
    </xf>
    <xf numFmtId="0" fontId="16" fillId="0" borderId="18" xfId="4" applyFont="1" applyFill="1" applyBorder="1" applyAlignment="1">
      <alignment horizontal="center" vertical="center"/>
    </xf>
    <xf numFmtId="171" fontId="13" fillId="0" borderId="0" xfId="5" applyNumberFormat="1" applyFont="1" applyFill="1" applyBorder="1" applyAlignment="1">
      <alignment horizontal="center" vertical="center"/>
    </xf>
    <xf numFmtId="174" fontId="0" fillId="0" borderId="0" xfId="0" applyNumberFormat="1" applyAlignment="1">
      <alignment vertical="center"/>
    </xf>
    <xf numFmtId="1" fontId="16" fillId="0" borderId="0" xfId="4" applyNumberFormat="1" applyFont="1" applyFill="1" applyAlignment="1">
      <alignment horizontal="center" vertical="center"/>
    </xf>
    <xf numFmtId="173" fontId="16" fillId="0" borderId="0" xfId="4" applyNumberFormat="1" applyFont="1" applyFill="1" applyAlignment="1">
      <alignment horizontal="center" vertical="center"/>
    </xf>
    <xf numFmtId="9" fontId="19" fillId="0" borderId="0" xfId="0" applyNumberFormat="1" applyFont="1" applyAlignment="1">
      <alignment horizontal="center" vertical="center"/>
    </xf>
    <xf numFmtId="0" fontId="18" fillId="7" borderId="98" xfId="0" applyFont="1" applyFill="1" applyBorder="1" applyAlignment="1">
      <alignment horizontal="center" vertical="center"/>
    </xf>
    <xf numFmtId="0" fontId="18" fillId="7" borderId="99" xfId="0" applyFont="1" applyFill="1" applyBorder="1" applyAlignment="1">
      <alignment horizontal="center" vertical="center"/>
    </xf>
    <xf numFmtId="0" fontId="18" fillId="7" borderId="100" xfId="0" applyFont="1" applyFill="1" applyBorder="1" applyAlignment="1">
      <alignment horizontal="center" vertical="center"/>
    </xf>
    <xf numFmtId="9" fontId="19" fillId="0" borderId="101" xfId="1" applyFont="1" applyBorder="1" applyAlignment="1">
      <alignment horizontal="center" vertical="center"/>
    </xf>
    <xf numFmtId="9" fontId="19" fillId="0" borderId="102" xfId="1" applyFont="1" applyBorder="1" applyAlignment="1">
      <alignment horizontal="center" vertical="center"/>
    </xf>
    <xf numFmtId="9" fontId="19" fillId="0" borderId="103" xfId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right" vertical="center"/>
    </xf>
    <xf numFmtId="9" fontId="19" fillId="0" borderId="0" xfId="0" applyNumberFormat="1" applyFont="1" applyBorder="1" applyAlignment="1">
      <alignment horizontal="left" vertical="center"/>
    </xf>
    <xf numFmtId="171" fontId="19" fillId="0" borderId="0" xfId="2" applyNumberFormat="1" applyFont="1" applyBorder="1" applyAlignment="1">
      <alignment horizontal="center" vertical="center"/>
    </xf>
    <xf numFmtId="0" fontId="13" fillId="0" borderId="0" xfId="5" applyFont="1" applyFill="1" applyBorder="1" applyAlignment="1">
      <alignment horizontal="center" vertical="center"/>
    </xf>
    <xf numFmtId="167" fontId="18" fillId="0" borderId="0" xfId="5" applyNumberFormat="1" applyFont="1" applyFill="1" applyBorder="1" applyAlignment="1">
      <alignment horizontal="center" vertical="center"/>
    </xf>
    <xf numFmtId="167" fontId="18" fillId="0" borderId="0" xfId="5" quotePrefix="1" applyNumberFormat="1" applyFont="1" applyFill="1" applyBorder="1" applyAlignment="1">
      <alignment horizontal="center" vertical="center"/>
    </xf>
    <xf numFmtId="0" fontId="18" fillId="0" borderId="0" xfId="5" applyFont="1" applyFill="1" applyBorder="1" applyAlignment="1">
      <alignment horizontal="center" vertical="center"/>
    </xf>
    <xf numFmtId="171" fontId="18" fillId="0" borderId="0" xfId="5" applyNumberFormat="1" applyFont="1" applyFill="1" applyBorder="1" applyAlignment="1">
      <alignment horizontal="center" vertical="center"/>
    </xf>
    <xf numFmtId="0" fontId="13" fillId="6" borderId="0" xfId="5" applyFont="1" applyFill="1" applyBorder="1" applyAlignment="1">
      <alignment horizontal="center" vertical="center"/>
    </xf>
    <xf numFmtId="171" fontId="13" fillId="6" borderId="0" xfId="5" applyNumberFormat="1" applyFont="1" applyFill="1" applyBorder="1" applyAlignment="1">
      <alignment horizontal="center" vertical="center"/>
    </xf>
    <xf numFmtId="0" fontId="18" fillId="6" borderId="0" xfId="5" applyFont="1" applyFill="1" applyBorder="1" applyAlignment="1">
      <alignment horizontal="center" vertical="center"/>
    </xf>
    <xf numFmtId="0" fontId="13" fillId="9" borderId="0" xfId="5" applyFont="1" applyFill="1" applyBorder="1" applyAlignment="1">
      <alignment horizontal="center" vertical="center"/>
    </xf>
    <xf numFmtId="171" fontId="13" fillId="9" borderId="0" xfId="5" applyNumberFormat="1" applyFont="1" applyFill="1" applyBorder="1" applyAlignment="1">
      <alignment horizontal="center" vertical="center"/>
    </xf>
    <xf numFmtId="0" fontId="18" fillId="9" borderId="0" xfId="5" applyFont="1" applyFill="1" applyBorder="1" applyAlignment="1">
      <alignment horizontal="center" vertical="center"/>
    </xf>
    <xf numFmtId="0" fontId="13" fillId="0" borderId="0" xfId="5" applyFont="1" applyFill="1" applyBorder="1" applyAlignment="1">
      <alignment horizontal="left" vertical="center"/>
    </xf>
    <xf numFmtId="0" fontId="13" fillId="12" borderId="0" xfId="5" applyFont="1" applyFill="1" applyBorder="1" applyAlignment="1">
      <alignment horizontal="center" vertical="center"/>
    </xf>
    <xf numFmtId="0" fontId="18" fillId="12" borderId="0" xfId="5" applyFont="1" applyFill="1" applyBorder="1" applyAlignment="1">
      <alignment horizontal="center" vertical="center"/>
    </xf>
    <xf numFmtId="171" fontId="13" fillId="12" borderId="0" xfId="5" applyNumberFormat="1" applyFont="1" applyFill="1" applyBorder="1" applyAlignment="1">
      <alignment horizontal="center" vertical="center"/>
    </xf>
    <xf numFmtId="0" fontId="13" fillId="0" borderId="12" xfId="5" applyFont="1" applyFill="1" applyBorder="1" applyAlignment="1">
      <alignment horizontal="left" vertical="center"/>
    </xf>
    <xf numFmtId="167" fontId="18" fillId="0" borderId="12" xfId="5" applyNumberFormat="1" applyFont="1" applyFill="1" applyBorder="1" applyAlignment="1">
      <alignment horizontal="center" vertical="center"/>
    </xf>
    <xf numFmtId="1" fontId="13" fillId="0" borderId="12" xfId="5" applyNumberFormat="1" applyFont="1" applyFill="1" applyBorder="1" applyAlignment="1">
      <alignment horizontal="center" vertical="center"/>
    </xf>
    <xf numFmtId="0" fontId="13" fillId="0" borderId="12" xfId="5" applyFont="1" applyFill="1" applyBorder="1" applyAlignment="1">
      <alignment horizontal="center" vertical="center"/>
    </xf>
    <xf numFmtId="0" fontId="18" fillId="0" borderId="12" xfId="5" applyFont="1" applyFill="1" applyBorder="1" applyAlignment="1">
      <alignment horizontal="center" vertical="center"/>
    </xf>
    <xf numFmtId="0" fontId="13" fillId="0" borderId="12" xfId="5" quotePrefix="1" applyNumberFormat="1" applyFont="1" applyFill="1" applyBorder="1" applyAlignment="1">
      <alignment horizontal="left" vertical="center"/>
    </xf>
    <xf numFmtId="171" fontId="13" fillId="0" borderId="12" xfId="5" applyNumberFormat="1" applyFont="1" applyFill="1" applyBorder="1" applyAlignment="1">
      <alignment horizontal="center" vertical="center"/>
    </xf>
    <xf numFmtId="0" fontId="13" fillId="6" borderId="12" xfId="5" quotePrefix="1" applyNumberFormat="1" applyFont="1" applyFill="1" applyBorder="1" applyAlignment="1">
      <alignment horizontal="left" vertical="center"/>
    </xf>
    <xf numFmtId="171" fontId="13" fillId="6" borderId="12" xfId="5" applyNumberFormat="1" applyFont="1" applyFill="1" applyBorder="1" applyAlignment="1">
      <alignment horizontal="center" vertical="center"/>
    </xf>
    <xf numFmtId="0" fontId="18" fillId="0" borderId="12" xfId="5" applyFont="1" applyFill="1" applyBorder="1" applyAlignment="1">
      <alignment horizontal="center" vertical="center"/>
    </xf>
    <xf numFmtId="0" fontId="13" fillId="9" borderId="12" xfId="5" quotePrefix="1" applyNumberFormat="1" applyFont="1" applyFill="1" applyBorder="1" applyAlignment="1">
      <alignment horizontal="left" vertical="center"/>
    </xf>
    <xf numFmtId="171" fontId="13" fillId="9" borderId="12" xfId="5" applyNumberFormat="1" applyFont="1" applyFill="1" applyBorder="1" applyAlignment="1">
      <alignment horizontal="center" vertical="center"/>
    </xf>
    <xf numFmtId="171" fontId="18" fillId="0" borderId="12" xfId="5" applyNumberFormat="1" applyFont="1" applyFill="1" applyBorder="1" applyAlignment="1">
      <alignment horizontal="center" vertical="center"/>
    </xf>
    <xf numFmtId="0" fontId="13" fillId="12" borderId="12" xfId="5" applyFont="1" applyFill="1" applyBorder="1" applyAlignment="1">
      <alignment horizontal="center" vertical="center"/>
    </xf>
    <xf numFmtId="0" fontId="18" fillId="12" borderId="12" xfId="5" applyFont="1" applyFill="1" applyBorder="1" applyAlignment="1">
      <alignment horizontal="center" vertical="center"/>
    </xf>
    <xf numFmtId="0" fontId="13" fillId="12" borderId="12" xfId="5" quotePrefix="1" applyNumberFormat="1" applyFont="1" applyFill="1" applyBorder="1" applyAlignment="1">
      <alignment horizontal="left" vertical="center"/>
    </xf>
    <xf numFmtId="171" fontId="13" fillId="12" borderId="12" xfId="5" applyNumberFormat="1" applyFont="1" applyFill="1" applyBorder="1" applyAlignment="1">
      <alignment horizontal="center" vertical="center"/>
    </xf>
    <xf numFmtId="0" fontId="13" fillId="0" borderId="12" xfId="5" applyNumberFormat="1" applyFont="1" applyFill="1" applyBorder="1" applyAlignment="1">
      <alignment horizontal="left" vertical="center"/>
    </xf>
    <xf numFmtId="1" fontId="24" fillId="0" borderId="0" xfId="4" applyNumberFormat="1" applyFont="1" applyFill="1" applyAlignment="1">
      <alignment horizontal="center" vertical="center"/>
    </xf>
    <xf numFmtId="173" fontId="24" fillId="0" borderId="0" xfId="4" applyNumberFormat="1" applyFont="1" applyFill="1" applyAlignment="1">
      <alignment horizontal="center" vertical="center"/>
    </xf>
    <xf numFmtId="0" fontId="18" fillId="6" borderId="0" xfId="0" applyFont="1" applyFill="1" applyAlignment="1">
      <alignment horizontal="right" vertical="center"/>
    </xf>
    <xf numFmtId="9" fontId="18" fillId="6" borderId="0" xfId="0" applyNumberFormat="1" applyFont="1" applyFill="1" applyAlignment="1">
      <alignment horizontal="left" vertical="center"/>
    </xf>
    <xf numFmtId="171" fontId="18" fillId="2" borderId="0" xfId="2" applyNumberFormat="1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right" vertical="center"/>
    </xf>
    <xf numFmtId="164" fontId="18" fillId="2" borderId="0" xfId="0" applyNumberFormat="1" applyFont="1" applyFill="1" applyAlignment="1">
      <alignment horizontal="left" vertical="center"/>
    </xf>
    <xf numFmtId="9" fontId="18" fillId="2" borderId="0" xfId="0" applyNumberFormat="1" applyFont="1" applyFill="1" applyAlignment="1">
      <alignment horizontal="left" vertical="center"/>
    </xf>
    <xf numFmtId="0" fontId="12" fillId="0" borderId="62" xfId="0" applyNumberFormat="1" applyFont="1" applyFill="1" applyBorder="1" applyAlignment="1">
      <alignment horizontal="center" vertical="center"/>
    </xf>
    <xf numFmtId="0" fontId="12" fillId="0" borderId="62" xfId="0" applyNumberFormat="1" applyFont="1" applyFill="1" applyBorder="1" applyAlignment="1">
      <alignment vertical="center"/>
    </xf>
    <xf numFmtId="0" fontId="23" fillId="0" borderId="62" xfId="0" applyNumberFormat="1" applyFont="1" applyFill="1" applyBorder="1" applyAlignment="1">
      <alignment horizontal="center" vertical="center"/>
    </xf>
    <xf numFmtId="0" fontId="21" fillId="0" borderId="62" xfId="0" applyNumberFormat="1" applyFont="1" applyFill="1" applyBorder="1" applyAlignment="1">
      <alignment horizontal="center" vertical="center"/>
    </xf>
    <xf numFmtId="0" fontId="23" fillId="0" borderId="62" xfId="0" applyNumberFormat="1" applyFont="1" applyFill="1" applyBorder="1" applyAlignment="1">
      <alignment horizontal="left" vertical="center"/>
    </xf>
    <xf numFmtId="0" fontId="21" fillId="0" borderId="62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right" vertical="center"/>
    </xf>
    <xf numFmtId="0" fontId="19" fillId="0" borderId="12" xfId="0" applyFont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center"/>
    </xf>
    <xf numFmtId="171" fontId="19" fillId="0" borderId="12" xfId="2" applyNumberFormat="1" applyFont="1" applyBorder="1" applyAlignment="1">
      <alignment vertical="center"/>
    </xf>
    <xf numFmtId="0" fontId="19" fillId="0" borderId="104" xfId="0" applyFont="1" applyBorder="1" applyAlignment="1">
      <alignment horizontal="center" vertical="center"/>
    </xf>
    <xf numFmtId="0" fontId="19" fillId="0" borderId="105" xfId="0" applyFont="1" applyBorder="1" applyAlignment="1">
      <alignment horizontal="center" vertical="center"/>
    </xf>
    <xf numFmtId="171" fontId="19" fillId="0" borderId="105" xfId="2" applyNumberFormat="1" applyFont="1" applyBorder="1" applyAlignment="1">
      <alignment horizontal="center" vertical="center"/>
    </xf>
    <xf numFmtId="164" fontId="18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167" fontId="18" fillId="0" borderId="106" xfId="5" applyNumberFormat="1" applyFont="1" applyFill="1" applyBorder="1" applyAlignment="1">
      <alignment horizontal="center" vertical="center"/>
    </xf>
    <xf numFmtId="1" fontId="13" fillId="0" borderId="106" xfId="5" applyNumberFormat="1" applyFont="1" applyFill="1" applyBorder="1" applyAlignment="1">
      <alignment horizontal="center" vertical="center"/>
    </xf>
    <xf numFmtId="0" fontId="13" fillId="0" borderId="106" xfId="5" applyFont="1" applyFill="1" applyBorder="1" applyAlignment="1">
      <alignment horizontal="center" vertical="center"/>
    </xf>
    <xf numFmtId="171" fontId="13" fillId="0" borderId="106" xfId="5" applyNumberFormat="1" applyFont="1" applyFill="1" applyBorder="1" applyAlignment="1">
      <alignment horizontal="center" vertical="center"/>
    </xf>
    <xf numFmtId="0" fontId="13" fillId="6" borderId="32" xfId="5" applyFont="1" applyFill="1" applyBorder="1" applyAlignment="1">
      <alignment horizontal="left" vertical="center"/>
    </xf>
    <xf numFmtId="0" fontId="13" fillId="6" borderId="32" xfId="5" quotePrefix="1" applyNumberFormat="1" applyFont="1" applyFill="1" applyBorder="1" applyAlignment="1">
      <alignment horizontal="left" vertical="center"/>
    </xf>
    <xf numFmtId="0" fontId="13" fillId="0" borderId="29" xfId="5" quotePrefix="1" applyNumberFormat="1" applyFont="1" applyFill="1" applyBorder="1" applyAlignment="1">
      <alignment horizontal="left" vertical="center"/>
    </xf>
    <xf numFmtId="0" fontId="13" fillId="0" borderId="13" xfId="5" applyFont="1" applyFill="1" applyBorder="1" applyAlignment="1">
      <alignment horizontal="left" vertical="center"/>
    </xf>
    <xf numFmtId="0" fontId="16" fillId="0" borderId="58" xfId="4" applyFont="1" applyFill="1" applyBorder="1" applyAlignment="1">
      <alignment horizontal="left" vertical="center"/>
    </xf>
    <xf numFmtId="14" fontId="16" fillId="0" borderId="104" xfId="0" applyNumberFormat="1" applyFont="1" applyFill="1" applyBorder="1" applyAlignment="1">
      <alignment horizontal="left" vertical="center"/>
    </xf>
    <xf numFmtId="0" fontId="13" fillId="0" borderId="107" xfId="5" applyFont="1" applyFill="1" applyBorder="1" applyAlignment="1">
      <alignment horizontal="left" vertical="center"/>
    </xf>
    <xf numFmtId="0" fontId="13" fillId="0" borderId="105" xfId="5" applyFont="1" applyFill="1" applyBorder="1" applyAlignment="1">
      <alignment horizontal="left" vertical="center"/>
    </xf>
    <xf numFmtId="0" fontId="13" fillId="0" borderId="108" xfId="5" quotePrefix="1" applyNumberFormat="1" applyFont="1" applyFill="1" applyBorder="1" applyAlignment="1">
      <alignment horizontal="left" vertical="center"/>
    </xf>
    <xf numFmtId="0" fontId="18" fillId="0" borderId="0" xfId="5" applyFont="1" applyFill="1" applyBorder="1" applyAlignment="1">
      <alignment horizontal="left" vertical="center"/>
    </xf>
    <xf numFmtId="0" fontId="13" fillId="0" borderId="13" xfId="5" applyFont="1" applyFill="1" applyBorder="1" applyAlignment="1">
      <alignment horizontal="center" vertical="center"/>
    </xf>
    <xf numFmtId="0" fontId="13" fillId="0" borderId="29" xfId="5" quotePrefix="1" applyNumberFormat="1" applyFont="1" applyFill="1" applyBorder="1" applyAlignment="1">
      <alignment horizontal="center" vertical="center"/>
    </xf>
    <xf numFmtId="0" fontId="18" fillId="6" borderId="32" xfId="5" quotePrefix="1" applyNumberFormat="1" applyFont="1" applyFill="1" applyBorder="1" applyAlignment="1">
      <alignment horizontal="center" vertical="center"/>
    </xf>
    <xf numFmtId="9" fontId="13" fillId="0" borderId="12" xfId="1" quotePrefix="1" applyFont="1" applyFill="1" applyBorder="1" applyAlignment="1">
      <alignment horizontal="center" vertical="center"/>
    </xf>
    <xf numFmtId="0" fontId="26" fillId="0" borderId="12" xfId="0" applyNumberFormat="1" applyFont="1" applyFill="1" applyBorder="1" applyAlignment="1">
      <alignment horizontal="center" vertical="center"/>
    </xf>
    <xf numFmtId="0" fontId="13" fillId="0" borderId="12" xfId="5" quotePrefix="1" applyNumberFormat="1" applyFont="1" applyFill="1" applyBorder="1" applyAlignment="1">
      <alignment horizontal="center" vertical="center"/>
    </xf>
    <xf numFmtId="9" fontId="18" fillId="0" borderId="12" xfId="1" quotePrefix="1" applyFont="1" applyFill="1" applyBorder="1" applyAlignment="1">
      <alignment horizontal="center" vertical="center"/>
    </xf>
    <xf numFmtId="0" fontId="18" fillId="9" borderId="12" xfId="5" quotePrefix="1" applyNumberFormat="1" applyFont="1" applyFill="1" applyBorder="1" applyAlignment="1">
      <alignment horizontal="center" vertical="center"/>
    </xf>
    <xf numFmtId="0" fontId="18" fillId="0" borderId="12" xfId="5" quotePrefix="1" applyNumberFormat="1" applyFont="1" applyFill="1" applyBorder="1" applyAlignment="1">
      <alignment horizontal="center" vertical="center"/>
    </xf>
    <xf numFmtId="9" fontId="13" fillId="0" borderId="12" xfId="5" applyNumberFormat="1" applyFont="1" applyFill="1" applyBorder="1" applyAlignment="1">
      <alignment horizontal="center" vertical="center"/>
    </xf>
    <xf numFmtId="0" fontId="13" fillId="0" borderId="12" xfId="5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28" fillId="0" borderId="0" xfId="4" applyNumberFormat="1" applyFont="1" applyFill="1" applyAlignment="1">
      <alignment horizontal="left" vertical="center"/>
    </xf>
    <xf numFmtId="0" fontId="29" fillId="0" borderId="0" xfId="4" applyNumberFormat="1" applyFont="1" applyFill="1" applyAlignment="1">
      <alignment horizontal="center" vertical="center"/>
    </xf>
    <xf numFmtId="0" fontId="28" fillId="0" borderId="0" xfId="4" applyNumberFormat="1" applyFont="1" applyFill="1" applyBorder="1" applyAlignment="1">
      <alignment horizontal="center" vertical="center"/>
    </xf>
    <xf numFmtId="0" fontId="28" fillId="0" borderId="0" xfId="4" applyNumberFormat="1" applyFont="1" applyFill="1" applyAlignment="1">
      <alignment horizontal="center" vertical="center"/>
    </xf>
    <xf numFmtId="168" fontId="28" fillId="0" borderId="0" xfId="4" applyNumberFormat="1" applyFont="1" applyFill="1" applyAlignment="1">
      <alignment horizontal="center" vertical="center"/>
    </xf>
    <xf numFmtId="167" fontId="28" fillId="0" borderId="0" xfId="4" applyNumberFormat="1" applyFont="1" applyFill="1" applyAlignment="1">
      <alignment horizontal="left" vertical="center"/>
    </xf>
    <xf numFmtId="0" fontId="28" fillId="0" borderId="0" xfId="4" applyNumberFormat="1" applyFont="1" applyFill="1" applyAlignment="1">
      <alignment vertical="center"/>
    </xf>
    <xf numFmtId="167" fontId="28" fillId="0" borderId="0" xfId="4" applyNumberFormat="1" applyFont="1" applyFill="1" applyAlignment="1">
      <alignment horizontal="center" vertical="center"/>
    </xf>
    <xf numFmtId="1" fontId="28" fillId="0" borderId="0" xfId="4" applyNumberFormat="1" applyFont="1" applyFill="1" applyAlignment="1">
      <alignment horizontal="center" vertical="center"/>
    </xf>
    <xf numFmtId="49" fontId="28" fillId="0" borderId="0" xfId="4" applyNumberFormat="1" applyFont="1" applyFill="1" applyAlignment="1">
      <alignment horizontal="center" vertical="center"/>
    </xf>
    <xf numFmtId="170" fontId="28" fillId="0" borderId="0" xfId="4" applyNumberFormat="1" applyFont="1" applyFill="1" applyAlignment="1">
      <alignment horizontal="center" vertical="center"/>
    </xf>
    <xf numFmtId="173" fontId="28" fillId="0" borderId="0" xfId="4" applyNumberFormat="1" applyFont="1" applyFill="1" applyAlignment="1">
      <alignment horizontal="center" vertical="center"/>
    </xf>
    <xf numFmtId="0" fontId="11" fillId="0" borderId="109" xfId="0" applyFont="1" applyBorder="1" applyAlignment="1">
      <alignment horizontal="left" vertical="center"/>
    </xf>
    <xf numFmtId="3" fontId="11" fillId="0" borderId="110" xfId="2" applyNumberFormat="1" applyFont="1" applyBorder="1" applyAlignme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NumberFormat="1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vertical="center"/>
    </xf>
    <xf numFmtId="9" fontId="0" fillId="0" borderId="0" xfId="0" applyNumberFormat="1" applyFont="1" applyAlignment="1">
      <alignment vertical="center"/>
    </xf>
    <xf numFmtId="9" fontId="13" fillId="0" borderId="12" xfId="5" quotePrefix="1" applyNumberFormat="1" applyFont="1" applyFill="1" applyBorder="1" applyAlignment="1">
      <alignment horizontal="left" vertical="center"/>
    </xf>
    <xf numFmtId="0" fontId="13" fillId="11" borderId="12" xfId="5" applyFont="1" applyFill="1" applyBorder="1" applyAlignment="1">
      <alignment horizontal="center" vertical="center"/>
    </xf>
    <xf numFmtId="171" fontId="13" fillId="11" borderId="12" xfId="5" applyNumberFormat="1" applyFont="1" applyFill="1" applyBorder="1" applyAlignment="1">
      <alignment horizontal="center" vertical="center"/>
    </xf>
    <xf numFmtId="0" fontId="13" fillId="0" borderId="104" xfId="5" applyFont="1" applyFill="1" applyBorder="1" applyAlignment="1">
      <alignment horizontal="center" vertical="center"/>
    </xf>
    <xf numFmtId="0" fontId="13" fillId="0" borderId="105" xfId="5" applyFont="1" applyFill="1" applyBorder="1" applyAlignment="1">
      <alignment horizontal="center" vertical="center"/>
    </xf>
    <xf numFmtId="0" fontId="13" fillId="0" borderId="31" xfId="5" applyFont="1" applyFill="1" applyBorder="1" applyAlignment="1">
      <alignment horizontal="center" vertical="center"/>
    </xf>
    <xf numFmtId="171" fontId="13" fillId="9" borderId="31" xfId="5" applyNumberFormat="1" applyFont="1" applyFill="1" applyBorder="1" applyAlignment="1">
      <alignment horizontal="center" vertical="center"/>
    </xf>
    <xf numFmtId="171" fontId="13" fillId="6" borderId="31" xfId="5" applyNumberFormat="1" applyFont="1" applyFill="1" applyBorder="1" applyAlignment="1">
      <alignment horizontal="center" vertical="center"/>
    </xf>
    <xf numFmtId="0" fontId="18" fillId="6" borderId="12" xfId="5" applyFont="1" applyFill="1" applyBorder="1" applyAlignment="1">
      <alignment horizontal="center" vertical="center"/>
    </xf>
    <xf numFmtId="0" fontId="18" fillId="9" borderId="12" xfId="5" applyFont="1" applyFill="1" applyBorder="1" applyAlignment="1">
      <alignment horizontal="center" vertical="center"/>
    </xf>
    <xf numFmtId="0" fontId="20" fillId="0" borderId="111" xfId="4" applyNumberFormat="1" applyFont="1" applyFill="1" applyBorder="1" applyAlignment="1">
      <alignment horizontal="center" vertical="center"/>
    </xf>
    <xf numFmtId="0" fontId="16" fillId="6" borderId="0" xfId="4" applyNumberFormat="1" applyFont="1" applyFill="1" applyAlignment="1">
      <alignment vertical="center"/>
    </xf>
    <xf numFmtId="0" fontId="16" fillId="0" borderId="111" xfId="4" applyNumberFormat="1" applyFont="1" applyFill="1" applyBorder="1" applyAlignment="1">
      <alignment horizontal="center" vertical="center"/>
    </xf>
    <xf numFmtId="0" fontId="18" fillId="0" borderId="12" xfId="5" quotePrefix="1" applyNumberFormat="1" applyFont="1" applyFill="1" applyBorder="1" applyAlignment="1">
      <alignment horizontal="left" vertical="center"/>
    </xf>
    <xf numFmtId="0" fontId="24" fillId="0" borderId="111" xfId="4" applyNumberFormat="1" applyFont="1" applyFill="1" applyBorder="1" applyAlignment="1">
      <alignment horizontal="center" vertical="center"/>
    </xf>
    <xf numFmtId="0" fontId="30" fillId="0" borderId="0" xfId="4" applyNumberFormat="1" applyFont="1" applyFill="1" applyAlignment="1">
      <alignment horizontal="left" vertical="center"/>
    </xf>
    <xf numFmtId="0" fontId="31" fillId="0" borderId="0" xfId="4" applyNumberFormat="1" applyFont="1" applyFill="1" applyAlignment="1">
      <alignment horizontal="center" vertical="center"/>
    </xf>
    <xf numFmtId="0" fontId="30" fillId="0" borderId="0" xfId="4" applyFont="1" applyFill="1" applyAlignment="1">
      <alignment horizontal="center" vertical="center"/>
    </xf>
    <xf numFmtId="0" fontId="30" fillId="0" borderId="0" xfId="4" applyNumberFormat="1" applyFont="1" applyFill="1" applyAlignment="1">
      <alignment horizontal="center" vertical="center"/>
    </xf>
    <xf numFmtId="168" fontId="30" fillId="0" borderId="0" xfId="4" applyNumberFormat="1" applyFont="1" applyFill="1" applyAlignment="1">
      <alignment horizontal="center" vertical="center"/>
    </xf>
    <xf numFmtId="167" fontId="30" fillId="0" borderId="0" xfId="4" applyNumberFormat="1" applyFont="1" applyFill="1" applyAlignment="1">
      <alignment horizontal="left" vertical="center"/>
    </xf>
    <xf numFmtId="0" fontId="30" fillId="0" borderId="0" xfId="4" applyNumberFormat="1" applyFont="1" applyFill="1" applyAlignment="1">
      <alignment vertical="center"/>
    </xf>
    <xf numFmtId="167" fontId="30" fillId="0" borderId="0" xfId="4" applyNumberFormat="1" applyFont="1" applyFill="1" applyAlignment="1">
      <alignment horizontal="center" vertical="center"/>
    </xf>
    <xf numFmtId="1" fontId="30" fillId="0" borderId="0" xfId="4" applyNumberFormat="1" applyFont="1" applyFill="1" applyAlignment="1">
      <alignment horizontal="center" vertical="center"/>
    </xf>
    <xf numFmtId="49" fontId="30" fillId="0" borderId="0" xfId="4" applyNumberFormat="1" applyFont="1" applyFill="1" applyAlignment="1">
      <alignment horizontal="center" vertical="center"/>
    </xf>
    <xf numFmtId="170" fontId="30" fillId="0" borderId="0" xfId="4" applyNumberFormat="1" applyFont="1" applyFill="1" applyAlignment="1">
      <alignment horizontal="center" vertical="center"/>
    </xf>
    <xf numFmtId="173" fontId="30" fillId="0" borderId="0" xfId="4" applyNumberFormat="1" applyFont="1" applyFill="1" applyAlignment="1">
      <alignment horizontal="center" vertical="center"/>
    </xf>
    <xf numFmtId="0" fontId="16" fillId="7" borderId="0" xfId="4" applyNumberFormat="1" applyFont="1" applyFill="1" applyAlignment="1">
      <alignment horizontal="center" vertical="center"/>
    </xf>
    <xf numFmtId="0" fontId="16" fillId="7" borderId="0" xfId="0" applyNumberFormat="1" applyFont="1" applyFill="1" applyAlignment="1">
      <alignment horizontal="center" vertical="center"/>
    </xf>
    <xf numFmtId="17" fontId="16" fillId="7" borderId="0" xfId="4" applyNumberFormat="1" applyFont="1" applyFill="1" applyAlignment="1">
      <alignment horizontal="center" vertical="center"/>
    </xf>
    <xf numFmtId="0" fontId="23" fillId="0" borderId="63" xfId="0" applyNumberFormat="1" applyFont="1" applyFill="1" applyBorder="1" applyAlignment="1">
      <alignment horizontal="left" vertical="center"/>
    </xf>
    <xf numFmtId="0" fontId="13" fillId="0" borderId="0" xfId="5" applyFont="1" applyBorder="1" applyAlignment="1">
      <alignment horizontal="center" vertical="center"/>
    </xf>
    <xf numFmtId="0" fontId="13" fillId="0" borderId="18" xfId="5" applyFont="1" applyBorder="1" applyAlignment="1">
      <alignment horizontal="center" vertical="center"/>
    </xf>
    <xf numFmtId="0" fontId="18" fillId="0" borderId="17" xfId="5" applyFont="1" applyBorder="1" applyAlignment="1">
      <alignment horizontal="center" vertical="center"/>
    </xf>
    <xf numFmtId="0" fontId="18" fillId="0" borderId="0" xfId="5" applyFont="1" applyBorder="1" applyAlignment="1">
      <alignment horizontal="center" vertical="center"/>
    </xf>
    <xf numFmtId="0" fontId="18" fillId="0" borderId="18" xfId="5" applyFont="1" applyBorder="1" applyAlignment="1">
      <alignment horizontal="center" vertical="center"/>
    </xf>
    <xf numFmtId="0" fontId="18" fillId="0" borderId="92" xfId="5" applyFont="1" applyBorder="1" applyAlignment="1">
      <alignment horizontal="center" vertical="center"/>
    </xf>
    <xf numFmtId="0" fontId="18" fillId="0" borderId="93" xfId="5" applyFont="1" applyBorder="1" applyAlignment="1">
      <alignment horizontal="center" vertical="center"/>
    </xf>
    <xf numFmtId="0" fontId="18" fillId="0" borderId="94" xfId="5" applyFont="1" applyBorder="1" applyAlignment="1">
      <alignment horizontal="center" vertical="center"/>
    </xf>
    <xf numFmtId="0" fontId="13" fillId="0" borderId="17" xfId="5" applyFont="1" applyBorder="1" applyAlignment="1">
      <alignment horizontal="center" vertical="center"/>
    </xf>
    <xf numFmtId="171" fontId="19" fillId="0" borderId="12" xfId="2" applyNumberFormat="1" applyFont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center"/>
    </xf>
    <xf numFmtId="171" fontId="18" fillId="0" borderId="0" xfId="5" applyNumberFormat="1" applyFont="1" applyFill="1" applyBorder="1" applyAlignment="1">
      <alignment horizontal="center" vertical="center"/>
    </xf>
    <xf numFmtId="171" fontId="18" fillId="0" borderId="12" xfId="5" applyNumberFormat="1" applyFont="1" applyFill="1" applyBorder="1" applyAlignment="1">
      <alignment horizontal="center" vertical="center"/>
    </xf>
    <xf numFmtId="0" fontId="18" fillId="0" borderId="12" xfId="5" applyFont="1" applyFill="1" applyBorder="1" applyAlignment="1">
      <alignment horizontal="center" vertical="center"/>
    </xf>
    <xf numFmtId="0" fontId="6" fillId="0" borderId="34" xfId="0" applyFont="1" applyBorder="1" applyAlignment="1">
      <alignment horizontal="left" vertical="center" wrapText="1"/>
    </xf>
    <xf numFmtId="0" fontId="0" fillId="0" borderId="35" xfId="0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10" fillId="3" borderId="23" xfId="0" applyFont="1" applyFill="1" applyBorder="1" applyAlignment="1">
      <alignment horizontal="left" vertical="center"/>
    </xf>
    <xf numFmtId="0" fontId="8" fillId="3" borderId="23" xfId="0" applyFont="1" applyFill="1" applyBorder="1" applyAlignment="1">
      <alignment horizontal="left" vertical="center"/>
    </xf>
    <xf numFmtId="0" fontId="8" fillId="3" borderId="24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8" fillId="3" borderId="18" xfId="0" applyFont="1" applyFill="1" applyBorder="1" applyAlignment="1">
      <alignment horizontal="left" vertical="center"/>
    </xf>
    <xf numFmtId="0" fontId="8" fillId="3" borderId="20" xfId="0" applyFont="1" applyFill="1" applyBorder="1" applyAlignment="1">
      <alignment horizontal="left" vertical="center"/>
    </xf>
    <xf numFmtId="0" fontId="8" fillId="3" borderId="21" xfId="0" applyFont="1" applyFill="1" applyBorder="1" applyAlignment="1">
      <alignment horizontal="left" vertical="center"/>
    </xf>
    <xf numFmtId="0" fontId="6" fillId="0" borderId="29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6" fillId="13" borderId="0" xfId="4" applyNumberFormat="1" applyFont="1" applyFill="1" applyAlignment="1">
      <alignment horizontal="left" vertical="center"/>
    </xf>
  </cellXfs>
  <cellStyles count="7">
    <cellStyle name="Lien hypertexte" xfId="6" builtinId="8"/>
    <cellStyle name="Milliers" xfId="2" builtinId="3"/>
    <cellStyle name="Normal" xfId="0" builtinId="0"/>
    <cellStyle name="Normal 2" xfId="3"/>
    <cellStyle name="Normal 3" xfId="4"/>
    <cellStyle name="Normal 4" xfId="5"/>
    <cellStyle name="Pourcentage" xfId="1" builtinId="5"/>
  </cellStyles>
  <dxfs count="148"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border outline="0">
        <right style="thin">
          <color theme="9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0"/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font>
        <sz val="11"/>
      </font>
    </dxf>
    <dxf>
      <font>
        <sz val="11"/>
      </font>
    </dxf>
    <dxf>
      <numFmt numFmtId="174" formatCode="[$-40C]mmm\ yy;@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0;\-0;;@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0;\-0;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0;\-0;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0;\-0;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0;\-0;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medium">
          <color auto="1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0;\-0;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0;\-0;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0;\-0;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dashed">
          <color auto="1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0;\-0;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0;\-0;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medium">
          <color auto="1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0;\-0;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0;\-0;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0;\-0;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dashed">
          <color auto="1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0;\-0;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0;\-0;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medium">
          <color auto="1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0;\-0;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0;\-0;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0;\-0;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ashed">
          <color auto="1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0;\-0;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2" formatCode="0;\-0;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border outline="0">
        <right style="medium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>
          <fgColor indexed="64"/>
          <bgColor rgb="FFFFC000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8" formatCode="[$-40C]mmm\ 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73" formatCode="[$-40C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73" formatCode="[$-40C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73" formatCode="[$-40C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73" formatCode="[$-40C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73" formatCode="[$-40C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73" formatCode="[$-40C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73" formatCode="[$-40C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73" formatCode="[$-40C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73" formatCode="[$-40C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8" formatCode="[$-40C]mmm\ 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73" formatCode="[$-40C]d\-mmm\-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7" formatCode="[$-40C]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7" formatCode="[$-40C]mmm\-yy;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7" formatCode="[$-40C]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7" formatCode="[$-40C]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7" formatCode="[$-40C]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70" formatCode="#,##0\ [$€-40C]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8" formatCode="[$-40C]mmm\ yyyy;@"/>
      <fill>
        <patternFill patternType="none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" formatCode="0"/>
      <fill>
        <patternFill patternType="none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7" formatCode="[$-40C]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7" formatCode="[$-40C]mmm\-yy;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7" formatCode="[$-40C]mmm\-yy;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8" formatCode="[$-40C]mmm\ 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microsoft.com/office/2007/relationships/slicerCache" Target="slicerCaches/slicerCache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1/relationships/timelineCache" Target="timelineCaches/timelineCache2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microsoft.com/office/2007/relationships/slicerCache" Target="slicerCaches/slicerCache6.xml"/><Relationship Id="rId25" Type="http://schemas.microsoft.com/office/2007/relationships/slicerCache" Target="slicerCaches/slicerCache12.xml"/><Relationship Id="rId2" Type="http://schemas.openxmlformats.org/officeDocument/2006/relationships/worksheet" Target="worksheets/sheet2.xml"/><Relationship Id="rId16" Type="http://schemas.microsoft.com/office/2007/relationships/slicerCache" Target="slicerCaches/slicerCache5.xml"/><Relationship Id="rId20" Type="http://schemas.microsoft.com/office/2011/relationships/timelineCache" Target="timelineCaches/timelineCache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microsoft.com/office/2007/relationships/slicerCache" Target="slicerCaches/slicerCache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4.xml"/><Relationship Id="rId23" Type="http://schemas.microsoft.com/office/2007/relationships/slicerCache" Target="slicerCaches/slicerCache10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microsoft.com/office/2007/relationships/slicerCache" Target="slicerCaches/slicerCache8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07/relationships/slicerCache" Target="slicerCaches/slicerCache3.xml"/><Relationship Id="rId22" Type="http://schemas.microsoft.com/office/2007/relationships/slicerCache" Target="slicerCaches/slicerCache9.xml"/><Relationship Id="rId27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53340</xdr:colOff>
      <xdr:row>0</xdr:row>
      <xdr:rowOff>74537</xdr:rowOff>
    </xdr:from>
    <xdr:to>
      <xdr:col>0</xdr:col>
      <xdr:colOff>1174569</xdr:colOff>
      <xdr:row>203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Sub-Deal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-Dealer"/>
            </a:graphicData>
          </a:graphic>
        </xdr:graphicFrame>
      </mc:Choice>
      <mc:Fallback xmlns="">
        <xdr:sp macro="" textlink="">
          <xdr:nvSpPr>
            <xdr:cNvPr id="2" name="Rectangle 1"/>
            <xdr:cNvSpPr>
              <a:spLocks noTextEdit="1"/>
            </xdr:cNvSpPr>
          </xdr:nvSpPr>
          <xdr:spPr>
            <a:xfrm>
              <a:off x="53340" y="74537"/>
              <a:ext cx="1121229" cy="12284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sont pris en charge dans Excel 2013 ou version ultérieure.
En revanche, si la forme a été modifiée dans une version précédente d’Excel, ou si le classeur a été enregistré dans Excel 2007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11590</xdr:colOff>
      <xdr:row>210</xdr:row>
      <xdr:rowOff>90160</xdr:rowOff>
    </xdr:from>
    <xdr:to>
      <xdr:col>0</xdr:col>
      <xdr:colOff>1110342</xdr:colOff>
      <xdr:row>220</xdr:row>
      <xdr:rowOff>19594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3" name="Rectangle 2"/>
            <xdr:cNvSpPr>
              <a:spLocks noTextEdit="1"/>
            </xdr:cNvSpPr>
          </xdr:nvSpPr>
          <xdr:spPr>
            <a:xfrm>
              <a:off x="11590" y="2193280"/>
              <a:ext cx="1098752" cy="16439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sont pris en charge dans Excel 2013 ou version ultérieure.
En revanche, si la forme a été modifiée dans une version précédente d’Excel, ou si le classeur a été enregistré dans Excel 2007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0</xdr:colOff>
      <xdr:row>220</xdr:row>
      <xdr:rowOff>38096</xdr:rowOff>
    </xdr:from>
    <xdr:to>
      <xdr:col>0</xdr:col>
      <xdr:colOff>1121229</xdr:colOff>
      <xdr:row>277</xdr:row>
      <xdr:rowOff>60959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Tonne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nnes"/>
            </a:graphicData>
          </a:graphic>
        </xdr:graphicFrame>
      </mc:Choice>
      <mc:Fallback xmlns="">
        <xdr:sp macro="" textlink="">
          <xdr:nvSpPr>
            <xdr:cNvPr id="4" name="Rectangle 3"/>
            <xdr:cNvSpPr>
              <a:spLocks noTextEdit="1"/>
            </xdr:cNvSpPr>
          </xdr:nvSpPr>
          <xdr:spPr>
            <a:xfrm>
              <a:off x="0" y="3855717"/>
              <a:ext cx="1121229" cy="13226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sont pris en charge dans Excel 2013 ou version ultérieure.
En revanche, si la forme a été modifiée dans une version précédente d’Excel, ou si le classeur a été enregistré dans Excel 2007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91440</xdr:colOff>
      <xdr:row>204</xdr:row>
      <xdr:rowOff>38100</xdr:rowOff>
    </xdr:from>
    <xdr:to>
      <xdr:col>0</xdr:col>
      <xdr:colOff>1021080</xdr:colOff>
      <xdr:row>208</xdr:row>
      <xdr:rowOff>114299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LivrA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vrAn"/>
            </a:graphicData>
          </a:graphic>
        </xdr:graphicFrame>
      </mc:Choice>
      <mc:Fallback xmlns="">
        <xdr:sp macro="" textlink="">
          <xdr:nvSpPr>
            <xdr:cNvPr id="5" name="Rectangle 4"/>
            <xdr:cNvSpPr>
              <a:spLocks noTextEdit="1"/>
            </xdr:cNvSpPr>
          </xdr:nvSpPr>
          <xdr:spPr>
            <a:xfrm>
              <a:off x="91440" y="1379220"/>
              <a:ext cx="929640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sont pris en charge dans Excel 2013 ou version ultérieure.
En revanche, si la forme a été modifiée dans une version précédente d’Excel, ou si le classeur a été enregistré dans Excel 2007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198120</xdr:colOff>
      <xdr:row>1</xdr:row>
      <xdr:rowOff>22861</xdr:rowOff>
    </xdr:from>
    <xdr:to>
      <xdr:col>1</xdr:col>
      <xdr:colOff>990600</xdr:colOff>
      <xdr:row>10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ub-Deale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-Deal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120" y="208391"/>
              <a:ext cx="1021080" cy="16469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384264</xdr:colOff>
      <xdr:row>1</xdr:row>
      <xdr:rowOff>1</xdr:rowOff>
    </xdr:from>
    <xdr:to>
      <xdr:col>11</xdr:col>
      <xdr:colOff>11979</xdr:colOff>
      <xdr:row>10</xdr:row>
      <xdr:rowOff>76201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tatus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42326" y="185531"/>
              <a:ext cx="1217875" cy="1745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158929</xdr:colOff>
      <xdr:row>0</xdr:row>
      <xdr:rowOff>160021</xdr:rowOff>
    </xdr:from>
    <xdr:to>
      <xdr:col>8</xdr:col>
      <xdr:colOff>132960</xdr:colOff>
      <xdr:row>10</xdr:row>
      <xdr:rowOff>83821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lien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25074" y="160021"/>
              <a:ext cx="1563629" cy="17791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1194920</xdr:colOff>
      <xdr:row>1</xdr:row>
      <xdr:rowOff>7621</xdr:rowOff>
    </xdr:from>
    <xdr:to>
      <xdr:col>5</xdr:col>
      <xdr:colOff>30052</xdr:colOff>
      <xdr:row>10</xdr:row>
      <xdr:rowOff>22860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it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6170" y="193151"/>
              <a:ext cx="1667708" cy="16850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116840</xdr:colOff>
      <xdr:row>10</xdr:row>
      <xdr:rowOff>160020</xdr:rowOff>
    </xdr:from>
    <xdr:to>
      <xdr:col>11</xdr:col>
      <xdr:colOff>207252</xdr:colOff>
      <xdr:row>17</xdr:row>
      <xdr:rowOff>167640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Delive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elivery 1"/>
            </a:graphicData>
          </a:graphic>
        </xdr:graphicFrame>
      </mc:Choice>
      <mc:Fallback xmlns="">
        <xdr:sp macro="" textlink="">
          <xdr:nvSpPr>
            <xdr:cNvPr id="6" name="Rectangle 5"/>
            <xdr:cNvSpPr>
              <a:spLocks noTextEdit="1"/>
            </xdr:cNvSpPr>
          </xdr:nvSpPr>
          <xdr:spPr>
            <a:xfrm>
              <a:off x="116840" y="2015324"/>
              <a:ext cx="6340392" cy="13063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ni redimensionner.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22861</xdr:rowOff>
    </xdr:from>
    <xdr:to>
      <xdr:col>1</xdr:col>
      <xdr:colOff>1020417</xdr:colOff>
      <xdr:row>10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ub-Dealer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-Deale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120" y="208391"/>
              <a:ext cx="1021080" cy="16469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11469</xdr:colOff>
      <xdr:row>1</xdr:row>
      <xdr:rowOff>1</xdr:rowOff>
    </xdr:from>
    <xdr:to>
      <xdr:col>11</xdr:col>
      <xdr:colOff>167845</xdr:colOff>
      <xdr:row>10</xdr:row>
      <xdr:rowOff>76201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tatus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42326" y="185531"/>
              <a:ext cx="1217875" cy="1745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304295</xdr:colOff>
      <xdr:row>0</xdr:row>
      <xdr:rowOff>160021</xdr:rowOff>
    </xdr:from>
    <xdr:to>
      <xdr:col>8</xdr:col>
      <xdr:colOff>281307</xdr:colOff>
      <xdr:row>10</xdr:row>
      <xdr:rowOff>83821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lien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25074" y="160021"/>
              <a:ext cx="1563629" cy="17791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88695</xdr:colOff>
      <xdr:row>1</xdr:row>
      <xdr:rowOff>7621</xdr:rowOff>
    </xdr:from>
    <xdr:to>
      <xdr:col>5</xdr:col>
      <xdr:colOff>173099</xdr:colOff>
      <xdr:row>10</xdr:row>
      <xdr:rowOff>22860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it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6170" y="193151"/>
              <a:ext cx="1667708" cy="16850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116840</xdr:colOff>
      <xdr:row>10</xdr:row>
      <xdr:rowOff>160020</xdr:rowOff>
    </xdr:from>
    <xdr:to>
      <xdr:col>11</xdr:col>
      <xdr:colOff>362225</xdr:colOff>
      <xdr:row>17</xdr:row>
      <xdr:rowOff>167640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Delivery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elivery 2"/>
            </a:graphicData>
          </a:graphic>
        </xdr:graphicFrame>
      </mc:Choice>
      <mc:Fallback xmlns="">
        <xdr:sp macro="" textlink="">
          <xdr:nvSpPr>
            <xdr:cNvPr id="6" name="Rectangle 5"/>
            <xdr:cNvSpPr>
              <a:spLocks noTextEdit="1"/>
            </xdr:cNvSpPr>
          </xdr:nvSpPr>
          <xdr:spPr>
            <a:xfrm>
              <a:off x="116840" y="2015324"/>
              <a:ext cx="6340392" cy="13063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ni redimensionner.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nf/AppData/Local/Microsoft/Windows/INetCache/Content.Outlook/U89ILTCI/HCSF%20Dealer%20Business%20Plan%20-%20ESM%20TP%20v3-1_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nf/Documents/Mes%20Documents/Strat&#233;gie/Groupe%20VMSODIME/Espace%20Services%20Mat&#233;riels%20TP/Forecast/Tableau%20mod&#232;le%20Boris%20SETP%2011%202017%20Forec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 Machines"/>
      <sheetName val="Cdes HITACHI"/>
      <sheetName val="Nombre"/>
      <sheetName val="Budget"/>
      <sheetName val="Prévisionnel"/>
      <sheetName val="PlanFinance"/>
      <sheetName val="Parts de marché"/>
      <sheetName val="Data"/>
      <sheetName val="HCSF Dealer Business Plan - ES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Prevision"/>
      <sheetName val="Données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istration" refreshedDate="43144.595894675927" createdVersion="5" refreshedVersion="5" minRefreshableVersion="3" recordCount="523">
  <cacheSource type="worksheet">
    <worksheetSource name="LstMachines"/>
  </cacheSource>
  <cacheFields count="37">
    <cacheField name="Category" numFmtId="0">
      <sharedItems containsBlank="1" count="5">
        <s v="Pelle/Chenilles"/>
        <s v="Mini Pelle"/>
        <s v="Chargeuse"/>
        <s v="Pelle/Pneus"/>
        <m u="1"/>
      </sharedItems>
    </cacheField>
    <cacheField name="Model" numFmtId="0">
      <sharedItems/>
    </cacheField>
    <cacheField name="Ton." numFmtId="0">
      <sharedItems containsSemiMixedTypes="0" containsString="0" containsNumber="1" containsInteger="1" minValue="10" maxValue="530" count="22">
        <n v="210"/>
        <n v="135"/>
        <n v="85"/>
        <n v="26"/>
        <n v="19"/>
        <n v="350"/>
        <n v="490"/>
        <n v="55"/>
        <n v="65"/>
        <n v="48"/>
        <n v="180"/>
        <n v="300"/>
        <n v="225"/>
        <n v="95"/>
        <n v="310"/>
        <n v="190"/>
        <n v="33"/>
        <n v="75"/>
        <n v="145"/>
        <n v="160"/>
        <n v="530"/>
        <n v="10"/>
      </sharedItems>
    </cacheField>
    <cacheField name="Model-Spec" numFmtId="0">
      <sharedItems containsBlank="1" count="39">
        <s v="ZX210LC-6-MN"/>
        <s v="ZX135US-6-MN-BL"/>
        <s v="ZX85USB-5A-Mono"/>
        <s v="ZX26U-5-YLR"/>
        <s v="ZX19U-5"/>
        <s v="ZX350LCN-6-MN"/>
        <s v="ZX490-6-BE"/>
        <s v="ZX55U-5-CLRNH"/>
        <s v="ZX65USB-5-CLRNH"/>
        <m/>
        <s v="ZX48U-5-CLRNH"/>
        <s v="ZX26U-5-CLR"/>
        <s v="ZX225USLC-6-2P-BL"/>
        <s v="ZX65USB-5-CLR"/>
        <s v="ZX135US-6-2P-BL"/>
        <s v="ZX225USLC-6-MN"/>
        <s v="ZW95-6 "/>
        <s v="ZX65U-5-CLR"/>
        <s v="ZX55U-5-CLR"/>
        <s v="ZW180-6-TPD"/>
        <s v="ZW310-6-TPD"/>
        <s v="ZX190LC-6-MN"/>
        <s v="ZX33U-5-CLR"/>
        <s v="ZX65USB-5-CLP"/>
        <s v="ZX300LCN-6-MN"/>
        <s v="ZW75-6-TPD"/>
        <s v="ZX48U-5-CLR"/>
        <s v="ZX145W-6-2P"/>
        <s v="ZX160LC-6-2P"/>
        <s v="ZX225USLC-6-MN-BL"/>
        <s v="ZX530-6-LCH"/>
        <s v="ZX10U-2"/>
        <s v="ZX350LC-6-MN"/>
        <s v="ZX160LC-6-MN"/>
        <s v="ZW220-6-TPD"/>
        <s v="ZX300LCN-6-2P"/>
        <s v="ZX225USLC-6-2P"/>
        <s v="ZX19-5A"/>
        <s v="ZX33U-5-YLR"/>
      </sharedItems>
    </cacheField>
    <cacheField name="Sub-Dealer" numFmtId="0">
      <sharedItems count="5">
        <s v="BTPS"/>
        <s v="ESM TP"/>
        <s v="LIMA TP"/>
        <s v="SETP"/>
        <s v="XMTP"/>
      </sharedItems>
    </cacheField>
    <cacheField name="Site" numFmtId="0">
      <sharedItems containsBlank="1" count="10">
        <s v="ORTHEZ"/>
        <s v="_commun"/>
        <s v="BOISSEUIL"/>
        <s v="RABASTENS"/>
        <s v="LÉZIGNAN"/>
        <m/>
        <s v="RODEZ"/>
        <s v="MONTPELLIER"/>
        <s v="BORDEAUX"/>
        <s v="LEZIGNAN" u="1"/>
      </sharedItems>
    </cacheField>
    <cacheField name="Nbre" numFmtId="0">
      <sharedItems containsSemiMixedTypes="0" containsString="0" containsNumber="1" containsInteger="1" minValue="0" maxValue="36"/>
    </cacheField>
    <cacheField name="Budget" numFmtId="0">
      <sharedItems containsSemiMixedTypes="0" containsString="0" containsNumber="1" containsInteger="1" minValue="0" maxValue="944"/>
    </cacheField>
    <cacheField name="Delivery" numFmtId="168">
      <sharedItems containsSemiMixedTypes="0" containsNonDate="0" containsDate="1" containsString="0" minDate="2017-05-01T00:00:00" maxDate="2020-12-15T00:00:00" count="44">
        <d v="2018-01-15T00:00:00"/>
        <d v="2018-04-15T00:00:00"/>
        <d v="2018-03-15T00:00:00"/>
        <d v="2017-12-15T00:00:00"/>
        <d v="2017-11-15T00:00:00"/>
        <d v="2019-06-15T00:00:00"/>
        <d v="2018-09-15T00:00:00"/>
        <d v="2018-06-15T00:00:00"/>
        <d v="2020-06-15T00:00:00"/>
        <d v="2017-05-01T00:00:00"/>
        <d v="2017-05-15T00:00:00"/>
        <d v="2018-05-15T00:00:00"/>
        <d v="2018-02-15T00:00:00"/>
        <d v="2018-11-15T00:00:00"/>
        <d v="2018-10-15T00:00:00"/>
        <d v="2018-08-15T00:00:00"/>
        <d v="2018-07-15T00:00:00"/>
        <d v="2020-12-14T00:00:00"/>
        <d v="2020-11-14T00:00:00"/>
        <d v="2020-10-14T00:00:00"/>
        <d v="2020-09-14T00:00:00"/>
        <d v="2020-08-14T00:00:00"/>
        <d v="2020-07-14T00:00:00"/>
        <d v="2020-06-14T00:00:00"/>
        <d v="2020-05-14T00:00:00"/>
        <d v="2020-04-14T00:00:00"/>
        <d v="2019-12-15T00:00:00"/>
        <d v="2019-11-15T00:00:00"/>
        <d v="2019-10-15T00:00:00"/>
        <d v="2019-09-15T00:00:00"/>
        <d v="2019-08-15T00:00:00"/>
        <d v="2019-07-15T00:00:00"/>
        <d v="2019-05-15T00:00:00"/>
        <d v="2019-04-15T00:00:00"/>
        <d v="2018-07-01T00:00:00"/>
        <d v="2020-06-30T00:00:00"/>
        <d v="2019-07-01T00:00:00"/>
        <d v="2018-12-15T00:00:00"/>
        <d v="2017-08-15T00:00:00"/>
        <d v="2017-06-15T00:00:00"/>
        <d v="2017-09-15T00:00:00"/>
        <d v="2017-10-15T00:00:00"/>
        <d v="2017-07-15T00:00:00"/>
        <d v="2018-11-01T00:00:00"/>
      </sharedItems>
    </cacheField>
    <cacheField name="Status" numFmtId="167">
      <sharedItems count="10">
        <s v="3-Commande"/>
        <s v="1-Forecast"/>
        <s v="5-Livrée"/>
        <s v="** Lost **"/>
        <s v="2-Reply" u="1"/>
        <s v="???" u="1"/>
        <s v="Livré" u="1"/>
        <s v="Commande" u="1"/>
        <s v="Reply" u="1"/>
        <s v="Forecast" u="1"/>
      </sharedItems>
    </cacheField>
    <cacheField name="OriginInfo" numFmtId="0">
      <sharedItems/>
    </cacheField>
    <cacheField name="Remarque" numFmtId="167">
      <sharedItems containsBlank="1"/>
    </cacheField>
    <cacheField name="OrderDate" numFmtId="0">
      <sharedItems containsDate="1" containsBlank="1" containsMixedTypes="1" minDate="2017-02-28T00:00:00" maxDate="2017-12-02T00:00:00"/>
    </cacheField>
    <cacheField name="LivrMois" numFmtId="1">
      <sharedItems containsSemiMixedTypes="0" containsString="0" containsNumber="1" containsInteger="1" minValue="1" maxValue="12"/>
    </cacheField>
    <cacheField name="LivrAn" numFmtId="168">
      <sharedItems/>
    </cacheField>
    <cacheField name="OrderNum" numFmtId="0">
      <sharedItems containsBlank="1" containsMixedTypes="1" containsNumber="1" containsInteger="1" minValue="17110136" maxValue="17110136"/>
    </cacheField>
    <cacheField name="OrderPrice" numFmtId="0">
      <sharedItems containsString="0" containsBlank="1" containsNumber="1" containsInteger="1" minValue="16198" maxValue="290000"/>
    </cacheField>
    <cacheField name="Financement" numFmtId="0">
      <sharedItems containsBlank="1"/>
    </cacheField>
    <cacheField name="Confirm" numFmtId="0">
      <sharedItems containsBlank="1"/>
    </cacheField>
    <cacheField name="Destination" numFmtId="0">
      <sharedItems containsBlank="1"/>
    </cacheField>
    <cacheField name="MachineId" numFmtId="0">
      <sharedItems containsString="0" containsBlank="1" containsNumber="1" containsInteger="1" minValue="3959" maxValue="4268"/>
    </cacheField>
    <cacheField name="Client" numFmtId="0">
      <sharedItems containsBlank="1" count="23">
        <m/>
        <s v="_Stock"/>
        <s v="_Client x"/>
        <s v="CARCELLER"/>
        <s v="STAP"/>
        <s v="NEROCAN"/>
        <s v="_Location"/>
        <s v="TDA"/>
        <s v="STOCKBAT"/>
        <s v="CITELIUM"/>
        <s v="SANCHEZ"/>
        <s v="GINESTE"/>
        <s v="TEPASSO"/>
        <s v="PRUNET"/>
        <s v="RECTANGLE BLEU"/>
        <s v="SAS SRI TRAL"/>
        <s v="LOC PLUS"/>
        <s v="ARTISANAL BATIMENT"/>
        <s v="VIAGREEN"/>
        <s v="_TPAL"/>
        <s v="GASPARINI"/>
        <s v="SOL FRERES"/>
        <s v="COLAS"/>
      </sharedItems>
    </cacheField>
    <cacheField name="DateLivr" numFmtId="0">
      <sharedItems containsSemiMixedTypes="0" containsNonDate="0" containsDate="1" containsString="0" minDate="2017-05-01T00:00:00" maxDate="2020-12-15T00:00:00"/>
    </cacheField>
    <cacheField name="MoisLivr" numFmtId="173">
      <sharedItems count="59">
        <s v="01-2018"/>
        <s v="04-2018"/>
        <s v="03-2018"/>
        <s v="12-2017"/>
        <s v="11-2017"/>
        <s v="06-2019"/>
        <s v="09-2018"/>
        <s v="06-2018"/>
        <s v="06-2020"/>
        <s v="05-2017"/>
        <s v="05-2018"/>
        <s v="02-2018"/>
        <s v="11-2018"/>
        <s v="10-2018"/>
        <s v="08-2018"/>
        <s v="07-2018"/>
        <s v="12-2020"/>
        <s v="11-2020"/>
        <s v="10-2020"/>
        <s v="09-2020"/>
        <s v="08-2020"/>
        <s v="07-2020"/>
        <s v="05-2020"/>
        <s v="04-2020"/>
        <s v="12-2019"/>
        <s v="11-2019"/>
        <s v="10-2019"/>
        <s v="09-2019"/>
        <s v="08-2019"/>
        <s v="07-2019"/>
        <s v="05-2019"/>
        <s v="04-2019"/>
        <s v="12-2018"/>
        <s v="08-2017"/>
        <s v="06-2017"/>
        <s v="09-2017"/>
        <s v="10-2017"/>
        <s v="07-2017"/>
        <s v="4-2019" u="1"/>
        <s v="9-2017" u="1"/>
        <s v="9-2018" u="1"/>
        <s v="2-2018" u="1"/>
        <s v="9-2019" u="1"/>
        <s v="7-2017" u="1"/>
        <s v="7-2018" u="1"/>
        <s v="7-2019" u="1"/>
        <s v="6-2020" u="1"/>
        <s v="5-2017" u="1"/>
        <s v="5-2018" u="1"/>
        <s v="5-2019" u="1"/>
        <s v="3-2018" u="1"/>
        <s v="8-2017" u="1"/>
        <s v="8-2018" u="1"/>
        <s v="1-2018" u="1"/>
        <s v="8-2019" u="1"/>
        <s v="6-2017" u="1"/>
        <s v="6-2018" u="1"/>
        <s v="6-2019" u="1"/>
        <s v="4-2018" u="1"/>
      </sharedItems>
    </cacheField>
    <cacheField name="DatePaie" numFmtId="0">
      <sharedItems containsSemiMixedTypes="0" containsNonDate="0" containsDate="1" containsString="0" minDate="2017-06-30T00:00:00" maxDate="2021-02-13T00:00:00"/>
    </cacheField>
    <cacheField name="MoisPaie" numFmtId="173">
      <sharedItems/>
    </cacheField>
    <cacheField name="Distrib" numFmtId="173">
      <sharedItems containsSemiMixedTypes="0" containsNonDate="0" containsDate="1" containsString="0" minDate="2017-05-02T00:00:00" maxDate="2020-12-16T00:00:00"/>
    </cacheField>
    <cacheField name="MoisDistrib" numFmtId="173">
      <sharedItems/>
    </cacheField>
    <cacheField name="VteESM" numFmtId="173">
      <sharedItems containsSemiMixedTypes="0" containsNonDate="0" containsDate="1" containsString="0" minDate="2017-08-29T00:00:00" maxDate="2021-04-14T00:00:00"/>
    </cacheField>
    <cacheField name="MoisVteESM" numFmtId="173">
      <sharedItems/>
    </cacheField>
    <cacheField name="RgltDistrib" numFmtId="173">
      <sharedItems containsSemiMixedTypes="0" containsNonDate="0" containsDate="1" containsString="0" minDate="2017-06-30T00:00:00" maxDate="2021-02-13T00:00:00"/>
    </cacheField>
    <cacheField name="MoisRgltDistrib" numFmtId="173">
      <sharedItems/>
    </cacheField>
    <cacheField name="RgltVteESM" numFmtId="173">
      <sharedItems containsSemiMixedTypes="0" containsNonDate="0" containsDate="1" containsString="0" minDate="2017-10-28T00:00:00" maxDate="2021-06-13T00:00:00"/>
    </cacheField>
    <cacheField name="MoisRgltVteESM" numFmtId="173">
      <sharedItems/>
    </cacheField>
    <cacheField name="PayMonth" numFmtId="1">
      <sharedItems containsSemiMixedTypes="0" containsString="0" containsNumber="1" containsInteger="1" minValue="1" maxValue="12"/>
    </cacheField>
    <cacheField name="PayYear" numFmtId="168">
      <sharedItems/>
    </cacheField>
    <cacheField name="-" numFmtId="1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3">
  <r>
    <x v="0"/>
    <s v="ZX210"/>
    <x v="0"/>
    <x v="0"/>
    <x v="0"/>
    <x v="0"/>
    <n v="1"/>
    <n v="118"/>
    <x v="0"/>
    <x v="0"/>
    <s v="2017-11 BTPS"/>
    <m/>
    <m/>
    <n v="1"/>
    <s v="2018"/>
    <m/>
    <m/>
    <m/>
    <m/>
    <m/>
    <m/>
    <x v="0"/>
    <d v="2018-01-15T00:00:00"/>
    <x v="0"/>
    <d v="2018-03-16T00:00:00"/>
    <s v="03-2018"/>
    <d v="2018-01-16T00:00:00"/>
    <s v="01-2018"/>
    <d v="2018-05-15T00:00:00"/>
    <s v="05-2018"/>
    <d v="2018-03-16T00:00:00"/>
    <s v="03-2018"/>
    <d v="2018-07-14T00:00:00"/>
    <s v="07-2018"/>
    <n v="3"/>
    <s v="2018"/>
    <m/>
  </r>
  <r>
    <x v="0"/>
    <s v="ZX135"/>
    <x v="1"/>
    <x v="1"/>
    <x v="0"/>
    <x v="0"/>
    <n v="1"/>
    <n v="105"/>
    <x v="1"/>
    <x v="0"/>
    <s v="2017-11 BTPS"/>
    <m/>
    <m/>
    <n v="4"/>
    <s v="2018"/>
    <m/>
    <m/>
    <m/>
    <m/>
    <m/>
    <m/>
    <x v="0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0"/>
    <s v="ZX85"/>
    <x v="2"/>
    <x v="2"/>
    <x v="0"/>
    <x v="0"/>
    <n v="1"/>
    <n v="64"/>
    <x v="2"/>
    <x v="0"/>
    <s v="2017-11 BTPS"/>
    <m/>
    <m/>
    <n v="3"/>
    <s v="2018"/>
    <m/>
    <m/>
    <m/>
    <m/>
    <m/>
    <m/>
    <x v="0"/>
    <d v="2018-03-15T00:00:00"/>
    <x v="2"/>
    <d v="2018-05-14T00:00:00"/>
    <s v="05-2018"/>
    <d v="2018-03-16T00:00:00"/>
    <s v="03-2018"/>
    <d v="2018-07-13T00:00:00"/>
    <s v="07-2018"/>
    <d v="2018-05-14T00:00:00"/>
    <s v="05-2018"/>
    <d v="2018-09-11T00:00:00"/>
    <s v="09-2018"/>
    <n v="5"/>
    <s v="2018"/>
    <m/>
  </r>
  <r>
    <x v="1"/>
    <s v="ZX26"/>
    <x v="3"/>
    <x v="3"/>
    <x v="0"/>
    <x v="0"/>
    <n v="1"/>
    <n v="22"/>
    <x v="0"/>
    <x v="0"/>
    <s v="2017-11 BTPS"/>
    <m/>
    <m/>
    <n v="1"/>
    <s v="2018"/>
    <m/>
    <m/>
    <m/>
    <m/>
    <m/>
    <m/>
    <x v="0"/>
    <d v="2018-01-15T00:00:00"/>
    <x v="0"/>
    <d v="2018-03-16T00:00:00"/>
    <s v="03-2018"/>
    <d v="2018-01-16T00:00:00"/>
    <s v="01-2018"/>
    <d v="2018-05-15T00:00:00"/>
    <s v="05-2018"/>
    <d v="2018-03-16T00:00:00"/>
    <s v="03-2018"/>
    <d v="2018-07-14T00:00:00"/>
    <s v="07-2018"/>
    <n v="3"/>
    <s v="2018"/>
    <m/>
  </r>
  <r>
    <x v="1"/>
    <s v="ZX26"/>
    <x v="3"/>
    <x v="3"/>
    <x v="0"/>
    <x v="0"/>
    <n v="1"/>
    <n v="22"/>
    <x v="0"/>
    <x v="0"/>
    <s v="2017-11 BTPS"/>
    <m/>
    <m/>
    <n v="1"/>
    <s v="2018"/>
    <m/>
    <m/>
    <m/>
    <m/>
    <m/>
    <m/>
    <x v="0"/>
    <d v="2018-01-15T00:00:00"/>
    <x v="0"/>
    <d v="2018-03-16T00:00:00"/>
    <s v="03-2018"/>
    <d v="2018-01-16T00:00:00"/>
    <s v="01-2018"/>
    <d v="2018-05-15T00:00:00"/>
    <s v="05-2018"/>
    <d v="2018-03-16T00:00:00"/>
    <s v="03-2018"/>
    <d v="2018-07-14T00:00:00"/>
    <s v="07-2018"/>
    <n v="3"/>
    <s v="2018"/>
    <m/>
  </r>
  <r>
    <x v="1"/>
    <s v="ZX26"/>
    <x v="3"/>
    <x v="3"/>
    <x v="0"/>
    <x v="0"/>
    <n v="1"/>
    <n v="22"/>
    <x v="0"/>
    <x v="0"/>
    <s v="2017-11 BTPS"/>
    <m/>
    <m/>
    <n v="1"/>
    <s v="2018"/>
    <m/>
    <m/>
    <m/>
    <m/>
    <m/>
    <m/>
    <x v="0"/>
    <d v="2018-01-15T00:00:00"/>
    <x v="0"/>
    <d v="2018-03-16T00:00:00"/>
    <s v="03-2018"/>
    <d v="2018-01-16T00:00:00"/>
    <s v="01-2018"/>
    <d v="2018-05-15T00:00:00"/>
    <s v="05-2018"/>
    <d v="2018-03-16T00:00:00"/>
    <s v="03-2018"/>
    <d v="2018-07-14T00:00:00"/>
    <s v="07-2018"/>
    <n v="3"/>
    <s v="2018"/>
    <m/>
  </r>
  <r>
    <x v="1"/>
    <s v="ZX19"/>
    <x v="4"/>
    <x v="4"/>
    <x v="0"/>
    <x v="0"/>
    <n v="1"/>
    <n v="0"/>
    <x v="3"/>
    <x v="0"/>
    <s v="2017-11 BTPS"/>
    <m/>
    <m/>
    <n v="12"/>
    <s v="2017"/>
    <m/>
    <m/>
    <m/>
    <m/>
    <m/>
    <m/>
    <x v="0"/>
    <d v="2017-12-15T00:00:00"/>
    <x v="3"/>
    <d v="2018-02-13T00:00:00"/>
    <s v="02-2018"/>
    <d v="2017-12-16T00:00:00"/>
    <s v="12-2017"/>
    <d v="2018-04-14T00:00:00"/>
    <s v="04-2018"/>
    <d v="2018-02-13T00:00:00"/>
    <s v="02-2018"/>
    <d v="2018-06-13T00:00:00"/>
    <s v="06-2018"/>
    <n v="2"/>
    <s v="2018"/>
    <m/>
  </r>
  <r>
    <x v="1"/>
    <s v="ZX19"/>
    <x v="4"/>
    <x v="4"/>
    <x v="0"/>
    <x v="0"/>
    <n v="1"/>
    <n v="0"/>
    <x v="4"/>
    <x v="0"/>
    <s v="2017-11 BTPS"/>
    <m/>
    <m/>
    <n v="11"/>
    <s v="2017"/>
    <m/>
    <m/>
    <m/>
    <m/>
    <m/>
    <m/>
    <x v="0"/>
    <d v="2017-11-15T00:00:00"/>
    <x v="4"/>
    <d v="2018-01-14T00:00:00"/>
    <s v="01-2018"/>
    <d v="2017-11-16T00:00:00"/>
    <s v="11-2017"/>
    <d v="2018-03-15T00:00:00"/>
    <s v="03-2018"/>
    <d v="2018-01-14T00:00:00"/>
    <s v="01-2018"/>
    <d v="2018-05-14T00:00:00"/>
    <s v="05-2018"/>
    <n v="1"/>
    <s v="2018"/>
    <m/>
  </r>
  <r>
    <x v="1"/>
    <s v="ZX26"/>
    <x v="3"/>
    <x v="3"/>
    <x v="0"/>
    <x v="0"/>
    <n v="1"/>
    <n v="0"/>
    <x v="4"/>
    <x v="0"/>
    <s v="2017-11 BTPS"/>
    <m/>
    <m/>
    <n v="11"/>
    <s v="2017"/>
    <m/>
    <m/>
    <m/>
    <m/>
    <m/>
    <m/>
    <x v="0"/>
    <d v="2017-11-15T00:00:00"/>
    <x v="4"/>
    <d v="2018-01-14T00:00:00"/>
    <s v="01-2018"/>
    <d v="2017-11-16T00:00:00"/>
    <s v="11-2017"/>
    <d v="2018-03-15T00:00:00"/>
    <s v="03-2018"/>
    <d v="2018-01-14T00:00:00"/>
    <s v="01-2018"/>
    <d v="2018-05-14T00:00:00"/>
    <s v="05-2018"/>
    <n v="1"/>
    <s v="2018"/>
    <m/>
  </r>
  <r>
    <x v="0"/>
    <s v="ZX350"/>
    <x v="5"/>
    <x v="5"/>
    <x v="0"/>
    <x v="0"/>
    <n v="1"/>
    <n v="0"/>
    <x v="4"/>
    <x v="0"/>
    <s v="2017-11 BTPS"/>
    <m/>
    <m/>
    <n v="11"/>
    <s v="2017"/>
    <m/>
    <m/>
    <m/>
    <m/>
    <m/>
    <m/>
    <x v="0"/>
    <d v="2017-11-15T00:00:00"/>
    <x v="4"/>
    <d v="2018-01-14T00:00:00"/>
    <s v="01-2018"/>
    <d v="2017-11-16T00:00:00"/>
    <s v="11-2017"/>
    <d v="2018-03-15T00:00:00"/>
    <s v="03-2018"/>
    <d v="2018-01-14T00:00:00"/>
    <s v="01-2018"/>
    <d v="2018-05-14T00:00:00"/>
    <s v="05-2018"/>
    <n v="1"/>
    <s v="2018"/>
    <m/>
  </r>
  <r>
    <x v="0"/>
    <s v="ZX490"/>
    <x v="6"/>
    <x v="6"/>
    <x v="0"/>
    <x v="0"/>
    <n v="1"/>
    <n v="0"/>
    <x v="4"/>
    <x v="0"/>
    <s v="2017-11 BTPS"/>
    <m/>
    <m/>
    <n v="11"/>
    <s v="2017"/>
    <m/>
    <m/>
    <m/>
    <m/>
    <m/>
    <m/>
    <x v="0"/>
    <d v="2017-11-15T00:00:00"/>
    <x v="4"/>
    <d v="2018-01-14T00:00:00"/>
    <s v="01-2018"/>
    <d v="2017-11-16T00:00:00"/>
    <s v="11-2017"/>
    <d v="2018-03-15T00:00:00"/>
    <s v="03-2018"/>
    <d v="2018-01-14T00:00:00"/>
    <s v="01-2018"/>
    <d v="2018-05-14T00:00:00"/>
    <s v="05-2018"/>
    <n v="1"/>
    <s v="2018"/>
    <m/>
  </r>
  <r>
    <x v="1"/>
    <s v="ZX55"/>
    <x v="7"/>
    <x v="7"/>
    <x v="0"/>
    <x v="0"/>
    <n v="1"/>
    <n v="0"/>
    <x v="3"/>
    <x v="0"/>
    <s v="2017-11 BTPS"/>
    <m/>
    <m/>
    <n v="12"/>
    <s v="2017"/>
    <m/>
    <m/>
    <m/>
    <m/>
    <m/>
    <m/>
    <x v="0"/>
    <d v="2017-12-15T00:00:00"/>
    <x v="3"/>
    <d v="2018-02-13T00:00:00"/>
    <s v="02-2018"/>
    <d v="2017-12-16T00:00:00"/>
    <s v="12-2017"/>
    <d v="2018-04-14T00:00:00"/>
    <s v="04-2018"/>
    <d v="2018-02-13T00:00:00"/>
    <s v="02-2018"/>
    <d v="2018-06-13T00:00:00"/>
    <s v="06-2018"/>
    <n v="2"/>
    <s v="2018"/>
    <m/>
  </r>
  <r>
    <x v="1"/>
    <s v="ZX65"/>
    <x v="8"/>
    <x v="8"/>
    <x v="0"/>
    <x v="0"/>
    <n v="1"/>
    <n v="0"/>
    <x v="3"/>
    <x v="0"/>
    <s v="2017-11 BTPS"/>
    <m/>
    <m/>
    <n v="12"/>
    <s v="2017"/>
    <m/>
    <m/>
    <m/>
    <m/>
    <m/>
    <m/>
    <x v="0"/>
    <d v="2017-12-15T00:00:00"/>
    <x v="3"/>
    <d v="2018-02-13T00:00:00"/>
    <s v="02-2018"/>
    <d v="2017-12-16T00:00:00"/>
    <s v="12-2017"/>
    <d v="2018-04-14T00:00:00"/>
    <s v="04-2018"/>
    <d v="2018-02-13T00:00:00"/>
    <s v="02-2018"/>
    <d v="2018-06-13T00:00:00"/>
    <s v="06-2018"/>
    <n v="2"/>
    <s v="2018"/>
    <m/>
  </r>
  <r>
    <x v="1"/>
    <s v="ZX65"/>
    <x v="8"/>
    <x v="8"/>
    <x v="0"/>
    <x v="0"/>
    <n v="1"/>
    <n v="0"/>
    <x v="4"/>
    <x v="0"/>
    <s v="2017-11 BTPS"/>
    <m/>
    <m/>
    <n v="11"/>
    <s v="2017"/>
    <m/>
    <m/>
    <m/>
    <m/>
    <m/>
    <m/>
    <x v="0"/>
    <d v="2017-11-15T00:00:00"/>
    <x v="4"/>
    <d v="2018-01-14T00:00:00"/>
    <s v="01-2018"/>
    <d v="2017-11-16T00:00:00"/>
    <s v="11-2017"/>
    <d v="2018-03-15T00:00:00"/>
    <s v="03-2018"/>
    <d v="2018-01-14T00:00:00"/>
    <s v="01-2018"/>
    <d v="2018-05-14T00:00:00"/>
    <s v="05-2018"/>
    <n v="1"/>
    <s v="2018"/>
    <m/>
  </r>
  <r>
    <x v="1"/>
    <s v="ZX65"/>
    <x v="8"/>
    <x v="8"/>
    <x v="0"/>
    <x v="0"/>
    <n v="1"/>
    <n v="0"/>
    <x v="4"/>
    <x v="0"/>
    <s v="2017-11 BTPS"/>
    <m/>
    <m/>
    <n v="11"/>
    <s v="2017"/>
    <m/>
    <m/>
    <m/>
    <m/>
    <m/>
    <m/>
    <x v="0"/>
    <d v="2017-11-15T00:00:00"/>
    <x v="4"/>
    <d v="2018-01-14T00:00:00"/>
    <s v="01-2018"/>
    <d v="2017-11-16T00:00:00"/>
    <s v="11-2017"/>
    <d v="2018-03-15T00:00:00"/>
    <s v="03-2018"/>
    <d v="2018-01-14T00:00:00"/>
    <s v="01-2018"/>
    <d v="2018-05-14T00:00:00"/>
    <s v="05-2018"/>
    <n v="1"/>
    <s v="2018"/>
    <m/>
  </r>
  <r>
    <x v="1"/>
    <s v="ZX65"/>
    <x v="8"/>
    <x v="8"/>
    <x v="0"/>
    <x v="0"/>
    <n v="1"/>
    <n v="0"/>
    <x v="4"/>
    <x v="0"/>
    <s v="2017-11 BTPS"/>
    <m/>
    <m/>
    <n v="11"/>
    <s v="2017"/>
    <m/>
    <m/>
    <m/>
    <m/>
    <m/>
    <m/>
    <x v="0"/>
    <d v="2017-11-15T00:00:00"/>
    <x v="4"/>
    <d v="2018-01-14T00:00:00"/>
    <s v="01-2018"/>
    <d v="2017-11-16T00:00:00"/>
    <s v="11-2017"/>
    <d v="2018-03-15T00:00:00"/>
    <s v="03-2018"/>
    <d v="2018-01-14T00:00:00"/>
    <s v="01-2018"/>
    <d v="2018-05-14T00:00:00"/>
    <s v="05-2018"/>
    <n v="1"/>
    <s v="2018"/>
    <m/>
  </r>
  <r>
    <x v="0"/>
    <s v="ZX85"/>
    <x v="2"/>
    <x v="2"/>
    <x v="0"/>
    <x v="0"/>
    <n v="1"/>
    <n v="0"/>
    <x v="3"/>
    <x v="0"/>
    <s v="2017-11 BTPS"/>
    <m/>
    <m/>
    <n v="12"/>
    <s v="2017"/>
    <m/>
    <m/>
    <m/>
    <m/>
    <m/>
    <m/>
    <x v="0"/>
    <d v="2017-12-15T00:00:00"/>
    <x v="3"/>
    <d v="2018-02-13T00:00:00"/>
    <s v="02-2018"/>
    <d v="2017-12-16T00:00:00"/>
    <s v="12-2017"/>
    <d v="2018-04-14T00:00:00"/>
    <s v="04-2018"/>
    <d v="2018-02-13T00:00:00"/>
    <s v="02-2018"/>
    <d v="2018-06-13T00:00:00"/>
    <s v="06-2018"/>
    <n v="2"/>
    <s v="2018"/>
    <m/>
  </r>
  <r>
    <x v="0"/>
    <s v="ZX85"/>
    <x v="2"/>
    <x v="2"/>
    <x v="0"/>
    <x v="0"/>
    <n v="1"/>
    <n v="0"/>
    <x v="3"/>
    <x v="0"/>
    <s v="2017-11 BTPS"/>
    <m/>
    <m/>
    <n v="12"/>
    <s v="2017"/>
    <m/>
    <m/>
    <m/>
    <m/>
    <m/>
    <m/>
    <x v="0"/>
    <d v="2017-12-15T00:00:00"/>
    <x v="3"/>
    <d v="2018-02-13T00:00:00"/>
    <s v="02-2018"/>
    <d v="2017-12-16T00:00:00"/>
    <s v="12-2017"/>
    <d v="2018-04-14T00:00:00"/>
    <s v="04-2018"/>
    <d v="2018-02-13T00:00:00"/>
    <s v="02-2018"/>
    <d v="2018-06-13T00:00:00"/>
    <s v="06-2018"/>
    <n v="2"/>
    <s v="2018"/>
    <m/>
  </r>
  <r>
    <x v="0"/>
    <s v="ZX85"/>
    <x v="2"/>
    <x v="2"/>
    <x v="0"/>
    <x v="0"/>
    <n v="1"/>
    <n v="0"/>
    <x v="3"/>
    <x v="0"/>
    <s v="2017-11 BTPS"/>
    <m/>
    <m/>
    <n v="12"/>
    <s v="2017"/>
    <m/>
    <m/>
    <m/>
    <m/>
    <m/>
    <m/>
    <x v="0"/>
    <d v="2017-12-15T00:00:00"/>
    <x v="3"/>
    <d v="2018-02-13T00:00:00"/>
    <s v="02-2018"/>
    <d v="2017-12-16T00:00:00"/>
    <s v="12-2017"/>
    <d v="2018-04-14T00:00:00"/>
    <s v="04-2018"/>
    <d v="2018-02-13T00:00:00"/>
    <s v="02-2018"/>
    <d v="2018-06-13T00:00:00"/>
    <s v="06-2018"/>
    <n v="2"/>
    <s v="2018"/>
    <m/>
  </r>
  <r>
    <x v="0"/>
    <s v="ZX85"/>
    <x v="2"/>
    <x v="2"/>
    <x v="0"/>
    <x v="0"/>
    <n v="1"/>
    <n v="0"/>
    <x v="4"/>
    <x v="0"/>
    <s v="2017-11 BTPS"/>
    <m/>
    <m/>
    <n v="11"/>
    <s v="2017"/>
    <m/>
    <m/>
    <m/>
    <m/>
    <m/>
    <m/>
    <x v="0"/>
    <d v="2017-11-15T00:00:00"/>
    <x v="4"/>
    <d v="2018-01-14T00:00:00"/>
    <s v="01-2018"/>
    <d v="2017-11-16T00:00:00"/>
    <s v="11-2017"/>
    <d v="2018-03-15T00:00:00"/>
    <s v="03-2018"/>
    <d v="2018-01-14T00:00:00"/>
    <s v="01-2018"/>
    <d v="2018-05-14T00:00:00"/>
    <s v="05-2018"/>
    <n v="1"/>
    <s v="2018"/>
    <m/>
  </r>
  <r>
    <x v="1"/>
    <s v="ZX48"/>
    <x v="9"/>
    <x v="9"/>
    <x v="0"/>
    <x v="0"/>
    <n v="2"/>
    <n v="82"/>
    <x v="5"/>
    <x v="1"/>
    <s v="2017-10 BTPS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65"/>
    <x v="8"/>
    <x v="9"/>
    <x v="0"/>
    <x v="0"/>
    <n v="2"/>
    <n v="90"/>
    <x v="6"/>
    <x v="1"/>
    <s v="2017-12-06 ADV"/>
    <m/>
    <m/>
    <n v="9"/>
    <s v="2018"/>
    <m/>
    <m/>
    <m/>
    <m/>
    <s v="VENTE"/>
    <m/>
    <x v="1"/>
    <d v="2018-09-15T00:00:00"/>
    <x v="6"/>
    <d v="2018-11-14T00:00:00"/>
    <s v="11-2018"/>
    <d v="2018-09-16T00:00:00"/>
    <s v="09-2018"/>
    <d v="2019-01-13T00:00:00"/>
    <s v="01-2019"/>
    <d v="2018-11-14T00:00:00"/>
    <s v="11-2018"/>
    <d v="2019-03-14T00:00:00"/>
    <s v="03-2019"/>
    <n v="11"/>
    <s v="2018"/>
    <m/>
  </r>
  <r>
    <x v="1"/>
    <s v="ZX65"/>
    <x v="8"/>
    <x v="9"/>
    <x v="0"/>
    <x v="0"/>
    <n v="2"/>
    <n v="90"/>
    <x v="6"/>
    <x v="1"/>
    <s v="2017-12-06 ADV"/>
    <m/>
    <m/>
    <n v="9"/>
    <s v="2018"/>
    <m/>
    <m/>
    <m/>
    <m/>
    <s v="VENTE"/>
    <m/>
    <x v="1"/>
    <d v="2018-09-15T00:00:00"/>
    <x v="6"/>
    <d v="2018-11-14T00:00:00"/>
    <s v="11-2018"/>
    <d v="2018-09-16T00:00:00"/>
    <s v="09-2018"/>
    <d v="2019-01-13T00:00:00"/>
    <s v="01-2019"/>
    <d v="2018-11-14T00:00:00"/>
    <s v="11-2018"/>
    <d v="2019-03-14T00:00:00"/>
    <s v="03-2019"/>
    <n v="11"/>
    <s v="2018"/>
    <m/>
  </r>
  <r>
    <x v="1"/>
    <s v="ZX19"/>
    <x v="4"/>
    <x v="9"/>
    <x v="0"/>
    <x v="0"/>
    <n v="6"/>
    <n v="108"/>
    <x v="5"/>
    <x v="1"/>
    <s v="2017-10 BTPS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210"/>
    <x v="0"/>
    <x v="9"/>
    <x v="0"/>
    <x v="0"/>
    <n v="1"/>
    <n v="118"/>
    <x v="7"/>
    <x v="1"/>
    <s v="2017-10 BTPS"/>
    <m/>
    <m/>
    <n v="6"/>
    <s v="2018"/>
    <m/>
    <m/>
    <m/>
    <m/>
    <s v="VENTE"/>
    <m/>
    <x v="1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1"/>
    <s v="ZX48"/>
    <x v="9"/>
    <x v="9"/>
    <x v="0"/>
    <x v="0"/>
    <n v="3"/>
    <n v="123"/>
    <x v="8"/>
    <x v="1"/>
    <s v="2017-10 BTPS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19"/>
    <x v="4"/>
    <x v="9"/>
    <x v="0"/>
    <x v="0"/>
    <n v="8"/>
    <n v="144"/>
    <x v="8"/>
    <x v="1"/>
    <s v="2017-10 BTPS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55"/>
    <x v="7"/>
    <x v="9"/>
    <x v="0"/>
    <x v="0"/>
    <n v="4"/>
    <n v="172"/>
    <x v="5"/>
    <x v="1"/>
    <s v="2017-10 BTPS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26"/>
    <x v="3"/>
    <x v="9"/>
    <x v="0"/>
    <x v="0"/>
    <n v="8"/>
    <n v="176"/>
    <x v="5"/>
    <x v="1"/>
    <s v="2017-10 BTPS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65"/>
    <x v="8"/>
    <x v="9"/>
    <x v="0"/>
    <x v="0"/>
    <n v="4"/>
    <n v="180"/>
    <x v="8"/>
    <x v="1"/>
    <s v="2017-10 BTPS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65"/>
    <x v="8"/>
    <x v="9"/>
    <x v="0"/>
    <x v="0"/>
    <n v="4"/>
    <n v="180"/>
    <x v="5"/>
    <x v="1"/>
    <s v="2017-10 BTPS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350"/>
    <x v="5"/>
    <x v="9"/>
    <x v="0"/>
    <x v="0"/>
    <n v="1"/>
    <n v="188"/>
    <x v="8"/>
    <x v="1"/>
    <s v="2017-10 BTPS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350"/>
    <x v="5"/>
    <x v="9"/>
    <x v="0"/>
    <x v="0"/>
    <n v="1"/>
    <n v="188"/>
    <x v="5"/>
    <x v="1"/>
    <s v="2017-10 BTPS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55"/>
    <x v="7"/>
    <x v="9"/>
    <x v="0"/>
    <x v="0"/>
    <n v="5"/>
    <n v="215"/>
    <x v="8"/>
    <x v="1"/>
    <s v="2017-10 BTPS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26"/>
    <x v="3"/>
    <x v="9"/>
    <x v="0"/>
    <x v="0"/>
    <n v="10"/>
    <n v="220"/>
    <x v="8"/>
    <x v="1"/>
    <s v="2017-10 BTPS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490"/>
    <x v="6"/>
    <x v="9"/>
    <x v="0"/>
    <x v="0"/>
    <n v="1"/>
    <n v="260"/>
    <x v="8"/>
    <x v="1"/>
    <s v="2017-10 BTPS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490"/>
    <x v="6"/>
    <x v="9"/>
    <x v="0"/>
    <x v="0"/>
    <n v="1"/>
    <n v="260"/>
    <x v="5"/>
    <x v="1"/>
    <s v="2017-10 BTPS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2"/>
    <s v="ZW180"/>
    <x v="10"/>
    <x v="9"/>
    <x v="0"/>
    <x v="0"/>
    <n v="3"/>
    <n v="315"/>
    <x v="8"/>
    <x v="1"/>
    <s v="2017-10 BTPS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135"/>
    <x v="1"/>
    <x v="9"/>
    <x v="0"/>
    <x v="0"/>
    <n v="3"/>
    <n v="315"/>
    <x v="5"/>
    <x v="1"/>
    <s v="2017-10 BTPS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300"/>
    <x v="11"/>
    <x v="9"/>
    <x v="0"/>
    <x v="0"/>
    <n v="2"/>
    <n v="336"/>
    <x v="8"/>
    <x v="1"/>
    <s v="2017-10 BTPS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210"/>
    <x v="0"/>
    <x v="9"/>
    <x v="0"/>
    <x v="0"/>
    <n v="3"/>
    <n v="354"/>
    <x v="5"/>
    <x v="1"/>
    <s v="2017-10 BTPS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85"/>
    <x v="2"/>
    <x v="9"/>
    <x v="0"/>
    <x v="0"/>
    <n v="6"/>
    <n v="384"/>
    <x v="5"/>
    <x v="1"/>
    <s v="2017-10 BTPS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135"/>
    <x v="1"/>
    <x v="9"/>
    <x v="0"/>
    <x v="0"/>
    <n v="4"/>
    <n v="420"/>
    <x v="8"/>
    <x v="1"/>
    <s v="2017-10 BTPS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210"/>
    <x v="0"/>
    <x v="9"/>
    <x v="0"/>
    <x v="0"/>
    <n v="4"/>
    <n v="472"/>
    <x v="8"/>
    <x v="1"/>
    <s v="2017-10 BTPS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85"/>
    <x v="2"/>
    <x v="9"/>
    <x v="0"/>
    <x v="0"/>
    <n v="11"/>
    <n v="704"/>
    <x v="8"/>
    <x v="1"/>
    <s v="2017-10 BTPS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19"/>
    <x v="4"/>
    <x v="4"/>
    <x v="0"/>
    <x v="0"/>
    <n v="1"/>
    <n v="0"/>
    <x v="9"/>
    <x v="1"/>
    <s v="2017-11 BTPS"/>
    <m/>
    <m/>
    <n v="5"/>
    <s v="2017"/>
    <m/>
    <m/>
    <m/>
    <m/>
    <m/>
    <m/>
    <x v="0"/>
    <d v="2017-05-01T00:00:00"/>
    <x v="9"/>
    <d v="2017-06-30T00:00:00"/>
    <s v="06-2017"/>
    <d v="2017-05-02T00:00:00"/>
    <s v="05-2017"/>
    <d v="2017-08-29T00:00:00"/>
    <s v="08-2017"/>
    <d v="2017-06-30T00:00:00"/>
    <s v="06-2017"/>
    <d v="2017-10-28T00:00:00"/>
    <s v="10-2017"/>
    <n v="6"/>
    <s v="2017"/>
    <m/>
  </r>
  <r>
    <x v="1"/>
    <s v="ZX55"/>
    <x v="7"/>
    <x v="7"/>
    <x v="0"/>
    <x v="0"/>
    <n v="1"/>
    <n v="0"/>
    <x v="10"/>
    <x v="1"/>
    <s v="2017-11 BTPS"/>
    <m/>
    <m/>
    <n v="5"/>
    <s v="2017"/>
    <m/>
    <m/>
    <m/>
    <m/>
    <m/>
    <m/>
    <x v="0"/>
    <d v="2017-05-15T00:00:00"/>
    <x v="9"/>
    <d v="2017-07-14T00:00:00"/>
    <s v="07-2017"/>
    <d v="2017-05-16T00:00:00"/>
    <s v="05-2017"/>
    <d v="2017-09-12T00:00:00"/>
    <s v="09-2017"/>
    <d v="2017-07-14T00:00:00"/>
    <s v="07-2017"/>
    <d v="2017-11-11T00:00:00"/>
    <s v="11-2017"/>
    <n v="7"/>
    <s v="2017"/>
    <m/>
  </r>
  <r>
    <x v="0"/>
    <s v="ZX85"/>
    <x v="2"/>
    <x v="2"/>
    <x v="0"/>
    <x v="0"/>
    <n v="1"/>
    <n v="0"/>
    <x v="10"/>
    <x v="1"/>
    <s v="2017-11 BTPS"/>
    <m/>
    <m/>
    <n v="5"/>
    <s v="2017"/>
    <m/>
    <m/>
    <m/>
    <m/>
    <m/>
    <m/>
    <x v="0"/>
    <d v="2017-05-15T00:00:00"/>
    <x v="9"/>
    <d v="2017-07-14T00:00:00"/>
    <s v="07-2017"/>
    <d v="2017-05-16T00:00:00"/>
    <s v="05-2017"/>
    <d v="2017-09-12T00:00:00"/>
    <s v="09-2017"/>
    <d v="2017-07-14T00:00:00"/>
    <s v="07-2017"/>
    <d v="2017-11-11T00:00:00"/>
    <s v="11-2017"/>
    <n v="7"/>
    <s v="2017"/>
    <m/>
  </r>
  <r>
    <x v="1"/>
    <s v="ZX19"/>
    <x v="4"/>
    <x v="4"/>
    <x v="0"/>
    <x v="0"/>
    <n v="1"/>
    <n v="18"/>
    <x v="2"/>
    <x v="1"/>
    <s v="2017-11 BTPS"/>
    <m/>
    <m/>
    <n v="3"/>
    <s v="2018"/>
    <m/>
    <m/>
    <m/>
    <m/>
    <m/>
    <m/>
    <x v="0"/>
    <d v="2018-03-15T00:00:00"/>
    <x v="2"/>
    <d v="2018-05-14T00:00:00"/>
    <s v="05-2018"/>
    <d v="2018-03-16T00:00:00"/>
    <s v="03-2018"/>
    <d v="2018-07-13T00:00:00"/>
    <s v="07-2018"/>
    <d v="2018-05-14T00:00:00"/>
    <s v="05-2018"/>
    <d v="2018-09-11T00:00:00"/>
    <s v="09-2018"/>
    <n v="5"/>
    <s v="2018"/>
    <m/>
  </r>
  <r>
    <x v="1"/>
    <s v="ZX19"/>
    <x v="4"/>
    <x v="4"/>
    <x v="0"/>
    <x v="0"/>
    <n v="1"/>
    <n v="18"/>
    <x v="0"/>
    <x v="1"/>
    <s v="2017-11 BTPS"/>
    <m/>
    <m/>
    <n v="1"/>
    <s v="2018"/>
    <m/>
    <m/>
    <m/>
    <m/>
    <m/>
    <m/>
    <x v="0"/>
    <d v="2018-01-15T00:00:00"/>
    <x v="0"/>
    <d v="2018-03-16T00:00:00"/>
    <s v="03-2018"/>
    <d v="2018-01-16T00:00:00"/>
    <s v="01-2018"/>
    <d v="2018-05-15T00:00:00"/>
    <s v="05-2018"/>
    <d v="2018-03-16T00:00:00"/>
    <s v="03-2018"/>
    <d v="2018-07-14T00:00:00"/>
    <s v="07-2018"/>
    <n v="3"/>
    <s v="2018"/>
    <m/>
  </r>
  <r>
    <x v="1"/>
    <s v="ZX26"/>
    <x v="3"/>
    <x v="3"/>
    <x v="0"/>
    <x v="0"/>
    <n v="1"/>
    <n v="22"/>
    <x v="11"/>
    <x v="1"/>
    <s v="2017-11 BTPS"/>
    <m/>
    <m/>
    <n v="5"/>
    <s v="2018"/>
    <m/>
    <m/>
    <m/>
    <m/>
    <m/>
    <m/>
    <x v="0"/>
    <d v="2018-05-15T00:00:00"/>
    <x v="10"/>
    <d v="2018-07-14T00:00:00"/>
    <s v="07-2018"/>
    <d v="2018-05-16T00:00:00"/>
    <s v="05-2018"/>
    <d v="2018-09-12T00:00:00"/>
    <s v="09-2018"/>
    <d v="2018-07-14T00:00:00"/>
    <s v="07-2018"/>
    <d v="2018-11-11T00:00:00"/>
    <s v="11-2018"/>
    <n v="7"/>
    <s v="2018"/>
    <m/>
  </r>
  <r>
    <x v="1"/>
    <s v="ZX26"/>
    <x v="3"/>
    <x v="3"/>
    <x v="0"/>
    <x v="0"/>
    <n v="1"/>
    <n v="22"/>
    <x v="1"/>
    <x v="1"/>
    <s v="2017-11 BTPS"/>
    <m/>
    <m/>
    <n v="4"/>
    <s v="2018"/>
    <m/>
    <m/>
    <m/>
    <m/>
    <m/>
    <m/>
    <x v="0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1"/>
    <s v="ZX26"/>
    <x v="3"/>
    <x v="3"/>
    <x v="0"/>
    <x v="0"/>
    <n v="1"/>
    <n v="22"/>
    <x v="12"/>
    <x v="1"/>
    <s v="2017-11 BTPS"/>
    <m/>
    <m/>
    <n v="2"/>
    <s v="2018"/>
    <m/>
    <m/>
    <m/>
    <m/>
    <m/>
    <m/>
    <x v="0"/>
    <d v="2018-02-15T00:00:00"/>
    <x v="11"/>
    <d v="2018-04-16T00:00:00"/>
    <s v="04-2018"/>
    <d v="2018-02-16T00:00:00"/>
    <s v="02-2018"/>
    <d v="2018-06-15T00:00:00"/>
    <s v="06-2018"/>
    <d v="2018-04-16T00:00:00"/>
    <s v="04-2018"/>
    <d v="2018-08-14T00:00:00"/>
    <s v="08-2018"/>
    <n v="4"/>
    <s v="2018"/>
    <m/>
  </r>
  <r>
    <x v="1"/>
    <s v="ZX48"/>
    <x v="9"/>
    <x v="10"/>
    <x v="0"/>
    <x v="0"/>
    <n v="1"/>
    <n v="41"/>
    <x v="12"/>
    <x v="1"/>
    <s v="2017-11 BTPS"/>
    <m/>
    <m/>
    <n v="2"/>
    <s v="2018"/>
    <m/>
    <m/>
    <m/>
    <m/>
    <m/>
    <m/>
    <x v="0"/>
    <d v="2018-02-15T00:00:00"/>
    <x v="11"/>
    <d v="2018-04-16T00:00:00"/>
    <s v="04-2018"/>
    <d v="2018-02-16T00:00:00"/>
    <s v="02-2018"/>
    <d v="2018-06-15T00:00:00"/>
    <s v="06-2018"/>
    <d v="2018-04-16T00:00:00"/>
    <s v="04-2018"/>
    <d v="2018-08-14T00:00:00"/>
    <s v="08-2018"/>
    <n v="4"/>
    <s v="2018"/>
    <m/>
  </r>
  <r>
    <x v="1"/>
    <s v="ZX65"/>
    <x v="8"/>
    <x v="8"/>
    <x v="0"/>
    <x v="0"/>
    <n v="1"/>
    <n v="45"/>
    <x v="11"/>
    <x v="1"/>
    <s v="2017-11 BTPS"/>
    <m/>
    <m/>
    <n v="5"/>
    <s v="2018"/>
    <m/>
    <m/>
    <m/>
    <m/>
    <m/>
    <m/>
    <x v="0"/>
    <d v="2018-05-15T00:00:00"/>
    <x v="10"/>
    <d v="2018-07-14T00:00:00"/>
    <s v="07-2018"/>
    <d v="2018-05-16T00:00:00"/>
    <s v="05-2018"/>
    <d v="2018-09-12T00:00:00"/>
    <s v="09-2018"/>
    <d v="2018-07-14T00:00:00"/>
    <s v="07-2018"/>
    <d v="2018-11-11T00:00:00"/>
    <s v="11-2018"/>
    <n v="7"/>
    <s v="2018"/>
    <m/>
  </r>
  <r>
    <x v="1"/>
    <s v="ZX65"/>
    <x v="8"/>
    <x v="8"/>
    <x v="0"/>
    <x v="0"/>
    <n v="1"/>
    <n v="45"/>
    <x v="2"/>
    <x v="1"/>
    <s v="2017-11 BTPS"/>
    <m/>
    <m/>
    <n v="3"/>
    <s v="2018"/>
    <m/>
    <m/>
    <m/>
    <m/>
    <m/>
    <m/>
    <x v="0"/>
    <d v="2018-03-15T00:00:00"/>
    <x v="2"/>
    <d v="2018-05-14T00:00:00"/>
    <s v="05-2018"/>
    <d v="2018-03-16T00:00:00"/>
    <s v="03-2018"/>
    <d v="2018-07-13T00:00:00"/>
    <s v="07-2018"/>
    <d v="2018-05-14T00:00:00"/>
    <s v="05-2018"/>
    <d v="2018-09-11T00:00:00"/>
    <s v="09-2018"/>
    <n v="5"/>
    <s v="2018"/>
    <m/>
  </r>
  <r>
    <x v="0"/>
    <s v="ZX85"/>
    <x v="2"/>
    <x v="2"/>
    <x v="0"/>
    <x v="0"/>
    <n v="1"/>
    <n v="64"/>
    <x v="2"/>
    <x v="1"/>
    <s v="2017-11 BTPS"/>
    <m/>
    <m/>
    <n v="3"/>
    <s v="2018"/>
    <m/>
    <m/>
    <m/>
    <m/>
    <m/>
    <m/>
    <x v="0"/>
    <d v="2018-03-15T00:00:00"/>
    <x v="2"/>
    <d v="2018-05-14T00:00:00"/>
    <s v="05-2018"/>
    <d v="2018-03-16T00:00:00"/>
    <s v="03-2018"/>
    <d v="2018-07-13T00:00:00"/>
    <s v="07-2018"/>
    <d v="2018-05-14T00:00:00"/>
    <s v="05-2018"/>
    <d v="2018-09-11T00:00:00"/>
    <s v="09-2018"/>
    <n v="5"/>
    <s v="2018"/>
    <m/>
  </r>
  <r>
    <x v="1"/>
    <s v="ZX26"/>
    <x v="3"/>
    <x v="9"/>
    <x v="0"/>
    <x v="0"/>
    <n v="1"/>
    <n v="22"/>
    <x v="13"/>
    <x v="1"/>
    <s v="2017-10 BTPS"/>
    <m/>
    <m/>
    <n v="11"/>
    <s v="2018"/>
    <m/>
    <m/>
    <m/>
    <m/>
    <s v="VENTE"/>
    <m/>
    <x v="1"/>
    <d v="2018-11-15T00:00:00"/>
    <x v="12"/>
    <d v="2019-01-14T00:00:00"/>
    <s v="01-2019"/>
    <d v="2018-11-16T00:00:00"/>
    <s v="11-2018"/>
    <d v="2019-03-15T00:00:00"/>
    <s v="03-2019"/>
    <d v="2019-01-14T00:00:00"/>
    <s v="01-2019"/>
    <d v="2019-05-14T00:00:00"/>
    <s v="05-2019"/>
    <n v="1"/>
    <s v="2019"/>
    <m/>
  </r>
  <r>
    <x v="1"/>
    <s v="ZX26"/>
    <x v="3"/>
    <x v="9"/>
    <x v="0"/>
    <x v="0"/>
    <n v="1"/>
    <n v="22"/>
    <x v="14"/>
    <x v="1"/>
    <s v="2017-10 BTPS"/>
    <m/>
    <m/>
    <n v="10"/>
    <s v="2018"/>
    <m/>
    <m/>
    <m/>
    <m/>
    <s v="VENTE"/>
    <m/>
    <x v="1"/>
    <d v="2018-10-15T00:00:00"/>
    <x v="13"/>
    <d v="2018-12-14T00:00:00"/>
    <s v="12-2018"/>
    <d v="2018-10-16T00:00:00"/>
    <s v="10-2018"/>
    <d v="2019-02-12T00:00:00"/>
    <s v="02-2019"/>
    <d v="2018-12-14T00:00:00"/>
    <s v="12-2018"/>
    <d v="2019-04-13T00:00:00"/>
    <s v="04-2019"/>
    <n v="12"/>
    <s v="2018"/>
    <m/>
  </r>
  <r>
    <x v="1"/>
    <s v="ZX26"/>
    <x v="3"/>
    <x v="9"/>
    <x v="0"/>
    <x v="0"/>
    <n v="1"/>
    <n v="22"/>
    <x v="6"/>
    <x v="1"/>
    <s v="2017-10 BTPS"/>
    <m/>
    <m/>
    <n v="9"/>
    <s v="2018"/>
    <m/>
    <m/>
    <m/>
    <m/>
    <s v="VENTE"/>
    <m/>
    <x v="1"/>
    <d v="2018-09-15T00:00:00"/>
    <x v="6"/>
    <d v="2018-11-14T00:00:00"/>
    <s v="11-2018"/>
    <d v="2018-09-16T00:00:00"/>
    <s v="09-2018"/>
    <d v="2019-01-13T00:00:00"/>
    <s v="01-2019"/>
    <d v="2018-11-14T00:00:00"/>
    <s v="11-2018"/>
    <d v="2019-03-14T00:00:00"/>
    <s v="03-2019"/>
    <n v="11"/>
    <s v="2018"/>
    <m/>
  </r>
  <r>
    <x v="1"/>
    <s v="ZX26"/>
    <x v="3"/>
    <x v="9"/>
    <x v="0"/>
    <x v="0"/>
    <n v="1"/>
    <n v="22"/>
    <x v="15"/>
    <x v="1"/>
    <s v="2017-10 BTPS"/>
    <m/>
    <m/>
    <n v="8"/>
    <s v="2018"/>
    <m/>
    <m/>
    <m/>
    <m/>
    <s v="VENTE"/>
    <m/>
    <x v="1"/>
    <d v="2018-08-15T00:00:00"/>
    <x v="14"/>
    <d v="2018-10-14T00:00:00"/>
    <s v="10-2018"/>
    <d v="2018-08-16T00:00:00"/>
    <s v="08-2018"/>
    <d v="2018-12-13T00:00:00"/>
    <s v="12-2018"/>
    <d v="2018-10-14T00:00:00"/>
    <s v="10-2018"/>
    <d v="2019-02-11T00:00:00"/>
    <s v="02-2019"/>
    <n v="10"/>
    <s v="2018"/>
    <m/>
  </r>
  <r>
    <x v="1"/>
    <s v="ZX26"/>
    <x v="3"/>
    <x v="9"/>
    <x v="0"/>
    <x v="0"/>
    <n v="1"/>
    <n v="22"/>
    <x v="16"/>
    <x v="1"/>
    <s v="2017-10 BTPS"/>
    <m/>
    <m/>
    <n v="7"/>
    <s v="2018"/>
    <m/>
    <m/>
    <m/>
    <m/>
    <s v="VENTE"/>
    <m/>
    <x v="1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1"/>
    <s v="ZX26"/>
    <x v="3"/>
    <x v="9"/>
    <x v="0"/>
    <x v="0"/>
    <n v="1"/>
    <n v="22"/>
    <x v="7"/>
    <x v="1"/>
    <s v="2017-10 BTPS"/>
    <m/>
    <m/>
    <n v="6"/>
    <s v="2018"/>
    <m/>
    <m/>
    <m/>
    <m/>
    <s v="VENTE"/>
    <m/>
    <x v="1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1"/>
    <s v="ZX26"/>
    <x v="3"/>
    <x v="9"/>
    <x v="0"/>
    <x v="0"/>
    <n v="1"/>
    <n v="22"/>
    <x v="11"/>
    <x v="1"/>
    <s v="2017-10 BTPS"/>
    <m/>
    <m/>
    <n v="5"/>
    <s v="2018"/>
    <m/>
    <m/>
    <m/>
    <m/>
    <s v="VENTE"/>
    <m/>
    <x v="1"/>
    <d v="2018-05-15T00:00:00"/>
    <x v="10"/>
    <d v="2018-07-14T00:00:00"/>
    <s v="07-2018"/>
    <d v="2018-05-16T00:00:00"/>
    <s v="05-2018"/>
    <d v="2018-09-12T00:00:00"/>
    <s v="09-2018"/>
    <d v="2018-07-14T00:00:00"/>
    <s v="07-2018"/>
    <d v="2018-11-11T00:00:00"/>
    <s v="11-2018"/>
    <n v="7"/>
    <s v="2018"/>
    <m/>
  </r>
  <r>
    <x v="1"/>
    <s v="ZX48"/>
    <x v="9"/>
    <x v="9"/>
    <x v="0"/>
    <x v="0"/>
    <n v="1"/>
    <n v="41"/>
    <x v="7"/>
    <x v="1"/>
    <s v="2017-10 BTPS"/>
    <m/>
    <m/>
    <n v="6"/>
    <s v="2018"/>
    <m/>
    <m/>
    <m/>
    <m/>
    <s v="VENTE"/>
    <m/>
    <x v="1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1"/>
    <s v="ZX55"/>
    <x v="7"/>
    <x v="9"/>
    <x v="0"/>
    <x v="0"/>
    <n v="1"/>
    <n v="43"/>
    <x v="15"/>
    <x v="1"/>
    <s v="2017-10 BTPS"/>
    <m/>
    <m/>
    <n v="8"/>
    <s v="2018"/>
    <m/>
    <m/>
    <m/>
    <m/>
    <s v="VENTE"/>
    <m/>
    <x v="1"/>
    <d v="2018-08-15T00:00:00"/>
    <x v="14"/>
    <d v="2018-10-14T00:00:00"/>
    <s v="10-2018"/>
    <d v="2018-08-16T00:00:00"/>
    <s v="08-2018"/>
    <d v="2018-12-13T00:00:00"/>
    <s v="12-2018"/>
    <d v="2018-10-14T00:00:00"/>
    <s v="10-2018"/>
    <d v="2019-02-11T00:00:00"/>
    <s v="02-2019"/>
    <n v="10"/>
    <s v="2018"/>
    <m/>
  </r>
  <r>
    <x v="1"/>
    <s v="ZX55"/>
    <x v="7"/>
    <x v="9"/>
    <x v="0"/>
    <x v="0"/>
    <n v="1"/>
    <n v="43"/>
    <x v="16"/>
    <x v="1"/>
    <s v="2017-10 BTPS"/>
    <m/>
    <m/>
    <n v="7"/>
    <s v="2018"/>
    <m/>
    <m/>
    <m/>
    <m/>
    <s v="VENTE"/>
    <m/>
    <x v="1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1"/>
    <s v="ZX19"/>
    <x v="4"/>
    <x v="9"/>
    <x v="0"/>
    <x v="0"/>
    <n v="5"/>
    <n v="90"/>
    <x v="15"/>
    <x v="1"/>
    <s v="2017-10 BTPS"/>
    <m/>
    <m/>
    <n v="8"/>
    <s v="2018"/>
    <m/>
    <m/>
    <m/>
    <m/>
    <s v="VENTE"/>
    <m/>
    <x v="1"/>
    <d v="2018-08-15T00:00:00"/>
    <x v="14"/>
    <d v="2018-10-14T00:00:00"/>
    <s v="10-2018"/>
    <d v="2018-08-16T00:00:00"/>
    <s v="08-2018"/>
    <d v="2018-12-13T00:00:00"/>
    <s v="12-2018"/>
    <d v="2018-10-14T00:00:00"/>
    <s v="10-2018"/>
    <d v="2019-02-11T00:00:00"/>
    <s v="02-2019"/>
    <n v="10"/>
    <s v="2018"/>
    <m/>
  </r>
  <r>
    <x v="1"/>
    <s v="ZX65"/>
    <x v="8"/>
    <x v="9"/>
    <x v="0"/>
    <x v="0"/>
    <n v="2"/>
    <n v="90"/>
    <x v="7"/>
    <x v="1"/>
    <s v="2017-10 BTPS"/>
    <m/>
    <m/>
    <n v="6"/>
    <s v="2018"/>
    <m/>
    <m/>
    <m/>
    <m/>
    <s v="VENTE"/>
    <m/>
    <x v="1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0"/>
    <s v="ZX135"/>
    <x v="1"/>
    <x v="9"/>
    <x v="0"/>
    <x v="0"/>
    <n v="1"/>
    <n v="105"/>
    <x v="7"/>
    <x v="1"/>
    <s v="2017-10 BTPS"/>
    <m/>
    <m/>
    <n v="6"/>
    <s v="2018"/>
    <m/>
    <m/>
    <m/>
    <m/>
    <s v="VENTE"/>
    <m/>
    <x v="1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0"/>
    <s v="ZX350"/>
    <x v="5"/>
    <x v="9"/>
    <x v="0"/>
    <x v="0"/>
    <n v="1"/>
    <n v="188"/>
    <x v="7"/>
    <x v="1"/>
    <s v="2017-10 BTPS"/>
    <m/>
    <m/>
    <n v="6"/>
    <s v="2018"/>
    <m/>
    <m/>
    <m/>
    <m/>
    <s v="VENTE"/>
    <m/>
    <x v="1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0"/>
    <s v="ZX85"/>
    <x v="2"/>
    <x v="9"/>
    <x v="0"/>
    <x v="0"/>
    <n v="3"/>
    <n v="192"/>
    <x v="11"/>
    <x v="1"/>
    <s v="2017-10 BTPS"/>
    <m/>
    <m/>
    <n v="5"/>
    <s v="2018"/>
    <m/>
    <m/>
    <m/>
    <m/>
    <s v="VENTE"/>
    <m/>
    <x v="1"/>
    <d v="2018-05-15T00:00:00"/>
    <x v="10"/>
    <d v="2018-07-14T00:00:00"/>
    <s v="07-2018"/>
    <d v="2018-05-16T00:00:00"/>
    <s v="05-2018"/>
    <d v="2018-09-12T00:00:00"/>
    <s v="09-2018"/>
    <d v="2018-07-14T00:00:00"/>
    <s v="07-2018"/>
    <d v="2018-11-11T00:00:00"/>
    <s v="11-2018"/>
    <n v="7"/>
    <s v="2018"/>
    <m/>
  </r>
  <r>
    <x v="0"/>
    <s v="ZX85"/>
    <x v="2"/>
    <x v="9"/>
    <x v="0"/>
    <x v="0"/>
    <n v="4"/>
    <n v="256"/>
    <x v="15"/>
    <x v="1"/>
    <s v="2017-10 BTPS"/>
    <m/>
    <m/>
    <n v="8"/>
    <s v="2018"/>
    <m/>
    <m/>
    <m/>
    <m/>
    <s v="VENTE"/>
    <m/>
    <x v="1"/>
    <d v="2018-08-15T00:00:00"/>
    <x v="14"/>
    <d v="2018-10-14T00:00:00"/>
    <s v="10-2018"/>
    <d v="2018-08-16T00:00:00"/>
    <s v="08-2018"/>
    <d v="2018-12-13T00:00:00"/>
    <s v="12-2018"/>
    <d v="2018-10-14T00:00:00"/>
    <s v="10-2018"/>
    <d v="2019-02-11T00:00:00"/>
    <s v="02-2019"/>
    <n v="10"/>
    <s v="2018"/>
    <m/>
  </r>
  <r>
    <x v="0"/>
    <s v="ZX490"/>
    <x v="6"/>
    <x v="9"/>
    <x v="0"/>
    <x v="0"/>
    <n v="1"/>
    <n v="260"/>
    <x v="16"/>
    <x v="1"/>
    <s v="2017-10 BTPS"/>
    <m/>
    <m/>
    <n v="7"/>
    <s v="2018"/>
    <m/>
    <m/>
    <m/>
    <m/>
    <s v="VENTE"/>
    <m/>
    <x v="1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1"/>
    <s v="ZX19"/>
    <x v="4"/>
    <x v="4"/>
    <x v="1"/>
    <x v="1"/>
    <n v="1"/>
    <n v="18"/>
    <x v="17"/>
    <x v="1"/>
    <s v="2017-12-08 MN"/>
    <m/>
    <m/>
    <n v="12"/>
    <s v="2020"/>
    <m/>
    <m/>
    <m/>
    <m/>
    <m/>
    <m/>
    <x v="0"/>
    <d v="2020-12-14T00:00:00"/>
    <x v="16"/>
    <d v="2021-02-12T00:00:00"/>
    <s v="02-2021"/>
    <d v="2020-12-15T00:00:00"/>
    <s v="12-2020"/>
    <d v="2021-04-13T00:00:00"/>
    <s v="04-2021"/>
    <d v="2021-02-12T00:00:00"/>
    <s v="02-2021"/>
    <d v="2021-06-12T00:00:00"/>
    <s v="06-2021"/>
    <n v="2"/>
    <s v="2021"/>
    <m/>
  </r>
  <r>
    <x v="1"/>
    <s v="ZX19"/>
    <x v="4"/>
    <x v="4"/>
    <x v="1"/>
    <x v="1"/>
    <n v="1"/>
    <n v="18"/>
    <x v="18"/>
    <x v="1"/>
    <s v="2017-12-08 MN"/>
    <m/>
    <m/>
    <n v="11"/>
    <s v="2020"/>
    <m/>
    <m/>
    <m/>
    <m/>
    <m/>
    <m/>
    <x v="0"/>
    <d v="2020-11-14T00:00:00"/>
    <x v="17"/>
    <d v="2021-01-13T00:00:00"/>
    <s v="01-2021"/>
    <d v="2020-11-15T00:00:00"/>
    <s v="11-2020"/>
    <d v="2021-03-14T00:00:00"/>
    <s v="03-2021"/>
    <d v="2021-01-13T00:00:00"/>
    <s v="01-2021"/>
    <d v="2021-05-13T00:00:00"/>
    <s v="05-2021"/>
    <n v="1"/>
    <s v="2021"/>
    <m/>
  </r>
  <r>
    <x v="1"/>
    <s v="ZX19"/>
    <x v="4"/>
    <x v="4"/>
    <x v="1"/>
    <x v="1"/>
    <n v="1"/>
    <n v="18"/>
    <x v="19"/>
    <x v="1"/>
    <s v="2017-12-08 MN"/>
    <m/>
    <m/>
    <n v="10"/>
    <s v="2020"/>
    <m/>
    <m/>
    <m/>
    <m/>
    <m/>
    <m/>
    <x v="0"/>
    <d v="2020-10-14T00:00:00"/>
    <x v="18"/>
    <d v="2020-12-13T00:00:00"/>
    <s v="12-2020"/>
    <d v="2020-10-15T00:00:00"/>
    <s v="10-2020"/>
    <d v="2021-02-11T00:00:00"/>
    <s v="02-2021"/>
    <d v="2020-12-13T00:00:00"/>
    <s v="12-2020"/>
    <d v="2021-04-12T00:00:00"/>
    <s v="04-2021"/>
    <n v="12"/>
    <s v="2020"/>
    <m/>
  </r>
  <r>
    <x v="1"/>
    <s v="ZX19"/>
    <x v="4"/>
    <x v="4"/>
    <x v="1"/>
    <x v="1"/>
    <n v="1"/>
    <n v="18"/>
    <x v="20"/>
    <x v="1"/>
    <s v="2017-12-08 MN"/>
    <m/>
    <m/>
    <n v="9"/>
    <s v="2020"/>
    <m/>
    <m/>
    <m/>
    <m/>
    <m/>
    <m/>
    <x v="0"/>
    <d v="2020-09-14T00:00:00"/>
    <x v="19"/>
    <d v="2020-11-13T00:00:00"/>
    <s v="11-2020"/>
    <d v="2020-09-15T00:00:00"/>
    <s v="09-2020"/>
    <d v="2021-01-12T00:00:00"/>
    <s v="01-2021"/>
    <d v="2020-11-13T00:00:00"/>
    <s v="11-2020"/>
    <d v="2021-03-13T00:00:00"/>
    <s v="03-2021"/>
    <n v="11"/>
    <s v="2020"/>
    <m/>
  </r>
  <r>
    <x v="1"/>
    <s v="ZX19"/>
    <x v="4"/>
    <x v="4"/>
    <x v="1"/>
    <x v="1"/>
    <n v="1"/>
    <n v="18"/>
    <x v="21"/>
    <x v="1"/>
    <s v="2017-12-08 MN"/>
    <m/>
    <m/>
    <n v="8"/>
    <s v="2020"/>
    <m/>
    <m/>
    <m/>
    <m/>
    <m/>
    <m/>
    <x v="0"/>
    <d v="2020-08-14T00:00:00"/>
    <x v="20"/>
    <d v="2020-10-13T00:00:00"/>
    <s v="10-2020"/>
    <d v="2020-08-15T00:00:00"/>
    <s v="08-2020"/>
    <d v="2020-12-12T00:00:00"/>
    <s v="12-2020"/>
    <d v="2020-10-13T00:00:00"/>
    <s v="10-2020"/>
    <d v="2021-02-10T00:00:00"/>
    <s v="02-2021"/>
    <n v="10"/>
    <s v="2020"/>
    <m/>
  </r>
  <r>
    <x v="1"/>
    <s v="ZX19"/>
    <x v="4"/>
    <x v="4"/>
    <x v="1"/>
    <x v="1"/>
    <n v="1"/>
    <n v="18"/>
    <x v="22"/>
    <x v="1"/>
    <s v="2017-12-08 MN"/>
    <m/>
    <m/>
    <n v="7"/>
    <s v="2020"/>
    <m/>
    <m/>
    <m/>
    <m/>
    <m/>
    <m/>
    <x v="0"/>
    <d v="2020-07-14T00:00:00"/>
    <x v="21"/>
    <d v="2020-09-12T00:00:00"/>
    <s v="09-2020"/>
    <d v="2020-07-15T00:00:00"/>
    <s v="07-2020"/>
    <d v="2020-11-11T00:00:00"/>
    <s v="11-2020"/>
    <d v="2020-09-12T00:00:00"/>
    <s v="09-2020"/>
    <d v="2021-01-10T00:00:00"/>
    <s v="01-2021"/>
    <n v="9"/>
    <s v="2020"/>
    <m/>
  </r>
  <r>
    <x v="1"/>
    <s v="ZX19"/>
    <x v="4"/>
    <x v="4"/>
    <x v="1"/>
    <x v="1"/>
    <n v="1"/>
    <n v="18"/>
    <x v="23"/>
    <x v="1"/>
    <s v="2017-12-08 MN"/>
    <m/>
    <m/>
    <n v="6"/>
    <s v="2020"/>
    <m/>
    <m/>
    <m/>
    <m/>
    <m/>
    <m/>
    <x v="0"/>
    <d v="2020-06-14T00:00:00"/>
    <x v="8"/>
    <d v="2020-08-13T00:00:00"/>
    <s v="08-2020"/>
    <d v="2020-06-15T00:00:00"/>
    <s v="06-2020"/>
    <d v="2020-10-12T00:00:00"/>
    <s v="10-2020"/>
    <d v="2020-08-13T00:00:00"/>
    <s v="08-2020"/>
    <d v="2020-12-11T00:00:00"/>
    <s v="12-2020"/>
    <n v="8"/>
    <s v="2020"/>
    <m/>
  </r>
  <r>
    <x v="1"/>
    <s v="ZX19"/>
    <x v="4"/>
    <x v="4"/>
    <x v="1"/>
    <x v="1"/>
    <n v="1"/>
    <n v="18"/>
    <x v="24"/>
    <x v="1"/>
    <s v="2017-12-08 MN"/>
    <m/>
    <m/>
    <n v="5"/>
    <s v="2020"/>
    <m/>
    <m/>
    <m/>
    <m/>
    <m/>
    <m/>
    <x v="0"/>
    <d v="2020-05-14T00:00:00"/>
    <x v="22"/>
    <d v="2020-07-13T00:00:00"/>
    <s v="07-2020"/>
    <d v="2020-05-15T00:00:00"/>
    <s v="05-2020"/>
    <d v="2020-09-11T00:00:00"/>
    <s v="09-2020"/>
    <d v="2020-07-13T00:00:00"/>
    <s v="07-2020"/>
    <d v="2020-11-10T00:00:00"/>
    <s v="11-2020"/>
    <n v="7"/>
    <s v="2020"/>
    <m/>
  </r>
  <r>
    <x v="1"/>
    <s v="ZX19"/>
    <x v="4"/>
    <x v="4"/>
    <x v="1"/>
    <x v="1"/>
    <n v="1"/>
    <n v="18"/>
    <x v="25"/>
    <x v="1"/>
    <s v="2017-12-08 MN"/>
    <m/>
    <m/>
    <n v="4"/>
    <s v="2020"/>
    <m/>
    <m/>
    <m/>
    <m/>
    <m/>
    <m/>
    <x v="0"/>
    <d v="2020-04-14T00:00:00"/>
    <x v="23"/>
    <d v="2020-06-13T00:00:00"/>
    <s v="06-2020"/>
    <d v="2020-04-15T00:00:00"/>
    <s v="04-2020"/>
    <d v="2020-08-12T00:00:00"/>
    <s v="08-2020"/>
    <d v="2020-06-13T00:00:00"/>
    <s v="06-2020"/>
    <d v="2020-10-11T00:00:00"/>
    <s v="10-2020"/>
    <n v="6"/>
    <s v="2020"/>
    <m/>
  </r>
  <r>
    <x v="1"/>
    <s v="ZX19"/>
    <x v="4"/>
    <x v="4"/>
    <x v="1"/>
    <x v="1"/>
    <n v="1"/>
    <n v="18"/>
    <x v="25"/>
    <x v="1"/>
    <s v="2017-12-08 MN"/>
    <m/>
    <m/>
    <n v="4"/>
    <s v="2020"/>
    <m/>
    <m/>
    <m/>
    <m/>
    <m/>
    <m/>
    <x v="0"/>
    <d v="2020-04-14T00:00:00"/>
    <x v="23"/>
    <d v="2020-06-13T00:00:00"/>
    <s v="06-2020"/>
    <d v="2020-04-15T00:00:00"/>
    <s v="04-2020"/>
    <d v="2020-08-12T00:00:00"/>
    <s v="08-2020"/>
    <d v="2020-06-13T00:00:00"/>
    <s v="06-2020"/>
    <d v="2020-10-11T00:00:00"/>
    <s v="10-2020"/>
    <n v="6"/>
    <s v="2020"/>
    <m/>
  </r>
  <r>
    <x v="1"/>
    <s v="ZX19"/>
    <x v="4"/>
    <x v="4"/>
    <x v="1"/>
    <x v="1"/>
    <n v="1"/>
    <n v="18"/>
    <x v="26"/>
    <x v="1"/>
    <s v="2017-12-08 MN"/>
    <m/>
    <m/>
    <n v="12"/>
    <s v="2019"/>
    <m/>
    <m/>
    <m/>
    <m/>
    <m/>
    <m/>
    <x v="0"/>
    <d v="2019-12-15T00:00:00"/>
    <x v="24"/>
    <d v="2020-02-13T00:00:00"/>
    <s v="02-2020"/>
    <d v="2019-12-16T00:00:00"/>
    <s v="12-2019"/>
    <d v="2020-04-13T00:00:00"/>
    <s v="04-2020"/>
    <d v="2020-02-13T00:00:00"/>
    <s v="02-2020"/>
    <d v="2020-06-12T00:00:00"/>
    <s v="06-2020"/>
    <n v="2"/>
    <s v="2020"/>
    <m/>
  </r>
  <r>
    <x v="1"/>
    <s v="ZX19"/>
    <x v="4"/>
    <x v="4"/>
    <x v="1"/>
    <x v="1"/>
    <n v="1"/>
    <n v="18"/>
    <x v="27"/>
    <x v="1"/>
    <s v="2017-12-08 MN"/>
    <m/>
    <m/>
    <n v="11"/>
    <s v="2019"/>
    <m/>
    <m/>
    <m/>
    <m/>
    <m/>
    <m/>
    <x v="0"/>
    <d v="2019-11-15T00:00:00"/>
    <x v="25"/>
    <d v="2020-01-14T00:00:00"/>
    <s v="01-2020"/>
    <d v="2019-11-16T00:00:00"/>
    <s v="11-2019"/>
    <d v="2020-03-14T00:00:00"/>
    <s v="03-2020"/>
    <d v="2020-01-14T00:00:00"/>
    <s v="01-2020"/>
    <d v="2020-05-13T00:00:00"/>
    <s v="05-2020"/>
    <n v="1"/>
    <s v="2020"/>
    <m/>
  </r>
  <r>
    <x v="1"/>
    <s v="ZX19"/>
    <x v="4"/>
    <x v="4"/>
    <x v="1"/>
    <x v="1"/>
    <n v="1"/>
    <n v="18"/>
    <x v="28"/>
    <x v="1"/>
    <s v="2017-12-08 MN"/>
    <m/>
    <m/>
    <n v="10"/>
    <s v="2019"/>
    <m/>
    <m/>
    <m/>
    <m/>
    <m/>
    <m/>
    <x v="0"/>
    <d v="2019-10-15T00:00:00"/>
    <x v="26"/>
    <d v="2019-12-14T00:00:00"/>
    <s v="12-2019"/>
    <d v="2019-10-16T00:00:00"/>
    <s v="10-2019"/>
    <d v="2020-02-12T00:00:00"/>
    <s v="02-2020"/>
    <d v="2019-12-14T00:00:00"/>
    <s v="12-2019"/>
    <d v="2020-04-12T00:00:00"/>
    <s v="04-2020"/>
    <n v="12"/>
    <s v="2019"/>
    <m/>
  </r>
  <r>
    <x v="1"/>
    <s v="ZX19"/>
    <x v="4"/>
    <x v="4"/>
    <x v="1"/>
    <x v="1"/>
    <n v="1"/>
    <n v="18"/>
    <x v="29"/>
    <x v="1"/>
    <s v="2017-12-08 MN"/>
    <m/>
    <m/>
    <n v="9"/>
    <s v="2019"/>
    <m/>
    <m/>
    <m/>
    <m/>
    <m/>
    <m/>
    <x v="0"/>
    <d v="2019-09-15T00:00:00"/>
    <x v="27"/>
    <d v="2019-11-14T00:00:00"/>
    <s v="11-2019"/>
    <d v="2019-09-16T00:00:00"/>
    <s v="09-2019"/>
    <d v="2020-01-13T00:00:00"/>
    <s v="01-2020"/>
    <d v="2019-11-14T00:00:00"/>
    <s v="11-2019"/>
    <d v="2020-03-13T00:00:00"/>
    <s v="03-2020"/>
    <n v="11"/>
    <s v="2019"/>
    <m/>
  </r>
  <r>
    <x v="1"/>
    <s v="ZX19"/>
    <x v="4"/>
    <x v="4"/>
    <x v="1"/>
    <x v="1"/>
    <n v="1"/>
    <n v="18"/>
    <x v="30"/>
    <x v="1"/>
    <s v="2017-12-08 MN"/>
    <m/>
    <m/>
    <n v="8"/>
    <s v="2019"/>
    <m/>
    <m/>
    <m/>
    <m/>
    <m/>
    <m/>
    <x v="0"/>
    <d v="2019-08-15T00:00:00"/>
    <x v="28"/>
    <d v="2019-10-14T00:00:00"/>
    <s v="10-2019"/>
    <d v="2019-08-16T00:00:00"/>
    <s v="08-2019"/>
    <d v="2019-12-13T00:00:00"/>
    <s v="12-2019"/>
    <d v="2019-10-14T00:00:00"/>
    <s v="10-2019"/>
    <d v="2020-02-11T00:00:00"/>
    <s v="02-2020"/>
    <n v="10"/>
    <s v="2019"/>
    <m/>
  </r>
  <r>
    <x v="1"/>
    <s v="ZX19"/>
    <x v="4"/>
    <x v="4"/>
    <x v="1"/>
    <x v="1"/>
    <n v="1"/>
    <n v="18"/>
    <x v="31"/>
    <x v="1"/>
    <s v="2017-12-08 MN"/>
    <m/>
    <m/>
    <n v="7"/>
    <s v="2019"/>
    <m/>
    <m/>
    <m/>
    <m/>
    <m/>
    <m/>
    <x v="0"/>
    <d v="2019-07-15T00:00:00"/>
    <x v="29"/>
    <d v="2019-09-13T00:00:00"/>
    <s v="09-2019"/>
    <d v="2019-07-16T00:00:00"/>
    <s v="07-2019"/>
    <d v="2019-11-12T00:00:00"/>
    <s v="11-2019"/>
    <d v="2019-09-13T00:00:00"/>
    <s v="09-2019"/>
    <d v="2020-01-11T00:00:00"/>
    <s v="01-2020"/>
    <n v="9"/>
    <s v="2019"/>
    <m/>
  </r>
  <r>
    <x v="1"/>
    <s v="ZX19"/>
    <x v="4"/>
    <x v="4"/>
    <x v="1"/>
    <x v="1"/>
    <n v="1"/>
    <n v="18"/>
    <x v="5"/>
    <x v="1"/>
    <s v="2017-12-08 MN"/>
    <m/>
    <m/>
    <n v="6"/>
    <s v="2019"/>
    <m/>
    <m/>
    <m/>
    <m/>
    <m/>
    <m/>
    <x v="0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19"/>
    <x v="4"/>
    <x v="4"/>
    <x v="1"/>
    <x v="1"/>
    <n v="1"/>
    <n v="18"/>
    <x v="32"/>
    <x v="1"/>
    <s v="2017-12-08 MN"/>
    <m/>
    <m/>
    <n v="5"/>
    <s v="2019"/>
    <m/>
    <m/>
    <m/>
    <m/>
    <m/>
    <m/>
    <x v="0"/>
    <d v="2019-05-15T00:00:00"/>
    <x v="30"/>
    <d v="2019-07-14T00:00:00"/>
    <s v="07-2019"/>
    <d v="2019-05-16T00:00:00"/>
    <s v="05-2019"/>
    <d v="2019-09-12T00:00:00"/>
    <s v="09-2019"/>
    <d v="2019-07-14T00:00:00"/>
    <s v="07-2019"/>
    <d v="2019-11-11T00:00:00"/>
    <s v="11-2019"/>
    <n v="7"/>
    <s v="2019"/>
    <m/>
  </r>
  <r>
    <x v="1"/>
    <s v="ZX19"/>
    <x v="4"/>
    <x v="4"/>
    <x v="1"/>
    <x v="1"/>
    <n v="1"/>
    <n v="18"/>
    <x v="33"/>
    <x v="1"/>
    <s v="2017-12-08 MN"/>
    <m/>
    <m/>
    <n v="4"/>
    <s v="2019"/>
    <m/>
    <m/>
    <m/>
    <m/>
    <m/>
    <m/>
    <x v="0"/>
    <d v="2019-04-15T00:00:00"/>
    <x v="31"/>
    <d v="2019-06-14T00:00:00"/>
    <s v="06-2019"/>
    <d v="2019-04-16T00:00:00"/>
    <s v="04-2019"/>
    <d v="2019-08-13T00:00:00"/>
    <s v="08-2019"/>
    <d v="2019-06-14T00:00:00"/>
    <s v="06-2019"/>
    <d v="2019-10-12T00:00:00"/>
    <s v="10-2019"/>
    <n v="6"/>
    <s v="2019"/>
    <m/>
  </r>
  <r>
    <x v="1"/>
    <s v="ZX19"/>
    <x v="4"/>
    <x v="4"/>
    <x v="1"/>
    <x v="1"/>
    <n v="1"/>
    <n v="18"/>
    <x v="33"/>
    <x v="1"/>
    <s v="2017-12-08 MN"/>
    <m/>
    <m/>
    <n v="4"/>
    <s v="2019"/>
    <m/>
    <m/>
    <m/>
    <m/>
    <m/>
    <m/>
    <x v="0"/>
    <d v="2019-04-15T00:00:00"/>
    <x v="31"/>
    <d v="2019-06-14T00:00:00"/>
    <s v="06-2019"/>
    <d v="2019-04-16T00:00:00"/>
    <s v="04-2019"/>
    <d v="2019-08-13T00:00:00"/>
    <s v="08-2019"/>
    <d v="2019-06-14T00:00:00"/>
    <s v="06-2019"/>
    <d v="2019-10-12T00:00:00"/>
    <s v="10-2019"/>
    <n v="6"/>
    <s v="2019"/>
    <m/>
  </r>
  <r>
    <x v="1"/>
    <s v="ZX19"/>
    <x v="4"/>
    <x v="4"/>
    <x v="1"/>
    <x v="1"/>
    <n v="1"/>
    <n v="18"/>
    <x v="1"/>
    <x v="1"/>
    <s v="2017-12-08 MN"/>
    <m/>
    <m/>
    <n v="4"/>
    <s v="2018"/>
    <m/>
    <m/>
    <m/>
    <m/>
    <m/>
    <m/>
    <x v="0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1"/>
    <s v="ZX19"/>
    <x v="4"/>
    <x v="4"/>
    <x v="1"/>
    <x v="1"/>
    <n v="1"/>
    <n v="18"/>
    <x v="1"/>
    <x v="1"/>
    <s v="2017-12-08 MN"/>
    <m/>
    <m/>
    <n v="4"/>
    <s v="2018"/>
    <m/>
    <m/>
    <m/>
    <m/>
    <m/>
    <m/>
    <x v="0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0"/>
    <s v="ZX135"/>
    <x v="1"/>
    <x v="1"/>
    <x v="1"/>
    <x v="1"/>
    <n v="1"/>
    <n v="105"/>
    <x v="1"/>
    <x v="1"/>
    <s v="2017-12-08 MN"/>
    <m/>
    <m/>
    <n v="4"/>
    <s v="2018"/>
    <m/>
    <m/>
    <m/>
    <m/>
    <m/>
    <m/>
    <x v="0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0"/>
    <s v="ZX210"/>
    <x v="0"/>
    <x v="0"/>
    <x v="1"/>
    <x v="1"/>
    <n v="1"/>
    <n v="118"/>
    <x v="1"/>
    <x v="1"/>
    <s v="2017-12-08 MN"/>
    <m/>
    <m/>
    <n v="4"/>
    <s v="2018"/>
    <m/>
    <m/>
    <m/>
    <m/>
    <m/>
    <m/>
    <x v="0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1"/>
    <s v="ZX19"/>
    <x v="4"/>
    <x v="4"/>
    <x v="1"/>
    <x v="1"/>
    <n v="1"/>
    <n v="18"/>
    <x v="11"/>
    <x v="1"/>
    <s v="2017-12-08 MN"/>
    <m/>
    <m/>
    <n v="5"/>
    <s v="2018"/>
    <m/>
    <m/>
    <m/>
    <m/>
    <m/>
    <m/>
    <x v="0"/>
    <d v="2018-05-15T00:00:00"/>
    <x v="10"/>
    <d v="2018-07-14T00:00:00"/>
    <s v="07-2018"/>
    <d v="2018-05-16T00:00:00"/>
    <s v="05-2018"/>
    <d v="2018-09-12T00:00:00"/>
    <s v="09-2018"/>
    <d v="2018-07-14T00:00:00"/>
    <s v="07-2018"/>
    <d v="2018-11-11T00:00:00"/>
    <s v="11-2018"/>
    <n v="7"/>
    <s v="2018"/>
    <m/>
  </r>
  <r>
    <x v="1"/>
    <s v="ZX26"/>
    <x v="3"/>
    <x v="11"/>
    <x v="1"/>
    <x v="1"/>
    <n v="1"/>
    <n v="22"/>
    <x v="11"/>
    <x v="1"/>
    <s v="2017-12-08 MN"/>
    <m/>
    <m/>
    <n v="5"/>
    <s v="2018"/>
    <m/>
    <m/>
    <m/>
    <m/>
    <m/>
    <m/>
    <x v="0"/>
    <d v="2018-05-15T00:00:00"/>
    <x v="10"/>
    <d v="2018-07-14T00:00:00"/>
    <s v="07-2018"/>
    <d v="2018-05-16T00:00:00"/>
    <s v="05-2018"/>
    <d v="2018-09-12T00:00:00"/>
    <s v="09-2018"/>
    <d v="2018-07-14T00:00:00"/>
    <s v="07-2018"/>
    <d v="2018-11-11T00:00:00"/>
    <s v="11-2018"/>
    <n v="7"/>
    <s v="2018"/>
    <m/>
  </r>
  <r>
    <x v="1"/>
    <s v="ZX26"/>
    <x v="3"/>
    <x v="3"/>
    <x v="1"/>
    <x v="1"/>
    <n v="1"/>
    <n v="22"/>
    <x v="11"/>
    <x v="1"/>
    <s v="2017-12-08 MN"/>
    <m/>
    <m/>
    <n v="5"/>
    <s v="2018"/>
    <m/>
    <m/>
    <m/>
    <m/>
    <m/>
    <m/>
    <x v="0"/>
    <d v="2018-05-15T00:00:00"/>
    <x v="10"/>
    <d v="2018-07-14T00:00:00"/>
    <s v="07-2018"/>
    <d v="2018-05-16T00:00:00"/>
    <s v="05-2018"/>
    <d v="2018-09-12T00:00:00"/>
    <s v="09-2018"/>
    <d v="2018-07-14T00:00:00"/>
    <s v="07-2018"/>
    <d v="2018-11-11T00:00:00"/>
    <s v="11-2018"/>
    <n v="7"/>
    <s v="2018"/>
    <m/>
  </r>
  <r>
    <x v="1"/>
    <s v="ZX26"/>
    <x v="3"/>
    <x v="3"/>
    <x v="1"/>
    <x v="1"/>
    <n v="1"/>
    <n v="22"/>
    <x v="11"/>
    <x v="1"/>
    <s v="2017-12-08 MN"/>
    <m/>
    <m/>
    <n v="5"/>
    <s v="2018"/>
    <m/>
    <m/>
    <m/>
    <m/>
    <m/>
    <m/>
    <x v="0"/>
    <d v="2018-05-15T00:00:00"/>
    <x v="10"/>
    <d v="2018-07-14T00:00:00"/>
    <s v="07-2018"/>
    <d v="2018-05-16T00:00:00"/>
    <s v="05-2018"/>
    <d v="2018-09-12T00:00:00"/>
    <s v="09-2018"/>
    <d v="2018-07-14T00:00:00"/>
    <s v="07-2018"/>
    <d v="2018-11-11T00:00:00"/>
    <s v="11-2018"/>
    <n v="7"/>
    <s v="2018"/>
    <m/>
  </r>
  <r>
    <x v="1"/>
    <s v="ZX65"/>
    <x v="8"/>
    <x v="8"/>
    <x v="1"/>
    <x v="1"/>
    <n v="1"/>
    <n v="45"/>
    <x v="11"/>
    <x v="1"/>
    <s v="2017-12-08 MN"/>
    <m/>
    <m/>
    <n v="5"/>
    <s v="2018"/>
    <m/>
    <m/>
    <m/>
    <m/>
    <m/>
    <m/>
    <x v="0"/>
    <d v="2018-05-15T00:00:00"/>
    <x v="10"/>
    <d v="2018-07-14T00:00:00"/>
    <s v="07-2018"/>
    <d v="2018-05-16T00:00:00"/>
    <s v="05-2018"/>
    <d v="2018-09-12T00:00:00"/>
    <s v="09-2018"/>
    <d v="2018-07-14T00:00:00"/>
    <s v="07-2018"/>
    <d v="2018-11-11T00:00:00"/>
    <s v="11-2018"/>
    <n v="7"/>
    <s v="2018"/>
    <m/>
  </r>
  <r>
    <x v="0"/>
    <s v="ZX225"/>
    <x v="12"/>
    <x v="12"/>
    <x v="1"/>
    <x v="1"/>
    <n v="1"/>
    <n v="128"/>
    <x v="11"/>
    <x v="1"/>
    <s v="2017-12-08 MN"/>
    <m/>
    <m/>
    <n v="5"/>
    <s v="2018"/>
    <m/>
    <m/>
    <m/>
    <m/>
    <m/>
    <m/>
    <x v="0"/>
    <d v="2018-05-15T00:00:00"/>
    <x v="10"/>
    <d v="2018-07-14T00:00:00"/>
    <s v="07-2018"/>
    <d v="2018-05-16T00:00:00"/>
    <s v="05-2018"/>
    <d v="2018-09-12T00:00:00"/>
    <s v="09-2018"/>
    <d v="2018-07-14T00:00:00"/>
    <s v="07-2018"/>
    <d v="2018-11-11T00:00:00"/>
    <s v="11-2018"/>
    <n v="7"/>
    <s v="2018"/>
    <m/>
  </r>
  <r>
    <x v="1"/>
    <s v="ZX26"/>
    <x v="3"/>
    <x v="11"/>
    <x v="1"/>
    <x v="1"/>
    <n v="1"/>
    <n v="22"/>
    <x v="18"/>
    <x v="1"/>
    <s v="2017-12-08 MN"/>
    <m/>
    <m/>
    <n v="11"/>
    <s v="2020"/>
    <m/>
    <m/>
    <m/>
    <m/>
    <m/>
    <m/>
    <x v="0"/>
    <d v="2020-11-14T00:00:00"/>
    <x v="17"/>
    <d v="2021-01-13T00:00:00"/>
    <s v="01-2021"/>
    <d v="2020-11-15T00:00:00"/>
    <s v="11-2020"/>
    <d v="2021-03-14T00:00:00"/>
    <s v="03-2021"/>
    <d v="2021-01-13T00:00:00"/>
    <s v="01-2021"/>
    <d v="2021-05-13T00:00:00"/>
    <s v="05-2021"/>
    <n v="1"/>
    <s v="2021"/>
    <m/>
  </r>
  <r>
    <x v="1"/>
    <s v="ZX26"/>
    <x v="3"/>
    <x v="11"/>
    <x v="1"/>
    <x v="1"/>
    <n v="1"/>
    <n v="22"/>
    <x v="19"/>
    <x v="1"/>
    <s v="2017-12-08 MN"/>
    <m/>
    <m/>
    <n v="10"/>
    <s v="2020"/>
    <m/>
    <m/>
    <m/>
    <m/>
    <m/>
    <m/>
    <x v="0"/>
    <d v="2020-10-14T00:00:00"/>
    <x v="18"/>
    <d v="2020-12-13T00:00:00"/>
    <s v="12-2020"/>
    <d v="2020-10-15T00:00:00"/>
    <s v="10-2020"/>
    <d v="2021-02-11T00:00:00"/>
    <s v="02-2021"/>
    <d v="2020-12-13T00:00:00"/>
    <s v="12-2020"/>
    <d v="2021-04-12T00:00:00"/>
    <s v="04-2021"/>
    <n v="12"/>
    <s v="2020"/>
    <m/>
  </r>
  <r>
    <x v="1"/>
    <s v="ZX26"/>
    <x v="3"/>
    <x v="11"/>
    <x v="1"/>
    <x v="1"/>
    <n v="1"/>
    <n v="22"/>
    <x v="20"/>
    <x v="1"/>
    <s v="2017-12-08 MN"/>
    <m/>
    <m/>
    <n v="9"/>
    <s v="2020"/>
    <m/>
    <m/>
    <m/>
    <m/>
    <m/>
    <m/>
    <x v="0"/>
    <d v="2020-09-14T00:00:00"/>
    <x v="19"/>
    <d v="2020-11-13T00:00:00"/>
    <s v="11-2020"/>
    <d v="2020-09-15T00:00:00"/>
    <s v="09-2020"/>
    <d v="2021-01-12T00:00:00"/>
    <s v="01-2021"/>
    <d v="2020-11-13T00:00:00"/>
    <s v="11-2020"/>
    <d v="2021-03-13T00:00:00"/>
    <s v="03-2021"/>
    <n v="11"/>
    <s v="2020"/>
    <m/>
  </r>
  <r>
    <x v="1"/>
    <s v="ZX26"/>
    <x v="3"/>
    <x v="11"/>
    <x v="1"/>
    <x v="1"/>
    <n v="1"/>
    <n v="22"/>
    <x v="24"/>
    <x v="1"/>
    <s v="2017-12-08 MN"/>
    <m/>
    <m/>
    <n v="5"/>
    <s v="2020"/>
    <m/>
    <m/>
    <m/>
    <m/>
    <m/>
    <m/>
    <x v="0"/>
    <d v="2020-05-14T00:00:00"/>
    <x v="22"/>
    <d v="2020-07-13T00:00:00"/>
    <s v="07-2020"/>
    <d v="2020-05-15T00:00:00"/>
    <s v="05-2020"/>
    <d v="2020-09-11T00:00:00"/>
    <s v="09-2020"/>
    <d v="2020-07-13T00:00:00"/>
    <s v="07-2020"/>
    <d v="2020-11-10T00:00:00"/>
    <s v="11-2020"/>
    <n v="7"/>
    <s v="2020"/>
    <m/>
  </r>
  <r>
    <x v="1"/>
    <s v="ZX26"/>
    <x v="3"/>
    <x v="11"/>
    <x v="1"/>
    <x v="1"/>
    <n v="1"/>
    <n v="22"/>
    <x v="27"/>
    <x v="1"/>
    <s v="2017-12-08 MN"/>
    <m/>
    <m/>
    <n v="11"/>
    <s v="2019"/>
    <m/>
    <m/>
    <m/>
    <m/>
    <m/>
    <m/>
    <x v="0"/>
    <d v="2019-11-15T00:00:00"/>
    <x v="25"/>
    <d v="2020-01-14T00:00:00"/>
    <s v="01-2020"/>
    <d v="2019-11-16T00:00:00"/>
    <s v="11-2019"/>
    <d v="2020-03-14T00:00:00"/>
    <s v="03-2020"/>
    <d v="2020-01-14T00:00:00"/>
    <s v="01-2020"/>
    <d v="2020-05-13T00:00:00"/>
    <s v="05-2020"/>
    <n v="1"/>
    <s v="2020"/>
    <m/>
  </r>
  <r>
    <x v="1"/>
    <s v="ZX26"/>
    <x v="3"/>
    <x v="11"/>
    <x v="1"/>
    <x v="1"/>
    <n v="1"/>
    <n v="22"/>
    <x v="28"/>
    <x v="1"/>
    <s v="2017-12-08 MN"/>
    <m/>
    <m/>
    <n v="10"/>
    <s v="2019"/>
    <m/>
    <m/>
    <m/>
    <m/>
    <m/>
    <m/>
    <x v="0"/>
    <d v="2019-10-15T00:00:00"/>
    <x v="26"/>
    <d v="2019-12-14T00:00:00"/>
    <s v="12-2019"/>
    <d v="2019-10-16T00:00:00"/>
    <s v="10-2019"/>
    <d v="2020-02-12T00:00:00"/>
    <s v="02-2020"/>
    <d v="2019-12-14T00:00:00"/>
    <s v="12-2019"/>
    <d v="2020-04-12T00:00:00"/>
    <s v="04-2020"/>
    <n v="12"/>
    <s v="2019"/>
    <m/>
  </r>
  <r>
    <x v="1"/>
    <s v="ZX26"/>
    <x v="3"/>
    <x v="11"/>
    <x v="1"/>
    <x v="1"/>
    <n v="1"/>
    <n v="22"/>
    <x v="29"/>
    <x v="1"/>
    <s v="2017-12-08 MN"/>
    <m/>
    <m/>
    <n v="9"/>
    <s v="2019"/>
    <m/>
    <m/>
    <m/>
    <m/>
    <m/>
    <m/>
    <x v="0"/>
    <d v="2019-09-15T00:00:00"/>
    <x v="27"/>
    <d v="2019-11-14T00:00:00"/>
    <s v="11-2019"/>
    <d v="2019-09-16T00:00:00"/>
    <s v="09-2019"/>
    <d v="2020-01-13T00:00:00"/>
    <s v="01-2020"/>
    <d v="2019-11-14T00:00:00"/>
    <s v="11-2019"/>
    <d v="2020-03-13T00:00:00"/>
    <s v="03-2020"/>
    <n v="11"/>
    <s v="2019"/>
    <m/>
  </r>
  <r>
    <x v="1"/>
    <s v="ZX26"/>
    <x v="3"/>
    <x v="11"/>
    <x v="1"/>
    <x v="1"/>
    <n v="1"/>
    <n v="22"/>
    <x v="32"/>
    <x v="1"/>
    <s v="2017-12-08 MN"/>
    <m/>
    <m/>
    <n v="5"/>
    <s v="2019"/>
    <m/>
    <m/>
    <m/>
    <m/>
    <m/>
    <m/>
    <x v="0"/>
    <d v="2019-05-15T00:00:00"/>
    <x v="30"/>
    <d v="2019-07-14T00:00:00"/>
    <s v="07-2019"/>
    <d v="2019-05-16T00:00:00"/>
    <s v="05-2019"/>
    <d v="2019-09-12T00:00:00"/>
    <s v="09-2019"/>
    <d v="2019-07-14T00:00:00"/>
    <s v="07-2019"/>
    <d v="2019-11-11T00:00:00"/>
    <s v="11-2019"/>
    <n v="7"/>
    <s v="2019"/>
    <m/>
  </r>
  <r>
    <x v="1"/>
    <s v="ZX19"/>
    <x v="4"/>
    <x v="4"/>
    <x v="1"/>
    <x v="1"/>
    <n v="1"/>
    <n v="18"/>
    <x v="7"/>
    <x v="1"/>
    <s v="2017-12-08 MN"/>
    <m/>
    <m/>
    <n v="6"/>
    <s v="2018"/>
    <m/>
    <m/>
    <m/>
    <m/>
    <m/>
    <m/>
    <x v="0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1"/>
    <s v="ZX65"/>
    <x v="8"/>
    <x v="13"/>
    <x v="1"/>
    <x v="1"/>
    <n v="1"/>
    <n v="45"/>
    <x v="7"/>
    <x v="1"/>
    <s v="2017-12-08 MN"/>
    <m/>
    <m/>
    <n v="6"/>
    <s v="2018"/>
    <m/>
    <m/>
    <m/>
    <m/>
    <m/>
    <m/>
    <x v="0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0"/>
    <s v="ZX135"/>
    <x v="1"/>
    <x v="14"/>
    <x v="1"/>
    <x v="1"/>
    <n v="1"/>
    <n v="105"/>
    <x v="7"/>
    <x v="1"/>
    <s v="2017-12-08 MN"/>
    <m/>
    <m/>
    <n v="6"/>
    <s v="2018"/>
    <m/>
    <m/>
    <m/>
    <m/>
    <m/>
    <m/>
    <x v="0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0"/>
    <s v="ZX135"/>
    <x v="1"/>
    <x v="14"/>
    <x v="1"/>
    <x v="1"/>
    <n v="1"/>
    <n v="105"/>
    <x v="7"/>
    <x v="1"/>
    <s v="2017-12-08 MN"/>
    <m/>
    <m/>
    <n v="6"/>
    <s v="2018"/>
    <m/>
    <m/>
    <m/>
    <m/>
    <m/>
    <m/>
    <x v="0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1"/>
    <s v="ZX26"/>
    <x v="3"/>
    <x v="3"/>
    <x v="1"/>
    <x v="1"/>
    <n v="1"/>
    <n v="22"/>
    <x v="17"/>
    <x v="1"/>
    <s v="2017-12-08 MN"/>
    <m/>
    <m/>
    <n v="12"/>
    <s v="2020"/>
    <m/>
    <m/>
    <m/>
    <m/>
    <m/>
    <m/>
    <x v="0"/>
    <d v="2020-12-14T00:00:00"/>
    <x v="16"/>
    <d v="2021-02-12T00:00:00"/>
    <s v="02-2021"/>
    <d v="2020-12-15T00:00:00"/>
    <s v="12-2020"/>
    <d v="2021-04-13T00:00:00"/>
    <s v="04-2021"/>
    <d v="2021-02-12T00:00:00"/>
    <s v="02-2021"/>
    <d v="2021-06-12T00:00:00"/>
    <s v="06-2021"/>
    <n v="2"/>
    <s v="2021"/>
    <m/>
  </r>
  <r>
    <x v="1"/>
    <s v="ZX26"/>
    <x v="3"/>
    <x v="3"/>
    <x v="1"/>
    <x v="1"/>
    <n v="1"/>
    <n v="22"/>
    <x v="18"/>
    <x v="1"/>
    <s v="2017-12-08 MN"/>
    <m/>
    <m/>
    <n v="11"/>
    <s v="2020"/>
    <m/>
    <m/>
    <m/>
    <m/>
    <m/>
    <m/>
    <x v="0"/>
    <d v="2020-11-14T00:00:00"/>
    <x v="17"/>
    <d v="2021-01-13T00:00:00"/>
    <s v="01-2021"/>
    <d v="2020-11-15T00:00:00"/>
    <s v="11-2020"/>
    <d v="2021-03-14T00:00:00"/>
    <s v="03-2021"/>
    <d v="2021-01-13T00:00:00"/>
    <s v="01-2021"/>
    <d v="2021-05-13T00:00:00"/>
    <s v="05-2021"/>
    <n v="1"/>
    <s v="2021"/>
    <m/>
  </r>
  <r>
    <x v="1"/>
    <s v="ZX26"/>
    <x v="3"/>
    <x v="3"/>
    <x v="1"/>
    <x v="1"/>
    <n v="1"/>
    <n v="22"/>
    <x v="20"/>
    <x v="1"/>
    <s v="2017-12-08 MN"/>
    <m/>
    <m/>
    <n v="9"/>
    <s v="2020"/>
    <m/>
    <m/>
    <m/>
    <m/>
    <m/>
    <m/>
    <x v="0"/>
    <d v="2020-09-14T00:00:00"/>
    <x v="19"/>
    <d v="2020-11-13T00:00:00"/>
    <s v="11-2020"/>
    <d v="2020-09-15T00:00:00"/>
    <s v="09-2020"/>
    <d v="2021-01-12T00:00:00"/>
    <s v="01-2021"/>
    <d v="2020-11-13T00:00:00"/>
    <s v="11-2020"/>
    <d v="2021-03-13T00:00:00"/>
    <s v="03-2021"/>
    <n v="11"/>
    <s v="2020"/>
    <m/>
  </r>
  <r>
    <x v="1"/>
    <s v="ZX26"/>
    <x v="3"/>
    <x v="3"/>
    <x v="1"/>
    <x v="1"/>
    <n v="1"/>
    <n v="22"/>
    <x v="21"/>
    <x v="1"/>
    <s v="2017-12-08 MN"/>
    <m/>
    <m/>
    <n v="8"/>
    <s v="2020"/>
    <m/>
    <m/>
    <m/>
    <m/>
    <m/>
    <m/>
    <x v="0"/>
    <d v="2020-08-14T00:00:00"/>
    <x v="20"/>
    <d v="2020-10-13T00:00:00"/>
    <s v="10-2020"/>
    <d v="2020-08-15T00:00:00"/>
    <s v="08-2020"/>
    <d v="2020-12-12T00:00:00"/>
    <s v="12-2020"/>
    <d v="2020-10-13T00:00:00"/>
    <s v="10-2020"/>
    <d v="2021-02-10T00:00:00"/>
    <s v="02-2021"/>
    <n v="10"/>
    <s v="2020"/>
    <m/>
  </r>
  <r>
    <x v="1"/>
    <s v="ZX26"/>
    <x v="3"/>
    <x v="3"/>
    <x v="1"/>
    <x v="1"/>
    <n v="1"/>
    <n v="22"/>
    <x v="22"/>
    <x v="1"/>
    <s v="2017-12-08 MN"/>
    <m/>
    <m/>
    <n v="7"/>
    <s v="2020"/>
    <m/>
    <m/>
    <m/>
    <m/>
    <m/>
    <m/>
    <x v="0"/>
    <d v="2020-07-14T00:00:00"/>
    <x v="21"/>
    <d v="2020-09-12T00:00:00"/>
    <s v="09-2020"/>
    <d v="2020-07-15T00:00:00"/>
    <s v="07-2020"/>
    <d v="2020-11-11T00:00:00"/>
    <s v="11-2020"/>
    <d v="2020-09-12T00:00:00"/>
    <s v="09-2020"/>
    <d v="2021-01-10T00:00:00"/>
    <s v="01-2021"/>
    <n v="9"/>
    <s v="2020"/>
    <m/>
  </r>
  <r>
    <x v="1"/>
    <s v="ZX26"/>
    <x v="3"/>
    <x v="3"/>
    <x v="1"/>
    <x v="1"/>
    <n v="1"/>
    <n v="22"/>
    <x v="24"/>
    <x v="1"/>
    <s v="2017-12-08 MN"/>
    <m/>
    <m/>
    <n v="5"/>
    <s v="2020"/>
    <m/>
    <m/>
    <m/>
    <m/>
    <m/>
    <m/>
    <x v="0"/>
    <d v="2020-05-14T00:00:00"/>
    <x v="22"/>
    <d v="2020-07-13T00:00:00"/>
    <s v="07-2020"/>
    <d v="2020-05-15T00:00:00"/>
    <s v="05-2020"/>
    <d v="2020-09-11T00:00:00"/>
    <s v="09-2020"/>
    <d v="2020-07-13T00:00:00"/>
    <s v="07-2020"/>
    <d v="2020-11-10T00:00:00"/>
    <s v="11-2020"/>
    <n v="7"/>
    <s v="2020"/>
    <m/>
  </r>
  <r>
    <x v="1"/>
    <s v="ZX26"/>
    <x v="3"/>
    <x v="3"/>
    <x v="1"/>
    <x v="1"/>
    <n v="1"/>
    <n v="22"/>
    <x v="24"/>
    <x v="1"/>
    <s v="2017-12-08 MN"/>
    <m/>
    <m/>
    <n v="5"/>
    <s v="2020"/>
    <m/>
    <m/>
    <m/>
    <m/>
    <m/>
    <m/>
    <x v="0"/>
    <d v="2020-05-14T00:00:00"/>
    <x v="22"/>
    <d v="2020-07-13T00:00:00"/>
    <s v="07-2020"/>
    <d v="2020-05-15T00:00:00"/>
    <s v="05-2020"/>
    <d v="2020-09-11T00:00:00"/>
    <s v="09-2020"/>
    <d v="2020-07-13T00:00:00"/>
    <s v="07-2020"/>
    <d v="2020-11-10T00:00:00"/>
    <s v="11-2020"/>
    <n v="7"/>
    <s v="2020"/>
    <m/>
  </r>
  <r>
    <x v="1"/>
    <s v="ZX26"/>
    <x v="3"/>
    <x v="3"/>
    <x v="1"/>
    <x v="1"/>
    <n v="1"/>
    <n v="22"/>
    <x v="26"/>
    <x v="1"/>
    <s v="2017-12-08 MN"/>
    <m/>
    <m/>
    <n v="12"/>
    <s v="2019"/>
    <m/>
    <m/>
    <m/>
    <m/>
    <m/>
    <m/>
    <x v="0"/>
    <d v="2019-12-15T00:00:00"/>
    <x v="24"/>
    <d v="2020-02-13T00:00:00"/>
    <s v="02-2020"/>
    <d v="2019-12-16T00:00:00"/>
    <s v="12-2019"/>
    <d v="2020-04-13T00:00:00"/>
    <s v="04-2020"/>
    <d v="2020-02-13T00:00:00"/>
    <s v="02-2020"/>
    <d v="2020-06-12T00:00:00"/>
    <s v="06-2020"/>
    <n v="2"/>
    <s v="2020"/>
    <m/>
  </r>
  <r>
    <x v="1"/>
    <s v="ZX26"/>
    <x v="3"/>
    <x v="3"/>
    <x v="1"/>
    <x v="1"/>
    <n v="1"/>
    <n v="22"/>
    <x v="27"/>
    <x v="1"/>
    <s v="2017-12-08 MN"/>
    <m/>
    <m/>
    <n v="11"/>
    <s v="2019"/>
    <m/>
    <m/>
    <m/>
    <m/>
    <m/>
    <m/>
    <x v="0"/>
    <d v="2019-11-15T00:00:00"/>
    <x v="25"/>
    <d v="2020-01-14T00:00:00"/>
    <s v="01-2020"/>
    <d v="2019-11-16T00:00:00"/>
    <s v="11-2019"/>
    <d v="2020-03-14T00:00:00"/>
    <s v="03-2020"/>
    <d v="2020-01-14T00:00:00"/>
    <s v="01-2020"/>
    <d v="2020-05-13T00:00:00"/>
    <s v="05-2020"/>
    <n v="1"/>
    <s v="2020"/>
    <m/>
  </r>
  <r>
    <x v="1"/>
    <s v="ZX26"/>
    <x v="3"/>
    <x v="3"/>
    <x v="1"/>
    <x v="1"/>
    <n v="1"/>
    <n v="22"/>
    <x v="29"/>
    <x v="1"/>
    <s v="2017-12-08 MN"/>
    <m/>
    <m/>
    <n v="9"/>
    <s v="2019"/>
    <m/>
    <m/>
    <m/>
    <m/>
    <m/>
    <m/>
    <x v="0"/>
    <d v="2019-09-15T00:00:00"/>
    <x v="27"/>
    <d v="2019-11-14T00:00:00"/>
    <s v="11-2019"/>
    <d v="2019-09-16T00:00:00"/>
    <s v="09-2019"/>
    <d v="2020-01-13T00:00:00"/>
    <s v="01-2020"/>
    <d v="2019-11-14T00:00:00"/>
    <s v="11-2019"/>
    <d v="2020-03-13T00:00:00"/>
    <s v="03-2020"/>
    <n v="11"/>
    <s v="2019"/>
    <m/>
  </r>
  <r>
    <x v="1"/>
    <s v="ZX26"/>
    <x v="3"/>
    <x v="3"/>
    <x v="1"/>
    <x v="1"/>
    <n v="1"/>
    <n v="22"/>
    <x v="30"/>
    <x v="1"/>
    <s v="2017-12-08 MN"/>
    <m/>
    <m/>
    <n v="8"/>
    <s v="2019"/>
    <m/>
    <m/>
    <m/>
    <m/>
    <m/>
    <m/>
    <x v="0"/>
    <d v="2019-08-15T00:00:00"/>
    <x v="28"/>
    <d v="2019-10-14T00:00:00"/>
    <s v="10-2019"/>
    <d v="2019-08-16T00:00:00"/>
    <s v="08-2019"/>
    <d v="2019-12-13T00:00:00"/>
    <s v="12-2019"/>
    <d v="2019-10-14T00:00:00"/>
    <s v="10-2019"/>
    <d v="2020-02-11T00:00:00"/>
    <s v="02-2020"/>
    <n v="10"/>
    <s v="2019"/>
    <m/>
  </r>
  <r>
    <x v="1"/>
    <s v="ZX26"/>
    <x v="3"/>
    <x v="3"/>
    <x v="1"/>
    <x v="1"/>
    <n v="1"/>
    <n v="22"/>
    <x v="31"/>
    <x v="1"/>
    <s v="2017-12-08 MN"/>
    <m/>
    <m/>
    <n v="7"/>
    <s v="2019"/>
    <m/>
    <m/>
    <m/>
    <m/>
    <m/>
    <m/>
    <x v="0"/>
    <d v="2019-07-15T00:00:00"/>
    <x v="29"/>
    <d v="2019-09-13T00:00:00"/>
    <s v="09-2019"/>
    <d v="2019-07-16T00:00:00"/>
    <s v="07-2019"/>
    <d v="2019-11-12T00:00:00"/>
    <s v="11-2019"/>
    <d v="2019-09-13T00:00:00"/>
    <s v="09-2019"/>
    <d v="2020-01-11T00:00:00"/>
    <s v="01-2020"/>
    <n v="9"/>
    <s v="2019"/>
    <m/>
  </r>
  <r>
    <x v="1"/>
    <s v="ZX26"/>
    <x v="3"/>
    <x v="3"/>
    <x v="1"/>
    <x v="1"/>
    <n v="1"/>
    <n v="22"/>
    <x v="32"/>
    <x v="1"/>
    <s v="2017-12-08 MN"/>
    <m/>
    <m/>
    <n v="5"/>
    <s v="2019"/>
    <m/>
    <m/>
    <m/>
    <m/>
    <m/>
    <m/>
    <x v="0"/>
    <d v="2019-05-15T00:00:00"/>
    <x v="30"/>
    <d v="2019-07-14T00:00:00"/>
    <s v="07-2019"/>
    <d v="2019-05-16T00:00:00"/>
    <s v="05-2019"/>
    <d v="2019-09-12T00:00:00"/>
    <s v="09-2019"/>
    <d v="2019-07-14T00:00:00"/>
    <s v="07-2019"/>
    <d v="2019-11-11T00:00:00"/>
    <s v="11-2019"/>
    <n v="7"/>
    <s v="2019"/>
    <m/>
  </r>
  <r>
    <x v="1"/>
    <s v="ZX26"/>
    <x v="3"/>
    <x v="3"/>
    <x v="1"/>
    <x v="1"/>
    <n v="1"/>
    <n v="22"/>
    <x v="32"/>
    <x v="1"/>
    <s v="2017-12-08 MN"/>
    <m/>
    <m/>
    <n v="5"/>
    <s v="2019"/>
    <m/>
    <m/>
    <m/>
    <m/>
    <m/>
    <m/>
    <x v="0"/>
    <d v="2019-05-15T00:00:00"/>
    <x v="30"/>
    <d v="2019-07-14T00:00:00"/>
    <s v="07-2019"/>
    <d v="2019-05-16T00:00:00"/>
    <s v="05-2019"/>
    <d v="2019-09-12T00:00:00"/>
    <s v="09-2019"/>
    <d v="2019-07-14T00:00:00"/>
    <s v="07-2019"/>
    <d v="2019-11-11T00:00:00"/>
    <s v="11-2019"/>
    <n v="7"/>
    <s v="2019"/>
    <m/>
  </r>
  <r>
    <x v="0"/>
    <s v="ZX210"/>
    <x v="0"/>
    <x v="0"/>
    <x v="1"/>
    <x v="1"/>
    <n v="1"/>
    <n v="118"/>
    <x v="34"/>
    <x v="1"/>
    <s v="2017-12-08 MN"/>
    <m/>
    <m/>
    <n v="7"/>
    <s v="2018"/>
    <m/>
    <m/>
    <m/>
    <m/>
    <m/>
    <m/>
    <x v="0"/>
    <d v="2018-07-01T00:00:00"/>
    <x v="15"/>
    <d v="2018-08-30T00:00:00"/>
    <s v="08-2018"/>
    <d v="2018-07-02T00:00:00"/>
    <s v="07-2018"/>
    <d v="2018-10-29T00:00:00"/>
    <s v="10-2018"/>
    <d v="2018-08-30T00:00:00"/>
    <s v="08-2018"/>
    <d v="2018-12-28T00:00:00"/>
    <s v="12-2018"/>
    <n v="8"/>
    <s v="2018"/>
    <m/>
  </r>
  <r>
    <x v="1"/>
    <s v="ZX19"/>
    <x v="4"/>
    <x v="4"/>
    <x v="1"/>
    <x v="1"/>
    <n v="1"/>
    <n v="18"/>
    <x v="16"/>
    <x v="1"/>
    <s v="2017-12-08 MN"/>
    <m/>
    <m/>
    <n v="7"/>
    <s v="2018"/>
    <m/>
    <m/>
    <m/>
    <m/>
    <m/>
    <m/>
    <x v="0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1"/>
    <s v="ZX26"/>
    <x v="3"/>
    <x v="3"/>
    <x v="1"/>
    <x v="1"/>
    <n v="1"/>
    <n v="22"/>
    <x v="16"/>
    <x v="1"/>
    <s v="2017-12-08 MN"/>
    <m/>
    <m/>
    <n v="7"/>
    <s v="2018"/>
    <m/>
    <m/>
    <m/>
    <m/>
    <m/>
    <m/>
    <x v="0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1"/>
    <s v="ZX65"/>
    <x v="8"/>
    <x v="13"/>
    <x v="1"/>
    <x v="1"/>
    <n v="1"/>
    <n v="45"/>
    <x v="16"/>
    <x v="1"/>
    <s v="2017-12-08 MN"/>
    <m/>
    <m/>
    <n v="7"/>
    <s v="2018"/>
    <m/>
    <m/>
    <m/>
    <m/>
    <m/>
    <m/>
    <x v="0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0"/>
    <s v="ZX85"/>
    <x v="2"/>
    <x v="2"/>
    <x v="1"/>
    <x v="1"/>
    <n v="1"/>
    <n v="64"/>
    <x v="16"/>
    <x v="1"/>
    <s v="2017-12-08 MN"/>
    <m/>
    <m/>
    <n v="7"/>
    <s v="2018"/>
    <m/>
    <m/>
    <m/>
    <m/>
    <m/>
    <m/>
    <x v="0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0"/>
    <s v="ZX85"/>
    <x v="2"/>
    <x v="2"/>
    <x v="1"/>
    <x v="1"/>
    <n v="1"/>
    <n v="64"/>
    <x v="16"/>
    <x v="1"/>
    <s v="2017-12-08 MN"/>
    <m/>
    <m/>
    <n v="7"/>
    <s v="2018"/>
    <m/>
    <m/>
    <m/>
    <m/>
    <m/>
    <m/>
    <x v="0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0"/>
    <s v="ZX225"/>
    <x v="12"/>
    <x v="12"/>
    <x v="1"/>
    <x v="1"/>
    <n v="1"/>
    <n v="128"/>
    <x v="16"/>
    <x v="1"/>
    <s v="2017-12-08 MN"/>
    <m/>
    <m/>
    <n v="7"/>
    <s v="2018"/>
    <m/>
    <m/>
    <m/>
    <m/>
    <m/>
    <m/>
    <x v="0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1"/>
    <s v="ZX65"/>
    <x v="8"/>
    <x v="13"/>
    <x v="1"/>
    <x v="1"/>
    <n v="1"/>
    <n v="45"/>
    <x v="18"/>
    <x v="1"/>
    <s v="2017-12-08 MN"/>
    <m/>
    <m/>
    <n v="11"/>
    <s v="2020"/>
    <m/>
    <m/>
    <m/>
    <m/>
    <m/>
    <m/>
    <x v="0"/>
    <d v="2020-11-14T00:00:00"/>
    <x v="17"/>
    <d v="2021-01-13T00:00:00"/>
    <s v="01-2021"/>
    <d v="2020-11-15T00:00:00"/>
    <s v="11-2020"/>
    <d v="2021-03-14T00:00:00"/>
    <s v="03-2021"/>
    <d v="2021-01-13T00:00:00"/>
    <s v="01-2021"/>
    <d v="2021-05-13T00:00:00"/>
    <s v="05-2021"/>
    <n v="1"/>
    <s v="2021"/>
    <m/>
  </r>
  <r>
    <x v="1"/>
    <s v="ZX65"/>
    <x v="8"/>
    <x v="13"/>
    <x v="1"/>
    <x v="1"/>
    <n v="1"/>
    <n v="45"/>
    <x v="22"/>
    <x v="1"/>
    <s v="2017-12-08 MN"/>
    <m/>
    <m/>
    <n v="7"/>
    <s v="2020"/>
    <m/>
    <m/>
    <m/>
    <m/>
    <m/>
    <m/>
    <x v="0"/>
    <d v="2020-07-14T00:00:00"/>
    <x v="21"/>
    <d v="2020-09-12T00:00:00"/>
    <s v="09-2020"/>
    <d v="2020-07-15T00:00:00"/>
    <s v="07-2020"/>
    <d v="2020-11-11T00:00:00"/>
    <s v="11-2020"/>
    <d v="2020-09-12T00:00:00"/>
    <s v="09-2020"/>
    <d v="2021-01-10T00:00:00"/>
    <s v="01-2021"/>
    <n v="9"/>
    <s v="2020"/>
    <m/>
  </r>
  <r>
    <x v="1"/>
    <s v="ZX65"/>
    <x v="8"/>
    <x v="13"/>
    <x v="1"/>
    <x v="1"/>
    <n v="1"/>
    <n v="45"/>
    <x v="23"/>
    <x v="1"/>
    <s v="2017-12-08 MN"/>
    <m/>
    <m/>
    <n v="6"/>
    <s v="2020"/>
    <m/>
    <m/>
    <m/>
    <m/>
    <m/>
    <m/>
    <x v="0"/>
    <d v="2020-06-14T00:00:00"/>
    <x v="8"/>
    <d v="2020-08-13T00:00:00"/>
    <s v="08-2020"/>
    <d v="2020-06-15T00:00:00"/>
    <s v="06-2020"/>
    <d v="2020-10-12T00:00:00"/>
    <s v="10-2020"/>
    <d v="2020-08-13T00:00:00"/>
    <s v="08-2020"/>
    <d v="2020-12-11T00:00:00"/>
    <s v="12-2020"/>
    <n v="8"/>
    <s v="2020"/>
    <m/>
  </r>
  <r>
    <x v="1"/>
    <s v="ZX65"/>
    <x v="8"/>
    <x v="13"/>
    <x v="1"/>
    <x v="1"/>
    <n v="1"/>
    <n v="45"/>
    <x v="27"/>
    <x v="1"/>
    <s v="2017-12-08 MN"/>
    <m/>
    <m/>
    <n v="11"/>
    <s v="2019"/>
    <m/>
    <m/>
    <m/>
    <m/>
    <m/>
    <m/>
    <x v="0"/>
    <d v="2019-11-15T00:00:00"/>
    <x v="25"/>
    <d v="2020-01-14T00:00:00"/>
    <s v="01-2020"/>
    <d v="2019-11-16T00:00:00"/>
    <s v="11-2019"/>
    <d v="2020-03-14T00:00:00"/>
    <s v="03-2020"/>
    <d v="2020-01-14T00:00:00"/>
    <s v="01-2020"/>
    <d v="2020-05-13T00:00:00"/>
    <s v="05-2020"/>
    <n v="1"/>
    <s v="2020"/>
    <m/>
  </r>
  <r>
    <x v="1"/>
    <s v="ZX65"/>
    <x v="8"/>
    <x v="13"/>
    <x v="1"/>
    <x v="1"/>
    <n v="1"/>
    <n v="45"/>
    <x v="31"/>
    <x v="1"/>
    <s v="2017-12-08 MN"/>
    <m/>
    <m/>
    <n v="7"/>
    <s v="2019"/>
    <m/>
    <m/>
    <m/>
    <m/>
    <m/>
    <m/>
    <x v="0"/>
    <d v="2019-07-15T00:00:00"/>
    <x v="29"/>
    <d v="2019-09-13T00:00:00"/>
    <s v="09-2019"/>
    <d v="2019-07-16T00:00:00"/>
    <s v="07-2019"/>
    <d v="2019-11-12T00:00:00"/>
    <s v="11-2019"/>
    <d v="2019-09-13T00:00:00"/>
    <s v="09-2019"/>
    <d v="2020-01-11T00:00:00"/>
    <s v="01-2020"/>
    <n v="9"/>
    <s v="2019"/>
    <m/>
  </r>
  <r>
    <x v="1"/>
    <s v="ZX65"/>
    <x v="8"/>
    <x v="13"/>
    <x v="1"/>
    <x v="1"/>
    <n v="1"/>
    <n v="45"/>
    <x v="5"/>
    <x v="1"/>
    <s v="2017-12-08 MN"/>
    <m/>
    <m/>
    <n v="6"/>
    <s v="2019"/>
    <m/>
    <m/>
    <m/>
    <m/>
    <m/>
    <m/>
    <x v="0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19"/>
    <x v="4"/>
    <x v="4"/>
    <x v="1"/>
    <x v="1"/>
    <n v="1"/>
    <n v="18"/>
    <x v="15"/>
    <x v="1"/>
    <s v="2017-12-08 MN"/>
    <m/>
    <m/>
    <n v="8"/>
    <s v="2018"/>
    <m/>
    <m/>
    <m/>
    <m/>
    <m/>
    <m/>
    <x v="0"/>
    <d v="2018-08-15T00:00:00"/>
    <x v="14"/>
    <d v="2018-10-14T00:00:00"/>
    <s v="10-2018"/>
    <d v="2018-08-16T00:00:00"/>
    <s v="08-2018"/>
    <d v="2018-12-13T00:00:00"/>
    <s v="12-2018"/>
    <d v="2018-10-14T00:00:00"/>
    <s v="10-2018"/>
    <d v="2019-02-11T00:00:00"/>
    <s v="02-2019"/>
    <n v="10"/>
    <s v="2018"/>
    <m/>
  </r>
  <r>
    <x v="1"/>
    <s v="ZX26"/>
    <x v="3"/>
    <x v="3"/>
    <x v="1"/>
    <x v="1"/>
    <n v="1"/>
    <n v="22"/>
    <x v="15"/>
    <x v="1"/>
    <s v="2017-12-08 MN"/>
    <m/>
    <m/>
    <n v="8"/>
    <s v="2018"/>
    <m/>
    <m/>
    <m/>
    <m/>
    <m/>
    <m/>
    <x v="0"/>
    <d v="2018-08-15T00:00:00"/>
    <x v="14"/>
    <d v="2018-10-14T00:00:00"/>
    <s v="10-2018"/>
    <d v="2018-08-16T00:00:00"/>
    <s v="08-2018"/>
    <d v="2018-12-13T00:00:00"/>
    <s v="12-2018"/>
    <d v="2018-10-14T00:00:00"/>
    <s v="10-2018"/>
    <d v="2019-02-11T00:00:00"/>
    <s v="02-2019"/>
    <n v="10"/>
    <s v="2018"/>
    <m/>
  </r>
  <r>
    <x v="0"/>
    <s v="ZX85"/>
    <x v="2"/>
    <x v="2"/>
    <x v="1"/>
    <x v="1"/>
    <n v="1"/>
    <n v="64"/>
    <x v="15"/>
    <x v="1"/>
    <s v="2017-12-08 MN"/>
    <m/>
    <m/>
    <n v="8"/>
    <s v="2018"/>
    <m/>
    <m/>
    <m/>
    <m/>
    <m/>
    <m/>
    <x v="0"/>
    <d v="2018-08-15T00:00:00"/>
    <x v="14"/>
    <d v="2018-10-14T00:00:00"/>
    <s v="10-2018"/>
    <d v="2018-08-16T00:00:00"/>
    <s v="08-2018"/>
    <d v="2018-12-13T00:00:00"/>
    <s v="12-2018"/>
    <d v="2018-10-14T00:00:00"/>
    <s v="10-2018"/>
    <d v="2019-02-11T00:00:00"/>
    <s v="02-2019"/>
    <n v="10"/>
    <s v="2018"/>
    <m/>
  </r>
  <r>
    <x v="1"/>
    <s v="ZX65"/>
    <x v="8"/>
    <x v="8"/>
    <x v="1"/>
    <x v="1"/>
    <n v="1"/>
    <n v="45"/>
    <x v="20"/>
    <x v="1"/>
    <s v="2017-12-08 MN"/>
    <m/>
    <m/>
    <n v="9"/>
    <s v="2020"/>
    <m/>
    <m/>
    <m/>
    <m/>
    <m/>
    <m/>
    <x v="0"/>
    <d v="2020-09-14T00:00:00"/>
    <x v="19"/>
    <d v="2020-11-13T00:00:00"/>
    <s v="11-2020"/>
    <d v="2020-09-15T00:00:00"/>
    <s v="09-2020"/>
    <d v="2021-01-12T00:00:00"/>
    <s v="01-2021"/>
    <d v="2020-11-13T00:00:00"/>
    <s v="11-2020"/>
    <d v="2021-03-13T00:00:00"/>
    <s v="03-2021"/>
    <n v="11"/>
    <s v="2020"/>
    <m/>
  </r>
  <r>
    <x v="1"/>
    <s v="ZX65"/>
    <x v="8"/>
    <x v="8"/>
    <x v="1"/>
    <x v="1"/>
    <n v="1"/>
    <n v="45"/>
    <x v="24"/>
    <x v="1"/>
    <s v="2017-12-08 MN"/>
    <m/>
    <m/>
    <n v="5"/>
    <s v="2020"/>
    <m/>
    <m/>
    <m/>
    <m/>
    <m/>
    <m/>
    <x v="0"/>
    <d v="2020-05-14T00:00:00"/>
    <x v="22"/>
    <d v="2020-07-13T00:00:00"/>
    <s v="07-2020"/>
    <d v="2020-05-15T00:00:00"/>
    <s v="05-2020"/>
    <d v="2020-09-11T00:00:00"/>
    <s v="09-2020"/>
    <d v="2020-07-13T00:00:00"/>
    <s v="07-2020"/>
    <d v="2020-11-10T00:00:00"/>
    <s v="11-2020"/>
    <n v="7"/>
    <s v="2020"/>
    <m/>
  </r>
  <r>
    <x v="1"/>
    <s v="ZX65"/>
    <x v="8"/>
    <x v="8"/>
    <x v="1"/>
    <x v="1"/>
    <n v="1"/>
    <n v="45"/>
    <x v="29"/>
    <x v="1"/>
    <s v="2017-12-08 MN"/>
    <m/>
    <m/>
    <n v="9"/>
    <s v="2019"/>
    <m/>
    <m/>
    <m/>
    <m/>
    <m/>
    <m/>
    <x v="0"/>
    <d v="2019-09-15T00:00:00"/>
    <x v="27"/>
    <d v="2019-11-14T00:00:00"/>
    <s v="11-2019"/>
    <d v="2019-09-16T00:00:00"/>
    <s v="09-2019"/>
    <d v="2020-01-13T00:00:00"/>
    <s v="01-2020"/>
    <d v="2019-11-14T00:00:00"/>
    <s v="11-2019"/>
    <d v="2020-03-13T00:00:00"/>
    <s v="03-2020"/>
    <n v="11"/>
    <s v="2019"/>
    <m/>
  </r>
  <r>
    <x v="1"/>
    <s v="ZX65"/>
    <x v="8"/>
    <x v="8"/>
    <x v="1"/>
    <x v="1"/>
    <n v="1"/>
    <n v="45"/>
    <x v="32"/>
    <x v="1"/>
    <s v="2017-12-08 MN"/>
    <m/>
    <m/>
    <n v="5"/>
    <s v="2019"/>
    <m/>
    <m/>
    <m/>
    <m/>
    <m/>
    <m/>
    <x v="0"/>
    <d v="2019-05-15T00:00:00"/>
    <x v="30"/>
    <d v="2019-07-14T00:00:00"/>
    <s v="07-2019"/>
    <d v="2019-05-16T00:00:00"/>
    <s v="05-2019"/>
    <d v="2019-09-12T00:00:00"/>
    <s v="09-2019"/>
    <d v="2019-07-14T00:00:00"/>
    <s v="07-2019"/>
    <d v="2019-11-11T00:00:00"/>
    <s v="11-2019"/>
    <n v="7"/>
    <s v="2019"/>
    <m/>
  </r>
  <r>
    <x v="0"/>
    <s v="ZX135"/>
    <x v="1"/>
    <x v="1"/>
    <x v="1"/>
    <x v="1"/>
    <n v="1"/>
    <n v="105"/>
    <x v="15"/>
    <x v="1"/>
    <s v="2017-12-08 MN"/>
    <m/>
    <m/>
    <n v="8"/>
    <s v="2018"/>
    <m/>
    <m/>
    <m/>
    <m/>
    <m/>
    <m/>
    <x v="0"/>
    <d v="2018-08-15T00:00:00"/>
    <x v="14"/>
    <d v="2018-10-14T00:00:00"/>
    <s v="10-2018"/>
    <d v="2018-08-16T00:00:00"/>
    <s v="08-2018"/>
    <d v="2018-12-13T00:00:00"/>
    <s v="12-2018"/>
    <d v="2018-10-14T00:00:00"/>
    <s v="10-2018"/>
    <d v="2019-02-11T00:00:00"/>
    <s v="02-2019"/>
    <n v="10"/>
    <s v="2018"/>
    <m/>
  </r>
  <r>
    <x v="1"/>
    <s v="ZX19"/>
    <x v="4"/>
    <x v="4"/>
    <x v="1"/>
    <x v="1"/>
    <n v="1"/>
    <n v="18"/>
    <x v="6"/>
    <x v="1"/>
    <s v="2017-12-08 MN"/>
    <m/>
    <m/>
    <n v="9"/>
    <s v="2018"/>
    <m/>
    <m/>
    <m/>
    <m/>
    <m/>
    <m/>
    <x v="0"/>
    <d v="2018-09-15T00:00:00"/>
    <x v="6"/>
    <d v="2018-11-14T00:00:00"/>
    <s v="11-2018"/>
    <d v="2018-09-16T00:00:00"/>
    <s v="09-2018"/>
    <d v="2019-01-13T00:00:00"/>
    <s v="01-2019"/>
    <d v="2018-11-14T00:00:00"/>
    <s v="11-2018"/>
    <d v="2019-03-14T00:00:00"/>
    <s v="03-2019"/>
    <n v="11"/>
    <s v="2018"/>
    <m/>
  </r>
  <r>
    <x v="0"/>
    <s v="ZX85"/>
    <x v="2"/>
    <x v="2"/>
    <x v="1"/>
    <x v="1"/>
    <n v="1"/>
    <n v="64"/>
    <x v="17"/>
    <x v="1"/>
    <s v="2017-12-08 MN"/>
    <m/>
    <m/>
    <n v="12"/>
    <s v="2020"/>
    <m/>
    <m/>
    <m/>
    <m/>
    <m/>
    <m/>
    <x v="0"/>
    <d v="2020-12-14T00:00:00"/>
    <x v="16"/>
    <d v="2021-02-12T00:00:00"/>
    <s v="02-2021"/>
    <d v="2020-12-15T00:00:00"/>
    <s v="12-2020"/>
    <d v="2021-04-13T00:00:00"/>
    <s v="04-2021"/>
    <d v="2021-02-12T00:00:00"/>
    <s v="02-2021"/>
    <d v="2021-06-12T00:00:00"/>
    <s v="06-2021"/>
    <n v="2"/>
    <s v="2021"/>
    <m/>
  </r>
  <r>
    <x v="0"/>
    <s v="ZX85"/>
    <x v="2"/>
    <x v="2"/>
    <x v="1"/>
    <x v="1"/>
    <n v="1"/>
    <n v="64"/>
    <x v="17"/>
    <x v="1"/>
    <s v="2017-12-08 MN"/>
    <m/>
    <m/>
    <n v="12"/>
    <s v="2020"/>
    <m/>
    <m/>
    <m/>
    <m/>
    <m/>
    <m/>
    <x v="0"/>
    <d v="2020-12-14T00:00:00"/>
    <x v="16"/>
    <d v="2021-02-12T00:00:00"/>
    <s v="02-2021"/>
    <d v="2020-12-15T00:00:00"/>
    <s v="12-2020"/>
    <d v="2021-04-13T00:00:00"/>
    <s v="04-2021"/>
    <d v="2021-02-12T00:00:00"/>
    <s v="02-2021"/>
    <d v="2021-06-12T00:00:00"/>
    <s v="06-2021"/>
    <n v="2"/>
    <s v="2021"/>
    <m/>
  </r>
  <r>
    <x v="0"/>
    <s v="ZX85"/>
    <x v="2"/>
    <x v="2"/>
    <x v="1"/>
    <x v="1"/>
    <n v="1"/>
    <n v="64"/>
    <x v="18"/>
    <x v="1"/>
    <s v="2017-12-08 MN"/>
    <m/>
    <m/>
    <n v="11"/>
    <s v="2020"/>
    <m/>
    <m/>
    <m/>
    <m/>
    <m/>
    <m/>
    <x v="0"/>
    <d v="2020-11-14T00:00:00"/>
    <x v="17"/>
    <d v="2021-01-13T00:00:00"/>
    <s v="01-2021"/>
    <d v="2020-11-15T00:00:00"/>
    <s v="11-2020"/>
    <d v="2021-03-14T00:00:00"/>
    <s v="03-2021"/>
    <d v="2021-01-13T00:00:00"/>
    <s v="01-2021"/>
    <d v="2021-05-13T00:00:00"/>
    <s v="05-2021"/>
    <n v="1"/>
    <s v="2021"/>
    <m/>
  </r>
  <r>
    <x v="0"/>
    <s v="ZX85"/>
    <x v="2"/>
    <x v="2"/>
    <x v="1"/>
    <x v="1"/>
    <n v="1"/>
    <n v="64"/>
    <x v="19"/>
    <x v="1"/>
    <s v="2017-12-08 MN"/>
    <m/>
    <m/>
    <n v="10"/>
    <s v="2020"/>
    <m/>
    <m/>
    <m/>
    <m/>
    <m/>
    <m/>
    <x v="0"/>
    <d v="2020-10-14T00:00:00"/>
    <x v="18"/>
    <d v="2020-12-13T00:00:00"/>
    <s v="12-2020"/>
    <d v="2020-10-15T00:00:00"/>
    <s v="10-2020"/>
    <d v="2021-02-11T00:00:00"/>
    <s v="02-2021"/>
    <d v="2020-12-13T00:00:00"/>
    <s v="12-2020"/>
    <d v="2021-04-12T00:00:00"/>
    <s v="04-2021"/>
    <n v="12"/>
    <s v="2020"/>
    <m/>
  </r>
  <r>
    <x v="0"/>
    <s v="ZX85"/>
    <x v="2"/>
    <x v="2"/>
    <x v="1"/>
    <x v="1"/>
    <n v="1"/>
    <n v="64"/>
    <x v="20"/>
    <x v="1"/>
    <s v="2017-12-08 MN"/>
    <m/>
    <m/>
    <n v="9"/>
    <s v="2020"/>
    <m/>
    <m/>
    <m/>
    <m/>
    <m/>
    <m/>
    <x v="0"/>
    <d v="2020-09-14T00:00:00"/>
    <x v="19"/>
    <d v="2020-11-13T00:00:00"/>
    <s v="11-2020"/>
    <d v="2020-09-15T00:00:00"/>
    <s v="09-2020"/>
    <d v="2021-01-12T00:00:00"/>
    <s v="01-2021"/>
    <d v="2020-11-13T00:00:00"/>
    <s v="11-2020"/>
    <d v="2021-03-13T00:00:00"/>
    <s v="03-2021"/>
    <n v="11"/>
    <s v="2020"/>
    <m/>
  </r>
  <r>
    <x v="0"/>
    <s v="ZX85"/>
    <x v="2"/>
    <x v="2"/>
    <x v="1"/>
    <x v="1"/>
    <n v="1"/>
    <n v="64"/>
    <x v="21"/>
    <x v="1"/>
    <s v="2017-12-08 MN"/>
    <m/>
    <m/>
    <n v="8"/>
    <s v="2020"/>
    <m/>
    <m/>
    <m/>
    <m/>
    <m/>
    <m/>
    <x v="0"/>
    <d v="2020-08-14T00:00:00"/>
    <x v="20"/>
    <d v="2020-10-13T00:00:00"/>
    <s v="10-2020"/>
    <d v="2020-08-15T00:00:00"/>
    <s v="08-2020"/>
    <d v="2020-12-12T00:00:00"/>
    <s v="12-2020"/>
    <d v="2020-10-13T00:00:00"/>
    <s v="10-2020"/>
    <d v="2021-02-10T00:00:00"/>
    <s v="02-2021"/>
    <n v="10"/>
    <s v="2020"/>
    <m/>
  </r>
  <r>
    <x v="0"/>
    <s v="ZX85"/>
    <x v="2"/>
    <x v="2"/>
    <x v="1"/>
    <x v="1"/>
    <n v="1"/>
    <n v="64"/>
    <x v="22"/>
    <x v="1"/>
    <s v="2017-12-08 MN"/>
    <m/>
    <m/>
    <n v="7"/>
    <s v="2020"/>
    <m/>
    <m/>
    <m/>
    <m/>
    <m/>
    <m/>
    <x v="0"/>
    <d v="2020-07-14T00:00:00"/>
    <x v="21"/>
    <d v="2020-09-12T00:00:00"/>
    <s v="09-2020"/>
    <d v="2020-07-15T00:00:00"/>
    <s v="07-2020"/>
    <d v="2020-11-11T00:00:00"/>
    <s v="11-2020"/>
    <d v="2020-09-12T00:00:00"/>
    <s v="09-2020"/>
    <d v="2021-01-10T00:00:00"/>
    <s v="01-2021"/>
    <n v="9"/>
    <s v="2020"/>
    <m/>
  </r>
  <r>
    <x v="0"/>
    <s v="ZX85"/>
    <x v="2"/>
    <x v="2"/>
    <x v="1"/>
    <x v="1"/>
    <n v="1"/>
    <n v="64"/>
    <x v="22"/>
    <x v="1"/>
    <s v="2017-12-08 MN"/>
    <m/>
    <m/>
    <n v="7"/>
    <s v="2020"/>
    <m/>
    <m/>
    <m/>
    <m/>
    <m/>
    <m/>
    <x v="0"/>
    <d v="2020-07-14T00:00:00"/>
    <x v="21"/>
    <d v="2020-09-12T00:00:00"/>
    <s v="09-2020"/>
    <d v="2020-07-15T00:00:00"/>
    <s v="07-2020"/>
    <d v="2020-11-11T00:00:00"/>
    <s v="11-2020"/>
    <d v="2020-09-12T00:00:00"/>
    <s v="09-2020"/>
    <d v="2021-01-10T00:00:00"/>
    <s v="01-2021"/>
    <n v="9"/>
    <s v="2020"/>
    <m/>
  </r>
  <r>
    <x v="0"/>
    <s v="ZX85"/>
    <x v="2"/>
    <x v="2"/>
    <x v="1"/>
    <x v="1"/>
    <n v="1"/>
    <n v="64"/>
    <x v="26"/>
    <x v="1"/>
    <s v="2017-12-08 MN"/>
    <m/>
    <m/>
    <n v="12"/>
    <s v="2019"/>
    <m/>
    <m/>
    <m/>
    <m/>
    <m/>
    <m/>
    <x v="0"/>
    <d v="2019-12-15T00:00:00"/>
    <x v="24"/>
    <d v="2020-02-13T00:00:00"/>
    <s v="02-2020"/>
    <d v="2019-12-16T00:00:00"/>
    <s v="12-2019"/>
    <d v="2020-04-13T00:00:00"/>
    <s v="04-2020"/>
    <d v="2020-02-13T00:00:00"/>
    <s v="02-2020"/>
    <d v="2020-06-12T00:00:00"/>
    <s v="06-2020"/>
    <n v="2"/>
    <s v="2020"/>
    <m/>
  </r>
  <r>
    <x v="0"/>
    <s v="ZX85"/>
    <x v="2"/>
    <x v="2"/>
    <x v="1"/>
    <x v="1"/>
    <n v="1"/>
    <n v="64"/>
    <x v="26"/>
    <x v="1"/>
    <s v="2017-12-08 MN"/>
    <m/>
    <m/>
    <n v="12"/>
    <s v="2019"/>
    <m/>
    <m/>
    <m/>
    <m/>
    <m/>
    <m/>
    <x v="0"/>
    <d v="2019-12-15T00:00:00"/>
    <x v="24"/>
    <d v="2020-02-13T00:00:00"/>
    <s v="02-2020"/>
    <d v="2019-12-16T00:00:00"/>
    <s v="12-2019"/>
    <d v="2020-04-13T00:00:00"/>
    <s v="04-2020"/>
    <d v="2020-02-13T00:00:00"/>
    <s v="02-2020"/>
    <d v="2020-06-12T00:00:00"/>
    <s v="06-2020"/>
    <n v="2"/>
    <s v="2020"/>
    <m/>
  </r>
  <r>
    <x v="0"/>
    <s v="ZX85"/>
    <x v="2"/>
    <x v="2"/>
    <x v="1"/>
    <x v="1"/>
    <n v="1"/>
    <n v="64"/>
    <x v="27"/>
    <x v="1"/>
    <s v="2017-12-08 MN"/>
    <m/>
    <m/>
    <n v="11"/>
    <s v="2019"/>
    <m/>
    <m/>
    <m/>
    <m/>
    <m/>
    <m/>
    <x v="0"/>
    <d v="2019-11-15T00:00:00"/>
    <x v="25"/>
    <d v="2020-01-14T00:00:00"/>
    <s v="01-2020"/>
    <d v="2019-11-16T00:00:00"/>
    <s v="11-2019"/>
    <d v="2020-03-14T00:00:00"/>
    <s v="03-2020"/>
    <d v="2020-01-14T00:00:00"/>
    <s v="01-2020"/>
    <d v="2020-05-13T00:00:00"/>
    <s v="05-2020"/>
    <n v="1"/>
    <s v="2020"/>
    <m/>
  </r>
  <r>
    <x v="0"/>
    <s v="ZX85"/>
    <x v="2"/>
    <x v="2"/>
    <x v="1"/>
    <x v="1"/>
    <n v="1"/>
    <n v="64"/>
    <x v="28"/>
    <x v="1"/>
    <s v="2017-12-08 MN"/>
    <m/>
    <m/>
    <n v="10"/>
    <s v="2019"/>
    <m/>
    <m/>
    <m/>
    <m/>
    <m/>
    <m/>
    <x v="0"/>
    <d v="2019-10-15T00:00:00"/>
    <x v="26"/>
    <d v="2019-12-14T00:00:00"/>
    <s v="12-2019"/>
    <d v="2019-10-16T00:00:00"/>
    <s v="10-2019"/>
    <d v="2020-02-12T00:00:00"/>
    <s v="02-2020"/>
    <d v="2019-12-14T00:00:00"/>
    <s v="12-2019"/>
    <d v="2020-04-12T00:00:00"/>
    <s v="04-2020"/>
    <n v="12"/>
    <s v="2019"/>
    <m/>
  </r>
  <r>
    <x v="0"/>
    <s v="ZX85"/>
    <x v="2"/>
    <x v="2"/>
    <x v="1"/>
    <x v="1"/>
    <n v="1"/>
    <n v="64"/>
    <x v="29"/>
    <x v="1"/>
    <s v="2017-12-08 MN"/>
    <m/>
    <m/>
    <n v="9"/>
    <s v="2019"/>
    <m/>
    <m/>
    <m/>
    <m/>
    <m/>
    <m/>
    <x v="0"/>
    <d v="2019-09-15T00:00:00"/>
    <x v="27"/>
    <d v="2019-11-14T00:00:00"/>
    <s v="11-2019"/>
    <d v="2019-09-16T00:00:00"/>
    <s v="09-2019"/>
    <d v="2020-01-13T00:00:00"/>
    <s v="01-2020"/>
    <d v="2019-11-14T00:00:00"/>
    <s v="11-2019"/>
    <d v="2020-03-13T00:00:00"/>
    <s v="03-2020"/>
    <n v="11"/>
    <s v="2019"/>
    <m/>
  </r>
  <r>
    <x v="0"/>
    <s v="ZX85"/>
    <x v="2"/>
    <x v="2"/>
    <x v="1"/>
    <x v="1"/>
    <n v="1"/>
    <n v="64"/>
    <x v="30"/>
    <x v="1"/>
    <s v="2017-12-08 MN"/>
    <m/>
    <m/>
    <n v="8"/>
    <s v="2019"/>
    <m/>
    <m/>
    <m/>
    <m/>
    <m/>
    <m/>
    <x v="0"/>
    <d v="2019-08-15T00:00:00"/>
    <x v="28"/>
    <d v="2019-10-14T00:00:00"/>
    <s v="10-2019"/>
    <d v="2019-08-16T00:00:00"/>
    <s v="08-2019"/>
    <d v="2019-12-13T00:00:00"/>
    <s v="12-2019"/>
    <d v="2019-10-14T00:00:00"/>
    <s v="10-2019"/>
    <d v="2020-02-11T00:00:00"/>
    <s v="02-2020"/>
    <n v="10"/>
    <s v="2019"/>
    <m/>
  </r>
  <r>
    <x v="0"/>
    <s v="ZX85"/>
    <x v="2"/>
    <x v="2"/>
    <x v="1"/>
    <x v="1"/>
    <n v="1"/>
    <n v="64"/>
    <x v="31"/>
    <x v="1"/>
    <s v="2017-12-08 MN"/>
    <m/>
    <m/>
    <n v="7"/>
    <s v="2019"/>
    <m/>
    <m/>
    <m/>
    <m/>
    <m/>
    <m/>
    <x v="0"/>
    <d v="2019-07-15T00:00:00"/>
    <x v="29"/>
    <d v="2019-09-13T00:00:00"/>
    <s v="09-2019"/>
    <d v="2019-07-16T00:00:00"/>
    <s v="07-2019"/>
    <d v="2019-11-12T00:00:00"/>
    <s v="11-2019"/>
    <d v="2019-09-13T00:00:00"/>
    <s v="09-2019"/>
    <d v="2020-01-11T00:00:00"/>
    <s v="01-2020"/>
    <n v="9"/>
    <s v="2019"/>
    <m/>
  </r>
  <r>
    <x v="0"/>
    <s v="ZX85"/>
    <x v="2"/>
    <x v="2"/>
    <x v="1"/>
    <x v="1"/>
    <n v="1"/>
    <n v="64"/>
    <x v="31"/>
    <x v="1"/>
    <s v="2017-12-08 MN"/>
    <m/>
    <m/>
    <n v="7"/>
    <s v="2019"/>
    <m/>
    <m/>
    <m/>
    <m/>
    <m/>
    <m/>
    <x v="0"/>
    <d v="2019-07-15T00:00:00"/>
    <x v="29"/>
    <d v="2019-09-13T00:00:00"/>
    <s v="09-2019"/>
    <d v="2019-07-16T00:00:00"/>
    <s v="07-2019"/>
    <d v="2019-11-12T00:00:00"/>
    <s v="11-2019"/>
    <d v="2019-09-13T00:00:00"/>
    <s v="09-2019"/>
    <d v="2020-01-11T00:00:00"/>
    <s v="01-2020"/>
    <n v="9"/>
    <s v="2019"/>
    <m/>
  </r>
  <r>
    <x v="1"/>
    <s v="ZX26"/>
    <x v="3"/>
    <x v="11"/>
    <x v="1"/>
    <x v="1"/>
    <n v="1"/>
    <n v="22"/>
    <x v="6"/>
    <x v="1"/>
    <s v="2017-12-08 MN"/>
    <m/>
    <m/>
    <n v="9"/>
    <s v="2018"/>
    <m/>
    <m/>
    <m/>
    <m/>
    <m/>
    <m/>
    <x v="0"/>
    <d v="2018-09-15T00:00:00"/>
    <x v="6"/>
    <d v="2018-11-14T00:00:00"/>
    <s v="11-2018"/>
    <d v="2018-09-16T00:00:00"/>
    <s v="09-2018"/>
    <d v="2019-01-13T00:00:00"/>
    <s v="01-2019"/>
    <d v="2018-11-14T00:00:00"/>
    <s v="11-2018"/>
    <d v="2019-03-14T00:00:00"/>
    <s v="03-2019"/>
    <n v="11"/>
    <s v="2018"/>
    <m/>
  </r>
  <r>
    <x v="1"/>
    <s v="ZX26"/>
    <x v="3"/>
    <x v="3"/>
    <x v="1"/>
    <x v="1"/>
    <n v="1"/>
    <n v="22"/>
    <x v="6"/>
    <x v="1"/>
    <s v="2017-12-08 MN"/>
    <m/>
    <m/>
    <n v="9"/>
    <s v="2018"/>
    <m/>
    <m/>
    <m/>
    <m/>
    <m/>
    <m/>
    <x v="0"/>
    <d v="2018-09-15T00:00:00"/>
    <x v="6"/>
    <d v="2018-11-14T00:00:00"/>
    <s v="11-2018"/>
    <d v="2018-09-16T00:00:00"/>
    <s v="09-2018"/>
    <d v="2019-01-13T00:00:00"/>
    <s v="01-2019"/>
    <d v="2018-11-14T00:00:00"/>
    <s v="11-2018"/>
    <d v="2019-03-14T00:00:00"/>
    <s v="03-2019"/>
    <n v="11"/>
    <s v="2018"/>
    <m/>
  </r>
  <r>
    <x v="1"/>
    <s v="ZX65"/>
    <x v="8"/>
    <x v="8"/>
    <x v="1"/>
    <x v="1"/>
    <n v="1"/>
    <n v="45"/>
    <x v="6"/>
    <x v="1"/>
    <s v="2017-12-08 MN"/>
    <m/>
    <m/>
    <n v="9"/>
    <s v="2018"/>
    <m/>
    <m/>
    <m/>
    <m/>
    <m/>
    <m/>
    <x v="0"/>
    <d v="2018-09-15T00:00:00"/>
    <x v="6"/>
    <d v="2018-11-14T00:00:00"/>
    <s v="11-2018"/>
    <d v="2018-09-16T00:00:00"/>
    <s v="09-2018"/>
    <d v="2019-01-13T00:00:00"/>
    <s v="01-2019"/>
    <d v="2018-11-14T00:00:00"/>
    <s v="11-2018"/>
    <d v="2019-03-14T00:00:00"/>
    <s v="03-2019"/>
    <n v="11"/>
    <s v="2018"/>
    <m/>
  </r>
  <r>
    <x v="0"/>
    <s v="ZX85"/>
    <x v="2"/>
    <x v="2"/>
    <x v="1"/>
    <x v="1"/>
    <n v="1"/>
    <n v="64"/>
    <x v="6"/>
    <x v="1"/>
    <s v="2017-12-08 MN"/>
    <m/>
    <m/>
    <n v="9"/>
    <s v="2018"/>
    <m/>
    <m/>
    <m/>
    <m/>
    <m/>
    <m/>
    <x v="0"/>
    <d v="2018-09-15T00:00:00"/>
    <x v="6"/>
    <d v="2018-11-14T00:00:00"/>
    <s v="11-2018"/>
    <d v="2018-09-16T00:00:00"/>
    <s v="09-2018"/>
    <d v="2019-01-13T00:00:00"/>
    <s v="01-2019"/>
    <d v="2018-11-14T00:00:00"/>
    <s v="11-2018"/>
    <d v="2019-03-14T00:00:00"/>
    <s v="03-2019"/>
    <n v="11"/>
    <s v="2018"/>
    <m/>
  </r>
  <r>
    <x v="0"/>
    <s v="ZX225"/>
    <x v="12"/>
    <x v="15"/>
    <x v="1"/>
    <x v="1"/>
    <n v="1"/>
    <n v="128"/>
    <x v="6"/>
    <x v="1"/>
    <s v="2017-12-08 MN"/>
    <m/>
    <m/>
    <n v="9"/>
    <s v="2018"/>
    <m/>
    <m/>
    <m/>
    <m/>
    <m/>
    <m/>
    <x v="0"/>
    <d v="2018-09-15T00:00:00"/>
    <x v="6"/>
    <d v="2018-11-14T00:00:00"/>
    <s v="11-2018"/>
    <d v="2018-09-16T00:00:00"/>
    <s v="09-2018"/>
    <d v="2019-01-13T00:00:00"/>
    <s v="01-2019"/>
    <d v="2018-11-14T00:00:00"/>
    <s v="11-2018"/>
    <d v="2019-03-14T00:00:00"/>
    <s v="03-2019"/>
    <n v="11"/>
    <s v="2018"/>
    <m/>
  </r>
  <r>
    <x v="0"/>
    <s v="ZX225"/>
    <x v="12"/>
    <x v="15"/>
    <x v="1"/>
    <x v="1"/>
    <n v="2"/>
    <n v="256"/>
    <x v="6"/>
    <x v="1"/>
    <s v="2017-12-08 MN"/>
    <m/>
    <m/>
    <n v="9"/>
    <s v="2018"/>
    <m/>
    <m/>
    <m/>
    <m/>
    <m/>
    <m/>
    <x v="0"/>
    <d v="2018-09-15T00:00:00"/>
    <x v="6"/>
    <d v="2018-11-14T00:00:00"/>
    <s v="11-2018"/>
    <d v="2018-09-16T00:00:00"/>
    <s v="09-2018"/>
    <d v="2019-01-13T00:00:00"/>
    <s v="01-2019"/>
    <d v="2018-11-14T00:00:00"/>
    <s v="11-2018"/>
    <d v="2019-03-14T00:00:00"/>
    <s v="03-2019"/>
    <n v="11"/>
    <s v="2018"/>
    <m/>
  </r>
  <r>
    <x v="1"/>
    <s v="ZX19"/>
    <x v="4"/>
    <x v="4"/>
    <x v="1"/>
    <x v="1"/>
    <n v="1"/>
    <n v="18"/>
    <x v="14"/>
    <x v="1"/>
    <s v="2017-12-08 MN"/>
    <m/>
    <m/>
    <n v="10"/>
    <s v="2018"/>
    <m/>
    <m/>
    <m/>
    <m/>
    <m/>
    <m/>
    <x v="0"/>
    <d v="2018-10-15T00:00:00"/>
    <x v="13"/>
    <d v="2018-12-14T00:00:00"/>
    <s v="12-2018"/>
    <d v="2018-10-16T00:00:00"/>
    <s v="10-2018"/>
    <d v="2019-02-12T00:00:00"/>
    <s v="02-2019"/>
    <d v="2018-12-14T00:00:00"/>
    <s v="12-2018"/>
    <d v="2019-04-13T00:00:00"/>
    <s v="04-2019"/>
    <n v="12"/>
    <s v="2018"/>
    <m/>
  </r>
  <r>
    <x v="1"/>
    <s v="ZX26"/>
    <x v="3"/>
    <x v="11"/>
    <x v="1"/>
    <x v="1"/>
    <n v="1"/>
    <n v="22"/>
    <x v="14"/>
    <x v="1"/>
    <s v="2017-12-08 MN"/>
    <m/>
    <m/>
    <n v="10"/>
    <s v="2018"/>
    <m/>
    <m/>
    <m/>
    <m/>
    <m/>
    <m/>
    <x v="0"/>
    <d v="2018-10-15T00:00:00"/>
    <x v="13"/>
    <d v="2018-12-14T00:00:00"/>
    <s v="12-2018"/>
    <d v="2018-10-16T00:00:00"/>
    <s v="10-2018"/>
    <d v="2019-02-12T00:00:00"/>
    <s v="02-2019"/>
    <d v="2018-12-14T00:00:00"/>
    <s v="12-2018"/>
    <d v="2019-04-13T00:00:00"/>
    <s v="04-2019"/>
    <n v="12"/>
    <s v="2018"/>
    <m/>
  </r>
  <r>
    <x v="0"/>
    <s v="ZX135"/>
    <x v="1"/>
    <x v="14"/>
    <x v="1"/>
    <x v="1"/>
    <n v="1"/>
    <n v="105"/>
    <x v="19"/>
    <x v="1"/>
    <s v="2017-12-08 MN"/>
    <m/>
    <m/>
    <n v="10"/>
    <s v="2020"/>
    <m/>
    <m/>
    <m/>
    <m/>
    <m/>
    <m/>
    <x v="0"/>
    <d v="2020-10-14T00:00:00"/>
    <x v="18"/>
    <d v="2020-12-13T00:00:00"/>
    <s v="12-2020"/>
    <d v="2020-10-15T00:00:00"/>
    <s v="10-2020"/>
    <d v="2021-02-11T00:00:00"/>
    <s v="02-2021"/>
    <d v="2020-12-13T00:00:00"/>
    <s v="12-2020"/>
    <d v="2021-04-12T00:00:00"/>
    <s v="04-2021"/>
    <n v="12"/>
    <s v="2020"/>
    <m/>
  </r>
  <r>
    <x v="0"/>
    <s v="ZX135"/>
    <x v="1"/>
    <x v="14"/>
    <x v="1"/>
    <x v="1"/>
    <n v="1"/>
    <n v="105"/>
    <x v="23"/>
    <x v="1"/>
    <s v="2017-12-08 MN"/>
    <m/>
    <m/>
    <n v="6"/>
    <s v="2020"/>
    <m/>
    <m/>
    <m/>
    <m/>
    <m/>
    <m/>
    <x v="0"/>
    <d v="2020-06-14T00:00:00"/>
    <x v="8"/>
    <d v="2020-08-13T00:00:00"/>
    <s v="08-2020"/>
    <d v="2020-06-15T00:00:00"/>
    <s v="06-2020"/>
    <d v="2020-10-12T00:00:00"/>
    <s v="10-2020"/>
    <d v="2020-08-13T00:00:00"/>
    <s v="08-2020"/>
    <d v="2020-12-11T00:00:00"/>
    <s v="12-2020"/>
    <n v="8"/>
    <s v="2020"/>
    <m/>
  </r>
  <r>
    <x v="0"/>
    <s v="ZX135"/>
    <x v="1"/>
    <x v="14"/>
    <x v="1"/>
    <x v="1"/>
    <n v="1"/>
    <n v="105"/>
    <x v="23"/>
    <x v="1"/>
    <s v="2017-12-08 MN"/>
    <m/>
    <m/>
    <n v="6"/>
    <s v="2020"/>
    <m/>
    <m/>
    <m/>
    <m/>
    <m/>
    <m/>
    <x v="0"/>
    <d v="2020-06-14T00:00:00"/>
    <x v="8"/>
    <d v="2020-08-13T00:00:00"/>
    <s v="08-2020"/>
    <d v="2020-06-15T00:00:00"/>
    <s v="06-2020"/>
    <d v="2020-10-12T00:00:00"/>
    <s v="10-2020"/>
    <d v="2020-08-13T00:00:00"/>
    <s v="08-2020"/>
    <d v="2020-12-11T00:00:00"/>
    <s v="12-2020"/>
    <n v="8"/>
    <s v="2020"/>
    <m/>
  </r>
  <r>
    <x v="0"/>
    <s v="ZX135"/>
    <x v="1"/>
    <x v="14"/>
    <x v="1"/>
    <x v="1"/>
    <n v="1"/>
    <n v="105"/>
    <x v="28"/>
    <x v="1"/>
    <s v="2017-12-08 MN"/>
    <m/>
    <m/>
    <n v="10"/>
    <s v="2019"/>
    <m/>
    <m/>
    <m/>
    <m/>
    <m/>
    <m/>
    <x v="0"/>
    <d v="2019-10-15T00:00:00"/>
    <x v="26"/>
    <d v="2019-12-14T00:00:00"/>
    <s v="12-2019"/>
    <d v="2019-10-16T00:00:00"/>
    <s v="10-2019"/>
    <d v="2020-02-12T00:00:00"/>
    <s v="02-2020"/>
    <d v="2019-12-14T00:00:00"/>
    <s v="12-2019"/>
    <d v="2020-04-12T00:00:00"/>
    <s v="04-2020"/>
    <n v="12"/>
    <s v="2019"/>
    <m/>
  </r>
  <r>
    <x v="0"/>
    <s v="ZX135"/>
    <x v="1"/>
    <x v="14"/>
    <x v="1"/>
    <x v="1"/>
    <n v="1"/>
    <n v="105"/>
    <x v="5"/>
    <x v="1"/>
    <s v="2017-12-08 MN"/>
    <m/>
    <m/>
    <n v="6"/>
    <s v="2019"/>
    <m/>
    <m/>
    <m/>
    <m/>
    <m/>
    <m/>
    <x v="0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135"/>
    <x v="1"/>
    <x v="14"/>
    <x v="1"/>
    <x v="1"/>
    <n v="1"/>
    <n v="105"/>
    <x v="5"/>
    <x v="1"/>
    <s v="2017-12-08 MN"/>
    <m/>
    <m/>
    <n v="6"/>
    <s v="2019"/>
    <m/>
    <m/>
    <m/>
    <m/>
    <m/>
    <m/>
    <x v="0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85"/>
    <x v="2"/>
    <x v="2"/>
    <x v="1"/>
    <x v="1"/>
    <n v="1"/>
    <n v="64"/>
    <x v="14"/>
    <x v="1"/>
    <s v="2017-12-08 MN"/>
    <m/>
    <m/>
    <n v="10"/>
    <s v="2018"/>
    <m/>
    <m/>
    <m/>
    <m/>
    <m/>
    <m/>
    <x v="0"/>
    <d v="2018-10-15T00:00:00"/>
    <x v="13"/>
    <d v="2018-12-14T00:00:00"/>
    <s v="12-2018"/>
    <d v="2018-10-16T00:00:00"/>
    <s v="10-2018"/>
    <d v="2019-02-12T00:00:00"/>
    <s v="02-2019"/>
    <d v="2018-12-14T00:00:00"/>
    <s v="12-2018"/>
    <d v="2019-04-13T00:00:00"/>
    <s v="04-2019"/>
    <n v="12"/>
    <s v="2018"/>
    <m/>
  </r>
  <r>
    <x v="0"/>
    <s v="ZX135"/>
    <x v="1"/>
    <x v="14"/>
    <x v="1"/>
    <x v="1"/>
    <n v="1"/>
    <n v="105"/>
    <x v="14"/>
    <x v="1"/>
    <s v="2017-12-08 MN"/>
    <m/>
    <m/>
    <n v="10"/>
    <s v="2018"/>
    <m/>
    <m/>
    <m/>
    <m/>
    <m/>
    <m/>
    <x v="0"/>
    <d v="2018-10-15T00:00:00"/>
    <x v="13"/>
    <d v="2018-12-14T00:00:00"/>
    <s v="12-2018"/>
    <d v="2018-10-16T00:00:00"/>
    <s v="10-2018"/>
    <d v="2019-02-12T00:00:00"/>
    <s v="02-2019"/>
    <d v="2018-12-14T00:00:00"/>
    <s v="12-2018"/>
    <d v="2019-04-13T00:00:00"/>
    <s v="04-2019"/>
    <n v="12"/>
    <s v="2018"/>
    <m/>
  </r>
  <r>
    <x v="1"/>
    <s v="ZX19"/>
    <x v="4"/>
    <x v="4"/>
    <x v="1"/>
    <x v="1"/>
    <n v="1"/>
    <n v="18"/>
    <x v="13"/>
    <x v="1"/>
    <s v="2017-12-08 MN"/>
    <m/>
    <m/>
    <n v="11"/>
    <s v="2018"/>
    <m/>
    <m/>
    <m/>
    <m/>
    <m/>
    <m/>
    <x v="0"/>
    <d v="2018-11-15T00:00:00"/>
    <x v="12"/>
    <d v="2019-01-14T00:00:00"/>
    <s v="01-2019"/>
    <d v="2018-11-16T00:00:00"/>
    <s v="11-2018"/>
    <d v="2019-03-15T00:00:00"/>
    <s v="03-2019"/>
    <d v="2019-01-14T00:00:00"/>
    <s v="01-2019"/>
    <d v="2019-05-14T00:00:00"/>
    <s v="05-2019"/>
    <n v="1"/>
    <s v="2019"/>
    <m/>
  </r>
  <r>
    <x v="0"/>
    <s v="ZX135"/>
    <x v="1"/>
    <x v="1"/>
    <x v="1"/>
    <x v="1"/>
    <n v="1"/>
    <n v="105"/>
    <x v="17"/>
    <x v="1"/>
    <s v="2017-12-08 MN"/>
    <m/>
    <m/>
    <n v="12"/>
    <s v="2020"/>
    <m/>
    <m/>
    <m/>
    <m/>
    <m/>
    <m/>
    <x v="0"/>
    <d v="2020-12-14T00:00:00"/>
    <x v="16"/>
    <d v="2021-02-12T00:00:00"/>
    <s v="02-2021"/>
    <d v="2020-12-15T00:00:00"/>
    <s v="12-2020"/>
    <d v="2021-04-13T00:00:00"/>
    <s v="04-2021"/>
    <d v="2021-02-12T00:00:00"/>
    <s v="02-2021"/>
    <d v="2021-06-12T00:00:00"/>
    <s v="06-2021"/>
    <n v="2"/>
    <s v="2021"/>
    <m/>
  </r>
  <r>
    <x v="0"/>
    <s v="ZX135"/>
    <x v="1"/>
    <x v="1"/>
    <x v="1"/>
    <x v="1"/>
    <n v="1"/>
    <n v="105"/>
    <x v="21"/>
    <x v="1"/>
    <s v="2017-12-08 MN"/>
    <m/>
    <m/>
    <n v="8"/>
    <s v="2020"/>
    <m/>
    <m/>
    <m/>
    <m/>
    <m/>
    <m/>
    <x v="0"/>
    <d v="2020-08-14T00:00:00"/>
    <x v="20"/>
    <d v="2020-10-13T00:00:00"/>
    <s v="10-2020"/>
    <d v="2020-08-15T00:00:00"/>
    <s v="08-2020"/>
    <d v="2020-12-12T00:00:00"/>
    <s v="12-2020"/>
    <d v="2020-10-13T00:00:00"/>
    <s v="10-2020"/>
    <d v="2021-02-10T00:00:00"/>
    <s v="02-2021"/>
    <n v="10"/>
    <s v="2020"/>
    <m/>
  </r>
  <r>
    <x v="0"/>
    <s v="ZX135"/>
    <x v="1"/>
    <x v="1"/>
    <x v="1"/>
    <x v="1"/>
    <n v="1"/>
    <n v="105"/>
    <x v="25"/>
    <x v="1"/>
    <s v="2017-12-08 MN"/>
    <m/>
    <m/>
    <n v="4"/>
    <s v="2020"/>
    <m/>
    <m/>
    <m/>
    <m/>
    <m/>
    <m/>
    <x v="0"/>
    <d v="2020-04-14T00:00:00"/>
    <x v="23"/>
    <d v="2020-06-13T00:00:00"/>
    <s v="06-2020"/>
    <d v="2020-04-15T00:00:00"/>
    <s v="04-2020"/>
    <d v="2020-08-12T00:00:00"/>
    <s v="08-2020"/>
    <d v="2020-06-13T00:00:00"/>
    <s v="06-2020"/>
    <d v="2020-10-11T00:00:00"/>
    <s v="10-2020"/>
    <n v="6"/>
    <s v="2020"/>
    <m/>
  </r>
  <r>
    <x v="0"/>
    <s v="ZX135"/>
    <x v="1"/>
    <x v="1"/>
    <x v="1"/>
    <x v="1"/>
    <n v="1"/>
    <n v="105"/>
    <x v="26"/>
    <x v="1"/>
    <s v="2017-12-08 MN"/>
    <m/>
    <m/>
    <n v="12"/>
    <s v="2019"/>
    <m/>
    <m/>
    <m/>
    <m/>
    <m/>
    <m/>
    <x v="0"/>
    <d v="2019-12-15T00:00:00"/>
    <x v="24"/>
    <d v="2020-02-13T00:00:00"/>
    <s v="02-2020"/>
    <d v="2019-12-16T00:00:00"/>
    <s v="12-2019"/>
    <d v="2020-04-13T00:00:00"/>
    <s v="04-2020"/>
    <d v="2020-02-13T00:00:00"/>
    <s v="02-2020"/>
    <d v="2020-06-12T00:00:00"/>
    <s v="06-2020"/>
    <n v="2"/>
    <s v="2020"/>
    <m/>
  </r>
  <r>
    <x v="0"/>
    <s v="ZX135"/>
    <x v="1"/>
    <x v="1"/>
    <x v="1"/>
    <x v="1"/>
    <n v="1"/>
    <n v="105"/>
    <x v="30"/>
    <x v="1"/>
    <s v="2017-12-08 MN"/>
    <m/>
    <m/>
    <n v="8"/>
    <s v="2019"/>
    <m/>
    <m/>
    <m/>
    <m/>
    <m/>
    <m/>
    <x v="0"/>
    <d v="2019-08-15T00:00:00"/>
    <x v="28"/>
    <d v="2019-10-14T00:00:00"/>
    <s v="10-2019"/>
    <d v="2019-08-16T00:00:00"/>
    <s v="08-2019"/>
    <d v="2019-12-13T00:00:00"/>
    <s v="12-2019"/>
    <d v="2019-10-14T00:00:00"/>
    <s v="10-2019"/>
    <d v="2020-02-11T00:00:00"/>
    <s v="02-2020"/>
    <n v="10"/>
    <s v="2019"/>
    <m/>
  </r>
  <r>
    <x v="0"/>
    <s v="ZX135"/>
    <x v="1"/>
    <x v="1"/>
    <x v="1"/>
    <x v="1"/>
    <n v="1"/>
    <n v="105"/>
    <x v="33"/>
    <x v="1"/>
    <s v="2017-12-08 MN"/>
    <m/>
    <m/>
    <n v="4"/>
    <s v="2019"/>
    <m/>
    <m/>
    <m/>
    <m/>
    <m/>
    <m/>
    <x v="0"/>
    <d v="2019-04-15T00:00:00"/>
    <x v="31"/>
    <d v="2019-06-14T00:00:00"/>
    <s v="06-2019"/>
    <d v="2019-04-16T00:00:00"/>
    <s v="04-2019"/>
    <d v="2019-08-13T00:00:00"/>
    <s v="08-2019"/>
    <d v="2019-06-14T00:00:00"/>
    <s v="06-2019"/>
    <d v="2019-10-12T00:00:00"/>
    <s v="10-2019"/>
    <n v="6"/>
    <s v="2019"/>
    <m/>
  </r>
  <r>
    <x v="1"/>
    <s v="ZX26"/>
    <x v="3"/>
    <x v="11"/>
    <x v="1"/>
    <x v="1"/>
    <n v="1"/>
    <n v="22"/>
    <x v="13"/>
    <x v="1"/>
    <s v="2017-12-08 MN"/>
    <m/>
    <m/>
    <n v="11"/>
    <s v="2018"/>
    <m/>
    <m/>
    <m/>
    <m/>
    <m/>
    <m/>
    <x v="0"/>
    <d v="2018-11-15T00:00:00"/>
    <x v="12"/>
    <d v="2019-01-14T00:00:00"/>
    <s v="01-2019"/>
    <d v="2018-11-16T00:00:00"/>
    <s v="11-2018"/>
    <d v="2019-03-15T00:00:00"/>
    <s v="03-2019"/>
    <d v="2019-01-14T00:00:00"/>
    <s v="01-2019"/>
    <d v="2019-05-14T00:00:00"/>
    <s v="05-2019"/>
    <n v="1"/>
    <s v="2019"/>
    <m/>
  </r>
  <r>
    <x v="1"/>
    <s v="ZX26"/>
    <x v="3"/>
    <x v="3"/>
    <x v="1"/>
    <x v="1"/>
    <n v="1"/>
    <n v="22"/>
    <x v="13"/>
    <x v="1"/>
    <s v="2017-12-08 MN"/>
    <m/>
    <m/>
    <n v="11"/>
    <s v="2018"/>
    <m/>
    <m/>
    <m/>
    <m/>
    <m/>
    <m/>
    <x v="0"/>
    <d v="2018-11-15T00:00:00"/>
    <x v="12"/>
    <d v="2019-01-14T00:00:00"/>
    <s v="01-2019"/>
    <d v="2018-11-16T00:00:00"/>
    <s v="11-2018"/>
    <d v="2019-03-15T00:00:00"/>
    <s v="03-2019"/>
    <d v="2019-01-14T00:00:00"/>
    <s v="01-2019"/>
    <d v="2019-05-14T00:00:00"/>
    <s v="05-2019"/>
    <n v="1"/>
    <s v="2019"/>
    <m/>
  </r>
  <r>
    <x v="1"/>
    <s v="ZX65"/>
    <x v="8"/>
    <x v="13"/>
    <x v="1"/>
    <x v="1"/>
    <n v="1"/>
    <n v="45"/>
    <x v="13"/>
    <x v="1"/>
    <s v="2017-12-08 MN"/>
    <m/>
    <m/>
    <n v="11"/>
    <s v="2018"/>
    <m/>
    <m/>
    <m/>
    <m/>
    <m/>
    <m/>
    <x v="0"/>
    <d v="2018-11-15T00:00:00"/>
    <x v="12"/>
    <d v="2019-01-14T00:00:00"/>
    <s v="01-2019"/>
    <d v="2018-11-16T00:00:00"/>
    <s v="11-2018"/>
    <d v="2019-03-15T00:00:00"/>
    <s v="03-2019"/>
    <d v="2019-01-14T00:00:00"/>
    <s v="01-2019"/>
    <d v="2019-05-14T00:00:00"/>
    <s v="05-2019"/>
    <n v="1"/>
    <s v="2019"/>
    <m/>
  </r>
  <r>
    <x v="0"/>
    <s v="ZX210"/>
    <x v="0"/>
    <x v="0"/>
    <x v="1"/>
    <x v="1"/>
    <n v="1"/>
    <n v="118"/>
    <x v="18"/>
    <x v="1"/>
    <s v="2017-12-08 MN"/>
    <m/>
    <m/>
    <n v="11"/>
    <s v="2020"/>
    <m/>
    <m/>
    <m/>
    <m/>
    <m/>
    <m/>
    <x v="0"/>
    <d v="2020-11-14T00:00:00"/>
    <x v="17"/>
    <d v="2021-01-13T00:00:00"/>
    <s v="01-2021"/>
    <d v="2020-11-15T00:00:00"/>
    <s v="11-2020"/>
    <d v="2021-03-14T00:00:00"/>
    <s v="03-2021"/>
    <d v="2021-01-13T00:00:00"/>
    <s v="01-2021"/>
    <d v="2021-05-13T00:00:00"/>
    <s v="05-2021"/>
    <n v="1"/>
    <s v="2021"/>
    <m/>
  </r>
  <r>
    <x v="0"/>
    <s v="ZX210"/>
    <x v="0"/>
    <x v="0"/>
    <x v="1"/>
    <x v="1"/>
    <n v="1"/>
    <n v="118"/>
    <x v="35"/>
    <x v="1"/>
    <s v="2017-12-08 MN"/>
    <m/>
    <m/>
    <n v="6"/>
    <s v="2020"/>
    <m/>
    <m/>
    <m/>
    <m/>
    <m/>
    <m/>
    <x v="0"/>
    <d v="2020-06-30T00:00:00"/>
    <x v="8"/>
    <d v="2020-08-29T00:00:00"/>
    <s v="08-2020"/>
    <d v="2020-07-01T00:00:00"/>
    <s v="07-2020"/>
    <d v="2020-10-28T00:00:00"/>
    <s v="10-2020"/>
    <d v="2020-08-29T00:00:00"/>
    <s v="08-2020"/>
    <d v="2020-12-27T00:00:00"/>
    <s v="12-2020"/>
    <n v="8"/>
    <s v="2020"/>
    <m/>
  </r>
  <r>
    <x v="0"/>
    <s v="ZX210"/>
    <x v="0"/>
    <x v="0"/>
    <x v="1"/>
    <x v="1"/>
    <n v="1"/>
    <n v="118"/>
    <x v="25"/>
    <x v="1"/>
    <s v="2017-12-08 MN"/>
    <m/>
    <m/>
    <n v="4"/>
    <s v="2020"/>
    <m/>
    <m/>
    <m/>
    <m/>
    <m/>
    <m/>
    <x v="0"/>
    <d v="2020-04-14T00:00:00"/>
    <x v="23"/>
    <d v="2020-06-13T00:00:00"/>
    <s v="06-2020"/>
    <d v="2020-04-15T00:00:00"/>
    <s v="04-2020"/>
    <d v="2020-08-12T00:00:00"/>
    <s v="08-2020"/>
    <d v="2020-06-13T00:00:00"/>
    <s v="06-2020"/>
    <d v="2020-10-11T00:00:00"/>
    <s v="10-2020"/>
    <n v="6"/>
    <s v="2020"/>
    <m/>
  </r>
  <r>
    <x v="0"/>
    <s v="ZX210"/>
    <x v="0"/>
    <x v="0"/>
    <x v="1"/>
    <x v="1"/>
    <n v="1"/>
    <n v="118"/>
    <x v="27"/>
    <x v="1"/>
    <s v="2017-12-08 MN"/>
    <m/>
    <m/>
    <n v="11"/>
    <s v="2019"/>
    <m/>
    <m/>
    <m/>
    <m/>
    <m/>
    <m/>
    <x v="0"/>
    <d v="2019-11-15T00:00:00"/>
    <x v="25"/>
    <d v="2020-01-14T00:00:00"/>
    <s v="01-2020"/>
    <d v="2019-11-16T00:00:00"/>
    <s v="11-2019"/>
    <d v="2020-03-14T00:00:00"/>
    <s v="03-2020"/>
    <d v="2020-01-14T00:00:00"/>
    <s v="01-2020"/>
    <d v="2020-05-13T00:00:00"/>
    <s v="05-2020"/>
    <n v="1"/>
    <s v="2020"/>
    <m/>
  </r>
  <r>
    <x v="0"/>
    <s v="ZX210"/>
    <x v="0"/>
    <x v="0"/>
    <x v="1"/>
    <x v="1"/>
    <n v="1"/>
    <n v="118"/>
    <x v="36"/>
    <x v="1"/>
    <s v="2017-12-08 MN"/>
    <m/>
    <m/>
    <n v="7"/>
    <s v="2019"/>
    <m/>
    <m/>
    <m/>
    <m/>
    <m/>
    <m/>
    <x v="0"/>
    <d v="2019-07-01T00:00:00"/>
    <x v="29"/>
    <d v="2019-08-30T00:00:00"/>
    <s v="08-2019"/>
    <d v="2019-07-02T00:00:00"/>
    <s v="07-2019"/>
    <d v="2019-10-29T00:00:00"/>
    <s v="10-2019"/>
    <d v="2019-08-30T00:00:00"/>
    <s v="08-2019"/>
    <d v="2019-12-28T00:00:00"/>
    <s v="12-2019"/>
    <n v="8"/>
    <s v="2019"/>
    <m/>
  </r>
  <r>
    <x v="0"/>
    <s v="ZX210"/>
    <x v="0"/>
    <x v="0"/>
    <x v="1"/>
    <x v="1"/>
    <n v="1"/>
    <n v="118"/>
    <x v="33"/>
    <x v="1"/>
    <s v="2017-12-08 MN"/>
    <m/>
    <m/>
    <n v="4"/>
    <s v="2019"/>
    <m/>
    <m/>
    <m/>
    <m/>
    <m/>
    <m/>
    <x v="0"/>
    <d v="2019-04-15T00:00:00"/>
    <x v="31"/>
    <d v="2019-06-14T00:00:00"/>
    <s v="06-2019"/>
    <d v="2019-04-16T00:00:00"/>
    <s v="04-2019"/>
    <d v="2019-08-13T00:00:00"/>
    <s v="08-2019"/>
    <d v="2019-06-14T00:00:00"/>
    <s v="06-2019"/>
    <d v="2019-10-12T00:00:00"/>
    <s v="10-2019"/>
    <n v="6"/>
    <s v="2019"/>
    <m/>
  </r>
  <r>
    <x v="0"/>
    <s v="ZX85"/>
    <x v="2"/>
    <x v="2"/>
    <x v="1"/>
    <x v="1"/>
    <n v="1"/>
    <n v="64"/>
    <x v="13"/>
    <x v="1"/>
    <s v="2017-12-08 MN"/>
    <m/>
    <m/>
    <n v="11"/>
    <s v="2018"/>
    <m/>
    <m/>
    <m/>
    <m/>
    <m/>
    <m/>
    <x v="0"/>
    <d v="2018-11-15T00:00:00"/>
    <x v="12"/>
    <d v="2019-01-14T00:00:00"/>
    <s v="01-2019"/>
    <d v="2018-11-16T00:00:00"/>
    <s v="11-2018"/>
    <d v="2019-03-15T00:00:00"/>
    <s v="03-2019"/>
    <d v="2019-01-14T00:00:00"/>
    <s v="01-2019"/>
    <d v="2019-05-14T00:00:00"/>
    <s v="05-2019"/>
    <n v="1"/>
    <s v="2019"/>
    <m/>
  </r>
  <r>
    <x v="0"/>
    <s v="ZX210"/>
    <x v="0"/>
    <x v="0"/>
    <x v="1"/>
    <x v="1"/>
    <n v="1"/>
    <n v="118"/>
    <x v="13"/>
    <x v="1"/>
    <s v="2017-12-08 MN"/>
    <m/>
    <m/>
    <n v="11"/>
    <s v="2018"/>
    <m/>
    <m/>
    <m/>
    <m/>
    <m/>
    <m/>
    <x v="0"/>
    <d v="2018-11-15T00:00:00"/>
    <x v="12"/>
    <d v="2019-01-14T00:00:00"/>
    <s v="01-2019"/>
    <d v="2018-11-16T00:00:00"/>
    <s v="11-2018"/>
    <d v="2019-03-15T00:00:00"/>
    <s v="03-2019"/>
    <d v="2019-01-14T00:00:00"/>
    <s v="01-2019"/>
    <d v="2019-05-14T00:00:00"/>
    <s v="05-2019"/>
    <n v="1"/>
    <s v="2019"/>
    <m/>
  </r>
  <r>
    <x v="1"/>
    <s v="ZX19"/>
    <x v="4"/>
    <x v="4"/>
    <x v="1"/>
    <x v="1"/>
    <n v="1"/>
    <n v="18"/>
    <x v="37"/>
    <x v="1"/>
    <s v="2017-12-08 MN"/>
    <m/>
    <m/>
    <n v="12"/>
    <s v="2018"/>
    <m/>
    <m/>
    <m/>
    <m/>
    <m/>
    <m/>
    <x v="0"/>
    <d v="2018-12-15T00:00:00"/>
    <x v="32"/>
    <d v="2019-02-13T00:00:00"/>
    <s v="02-2019"/>
    <d v="2018-12-16T00:00:00"/>
    <s v="12-2018"/>
    <d v="2019-04-14T00:00:00"/>
    <s v="04-2019"/>
    <d v="2019-02-13T00:00:00"/>
    <s v="02-2019"/>
    <d v="2019-06-13T00:00:00"/>
    <s v="06-2019"/>
    <n v="2"/>
    <s v="2019"/>
    <m/>
  </r>
  <r>
    <x v="0"/>
    <s v="ZX225"/>
    <x v="12"/>
    <x v="12"/>
    <x v="1"/>
    <x v="1"/>
    <n v="1"/>
    <n v="128"/>
    <x v="22"/>
    <x v="1"/>
    <s v="2017-12-08 MN"/>
    <m/>
    <m/>
    <n v="7"/>
    <s v="2020"/>
    <m/>
    <m/>
    <m/>
    <m/>
    <m/>
    <m/>
    <x v="0"/>
    <d v="2020-07-14T00:00:00"/>
    <x v="21"/>
    <d v="2020-09-12T00:00:00"/>
    <s v="09-2020"/>
    <d v="2020-07-15T00:00:00"/>
    <s v="07-2020"/>
    <d v="2020-11-11T00:00:00"/>
    <s v="11-2020"/>
    <d v="2020-09-12T00:00:00"/>
    <s v="09-2020"/>
    <d v="2021-01-10T00:00:00"/>
    <s v="01-2021"/>
    <n v="9"/>
    <s v="2020"/>
    <m/>
  </r>
  <r>
    <x v="0"/>
    <s v="ZX225"/>
    <x v="12"/>
    <x v="12"/>
    <x v="1"/>
    <x v="1"/>
    <n v="1"/>
    <n v="128"/>
    <x v="24"/>
    <x v="1"/>
    <s v="2017-12-08 MN"/>
    <m/>
    <m/>
    <n v="5"/>
    <s v="2020"/>
    <m/>
    <m/>
    <m/>
    <m/>
    <m/>
    <m/>
    <x v="0"/>
    <d v="2020-05-14T00:00:00"/>
    <x v="22"/>
    <d v="2020-07-13T00:00:00"/>
    <s v="07-2020"/>
    <d v="2020-05-15T00:00:00"/>
    <s v="05-2020"/>
    <d v="2020-09-11T00:00:00"/>
    <s v="09-2020"/>
    <d v="2020-07-13T00:00:00"/>
    <s v="07-2020"/>
    <d v="2020-11-10T00:00:00"/>
    <s v="11-2020"/>
    <n v="7"/>
    <s v="2020"/>
    <m/>
  </r>
  <r>
    <x v="0"/>
    <s v="ZX225"/>
    <x v="12"/>
    <x v="12"/>
    <x v="1"/>
    <x v="1"/>
    <n v="1"/>
    <n v="128"/>
    <x v="31"/>
    <x v="1"/>
    <s v="2017-12-08 MN"/>
    <m/>
    <m/>
    <n v="7"/>
    <s v="2019"/>
    <m/>
    <m/>
    <m/>
    <m/>
    <m/>
    <m/>
    <x v="0"/>
    <d v="2019-07-15T00:00:00"/>
    <x v="29"/>
    <d v="2019-09-13T00:00:00"/>
    <s v="09-2019"/>
    <d v="2019-07-16T00:00:00"/>
    <s v="07-2019"/>
    <d v="2019-11-12T00:00:00"/>
    <s v="11-2019"/>
    <d v="2019-09-13T00:00:00"/>
    <s v="09-2019"/>
    <d v="2020-01-11T00:00:00"/>
    <s v="01-2020"/>
    <n v="9"/>
    <s v="2019"/>
    <m/>
  </r>
  <r>
    <x v="0"/>
    <s v="ZX225"/>
    <x v="12"/>
    <x v="12"/>
    <x v="1"/>
    <x v="1"/>
    <n v="1"/>
    <n v="128"/>
    <x v="32"/>
    <x v="1"/>
    <s v="2017-12-08 MN"/>
    <m/>
    <m/>
    <n v="5"/>
    <s v="2019"/>
    <m/>
    <m/>
    <m/>
    <m/>
    <m/>
    <m/>
    <x v="0"/>
    <d v="2019-05-15T00:00:00"/>
    <x v="30"/>
    <d v="2019-07-14T00:00:00"/>
    <s v="07-2019"/>
    <d v="2019-05-16T00:00:00"/>
    <s v="05-2019"/>
    <d v="2019-09-12T00:00:00"/>
    <s v="09-2019"/>
    <d v="2019-07-14T00:00:00"/>
    <s v="07-2019"/>
    <d v="2019-11-11T00:00:00"/>
    <s v="11-2019"/>
    <n v="7"/>
    <s v="2019"/>
    <m/>
  </r>
  <r>
    <x v="1"/>
    <s v="ZX26"/>
    <x v="3"/>
    <x v="3"/>
    <x v="1"/>
    <x v="1"/>
    <n v="1"/>
    <n v="22"/>
    <x v="37"/>
    <x v="1"/>
    <s v="2017-12-08 MN"/>
    <m/>
    <m/>
    <n v="12"/>
    <s v="2018"/>
    <m/>
    <m/>
    <m/>
    <m/>
    <m/>
    <m/>
    <x v="0"/>
    <d v="2018-12-15T00:00:00"/>
    <x v="32"/>
    <d v="2019-02-13T00:00:00"/>
    <s v="02-2019"/>
    <d v="2018-12-16T00:00:00"/>
    <s v="12-2018"/>
    <d v="2019-04-14T00:00:00"/>
    <s v="04-2019"/>
    <d v="2019-02-13T00:00:00"/>
    <s v="02-2019"/>
    <d v="2019-06-13T00:00:00"/>
    <s v="06-2019"/>
    <n v="2"/>
    <s v="2019"/>
    <m/>
  </r>
  <r>
    <x v="0"/>
    <s v="ZX85"/>
    <x v="2"/>
    <x v="2"/>
    <x v="1"/>
    <x v="1"/>
    <n v="1"/>
    <n v="64"/>
    <x v="37"/>
    <x v="1"/>
    <s v="2017-12-08 MN"/>
    <m/>
    <m/>
    <n v="12"/>
    <s v="2018"/>
    <m/>
    <m/>
    <m/>
    <m/>
    <m/>
    <m/>
    <x v="0"/>
    <d v="2018-12-15T00:00:00"/>
    <x v="32"/>
    <d v="2019-02-13T00:00:00"/>
    <s v="02-2019"/>
    <d v="2018-12-16T00:00:00"/>
    <s v="12-2018"/>
    <d v="2019-04-14T00:00:00"/>
    <s v="04-2019"/>
    <d v="2019-02-13T00:00:00"/>
    <s v="02-2019"/>
    <d v="2019-06-13T00:00:00"/>
    <s v="06-2019"/>
    <n v="2"/>
    <s v="2019"/>
    <m/>
  </r>
  <r>
    <x v="0"/>
    <s v="ZX225"/>
    <x v="12"/>
    <x v="15"/>
    <x v="1"/>
    <x v="1"/>
    <n v="1"/>
    <n v="128"/>
    <x v="20"/>
    <x v="1"/>
    <s v="2017-12-08 MN"/>
    <m/>
    <m/>
    <n v="9"/>
    <s v="2020"/>
    <m/>
    <m/>
    <m/>
    <m/>
    <m/>
    <m/>
    <x v="0"/>
    <d v="2020-09-14T00:00:00"/>
    <x v="19"/>
    <d v="2020-11-13T00:00:00"/>
    <s v="11-2020"/>
    <d v="2020-09-15T00:00:00"/>
    <s v="09-2020"/>
    <d v="2021-01-12T00:00:00"/>
    <s v="01-2021"/>
    <d v="2020-11-13T00:00:00"/>
    <s v="11-2020"/>
    <d v="2021-03-13T00:00:00"/>
    <s v="03-2021"/>
    <n v="11"/>
    <s v="2020"/>
    <m/>
  </r>
  <r>
    <x v="0"/>
    <s v="ZX225"/>
    <x v="12"/>
    <x v="15"/>
    <x v="1"/>
    <x v="1"/>
    <n v="1"/>
    <n v="128"/>
    <x v="29"/>
    <x v="1"/>
    <s v="2017-12-08 MN"/>
    <m/>
    <m/>
    <n v="9"/>
    <s v="2019"/>
    <m/>
    <m/>
    <m/>
    <m/>
    <m/>
    <m/>
    <x v="0"/>
    <d v="2019-09-15T00:00:00"/>
    <x v="27"/>
    <d v="2019-11-14T00:00:00"/>
    <s v="11-2019"/>
    <d v="2019-09-16T00:00:00"/>
    <s v="09-2019"/>
    <d v="2020-01-13T00:00:00"/>
    <s v="01-2020"/>
    <d v="2019-11-14T00:00:00"/>
    <s v="11-2019"/>
    <d v="2020-03-13T00:00:00"/>
    <s v="03-2020"/>
    <n v="11"/>
    <s v="2019"/>
    <m/>
  </r>
  <r>
    <x v="0"/>
    <s v="ZX85"/>
    <x v="2"/>
    <x v="2"/>
    <x v="1"/>
    <x v="1"/>
    <n v="1"/>
    <n v="64"/>
    <x v="37"/>
    <x v="1"/>
    <s v="2017-12-08 MN"/>
    <m/>
    <m/>
    <n v="12"/>
    <s v="2018"/>
    <m/>
    <m/>
    <m/>
    <m/>
    <m/>
    <m/>
    <x v="0"/>
    <d v="2018-12-15T00:00:00"/>
    <x v="32"/>
    <d v="2019-02-13T00:00:00"/>
    <s v="02-2019"/>
    <d v="2018-12-16T00:00:00"/>
    <s v="12-2018"/>
    <d v="2019-04-14T00:00:00"/>
    <s v="04-2019"/>
    <d v="2019-02-13T00:00:00"/>
    <s v="02-2019"/>
    <d v="2019-06-13T00:00:00"/>
    <s v="06-2019"/>
    <n v="2"/>
    <s v="2019"/>
    <m/>
  </r>
  <r>
    <x v="0"/>
    <s v="ZX225"/>
    <x v="12"/>
    <x v="15"/>
    <x v="1"/>
    <x v="1"/>
    <n v="2"/>
    <n v="256"/>
    <x v="20"/>
    <x v="1"/>
    <s v="2017-12-08 MN"/>
    <m/>
    <m/>
    <n v="9"/>
    <s v="2020"/>
    <m/>
    <m/>
    <m/>
    <m/>
    <m/>
    <m/>
    <x v="0"/>
    <d v="2020-09-14T00:00:00"/>
    <x v="19"/>
    <d v="2020-11-13T00:00:00"/>
    <s v="11-2020"/>
    <d v="2020-09-15T00:00:00"/>
    <s v="09-2020"/>
    <d v="2021-01-12T00:00:00"/>
    <s v="01-2021"/>
    <d v="2020-11-13T00:00:00"/>
    <s v="11-2020"/>
    <d v="2021-03-13T00:00:00"/>
    <s v="03-2021"/>
    <n v="11"/>
    <s v="2020"/>
    <m/>
  </r>
  <r>
    <x v="0"/>
    <s v="ZX225"/>
    <x v="12"/>
    <x v="15"/>
    <x v="1"/>
    <x v="1"/>
    <n v="2"/>
    <n v="256"/>
    <x v="29"/>
    <x v="1"/>
    <s v="2017-12-08 MN"/>
    <m/>
    <m/>
    <n v="9"/>
    <s v="2019"/>
    <m/>
    <m/>
    <m/>
    <m/>
    <m/>
    <m/>
    <x v="0"/>
    <d v="2019-09-15T00:00:00"/>
    <x v="27"/>
    <d v="2019-11-14T00:00:00"/>
    <s v="11-2019"/>
    <d v="2019-09-16T00:00:00"/>
    <s v="09-2019"/>
    <d v="2020-01-13T00:00:00"/>
    <s v="01-2020"/>
    <d v="2019-11-14T00:00:00"/>
    <s v="11-2019"/>
    <d v="2020-03-13T00:00:00"/>
    <s v="03-2020"/>
    <n v="11"/>
    <s v="2019"/>
    <m/>
  </r>
  <r>
    <x v="0"/>
    <s v="ZX135"/>
    <x v="1"/>
    <x v="1"/>
    <x v="1"/>
    <x v="1"/>
    <n v="1"/>
    <n v="105"/>
    <x v="37"/>
    <x v="1"/>
    <s v="2017-12-08 MN"/>
    <m/>
    <m/>
    <n v="12"/>
    <s v="2018"/>
    <m/>
    <m/>
    <m/>
    <m/>
    <m/>
    <m/>
    <x v="0"/>
    <d v="2018-12-15T00:00:00"/>
    <x v="32"/>
    <d v="2019-02-13T00:00:00"/>
    <s v="02-2019"/>
    <d v="2018-12-16T00:00:00"/>
    <s v="12-2018"/>
    <d v="2019-04-14T00:00:00"/>
    <s v="04-2019"/>
    <d v="2019-02-13T00:00:00"/>
    <s v="02-2019"/>
    <d v="2019-06-13T00:00:00"/>
    <s v="06-2019"/>
    <n v="2"/>
    <s v="2019"/>
    <m/>
  </r>
  <r>
    <x v="2"/>
    <s v="ZW95"/>
    <x v="13"/>
    <x v="16"/>
    <x v="2"/>
    <x v="2"/>
    <n v="1"/>
    <n v="75"/>
    <x v="0"/>
    <x v="0"/>
    <s v="2017-12-29 LIMA"/>
    <m/>
    <m/>
    <n v="1"/>
    <s v="2018"/>
    <m/>
    <m/>
    <m/>
    <m/>
    <m/>
    <m/>
    <x v="2"/>
    <d v="2018-01-15T00:00:00"/>
    <x v="0"/>
    <d v="2018-03-16T00:00:00"/>
    <s v="03-2018"/>
    <d v="2018-01-16T00:00:00"/>
    <s v="01-2018"/>
    <d v="2018-05-15T00:00:00"/>
    <s v="05-2018"/>
    <d v="2018-03-16T00:00:00"/>
    <s v="03-2018"/>
    <d v="2018-07-14T00:00:00"/>
    <s v="07-2018"/>
    <n v="3"/>
    <s v="2018"/>
    <m/>
  </r>
  <r>
    <x v="0"/>
    <s v="ZX85"/>
    <x v="2"/>
    <x v="2"/>
    <x v="2"/>
    <x v="2"/>
    <n v="1"/>
    <n v="64"/>
    <x v="0"/>
    <x v="0"/>
    <s v="2017-12-29 LIMA"/>
    <m/>
    <m/>
    <n v="1"/>
    <s v="2018"/>
    <m/>
    <m/>
    <m/>
    <m/>
    <m/>
    <m/>
    <x v="2"/>
    <d v="2018-01-15T00:00:00"/>
    <x v="0"/>
    <d v="2018-03-16T00:00:00"/>
    <s v="03-2018"/>
    <d v="2018-01-16T00:00:00"/>
    <s v="01-2018"/>
    <d v="2018-05-15T00:00:00"/>
    <s v="05-2018"/>
    <d v="2018-03-16T00:00:00"/>
    <s v="03-2018"/>
    <d v="2018-07-14T00:00:00"/>
    <s v="07-2018"/>
    <n v="3"/>
    <s v="2018"/>
    <m/>
  </r>
  <r>
    <x v="0"/>
    <s v="ZX65"/>
    <x v="8"/>
    <x v="17"/>
    <x v="2"/>
    <x v="2"/>
    <n v="1"/>
    <n v="47"/>
    <x v="2"/>
    <x v="0"/>
    <s v="2017-12-29 LIMA"/>
    <m/>
    <m/>
    <n v="3"/>
    <s v="2018"/>
    <m/>
    <m/>
    <m/>
    <m/>
    <m/>
    <m/>
    <x v="1"/>
    <d v="2018-03-15T00:00:00"/>
    <x v="2"/>
    <d v="2018-05-14T00:00:00"/>
    <s v="05-2018"/>
    <d v="2018-03-16T00:00:00"/>
    <s v="03-2018"/>
    <d v="2018-07-13T00:00:00"/>
    <s v="07-2018"/>
    <d v="2018-05-14T00:00:00"/>
    <s v="05-2018"/>
    <d v="2018-09-11T00:00:00"/>
    <s v="09-2018"/>
    <n v="5"/>
    <s v="2018"/>
    <m/>
  </r>
  <r>
    <x v="1"/>
    <s v="ZX55"/>
    <x v="7"/>
    <x v="18"/>
    <x v="2"/>
    <x v="2"/>
    <n v="1"/>
    <n v="43"/>
    <x v="16"/>
    <x v="0"/>
    <s v="2017-12-29 LIMA"/>
    <m/>
    <m/>
    <n v="7"/>
    <s v="2018"/>
    <m/>
    <m/>
    <m/>
    <m/>
    <m/>
    <m/>
    <x v="1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1"/>
    <s v="ZX26"/>
    <x v="3"/>
    <x v="11"/>
    <x v="2"/>
    <x v="2"/>
    <n v="1"/>
    <n v="23"/>
    <x v="16"/>
    <x v="0"/>
    <s v="2017-12-29 LIMA"/>
    <m/>
    <m/>
    <n v="7"/>
    <s v="2018"/>
    <m/>
    <m/>
    <m/>
    <m/>
    <m/>
    <m/>
    <x v="1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1"/>
    <s v="ZX26"/>
    <x v="3"/>
    <x v="11"/>
    <x v="2"/>
    <x v="2"/>
    <n v="1"/>
    <n v="23"/>
    <x v="0"/>
    <x v="0"/>
    <s v="2017-12-29 LIMA"/>
    <m/>
    <m/>
    <n v="1"/>
    <s v="2018"/>
    <m/>
    <m/>
    <m/>
    <m/>
    <m/>
    <m/>
    <x v="1"/>
    <d v="2018-01-15T00:00:00"/>
    <x v="0"/>
    <d v="2018-03-16T00:00:00"/>
    <s v="03-2018"/>
    <d v="2018-01-16T00:00:00"/>
    <s v="01-2018"/>
    <d v="2018-05-15T00:00:00"/>
    <s v="05-2018"/>
    <d v="2018-03-16T00:00:00"/>
    <s v="03-2018"/>
    <d v="2018-07-14T00:00:00"/>
    <s v="07-2018"/>
    <n v="3"/>
    <s v="2018"/>
    <m/>
  </r>
  <r>
    <x v="2"/>
    <s v="ZW180"/>
    <x v="10"/>
    <x v="19"/>
    <x v="3"/>
    <x v="3"/>
    <n v="1"/>
    <n v="0"/>
    <x v="38"/>
    <x v="2"/>
    <s v="2017-12-06 ADV"/>
    <m/>
    <d v="2017-04-28T00:00:00"/>
    <n v="8"/>
    <s v="2017"/>
    <s v="17040092"/>
    <n v="101896"/>
    <m/>
    <s v="1-04917-1 798"/>
    <s v="VENTE"/>
    <n v="4118"/>
    <x v="3"/>
    <d v="2017-08-15T00:00:00"/>
    <x v="33"/>
    <d v="2017-10-14T00:00:00"/>
    <s v="10-2017"/>
    <d v="2017-08-16T00:00:00"/>
    <s v="08-2017"/>
    <d v="2017-12-13T00:00:00"/>
    <s v="12-2017"/>
    <d v="2017-10-14T00:00:00"/>
    <s v="10-2017"/>
    <d v="2018-02-11T00:00:00"/>
    <s v="02-2018"/>
    <n v="10"/>
    <s v="2017"/>
    <m/>
  </r>
  <r>
    <x v="2"/>
    <s v="ZW310"/>
    <x v="14"/>
    <x v="20"/>
    <x v="3"/>
    <x v="3"/>
    <n v="1"/>
    <n v="0"/>
    <x v="4"/>
    <x v="2"/>
    <s v="2017-10 ADV"/>
    <m/>
    <d v="2017-07-28T00:00:00"/>
    <n v="11"/>
    <s v="2017"/>
    <s v="17070020"/>
    <n v="179279"/>
    <m/>
    <m/>
    <s v="VENTE"/>
    <n v="4173"/>
    <x v="4"/>
    <d v="2017-11-15T00:00:00"/>
    <x v="4"/>
    <d v="2018-01-14T00:00:00"/>
    <s v="01-2018"/>
    <d v="2017-11-16T00:00:00"/>
    <s v="11-2017"/>
    <d v="2018-03-15T00:00:00"/>
    <s v="03-2018"/>
    <d v="2018-01-14T00:00:00"/>
    <s v="01-2018"/>
    <d v="2018-05-14T00:00:00"/>
    <s v="05-2018"/>
    <n v="1"/>
    <s v="2018"/>
    <m/>
  </r>
  <r>
    <x v="0"/>
    <s v="ZX135"/>
    <x v="1"/>
    <x v="14"/>
    <x v="3"/>
    <x v="3"/>
    <n v="1"/>
    <n v="0"/>
    <x v="38"/>
    <x v="2"/>
    <s v="2017-10 ADV"/>
    <m/>
    <d v="2017-02-28T00:00:00"/>
    <n v="8"/>
    <s v="2017"/>
    <s v="17020004"/>
    <n v="105100"/>
    <m/>
    <s v="1-04628-1 821"/>
    <s v="VENTE"/>
    <n v="4188"/>
    <x v="5"/>
    <d v="2017-08-15T00:00:00"/>
    <x v="33"/>
    <d v="2017-10-14T00:00:00"/>
    <s v="10-2017"/>
    <d v="2017-08-16T00:00:00"/>
    <s v="08-2017"/>
    <d v="2017-12-13T00:00:00"/>
    <s v="12-2017"/>
    <d v="2017-10-14T00:00:00"/>
    <s v="10-2017"/>
    <d v="2018-02-11T00:00:00"/>
    <s v="02-2018"/>
    <n v="10"/>
    <s v="2017"/>
    <m/>
  </r>
  <r>
    <x v="0"/>
    <s v="ZX190"/>
    <x v="15"/>
    <x v="21"/>
    <x v="3"/>
    <x v="3"/>
    <n v="1"/>
    <n v="0"/>
    <x v="39"/>
    <x v="2"/>
    <s v="2017-05 Forecast"/>
    <m/>
    <m/>
    <n v="6"/>
    <s v="2017"/>
    <m/>
    <m/>
    <m/>
    <m/>
    <s v="VENTE"/>
    <m/>
    <x v="6"/>
    <d v="2017-06-15T00:00:00"/>
    <x v="34"/>
    <d v="2017-08-14T00:00:00"/>
    <s v="08-2017"/>
    <d v="2017-06-16T00:00:00"/>
    <s v="06-2017"/>
    <d v="2017-10-13T00:00:00"/>
    <s v="10-2017"/>
    <d v="2017-08-14T00:00:00"/>
    <s v="08-2017"/>
    <d v="2017-12-12T00:00:00"/>
    <s v="12-2017"/>
    <n v="8"/>
    <s v="2017"/>
    <m/>
  </r>
  <r>
    <x v="0"/>
    <s v="ZX225"/>
    <x v="12"/>
    <x v="12"/>
    <x v="3"/>
    <x v="3"/>
    <n v="1"/>
    <n v="0"/>
    <x v="40"/>
    <x v="2"/>
    <s v="2017-10 ADV"/>
    <m/>
    <d v="2017-06-15T00:00:00"/>
    <n v="9"/>
    <s v="2017"/>
    <m/>
    <m/>
    <m/>
    <m/>
    <s v="VENTE"/>
    <m/>
    <x v="7"/>
    <d v="2017-09-15T00:00:00"/>
    <x v="35"/>
    <d v="2017-11-14T00:00:00"/>
    <s v="11-2017"/>
    <d v="2017-09-16T00:00:00"/>
    <s v="09-2017"/>
    <d v="2018-01-13T00:00:00"/>
    <s v="01-2018"/>
    <d v="2017-11-14T00:00:00"/>
    <s v="11-2017"/>
    <d v="2018-03-14T00:00:00"/>
    <s v="03-2018"/>
    <n v="11"/>
    <s v="2017"/>
    <m/>
  </r>
  <r>
    <x v="1"/>
    <s v="ZX26"/>
    <x v="3"/>
    <x v="3"/>
    <x v="3"/>
    <x v="3"/>
    <n v="1"/>
    <n v="0"/>
    <x v="3"/>
    <x v="2"/>
    <s v="2017-12-06 ADV"/>
    <m/>
    <d v="2017-06-28T00:00:00"/>
    <n v="12"/>
    <s v="2017"/>
    <s v="17060075"/>
    <n v="20350"/>
    <m/>
    <s v="1-05216-1 1041"/>
    <s v="VENTE"/>
    <n v="4143"/>
    <x v="8"/>
    <d v="2017-12-15T00:00:00"/>
    <x v="3"/>
    <d v="2018-02-13T00:00:00"/>
    <s v="02-2018"/>
    <d v="2017-12-16T00:00:00"/>
    <s v="12-2017"/>
    <d v="2018-04-14T00:00:00"/>
    <s v="04-2018"/>
    <d v="2018-02-13T00:00:00"/>
    <s v="02-2018"/>
    <d v="2018-06-13T00:00:00"/>
    <s v="06-2018"/>
    <n v="2"/>
    <s v="2018"/>
    <m/>
  </r>
  <r>
    <x v="1"/>
    <s v="ZX33"/>
    <x v="16"/>
    <x v="22"/>
    <x v="3"/>
    <x v="3"/>
    <n v="1"/>
    <n v="0"/>
    <x v="40"/>
    <x v="2"/>
    <s v="2017-10 ADV"/>
    <m/>
    <d v="2017-03-28T00:00:00"/>
    <n v="9"/>
    <s v="2017"/>
    <s v="17030057"/>
    <n v="29000"/>
    <s v="à financer"/>
    <s v="1-04906-1 792"/>
    <s v="VENTE"/>
    <n v="4094"/>
    <x v="9"/>
    <d v="2017-09-15T00:00:00"/>
    <x v="35"/>
    <d v="2017-11-14T00:00:00"/>
    <s v="11-2017"/>
    <d v="2017-09-16T00:00:00"/>
    <s v="09-2017"/>
    <d v="2018-01-13T00:00:00"/>
    <s v="01-2018"/>
    <d v="2017-11-14T00:00:00"/>
    <s v="11-2017"/>
    <d v="2018-03-14T00:00:00"/>
    <s v="03-2018"/>
    <n v="11"/>
    <s v="2017"/>
    <m/>
  </r>
  <r>
    <x v="1"/>
    <s v="ZX65"/>
    <x v="8"/>
    <x v="23"/>
    <x v="3"/>
    <x v="3"/>
    <n v="1"/>
    <n v="0"/>
    <x v="41"/>
    <x v="2"/>
    <s v="2017-10 ADV"/>
    <s v="REGULARISER STE SUR REGIE (setp)"/>
    <d v="2017-08-28T00:00:00"/>
    <n v="10"/>
    <s v="2017"/>
    <s v="16080003"/>
    <m/>
    <m/>
    <m/>
    <s v="VENTE"/>
    <n v="3959"/>
    <x v="10"/>
    <d v="2017-10-15T00:00:00"/>
    <x v="36"/>
    <d v="2017-12-14T00:00:00"/>
    <s v="12-2017"/>
    <d v="2017-10-16T00:00:00"/>
    <s v="10-2017"/>
    <d v="2018-02-12T00:00:00"/>
    <s v="02-2018"/>
    <d v="2017-12-14T00:00:00"/>
    <s v="12-2017"/>
    <d v="2018-04-13T00:00:00"/>
    <s v="04-2018"/>
    <n v="12"/>
    <s v="2017"/>
    <m/>
  </r>
  <r>
    <x v="0"/>
    <s v="ZX85"/>
    <x v="2"/>
    <x v="2"/>
    <x v="3"/>
    <x v="3"/>
    <n v="1"/>
    <n v="0"/>
    <x v="41"/>
    <x v="2"/>
    <s v="2017-10 ADV"/>
    <m/>
    <d v="2017-03-28T00:00:00"/>
    <n v="10"/>
    <s v="2017"/>
    <s v="17030033"/>
    <n v="52800"/>
    <m/>
    <m/>
    <s v="VENTE"/>
    <n v="4086"/>
    <x v="11"/>
    <d v="2017-10-15T00:00:00"/>
    <x v="36"/>
    <d v="2017-12-14T00:00:00"/>
    <s v="12-2017"/>
    <d v="2017-10-16T00:00:00"/>
    <s v="10-2017"/>
    <d v="2018-02-12T00:00:00"/>
    <s v="02-2018"/>
    <d v="2017-12-14T00:00:00"/>
    <s v="12-2017"/>
    <d v="2018-04-13T00:00:00"/>
    <s v="04-2018"/>
    <n v="12"/>
    <s v="2017"/>
    <m/>
  </r>
  <r>
    <x v="0"/>
    <s v="ZX85"/>
    <x v="2"/>
    <x v="2"/>
    <x v="3"/>
    <x v="3"/>
    <n v="1"/>
    <n v="0"/>
    <x v="40"/>
    <x v="2"/>
    <s v="2017-10 ADV"/>
    <m/>
    <d v="2017-08-28T00:00:00"/>
    <n v="9"/>
    <s v="2017"/>
    <s v="17080105"/>
    <n v="56981"/>
    <m/>
    <m/>
    <s v="VENTE"/>
    <n v="4183"/>
    <x v="12"/>
    <d v="2017-09-15T00:00:00"/>
    <x v="35"/>
    <d v="2017-11-14T00:00:00"/>
    <s v="11-2017"/>
    <d v="2017-09-16T00:00:00"/>
    <s v="09-2017"/>
    <d v="2018-01-13T00:00:00"/>
    <s v="01-2018"/>
    <d v="2017-11-14T00:00:00"/>
    <s v="11-2017"/>
    <d v="2018-03-14T00:00:00"/>
    <s v="03-2018"/>
    <n v="11"/>
    <s v="2017"/>
    <m/>
  </r>
  <r>
    <x v="0"/>
    <s v="ZX85"/>
    <x v="2"/>
    <x v="2"/>
    <x v="3"/>
    <x v="3"/>
    <n v="1"/>
    <n v="0"/>
    <x v="38"/>
    <x v="2"/>
    <s v="2017-10 ADV"/>
    <m/>
    <d v="2017-04-28T00:00:00"/>
    <n v="8"/>
    <s v="2017"/>
    <s v="17040042"/>
    <n v="56981"/>
    <m/>
    <s v="1-05115-1 820"/>
    <s v="VENTE"/>
    <n v="4112"/>
    <x v="13"/>
    <d v="2017-08-15T00:00:00"/>
    <x v="33"/>
    <d v="2017-10-14T00:00:00"/>
    <s v="10-2017"/>
    <d v="2017-08-16T00:00:00"/>
    <s v="08-2017"/>
    <d v="2017-12-13T00:00:00"/>
    <s v="12-2017"/>
    <d v="2017-10-14T00:00:00"/>
    <s v="10-2017"/>
    <d v="2018-02-11T00:00:00"/>
    <s v="02-2018"/>
    <n v="10"/>
    <s v="2017"/>
    <m/>
  </r>
  <r>
    <x v="0"/>
    <s v="ZX85"/>
    <x v="2"/>
    <x v="2"/>
    <x v="3"/>
    <x v="3"/>
    <n v="1"/>
    <n v="0"/>
    <x v="42"/>
    <x v="2"/>
    <s v="2017-10 ADV"/>
    <m/>
    <d v="2017-04-28T00:00:00"/>
    <n v="7"/>
    <s v="2017"/>
    <s v="17040041"/>
    <n v="56981"/>
    <m/>
    <s v="1-05114-1"/>
    <s v="VENTE"/>
    <n v="4111"/>
    <x v="14"/>
    <d v="2017-07-15T00:00:00"/>
    <x v="37"/>
    <d v="2017-09-13T00:00:00"/>
    <s v="09-2017"/>
    <d v="2017-07-16T00:00:00"/>
    <s v="07-2017"/>
    <d v="2017-11-12T00:00:00"/>
    <s v="11-2017"/>
    <d v="2017-09-13T00:00:00"/>
    <s v="09-2017"/>
    <d v="2018-01-11T00:00:00"/>
    <s v="01-2018"/>
    <n v="9"/>
    <s v="2017"/>
    <m/>
  </r>
  <r>
    <x v="1"/>
    <s v="ZX26"/>
    <x v="3"/>
    <x v="11"/>
    <x v="3"/>
    <x v="4"/>
    <n v="1"/>
    <n v="0"/>
    <x v="41"/>
    <x v="2"/>
    <s v="2017-12-06 ADV"/>
    <s v="livrée directement à Lezignan"/>
    <d v="2017-06-28T00:00:00"/>
    <n v="10"/>
    <s v="2017"/>
    <s v="17060095"/>
    <n v="22700"/>
    <m/>
    <s v="1-04964-1 794"/>
    <s v="VENTE"/>
    <n v="4148"/>
    <x v="15"/>
    <d v="2017-10-15T00:00:00"/>
    <x v="36"/>
    <d v="2017-12-14T00:00:00"/>
    <s v="12-2017"/>
    <d v="2017-10-16T00:00:00"/>
    <s v="10-2017"/>
    <d v="2018-02-12T00:00:00"/>
    <s v="02-2018"/>
    <d v="2017-12-14T00:00:00"/>
    <s v="12-2017"/>
    <d v="2018-04-13T00:00:00"/>
    <s v="04-2018"/>
    <n v="12"/>
    <s v="2017"/>
    <m/>
  </r>
  <r>
    <x v="0"/>
    <s v="ZX300"/>
    <x v="11"/>
    <x v="24"/>
    <x v="3"/>
    <x v="5"/>
    <n v="1"/>
    <n v="0"/>
    <x v="39"/>
    <x v="2"/>
    <s v="2017-10 ADV"/>
    <m/>
    <d v="2017-03-01T00:00:00"/>
    <n v="6"/>
    <s v="2017"/>
    <m/>
    <m/>
    <m/>
    <m/>
    <m/>
    <m/>
    <x v="0"/>
    <d v="2017-06-15T00:00:00"/>
    <x v="34"/>
    <d v="2017-08-14T00:00:00"/>
    <s v="08-2017"/>
    <d v="2017-06-16T00:00:00"/>
    <s v="06-2017"/>
    <d v="2017-10-13T00:00:00"/>
    <s v="10-2017"/>
    <d v="2017-08-14T00:00:00"/>
    <s v="08-2017"/>
    <d v="2017-12-12T00:00:00"/>
    <s v="12-2017"/>
    <n v="8"/>
    <s v="2017"/>
    <m/>
  </r>
  <r>
    <x v="1"/>
    <s v="ZX19"/>
    <x v="4"/>
    <x v="4"/>
    <x v="3"/>
    <x v="3"/>
    <n v="1"/>
    <n v="18"/>
    <x v="2"/>
    <x v="0"/>
    <s v="2017-12-06 ADV"/>
    <m/>
    <d v="2017-10-28T00:00:00"/>
    <n v="3"/>
    <s v="2018"/>
    <s v="17100087"/>
    <n v="16198"/>
    <m/>
    <m/>
    <s v="STOCK"/>
    <n v="4235"/>
    <x v="1"/>
    <d v="2018-03-15T00:00:00"/>
    <x v="2"/>
    <d v="2018-05-14T00:00:00"/>
    <s v="05-2018"/>
    <d v="2018-03-16T00:00:00"/>
    <s v="03-2018"/>
    <d v="2018-07-13T00:00:00"/>
    <s v="07-2018"/>
    <d v="2018-05-14T00:00:00"/>
    <s v="05-2018"/>
    <d v="2018-09-11T00:00:00"/>
    <s v="09-2018"/>
    <n v="5"/>
    <s v="2018"/>
    <m/>
  </r>
  <r>
    <x v="1"/>
    <s v="ZX19"/>
    <x v="4"/>
    <x v="4"/>
    <x v="3"/>
    <x v="3"/>
    <n v="1"/>
    <n v="18"/>
    <x v="1"/>
    <x v="0"/>
    <s v="2017-12-06 ADV"/>
    <m/>
    <d v="2017-10-28T00:00:00"/>
    <n v="4"/>
    <s v="2018"/>
    <s v="17100086"/>
    <n v="16198"/>
    <m/>
    <m/>
    <s v="STOCK"/>
    <n v="4234"/>
    <x v="1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1"/>
    <s v="ZX26"/>
    <x v="3"/>
    <x v="3"/>
    <x v="3"/>
    <x v="3"/>
    <n v="1"/>
    <n v="22"/>
    <x v="0"/>
    <x v="0"/>
    <s v="2017-12-06 ADV"/>
    <m/>
    <d v="2017-06-28T00:00:00"/>
    <n v="1"/>
    <s v="2018"/>
    <s v="17060093"/>
    <n v="20350"/>
    <m/>
    <m/>
    <s v="VENTE"/>
    <n v="4146"/>
    <x v="8"/>
    <d v="2018-01-15T00:00:00"/>
    <x v="0"/>
    <d v="2018-03-16T00:00:00"/>
    <s v="03-2018"/>
    <d v="2018-01-16T00:00:00"/>
    <s v="01-2018"/>
    <d v="2018-05-15T00:00:00"/>
    <s v="05-2018"/>
    <d v="2018-03-16T00:00:00"/>
    <s v="03-2018"/>
    <d v="2018-07-14T00:00:00"/>
    <s v="07-2018"/>
    <n v="3"/>
    <s v="2018"/>
    <m/>
  </r>
  <r>
    <x v="1"/>
    <s v="ZX26"/>
    <x v="3"/>
    <x v="3"/>
    <x v="3"/>
    <x v="3"/>
    <n v="1"/>
    <n v="22"/>
    <x v="12"/>
    <x v="0"/>
    <s v="2017-12-06 ADV"/>
    <m/>
    <d v="2017-07-28T00:00:00"/>
    <n v="2"/>
    <s v="2018"/>
    <s v="17070049"/>
    <n v="20350"/>
    <m/>
    <m/>
    <s v="STOCK"/>
    <n v="4175"/>
    <x v="1"/>
    <d v="2018-02-15T00:00:00"/>
    <x v="11"/>
    <d v="2018-04-16T00:00:00"/>
    <s v="04-2018"/>
    <d v="2018-02-16T00:00:00"/>
    <s v="02-2018"/>
    <d v="2018-06-15T00:00:00"/>
    <s v="06-2018"/>
    <d v="2018-04-16T00:00:00"/>
    <s v="04-2018"/>
    <d v="2018-08-14T00:00:00"/>
    <s v="08-2018"/>
    <n v="4"/>
    <s v="2018"/>
    <m/>
  </r>
  <r>
    <x v="1"/>
    <s v="ZX26"/>
    <x v="3"/>
    <x v="3"/>
    <x v="3"/>
    <x v="3"/>
    <n v="1"/>
    <n v="22"/>
    <x v="12"/>
    <x v="0"/>
    <s v="2017-12-06 ADV"/>
    <m/>
    <d v="2017-07-28T00:00:00"/>
    <n v="2"/>
    <s v="2018"/>
    <s v="17070050"/>
    <n v="20350"/>
    <m/>
    <m/>
    <s v="STOCK"/>
    <n v="4176"/>
    <x v="16"/>
    <d v="2018-02-15T00:00:00"/>
    <x v="11"/>
    <d v="2018-04-16T00:00:00"/>
    <s v="04-2018"/>
    <d v="2018-02-16T00:00:00"/>
    <s v="02-2018"/>
    <d v="2018-06-15T00:00:00"/>
    <s v="06-2018"/>
    <d v="2018-04-16T00:00:00"/>
    <s v="04-2018"/>
    <d v="2018-08-14T00:00:00"/>
    <s v="08-2018"/>
    <n v="4"/>
    <s v="2018"/>
    <m/>
  </r>
  <r>
    <x v="1"/>
    <s v="ZX26"/>
    <x v="3"/>
    <x v="3"/>
    <x v="3"/>
    <x v="3"/>
    <n v="1"/>
    <n v="22"/>
    <x v="12"/>
    <x v="0"/>
    <s v="2017-12-06 ADV"/>
    <m/>
    <d v="2017-07-28T00:00:00"/>
    <n v="2"/>
    <s v="2018"/>
    <s v="17070051"/>
    <n v="20350"/>
    <m/>
    <m/>
    <s v="STOCK"/>
    <n v="4177"/>
    <x v="16"/>
    <d v="2018-02-15T00:00:00"/>
    <x v="11"/>
    <d v="2018-04-16T00:00:00"/>
    <s v="04-2018"/>
    <d v="2018-02-16T00:00:00"/>
    <s v="02-2018"/>
    <d v="2018-06-15T00:00:00"/>
    <s v="06-2018"/>
    <d v="2018-04-16T00:00:00"/>
    <s v="04-2018"/>
    <d v="2018-08-14T00:00:00"/>
    <s v="08-2018"/>
    <n v="4"/>
    <s v="2018"/>
    <m/>
  </r>
  <r>
    <x v="2"/>
    <s v="ZW75"/>
    <x v="17"/>
    <x v="25"/>
    <x v="3"/>
    <x v="3"/>
    <n v="1"/>
    <n v="0"/>
    <x v="3"/>
    <x v="0"/>
    <s v="2017-12-06 ADV"/>
    <m/>
    <d v="2017-11-28T00:00:00"/>
    <n v="12"/>
    <s v="2017"/>
    <s v="17110004"/>
    <n v="38070"/>
    <m/>
    <m/>
    <s v="STOCK"/>
    <n v="4244"/>
    <x v="1"/>
    <d v="2017-12-15T00:00:00"/>
    <x v="3"/>
    <d v="2018-02-13T00:00:00"/>
    <s v="02-2018"/>
    <d v="2017-12-16T00:00:00"/>
    <s v="12-2017"/>
    <d v="2018-04-14T00:00:00"/>
    <s v="04-2018"/>
    <d v="2018-02-13T00:00:00"/>
    <s v="02-2018"/>
    <d v="2018-06-13T00:00:00"/>
    <s v="06-2018"/>
    <n v="2"/>
    <s v="2018"/>
    <m/>
  </r>
  <r>
    <x v="1"/>
    <s v="ZX65"/>
    <x v="8"/>
    <x v="13"/>
    <x v="3"/>
    <x v="3"/>
    <n v="1"/>
    <n v="0"/>
    <x v="3"/>
    <x v="0"/>
    <s v="2017-12-06 ADV"/>
    <s v="à donner à XMTP - délai décalé"/>
    <d v="2017-06-28T00:00:00"/>
    <n v="12"/>
    <s v="2017"/>
    <s v="17060097"/>
    <n v="45000"/>
    <m/>
    <s v="1-05174-1     1042"/>
    <s v="STOCK"/>
    <n v="4150"/>
    <x v="1"/>
    <d v="2017-12-15T00:00:00"/>
    <x v="3"/>
    <d v="2018-02-13T00:00:00"/>
    <s v="02-2018"/>
    <d v="2017-12-16T00:00:00"/>
    <s v="12-2017"/>
    <d v="2018-04-14T00:00:00"/>
    <s v="04-2018"/>
    <d v="2018-02-13T00:00:00"/>
    <s v="02-2018"/>
    <d v="2018-06-13T00:00:00"/>
    <s v="06-2018"/>
    <n v="2"/>
    <s v="2018"/>
    <m/>
  </r>
  <r>
    <x v="1"/>
    <s v="ZX26"/>
    <x v="3"/>
    <x v="3"/>
    <x v="3"/>
    <x v="3"/>
    <n v="1"/>
    <n v="22"/>
    <x v="12"/>
    <x v="0"/>
    <s v="2017-12-06 ADV"/>
    <m/>
    <d v="2017-07-28T00:00:00"/>
    <n v="2"/>
    <s v="2018"/>
    <s v="17070005"/>
    <n v="20350"/>
    <m/>
    <m/>
    <s v="VENTE"/>
    <n v="4167"/>
    <x v="8"/>
    <d v="2018-02-15T00:00:00"/>
    <x v="11"/>
    <d v="2018-04-16T00:00:00"/>
    <s v="04-2018"/>
    <d v="2018-02-16T00:00:00"/>
    <s v="02-2018"/>
    <d v="2018-06-15T00:00:00"/>
    <s v="06-2018"/>
    <d v="2018-04-16T00:00:00"/>
    <s v="04-2018"/>
    <d v="2018-08-14T00:00:00"/>
    <s v="08-2018"/>
    <n v="4"/>
    <s v="2018"/>
    <m/>
  </r>
  <r>
    <x v="1"/>
    <s v="ZX26"/>
    <x v="3"/>
    <x v="11"/>
    <x v="3"/>
    <x v="3"/>
    <n v="1"/>
    <n v="22"/>
    <x v="2"/>
    <x v="0"/>
    <s v="2017-12-06 ADV"/>
    <m/>
    <d v="2017-10-28T00:00:00"/>
    <n v="3"/>
    <s v="2018"/>
    <s v="17100088"/>
    <n v="23608"/>
    <m/>
    <m/>
    <s v="VENTE"/>
    <n v="4236"/>
    <x v="8"/>
    <d v="2018-03-15T00:00:00"/>
    <x v="2"/>
    <d v="2018-05-14T00:00:00"/>
    <s v="05-2018"/>
    <d v="2018-03-16T00:00:00"/>
    <s v="03-2018"/>
    <d v="2018-07-13T00:00:00"/>
    <s v="07-2018"/>
    <d v="2018-05-14T00:00:00"/>
    <s v="05-2018"/>
    <d v="2018-09-11T00:00:00"/>
    <s v="09-2018"/>
    <n v="5"/>
    <s v="2018"/>
    <m/>
  </r>
  <r>
    <x v="1"/>
    <s v="ZX26"/>
    <x v="3"/>
    <x v="11"/>
    <x v="3"/>
    <x v="3"/>
    <n v="1"/>
    <n v="22"/>
    <x v="16"/>
    <x v="0"/>
    <s v="2017-12-06 ADV"/>
    <m/>
    <d v="2017-11-15T00:00:00"/>
    <n v="7"/>
    <s v="2018"/>
    <s v="17110137"/>
    <n v="23608"/>
    <m/>
    <m/>
    <s v="VENTE"/>
    <n v="4260"/>
    <x v="1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1"/>
    <s v="ZX26"/>
    <x v="3"/>
    <x v="11"/>
    <x v="3"/>
    <x v="3"/>
    <n v="1"/>
    <n v="22"/>
    <x v="7"/>
    <x v="0"/>
    <s v="2017-12-06 ADV"/>
    <m/>
    <d v="2017-11-15T00:00:00"/>
    <n v="6"/>
    <s v="2018"/>
    <n v="17110136"/>
    <n v="23608"/>
    <m/>
    <m/>
    <s v="VENTE"/>
    <n v="4259"/>
    <x v="17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1"/>
    <s v="ZX26"/>
    <x v="3"/>
    <x v="11"/>
    <x v="3"/>
    <x v="4"/>
    <n v="1"/>
    <n v="22"/>
    <x v="7"/>
    <x v="0"/>
    <s v="2017-12-06 ADV"/>
    <s v="livrée directement à Lezignan"/>
    <d v="2017-10-28T00:00:00"/>
    <n v="6"/>
    <s v="2018"/>
    <s v="17100013"/>
    <m/>
    <m/>
    <m/>
    <s v="VENTE"/>
    <n v="4242"/>
    <x v="18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1"/>
    <s v="ZX26"/>
    <x v="3"/>
    <x v="3"/>
    <x v="3"/>
    <x v="3"/>
    <n v="1"/>
    <n v="22"/>
    <x v="12"/>
    <x v="0"/>
    <s v="2017-12-06 ADV"/>
    <m/>
    <d v="2017-07-28T00:00:00"/>
    <n v="2"/>
    <s v="2018"/>
    <s v="17070004"/>
    <n v="20350"/>
    <m/>
    <m/>
    <s v="VENTE"/>
    <n v="4166"/>
    <x v="6"/>
    <d v="2018-02-15T00:00:00"/>
    <x v="11"/>
    <d v="2018-04-16T00:00:00"/>
    <s v="04-2018"/>
    <d v="2018-02-16T00:00:00"/>
    <s v="02-2018"/>
    <d v="2018-06-15T00:00:00"/>
    <s v="06-2018"/>
    <d v="2018-04-16T00:00:00"/>
    <s v="04-2018"/>
    <d v="2018-08-14T00:00:00"/>
    <s v="08-2018"/>
    <n v="4"/>
    <s v="2018"/>
    <m/>
  </r>
  <r>
    <x v="1"/>
    <s v="ZX33"/>
    <x v="16"/>
    <x v="22"/>
    <x v="3"/>
    <x v="3"/>
    <n v="1"/>
    <n v="32"/>
    <x v="12"/>
    <x v="0"/>
    <s v="2017-12-06 ADV"/>
    <m/>
    <d v="2017-10-28T00:00:00"/>
    <n v="2"/>
    <s v="2018"/>
    <s v="17100089"/>
    <n v="32431"/>
    <m/>
    <m/>
    <s v="STOCK"/>
    <n v="4237"/>
    <x v="1"/>
    <d v="2018-02-15T00:00:00"/>
    <x v="11"/>
    <d v="2018-04-16T00:00:00"/>
    <s v="04-2018"/>
    <d v="2018-02-16T00:00:00"/>
    <s v="02-2018"/>
    <d v="2018-06-15T00:00:00"/>
    <s v="06-2018"/>
    <d v="2018-04-16T00:00:00"/>
    <s v="04-2018"/>
    <d v="2018-08-14T00:00:00"/>
    <s v="08-2018"/>
    <n v="4"/>
    <s v="2018"/>
    <m/>
  </r>
  <r>
    <x v="1"/>
    <s v="ZX33"/>
    <x v="16"/>
    <x v="22"/>
    <x v="3"/>
    <x v="3"/>
    <n v="1"/>
    <n v="32"/>
    <x v="2"/>
    <x v="0"/>
    <s v="2017-12-06 ADV"/>
    <m/>
    <d v="2017-10-28T00:00:00"/>
    <n v="3"/>
    <s v="2018"/>
    <s v="17100090"/>
    <n v="32431"/>
    <m/>
    <m/>
    <s v="STOCK"/>
    <n v="4238"/>
    <x v="1"/>
    <d v="2018-03-15T00:00:00"/>
    <x v="2"/>
    <d v="2018-05-14T00:00:00"/>
    <s v="05-2018"/>
    <d v="2018-03-16T00:00:00"/>
    <s v="03-2018"/>
    <d v="2018-07-13T00:00:00"/>
    <s v="07-2018"/>
    <d v="2018-05-14T00:00:00"/>
    <s v="05-2018"/>
    <d v="2018-09-11T00:00:00"/>
    <s v="09-2018"/>
    <n v="5"/>
    <s v="2018"/>
    <m/>
  </r>
  <r>
    <x v="1"/>
    <s v="ZX48"/>
    <x v="9"/>
    <x v="26"/>
    <x v="3"/>
    <x v="3"/>
    <n v="1"/>
    <n v="41"/>
    <x v="2"/>
    <x v="0"/>
    <s v="2017-12-06 ADV"/>
    <m/>
    <d v="2017-10-28T00:00:00"/>
    <n v="3"/>
    <s v="2018"/>
    <s v="17100091"/>
    <n v="42459"/>
    <m/>
    <m/>
    <s v="STOCK"/>
    <n v="4239"/>
    <x v="1"/>
    <d v="2018-03-15T00:00:00"/>
    <x v="2"/>
    <d v="2018-05-14T00:00:00"/>
    <s v="05-2018"/>
    <d v="2018-03-16T00:00:00"/>
    <s v="03-2018"/>
    <d v="2018-07-13T00:00:00"/>
    <s v="07-2018"/>
    <d v="2018-05-14T00:00:00"/>
    <s v="05-2018"/>
    <d v="2018-09-11T00:00:00"/>
    <s v="09-2018"/>
    <n v="5"/>
    <s v="2018"/>
    <m/>
  </r>
  <r>
    <x v="1"/>
    <s v="ZX48"/>
    <x v="9"/>
    <x v="26"/>
    <x v="3"/>
    <x v="3"/>
    <n v="1"/>
    <n v="41"/>
    <x v="2"/>
    <x v="0"/>
    <s v="2017-12-06 ADV"/>
    <m/>
    <d v="2017-11-28T00:00:00"/>
    <n v="3"/>
    <s v="2018"/>
    <s v="17110008"/>
    <n v="42459"/>
    <m/>
    <m/>
    <s v="STOCK"/>
    <n v="4247"/>
    <x v="1"/>
    <d v="2018-03-15T00:00:00"/>
    <x v="2"/>
    <d v="2018-05-14T00:00:00"/>
    <s v="05-2018"/>
    <d v="2018-03-16T00:00:00"/>
    <s v="03-2018"/>
    <d v="2018-07-13T00:00:00"/>
    <s v="07-2018"/>
    <d v="2018-05-14T00:00:00"/>
    <s v="05-2018"/>
    <d v="2018-09-11T00:00:00"/>
    <s v="09-2018"/>
    <n v="5"/>
    <s v="2018"/>
    <m/>
  </r>
  <r>
    <x v="1"/>
    <s v="ZX65"/>
    <x v="8"/>
    <x v="13"/>
    <x v="3"/>
    <x v="3"/>
    <n v="1"/>
    <n v="45"/>
    <x v="12"/>
    <x v="0"/>
    <s v="2017-12-06 ADV"/>
    <m/>
    <d v="2017-10-28T00:00:00"/>
    <n v="2"/>
    <s v="2018"/>
    <s v="17100092"/>
    <n v="48776"/>
    <m/>
    <m/>
    <s v="STOCK"/>
    <n v="4240"/>
    <x v="1"/>
    <d v="2018-02-15T00:00:00"/>
    <x v="11"/>
    <d v="2018-04-16T00:00:00"/>
    <s v="04-2018"/>
    <d v="2018-02-16T00:00:00"/>
    <s v="02-2018"/>
    <d v="2018-06-15T00:00:00"/>
    <s v="06-2018"/>
    <d v="2018-04-16T00:00:00"/>
    <s v="04-2018"/>
    <d v="2018-08-14T00:00:00"/>
    <s v="08-2018"/>
    <n v="4"/>
    <s v="2018"/>
    <m/>
  </r>
  <r>
    <x v="1"/>
    <s v="ZX65"/>
    <x v="8"/>
    <x v="13"/>
    <x v="3"/>
    <x v="3"/>
    <n v="1"/>
    <n v="45"/>
    <x v="12"/>
    <x v="0"/>
    <s v="2017-12-06 ADV"/>
    <m/>
    <d v="2017-10-28T00:00:00"/>
    <n v="2"/>
    <s v="2018"/>
    <s v="17100093"/>
    <n v="48776"/>
    <m/>
    <m/>
    <s v="STOCK"/>
    <n v="4241"/>
    <x v="6"/>
    <d v="2018-02-15T00:00:00"/>
    <x v="11"/>
    <d v="2018-04-16T00:00:00"/>
    <s v="04-2018"/>
    <d v="2018-02-16T00:00:00"/>
    <s v="02-2018"/>
    <d v="2018-06-15T00:00:00"/>
    <s v="06-2018"/>
    <d v="2018-04-16T00:00:00"/>
    <s v="04-2018"/>
    <d v="2018-08-14T00:00:00"/>
    <s v="08-2018"/>
    <n v="4"/>
    <s v="2018"/>
    <m/>
  </r>
  <r>
    <x v="2"/>
    <s v="ZW75"/>
    <x v="17"/>
    <x v="25"/>
    <x v="3"/>
    <x v="3"/>
    <n v="1"/>
    <n v="45"/>
    <x v="12"/>
    <x v="0"/>
    <s v="2017-12-06 ADV"/>
    <m/>
    <d v="2017-11-28T00:00:00"/>
    <n v="2"/>
    <s v="2018"/>
    <s v="17110005"/>
    <n v="38070"/>
    <m/>
    <m/>
    <s v="STOCK"/>
    <n v="4245"/>
    <x v="1"/>
    <d v="2018-02-15T00:00:00"/>
    <x v="11"/>
    <d v="2018-04-16T00:00:00"/>
    <s v="04-2018"/>
    <d v="2018-02-16T00:00:00"/>
    <s v="02-2018"/>
    <d v="2018-06-15T00:00:00"/>
    <s v="06-2018"/>
    <d v="2018-04-16T00:00:00"/>
    <s v="04-2018"/>
    <d v="2018-08-14T00:00:00"/>
    <s v="08-2018"/>
    <n v="4"/>
    <s v="2018"/>
    <m/>
  </r>
  <r>
    <x v="2"/>
    <s v="ZW75"/>
    <x v="17"/>
    <x v="25"/>
    <x v="3"/>
    <x v="3"/>
    <n v="1"/>
    <n v="45"/>
    <x v="16"/>
    <x v="0"/>
    <s v="2017-12-06 ADV"/>
    <m/>
    <d v="2017-11-28T00:00:00"/>
    <n v="7"/>
    <s v="2018"/>
    <s v="17110007"/>
    <n v="38070"/>
    <m/>
    <m/>
    <s v="STOCK"/>
    <n v="4246"/>
    <x v="1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0"/>
    <s v="ZX85"/>
    <x v="2"/>
    <x v="2"/>
    <x v="3"/>
    <x v="3"/>
    <n v="1"/>
    <n v="64"/>
    <x v="0"/>
    <x v="0"/>
    <s v="2017-12-06 ADV"/>
    <m/>
    <d v="2017-09-01T00:00:00"/>
    <n v="1"/>
    <s v="2018"/>
    <s v="17100055"/>
    <n v="59260"/>
    <m/>
    <m/>
    <s v="VENTE"/>
    <n v="4222"/>
    <x v="16"/>
    <d v="2018-01-15T00:00:00"/>
    <x v="0"/>
    <d v="2018-03-16T00:00:00"/>
    <s v="03-2018"/>
    <d v="2018-01-16T00:00:00"/>
    <s v="01-2018"/>
    <d v="2018-05-15T00:00:00"/>
    <s v="05-2018"/>
    <d v="2018-03-16T00:00:00"/>
    <s v="03-2018"/>
    <d v="2018-07-14T00:00:00"/>
    <s v="07-2018"/>
    <n v="3"/>
    <s v="2018"/>
    <m/>
  </r>
  <r>
    <x v="0"/>
    <s v="ZX85"/>
    <x v="2"/>
    <x v="2"/>
    <x v="3"/>
    <x v="3"/>
    <n v="1"/>
    <n v="64"/>
    <x v="2"/>
    <x v="0"/>
    <s v="2018-02-07 ADV"/>
    <m/>
    <m/>
    <n v="3"/>
    <s v="2018"/>
    <m/>
    <n v="59482"/>
    <m/>
    <m/>
    <s v="VENTE"/>
    <m/>
    <x v="2"/>
    <d v="2018-03-15T00:00:00"/>
    <x v="2"/>
    <d v="2018-05-14T00:00:00"/>
    <s v="05-2018"/>
    <d v="2018-03-16T00:00:00"/>
    <s v="03-2018"/>
    <d v="2018-07-13T00:00:00"/>
    <s v="07-2018"/>
    <d v="2018-05-14T00:00:00"/>
    <s v="05-2018"/>
    <d v="2018-09-11T00:00:00"/>
    <s v="09-2018"/>
    <n v="5"/>
    <s v="2018"/>
    <m/>
  </r>
  <r>
    <x v="0"/>
    <s v="ZX85"/>
    <x v="2"/>
    <x v="2"/>
    <x v="3"/>
    <x v="3"/>
    <n v="1"/>
    <n v="64"/>
    <x v="1"/>
    <x v="0"/>
    <s v="2017-12-06 ADV"/>
    <m/>
    <d v="2017-09-01T00:00:00"/>
    <n v="4"/>
    <s v="2018"/>
    <s v="17100057"/>
    <n v="59260"/>
    <m/>
    <m/>
    <s v="VENTE"/>
    <n v="4224"/>
    <x v="1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0"/>
    <s v="ZX85"/>
    <x v="2"/>
    <x v="2"/>
    <x v="3"/>
    <x v="3"/>
    <n v="1"/>
    <n v="64"/>
    <x v="1"/>
    <x v="0"/>
    <s v="2017-12-06 ADV"/>
    <m/>
    <d v="2017-09-01T00:00:00"/>
    <n v="4"/>
    <s v="2018"/>
    <s v="17100058"/>
    <n v="59260"/>
    <m/>
    <m/>
    <s v="VENTE"/>
    <n v="4225"/>
    <x v="1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0"/>
    <s v="ZX85"/>
    <x v="2"/>
    <x v="2"/>
    <x v="3"/>
    <x v="3"/>
    <n v="1"/>
    <n v="64"/>
    <x v="7"/>
    <x v="0"/>
    <s v="2017-12-06 ADV"/>
    <m/>
    <d v="2017-09-01T00:00:00"/>
    <n v="6"/>
    <s v="2018"/>
    <s v="17100056"/>
    <n v="59260"/>
    <m/>
    <m/>
    <s v="VENTE"/>
    <n v="4223"/>
    <x v="1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0"/>
    <s v="ZX85"/>
    <x v="2"/>
    <x v="2"/>
    <x v="3"/>
    <x v="4"/>
    <n v="1"/>
    <n v="64"/>
    <x v="7"/>
    <x v="0"/>
    <s v="2017-12-13 ADV"/>
    <m/>
    <m/>
    <n v="6"/>
    <s v="2018"/>
    <s v="17120023"/>
    <m/>
    <m/>
    <m/>
    <s v="LOCATION"/>
    <n v="4267"/>
    <x v="6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0"/>
    <s v="ZX85"/>
    <x v="2"/>
    <x v="2"/>
    <x v="3"/>
    <x v="3"/>
    <n v="2"/>
    <n v="128"/>
    <x v="16"/>
    <x v="0"/>
    <s v="2017-12-13 ADV"/>
    <m/>
    <m/>
    <n v="7"/>
    <s v="2018"/>
    <s v="17120024"/>
    <m/>
    <m/>
    <m/>
    <s v="LOCATION"/>
    <n v="4268"/>
    <x v="6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0"/>
    <s v="ZX135"/>
    <x v="1"/>
    <x v="1"/>
    <x v="3"/>
    <x v="3"/>
    <n v="1"/>
    <n v="105"/>
    <x v="1"/>
    <x v="0"/>
    <s v="2017-12-06 ADV"/>
    <m/>
    <d v="2017-10-28T00:00:00"/>
    <n v="4"/>
    <s v="2018"/>
    <s v="17100060"/>
    <n v="108134"/>
    <m/>
    <m/>
    <s v="STOCK"/>
    <n v="4227"/>
    <x v="1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0"/>
    <s v="ZX135"/>
    <x v="1"/>
    <x v="1"/>
    <x v="3"/>
    <x v="3"/>
    <n v="1"/>
    <n v="105"/>
    <x v="1"/>
    <x v="0"/>
    <s v="2017-12-06 ADV"/>
    <m/>
    <d v="2017-10-28T00:00:00"/>
    <n v="4"/>
    <s v="2018"/>
    <s v="17100061"/>
    <n v="108134"/>
    <m/>
    <m/>
    <s v="STOCK"/>
    <n v="4228"/>
    <x v="1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0"/>
    <s v="ZX135"/>
    <x v="1"/>
    <x v="1"/>
    <x v="3"/>
    <x v="3"/>
    <n v="1"/>
    <n v="105"/>
    <x v="11"/>
    <x v="0"/>
    <s v="2017-12-06 ADV"/>
    <m/>
    <d v="2017-10-28T00:00:00"/>
    <n v="5"/>
    <s v="2018"/>
    <s v="17100062"/>
    <n v="108134"/>
    <m/>
    <m/>
    <s v="STOCK"/>
    <n v="4229"/>
    <x v="1"/>
    <d v="2018-05-15T00:00:00"/>
    <x v="10"/>
    <d v="2018-07-14T00:00:00"/>
    <s v="07-2018"/>
    <d v="2018-05-16T00:00:00"/>
    <s v="05-2018"/>
    <d v="2018-09-12T00:00:00"/>
    <s v="09-2018"/>
    <d v="2018-07-14T00:00:00"/>
    <s v="07-2018"/>
    <d v="2018-11-11T00:00:00"/>
    <s v="11-2018"/>
    <n v="7"/>
    <s v="2018"/>
    <m/>
  </r>
  <r>
    <x v="0"/>
    <s v="ZX135"/>
    <x v="1"/>
    <x v="1"/>
    <x v="3"/>
    <x v="3"/>
    <n v="1"/>
    <n v="105"/>
    <x v="7"/>
    <x v="0"/>
    <s v="2017-12-06 ADV"/>
    <m/>
    <d v="2017-10-28T00:00:00"/>
    <n v="6"/>
    <s v="2018"/>
    <s v="17100059"/>
    <n v="108134"/>
    <m/>
    <m/>
    <s v="STOCK"/>
    <n v="4226"/>
    <x v="6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0"/>
    <s v="ZX135"/>
    <x v="1"/>
    <x v="14"/>
    <x v="3"/>
    <x v="4"/>
    <n v="1"/>
    <n v="105"/>
    <x v="0"/>
    <x v="0"/>
    <s v="2017-12-06 ADV"/>
    <m/>
    <d v="2017-08-28T00:00:00"/>
    <n v="1"/>
    <s v="2018"/>
    <s v="17080106"/>
    <n v="104000"/>
    <m/>
    <m/>
    <s v="LOCATION"/>
    <n v="4185"/>
    <x v="19"/>
    <d v="2018-01-15T00:00:00"/>
    <x v="0"/>
    <d v="2018-03-16T00:00:00"/>
    <s v="03-2018"/>
    <d v="2018-01-16T00:00:00"/>
    <s v="01-2018"/>
    <d v="2018-05-15T00:00:00"/>
    <s v="05-2018"/>
    <d v="2018-03-16T00:00:00"/>
    <s v="03-2018"/>
    <d v="2018-07-14T00:00:00"/>
    <s v="07-2018"/>
    <n v="3"/>
    <s v="2018"/>
    <m/>
  </r>
  <r>
    <x v="3"/>
    <s v="ZX145"/>
    <x v="18"/>
    <x v="27"/>
    <x v="3"/>
    <x v="3"/>
    <n v="1"/>
    <n v="115"/>
    <x v="7"/>
    <x v="0"/>
    <s v="2017-12-06 ADV"/>
    <m/>
    <m/>
    <n v="6"/>
    <s v="2018"/>
    <m/>
    <m/>
    <m/>
    <m/>
    <s v="VENTE"/>
    <m/>
    <x v="1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0"/>
    <s v="ZX160"/>
    <x v="19"/>
    <x v="28"/>
    <x v="3"/>
    <x v="3"/>
    <n v="1"/>
    <n v="110"/>
    <x v="1"/>
    <x v="0"/>
    <s v="2017-12-06 ADV"/>
    <m/>
    <d v="2017-11-28T00:00:00"/>
    <n v="4"/>
    <s v="2018"/>
    <s v="171100017"/>
    <n v="103900"/>
    <m/>
    <m/>
    <s v="STOCK"/>
    <m/>
    <x v="20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0"/>
    <s v="ZX210"/>
    <x v="0"/>
    <x v="0"/>
    <x v="3"/>
    <x v="3"/>
    <n v="1"/>
    <n v="118"/>
    <x v="12"/>
    <x v="0"/>
    <s v="2017-12-06 ADV"/>
    <m/>
    <d v="2017-10-28T00:00:00"/>
    <n v="2"/>
    <s v="2018"/>
    <s v="17100063"/>
    <n v="112553"/>
    <m/>
    <m/>
    <s v="STOCK"/>
    <n v="4230"/>
    <x v="1"/>
    <d v="2018-02-15T00:00:00"/>
    <x v="11"/>
    <d v="2018-04-16T00:00:00"/>
    <s v="04-2018"/>
    <d v="2018-02-16T00:00:00"/>
    <s v="02-2018"/>
    <d v="2018-06-15T00:00:00"/>
    <s v="06-2018"/>
    <d v="2018-04-16T00:00:00"/>
    <s v="04-2018"/>
    <d v="2018-08-14T00:00:00"/>
    <s v="08-2018"/>
    <n v="4"/>
    <s v="2018"/>
    <m/>
  </r>
  <r>
    <x v="0"/>
    <s v="ZX225"/>
    <x v="12"/>
    <x v="29"/>
    <x v="3"/>
    <x v="3"/>
    <n v="1"/>
    <n v="128"/>
    <x v="2"/>
    <x v="0"/>
    <s v="2017-12-06 ADV"/>
    <m/>
    <d v="2017-10-28T00:00:00"/>
    <n v="3"/>
    <s v="2018"/>
    <s v="17100084"/>
    <n v="120482"/>
    <m/>
    <m/>
    <s v="STOCK"/>
    <n v="4232"/>
    <x v="1"/>
    <d v="2018-03-15T00:00:00"/>
    <x v="2"/>
    <d v="2018-05-14T00:00:00"/>
    <s v="05-2018"/>
    <d v="2018-03-16T00:00:00"/>
    <s v="03-2018"/>
    <d v="2018-07-13T00:00:00"/>
    <s v="07-2018"/>
    <d v="2018-05-14T00:00:00"/>
    <s v="05-2018"/>
    <d v="2018-09-11T00:00:00"/>
    <s v="09-2018"/>
    <n v="5"/>
    <s v="2018"/>
    <m/>
  </r>
  <r>
    <x v="0"/>
    <s v="ZX225"/>
    <x v="12"/>
    <x v="12"/>
    <x v="3"/>
    <x v="4"/>
    <n v="1"/>
    <n v="128"/>
    <x v="12"/>
    <x v="0"/>
    <s v="2017-12-06 ADV"/>
    <m/>
    <d v="2017-07-28T00:00:00"/>
    <n v="2"/>
    <s v="2018"/>
    <s v="17070001"/>
    <n v="141543"/>
    <m/>
    <m/>
    <s v="VENTE"/>
    <n v="4168"/>
    <x v="21"/>
    <d v="2018-02-15T00:00:00"/>
    <x v="11"/>
    <d v="2018-04-16T00:00:00"/>
    <s v="04-2018"/>
    <d v="2018-02-16T00:00:00"/>
    <s v="02-2018"/>
    <d v="2018-06-15T00:00:00"/>
    <s v="06-2018"/>
    <d v="2018-04-16T00:00:00"/>
    <s v="04-2018"/>
    <d v="2018-08-14T00:00:00"/>
    <s v="08-2018"/>
    <n v="4"/>
    <s v="2018"/>
    <m/>
  </r>
  <r>
    <x v="0"/>
    <s v="ZX225"/>
    <x v="12"/>
    <x v="29"/>
    <x v="3"/>
    <x v="3"/>
    <n v="1"/>
    <n v="128"/>
    <x v="6"/>
    <x v="0"/>
    <s v="2017-12-06 ADV"/>
    <m/>
    <d v="2017-10-28T00:00:00"/>
    <n v="9"/>
    <s v="2018"/>
    <s v="17100085"/>
    <n v="120482"/>
    <m/>
    <m/>
    <s v="STOCK"/>
    <n v="4233"/>
    <x v="1"/>
    <d v="2018-09-15T00:00:00"/>
    <x v="6"/>
    <d v="2018-11-14T00:00:00"/>
    <s v="11-2018"/>
    <d v="2018-09-16T00:00:00"/>
    <s v="09-2018"/>
    <d v="2019-01-13T00:00:00"/>
    <s v="01-2019"/>
    <d v="2018-11-14T00:00:00"/>
    <s v="11-2018"/>
    <d v="2019-03-14T00:00:00"/>
    <s v="03-2019"/>
    <n v="11"/>
    <s v="2018"/>
    <m/>
  </r>
  <r>
    <x v="0"/>
    <s v="ZX530"/>
    <x v="20"/>
    <x v="30"/>
    <x v="3"/>
    <x v="3"/>
    <n v="1"/>
    <n v="290"/>
    <x v="1"/>
    <x v="0"/>
    <s v="2017-12-06 ADV"/>
    <m/>
    <d v="2017-11-28T00:00:00"/>
    <n v="4"/>
    <s v="2018"/>
    <s v="17110079"/>
    <n v="290000"/>
    <m/>
    <m/>
    <s v="VENTE"/>
    <n v="4253"/>
    <x v="22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1"/>
    <s v="ZX26"/>
    <x v="3"/>
    <x v="11"/>
    <x v="3"/>
    <x v="6"/>
    <n v="0"/>
    <n v="0"/>
    <x v="7"/>
    <x v="1"/>
    <s v="2017-12-06 ADV"/>
    <m/>
    <m/>
    <n v="6"/>
    <s v="2018"/>
    <m/>
    <m/>
    <m/>
    <m/>
    <s v="LOCATION"/>
    <m/>
    <x v="6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1"/>
    <s v="ZX10"/>
    <x v="21"/>
    <x v="31"/>
    <x v="3"/>
    <x v="6"/>
    <n v="1"/>
    <n v="15"/>
    <x v="7"/>
    <x v="1"/>
    <s v="2017-12-06 ADV"/>
    <m/>
    <m/>
    <n v="6"/>
    <s v="2018"/>
    <m/>
    <m/>
    <m/>
    <m/>
    <s v="LOCATION"/>
    <m/>
    <x v="6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1"/>
    <s v="ZX19"/>
    <x v="4"/>
    <x v="4"/>
    <x v="3"/>
    <x v="6"/>
    <n v="1"/>
    <n v="18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19"/>
    <x v="4"/>
    <x v="4"/>
    <x v="3"/>
    <x v="6"/>
    <n v="1"/>
    <n v="18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19"/>
    <x v="4"/>
    <x v="4"/>
    <x v="3"/>
    <x v="6"/>
    <n v="1"/>
    <n v="18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19"/>
    <x v="4"/>
    <x v="4"/>
    <x v="3"/>
    <x v="6"/>
    <n v="1"/>
    <n v="18"/>
    <x v="7"/>
    <x v="1"/>
    <s v="2017-12-06 ADV"/>
    <m/>
    <m/>
    <n v="6"/>
    <s v="2018"/>
    <m/>
    <m/>
    <m/>
    <m/>
    <s v="LOCATION"/>
    <m/>
    <x v="6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1"/>
    <s v="ZX48"/>
    <x v="9"/>
    <x v="26"/>
    <x v="3"/>
    <x v="6"/>
    <n v="1"/>
    <n v="41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48"/>
    <x v="9"/>
    <x v="26"/>
    <x v="3"/>
    <x v="6"/>
    <n v="1"/>
    <n v="41"/>
    <x v="1"/>
    <x v="1"/>
    <s v="2017-12-06 ADV"/>
    <m/>
    <m/>
    <n v="4"/>
    <s v="2018"/>
    <m/>
    <m/>
    <m/>
    <m/>
    <s v="LOCATION"/>
    <m/>
    <x v="6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1"/>
    <s v="ZX48"/>
    <x v="9"/>
    <x v="26"/>
    <x v="3"/>
    <x v="6"/>
    <n v="1"/>
    <n v="41"/>
    <x v="1"/>
    <x v="1"/>
    <s v="2017-12-06 ADV"/>
    <m/>
    <m/>
    <n v="4"/>
    <s v="2018"/>
    <m/>
    <m/>
    <m/>
    <m/>
    <m/>
    <m/>
    <x v="0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1"/>
    <s v="ZX26"/>
    <x v="3"/>
    <x v="3"/>
    <x v="3"/>
    <x v="6"/>
    <n v="2"/>
    <n v="44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65"/>
    <x v="8"/>
    <x v="23"/>
    <x v="3"/>
    <x v="6"/>
    <n v="1"/>
    <n v="45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65"/>
    <x v="8"/>
    <x v="13"/>
    <x v="3"/>
    <x v="6"/>
    <n v="1"/>
    <n v="45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65"/>
    <x v="8"/>
    <x v="13"/>
    <x v="3"/>
    <x v="6"/>
    <n v="1"/>
    <n v="45"/>
    <x v="15"/>
    <x v="1"/>
    <s v="2017-12-06 ADV"/>
    <m/>
    <m/>
    <n v="8"/>
    <s v="2018"/>
    <m/>
    <m/>
    <m/>
    <m/>
    <s v="LOCATION"/>
    <m/>
    <x v="6"/>
    <d v="2018-08-15T00:00:00"/>
    <x v="14"/>
    <d v="2018-10-14T00:00:00"/>
    <s v="10-2018"/>
    <d v="2018-08-16T00:00:00"/>
    <s v="08-2018"/>
    <d v="2018-12-13T00:00:00"/>
    <s v="12-2018"/>
    <d v="2018-10-14T00:00:00"/>
    <s v="10-2018"/>
    <d v="2019-02-11T00:00:00"/>
    <s v="02-2019"/>
    <n v="10"/>
    <s v="2018"/>
    <m/>
  </r>
  <r>
    <x v="0"/>
    <s v="ZX85"/>
    <x v="2"/>
    <x v="2"/>
    <x v="3"/>
    <x v="6"/>
    <n v="1"/>
    <n v="64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26"/>
    <x v="3"/>
    <x v="11"/>
    <x v="3"/>
    <x v="6"/>
    <n v="4"/>
    <n v="88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26"/>
    <x v="3"/>
    <x v="11"/>
    <x v="3"/>
    <x v="6"/>
    <n v="4"/>
    <n v="88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65"/>
    <x v="8"/>
    <x v="13"/>
    <x v="3"/>
    <x v="6"/>
    <n v="2"/>
    <n v="90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135"/>
    <x v="1"/>
    <x v="14"/>
    <x v="3"/>
    <x v="6"/>
    <n v="1"/>
    <n v="105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135"/>
    <x v="1"/>
    <x v="1"/>
    <x v="3"/>
    <x v="6"/>
    <n v="1"/>
    <n v="105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135"/>
    <x v="1"/>
    <x v="1"/>
    <x v="3"/>
    <x v="6"/>
    <n v="1"/>
    <n v="105"/>
    <x v="16"/>
    <x v="1"/>
    <s v="2017-12-06 ADV"/>
    <m/>
    <m/>
    <n v="7"/>
    <s v="2018"/>
    <m/>
    <m/>
    <m/>
    <m/>
    <s v="LOCATION"/>
    <m/>
    <x v="6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0"/>
    <s v="ZX190"/>
    <x v="15"/>
    <x v="21"/>
    <x v="3"/>
    <x v="6"/>
    <n v="1"/>
    <n v="114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190"/>
    <x v="15"/>
    <x v="21"/>
    <x v="3"/>
    <x v="6"/>
    <n v="1"/>
    <n v="114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190"/>
    <x v="15"/>
    <x v="21"/>
    <x v="3"/>
    <x v="6"/>
    <n v="1"/>
    <n v="114"/>
    <x v="6"/>
    <x v="1"/>
    <s v="2017-12-06 ADV"/>
    <m/>
    <m/>
    <n v="9"/>
    <s v="2018"/>
    <m/>
    <m/>
    <m/>
    <m/>
    <s v="VENTE"/>
    <m/>
    <x v="1"/>
    <d v="2018-09-15T00:00:00"/>
    <x v="6"/>
    <d v="2018-11-14T00:00:00"/>
    <s v="11-2018"/>
    <d v="2018-09-16T00:00:00"/>
    <s v="09-2018"/>
    <d v="2019-01-13T00:00:00"/>
    <s v="01-2019"/>
    <d v="2018-11-14T00:00:00"/>
    <s v="11-2018"/>
    <d v="2019-03-14T00:00:00"/>
    <s v="03-2019"/>
    <n v="11"/>
    <s v="2018"/>
    <m/>
  </r>
  <r>
    <x v="3"/>
    <s v="ZX145"/>
    <x v="18"/>
    <x v="27"/>
    <x v="3"/>
    <x v="6"/>
    <n v="1"/>
    <n v="115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3"/>
    <s v="ZX145"/>
    <x v="18"/>
    <x v="27"/>
    <x v="3"/>
    <x v="6"/>
    <n v="1"/>
    <n v="115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210"/>
    <x v="0"/>
    <x v="0"/>
    <x v="3"/>
    <x v="6"/>
    <n v="1"/>
    <n v="118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210"/>
    <x v="0"/>
    <x v="0"/>
    <x v="3"/>
    <x v="6"/>
    <n v="1"/>
    <n v="118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210"/>
    <x v="0"/>
    <x v="0"/>
    <x v="3"/>
    <x v="6"/>
    <n v="1"/>
    <n v="118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48"/>
    <x v="9"/>
    <x v="26"/>
    <x v="3"/>
    <x v="6"/>
    <n v="3"/>
    <n v="123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48"/>
    <x v="9"/>
    <x v="26"/>
    <x v="3"/>
    <x v="6"/>
    <n v="3"/>
    <n v="123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225"/>
    <x v="12"/>
    <x v="15"/>
    <x v="3"/>
    <x v="6"/>
    <n v="1"/>
    <n v="128"/>
    <x v="15"/>
    <x v="1"/>
    <s v="2017-12-06 ADV"/>
    <m/>
    <m/>
    <n v="8"/>
    <s v="2018"/>
    <m/>
    <m/>
    <m/>
    <m/>
    <s v="VENTE"/>
    <m/>
    <x v="1"/>
    <d v="2018-08-15T00:00:00"/>
    <x v="14"/>
    <d v="2018-10-14T00:00:00"/>
    <s v="10-2018"/>
    <d v="2018-08-16T00:00:00"/>
    <s v="08-2018"/>
    <d v="2018-12-13T00:00:00"/>
    <s v="12-2018"/>
    <d v="2018-10-14T00:00:00"/>
    <s v="10-2018"/>
    <d v="2019-02-11T00:00:00"/>
    <s v="02-2019"/>
    <n v="10"/>
    <s v="2018"/>
    <m/>
  </r>
  <r>
    <x v="0"/>
    <s v="ZX85"/>
    <x v="2"/>
    <x v="2"/>
    <x v="3"/>
    <x v="6"/>
    <n v="2"/>
    <n v="128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85"/>
    <x v="2"/>
    <x v="2"/>
    <x v="3"/>
    <x v="6"/>
    <n v="2"/>
    <n v="128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2"/>
    <s v="ZW310"/>
    <x v="14"/>
    <x v="20"/>
    <x v="3"/>
    <x v="6"/>
    <n v="1"/>
    <n v="180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2"/>
    <s v="ZW310"/>
    <x v="14"/>
    <x v="20"/>
    <x v="3"/>
    <x v="6"/>
    <n v="1"/>
    <n v="180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350"/>
    <x v="5"/>
    <x v="32"/>
    <x v="3"/>
    <x v="6"/>
    <n v="1"/>
    <n v="188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300"/>
    <x v="11"/>
    <x v="24"/>
    <x v="3"/>
    <x v="3"/>
    <n v="1"/>
    <n v="0"/>
    <x v="40"/>
    <x v="1"/>
    <s v="2017-05 Forecast"/>
    <m/>
    <m/>
    <n v="9"/>
    <s v="2017"/>
    <m/>
    <m/>
    <m/>
    <m/>
    <s v="VENTE"/>
    <m/>
    <x v="1"/>
    <d v="2017-09-15T00:00:00"/>
    <x v="35"/>
    <d v="2017-11-14T00:00:00"/>
    <s v="11-2017"/>
    <d v="2017-09-16T00:00:00"/>
    <s v="09-2017"/>
    <d v="2018-01-13T00:00:00"/>
    <s v="01-2018"/>
    <d v="2017-11-14T00:00:00"/>
    <s v="11-2017"/>
    <d v="2018-03-14T00:00:00"/>
    <s v="03-2018"/>
    <n v="11"/>
    <s v="2017"/>
    <m/>
  </r>
  <r>
    <x v="1"/>
    <s v="ZX10"/>
    <x v="21"/>
    <x v="31"/>
    <x v="3"/>
    <x v="3"/>
    <n v="1"/>
    <n v="15"/>
    <x v="7"/>
    <x v="1"/>
    <s v="2017-12-06 ADV"/>
    <m/>
    <m/>
    <n v="6"/>
    <s v="2018"/>
    <m/>
    <m/>
    <m/>
    <m/>
    <s v="VENTE"/>
    <m/>
    <x v="1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1"/>
    <s v="ZX19"/>
    <x v="4"/>
    <x v="4"/>
    <x v="3"/>
    <x v="3"/>
    <n v="1"/>
    <n v="18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19"/>
    <x v="4"/>
    <x v="4"/>
    <x v="3"/>
    <x v="3"/>
    <n v="1"/>
    <n v="18"/>
    <x v="16"/>
    <x v="1"/>
    <s v="2017-12-06 ADV"/>
    <m/>
    <m/>
    <n v="7"/>
    <s v="2018"/>
    <m/>
    <m/>
    <m/>
    <m/>
    <s v="LOCATION"/>
    <m/>
    <x v="6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1"/>
    <s v="ZX26"/>
    <x v="3"/>
    <x v="11"/>
    <x v="3"/>
    <x v="3"/>
    <n v="1"/>
    <n v="22"/>
    <x v="2"/>
    <x v="1"/>
    <s v="2017-12-06 ADV"/>
    <m/>
    <m/>
    <n v="3"/>
    <s v="2018"/>
    <m/>
    <m/>
    <m/>
    <m/>
    <m/>
    <m/>
    <x v="6"/>
    <d v="2018-03-15T00:00:00"/>
    <x v="2"/>
    <d v="2018-05-14T00:00:00"/>
    <s v="05-2018"/>
    <d v="2018-03-16T00:00:00"/>
    <s v="03-2018"/>
    <d v="2018-07-13T00:00:00"/>
    <s v="07-2018"/>
    <d v="2018-05-14T00:00:00"/>
    <s v="05-2018"/>
    <d v="2018-09-11T00:00:00"/>
    <s v="09-2018"/>
    <n v="5"/>
    <s v="2018"/>
    <m/>
  </r>
  <r>
    <x v="1"/>
    <s v="ZX26"/>
    <x v="3"/>
    <x v="3"/>
    <x v="3"/>
    <x v="3"/>
    <n v="1"/>
    <n v="22"/>
    <x v="6"/>
    <x v="1"/>
    <s v="2017-12-06 ADV"/>
    <m/>
    <m/>
    <n v="9"/>
    <s v="2018"/>
    <m/>
    <m/>
    <m/>
    <m/>
    <s v="LOCATION"/>
    <m/>
    <x v="6"/>
    <d v="2018-09-15T00:00:00"/>
    <x v="6"/>
    <d v="2018-11-14T00:00:00"/>
    <s v="11-2018"/>
    <d v="2018-09-16T00:00:00"/>
    <s v="09-2018"/>
    <d v="2019-01-13T00:00:00"/>
    <s v="01-2019"/>
    <d v="2018-11-14T00:00:00"/>
    <s v="11-2018"/>
    <d v="2019-03-14T00:00:00"/>
    <s v="03-2019"/>
    <n v="11"/>
    <s v="2018"/>
    <m/>
  </r>
  <r>
    <x v="1"/>
    <s v="ZX26"/>
    <x v="3"/>
    <x v="3"/>
    <x v="3"/>
    <x v="3"/>
    <n v="1"/>
    <n v="22"/>
    <x v="1"/>
    <x v="1"/>
    <s v="2017-12-06 ADV"/>
    <m/>
    <m/>
    <n v="4"/>
    <s v="2018"/>
    <m/>
    <m/>
    <m/>
    <m/>
    <m/>
    <m/>
    <x v="1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1"/>
    <s v="ZX26"/>
    <x v="3"/>
    <x v="22"/>
    <x v="3"/>
    <x v="3"/>
    <n v="1"/>
    <n v="22"/>
    <x v="1"/>
    <x v="1"/>
    <s v="2017-12-06 ADV"/>
    <m/>
    <m/>
    <n v="4"/>
    <s v="2018"/>
    <m/>
    <m/>
    <m/>
    <m/>
    <m/>
    <n v="4260"/>
    <x v="1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1"/>
    <s v="ZX33"/>
    <x v="16"/>
    <x v="22"/>
    <x v="3"/>
    <x v="3"/>
    <n v="1"/>
    <n v="32"/>
    <x v="16"/>
    <x v="1"/>
    <s v="2017-12-06 ADV"/>
    <m/>
    <m/>
    <n v="7"/>
    <s v="2018"/>
    <m/>
    <m/>
    <m/>
    <m/>
    <m/>
    <m/>
    <x v="0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1"/>
    <s v="ZX26"/>
    <x v="3"/>
    <x v="3"/>
    <x v="3"/>
    <x v="3"/>
    <n v="2"/>
    <n v="44"/>
    <x v="13"/>
    <x v="1"/>
    <s v="2017-12-06 ADV"/>
    <m/>
    <s v="_Location"/>
    <n v="11"/>
    <s v="2018"/>
    <m/>
    <m/>
    <m/>
    <m/>
    <m/>
    <m/>
    <x v="1"/>
    <d v="2018-11-15T00:00:00"/>
    <x v="12"/>
    <d v="2019-01-14T00:00:00"/>
    <s v="01-2019"/>
    <d v="2018-11-16T00:00:00"/>
    <s v="11-2018"/>
    <d v="2019-03-15T00:00:00"/>
    <s v="03-2019"/>
    <d v="2019-01-14T00:00:00"/>
    <s v="01-2019"/>
    <d v="2019-05-14T00:00:00"/>
    <s v="05-2019"/>
    <n v="1"/>
    <s v="2019"/>
    <m/>
  </r>
  <r>
    <x v="1"/>
    <s v="ZX19"/>
    <x v="4"/>
    <x v="4"/>
    <x v="3"/>
    <x v="3"/>
    <n v="3"/>
    <n v="54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26"/>
    <x v="3"/>
    <x v="3"/>
    <x v="3"/>
    <x v="3"/>
    <n v="3"/>
    <n v="66"/>
    <x v="14"/>
    <x v="1"/>
    <s v="2017-12-06 ADV"/>
    <m/>
    <m/>
    <n v="10"/>
    <s v="2018"/>
    <m/>
    <m/>
    <m/>
    <m/>
    <s v="VENTE"/>
    <m/>
    <x v="1"/>
    <d v="2018-10-15T00:00:00"/>
    <x v="13"/>
    <d v="2018-12-14T00:00:00"/>
    <s v="12-2018"/>
    <d v="2018-10-16T00:00:00"/>
    <s v="10-2018"/>
    <d v="2019-02-12T00:00:00"/>
    <s v="02-2019"/>
    <d v="2018-12-14T00:00:00"/>
    <s v="12-2018"/>
    <d v="2019-04-13T00:00:00"/>
    <s v="04-2019"/>
    <n v="12"/>
    <s v="2018"/>
    <m/>
  </r>
  <r>
    <x v="1"/>
    <s v="ZX26"/>
    <x v="3"/>
    <x v="3"/>
    <x v="3"/>
    <x v="3"/>
    <n v="3"/>
    <n v="66"/>
    <x v="7"/>
    <x v="1"/>
    <s v="2017-12-06 ADV"/>
    <m/>
    <m/>
    <n v="6"/>
    <s v="2018"/>
    <m/>
    <m/>
    <m/>
    <m/>
    <s v="VENTE"/>
    <m/>
    <x v="1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1"/>
    <s v="ZX48"/>
    <x v="9"/>
    <x v="26"/>
    <x v="3"/>
    <x v="3"/>
    <n v="2"/>
    <n v="82"/>
    <x v="6"/>
    <x v="1"/>
    <s v="2017-12-06 ADV"/>
    <m/>
    <m/>
    <n v="9"/>
    <s v="2018"/>
    <m/>
    <m/>
    <m/>
    <m/>
    <s v="LOCATION"/>
    <m/>
    <x v="6"/>
    <d v="2018-09-15T00:00:00"/>
    <x v="6"/>
    <d v="2018-11-14T00:00:00"/>
    <s v="11-2018"/>
    <d v="2018-09-16T00:00:00"/>
    <s v="09-2018"/>
    <d v="2019-01-13T00:00:00"/>
    <s v="01-2019"/>
    <d v="2018-11-14T00:00:00"/>
    <s v="11-2018"/>
    <d v="2019-03-14T00:00:00"/>
    <s v="03-2019"/>
    <n v="11"/>
    <s v="2018"/>
    <m/>
  </r>
  <r>
    <x v="1"/>
    <s v="ZX26"/>
    <x v="3"/>
    <x v="11"/>
    <x v="3"/>
    <x v="3"/>
    <n v="4"/>
    <n v="88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65"/>
    <x v="8"/>
    <x v="13"/>
    <x v="3"/>
    <x v="3"/>
    <n v="2"/>
    <n v="90"/>
    <x v="14"/>
    <x v="1"/>
    <s v="2017-12-06 ADV"/>
    <m/>
    <m/>
    <n v="10"/>
    <s v="2018"/>
    <m/>
    <m/>
    <m/>
    <m/>
    <s v="VENTE"/>
    <m/>
    <x v="1"/>
    <d v="2018-10-15T00:00:00"/>
    <x v="13"/>
    <d v="2018-12-14T00:00:00"/>
    <s v="12-2018"/>
    <d v="2018-10-16T00:00:00"/>
    <s v="10-2018"/>
    <d v="2019-02-12T00:00:00"/>
    <s v="02-2019"/>
    <d v="2018-12-14T00:00:00"/>
    <s v="12-2018"/>
    <d v="2019-04-13T00:00:00"/>
    <s v="04-2019"/>
    <n v="12"/>
    <s v="2018"/>
    <m/>
  </r>
  <r>
    <x v="1"/>
    <s v="ZX65"/>
    <x v="8"/>
    <x v="13"/>
    <x v="3"/>
    <x v="3"/>
    <n v="2"/>
    <n v="90"/>
    <x v="7"/>
    <x v="1"/>
    <s v="2017-12-06 ADV"/>
    <m/>
    <m/>
    <n v="6"/>
    <s v="2018"/>
    <m/>
    <m/>
    <m/>
    <m/>
    <s v="LOCATION"/>
    <m/>
    <x v="6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2"/>
    <s v="ZW180"/>
    <x v="10"/>
    <x v="19"/>
    <x v="3"/>
    <x v="3"/>
    <n v="1"/>
    <n v="105"/>
    <x v="11"/>
    <x v="1"/>
    <s v="2017-12-06 ADV"/>
    <m/>
    <m/>
    <n v="5"/>
    <s v="2018"/>
    <m/>
    <m/>
    <m/>
    <m/>
    <s v="VENTE"/>
    <m/>
    <x v="1"/>
    <d v="2018-05-15T00:00:00"/>
    <x v="10"/>
    <d v="2018-07-14T00:00:00"/>
    <s v="07-2018"/>
    <d v="2018-05-16T00:00:00"/>
    <s v="05-2018"/>
    <d v="2018-09-12T00:00:00"/>
    <s v="09-2018"/>
    <d v="2018-07-14T00:00:00"/>
    <s v="07-2018"/>
    <d v="2018-11-11T00:00:00"/>
    <s v="11-2018"/>
    <n v="7"/>
    <s v="2018"/>
    <m/>
  </r>
  <r>
    <x v="0"/>
    <s v="ZX135"/>
    <x v="1"/>
    <x v="1"/>
    <x v="3"/>
    <x v="3"/>
    <n v="1"/>
    <n v="105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160"/>
    <x v="19"/>
    <x v="33"/>
    <x v="3"/>
    <x v="3"/>
    <n v="1"/>
    <n v="110"/>
    <x v="16"/>
    <x v="1"/>
    <s v="2017-12-06 ADV"/>
    <m/>
    <m/>
    <n v="7"/>
    <s v="2018"/>
    <m/>
    <m/>
    <m/>
    <m/>
    <s v="LOCATION"/>
    <m/>
    <x v="6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1"/>
    <s v="ZX26"/>
    <x v="3"/>
    <x v="3"/>
    <x v="3"/>
    <x v="3"/>
    <n v="5"/>
    <n v="110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190"/>
    <x v="15"/>
    <x v="21"/>
    <x v="3"/>
    <x v="3"/>
    <n v="1"/>
    <n v="114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190"/>
    <x v="15"/>
    <x v="21"/>
    <x v="3"/>
    <x v="3"/>
    <n v="1"/>
    <n v="114"/>
    <x v="11"/>
    <x v="1"/>
    <s v="2017-12-06 ADV"/>
    <m/>
    <m/>
    <n v="5"/>
    <s v="2018"/>
    <m/>
    <m/>
    <m/>
    <m/>
    <s v="LOCATION"/>
    <m/>
    <x v="6"/>
    <d v="2018-05-15T00:00:00"/>
    <x v="10"/>
    <d v="2018-07-14T00:00:00"/>
    <s v="07-2018"/>
    <d v="2018-05-16T00:00:00"/>
    <s v="05-2018"/>
    <d v="2018-09-12T00:00:00"/>
    <s v="09-2018"/>
    <d v="2018-07-14T00:00:00"/>
    <s v="07-2018"/>
    <d v="2018-11-11T00:00:00"/>
    <s v="11-2018"/>
    <n v="7"/>
    <s v="2018"/>
    <m/>
  </r>
  <r>
    <x v="3"/>
    <s v="ZX145"/>
    <x v="18"/>
    <x v="27"/>
    <x v="3"/>
    <x v="3"/>
    <n v="1"/>
    <n v="115"/>
    <x v="14"/>
    <x v="1"/>
    <s v="2017-12-06 ADV"/>
    <m/>
    <m/>
    <n v="10"/>
    <s v="2018"/>
    <m/>
    <m/>
    <m/>
    <m/>
    <m/>
    <m/>
    <x v="0"/>
    <d v="2018-10-15T00:00:00"/>
    <x v="13"/>
    <d v="2018-12-14T00:00:00"/>
    <s v="12-2018"/>
    <d v="2018-10-16T00:00:00"/>
    <s v="10-2018"/>
    <d v="2019-02-12T00:00:00"/>
    <s v="02-2019"/>
    <d v="2018-12-14T00:00:00"/>
    <s v="12-2018"/>
    <d v="2019-04-13T00:00:00"/>
    <s v="04-2019"/>
    <n v="12"/>
    <s v="2018"/>
    <m/>
  </r>
  <r>
    <x v="3"/>
    <s v="ZX145"/>
    <x v="18"/>
    <x v="27"/>
    <x v="3"/>
    <x v="3"/>
    <n v="1"/>
    <n v="115"/>
    <x v="6"/>
    <x v="1"/>
    <s v="2017-12-06 ADV"/>
    <m/>
    <m/>
    <n v="9"/>
    <s v="2018"/>
    <m/>
    <m/>
    <m/>
    <m/>
    <m/>
    <m/>
    <x v="0"/>
    <d v="2018-09-15T00:00:00"/>
    <x v="6"/>
    <d v="2018-11-14T00:00:00"/>
    <s v="11-2018"/>
    <d v="2018-09-16T00:00:00"/>
    <s v="09-2018"/>
    <d v="2019-01-13T00:00:00"/>
    <s v="01-2019"/>
    <d v="2018-11-14T00:00:00"/>
    <s v="11-2018"/>
    <d v="2019-03-14T00:00:00"/>
    <s v="03-2019"/>
    <n v="11"/>
    <s v="2018"/>
    <m/>
  </r>
  <r>
    <x v="3"/>
    <s v="ZX145"/>
    <x v="18"/>
    <x v="27"/>
    <x v="3"/>
    <x v="3"/>
    <n v="1"/>
    <n v="115"/>
    <x v="16"/>
    <x v="1"/>
    <s v="2017-12-06 ADV"/>
    <m/>
    <m/>
    <n v="7"/>
    <s v="2018"/>
    <m/>
    <m/>
    <m/>
    <m/>
    <m/>
    <m/>
    <x v="0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0"/>
    <s v="ZX210"/>
    <x v="0"/>
    <x v="0"/>
    <x v="3"/>
    <x v="3"/>
    <n v="1"/>
    <n v="118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210"/>
    <x v="0"/>
    <x v="0"/>
    <x v="3"/>
    <x v="3"/>
    <n v="1"/>
    <n v="118"/>
    <x v="14"/>
    <x v="1"/>
    <s v="2017-12-06 ADV"/>
    <m/>
    <m/>
    <n v="10"/>
    <s v="2018"/>
    <m/>
    <m/>
    <m/>
    <m/>
    <s v="VENTE"/>
    <m/>
    <x v="1"/>
    <d v="2018-10-15T00:00:00"/>
    <x v="13"/>
    <d v="2018-12-14T00:00:00"/>
    <s v="12-2018"/>
    <d v="2018-10-16T00:00:00"/>
    <s v="10-2018"/>
    <d v="2019-02-12T00:00:00"/>
    <s v="02-2019"/>
    <d v="2018-12-14T00:00:00"/>
    <s v="12-2018"/>
    <d v="2019-04-13T00:00:00"/>
    <s v="04-2019"/>
    <n v="12"/>
    <s v="2018"/>
    <m/>
  </r>
  <r>
    <x v="1"/>
    <s v="ZX19"/>
    <x v="4"/>
    <x v="4"/>
    <x v="3"/>
    <x v="3"/>
    <n v="7"/>
    <n v="126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19"/>
    <x v="4"/>
    <x v="4"/>
    <x v="3"/>
    <x v="3"/>
    <n v="7"/>
    <n v="126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225"/>
    <x v="12"/>
    <x v="12"/>
    <x v="3"/>
    <x v="3"/>
    <n v="1"/>
    <n v="128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225"/>
    <x v="12"/>
    <x v="12"/>
    <x v="3"/>
    <x v="3"/>
    <n v="1"/>
    <n v="128"/>
    <x v="43"/>
    <x v="1"/>
    <s v="2017-12-06 ADV"/>
    <m/>
    <m/>
    <n v="11"/>
    <s v="2018"/>
    <m/>
    <m/>
    <m/>
    <m/>
    <s v="VENTE"/>
    <m/>
    <x v="1"/>
    <d v="2018-11-01T00:00:00"/>
    <x v="12"/>
    <d v="2018-12-31T00:00:00"/>
    <s v="12-2018"/>
    <d v="2018-11-02T00:00:00"/>
    <s v="11-2018"/>
    <d v="2019-03-01T00:00:00"/>
    <s v="03-2019"/>
    <d v="2018-12-31T00:00:00"/>
    <s v="12-2018"/>
    <d v="2019-04-30T00:00:00"/>
    <s v="04-2019"/>
    <n v="12"/>
    <s v="2018"/>
    <m/>
  </r>
  <r>
    <x v="0"/>
    <s v="ZX85"/>
    <x v="2"/>
    <x v="2"/>
    <x v="3"/>
    <x v="3"/>
    <n v="2"/>
    <n v="128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85"/>
    <x v="2"/>
    <x v="2"/>
    <x v="3"/>
    <x v="3"/>
    <n v="2"/>
    <n v="128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65"/>
    <x v="8"/>
    <x v="13"/>
    <x v="3"/>
    <x v="3"/>
    <n v="3"/>
    <n v="135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65"/>
    <x v="8"/>
    <x v="13"/>
    <x v="3"/>
    <x v="3"/>
    <n v="3"/>
    <n v="135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48"/>
    <x v="9"/>
    <x v="26"/>
    <x v="3"/>
    <x v="3"/>
    <n v="4"/>
    <n v="164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300"/>
    <x v="11"/>
    <x v="24"/>
    <x v="3"/>
    <x v="3"/>
    <n v="1"/>
    <n v="168"/>
    <x v="7"/>
    <x v="1"/>
    <s v="2017-12-06 ADV"/>
    <m/>
    <m/>
    <n v="6"/>
    <s v="2018"/>
    <m/>
    <m/>
    <m/>
    <m/>
    <m/>
    <m/>
    <x v="0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2"/>
    <s v="ZW310"/>
    <x v="14"/>
    <x v="20"/>
    <x v="3"/>
    <x v="3"/>
    <n v="1"/>
    <n v="180"/>
    <x v="16"/>
    <x v="1"/>
    <s v="2017-12-06 ADV"/>
    <m/>
    <m/>
    <n v="7"/>
    <s v="2018"/>
    <m/>
    <m/>
    <m/>
    <m/>
    <s v="VENTE"/>
    <m/>
    <x v="1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2"/>
    <s v="ZW310"/>
    <x v="14"/>
    <x v="20"/>
    <x v="3"/>
    <x v="3"/>
    <n v="1"/>
    <n v="180"/>
    <x v="7"/>
    <x v="1"/>
    <s v="2017-12-06 ADV"/>
    <m/>
    <m/>
    <n v="6"/>
    <s v="2018"/>
    <m/>
    <m/>
    <m/>
    <m/>
    <s v="VENTE"/>
    <m/>
    <x v="1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0"/>
    <s v="ZX350"/>
    <x v="5"/>
    <x v="32"/>
    <x v="3"/>
    <x v="3"/>
    <n v="1"/>
    <n v="188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350"/>
    <x v="5"/>
    <x v="32"/>
    <x v="3"/>
    <x v="3"/>
    <n v="1"/>
    <n v="188"/>
    <x v="13"/>
    <x v="1"/>
    <s v="2017-12-06 ADV"/>
    <m/>
    <m/>
    <n v="11"/>
    <s v="2018"/>
    <m/>
    <m/>
    <m/>
    <m/>
    <s v="VENTE"/>
    <m/>
    <x v="1"/>
    <d v="2018-11-15T00:00:00"/>
    <x v="12"/>
    <d v="2019-01-14T00:00:00"/>
    <s v="01-2019"/>
    <d v="2018-11-16T00:00:00"/>
    <s v="11-2018"/>
    <d v="2019-03-15T00:00:00"/>
    <s v="03-2019"/>
    <d v="2019-01-14T00:00:00"/>
    <s v="01-2019"/>
    <d v="2019-05-14T00:00:00"/>
    <s v="05-2019"/>
    <n v="1"/>
    <s v="2019"/>
    <m/>
  </r>
  <r>
    <x v="1"/>
    <s v="ZX48"/>
    <x v="9"/>
    <x v="26"/>
    <x v="3"/>
    <x v="3"/>
    <n v="5"/>
    <n v="205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2"/>
    <s v="ZW180"/>
    <x v="10"/>
    <x v="19"/>
    <x v="3"/>
    <x v="3"/>
    <n v="2"/>
    <n v="210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135"/>
    <x v="1"/>
    <x v="14"/>
    <x v="3"/>
    <x v="3"/>
    <n v="2"/>
    <n v="210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160"/>
    <x v="19"/>
    <x v="33"/>
    <x v="3"/>
    <x v="3"/>
    <n v="2"/>
    <n v="220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160"/>
    <x v="19"/>
    <x v="33"/>
    <x v="3"/>
    <x v="3"/>
    <n v="2"/>
    <n v="220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190"/>
    <x v="15"/>
    <x v="21"/>
    <x v="3"/>
    <x v="3"/>
    <n v="2"/>
    <n v="228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190"/>
    <x v="15"/>
    <x v="21"/>
    <x v="3"/>
    <x v="3"/>
    <n v="2"/>
    <n v="228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225"/>
    <x v="12"/>
    <x v="15"/>
    <x v="3"/>
    <x v="3"/>
    <n v="2"/>
    <n v="256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225"/>
    <x v="12"/>
    <x v="15"/>
    <x v="3"/>
    <x v="3"/>
    <n v="2"/>
    <n v="256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490"/>
    <x v="6"/>
    <x v="6"/>
    <x v="3"/>
    <x v="3"/>
    <n v="1"/>
    <n v="260"/>
    <x v="16"/>
    <x v="1"/>
    <s v="2017-12-06 ADV"/>
    <m/>
    <m/>
    <n v="7"/>
    <s v="2018"/>
    <m/>
    <m/>
    <m/>
    <m/>
    <s v="VENTE"/>
    <m/>
    <x v="1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1"/>
    <s v="ZX65"/>
    <x v="8"/>
    <x v="23"/>
    <x v="3"/>
    <x v="3"/>
    <n v="7"/>
    <n v="315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65"/>
    <x v="8"/>
    <x v="23"/>
    <x v="3"/>
    <x v="3"/>
    <n v="7"/>
    <n v="315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85"/>
    <x v="2"/>
    <x v="2"/>
    <x v="3"/>
    <x v="3"/>
    <n v="5"/>
    <n v="320"/>
    <x v="14"/>
    <x v="1"/>
    <s v="2017-12-06 ADV"/>
    <m/>
    <m/>
    <n v="10"/>
    <s v="2018"/>
    <m/>
    <m/>
    <m/>
    <m/>
    <s v="VENTE"/>
    <m/>
    <x v="1"/>
    <d v="2018-10-15T00:00:00"/>
    <x v="13"/>
    <d v="2018-12-14T00:00:00"/>
    <s v="12-2018"/>
    <d v="2018-10-16T00:00:00"/>
    <s v="10-2018"/>
    <d v="2019-02-12T00:00:00"/>
    <s v="02-2019"/>
    <d v="2018-12-14T00:00:00"/>
    <s v="12-2018"/>
    <d v="2019-04-13T00:00:00"/>
    <s v="04-2019"/>
    <n v="12"/>
    <s v="2018"/>
    <m/>
  </r>
  <r>
    <x v="1"/>
    <s v="ZX48"/>
    <x v="9"/>
    <x v="26"/>
    <x v="3"/>
    <x v="3"/>
    <n v="8"/>
    <n v="328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210"/>
    <x v="0"/>
    <x v="0"/>
    <x v="3"/>
    <x v="3"/>
    <n v="3"/>
    <n v="354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210"/>
    <x v="0"/>
    <x v="0"/>
    <x v="3"/>
    <x v="3"/>
    <n v="3"/>
    <n v="354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2"/>
    <s v="ZW310"/>
    <x v="14"/>
    <x v="20"/>
    <x v="3"/>
    <x v="3"/>
    <n v="2"/>
    <n v="360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2"/>
    <s v="ZW310"/>
    <x v="14"/>
    <x v="20"/>
    <x v="3"/>
    <x v="3"/>
    <n v="2"/>
    <n v="360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85"/>
    <x v="2"/>
    <x v="2"/>
    <x v="3"/>
    <x v="3"/>
    <n v="6"/>
    <n v="384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26"/>
    <x v="3"/>
    <x v="11"/>
    <x v="3"/>
    <x v="3"/>
    <n v="18"/>
    <n v="396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48"/>
    <x v="9"/>
    <x v="26"/>
    <x v="3"/>
    <x v="3"/>
    <n v="10"/>
    <n v="410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135"/>
    <x v="1"/>
    <x v="14"/>
    <x v="3"/>
    <x v="3"/>
    <n v="4"/>
    <n v="420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135"/>
    <x v="1"/>
    <x v="1"/>
    <x v="3"/>
    <x v="3"/>
    <n v="4"/>
    <n v="420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3"/>
    <s v="ZX145"/>
    <x v="18"/>
    <x v="27"/>
    <x v="3"/>
    <x v="3"/>
    <n v="4"/>
    <n v="460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3"/>
    <s v="ZX145"/>
    <x v="18"/>
    <x v="27"/>
    <x v="3"/>
    <x v="3"/>
    <n v="4"/>
    <n v="460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26"/>
    <x v="3"/>
    <x v="3"/>
    <x v="3"/>
    <x v="3"/>
    <n v="21"/>
    <n v="462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490"/>
    <x v="6"/>
    <x v="6"/>
    <x v="3"/>
    <x v="3"/>
    <n v="2"/>
    <n v="520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490"/>
    <x v="6"/>
    <x v="6"/>
    <x v="3"/>
    <x v="3"/>
    <n v="2"/>
    <n v="520"/>
    <x v="5"/>
    <x v="1"/>
    <s v="2017-05 Forecast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85"/>
    <x v="2"/>
    <x v="2"/>
    <x v="3"/>
    <x v="3"/>
    <n v="9"/>
    <n v="576"/>
    <x v="8"/>
    <x v="1"/>
    <s v="2017-05 Forecast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10"/>
    <x v="21"/>
    <x v="31"/>
    <x v="3"/>
    <x v="7"/>
    <n v="1"/>
    <n v="15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19"/>
    <x v="4"/>
    <x v="4"/>
    <x v="3"/>
    <x v="7"/>
    <n v="1"/>
    <n v="18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19"/>
    <x v="4"/>
    <x v="4"/>
    <x v="3"/>
    <x v="7"/>
    <n v="1"/>
    <n v="18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48"/>
    <x v="9"/>
    <x v="26"/>
    <x v="3"/>
    <x v="7"/>
    <n v="1"/>
    <n v="41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26"/>
    <x v="3"/>
    <x v="11"/>
    <x v="3"/>
    <x v="7"/>
    <n v="2"/>
    <n v="44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26"/>
    <x v="3"/>
    <x v="11"/>
    <x v="3"/>
    <x v="7"/>
    <n v="2"/>
    <n v="44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65"/>
    <x v="8"/>
    <x v="23"/>
    <x v="3"/>
    <x v="7"/>
    <n v="1"/>
    <n v="45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85"/>
    <x v="2"/>
    <x v="2"/>
    <x v="3"/>
    <x v="7"/>
    <n v="1"/>
    <n v="64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85"/>
    <x v="2"/>
    <x v="2"/>
    <x v="3"/>
    <x v="7"/>
    <n v="1"/>
    <n v="64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48"/>
    <x v="9"/>
    <x v="26"/>
    <x v="3"/>
    <x v="7"/>
    <n v="2"/>
    <n v="82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65"/>
    <x v="8"/>
    <x v="23"/>
    <x v="3"/>
    <x v="7"/>
    <n v="2"/>
    <n v="90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135"/>
    <x v="1"/>
    <x v="14"/>
    <x v="3"/>
    <x v="7"/>
    <n v="1"/>
    <n v="105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210"/>
    <x v="0"/>
    <x v="0"/>
    <x v="3"/>
    <x v="7"/>
    <n v="1"/>
    <n v="118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225"/>
    <x v="12"/>
    <x v="15"/>
    <x v="3"/>
    <x v="7"/>
    <n v="1"/>
    <n v="128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2"/>
    <s v="ZW310"/>
    <x v="14"/>
    <x v="20"/>
    <x v="3"/>
    <x v="4"/>
    <n v="0"/>
    <n v="0"/>
    <x v="7"/>
    <x v="1"/>
    <s v="2017-12-06 ADV"/>
    <m/>
    <m/>
    <n v="6"/>
    <s v="2018"/>
    <m/>
    <m/>
    <m/>
    <m/>
    <s v="LOCATION"/>
    <m/>
    <x v="6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1"/>
    <s v="ZX10"/>
    <x v="21"/>
    <x v="31"/>
    <x v="3"/>
    <x v="4"/>
    <n v="1"/>
    <n v="15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10"/>
    <x v="21"/>
    <x v="31"/>
    <x v="3"/>
    <x v="4"/>
    <n v="1"/>
    <n v="15"/>
    <x v="7"/>
    <x v="1"/>
    <s v="2017-12-06 ADV"/>
    <m/>
    <m/>
    <n v="6"/>
    <s v="2018"/>
    <m/>
    <m/>
    <m/>
    <m/>
    <s v="LOCATION"/>
    <m/>
    <x v="6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1"/>
    <s v="ZX19"/>
    <x v="4"/>
    <x v="4"/>
    <x v="3"/>
    <x v="4"/>
    <n v="1"/>
    <n v="18"/>
    <x v="6"/>
    <x v="1"/>
    <s v="2017-12-06 ADV"/>
    <m/>
    <m/>
    <n v="9"/>
    <s v="2018"/>
    <m/>
    <m/>
    <m/>
    <m/>
    <s v="LOCATION"/>
    <m/>
    <x v="6"/>
    <d v="2018-09-15T00:00:00"/>
    <x v="6"/>
    <d v="2018-11-14T00:00:00"/>
    <s v="11-2018"/>
    <d v="2018-09-16T00:00:00"/>
    <s v="09-2018"/>
    <d v="2019-01-13T00:00:00"/>
    <s v="01-2019"/>
    <d v="2018-11-14T00:00:00"/>
    <s v="11-2018"/>
    <d v="2019-03-14T00:00:00"/>
    <s v="03-2019"/>
    <n v="11"/>
    <s v="2018"/>
    <m/>
  </r>
  <r>
    <x v="1"/>
    <s v="ZX19"/>
    <x v="4"/>
    <x v="4"/>
    <x v="3"/>
    <x v="4"/>
    <n v="2"/>
    <n v="36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19"/>
    <x v="4"/>
    <x v="4"/>
    <x v="3"/>
    <x v="4"/>
    <n v="2"/>
    <n v="36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85"/>
    <x v="2"/>
    <x v="2"/>
    <x v="3"/>
    <x v="4"/>
    <n v="1"/>
    <n v="64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26"/>
    <x v="3"/>
    <x v="3"/>
    <x v="3"/>
    <x v="4"/>
    <n v="3"/>
    <n v="66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26"/>
    <x v="3"/>
    <x v="3"/>
    <x v="3"/>
    <x v="4"/>
    <n v="3"/>
    <n v="66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2"/>
    <s v="ZW180"/>
    <x v="10"/>
    <x v="19"/>
    <x v="3"/>
    <x v="4"/>
    <n v="1"/>
    <n v="105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135"/>
    <x v="1"/>
    <x v="1"/>
    <x v="3"/>
    <x v="4"/>
    <n v="1"/>
    <n v="105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160"/>
    <x v="19"/>
    <x v="33"/>
    <x v="3"/>
    <x v="4"/>
    <n v="1"/>
    <n v="110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190"/>
    <x v="15"/>
    <x v="21"/>
    <x v="3"/>
    <x v="4"/>
    <n v="1"/>
    <n v="114"/>
    <x v="13"/>
    <x v="1"/>
    <s v="2017-12-06 ADV"/>
    <m/>
    <m/>
    <n v="11"/>
    <s v="2018"/>
    <m/>
    <m/>
    <m/>
    <m/>
    <s v="LOCATION"/>
    <m/>
    <x v="6"/>
    <d v="2018-11-15T00:00:00"/>
    <x v="12"/>
    <d v="2019-01-14T00:00:00"/>
    <s v="01-2019"/>
    <d v="2018-11-16T00:00:00"/>
    <s v="11-2018"/>
    <d v="2019-03-15T00:00:00"/>
    <s v="03-2019"/>
    <d v="2019-01-14T00:00:00"/>
    <s v="01-2019"/>
    <d v="2019-05-14T00:00:00"/>
    <s v="05-2019"/>
    <n v="1"/>
    <s v="2019"/>
    <m/>
  </r>
  <r>
    <x v="3"/>
    <s v="ZX145"/>
    <x v="18"/>
    <x v="27"/>
    <x v="3"/>
    <x v="4"/>
    <n v="1"/>
    <n v="115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210"/>
    <x v="0"/>
    <x v="0"/>
    <x v="3"/>
    <x v="4"/>
    <n v="1"/>
    <n v="118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48"/>
    <x v="9"/>
    <x v="26"/>
    <x v="3"/>
    <x v="4"/>
    <n v="3"/>
    <n v="123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225"/>
    <x v="12"/>
    <x v="12"/>
    <x v="3"/>
    <x v="4"/>
    <n v="1"/>
    <n v="128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225"/>
    <x v="12"/>
    <x v="15"/>
    <x v="3"/>
    <x v="4"/>
    <n v="1"/>
    <n v="128"/>
    <x v="7"/>
    <x v="1"/>
    <s v="2017-12-06 ADV"/>
    <m/>
    <m/>
    <n v="6"/>
    <s v="2018"/>
    <m/>
    <m/>
    <m/>
    <m/>
    <s v="LOCATION"/>
    <m/>
    <x v="6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0"/>
    <s v="ZX85"/>
    <x v="2"/>
    <x v="2"/>
    <x v="3"/>
    <x v="4"/>
    <n v="2"/>
    <n v="128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65"/>
    <x v="8"/>
    <x v="13"/>
    <x v="3"/>
    <x v="4"/>
    <n v="3"/>
    <n v="135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48"/>
    <x v="9"/>
    <x v="26"/>
    <x v="3"/>
    <x v="4"/>
    <n v="4"/>
    <n v="164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2"/>
    <s v="ZW310"/>
    <x v="14"/>
    <x v="20"/>
    <x v="3"/>
    <x v="4"/>
    <n v="1"/>
    <n v="180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65"/>
    <x v="8"/>
    <x v="13"/>
    <x v="3"/>
    <x v="4"/>
    <n v="4"/>
    <n v="180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490"/>
    <x v="6"/>
    <x v="6"/>
    <x v="3"/>
    <x v="4"/>
    <n v="2"/>
    <n v="520"/>
    <x v="5"/>
    <x v="1"/>
    <s v="2017-05 Forecast"/>
    <m/>
    <m/>
    <n v="6"/>
    <s v="2019"/>
    <m/>
    <m/>
    <m/>
    <m/>
    <s v="LOCATION"/>
    <m/>
    <x v="6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490"/>
    <x v="6"/>
    <x v="6"/>
    <x v="3"/>
    <x v="4"/>
    <n v="3"/>
    <n v="780"/>
    <x v="8"/>
    <x v="1"/>
    <s v="2017-05 Forecast"/>
    <m/>
    <m/>
    <n v="6"/>
    <s v="2020"/>
    <m/>
    <m/>
    <m/>
    <m/>
    <s v="LOCATION"/>
    <m/>
    <x v="6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3"/>
    <s v="ZX145"/>
    <x v="18"/>
    <x v="27"/>
    <x v="3"/>
    <x v="3"/>
    <n v="1"/>
    <n v="0"/>
    <x v="40"/>
    <x v="3"/>
    <s v="2017-10 ADV"/>
    <s v="** Lost **"/>
    <d v="2017-09-01T00:00:00"/>
    <n v="9"/>
    <s v="2017"/>
    <m/>
    <m/>
    <m/>
    <m/>
    <m/>
    <m/>
    <x v="0"/>
    <d v="2017-09-15T00:00:00"/>
    <x v="35"/>
    <d v="2017-11-14T00:00:00"/>
    <s v="11-2017"/>
    <d v="2017-09-16T00:00:00"/>
    <s v="09-2017"/>
    <d v="2018-01-13T00:00:00"/>
    <s v="01-2018"/>
    <d v="2017-11-14T00:00:00"/>
    <s v="11-2017"/>
    <d v="2018-03-14T00:00:00"/>
    <s v="03-2018"/>
    <n v="11"/>
    <s v="2017"/>
    <m/>
  </r>
  <r>
    <x v="3"/>
    <s v="ZX145"/>
    <x v="18"/>
    <x v="27"/>
    <x v="3"/>
    <x v="3"/>
    <n v="1"/>
    <n v="0"/>
    <x v="38"/>
    <x v="3"/>
    <s v="2017-10 ADV"/>
    <s v="** Lost **"/>
    <d v="2017-06-01T00:00:00"/>
    <n v="8"/>
    <s v="2017"/>
    <m/>
    <m/>
    <m/>
    <m/>
    <m/>
    <m/>
    <x v="0"/>
    <d v="2017-08-15T00:00:00"/>
    <x v="33"/>
    <d v="2017-10-14T00:00:00"/>
    <s v="10-2017"/>
    <d v="2017-08-16T00:00:00"/>
    <s v="08-2017"/>
    <d v="2017-12-13T00:00:00"/>
    <s v="12-2017"/>
    <d v="2017-10-14T00:00:00"/>
    <s v="10-2017"/>
    <d v="2018-02-11T00:00:00"/>
    <s v="02-2018"/>
    <n v="10"/>
    <s v="2017"/>
    <m/>
  </r>
  <r>
    <x v="0"/>
    <s v="ZX85"/>
    <x v="2"/>
    <x v="2"/>
    <x v="3"/>
    <x v="3"/>
    <n v="1"/>
    <n v="0"/>
    <x v="3"/>
    <x v="3"/>
    <s v="2017-10 ADV"/>
    <s v="** Lost **"/>
    <d v="2017-12-01T00:00:00"/>
    <n v="12"/>
    <s v="2017"/>
    <m/>
    <m/>
    <m/>
    <m/>
    <m/>
    <m/>
    <x v="0"/>
    <d v="2017-12-15T00:00:00"/>
    <x v="3"/>
    <d v="2018-02-13T00:00:00"/>
    <s v="02-2018"/>
    <d v="2017-12-16T00:00:00"/>
    <s v="12-2017"/>
    <d v="2018-04-14T00:00:00"/>
    <s v="04-2018"/>
    <d v="2018-02-13T00:00:00"/>
    <s v="02-2018"/>
    <d v="2018-06-13T00:00:00"/>
    <s v="06-2018"/>
    <n v="2"/>
    <s v="2018"/>
    <m/>
  </r>
  <r>
    <x v="0"/>
    <s v="ZX490"/>
    <x v="6"/>
    <x v="9"/>
    <x v="4"/>
    <x v="8"/>
    <n v="1"/>
    <n v="260"/>
    <x v="5"/>
    <x v="1"/>
    <s v="2017-10 XMTP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490"/>
    <x v="6"/>
    <x v="9"/>
    <x v="4"/>
    <x v="8"/>
    <n v="2"/>
    <n v="520"/>
    <x v="8"/>
    <x v="1"/>
    <s v="2017-10 XMTP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350"/>
    <x v="5"/>
    <x v="32"/>
    <x v="4"/>
    <x v="8"/>
    <n v="1"/>
    <n v="188"/>
    <x v="16"/>
    <x v="0"/>
    <s v="2017-12 XMTP"/>
    <m/>
    <m/>
    <n v="7"/>
    <s v="2018"/>
    <m/>
    <m/>
    <m/>
    <m/>
    <s v="VENTE"/>
    <m/>
    <x v="1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0"/>
    <s v="ZX350"/>
    <x v="5"/>
    <x v="9"/>
    <x v="4"/>
    <x v="8"/>
    <n v="1"/>
    <n v="188"/>
    <x v="5"/>
    <x v="1"/>
    <s v="2017-10 XMTP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350"/>
    <x v="5"/>
    <x v="9"/>
    <x v="4"/>
    <x v="8"/>
    <n v="2"/>
    <n v="376"/>
    <x v="8"/>
    <x v="1"/>
    <s v="2017-10 XMTP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2"/>
    <s v="ZW220"/>
    <x v="14"/>
    <x v="34"/>
    <x v="4"/>
    <x v="8"/>
    <n v="1"/>
    <n v="140"/>
    <x v="1"/>
    <x v="0"/>
    <s v="2017-12 XMTP"/>
    <m/>
    <m/>
    <n v="4"/>
    <s v="2018"/>
    <m/>
    <m/>
    <m/>
    <m/>
    <s v="VENTE"/>
    <m/>
    <x v="1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2"/>
    <s v="ZW310"/>
    <x v="14"/>
    <x v="20"/>
    <x v="4"/>
    <x v="8"/>
    <n v="1"/>
    <n v="180"/>
    <x v="16"/>
    <x v="1"/>
    <s v="2017-12 XMTP"/>
    <m/>
    <m/>
    <n v="7"/>
    <s v="2018"/>
    <m/>
    <m/>
    <m/>
    <m/>
    <s v="VENTE"/>
    <m/>
    <x v="1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2"/>
    <s v="ZW310"/>
    <x v="14"/>
    <x v="20"/>
    <x v="4"/>
    <x v="8"/>
    <n v="1"/>
    <n v="180"/>
    <x v="5"/>
    <x v="1"/>
    <s v="2017-10 XMTP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2"/>
    <s v="ZW310"/>
    <x v="14"/>
    <x v="20"/>
    <x v="4"/>
    <x v="8"/>
    <n v="2"/>
    <n v="360"/>
    <x v="8"/>
    <x v="1"/>
    <s v="2017-10 XMTP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300"/>
    <x v="11"/>
    <x v="24"/>
    <x v="4"/>
    <x v="8"/>
    <n v="1"/>
    <n v="168"/>
    <x v="1"/>
    <x v="0"/>
    <s v="2017-12 XMTP"/>
    <m/>
    <m/>
    <n v="4"/>
    <s v="2018"/>
    <m/>
    <m/>
    <m/>
    <m/>
    <s v="VENTE"/>
    <m/>
    <x v="1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0"/>
    <s v="ZX300"/>
    <x v="11"/>
    <x v="35"/>
    <x v="4"/>
    <x v="8"/>
    <n v="1"/>
    <n v="168"/>
    <x v="1"/>
    <x v="1"/>
    <s v="2017-12 XMTP"/>
    <m/>
    <m/>
    <n v="4"/>
    <s v="2018"/>
    <m/>
    <m/>
    <m/>
    <m/>
    <s v="VENTE"/>
    <m/>
    <x v="1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0"/>
    <s v="ZX300"/>
    <x v="11"/>
    <x v="9"/>
    <x v="4"/>
    <x v="8"/>
    <n v="2"/>
    <n v="336"/>
    <x v="5"/>
    <x v="1"/>
    <s v="2017-10 XMTP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225"/>
    <x v="12"/>
    <x v="15"/>
    <x v="4"/>
    <x v="8"/>
    <n v="1"/>
    <n v="128"/>
    <x v="7"/>
    <x v="0"/>
    <s v="2017-12 XMTP"/>
    <m/>
    <m/>
    <n v="6"/>
    <s v="2018"/>
    <m/>
    <m/>
    <m/>
    <m/>
    <s v="VENTE"/>
    <m/>
    <x v="1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0"/>
    <s v="ZX225"/>
    <x v="12"/>
    <x v="9"/>
    <x v="4"/>
    <x v="8"/>
    <n v="3"/>
    <n v="384"/>
    <x v="5"/>
    <x v="1"/>
    <s v="2017-10 XMTP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225"/>
    <x v="12"/>
    <x v="9"/>
    <x v="4"/>
    <x v="8"/>
    <n v="3"/>
    <n v="384"/>
    <x v="8"/>
    <x v="1"/>
    <s v="2017-10 XMTP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225"/>
    <x v="12"/>
    <x v="15"/>
    <x v="4"/>
    <x v="8"/>
    <n v="1"/>
    <n v="128"/>
    <x v="7"/>
    <x v="0"/>
    <s v="2017-12 XMTP"/>
    <m/>
    <m/>
    <n v="6"/>
    <s v="2018"/>
    <m/>
    <m/>
    <m/>
    <m/>
    <m/>
    <m/>
    <x v="0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0"/>
    <s v="ZX225"/>
    <x v="12"/>
    <x v="36"/>
    <x v="4"/>
    <x v="8"/>
    <n v="1"/>
    <n v="128"/>
    <x v="11"/>
    <x v="0"/>
    <s v="2017-12 XMTP"/>
    <m/>
    <m/>
    <n v="5"/>
    <s v="2018"/>
    <m/>
    <m/>
    <m/>
    <m/>
    <m/>
    <m/>
    <x v="0"/>
    <d v="2018-05-15T00:00:00"/>
    <x v="10"/>
    <d v="2018-07-14T00:00:00"/>
    <s v="07-2018"/>
    <d v="2018-05-16T00:00:00"/>
    <s v="05-2018"/>
    <d v="2018-09-12T00:00:00"/>
    <s v="09-2018"/>
    <d v="2018-07-14T00:00:00"/>
    <s v="07-2018"/>
    <d v="2018-11-11T00:00:00"/>
    <s v="11-2018"/>
    <n v="7"/>
    <s v="2018"/>
    <m/>
  </r>
  <r>
    <x v="0"/>
    <s v="ZX225"/>
    <x v="12"/>
    <x v="36"/>
    <x v="4"/>
    <x v="8"/>
    <n v="1"/>
    <n v="128"/>
    <x v="6"/>
    <x v="0"/>
    <s v="2017-12 XMTP"/>
    <m/>
    <m/>
    <n v="9"/>
    <s v="2018"/>
    <m/>
    <m/>
    <m/>
    <m/>
    <m/>
    <m/>
    <x v="0"/>
    <d v="2018-09-15T00:00:00"/>
    <x v="6"/>
    <d v="2018-11-14T00:00:00"/>
    <s v="11-2018"/>
    <d v="2018-09-16T00:00:00"/>
    <s v="09-2018"/>
    <d v="2019-01-13T00:00:00"/>
    <s v="01-2019"/>
    <d v="2018-11-14T00:00:00"/>
    <s v="11-2018"/>
    <d v="2019-03-14T00:00:00"/>
    <s v="03-2019"/>
    <n v="11"/>
    <s v="2018"/>
    <m/>
  </r>
  <r>
    <x v="0"/>
    <s v="ZX210"/>
    <x v="0"/>
    <x v="0"/>
    <x v="4"/>
    <x v="8"/>
    <n v="1"/>
    <n v="118"/>
    <x v="0"/>
    <x v="2"/>
    <s v="2018-02-06 XMTP"/>
    <m/>
    <m/>
    <n v="1"/>
    <s v="2018"/>
    <m/>
    <m/>
    <m/>
    <m/>
    <m/>
    <m/>
    <x v="0"/>
    <d v="2018-01-15T00:00:00"/>
    <x v="0"/>
    <d v="2018-03-16T00:00:00"/>
    <s v="03-2018"/>
    <d v="2018-01-16T00:00:00"/>
    <s v="01-2018"/>
    <d v="2018-05-15T00:00:00"/>
    <s v="05-2018"/>
    <d v="2018-03-16T00:00:00"/>
    <s v="03-2018"/>
    <d v="2018-07-14T00:00:00"/>
    <s v="07-2018"/>
    <n v="3"/>
    <s v="2018"/>
    <m/>
  </r>
  <r>
    <x v="0"/>
    <s v="ZX210"/>
    <x v="0"/>
    <x v="0"/>
    <x v="4"/>
    <x v="8"/>
    <n v="1"/>
    <n v="118"/>
    <x v="12"/>
    <x v="0"/>
    <s v="2018-02-06 XMTP"/>
    <m/>
    <m/>
    <n v="2"/>
    <s v="2018"/>
    <m/>
    <m/>
    <m/>
    <m/>
    <s v="VENTE"/>
    <m/>
    <x v="1"/>
    <d v="2018-02-15T00:00:00"/>
    <x v="11"/>
    <d v="2018-04-16T00:00:00"/>
    <s v="04-2018"/>
    <d v="2018-02-16T00:00:00"/>
    <s v="02-2018"/>
    <d v="2018-06-15T00:00:00"/>
    <s v="06-2018"/>
    <d v="2018-04-16T00:00:00"/>
    <s v="04-2018"/>
    <d v="2018-08-14T00:00:00"/>
    <s v="08-2018"/>
    <n v="4"/>
    <s v="2018"/>
    <m/>
  </r>
  <r>
    <x v="0"/>
    <s v="ZX210"/>
    <x v="0"/>
    <x v="0"/>
    <x v="4"/>
    <x v="8"/>
    <n v="1"/>
    <n v="118"/>
    <x v="2"/>
    <x v="0"/>
    <s v="2017-12 XMTP"/>
    <m/>
    <m/>
    <n v="3"/>
    <s v="2018"/>
    <m/>
    <m/>
    <m/>
    <m/>
    <s v="VENTE"/>
    <m/>
    <x v="1"/>
    <d v="2018-03-15T00:00:00"/>
    <x v="2"/>
    <d v="2018-05-14T00:00:00"/>
    <s v="05-2018"/>
    <d v="2018-03-16T00:00:00"/>
    <s v="03-2018"/>
    <d v="2018-07-13T00:00:00"/>
    <s v="07-2018"/>
    <d v="2018-05-14T00:00:00"/>
    <s v="05-2018"/>
    <d v="2018-09-11T00:00:00"/>
    <s v="09-2018"/>
    <n v="5"/>
    <s v="2018"/>
    <m/>
  </r>
  <r>
    <x v="0"/>
    <s v="ZX210"/>
    <x v="0"/>
    <x v="9"/>
    <x v="4"/>
    <x v="8"/>
    <n v="6"/>
    <n v="708"/>
    <x v="5"/>
    <x v="1"/>
    <s v="2017-10 XMTP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210"/>
    <x v="0"/>
    <x v="9"/>
    <x v="4"/>
    <x v="8"/>
    <n v="8"/>
    <n v="944"/>
    <x v="8"/>
    <x v="1"/>
    <s v="2017-10 XMTP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190"/>
    <x v="15"/>
    <x v="9"/>
    <x v="4"/>
    <x v="8"/>
    <n v="1"/>
    <n v="114"/>
    <x v="5"/>
    <x v="1"/>
    <s v="2017-10 XMTP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190"/>
    <x v="15"/>
    <x v="9"/>
    <x v="4"/>
    <x v="8"/>
    <n v="1"/>
    <n v="114"/>
    <x v="8"/>
    <x v="1"/>
    <s v="2017-10 XMTP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2"/>
    <s v="ZW180"/>
    <x v="10"/>
    <x v="19"/>
    <x v="4"/>
    <x v="8"/>
    <n v="1"/>
    <n v="105"/>
    <x v="16"/>
    <x v="1"/>
    <s v="2017-12 XMTP"/>
    <m/>
    <m/>
    <n v="7"/>
    <s v="2018"/>
    <m/>
    <m/>
    <m/>
    <m/>
    <s v="VENTE"/>
    <m/>
    <x v="1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2"/>
    <s v="ZW180"/>
    <x v="10"/>
    <x v="9"/>
    <x v="4"/>
    <x v="8"/>
    <n v="2"/>
    <n v="210"/>
    <x v="5"/>
    <x v="1"/>
    <s v="2017-10 XMTP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2"/>
    <s v="ZW180"/>
    <x v="10"/>
    <x v="9"/>
    <x v="4"/>
    <x v="8"/>
    <n v="2"/>
    <n v="210"/>
    <x v="8"/>
    <x v="1"/>
    <s v="2017-10 XMTP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3"/>
    <s v="ZX19"/>
    <x v="4"/>
    <x v="37"/>
    <x v="4"/>
    <x v="8"/>
    <n v="1"/>
    <n v="18"/>
    <x v="12"/>
    <x v="2"/>
    <s v="2018-02-06 XMTP"/>
    <m/>
    <m/>
    <n v="2"/>
    <s v="2018"/>
    <m/>
    <m/>
    <m/>
    <m/>
    <m/>
    <m/>
    <x v="0"/>
    <d v="2018-02-15T00:00:00"/>
    <x v="11"/>
    <d v="2018-04-16T00:00:00"/>
    <s v="04-2018"/>
    <d v="2018-02-16T00:00:00"/>
    <s v="02-2018"/>
    <d v="2018-06-15T00:00:00"/>
    <s v="06-2018"/>
    <d v="2018-04-16T00:00:00"/>
    <s v="04-2018"/>
    <d v="2018-08-14T00:00:00"/>
    <s v="08-2018"/>
    <n v="4"/>
    <s v="2018"/>
    <m/>
  </r>
  <r>
    <x v="3"/>
    <s v="ZX19"/>
    <x v="4"/>
    <x v="4"/>
    <x v="4"/>
    <x v="8"/>
    <n v="1"/>
    <n v="18"/>
    <x v="12"/>
    <x v="2"/>
    <s v="2018-02-06 XMTP"/>
    <m/>
    <m/>
    <n v="2"/>
    <s v="2018"/>
    <m/>
    <m/>
    <m/>
    <m/>
    <m/>
    <m/>
    <x v="0"/>
    <d v="2018-02-15T00:00:00"/>
    <x v="11"/>
    <d v="2018-04-16T00:00:00"/>
    <s v="04-2018"/>
    <d v="2018-02-16T00:00:00"/>
    <s v="02-2018"/>
    <d v="2018-06-15T00:00:00"/>
    <s v="06-2018"/>
    <d v="2018-04-16T00:00:00"/>
    <s v="04-2018"/>
    <d v="2018-08-14T00:00:00"/>
    <s v="08-2018"/>
    <n v="4"/>
    <s v="2018"/>
    <m/>
  </r>
  <r>
    <x v="3"/>
    <s v="ZX145"/>
    <x v="18"/>
    <x v="27"/>
    <x v="4"/>
    <x v="8"/>
    <n v="1"/>
    <n v="115"/>
    <x v="12"/>
    <x v="0"/>
    <s v="2017-12 XMTP"/>
    <m/>
    <m/>
    <n v="2"/>
    <s v="2018"/>
    <m/>
    <m/>
    <m/>
    <m/>
    <s v="VENTE"/>
    <m/>
    <x v="1"/>
    <d v="2018-02-15T00:00:00"/>
    <x v="11"/>
    <d v="2018-04-16T00:00:00"/>
    <s v="04-2018"/>
    <d v="2018-02-16T00:00:00"/>
    <s v="02-2018"/>
    <d v="2018-06-15T00:00:00"/>
    <s v="06-2018"/>
    <d v="2018-04-16T00:00:00"/>
    <s v="04-2018"/>
    <d v="2018-08-14T00:00:00"/>
    <s v="08-2018"/>
    <n v="4"/>
    <s v="2018"/>
    <m/>
  </r>
  <r>
    <x v="3"/>
    <s v="ZX145"/>
    <x v="18"/>
    <x v="27"/>
    <x v="4"/>
    <x v="8"/>
    <n v="3"/>
    <n v="345"/>
    <x v="1"/>
    <x v="0"/>
    <s v="2017-12 XMTP"/>
    <m/>
    <m/>
    <n v="4"/>
    <s v="2018"/>
    <m/>
    <m/>
    <m/>
    <m/>
    <s v="VENTE"/>
    <m/>
    <x v="1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3"/>
    <s v="ZX145"/>
    <x v="18"/>
    <x v="27"/>
    <x v="4"/>
    <x v="8"/>
    <n v="3"/>
    <n v="345"/>
    <x v="5"/>
    <x v="1"/>
    <s v="2017-10 XMTP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3"/>
    <s v="ZX145"/>
    <x v="18"/>
    <x v="27"/>
    <x v="4"/>
    <x v="8"/>
    <n v="3"/>
    <n v="345"/>
    <x v="8"/>
    <x v="1"/>
    <s v="2017-10 XMTP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135"/>
    <x v="1"/>
    <x v="1"/>
    <x v="4"/>
    <x v="8"/>
    <n v="1"/>
    <n v="105"/>
    <x v="12"/>
    <x v="0"/>
    <s v="2017-12 XMTP"/>
    <m/>
    <m/>
    <n v="2"/>
    <s v="2018"/>
    <m/>
    <m/>
    <m/>
    <m/>
    <s v="VENTE"/>
    <m/>
    <x v="1"/>
    <d v="2018-02-15T00:00:00"/>
    <x v="11"/>
    <d v="2018-04-16T00:00:00"/>
    <s v="04-2018"/>
    <d v="2018-02-16T00:00:00"/>
    <s v="02-2018"/>
    <d v="2018-06-15T00:00:00"/>
    <s v="06-2018"/>
    <d v="2018-04-16T00:00:00"/>
    <s v="04-2018"/>
    <d v="2018-08-14T00:00:00"/>
    <s v="08-2018"/>
    <n v="4"/>
    <s v="2018"/>
    <m/>
  </r>
  <r>
    <x v="0"/>
    <s v="ZX135"/>
    <x v="1"/>
    <x v="1"/>
    <x v="4"/>
    <x v="8"/>
    <n v="3"/>
    <n v="315"/>
    <x v="16"/>
    <x v="0"/>
    <s v="2017-12 XMTP"/>
    <m/>
    <m/>
    <n v="7"/>
    <s v="2018"/>
    <m/>
    <m/>
    <m/>
    <m/>
    <s v="VENTE"/>
    <m/>
    <x v="1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0"/>
    <s v="ZX135"/>
    <x v="1"/>
    <x v="9"/>
    <x v="4"/>
    <x v="8"/>
    <n v="4"/>
    <n v="420"/>
    <x v="5"/>
    <x v="1"/>
    <s v="2017-10 XMTP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135"/>
    <x v="1"/>
    <x v="9"/>
    <x v="4"/>
    <x v="8"/>
    <n v="6"/>
    <n v="630"/>
    <x v="8"/>
    <x v="1"/>
    <s v="2017-10 XMTP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0"/>
    <s v="ZX85"/>
    <x v="2"/>
    <x v="2"/>
    <x v="4"/>
    <x v="8"/>
    <n v="2"/>
    <n v="128"/>
    <x v="12"/>
    <x v="0"/>
    <s v="2017-12 XMTP"/>
    <m/>
    <m/>
    <n v="2"/>
    <s v="2018"/>
    <m/>
    <m/>
    <m/>
    <m/>
    <s v="VENTE"/>
    <m/>
    <x v="1"/>
    <d v="2018-02-15T00:00:00"/>
    <x v="11"/>
    <d v="2018-04-16T00:00:00"/>
    <s v="04-2018"/>
    <d v="2018-02-16T00:00:00"/>
    <s v="02-2018"/>
    <d v="2018-06-15T00:00:00"/>
    <s v="06-2018"/>
    <d v="2018-04-16T00:00:00"/>
    <s v="04-2018"/>
    <d v="2018-08-14T00:00:00"/>
    <s v="08-2018"/>
    <n v="4"/>
    <s v="2018"/>
    <m/>
  </r>
  <r>
    <x v="0"/>
    <s v="ZX85"/>
    <x v="2"/>
    <x v="2"/>
    <x v="4"/>
    <x v="8"/>
    <n v="2"/>
    <n v="128"/>
    <x v="16"/>
    <x v="0"/>
    <s v="2017-12 XMTP"/>
    <m/>
    <m/>
    <n v="7"/>
    <s v="2018"/>
    <m/>
    <m/>
    <m/>
    <m/>
    <s v="VENTE"/>
    <m/>
    <x v="1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0"/>
    <s v="ZX85"/>
    <x v="2"/>
    <x v="2"/>
    <x v="4"/>
    <x v="8"/>
    <n v="2"/>
    <n v="128"/>
    <x v="15"/>
    <x v="1"/>
    <s v="2017-12 XMTP"/>
    <m/>
    <m/>
    <n v="8"/>
    <s v="2018"/>
    <m/>
    <m/>
    <m/>
    <m/>
    <s v="VENTE"/>
    <m/>
    <x v="1"/>
    <d v="2018-08-15T00:00:00"/>
    <x v="14"/>
    <d v="2018-10-14T00:00:00"/>
    <s v="10-2018"/>
    <d v="2018-08-16T00:00:00"/>
    <s v="08-2018"/>
    <d v="2018-12-13T00:00:00"/>
    <s v="12-2018"/>
    <d v="2018-10-14T00:00:00"/>
    <s v="10-2018"/>
    <d v="2019-02-11T00:00:00"/>
    <s v="02-2019"/>
    <n v="10"/>
    <s v="2018"/>
    <m/>
  </r>
  <r>
    <x v="0"/>
    <s v="ZX85"/>
    <x v="2"/>
    <x v="2"/>
    <x v="4"/>
    <x v="8"/>
    <n v="1"/>
    <n v="64"/>
    <x v="6"/>
    <x v="1"/>
    <s v="2017-12 XMTP"/>
    <m/>
    <m/>
    <n v="9"/>
    <s v="2018"/>
    <m/>
    <m/>
    <m/>
    <m/>
    <s v="VENTE"/>
    <m/>
    <x v="1"/>
    <d v="2018-09-15T00:00:00"/>
    <x v="6"/>
    <d v="2018-11-14T00:00:00"/>
    <s v="11-2018"/>
    <d v="2018-09-16T00:00:00"/>
    <s v="09-2018"/>
    <d v="2019-01-13T00:00:00"/>
    <s v="01-2019"/>
    <d v="2018-11-14T00:00:00"/>
    <s v="11-2018"/>
    <d v="2019-03-14T00:00:00"/>
    <s v="03-2019"/>
    <n v="11"/>
    <s v="2018"/>
    <m/>
  </r>
  <r>
    <x v="0"/>
    <s v="ZX85"/>
    <x v="2"/>
    <x v="2"/>
    <x v="4"/>
    <x v="8"/>
    <n v="1"/>
    <n v="64"/>
    <x v="14"/>
    <x v="1"/>
    <s v="2017-12 XMTP"/>
    <m/>
    <m/>
    <n v="10"/>
    <s v="2018"/>
    <m/>
    <m/>
    <m/>
    <m/>
    <s v="VENTE"/>
    <m/>
    <x v="1"/>
    <d v="2018-10-15T00:00:00"/>
    <x v="13"/>
    <d v="2018-12-14T00:00:00"/>
    <s v="12-2018"/>
    <d v="2018-10-16T00:00:00"/>
    <s v="10-2018"/>
    <d v="2019-02-12T00:00:00"/>
    <s v="02-2019"/>
    <d v="2018-12-14T00:00:00"/>
    <s v="12-2018"/>
    <d v="2019-04-13T00:00:00"/>
    <s v="04-2019"/>
    <n v="12"/>
    <s v="2018"/>
    <m/>
  </r>
  <r>
    <x v="0"/>
    <s v="ZX85"/>
    <x v="2"/>
    <x v="2"/>
    <x v="4"/>
    <x v="8"/>
    <n v="1"/>
    <n v="64"/>
    <x v="13"/>
    <x v="1"/>
    <s v="2017-12 XMTP"/>
    <m/>
    <m/>
    <n v="11"/>
    <s v="2018"/>
    <m/>
    <m/>
    <m/>
    <m/>
    <s v="VENTE"/>
    <m/>
    <x v="1"/>
    <d v="2018-11-15T00:00:00"/>
    <x v="12"/>
    <d v="2019-01-14T00:00:00"/>
    <s v="01-2019"/>
    <d v="2018-11-16T00:00:00"/>
    <s v="11-2018"/>
    <d v="2019-03-15T00:00:00"/>
    <s v="03-2019"/>
    <d v="2019-01-14T00:00:00"/>
    <s v="01-2019"/>
    <d v="2019-05-14T00:00:00"/>
    <s v="05-2019"/>
    <n v="1"/>
    <s v="2019"/>
    <m/>
  </r>
  <r>
    <x v="0"/>
    <s v="ZX85"/>
    <x v="2"/>
    <x v="9"/>
    <x v="4"/>
    <x v="8"/>
    <n v="10"/>
    <n v="640"/>
    <x v="5"/>
    <x v="1"/>
    <s v="2017-10 XMTP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0"/>
    <s v="ZX85"/>
    <x v="2"/>
    <x v="9"/>
    <x v="4"/>
    <x v="8"/>
    <n v="13"/>
    <n v="832"/>
    <x v="8"/>
    <x v="1"/>
    <s v="2017-10 XMTP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65"/>
    <x v="8"/>
    <x v="13"/>
    <x v="4"/>
    <x v="8"/>
    <n v="1"/>
    <n v="45"/>
    <x v="2"/>
    <x v="1"/>
    <s v="2017-12 XMTP"/>
    <m/>
    <m/>
    <n v="3"/>
    <s v="2018"/>
    <m/>
    <m/>
    <m/>
    <m/>
    <s v="VENTE"/>
    <m/>
    <x v="1"/>
    <d v="2018-03-15T00:00:00"/>
    <x v="2"/>
    <d v="2018-05-14T00:00:00"/>
    <s v="05-2018"/>
    <d v="2018-03-16T00:00:00"/>
    <s v="03-2018"/>
    <d v="2018-07-13T00:00:00"/>
    <s v="07-2018"/>
    <d v="2018-05-14T00:00:00"/>
    <s v="05-2018"/>
    <d v="2018-09-11T00:00:00"/>
    <s v="09-2018"/>
    <n v="5"/>
    <s v="2018"/>
    <m/>
  </r>
  <r>
    <x v="1"/>
    <s v="ZX65"/>
    <x v="8"/>
    <x v="9"/>
    <x v="4"/>
    <x v="8"/>
    <n v="1"/>
    <n v="45"/>
    <x v="5"/>
    <x v="1"/>
    <s v="2017-10 XMTP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65"/>
    <x v="8"/>
    <x v="9"/>
    <x v="4"/>
    <x v="8"/>
    <n v="1"/>
    <n v="45"/>
    <x v="8"/>
    <x v="1"/>
    <s v="2017-10 XMTP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55"/>
    <x v="7"/>
    <x v="18"/>
    <x v="4"/>
    <x v="8"/>
    <n v="2"/>
    <n v="86"/>
    <x v="0"/>
    <x v="2"/>
    <s v="2017-12 XMTP"/>
    <m/>
    <m/>
    <n v="1"/>
    <s v="2018"/>
    <m/>
    <m/>
    <m/>
    <m/>
    <s v="VENTE"/>
    <m/>
    <x v="1"/>
    <d v="2018-01-15T00:00:00"/>
    <x v="0"/>
    <d v="2018-03-16T00:00:00"/>
    <s v="03-2018"/>
    <d v="2018-01-16T00:00:00"/>
    <s v="01-2018"/>
    <d v="2018-05-15T00:00:00"/>
    <s v="05-2018"/>
    <d v="2018-03-16T00:00:00"/>
    <s v="03-2018"/>
    <d v="2018-07-14T00:00:00"/>
    <s v="07-2018"/>
    <n v="3"/>
    <s v="2018"/>
    <m/>
  </r>
  <r>
    <x v="1"/>
    <s v="ZX55"/>
    <x v="7"/>
    <x v="18"/>
    <x v="4"/>
    <x v="8"/>
    <n v="1"/>
    <n v="43"/>
    <x v="1"/>
    <x v="1"/>
    <s v="2017-12 XMTP"/>
    <m/>
    <m/>
    <n v="4"/>
    <s v="2018"/>
    <m/>
    <m/>
    <m/>
    <m/>
    <s v="VENTE"/>
    <m/>
    <x v="1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1"/>
    <s v="ZX55"/>
    <x v="7"/>
    <x v="18"/>
    <x v="4"/>
    <x v="8"/>
    <n v="1"/>
    <n v="43"/>
    <x v="7"/>
    <x v="1"/>
    <s v="2017-12 XMTP"/>
    <m/>
    <m/>
    <n v="6"/>
    <s v="2018"/>
    <m/>
    <m/>
    <m/>
    <m/>
    <s v="VENTE"/>
    <m/>
    <x v="1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1"/>
    <s v="ZX55"/>
    <x v="7"/>
    <x v="18"/>
    <x v="4"/>
    <x v="8"/>
    <n v="1"/>
    <n v="43"/>
    <x v="15"/>
    <x v="1"/>
    <s v="2017-12 XMTP"/>
    <m/>
    <m/>
    <n v="8"/>
    <s v="2018"/>
    <m/>
    <m/>
    <m/>
    <m/>
    <s v="VENTE"/>
    <m/>
    <x v="1"/>
    <d v="2018-08-15T00:00:00"/>
    <x v="14"/>
    <d v="2018-10-14T00:00:00"/>
    <s v="10-2018"/>
    <d v="2018-08-16T00:00:00"/>
    <s v="08-2018"/>
    <d v="2018-12-13T00:00:00"/>
    <s v="12-2018"/>
    <d v="2018-10-14T00:00:00"/>
    <s v="10-2018"/>
    <d v="2019-02-11T00:00:00"/>
    <s v="02-2019"/>
    <n v="10"/>
    <s v="2018"/>
    <m/>
  </r>
  <r>
    <x v="1"/>
    <s v="ZX55"/>
    <x v="7"/>
    <x v="18"/>
    <x v="4"/>
    <x v="8"/>
    <n v="1"/>
    <n v="43"/>
    <x v="14"/>
    <x v="1"/>
    <s v="2017-12 XMTP"/>
    <m/>
    <m/>
    <n v="10"/>
    <s v="2018"/>
    <m/>
    <m/>
    <m/>
    <m/>
    <s v="VENTE"/>
    <m/>
    <x v="1"/>
    <d v="2018-10-15T00:00:00"/>
    <x v="13"/>
    <d v="2018-12-14T00:00:00"/>
    <s v="12-2018"/>
    <d v="2018-10-16T00:00:00"/>
    <s v="10-2018"/>
    <d v="2019-02-12T00:00:00"/>
    <s v="02-2019"/>
    <d v="2018-12-14T00:00:00"/>
    <s v="12-2018"/>
    <d v="2019-04-13T00:00:00"/>
    <s v="04-2019"/>
    <n v="12"/>
    <s v="2018"/>
    <m/>
  </r>
  <r>
    <x v="1"/>
    <s v="ZX55"/>
    <x v="7"/>
    <x v="9"/>
    <x v="4"/>
    <x v="8"/>
    <n v="5"/>
    <n v="215"/>
    <x v="5"/>
    <x v="1"/>
    <s v="2017-10 XMTP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55"/>
    <x v="7"/>
    <x v="9"/>
    <x v="4"/>
    <x v="8"/>
    <n v="6"/>
    <n v="258"/>
    <x v="8"/>
    <x v="1"/>
    <s v="2017-10 XMTP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48"/>
    <x v="9"/>
    <x v="26"/>
    <x v="4"/>
    <x v="8"/>
    <n v="2"/>
    <n v="82"/>
    <x v="2"/>
    <x v="1"/>
    <s v="2017-12 XMTP"/>
    <m/>
    <m/>
    <n v="3"/>
    <s v="2018"/>
    <m/>
    <m/>
    <m/>
    <m/>
    <s v="VENTE"/>
    <m/>
    <x v="1"/>
    <d v="2018-03-15T00:00:00"/>
    <x v="2"/>
    <d v="2018-05-14T00:00:00"/>
    <s v="05-2018"/>
    <d v="2018-03-16T00:00:00"/>
    <s v="03-2018"/>
    <d v="2018-07-13T00:00:00"/>
    <s v="07-2018"/>
    <d v="2018-05-14T00:00:00"/>
    <s v="05-2018"/>
    <d v="2018-09-11T00:00:00"/>
    <s v="09-2018"/>
    <n v="5"/>
    <s v="2018"/>
    <m/>
  </r>
  <r>
    <x v="1"/>
    <s v="ZX48"/>
    <x v="9"/>
    <x v="26"/>
    <x v="4"/>
    <x v="8"/>
    <n v="1"/>
    <n v="41"/>
    <x v="0"/>
    <x v="2"/>
    <s v="2017-12 XMTP"/>
    <m/>
    <m/>
    <n v="1"/>
    <s v="2018"/>
    <m/>
    <m/>
    <m/>
    <m/>
    <m/>
    <m/>
    <x v="0"/>
    <d v="2018-01-15T00:00:00"/>
    <x v="0"/>
    <d v="2018-03-16T00:00:00"/>
    <s v="03-2018"/>
    <d v="2018-01-16T00:00:00"/>
    <s v="01-2018"/>
    <d v="2018-05-15T00:00:00"/>
    <s v="05-2018"/>
    <d v="2018-03-16T00:00:00"/>
    <s v="03-2018"/>
    <d v="2018-07-14T00:00:00"/>
    <s v="07-2018"/>
    <n v="3"/>
    <s v="2018"/>
    <m/>
  </r>
  <r>
    <x v="1"/>
    <s v="ZX48"/>
    <x v="9"/>
    <x v="26"/>
    <x v="4"/>
    <x v="8"/>
    <n v="1"/>
    <n v="41"/>
    <x v="0"/>
    <x v="2"/>
    <s v="2017-12 XMTP"/>
    <m/>
    <m/>
    <n v="1"/>
    <s v="2018"/>
    <m/>
    <m/>
    <m/>
    <m/>
    <m/>
    <m/>
    <x v="0"/>
    <d v="2018-01-15T00:00:00"/>
    <x v="0"/>
    <d v="2018-03-16T00:00:00"/>
    <s v="03-2018"/>
    <d v="2018-01-16T00:00:00"/>
    <s v="01-2018"/>
    <d v="2018-05-15T00:00:00"/>
    <s v="05-2018"/>
    <d v="2018-03-16T00:00:00"/>
    <s v="03-2018"/>
    <d v="2018-07-14T00:00:00"/>
    <s v="07-2018"/>
    <n v="3"/>
    <s v="2018"/>
    <m/>
  </r>
  <r>
    <x v="1"/>
    <s v="ZX48"/>
    <x v="9"/>
    <x v="26"/>
    <x v="4"/>
    <x v="8"/>
    <n v="1"/>
    <n v="41"/>
    <x v="7"/>
    <x v="1"/>
    <s v="2017-12 XMTP"/>
    <m/>
    <m/>
    <n v="6"/>
    <s v="2018"/>
    <m/>
    <m/>
    <m/>
    <m/>
    <s v="VENTE"/>
    <m/>
    <x v="1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1"/>
    <s v="ZX48"/>
    <x v="9"/>
    <x v="26"/>
    <x v="4"/>
    <x v="8"/>
    <n v="1"/>
    <n v="41"/>
    <x v="16"/>
    <x v="1"/>
    <s v="2017-12 XMTP"/>
    <m/>
    <m/>
    <n v="7"/>
    <s v="2018"/>
    <m/>
    <m/>
    <m/>
    <m/>
    <s v="VENTE"/>
    <m/>
    <x v="1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1"/>
    <s v="ZX48"/>
    <x v="9"/>
    <x v="26"/>
    <x v="4"/>
    <x v="8"/>
    <n v="1"/>
    <n v="41"/>
    <x v="6"/>
    <x v="1"/>
    <s v="2017-12 XMTP"/>
    <m/>
    <m/>
    <n v="9"/>
    <s v="2018"/>
    <m/>
    <m/>
    <m/>
    <m/>
    <s v="VENTE"/>
    <m/>
    <x v="1"/>
    <d v="2018-09-15T00:00:00"/>
    <x v="6"/>
    <d v="2018-11-14T00:00:00"/>
    <s v="11-2018"/>
    <d v="2018-09-16T00:00:00"/>
    <s v="09-2018"/>
    <d v="2019-01-13T00:00:00"/>
    <s v="01-2019"/>
    <d v="2018-11-14T00:00:00"/>
    <s v="11-2018"/>
    <d v="2019-03-14T00:00:00"/>
    <s v="03-2019"/>
    <n v="11"/>
    <s v="2018"/>
    <m/>
  </r>
  <r>
    <x v="1"/>
    <s v="ZX48"/>
    <x v="9"/>
    <x v="26"/>
    <x v="4"/>
    <x v="8"/>
    <n v="1"/>
    <n v="41"/>
    <x v="14"/>
    <x v="1"/>
    <s v="2017-12 XMTP"/>
    <m/>
    <m/>
    <n v="10"/>
    <s v="2018"/>
    <m/>
    <m/>
    <m/>
    <m/>
    <s v="VENTE"/>
    <m/>
    <x v="1"/>
    <d v="2018-10-15T00:00:00"/>
    <x v="13"/>
    <d v="2018-12-14T00:00:00"/>
    <s v="12-2018"/>
    <d v="2018-10-16T00:00:00"/>
    <s v="10-2018"/>
    <d v="2019-02-12T00:00:00"/>
    <s v="02-2019"/>
    <d v="2018-12-14T00:00:00"/>
    <s v="12-2018"/>
    <d v="2019-04-13T00:00:00"/>
    <s v="04-2019"/>
    <n v="12"/>
    <s v="2018"/>
    <m/>
  </r>
  <r>
    <x v="1"/>
    <s v="ZX48"/>
    <x v="9"/>
    <x v="9"/>
    <x v="4"/>
    <x v="8"/>
    <n v="5"/>
    <n v="205"/>
    <x v="5"/>
    <x v="1"/>
    <s v="2017-10 XMTP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48"/>
    <x v="9"/>
    <x v="9"/>
    <x v="4"/>
    <x v="8"/>
    <n v="6"/>
    <n v="246"/>
    <x v="8"/>
    <x v="1"/>
    <s v="2017-10 XMTP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33"/>
    <x v="16"/>
    <x v="38"/>
    <x v="4"/>
    <x v="8"/>
    <n v="1"/>
    <n v="32"/>
    <x v="2"/>
    <x v="0"/>
    <s v="2017-12 XMTP"/>
    <m/>
    <m/>
    <n v="3"/>
    <s v="2018"/>
    <m/>
    <m/>
    <m/>
    <m/>
    <s v="VENTE"/>
    <m/>
    <x v="1"/>
    <d v="2018-03-15T00:00:00"/>
    <x v="2"/>
    <d v="2018-05-14T00:00:00"/>
    <s v="05-2018"/>
    <d v="2018-03-16T00:00:00"/>
    <s v="03-2018"/>
    <d v="2018-07-13T00:00:00"/>
    <s v="07-2018"/>
    <d v="2018-05-14T00:00:00"/>
    <s v="05-2018"/>
    <d v="2018-09-11T00:00:00"/>
    <s v="09-2018"/>
    <n v="5"/>
    <s v="2018"/>
    <m/>
  </r>
  <r>
    <x v="1"/>
    <s v="ZX33"/>
    <x v="16"/>
    <x v="38"/>
    <x v="4"/>
    <x v="8"/>
    <n v="1"/>
    <n v="32"/>
    <x v="1"/>
    <x v="0"/>
    <s v="2018-02-06 XMTP"/>
    <m/>
    <m/>
    <n v="4"/>
    <s v="2018"/>
    <m/>
    <m/>
    <m/>
    <m/>
    <m/>
    <m/>
    <x v="0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1"/>
    <s v="ZX33"/>
    <x v="16"/>
    <x v="9"/>
    <x v="4"/>
    <x v="8"/>
    <n v="2"/>
    <n v="64"/>
    <x v="5"/>
    <x v="1"/>
    <s v="2017-10 XMTP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33"/>
    <x v="16"/>
    <x v="9"/>
    <x v="4"/>
    <x v="8"/>
    <n v="2"/>
    <n v="64"/>
    <x v="8"/>
    <x v="1"/>
    <s v="2017-10 XMTP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26"/>
    <x v="3"/>
    <x v="11"/>
    <x v="4"/>
    <x v="8"/>
    <n v="2"/>
    <n v="44"/>
    <x v="11"/>
    <x v="0"/>
    <s v="2017-12 XMTP"/>
    <m/>
    <m/>
    <n v="5"/>
    <s v="2018"/>
    <m/>
    <m/>
    <m/>
    <m/>
    <s v="VENTE"/>
    <m/>
    <x v="1"/>
    <d v="2018-05-15T00:00:00"/>
    <x v="10"/>
    <d v="2018-07-14T00:00:00"/>
    <s v="07-2018"/>
    <d v="2018-05-16T00:00:00"/>
    <s v="05-2018"/>
    <d v="2018-09-12T00:00:00"/>
    <s v="09-2018"/>
    <d v="2018-07-14T00:00:00"/>
    <s v="07-2018"/>
    <d v="2018-11-11T00:00:00"/>
    <s v="11-2018"/>
    <n v="7"/>
    <s v="2018"/>
    <m/>
  </r>
  <r>
    <x v="1"/>
    <s v="ZX26"/>
    <x v="3"/>
    <x v="11"/>
    <x v="4"/>
    <x v="8"/>
    <n v="2"/>
    <n v="44"/>
    <x v="16"/>
    <x v="1"/>
    <s v="2017-12 XMTP"/>
    <m/>
    <m/>
    <n v="7"/>
    <s v="2018"/>
    <m/>
    <m/>
    <m/>
    <m/>
    <s v="VENTE"/>
    <m/>
    <x v="1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1"/>
    <s v="ZX26"/>
    <x v="3"/>
    <x v="11"/>
    <x v="4"/>
    <x v="8"/>
    <n v="2"/>
    <n v="44"/>
    <x v="15"/>
    <x v="1"/>
    <s v="2017-12 XMTP"/>
    <m/>
    <m/>
    <n v="8"/>
    <s v="2018"/>
    <m/>
    <m/>
    <m/>
    <m/>
    <s v="VENTE"/>
    <m/>
    <x v="1"/>
    <d v="2018-08-15T00:00:00"/>
    <x v="14"/>
    <d v="2018-10-14T00:00:00"/>
    <s v="10-2018"/>
    <d v="2018-08-16T00:00:00"/>
    <s v="08-2018"/>
    <d v="2018-12-13T00:00:00"/>
    <s v="12-2018"/>
    <d v="2018-10-14T00:00:00"/>
    <s v="10-2018"/>
    <d v="2019-02-11T00:00:00"/>
    <s v="02-2019"/>
    <n v="10"/>
    <s v="2018"/>
    <m/>
  </r>
  <r>
    <x v="1"/>
    <s v="ZX26"/>
    <x v="3"/>
    <x v="11"/>
    <x v="4"/>
    <x v="8"/>
    <n v="2"/>
    <n v="44"/>
    <x v="6"/>
    <x v="1"/>
    <s v="2017-12 XMTP"/>
    <m/>
    <m/>
    <n v="9"/>
    <s v="2018"/>
    <m/>
    <m/>
    <m/>
    <m/>
    <s v="VENTE"/>
    <m/>
    <x v="1"/>
    <d v="2018-09-15T00:00:00"/>
    <x v="6"/>
    <d v="2018-11-14T00:00:00"/>
    <s v="11-2018"/>
    <d v="2018-09-16T00:00:00"/>
    <s v="09-2018"/>
    <d v="2019-01-13T00:00:00"/>
    <s v="01-2019"/>
    <d v="2018-11-14T00:00:00"/>
    <s v="11-2018"/>
    <d v="2019-03-14T00:00:00"/>
    <s v="03-2019"/>
    <n v="11"/>
    <s v="2018"/>
    <m/>
  </r>
  <r>
    <x v="1"/>
    <s v="ZX26"/>
    <x v="3"/>
    <x v="11"/>
    <x v="4"/>
    <x v="8"/>
    <n v="4"/>
    <n v="88"/>
    <x v="14"/>
    <x v="1"/>
    <s v="2017-12 XMTP"/>
    <m/>
    <m/>
    <n v="10"/>
    <s v="2018"/>
    <m/>
    <m/>
    <m/>
    <m/>
    <s v="VENTE"/>
    <m/>
    <x v="1"/>
    <d v="2018-10-15T00:00:00"/>
    <x v="13"/>
    <d v="2018-12-14T00:00:00"/>
    <s v="12-2018"/>
    <d v="2018-10-16T00:00:00"/>
    <s v="10-2018"/>
    <d v="2019-02-12T00:00:00"/>
    <s v="02-2019"/>
    <d v="2018-12-14T00:00:00"/>
    <s v="12-2018"/>
    <d v="2019-04-13T00:00:00"/>
    <s v="04-2019"/>
    <n v="12"/>
    <s v="2018"/>
    <m/>
  </r>
  <r>
    <x v="1"/>
    <s v="ZX26"/>
    <x v="3"/>
    <x v="11"/>
    <x v="4"/>
    <x v="8"/>
    <n v="2"/>
    <n v="44"/>
    <x v="13"/>
    <x v="1"/>
    <s v="2017-12 XMTP"/>
    <m/>
    <m/>
    <n v="11"/>
    <s v="2018"/>
    <m/>
    <m/>
    <m/>
    <m/>
    <s v="VENTE"/>
    <m/>
    <x v="1"/>
    <d v="2018-11-15T00:00:00"/>
    <x v="12"/>
    <d v="2019-01-14T00:00:00"/>
    <s v="01-2019"/>
    <d v="2018-11-16T00:00:00"/>
    <s v="11-2018"/>
    <d v="2019-03-15T00:00:00"/>
    <s v="03-2019"/>
    <d v="2019-01-14T00:00:00"/>
    <s v="01-2019"/>
    <d v="2019-05-14T00:00:00"/>
    <s v="05-2019"/>
    <n v="1"/>
    <s v="2019"/>
    <m/>
  </r>
  <r>
    <x v="1"/>
    <s v="ZX26"/>
    <x v="3"/>
    <x v="11"/>
    <x v="4"/>
    <x v="8"/>
    <n v="2"/>
    <n v="44"/>
    <x v="37"/>
    <x v="1"/>
    <s v="2017-12 XMTP"/>
    <m/>
    <m/>
    <n v="12"/>
    <s v="2018"/>
    <m/>
    <m/>
    <m/>
    <m/>
    <s v="VENTE"/>
    <m/>
    <x v="1"/>
    <d v="2018-12-15T00:00:00"/>
    <x v="32"/>
    <d v="2019-02-13T00:00:00"/>
    <s v="02-2019"/>
    <d v="2018-12-16T00:00:00"/>
    <s v="12-2018"/>
    <d v="2019-04-14T00:00:00"/>
    <s v="04-2019"/>
    <d v="2019-02-13T00:00:00"/>
    <s v="02-2019"/>
    <d v="2019-06-13T00:00:00"/>
    <s v="06-2019"/>
    <n v="2"/>
    <s v="2019"/>
    <m/>
  </r>
  <r>
    <x v="1"/>
    <s v="ZX26"/>
    <x v="3"/>
    <x v="3"/>
    <x v="4"/>
    <x v="8"/>
    <n v="4"/>
    <n v="88"/>
    <x v="12"/>
    <x v="2"/>
    <s v="2017-12 XMTP"/>
    <m/>
    <m/>
    <n v="2"/>
    <s v="2018"/>
    <m/>
    <m/>
    <m/>
    <m/>
    <s v="VENTE"/>
    <m/>
    <x v="1"/>
    <d v="2018-02-15T00:00:00"/>
    <x v="11"/>
    <d v="2018-04-16T00:00:00"/>
    <s v="04-2018"/>
    <d v="2018-02-16T00:00:00"/>
    <s v="02-2018"/>
    <d v="2018-06-15T00:00:00"/>
    <s v="06-2018"/>
    <d v="2018-04-16T00:00:00"/>
    <s v="04-2018"/>
    <d v="2018-08-14T00:00:00"/>
    <s v="08-2018"/>
    <n v="4"/>
    <s v="2018"/>
    <m/>
  </r>
  <r>
    <x v="1"/>
    <s v="ZX26"/>
    <x v="3"/>
    <x v="3"/>
    <x v="4"/>
    <x v="8"/>
    <n v="10"/>
    <n v="220"/>
    <x v="1"/>
    <x v="0"/>
    <s v="2017-12 XMTP"/>
    <m/>
    <m/>
    <n v="4"/>
    <s v="2018"/>
    <m/>
    <m/>
    <m/>
    <m/>
    <s v="VENTE"/>
    <m/>
    <x v="1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1"/>
    <s v="ZX26"/>
    <x v="3"/>
    <x v="3"/>
    <x v="4"/>
    <x v="8"/>
    <n v="2"/>
    <n v="44"/>
    <x v="16"/>
    <x v="1"/>
    <s v="2017-12 XMTP"/>
    <m/>
    <m/>
    <n v="7"/>
    <s v="2018"/>
    <m/>
    <m/>
    <m/>
    <m/>
    <s v="VENTE"/>
    <m/>
    <x v="1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1"/>
    <s v="ZX26"/>
    <x v="3"/>
    <x v="3"/>
    <x v="4"/>
    <x v="8"/>
    <n v="2"/>
    <n v="44"/>
    <x v="15"/>
    <x v="1"/>
    <s v="2017-12 XMTP"/>
    <m/>
    <m/>
    <n v="8"/>
    <s v="2018"/>
    <m/>
    <m/>
    <m/>
    <m/>
    <s v="VENTE"/>
    <m/>
    <x v="1"/>
    <d v="2018-08-15T00:00:00"/>
    <x v="14"/>
    <d v="2018-10-14T00:00:00"/>
    <s v="10-2018"/>
    <d v="2018-08-16T00:00:00"/>
    <s v="08-2018"/>
    <d v="2018-12-13T00:00:00"/>
    <s v="12-2018"/>
    <d v="2018-10-14T00:00:00"/>
    <s v="10-2018"/>
    <d v="2019-02-11T00:00:00"/>
    <s v="02-2019"/>
    <n v="10"/>
    <s v="2018"/>
    <m/>
  </r>
  <r>
    <x v="1"/>
    <s v="ZX26"/>
    <x v="3"/>
    <x v="3"/>
    <x v="4"/>
    <x v="8"/>
    <n v="2"/>
    <n v="44"/>
    <x v="6"/>
    <x v="1"/>
    <s v="2017-12 XMTP"/>
    <m/>
    <m/>
    <n v="9"/>
    <s v="2018"/>
    <m/>
    <m/>
    <m/>
    <m/>
    <s v="VENTE"/>
    <m/>
    <x v="1"/>
    <d v="2018-09-15T00:00:00"/>
    <x v="6"/>
    <d v="2018-11-14T00:00:00"/>
    <s v="11-2018"/>
    <d v="2018-09-16T00:00:00"/>
    <s v="09-2018"/>
    <d v="2019-01-13T00:00:00"/>
    <s v="01-2019"/>
    <d v="2018-11-14T00:00:00"/>
    <s v="11-2018"/>
    <d v="2019-03-14T00:00:00"/>
    <s v="03-2019"/>
    <n v="11"/>
    <s v="2018"/>
    <m/>
  </r>
  <r>
    <x v="1"/>
    <s v="ZX26"/>
    <x v="3"/>
    <x v="3"/>
    <x v="4"/>
    <x v="8"/>
    <n v="4"/>
    <n v="88"/>
    <x v="14"/>
    <x v="1"/>
    <s v="2017-12 XMTP"/>
    <m/>
    <m/>
    <n v="10"/>
    <s v="2018"/>
    <m/>
    <m/>
    <m/>
    <m/>
    <s v="VENTE"/>
    <m/>
    <x v="1"/>
    <d v="2018-10-15T00:00:00"/>
    <x v="13"/>
    <d v="2018-12-14T00:00:00"/>
    <s v="12-2018"/>
    <d v="2018-10-16T00:00:00"/>
    <s v="10-2018"/>
    <d v="2019-02-12T00:00:00"/>
    <s v="02-2019"/>
    <d v="2018-12-14T00:00:00"/>
    <s v="12-2018"/>
    <d v="2019-04-13T00:00:00"/>
    <s v="04-2019"/>
    <n v="12"/>
    <s v="2018"/>
    <m/>
  </r>
  <r>
    <x v="1"/>
    <s v="ZX26"/>
    <x v="3"/>
    <x v="3"/>
    <x v="4"/>
    <x v="8"/>
    <n v="2"/>
    <n v="44"/>
    <x v="13"/>
    <x v="1"/>
    <s v="2017-12 XMTP"/>
    <m/>
    <m/>
    <n v="11"/>
    <s v="2018"/>
    <m/>
    <m/>
    <m/>
    <m/>
    <s v="VENTE"/>
    <m/>
    <x v="1"/>
    <d v="2018-11-15T00:00:00"/>
    <x v="12"/>
    <d v="2019-01-14T00:00:00"/>
    <s v="01-2019"/>
    <d v="2018-11-16T00:00:00"/>
    <s v="11-2018"/>
    <d v="2019-03-15T00:00:00"/>
    <s v="03-2019"/>
    <d v="2019-01-14T00:00:00"/>
    <s v="01-2019"/>
    <d v="2019-05-14T00:00:00"/>
    <s v="05-2019"/>
    <n v="1"/>
    <s v="2019"/>
    <m/>
  </r>
  <r>
    <x v="1"/>
    <s v="ZX26"/>
    <x v="3"/>
    <x v="9"/>
    <x v="4"/>
    <x v="8"/>
    <n v="20"/>
    <n v="440"/>
    <x v="5"/>
    <x v="1"/>
    <s v="2017-10 XMTP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26"/>
    <x v="3"/>
    <x v="9"/>
    <x v="4"/>
    <x v="8"/>
    <n v="36"/>
    <n v="792"/>
    <x v="8"/>
    <x v="1"/>
    <s v="2017-10 XMTP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19"/>
    <x v="4"/>
    <x v="4"/>
    <x v="4"/>
    <x v="8"/>
    <n v="1"/>
    <n v="18"/>
    <x v="2"/>
    <x v="1"/>
    <s v="2017-12 XMTP"/>
    <m/>
    <m/>
    <n v="3"/>
    <s v="2018"/>
    <m/>
    <m/>
    <m/>
    <m/>
    <s v="VENTE"/>
    <m/>
    <x v="1"/>
    <d v="2018-03-15T00:00:00"/>
    <x v="2"/>
    <d v="2018-05-14T00:00:00"/>
    <s v="05-2018"/>
    <d v="2018-03-16T00:00:00"/>
    <s v="03-2018"/>
    <d v="2018-07-13T00:00:00"/>
    <s v="07-2018"/>
    <d v="2018-05-14T00:00:00"/>
    <s v="05-2018"/>
    <d v="2018-09-11T00:00:00"/>
    <s v="09-2018"/>
    <n v="5"/>
    <s v="2018"/>
    <m/>
  </r>
  <r>
    <x v="1"/>
    <s v="ZX19"/>
    <x v="4"/>
    <x v="4"/>
    <x v="4"/>
    <x v="8"/>
    <n v="1"/>
    <n v="18"/>
    <x v="1"/>
    <x v="1"/>
    <s v="2017-12 XMTP"/>
    <m/>
    <m/>
    <n v="4"/>
    <s v="2018"/>
    <m/>
    <m/>
    <m/>
    <m/>
    <s v="VENTE"/>
    <m/>
    <x v="1"/>
    <d v="2018-04-15T00:00:00"/>
    <x v="1"/>
    <d v="2018-06-14T00:00:00"/>
    <s v="06-2018"/>
    <d v="2018-04-16T00:00:00"/>
    <s v="04-2018"/>
    <d v="2018-08-13T00:00:00"/>
    <s v="08-2018"/>
    <d v="2018-06-14T00:00:00"/>
    <s v="06-2018"/>
    <d v="2018-10-12T00:00:00"/>
    <s v="10-2018"/>
    <n v="6"/>
    <s v="2018"/>
    <m/>
  </r>
  <r>
    <x v="1"/>
    <s v="ZX19"/>
    <x v="4"/>
    <x v="4"/>
    <x v="4"/>
    <x v="8"/>
    <n v="1"/>
    <n v="18"/>
    <x v="11"/>
    <x v="1"/>
    <s v="2017-12 XMTP"/>
    <m/>
    <m/>
    <n v="5"/>
    <s v="2018"/>
    <m/>
    <m/>
    <m/>
    <m/>
    <s v="VENTE"/>
    <m/>
    <x v="1"/>
    <d v="2018-05-15T00:00:00"/>
    <x v="10"/>
    <d v="2018-07-14T00:00:00"/>
    <s v="07-2018"/>
    <d v="2018-05-16T00:00:00"/>
    <s v="05-2018"/>
    <d v="2018-09-12T00:00:00"/>
    <s v="09-2018"/>
    <d v="2018-07-14T00:00:00"/>
    <s v="07-2018"/>
    <d v="2018-11-11T00:00:00"/>
    <s v="11-2018"/>
    <n v="7"/>
    <s v="2018"/>
    <m/>
  </r>
  <r>
    <x v="1"/>
    <s v="ZX19"/>
    <x v="4"/>
    <x v="4"/>
    <x v="4"/>
    <x v="8"/>
    <n v="1"/>
    <n v="18"/>
    <x v="7"/>
    <x v="1"/>
    <s v="2017-12 XMTP"/>
    <m/>
    <m/>
    <n v="6"/>
    <s v="2018"/>
    <m/>
    <m/>
    <m/>
    <m/>
    <s v="VENTE"/>
    <m/>
    <x v="1"/>
    <d v="2018-06-15T00:00:00"/>
    <x v="7"/>
    <d v="2018-08-14T00:00:00"/>
    <s v="08-2018"/>
    <d v="2018-06-16T00:00:00"/>
    <s v="06-2018"/>
    <d v="2018-10-13T00:00:00"/>
    <s v="10-2018"/>
    <d v="2018-08-14T00:00:00"/>
    <s v="08-2018"/>
    <d v="2018-12-12T00:00:00"/>
    <s v="12-2018"/>
    <n v="8"/>
    <s v="2018"/>
    <m/>
  </r>
  <r>
    <x v="1"/>
    <s v="ZX19"/>
    <x v="4"/>
    <x v="4"/>
    <x v="4"/>
    <x v="8"/>
    <n v="1"/>
    <n v="18"/>
    <x v="16"/>
    <x v="1"/>
    <s v="2017-12 XMTP"/>
    <m/>
    <m/>
    <n v="7"/>
    <s v="2018"/>
    <m/>
    <m/>
    <m/>
    <m/>
    <s v="VENTE"/>
    <m/>
    <x v="1"/>
    <d v="2018-07-15T00:00:00"/>
    <x v="15"/>
    <d v="2018-09-13T00:00:00"/>
    <s v="09-2018"/>
    <d v="2018-07-16T00:00:00"/>
    <s v="07-2018"/>
    <d v="2018-11-12T00:00:00"/>
    <s v="11-2018"/>
    <d v="2018-09-13T00:00:00"/>
    <s v="09-2018"/>
    <d v="2019-01-11T00:00:00"/>
    <s v="01-2019"/>
    <n v="9"/>
    <s v="2018"/>
    <m/>
  </r>
  <r>
    <x v="1"/>
    <s v="ZX19"/>
    <x v="4"/>
    <x v="4"/>
    <x v="4"/>
    <x v="8"/>
    <n v="1"/>
    <n v="18"/>
    <x v="15"/>
    <x v="1"/>
    <s v="2017-12 XMTP"/>
    <m/>
    <m/>
    <n v="8"/>
    <s v="2018"/>
    <m/>
    <m/>
    <m/>
    <m/>
    <s v="VENTE"/>
    <m/>
    <x v="1"/>
    <d v="2018-08-15T00:00:00"/>
    <x v="14"/>
    <d v="2018-10-14T00:00:00"/>
    <s v="10-2018"/>
    <d v="2018-08-16T00:00:00"/>
    <s v="08-2018"/>
    <d v="2018-12-13T00:00:00"/>
    <s v="12-2018"/>
    <d v="2018-10-14T00:00:00"/>
    <s v="10-2018"/>
    <d v="2019-02-11T00:00:00"/>
    <s v="02-2019"/>
    <n v="10"/>
    <s v="2018"/>
    <m/>
  </r>
  <r>
    <x v="1"/>
    <s v="ZX19"/>
    <x v="4"/>
    <x v="4"/>
    <x v="4"/>
    <x v="8"/>
    <n v="1"/>
    <n v="18"/>
    <x v="6"/>
    <x v="1"/>
    <s v="2017-12 XMTP"/>
    <m/>
    <m/>
    <n v="9"/>
    <s v="2018"/>
    <m/>
    <m/>
    <m/>
    <m/>
    <s v="VENTE"/>
    <m/>
    <x v="1"/>
    <d v="2018-09-15T00:00:00"/>
    <x v="6"/>
    <d v="2018-11-14T00:00:00"/>
    <s v="11-2018"/>
    <d v="2018-09-16T00:00:00"/>
    <s v="09-2018"/>
    <d v="2019-01-13T00:00:00"/>
    <s v="01-2019"/>
    <d v="2018-11-14T00:00:00"/>
    <s v="11-2018"/>
    <d v="2019-03-14T00:00:00"/>
    <s v="03-2019"/>
    <n v="11"/>
    <s v="2018"/>
    <m/>
  </r>
  <r>
    <x v="1"/>
    <s v="ZX19"/>
    <x v="4"/>
    <x v="4"/>
    <x v="4"/>
    <x v="8"/>
    <n v="1"/>
    <n v="18"/>
    <x v="14"/>
    <x v="1"/>
    <s v="2017-12 XMTP"/>
    <m/>
    <m/>
    <n v="10"/>
    <s v="2018"/>
    <m/>
    <m/>
    <m/>
    <m/>
    <s v="VENTE"/>
    <m/>
    <x v="1"/>
    <d v="2018-10-15T00:00:00"/>
    <x v="13"/>
    <d v="2018-12-14T00:00:00"/>
    <s v="12-2018"/>
    <d v="2018-10-16T00:00:00"/>
    <s v="10-2018"/>
    <d v="2019-02-12T00:00:00"/>
    <s v="02-2019"/>
    <d v="2018-12-14T00:00:00"/>
    <s v="12-2018"/>
    <d v="2019-04-13T00:00:00"/>
    <s v="04-2019"/>
    <n v="12"/>
    <s v="2018"/>
    <m/>
  </r>
  <r>
    <x v="1"/>
    <s v="ZX19"/>
    <x v="4"/>
    <x v="4"/>
    <x v="4"/>
    <x v="8"/>
    <n v="2"/>
    <n v="36"/>
    <x v="13"/>
    <x v="1"/>
    <s v="2017-12 XMTP"/>
    <m/>
    <m/>
    <n v="11"/>
    <s v="2018"/>
    <m/>
    <m/>
    <m/>
    <m/>
    <s v="VENTE"/>
    <m/>
    <x v="1"/>
    <d v="2018-11-15T00:00:00"/>
    <x v="12"/>
    <d v="2019-01-14T00:00:00"/>
    <s v="01-2019"/>
    <d v="2018-11-16T00:00:00"/>
    <s v="11-2018"/>
    <d v="2019-03-15T00:00:00"/>
    <s v="03-2019"/>
    <d v="2019-01-14T00:00:00"/>
    <s v="01-2019"/>
    <d v="2019-05-14T00:00:00"/>
    <s v="05-2019"/>
    <n v="1"/>
    <s v="2019"/>
    <m/>
  </r>
  <r>
    <x v="1"/>
    <s v="ZX19"/>
    <x v="4"/>
    <x v="9"/>
    <x v="4"/>
    <x v="8"/>
    <n v="8"/>
    <n v="144"/>
    <x v="5"/>
    <x v="1"/>
    <s v="2017-10 XMTP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19"/>
    <x v="4"/>
    <x v="9"/>
    <x v="4"/>
    <x v="8"/>
    <n v="8"/>
    <n v="144"/>
    <x v="8"/>
    <x v="1"/>
    <s v="2017-10 XMTP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  <r>
    <x v="1"/>
    <s v="ZX10"/>
    <x v="21"/>
    <x v="31"/>
    <x v="4"/>
    <x v="8"/>
    <n v="1"/>
    <n v="15"/>
    <x v="5"/>
    <x v="1"/>
    <s v="2017-10 XMTP"/>
    <m/>
    <m/>
    <n v="6"/>
    <s v="2019"/>
    <m/>
    <m/>
    <m/>
    <m/>
    <s v="VENTE"/>
    <m/>
    <x v="1"/>
    <d v="2019-06-15T00:00:00"/>
    <x v="5"/>
    <d v="2019-08-14T00:00:00"/>
    <s v="08-2019"/>
    <d v="2019-06-16T00:00:00"/>
    <s v="06-2019"/>
    <d v="2019-10-13T00:00:00"/>
    <s v="10-2019"/>
    <d v="2019-08-14T00:00:00"/>
    <s v="08-2019"/>
    <d v="2019-12-12T00:00:00"/>
    <s v="12-2019"/>
    <n v="8"/>
    <s v="2019"/>
    <m/>
  </r>
  <r>
    <x v="1"/>
    <s v="ZX10"/>
    <x v="21"/>
    <x v="31"/>
    <x v="4"/>
    <x v="8"/>
    <n v="1"/>
    <n v="15"/>
    <x v="8"/>
    <x v="1"/>
    <s v="2017-10 XMTP"/>
    <m/>
    <m/>
    <n v="6"/>
    <s v="2020"/>
    <m/>
    <m/>
    <m/>
    <m/>
    <s v="VENTE"/>
    <m/>
    <x v="1"/>
    <d v="2020-06-15T00:00:00"/>
    <x v="8"/>
    <d v="2020-08-14T00:00:00"/>
    <s v="08-2020"/>
    <d v="2020-06-16T00:00:00"/>
    <s v="06-2020"/>
    <d v="2020-10-13T00:00:00"/>
    <s v="10-2020"/>
    <d v="2020-08-14T00:00:00"/>
    <s v="08-2020"/>
    <d v="2020-12-12T00:00:00"/>
    <s v="12-2020"/>
    <n v="8"/>
    <s v="202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RecapMachines" cacheId="0" applyNumberFormats="0" applyBorderFormats="0" applyFontFormats="0" applyPatternFormats="0" applyAlignmentFormats="0" applyWidthHeightFormats="1" dataCaption="Valeurs" updatedVersion="5" minRefreshableVersion="5" useAutoFormatting="1" fieldPrintTitles="1" itemPrintTitles="1" createdVersion="5" indent="0" showHeaders="0" outline="1" outlineData="1" multipleFieldFilters="0">
  <location ref="B22:L37" firstHeaderRow="1" firstDataRow="2" firstDataCol="1"/>
  <pivotFields count="37">
    <pivotField axis="axisRow" subtotalTop="0" showAll="0" insertBlankRow="1" nonAutoSortDefault="1">
      <items count="6">
        <item x="2"/>
        <item x="1"/>
        <item x="0"/>
        <item x="3"/>
        <item m="1" x="4"/>
        <item t="default" sd="0"/>
      </items>
    </pivotField>
    <pivotField compact="0" showAll="0"/>
    <pivotField axis="axisRow" subtotalTop="0" showAll="0">
      <items count="23">
        <item sd="0" x="21"/>
        <item sd="0" x="4"/>
        <item sd="0" x="3"/>
        <item sd="0" x="16"/>
        <item sd="0" x="9"/>
        <item sd="0" x="7"/>
        <item sd="0" x="8"/>
        <item sd="0" x="17"/>
        <item sd="0" x="2"/>
        <item sd="0" x="1"/>
        <item sd="0" x="18"/>
        <item sd="0" x="19"/>
        <item sd="0" x="10"/>
        <item sd="0" x="15"/>
        <item sd="0" x="0"/>
        <item sd="0" x="12"/>
        <item sd="0" x="11"/>
        <item sd="0" x="14"/>
        <item sd="0" x="5"/>
        <item sd="0" x="6"/>
        <item sd="0" x="20"/>
        <item x="13"/>
        <item t="default"/>
      </items>
    </pivotField>
    <pivotField axis="axisRow" showAll="0">
      <items count="40">
        <item x="19"/>
        <item x="20"/>
        <item sd="0" x="25"/>
        <item sd="0" x="31"/>
        <item x="14"/>
        <item x="1"/>
        <item x="27"/>
        <item x="28"/>
        <item x="33"/>
        <item x="21"/>
        <item sd="0" x="4"/>
        <item x="0"/>
        <item x="12"/>
        <item x="15"/>
        <item x="29"/>
        <item x="11"/>
        <item x="3"/>
        <item x="24"/>
        <item x="22"/>
        <item x="32"/>
        <item x="5"/>
        <item x="26"/>
        <item x="10"/>
        <item x="6"/>
        <item x="30"/>
        <item x="7"/>
        <item x="23"/>
        <item x="13"/>
        <item x="8"/>
        <item x="2"/>
        <item sd="0" x="9"/>
        <item x="16"/>
        <item x="17"/>
        <item x="18"/>
        <item x="34"/>
        <item x="38"/>
        <item x="35"/>
        <item x="36"/>
        <item x="37"/>
        <item t="default"/>
      </items>
    </pivotField>
    <pivotField axis="axisRow" showAll="0">
      <items count="6">
        <item h="1" x="0"/>
        <item x="1"/>
        <item h="1" x="3"/>
        <item h="1" x="4"/>
        <item h="1" x="2"/>
        <item t="default"/>
      </items>
    </pivotField>
    <pivotField showAll="0">
      <items count="11">
        <item x="1"/>
        <item x="2"/>
        <item x="8"/>
        <item m="1" x="9"/>
        <item x="4"/>
        <item x="7"/>
        <item x="0"/>
        <item x="3"/>
        <item x="6"/>
        <item x="5"/>
        <item t="default"/>
      </items>
    </pivotField>
    <pivotField dataField="1" showAll="0"/>
    <pivotField showAll="0"/>
    <pivotField numFmtId="168" showAll="0">
      <items count="45">
        <item x="9"/>
        <item x="10"/>
        <item x="39"/>
        <item x="42"/>
        <item x="38"/>
        <item x="40"/>
        <item x="41"/>
        <item x="4"/>
        <item x="3"/>
        <item x="0"/>
        <item x="12"/>
        <item x="2"/>
        <item x="1"/>
        <item x="11"/>
        <item x="7"/>
        <item x="34"/>
        <item x="16"/>
        <item x="15"/>
        <item x="6"/>
        <item x="14"/>
        <item x="43"/>
        <item x="13"/>
        <item x="37"/>
        <item x="33"/>
        <item x="32"/>
        <item x="5"/>
        <item x="36"/>
        <item x="31"/>
        <item x="30"/>
        <item x="29"/>
        <item x="28"/>
        <item x="27"/>
        <item x="26"/>
        <item x="25"/>
        <item x="24"/>
        <item x="23"/>
        <item x="8"/>
        <item x="35"/>
        <item x="22"/>
        <item x="21"/>
        <item x="20"/>
        <item x="19"/>
        <item x="18"/>
        <item x="17"/>
        <item t="default"/>
      </items>
    </pivotField>
    <pivotField showAll="0">
      <items count="11">
        <item h="1" x="3"/>
        <item h="1" m="1" x="5"/>
        <item x="1"/>
        <item h="1" m="1" x="4"/>
        <item x="0"/>
        <item h="1" x="2"/>
        <item h="1" m="1" x="7"/>
        <item h="1" m="1" x="9"/>
        <item h="1" m="1" x="6"/>
        <item h="1" m="1" x="8"/>
        <item t="default"/>
      </items>
    </pivotField>
    <pivotField showAll="0"/>
    <pivotField showAll="0"/>
    <pivotField showAll="0"/>
    <pivotField numFmtId="1"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>
      <items count="24">
        <item x="2"/>
        <item x="6"/>
        <item x="1"/>
        <item x="19"/>
        <item x="17"/>
        <item x="3"/>
        <item x="9"/>
        <item x="22"/>
        <item x="20"/>
        <item x="11"/>
        <item x="16"/>
        <item x="5"/>
        <item x="13"/>
        <item x="14"/>
        <item x="10"/>
        <item x="15"/>
        <item x="21"/>
        <item x="4"/>
        <item x="8"/>
        <item x="7"/>
        <item x="12"/>
        <item x="18"/>
        <item x="0"/>
        <item t="default"/>
      </items>
    </pivotField>
    <pivotField numFmtId="173" showAll="0" defaultSubtotal="0"/>
    <pivotField axis="axisCol" showAll="0" sortType="ascending" defaultSubtotal="0">
      <items count="59">
        <item x="0"/>
        <item x="11"/>
        <item x="2"/>
        <item x="1"/>
        <item x="31"/>
        <item x="23"/>
        <item x="9"/>
        <item x="10"/>
        <item x="30"/>
        <item x="22"/>
        <item x="34"/>
        <item x="7"/>
        <item x="5"/>
        <item x="8"/>
        <item x="37"/>
        <item x="15"/>
        <item x="29"/>
        <item x="21"/>
        <item x="33"/>
        <item x="14"/>
        <item x="28"/>
        <item x="20"/>
        <item x="35"/>
        <item x="6"/>
        <item x="27"/>
        <item x="19"/>
        <item x="36"/>
        <item x="13"/>
        <item x="26"/>
        <item x="18"/>
        <item x="4"/>
        <item x="12"/>
        <item x="25"/>
        <item x="17"/>
        <item m="1" x="53"/>
        <item x="3"/>
        <item x="32"/>
        <item x="24"/>
        <item x="16"/>
        <item m="1" x="41"/>
        <item m="1" x="50"/>
        <item m="1" x="58"/>
        <item m="1" x="38"/>
        <item m="1" x="47"/>
        <item m="1" x="48"/>
        <item m="1" x="49"/>
        <item m="1" x="55"/>
        <item m="1" x="56"/>
        <item m="1" x="57"/>
        <item m="1" x="46"/>
        <item m="1" x="43"/>
        <item m="1" x="44"/>
        <item m="1" x="45"/>
        <item m="1" x="51"/>
        <item m="1" x="52"/>
        <item m="1" x="54"/>
        <item m="1" x="39"/>
        <item m="1" x="40"/>
        <item m="1" x="42"/>
      </items>
    </pivotField>
    <pivotField numFmtId="173" showAll="0" defaultSubtotal="0"/>
    <pivotField showAll="0" defaultSubtotal="0"/>
    <pivotField numFmtId="173" showAll="0" defaultSubtotal="0"/>
    <pivotField showAll="0" defaultSubtotal="0"/>
    <pivotField numFmtId="173" showAll="0" defaultSubtotal="0"/>
    <pivotField showAll="0" defaultSubtotal="0"/>
    <pivotField numFmtId="173" showAll="0" defaultSubtotal="0"/>
    <pivotField showAll="0" defaultSubtotal="0"/>
    <pivotField numFmtId="173" showAll="0" defaultSubtotal="0"/>
    <pivotField showAll="0" defaultSubtotal="0"/>
    <pivotField numFmtId="1" showAll="0" defaultSubtotal="0"/>
    <pivotField showAll="0" defaultSubtotal="0"/>
    <pivotField showAll="0" defaultSubtotal="0"/>
  </pivotFields>
  <rowFields count="4">
    <field x="0"/>
    <field x="2"/>
    <field x="3"/>
    <field x="4"/>
  </rowFields>
  <rowItems count="14">
    <i>
      <x v="1"/>
    </i>
    <i r="1">
      <x v="1"/>
    </i>
    <i r="1">
      <x v="2"/>
    </i>
    <i r="1">
      <x v="6"/>
    </i>
    <i t="default">
      <x v="1"/>
    </i>
    <i t="blank">
      <x v="1"/>
    </i>
    <i>
      <x v="2"/>
    </i>
    <i r="1">
      <x v="8"/>
    </i>
    <i r="1">
      <x v="9"/>
    </i>
    <i r="1">
      <x v="14"/>
    </i>
    <i r="1">
      <x v="15"/>
    </i>
    <i t="default">
      <x v="2"/>
    </i>
    <i t="blank">
      <x v="2"/>
    </i>
    <i t="grand">
      <x/>
    </i>
  </rowItems>
  <colFields count="1">
    <field x="23"/>
  </colFields>
  <colItems count="10">
    <i>
      <x v="3"/>
    </i>
    <i>
      <x v="7"/>
    </i>
    <i>
      <x v="11"/>
    </i>
    <i>
      <x v="15"/>
    </i>
    <i>
      <x v="19"/>
    </i>
    <i>
      <x v="23"/>
    </i>
    <i>
      <x v="27"/>
    </i>
    <i>
      <x v="31"/>
    </i>
    <i>
      <x v="36"/>
    </i>
    <i t="grand">
      <x/>
    </i>
  </colItems>
  <dataFields count="1">
    <dataField name="Somme de Nbre" fld="6" baseField="0" baseItem="0"/>
  </dataFields>
  <formats count="5">
    <format dxfId="36">
      <pivotArea type="all" dataOnly="0" outline="0" fieldPosition="0"/>
    </format>
    <format dxfId="35">
      <pivotArea outline="0" collapsedLevelsAreSubtotals="1" fieldPosition="0"/>
    </format>
    <format dxfId="34">
      <pivotArea dataOnly="0" labelOnly="1" fieldPosition="0">
        <references count="1">
          <reference field="0" count="0"/>
        </references>
      </pivotArea>
    </format>
    <format dxfId="33">
      <pivotArea dataOnly="0" labelOnly="1" grandRow="1" outline="0" fieldPosition="0"/>
    </format>
    <format dxfId="32">
      <pivotArea type="origin" dataOnly="0" labelOnly="1" outline="0" fieldPosition="0"/>
    </format>
  </formats>
  <pivotTableStyleInfo name="PivotStyleLight14" showRowHeaders="1" showColHeaders="1" showRowStripes="0" showColStripes="0" showLastColumn="1"/>
  <filters count="1">
    <filter fld="8" type="dateBetween" evalOrder="-1" id="171" name="Delivery">
      <autoFilter ref="A1">
        <filterColumn colId="0">
          <customFilters and="1">
            <customFilter operator="greaterThanOrEqual" val="43101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RecapMachines" cacheId="0" applyNumberFormats="0" applyBorderFormats="0" applyFontFormats="0" applyPatternFormats="0" applyAlignmentFormats="0" applyWidthHeightFormats="1" dataCaption="Valeurs" updatedVersion="5" minRefreshableVersion="5" useAutoFormatting="1" fieldPrintTitles="1" itemPrintTitles="1" createdVersion="5" indent="0" showHeaders="0" outline="1" outlineData="1" multipleFieldFilters="0">
  <location ref="B22:L28" firstHeaderRow="1" firstDataRow="2" firstDataCol="1"/>
  <pivotFields count="37">
    <pivotField axis="axisRow" subtotalTop="0" showAll="0" insertBlankRow="1" nonAutoSortDefault="1">
      <items count="6">
        <item sd="0" x="2"/>
        <item sd="0" x="1"/>
        <item sd="0" x="0"/>
        <item sd="0" x="3"/>
        <item m="1" x="4"/>
        <item t="default" sd="0"/>
      </items>
    </pivotField>
    <pivotField compact="0" showAll="0"/>
    <pivotField axis="axisRow" subtotalTop="0" showAll="0">
      <items count="23">
        <item sd="0" x="21"/>
        <item sd="0" x="4"/>
        <item sd="0" x="3"/>
        <item sd="0" x="16"/>
        <item sd="0" x="9"/>
        <item sd="0" x="7"/>
        <item sd="0" x="8"/>
        <item sd="0" x="17"/>
        <item sd="0" x="2"/>
        <item sd="0" x="1"/>
        <item sd="0" x="18"/>
        <item sd="0" x="19"/>
        <item sd="0" x="10"/>
        <item sd="0" x="15"/>
        <item sd="0" x="0"/>
        <item sd="0" x="12"/>
        <item sd="0" x="11"/>
        <item sd="0" x="14"/>
        <item sd="0" x="5"/>
        <item sd="0" x="6"/>
        <item sd="0" x="20"/>
        <item x="13"/>
        <item t="default"/>
      </items>
    </pivotField>
    <pivotField axis="axisRow" showAll="0">
      <items count="40">
        <item x="19"/>
        <item x="20"/>
        <item x="25"/>
        <item x="31"/>
        <item x="14"/>
        <item x="1"/>
        <item x="27"/>
        <item x="28"/>
        <item x="33"/>
        <item x="21"/>
        <item sd="0" x="4"/>
        <item x="0"/>
        <item x="12"/>
        <item x="15"/>
        <item x="29"/>
        <item x="11"/>
        <item x="3"/>
        <item x="24"/>
        <item x="22"/>
        <item x="32"/>
        <item x="5"/>
        <item x="26"/>
        <item x="10"/>
        <item x="6"/>
        <item x="30"/>
        <item x="7"/>
        <item x="23"/>
        <item x="13"/>
        <item x="8"/>
        <item x="2"/>
        <item x="9"/>
        <item x="16"/>
        <item x="17"/>
        <item x="18"/>
        <item x="34"/>
        <item x="38"/>
        <item x="35"/>
        <item x="36"/>
        <item x="37"/>
        <item t="default"/>
      </items>
    </pivotField>
    <pivotField axis="axisRow" multipleItemSelectionAllowed="1" showAll="0">
      <items count="6">
        <item h="1" x="0"/>
        <item x="1"/>
        <item h="1" x="3"/>
        <item h="1" x="4"/>
        <item h="1" x="2"/>
        <item t="default"/>
      </items>
    </pivotField>
    <pivotField showAll="0">
      <items count="11">
        <item x="1"/>
        <item x="2"/>
        <item x="8"/>
        <item m="1" x="9"/>
        <item x="4"/>
        <item x="7"/>
        <item x="0"/>
        <item x="3"/>
        <item x="6"/>
        <item x="5"/>
        <item t="default"/>
      </items>
    </pivotField>
    <pivotField showAll="0"/>
    <pivotField dataField="1" showAll="0"/>
    <pivotField numFmtId="168" showAll="0">
      <items count="45">
        <item x="9"/>
        <item x="10"/>
        <item x="39"/>
        <item x="42"/>
        <item x="38"/>
        <item x="40"/>
        <item x="41"/>
        <item x="4"/>
        <item x="3"/>
        <item x="0"/>
        <item x="12"/>
        <item x="2"/>
        <item x="1"/>
        <item x="11"/>
        <item x="7"/>
        <item x="34"/>
        <item x="16"/>
        <item x="15"/>
        <item x="6"/>
        <item x="14"/>
        <item x="43"/>
        <item x="13"/>
        <item x="37"/>
        <item x="33"/>
        <item x="32"/>
        <item x="5"/>
        <item x="36"/>
        <item x="31"/>
        <item x="30"/>
        <item x="29"/>
        <item x="28"/>
        <item x="27"/>
        <item x="26"/>
        <item x="25"/>
        <item x="24"/>
        <item x="23"/>
        <item x="8"/>
        <item x="35"/>
        <item x="22"/>
        <item x="21"/>
        <item x="20"/>
        <item x="19"/>
        <item x="18"/>
        <item x="17"/>
        <item t="default"/>
      </items>
    </pivotField>
    <pivotField showAll="0">
      <items count="11">
        <item x="3"/>
        <item m="1" x="5"/>
        <item x="1"/>
        <item m="1" x="4"/>
        <item x="0"/>
        <item x="2"/>
        <item m="1" x="7"/>
        <item m="1" x="9"/>
        <item m="1" x="6"/>
        <item m="1" x="8"/>
        <item t="default"/>
      </items>
    </pivotField>
    <pivotField showAll="0"/>
    <pivotField showAll="0"/>
    <pivotField showAll="0"/>
    <pivotField numFmtId="1"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>
      <items count="24">
        <item x="2"/>
        <item x="6"/>
        <item x="1"/>
        <item x="19"/>
        <item x="17"/>
        <item x="3"/>
        <item x="9"/>
        <item x="22"/>
        <item x="20"/>
        <item x="11"/>
        <item x="16"/>
        <item x="5"/>
        <item x="13"/>
        <item x="14"/>
        <item x="10"/>
        <item x="15"/>
        <item x="21"/>
        <item x="4"/>
        <item x="8"/>
        <item x="7"/>
        <item x="12"/>
        <item x="18"/>
        <item x="0"/>
        <item t="default"/>
      </items>
    </pivotField>
    <pivotField numFmtId="173" showAll="0" defaultSubtotal="0"/>
    <pivotField axis="axisCol" showAll="0" sortType="ascending" defaultSubtotal="0">
      <items count="59">
        <item x="0"/>
        <item x="11"/>
        <item x="2"/>
        <item x="1"/>
        <item x="31"/>
        <item x="23"/>
        <item x="9"/>
        <item x="10"/>
        <item x="30"/>
        <item x="22"/>
        <item x="34"/>
        <item x="7"/>
        <item x="5"/>
        <item x="8"/>
        <item x="37"/>
        <item x="15"/>
        <item x="29"/>
        <item x="21"/>
        <item x="33"/>
        <item x="14"/>
        <item x="28"/>
        <item x="20"/>
        <item x="35"/>
        <item x="6"/>
        <item x="27"/>
        <item x="19"/>
        <item x="36"/>
        <item x="13"/>
        <item x="26"/>
        <item x="18"/>
        <item x="4"/>
        <item x="12"/>
        <item x="25"/>
        <item x="17"/>
        <item m="1" x="53"/>
        <item x="3"/>
        <item x="32"/>
        <item x="24"/>
        <item x="16"/>
        <item m="1" x="41"/>
        <item m="1" x="50"/>
        <item m="1" x="58"/>
        <item m="1" x="38"/>
        <item m="1" x="47"/>
        <item m="1" x="48"/>
        <item m="1" x="49"/>
        <item m="1" x="55"/>
        <item m="1" x="56"/>
        <item m="1" x="57"/>
        <item m="1" x="46"/>
        <item m="1" x="43"/>
        <item m="1" x="44"/>
        <item m="1" x="45"/>
        <item m="1" x="51"/>
        <item m="1" x="52"/>
        <item m="1" x="54"/>
        <item m="1" x="39"/>
        <item m="1" x="40"/>
        <item m="1" x="42"/>
      </items>
    </pivotField>
    <pivotField numFmtId="173" showAll="0" defaultSubtotal="0"/>
    <pivotField showAll="0" defaultSubtotal="0"/>
    <pivotField numFmtId="173" showAll="0" defaultSubtotal="0"/>
    <pivotField showAll="0" defaultSubtotal="0"/>
    <pivotField numFmtId="173" showAll="0" defaultSubtotal="0"/>
    <pivotField showAll="0" defaultSubtotal="0"/>
    <pivotField numFmtId="173" showAll="0" defaultSubtotal="0"/>
    <pivotField showAll="0" defaultSubtotal="0"/>
    <pivotField numFmtId="173" showAll="0" defaultSubtotal="0"/>
    <pivotField showAll="0" defaultSubtotal="0"/>
    <pivotField numFmtId="1" showAll="0" defaultSubtotal="0"/>
    <pivotField showAll="0" defaultSubtotal="0"/>
    <pivotField showAll="0" defaultSubtotal="0"/>
  </pivotFields>
  <rowFields count="4">
    <field x="0"/>
    <field x="2"/>
    <field x="3"/>
    <field x="4"/>
  </rowFields>
  <rowItems count="5">
    <i>
      <x v="1"/>
    </i>
    <i t="blank">
      <x v="1"/>
    </i>
    <i>
      <x v="2"/>
    </i>
    <i t="blank">
      <x v="2"/>
    </i>
    <i t="grand">
      <x/>
    </i>
  </rowItems>
  <colFields count="1">
    <field x="23"/>
  </colFields>
  <colItems count="10">
    <i>
      <x v="3"/>
    </i>
    <i>
      <x v="7"/>
    </i>
    <i>
      <x v="11"/>
    </i>
    <i>
      <x v="15"/>
    </i>
    <i>
      <x v="19"/>
    </i>
    <i>
      <x v="23"/>
    </i>
    <i>
      <x v="27"/>
    </i>
    <i>
      <x v="31"/>
    </i>
    <i>
      <x v="36"/>
    </i>
    <i t="grand">
      <x/>
    </i>
  </colItems>
  <dataFields count="1">
    <dataField name="Somme de Budget" fld="7" baseField="0" baseItem="0"/>
  </dataFields>
  <formats count="8">
    <format dxfId="31">
      <pivotArea type="all" dataOnly="0" outline="0" fieldPosition="0"/>
    </format>
    <format dxfId="30">
      <pivotArea outline="0" collapsedLevelsAreSubtotals="1" fieldPosition="0"/>
    </format>
    <format dxfId="29">
      <pivotArea dataOnly="0" labelOnly="1" fieldPosition="0">
        <references count="1">
          <reference field="0" count="0"/>
        </references>
      </pivotArea>
    </format>
    <format dxfId="28">
      <pivotArea dataOnly="0" labelOnly="1" grandRow="1" outline="0" fieldPosition="0"/>
    </format>
    <format dxfId="27">
      <pivotArea type="origin" dataOnly="0" labelOnly="1" outline="0" fieldPosition="0"/>
    </format>
    <format dxfId="26">
      <pivotArea dataOnly="0" labelOnly="1" grandCol="1" outline="0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</formats>
  <pivotTableStyleInfo name="PivotStyleLight14" showRowHeaders="1" showColHeaders="1" showRowStripes="0" showColStripes="0" showLastColumn="1"/>
  <filters count="1">
    <filter fld="8" type="dateBetween" evalOrder="-1" id="170" name="Delivery">
      <autoFilter ref="A1">
        <filterColumn colId="0">
          <customFilters and="1">
            <customFilter operator="greaterThanOrEqual" val="43101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ub_Dealer1" sourceName="Sub-Dealer">
  <pivotTables>
    <pivotTable tabId="20" name="TableauRecapMachines"/>
  </pivotTables>
  <data>
    <tabular pivotCacheId="2">
      <items count="5">
        <i x="0"/>
        <i x="1" s="1"/>
        <i x="2"/>
        <i x="3"/>
        <i x="4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tatus11" sourceName="Status">
  <pivotTables>
    <pivotTable tabId="20" name="TableauRecapMachines"/>
  </pivotTables>
  <data>
    <tabular pivotCacheId="2">
      <items count="10">
        <i x="1" s="1"/>
        <i x="3" nd="1"/>
        <i x="5" nd="1"/>
        <i x="4" nd="1"/>
        <i x="0" s="1" nd="1"/>
        <i x="2" nd="1"/>
        <i x="7" nd="1"/>
        <i x="9" nd="1"/>
        <i x="6" nd="1"/>
        <i x="8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Client1" sourceName="Client">
  <pivotTables>
    <pivotTable tabId="20" name="TableauRecapMachines"/>
  </pivotTables>
  <data>
    <tabular pivotCacheId="2">
      <items count="23">
        <i x="0" s="1"/>
        <i x="2" s="1" nd="1"/>
        <i x="6" s="1" nd="1"/>
        <i x="1" s="1" nd="1"/>
        <i x="19" s="1" nd="1"/>
        <i x="17" s="1" nd="1"/>
        <i x="3" s="1" nd="1"/>
        <i x="9" s="1" nd="1"/>
        <i x="22" s="1" nd="1"/>
        <i x="20" s="1" nd="1"/>
        <i x="11" s="1" nd="1"/>
        <i x="16" s="1" nd="1"/>
        <i x="5" s="1" nd="1"/>
        <i x="13" s="1" nd="1"/>
        <i x="14" s="1" nd="1"/>
        <i x="10" s="1" nd="1"/>
        <i x="15" s="1" nd="1"/>
        <i x="21" s="1" nd="1"/>
        <i x="4" s="1" nd="1"/>
        <i x="8" s="1" nd="1"/>
        <i x="7" s="1" nd="1"/>
        <i x="12" s="1" nd="1"/>
        <i x="18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ite1" sourceName="Site">
  <pivotTables>
    <pivotTable tabId="20" name="TableauRecapMachines"/>
  </pivotTables>
  <data>
    <tabular pivotCacheId="2">
      <items count="10">
        <i x="1" s="1"/>
        <i x="2" s="1" nd="1"/>
        <i x="8" s="1" nd="1"/>
        <i x="9" s="1" nd="1"/>
        <i x="4" s="1" nd="1"/>
        <i x="7" s="1" nd="1"/>
        <i x="0" s="1" nd="1"/>
        <i x="3" s="1" nd="1"/>
        <i x="6" s="1" nd="1"/>
        <i x="5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ub_Dealer11" sourceName="Sub-Dealer">
  <pivotTables>
    <pivotTable tabId="24" name="TableauRecapMachines"/>
  </pivotTables>
  <data>
    <tabular pivotCacheId="2">
      <items count="5">
        <i x="0"/>
        <i x="1" s="1"/>
        <i x="2"/>
        <i x="3"/>
        <i x="4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tatus111" sourceName="Status">
  <pivotTables>
    <pivotTable tabId="24" name="TableauRecapMachines"/>
  </pivotTables>
  <data>
    <tabular pivotCacheId="2">
      <items count="10">
        <i x="1" s="1"/>
        <i x="3" s="1" nd="1"/>
        <i x="5" s="1" nd="1"/>
        <i x="4" s="1" nd="1"/>
        <i x="0" s="1" nd="1"/>
        <i x="2" s="1" nd="1"/>
        <i x="7" s="1" nd="1"/>
        <i x="9" s="1" nd="1"/>
        <i x="6" s="1" nd="1"/>
        <i x="8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Client11" sourceName="Client">
  <pivotTables>
    <pivotTable tabId="24" name="TableauRecapMachines"/>
  </pivotTables>
  <data>
    <tabular pivotCacheId="2">
      <items count="23">
        <i x="0" s="1"/>
        <i x="2" s="1" nd="1"/>
        <i x="6" s="1" nd="1"/>
        <i x="1" s="1" nd="1"/>
        <i x="19" s="1" nd="1"/>
        <i x="17" s="1" nd="1"/>
        <i x="3" s="1" nd="1"/>
        <i x="9" s="1" nd="1"/>
        <i x="22" s="1" nd="1"/>
        <i x="20" s="1" nd="1"/>
        <i x="11" s="1" nd="1"/>
        <i x="16" s="1" nd="1"/>
        <i x="5" s="1" nd="1"/>
        <i x="13" s="1" nd="1"/>
        <i x="14" s="1" nd="1"/>
        <i x="10" s="1" nd="1"/>
        <i x="15" s="1" nd="1"/>
        <i x="21" s="1" nd="1"/>
        <i x="4" s="1" nd="1"/>
        <i x="8" s="1" nd="1"/>
        <i x="7" s="1" nd="1"/>
        <i x="12" s="1" nd="1"/>
        <i x="18" s="1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ite11" sourceName="Site">
  <pivotTables>
    <pivotTable tabId="24" name="TableauRecapMachines"/>
  </pivotTables>
  <data>
    <tabular pivotCacheId="2">
      <items count="10">
        <i x="1" s="1"/>
        <i x="2" s="1" nd="1"/>
        <i x="8" s="1" nd="1"/>
        <i x="9" s="1" nd="1"/>
        <i x="4" s="1" nd="1"/>
        <i x="7" s="1" nd="1"/>
        <i x="0" s="1" nd="1"/>
        <i x="3" s="1" nd="1"/>
        <i x="6" s="1" nd="1"/>
        <i x="5" s="1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ub_Dealer" sourceName="Sub-Dealer">
  <extLst>
    <x:ext xmlns:x15="http://schemas.microsoft.com/office/spreadsheetml/2010/11/main" uri="{2F2917AC-EB37-4324-AD4E-5DD8C200BD13}">
      <x15:tableSlicerCache tableId="1" column="9"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tatus" sourceName="Status">
  <extLst>
    <x:ext xmlns:x15="http://schemas.microsoft.com/office/spreadsheetml/2010/11/main" uri="{2F2917AC-EB37-4324-AD4E-5DD8C200BD13}">
      <x15:tableSlicerCache tableId="1" column="13"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Ton." sourceName="Ton.">
  <extLst>
    <x:ext xmlns:x15="http://schemas.microsoft.com/office/spreadsheetml/2010/11/main" uri="{2F2917AC-EB37-4324-AD4E-5DD8C200BD13}">
      <x15:tableSlicerCache tableId="1" column="25"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LivrAn" sourceName="LivrAn">
  <extLst>
    <x:ext xmlns:x15="http://schemas.microsoft.com/office/spreadsheetml/2010/11/main" uri="{2F2917AC-EB37-4324-AD4E-5DD8C200BD13}">
      <x15:tableSlicerCache tableId="1" column="2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-Dealer" cache="Segment_Sub_Dealer" caption="Sub-Dealer" showCaption="0" rowHeight="234950"/>
  <slicer name="Status" cache="Segment_Status" caption="Status" rowHeight="234950"/>
  <slicer name="Tonnes" cache="Segment_Ton." caption="Tonnes" rowHeight="234950"/>
  <slicer name="LivrAn" cache="Segment_LivrAn" caption="LivrAn" startItem="1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-Dealer 1" cache="Segment_Sub_Dealer1" caption="Sub-Dealer" rowHeight="234950"/>
  <slicer name="Status 2" cache="Segment_Status11" caption="Status" rowHeight="234950"/>
  <slicer name="Client 1" cache="Segment_Client1" caption="Client" rowHeight="234950"/>
  <slicer name="Site 1" cache="Segment_Site1" caption="Site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-Dealer 2" cache="Segment_Sub_Dealer11" caption="Distrib." rowHeight="234950"/>
  <slicer name="Status 3" cache="Segment_Status111" caption="Status" rowHeight="234950"/>
  <slicer name="Client 2" cache="Segment_Client11" caption="Client" rowHeight="234950"/>
  <slicer name="Site 2" cache="Segment_Site11" caption="Site" rowHeight="234950"/>
</slicers>
</file>

<file path=xl/tables/table1.xml><?xml version="1.0" encoding="utf-8"?>
<table xmlns="http://schemas.openxmlformats.org/spreadsheetml/2006/main" id="1" name="LstMachines" displayName="LstMachines" ref="B3:AM560" totalsRowShown="0" headerRowDxfId="147" dataDxfId="146" headerRowCellStyle="Normal 3">
  <autoFilter ref="B3:AM560">
    <filterColumn colId="5">
      <filters>
        <filter val="BORDEAUX"/>
      </filters>
    </filterColumn>
    <filterColumn colId="8">
      <filters>
        <dateGroupItem year="2019" dateTimeGrouping="year"/>
      </filters>
    </filterColumn>
    <filterColumn colId="9">
      <filters>
        <filter val="1-Forecast"/>
      </filters>
    </filterColumn>
  </autoFilter>
  <sortState ref="B190:AM280">
    <sortCondition ref="J3:J560"/>
  </sortState>
  <tableColumns count="38">
    <tableColumn id="1" name="Category" dataDxfId="145" dataCellStyle="Normal 3"/>
    <tableColumn id="24" name="Model" dataDxfId="144" dataCellStyle="Normal 3"/>
    <tableColumn id="25" name="Ton." dataDxfId="143" dataCellStyle="Normal 3"/>
    <tableColumn id="7" name="Model-Spec" dataDxfId="142" dataCellStyle="Normal 3"/>
    <tableColumn id="9" name="Sub-Dealer" dataDxfId="141"/>
    <tableColumn id="10" name="Site" dataDxfId="140"/>
    <tableColumn id="12" name="Nbre" dataDxfId="139" dataCellStyle="Normal 3"/>
    <tableColumn id="4" name="Budget" dataDxfId="138" dataCellStyle="Normal 3">
      <calculatedColumnFormula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calculatedColumnFormula>
    </tableColumn>
    <tableColumn id="11" name="Delivery" dataDxfId="137" dataCellStyle="Normal 3"/>
    <tableColumn id="13" name="Status" dataDxfId="136" dataCellStyle="Normal 3"/>
    <tableColumn id="23" name="OriginInfo" dataDxfId="135" dataCellStyle="Normal 3"/>
    <tableColumn id="22" name="Remarque" dataDxfId="134" dataCellStyle="Normal 3"/>
    <tableColumn id="14" name="OrderDate" dataDxfId="133" dataCellStyle="Normal 3"/>
    <tableColumn id="27" name="LivrMois" dataDxfId="132" dataCellStyle="Normal 3">
      <calculatedColumnFormula>MONTH(LstMachines[[#This Row],[Delivery]])</calculatedColumnFormula>
    </tableColumn>
    <tableColumn id="26" name="LivrAn" dataDxfId="131" dataCellStyle="Normal 3">
      <calculatedColumnFormula>FIXED(YEAR(LstMachines[[#This Row],[Delivery]]),0,TRUE)</calculatedColumnFormula>
    </tableColumn>
    <tableColumn id="15" name="OrderNum" dataDxfId="130" dataCellStyle="Normal 3"/>
    <tableColumn id="16" name="OrderPrice" dataDxfId="129" dataCellStyle="Normal 3"/>
    <tableColumn id="17" name="Financement" dataDxfId="128" dataCellStyle="Normal 3"/>
    <tableColumn id="18" name="Confirm" dataDxfId="127" dataCellStyle="Normal 3"/>
    <tableColumn id="19" name="Destination" dataDxfId="126" dataCellStyle="Normal 3"/>
    <tableColumn id="20" name="MachineId" dataDxfId="125" dataCellStyle="Normal 3"/>
    <tableColumn id="21" name="Client" dataDxfId="124" dataCellStyle="Normal 3"/>
    <tableColumn id="2" name="DateLivr" dataDxfId="123" dataCellStyle="Normal 3">
      <calculatedColumnFormula>LstMachines[[#This Row],[Delivery]]</calculatedColumnFormula>
    </tableColumn>
    <tableColumn id="30" name="MoisLivr" dataDxfId="122" dataCellStyle="Normal 3">
      <calculatedColumnFormula xml:space="preserve"> IF(MONTH(LstMachines[[#This Row],[DateLivr]])&lt;10,"0","") &amp; MONTH(LstMachines[[#This Row],[DateLivr]]) &amp;"-"&amp;YEAR(LstMachines[[#This Row],[DateLivr]])</calculatedColumnFormula>
    </tableColumn>
    <tableColumn id="8" name="DatePaie" dataDxfId="121" dataCellStyle="Normal 3">
      <calculatedColumnFormula>LstMachines[[#This Row],[Delivery]]+Rglt_à_HCME</calculatedColumnFormula>
    </tableColumn>
    <tableColumn id="31" name="MoisPaie" dataDxfId="120" dataCellStyle="Normal 3">
      <calculatedColumnFormula xml:space="preserve"> IF(MONTH(LstMachines[[#This Row],[DatePaie]])&lt;10,"0","") &amp; MONTH(LstMachines[[#This Row],[DatePaie]])&amp;"-"&amp;YEAR(LstMachines[[#This Row],[DatePaie]])</calculatedColumnFormula>
    </tableColumn>
    <tableColumn id="3" name="Distrib" dataDxfId="119" dataCellStyle="Normal 3">
      <calculatedColumnFormula>LstMachines[[#This Row],[DateLivr]]+1</calculatedColumnFormula>
    </tableColumn>
    <tableColumn id="32" name="MoisDistrib" dataDxfId="118" dataCellStyle="Normal 3">
      <calculatedColumnFormula xml:space="preserve"> IF(MONTH(LstMachines[[#This Row],[Distrib]])&lt;10,"0","") &amp; MONTH(LstMachines[[#This Row],[Distrib]]) &amp; "-" &amp; YEAR(LstMachines[[#This Row],[Distrib]])</calculatedColumnFormula>
    </tableColumn>
    <tableColumn id="5" name="VteESM" dataDxfId="117" dataCellStyle="Normal 3">
      <calculatedColumnFormula>LstMachines[[#This Row],[DateLivr]]+Délai_Vente</calculatedColumnFormula>
    </tableColumn>
    <tableColumn id="33" name="MoisVteESM" dataDxfId="116" dataCellStyle="Normal 3">
      <calculatedColumnFormula xml:space="preserve"> IF(MONTH(LstMachines[[#This Row],[VteESM]])&lt;10,"0","") &amp; MONTH(LstMachines[[#This Row],[VteESM]]) &amp; "-" &amp; YEAR(LstMachines[[#This Row],[VteESM]])</calculatedColumnFormula>
    </tableColumn>
    <tableColumn id="34" name="RgltDistrib" dataDxfId="115" dataCellStyle="Normal 3">
      <calculatedColumnFormula>LstMachines[[#This Row],[DateLivr]]+Rglt_à_ESMTP</calculatedColumnFormula>
    </tableColumn>
    <tableColumn id="35" name="MoisRgltDistrib" dataDxfId="114" dataCellStyle="Normal 3">
      <calculatedColumnFormula xml:space="preserve"> IF(MONTH(LstMachines[[#This Row],[RgltDistrib]])&lt;10,"0","") &amp; MONTH(LstMachines[[#This Row],[RgltDistrib]]) &amp; "-" &amp; YEAR(LstMachines[[#This Row],[RgltDistrib]])</calculatedColumnFormula>
    </tableColumn>
    <tableColumn id="36" name="RgltVteESM" dataDxfId="113" dataCellStyle="Normal 3">
      <calculatedColumnFormula>LstMachines[[#This Row],[VteESM]]+Rglt_à_ESMTP</calculatedColumnFormula>
    </tableColumn>
    <tableColumn id="37" name="MoisRgltVteESM" dataDxfId="112" dataCellStyle="Normal 3">
      <calculatedColumnFormula xml:space="preserve"> IF(MONTH(LstMachines[[#This Row],[RgltVteESM]])&lt;10,"0","") &amp; MONTH(LstMachines[[#This Row],[RgltVteESM]]) &amp; "-" &amp; YEAR(LstMachines[[#This Row],[RgltVteESM]])</calculatedColumnFormula>
    </tableColumn>
    <tableColumn id="29" name="PayMonth" dataDxfId="111" dataCellStyle="Normal 3">
      <calculatedColumnFormula>MONTH(LstMachines[[#This Row],[DatePaie]])</calculatedColumnFormula>
    </tableColumn>
    <tableColumn id="28" name="PayYear" dataDxfId="110" dataCellStyle="Normal 3">
      <calculatedColumnFormula>FIXED(YEAR(LstMachines[[#This Row],[DatePaie]]),0,TRUE)</calculatedColumnFormula>
    </tableColumn>
    <tableColumn id="6" name="-" dataDxfId="109" dataCellStyle="Normal 3"/>
    <tableColumn id="38" name="Délai souhaité" dataDxfId="108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9" name="PrévisionBoris" displayName="PrévisionBoris" ref="A7:BP340" totalsRowShown="0" headerRowDxfId="107" dataDxfId="106" tableBorderDxfId="105">
  <autoFilter ref="A7:BP340"/>
  <sortState ref="A8:BP340">
    <sortCondition ref="B7:B340"/>
  </sortState>
  <tableColumns count="68">
    <tableColumn id="67" name="Ordre" dataDxfId="104" dataCellStyle="Normal 4"/>
    <tableColumn id="1" name="Catégorie" dataDxfId="103"/>
    <tableColumn id="74" name="Ton." dataDxfId="102"/>
    <tableColumn id="2" name="Modèle" dataDxfId="101"/>
    <tableColumn id="3" name="Spec" dataDxfId="100"/>
    <tableColumn id="4" name="k€" dataDxfId="99">
      <calculatedColumnFormula>VLOOKUP(PrévisionBoris[[#This Row],[Spec]],TabModelSpecs[[ModelSpec]:[Price]],2,FALSE)</calculatedColumnFormula>
    </tableColumn>
    <tableColumn id="5" name="Status" dataDxfId="98"/>
    <tableColumn id="6" name="oct.-17" dataDxfId="97">
      <calculatedColumnFormula>SUMIFS(LstMachines[Nbre],LstMachines[Model-Spec],PrévisionBoris[[#This Row],[Spec]],LstMachines[Status],PrévisionBoris[[#This Row],[Status]],LstMachines[MoisLivr],H$1)</calculatedColumnFormula>
    </tableColumn>
    <tableColumn id="7" name="nov.-17" dataDxfId="96">
      <calculatedColumnFormula>SUMIFS(LstMachines[Nbre],LstMachines[Model-Spec],PrévisionBoris[[#This Row],[Spec]],LstMachines[Status],PrévisionBoris[[#This Row],[Status]],LstMachines[MoisLivr],I$1)</calculatedColumnFormula>
    </tableColumn>
    <tableColumn id="8" name="déc.-17" dataDxfId="95">
      <calculatedColumnFormula>SUMIFS(LstMachines[Nbre],LstMachines[Model-Spec],PrévisionBoris[[#This Row],[Spec]],LstMachines[Status],PrévisionBoris[[#This Row],[Status]],LstMachines[MoisLivr],J$1)</calculatedColumnFormula>
    </tableColumn>
    <tableColumn id="9" name="janv.-18" dataDxfId="94">
      <calculatedColumnFormula>SUMIFS(LstMachines[Nbre],LstMachines[Model-Spec],PrévisionBoris[[#This Row],[Spec]],LstMachines[Status],PrévisionBoris[[#This Row],[Status]],LstMachines[MoisLivr],K$1)</calculatedColumnFormula>
    </tableColumn>
    <tableColumn id="10" name="févr.-18" dataDxfId="93">
      <calculatedColumnFormula>SUMIFS(LstMachines[Nbre],LstMachines[Model-Spec],PrévisionBoris[[#This Row],[Spec]],LstMachines[Status],PrévisionBoris[[#This Row],[Status]],LstMachines[MoisLivr],L$1)</calculatedColumnFormula>
    </tableColumn>
    <tableColumn id="11" name="mars-18" dataDxfId="92">
      <calculatedColumnFormula>SUMIFS(LstMachines[Nbre],LstMachines[Model-Spec],PrévisionBoris[[#This Row],[Spec]],LstMachines[Status],PrévisionBoris[[#This Row],[Status]],LstMachines[MoisLivr],M$1)</calculatedColumnFormula>
    </tableColumn>
    <tableColumn id="12" name="avr.-18" dataDxfId="91">
      <calculatedColumnFormula>SUMIFS(LstMachines[Nbre],LstMachines[Model-Spec],PrévisionBoris[[#This Row],[Spec]],LstMachines[Status],PrévisionBoris[[#This Row],[Status]],LstMachines[MoisLivr],N$1)</calculatedColumnFormula>
    </tableColumn>
    <tableColumn id="13" name="mai-18" dataDxfId="90">
      <calculatedColumnFormula>SUMIFS(LstMachines[Nbre],LstMachines[Model-Spec],PrévisionBoris[[#This Row],[Spec]],LstMachines[Status],PrévisionBoris[[#This Row],[Status]],LstMachines[MoisLivr],O$1)</calculatedColumnFormula>
    </tableColumn>
    <tableColumn id="14" name="juin-18" dataDxfId="89">
      <calculatedColumnFormula>SUMIFS(LstMachines[Nbre],LstMachines[Model-Spec],PrévisionBoris[[#This Row],[Spec]],LstMachines[Status],PrévisionBoris[[#This Row],[Status]],LstMachines[MoisLivr],P$1)</calculatedColumnFormula>
    </tableColumn>
    <tableColumn id="15" name="juil.-18" dataDxfId="88">
      <calculatedColumnFormula>SUMIFS(LstMachines[Nbre],LstMachines[Model-Spec],PrévisionBoris[[#This Row],[Spec]],LstMachines[Status],PrévisionBoris[[#This Row],[Status]],LstMachines[MoisLivr],Q$1)</calculatedColumnFormula>
    </tableColumn>
    <tableColumn id="16" name="août-18" dataDxfId="87">
      <calculatedColumnFormula>SUMIFS(LstMachines[Nbre],LstMachines[Model-Spec],PrévisionBoris[[#This Row],[Spec]],LstMachines[Status],PrévisionBoris[[#This Row],[Status]],LstMachines[MoisLivr],R$1)</calculatedColumnFormula>
    </tableColumn>
    <tableColumn id="17" name="sept.-18" dataDxfId="86">
      <calculatedColumnFormula>SUMIFS(LstMachines[Nbre],LstMachines[Model-Spec],PrévisionBoris[[#This Row],[Spec]],LstMachines[Status],PrévisionBoris[[#This Row],[Status]],LstMachines[MoisLivr],S$1)</calculatedColumnFormula>
    </tableColumn>
    <tableColumn id="18" name="oct.-18" dataDxfId="85">
      <calculatedColumnFormula>SUMIFS(LstMachines[Nbre],LstMachines[Model-Spec],PrévisionBoris[[#This Row],[Spec]],LstMachines[Status],PrévisionBoris[[#This Row],[Status]],LstMachines[MoisLivr],T$1)</calculatedColumnFormula>
    </tableColumn>
    <tableColumn id="19" name="nov.-18" dataDxfId="84">
      <calculatedColumnFormula>SUMIFS(LstMachines[Nbre],LstMachines[Model-Spec],PrévisionBoris[[#This Row],[Spec]],LstMachines[Status],PrévisionBoris[[#This Row],[Status]],LstMachines[MoisLivr],U$1)</calculatedColumnFormula>
    </tableColumn>
    <tableColumn id="20" name="déc.-18" dataDxfId="83">
      <calculatedColumnFormula>SUMIFS(LstMachines[Nbre],LstMachines[Model-Spec],PrévisionBoris[[#This Row],[Spec]],LstMachines[Status],PrévisionBoris[[#This Row],[Status]],LstMachines[MoisLivr],V$1)</calculatedColumnFormula>
    </tableColumn>
    <tableColumn id="21" name="janv.-19" dataDxfId="82">
      <calculatedColumnFormula>SUMIFS(LstMachines[Nbre],LstMachines[Model-Spec],PrévisionBoris[[#This Row],[Spec]],LstMachines[Status],PrévisionBoris[[#This Row],[Status]],LstMachines[MoisLivr],W$1)</calculatedColumnFormula>
    </tableColumn>
    <tableColumn id="22" name="févr.-19" dataDxfId="81">
      <calculatedColumnFormula>SUMIFS(LstMachines[Nbre],LstMachines[Model-Spec],PrévisionBoris[[#This Row],[Spec]],LstMachines[Status],PrévisionBoris[[#This Row],[Status]],LstMachines[MoisLivr],X$1)</calculatedColumnFormula>
    </tableColumn>
    <tableColumn id="23" name="mars-19" dataDxfId="80">
      <calculatedColumnFormula>SUMIFS(LstMachines[Nbre],LstMachines[Model-Spec],PrévisionBoris[[#This Row],[Spec]],LstMachines[Status],PrévisionBoris[[#This Row],[Status]],LstMachines[MoisLivr],Y$1)</calculatedColumnFormula>
    </tableColumn>
    <tableColumn id="24" name="avr.-19" dataDxfId="79">
      <calculatedColumnFormula>SUMIFS(LstMachines[Nbre],LstMachines[Model-Spec],PrévisionBoris[[#This Row],[Spec]],LstMachines[Status],PrévisionBoris[[#This Row],[Status]],LstMachines[MoisLivr],Z$1)</calculatedColumnFormula>
    </tableColumn>
    <tableColumn id="25" name="mai-19" dataDxfId="78">
      <calculatedColumnFormula>SUMIFS(LstMachines[Nbre],LstMachines[Model-Spec],PrévisionBoris[[#This Row],[Spec]],LstMachines[Status],PrévisionBoris[[#This Row],[Status]],LstMachines[MoisLivr],AA$1)</calculatedColumnFormula>
    </tableColumn>
    <tableColumn id="26" name="juin-19" dataDxfId="77">
      <calculatedColumnFormula>SUMIFS(LstMachines[Nbre],LstMachines[Model-Spec],PrévisionBoris[[#This Row],[Spec]],LstMachines[Status],PrévisionBoris[[#This Row],[Status]],LstMachines[MoisLivr],AB$1)</calculatedColumnFormula>
    </tableColumn>
    <tableColumn id="27" name="juil.-19" dataDxfId="76">
      <calculatedColumnFormula>SUMIFS(LstMachines[Nbre],LstMachines[Model-Spec],PrévisionBoris[[#This Row],[Spec]],LstMachines[Status],PrévisionBoris[[#This Row],[Status]],LstMachines[MoisLivr],AC$1)</calculatedColumnFormula>
    </tableColumn>
    <tableColumn id="28" name="août-19" dataDxfId="75">
      <calculatedColumnFormula>SUMIFS(LstMachines[Nbre],LstMachines[Model-Spec],PrévisionBoris[[#This Row],[Spec]],LstMachines[Status],PrévisionBoris[[#This Row],[Status]],LstMachines[MoisLivr],AD$1)</calculatedColumnFormula>
    </tableColumn>
    <tableColumn id="29" name="sept.-19" dataDxfId="74">
      <calculatedColumnFormula>SUMIFS(LstMachines[Nbre],LstMachines[Model-Spec],PrévisionBoris[[#This Row],[Spec]],LstMachines[Status],PrévisionBoris[[#This Row],[Status]],LstMachines[MoisLivr],AE$1)</calculatedColumnFormula>
    </tableColumn>
    <tableColumn id="30" name="oct.-19" dataDxfId="73">
      <calculatedColumnFormula>SUMIFS(LstMachines[Nbre],LstMachines[Model-Spec],PrévisionBoris[[#This Row],[Spec]],LstMachines[Status],PrévisionBoris[[#This Row],[Status]],LstMachines[MoisLivr],AF$1)</calculatedColumnFormula>
    </tableColumn>
    <tableColumn id="31" name="nov.-19" dataDxfId="72">
      <calculatedColumnFormula>SUMIFS(LstMachines[Nbre],LstMachines[Model-Spec],PrévisionBoris[[#This Row],[Spec]],LstMachines[Status],PrévisionBoris[[#This Row],[Status]],LstMachines[MoisLivr],AG$1)</calculatedColumnFormula>
    </tableColumn>
    <tableColumn id="32" name="déc.-19" dataDxfId="71">
      <calculatedColumnFormula>SUMIFS(LstMachines[Nbre],LstMachines[Model-Spec],PrévisionBoris[[#This Row],[Spec]],LstMachines[Status],PrévisionBoris[[#This Row],[Status]],LstMachines[MoisLivr],AH$1)</calculatedColumnFormula>
    </tableColumn>
    <tableColumn id="33" name="janv.-20" dataDxfId="70">
      <calculatedColumnFormula>SUMIFS(LstMachines[Nbre],LstMachines[Model-Spec],PrévisionBoris[[#This Row],[Spec]],LstMachines[Status],PrévisionBoris[[#This Row],[Status]],LstMachines[MoisLivr],AI$1)</calculatedColumnFormula>
    </tableColumn>
    <tableColumn id="34" name="févr.-20" dataDxfId="69">
      <calculatedColumnFormula>SUMIFS(LstMachines[Nbre],LstMachines[Model-Spec],PrévisionBoris[[#This Row],[Spec]],LstMachines[Status],PrévisionBoris[[#This Row],[Status]],LstMachines[MoisLivr],AJ$1)</calculatedColumnFormula>
    </tableColumn>
    <tableColumn id="35" name="mars-20" dataDxfId="68">
      <calculatedColumnFormula>SUMIFS(LstMachines[Nbre],LstMachines[Model-Spec],PrévisionBoris[[#This Row],[Spec]],LstMachines[Status],PrévisionBoris[[#This Row],[Status]],LstMachines[MoisLivr],AK$1)</calculatedColumnFormula>
    </tableColumn>
    <tableColumn id="36" name="avr.-20" dataDxfId="67">
      <calculatedColumnFormula>SUMIFS(LstMachines[Nbre],LstMachines[Model-Spec],PrévisionBoris[[#This Row],[Spec]],LstMachines[Status],PrévisionBoris[[#This Row],[Status]],LstMachines[MoisLivr],AL$1)</calculatedColumnFormula>
    </tableColumn>
    <tableColumn id="37" name="mai-20" dataDxfId="66">
      <calculatedColumnFormula>SUMIFS(LstMachines[Nbre],LstMachines[Model-Spec],PrévisionBoris[[#This Row],[Spec]],LstMachines[Status],PrévisionBoris[[#This Row],[Status]],LstMachines[MoisLivr],AM$1)</calculatedColumnFormula>
    </tableColumn>
    <tableColumn id="38" name="juin-20" dataDxfId="65">
      <calculatedColumnFormula>SUMIFS(LstMachines[Nbre],LstMachines[Model-Spec],PrévisionBoris[[#This Row],[Spec]],LstMachines[Status],PrévisionBoris[[#This Row],[Status]],LstMachines[MoisLivr],AN$1)</calculatedColumnFormula>
    </tableColumn>
    <tableColumn id="39" name="juil.-20" dataDxfId="64">
      <calculatedColumnFormula>SUMIFS(LstMachines[Nbre],LstMachines[Model-Spec],PrévisionBoris[[#This Row],[Spec]],LstMachines[Status],PrévisionBoris[[#This Row],[Status]],LstMachines[MoisLivr],AO$1)</calculatedColumnFormula>
    </tableColumn>
    <tableColumn id="40" name="août-20" dataDxfId="63">
      <calculatedColumnFormula>SUMIFS(LstMachines[Nbre],LstMachines[Model-Spec],PrévisionBoris[[#This Row],[Spec]],LstMachines[Status],PrévisionBoris[[#This Row],[Status]],LstMachines[MoisLivr],AP$1)</calculatedColumnFormula>
    </tableColumn>
    <tableColumn id="41" name="sept.-20" dataDxfId="62">
      <calculatedColumnFormula>SUMIFS(LstMachines[Nbre],LstMachines[Model-Spec],PrévisionBoris[[#This Row],[Spec]],LstMachines[Status],PrévisionBoris[[#This Row],[Status]],LstMachines[MoisLivr],AQ$1)</calculatedColumnFormula>
    </tableColumn>
    <tableColumn id="42" name="oct.-20" dataDxfId="61">
      <calculatedColumnFormula>SUMIFS(LstMachines[Nbre],LstMachines[Model-Spec],PrévisionBoris[[#This Row],[Spec]],LstMachines[Status],PrévisionBoris[[#This Row],[Status]],LstMachines[MoisLivr],AR$1)</calculatedColumnFormula>
    </tableColumn>
    <tableColumn id="43" name="nov.-20" dataDxfId="60">
      <calculatedColumnFormula>SUMIFS(LstMachines[Nbre],LstMachines[Model-Spec],PrévisionBoris[[#This Row],[Spec]],LstMachines[Status],PrévisionBoris[[#This Row],[Status]],LstMachines[MoisLivr],AS$1)</calculatedColumnFormula>
    </tableColumn>
    <tableColumn id="44" name="déc.-20" dataDxfId="59">
      <calculatedColumnFormula>SUMIFS(LstMachines[Nbre],LstMachines[Model-Spec],PrévisionBoris[[#This Row],[Spec]],LstMachines[Status],PrévisionBoris[[#This Row],[Status]],LstMachines[MoisLivr],AT$1)</calculatedColumnFormula>
    </tableColumn>
    <tableColumn id="45" name="janv.-21" dataDxfId="58">
      <calculatedColumnFormula>SUMIFS(LstMachines[Nbre],LstMachines[Model-Spec],PrévisionBoris[[#This Row],[Spec]],LstMachines[Status],PrévisionBoris[[#This Row],[Status]],LstMachines[MoisLivr],AU$1)</calculatedColumnFormula>
    </tableColumn>
    <tableColumn id="46" name="févr.-21" dataDxfId="57">
      <calculatedColumnFormula>SUMIFS(LstMachines[Nbre],LstMachines[Model-Spec],PrévisionBoris[[#This Row],[Spec]],LstMachines[Status],PrévisionBoris[[#This Row],[Status]],LstMachines[MoisLivr],AV$1)</calculatedColumnFormula>
    </tableColumn>
    <tableColumn id="47" name="Colonne2" dataDxfId="56">
      <calculatedColumnFormula>SUMIFS(LstMachines[Nbre],LstMachines[Model-Spec],PrévisionBoris[[#This Row],[Spec]],LstMachines[Status],PrévisionBoris[[#This Row],[Status]],LstMachines[MoisLivr],AW$1)</calculatedColumnFormula>
    </tableColumn>
    <tableColumn id="48" name="Colonne3" dataDxfId="55" dataCellStyle="Normal 4"/>
    <tableColumn id="49" name="2018-Q1" dataDxfId="54" dataCellStyle="Normal 4">
      <calculatedColumnFormula>SUM(K8:M8)</calculatedColumnFormula>
    </tableColumn>
    <tableColumn id="50" name="2018-Q2" dataDxfId="53" dataCellStyle="Normal 4">
      <calculatedColumnFormula>SUM(N8:P8)</calculatedColumnFormula>
    </tableColumn>
    <tableColumn id="51" name="2018-Q3" dataDxfId="52" dataCellStyle="Normal 4">
      <calculatedColumnFormula>SUM(Q8:S8)</calculatedColumnFormula>
    </tableColumn>
    <tableColumn id="52" name="2018-Q4" dataDxfId="51" dataCellStyle="Normal 4">
      <calculatedColumnFormula>SUM(T8:V8)</calculatedColumnFormula>
    </tableColumn>
    <tableColumn id="53" name="2018" dataDxfId="50" dataCellStyle="Normal 4">
      <calculatedColumnFormula>SUM(AY8:BB8)</calculatedColumnFormula>
    </tableColumn>
    <tableColumn id="54" name="2019-Q1" dataDxfId="49" dataCellStyle="Normal 4">
      <calculatedColumnFormula>SUM(W8:Y8)</calculatedColumnFormula>
    </tableColumn>
    <tableColumn id="55" name="2019-Q2" dataDxfId="48" dataCellStyle="Normal 4">
      <calculatedColumnFormula>SUM(Z8:AB8)</calculatedColumnFormula>
    </tableColumn>
    <tableColumn id="56" name="2019-Q3" dataDxfId="47" dataCellStyle="Normal 4">
      <calculatedColumnFormula>SUM(AC8:AE8)</calculatedColumnFormula>
    </tableColumn>
    <tableColumn id="57" name="2019-Q4" dataDxfId="46" dataCellStyle="Normal 4">
      <calculatedColumnFormula>SUM(AF8:AH8)</calculatedColumnFormula>
    </tableColumn>
    <tableColumn id="58" name="2019" dataDxfId="45" dataCellStyle="Normal 4">
      <calculatedColumnFormula>SUM(BD8:BG8)</calculatedColumnFormula>
    </tableColumn>
    <tableColumn id="59" name="2020-Q1" dataDxfId="44" dataCellStyle="Normal 4">
      <calculatedColumnFormula>SUM(AI8:AK8)</calculatedColumnFormula>
    </tableColumn>
    <tableColumn id="60" name="2020-Q2" dataDxfId="43" dataCellStyle="Normal 4">
      <calculatedColumnFormula>SUM(AL8:AN8)</calculatedColumnFormula>
    </tableColumn>
    <tableColumn id="61" name="2020-Q3" dataDxfId="42" dataCellStyle="Normal 4">
      <calculatedColumnFormula>SUM(AO8:AQ8)</calculatedColumnFormula>
    </tableColumn>
    <tableColumn id="62" name="2020-Q4" dataDxfId="41" dataCellStyle="Normal 4">
      <calculatedColumnFormula>SUM(AR8:AT8)</calculatedColumnFormula>
    </tableColumn>
    <tableColumn id="63" name="2020" dataDxfId="40" dataCellStyle="Normal 4">
      <calculatedColumnFormula>SUM(BI8:BL8)</calculatedColumnFormula>
    </tableColumn>
    <tableColumn id="64" name="2021" dataDxfId="39" dataCellStyle="Normal 4"/>
    <tableColumn id="65" name="Colonne4" dataDxfId="38" dataCellStyle="Normal 4"/>
    <tableColumn id="66" name="Total" dataDxfId="37" dataCellStyle="Normal 4">
      <calculatedColumnFormula>SUM(H8:AU8)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id="3" name="TabCategories" displayName="TabCategories" ref="L2:N6" totalsRowShown="0" headerRowDxfId="23" dataDxfId="22">
  <autoFilter ref="L2:N6"/>
  <tableColumns count="3">
    <tableColumn id="3" name="Order" dataDxfId="21"/>
    <tableColumn id="1" name="Catégorie" dataDxfId="20"/>
    <tableColumn id="2" name="Category" dataDxfId="19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id="4" name="TabModelSpecs" displayName="TabModelSpecs" ref="B2:J117" totalsRowShown="0" headerRowDxfId="18" dataDxfId="17" tableBorderDxfId="16">
  <autoFilter ref="B2:J117"/>
  <sortState ref="B3:J114">
    <sortCondition ref="B2:B114"/>
  </sortState>
  <tableColumns count="9">
    <tableColumn id="1" name="Ordre" dataDxfId="15"/>
    <tableColumn id="2" name="Catégorie" dataDxfId="14"/>
    <tableColumn id="3" name="Type" dataDxfId="13"/>
    <tableColumn id="4" name="Machine" dataDxfId="12"/>
    <tableColumn id="5" name="Taille" dataDxfId="11"/>
    <tableColumn id="6" name="Modèle" dataDxfId="10"/>
    <tableColumn id="7" name="Spec" dataDxfId="9"/>
    <tableColumn id="8" name="ModelSpec" dataDxfId="8"/>
    <tableColumn id="9" name="Price" dataDxfId="7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id="5" name="TabConcessions" displayName="TabConcessions" ref="L9:M18" totalsRowShown="0" headerRowDxfId="6" dataDxfId="5">
  <autoFilter ref="L9:M18"/>
  <sortState ref="L10:M17">
    <sortCondition ref="M9:M17"/>
  </sortState>
  <tableColumns count="2">
    <tableColumn id="1" name="Concession" dataDxfId="4"/>
    <tableColumn id="2" name="Site" dataDxfId="3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id="6" name="TabStatuts" displayName="TabStatuts" ref="L22:L28" totalsRowShown="0" headerRowDxfId="2" dataDxfId="1">
  <autoFilter ref="L22:L28"/>
  <tableColumns count="1">
    <tableColumn id="1" name="Statut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ChronologieNative_Delivery1" sourceName="Delivery">
  <pivotTables>
    <pivotTable tabId="20" name="TableauRecapMachines"/>
  </pivotTables>
  <state minimalRefreshVersion="6" lastRefreshVersion="6" pivotCacheId="2" filterType="dateBetween">
    <selection startDate="2018-01-01T00:00:00" endDate="2018-12-31T00:00:00"/>
    <bounds startDate="2017-01-01T00:00:00" endDate="2021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name="ChronologieNative_Delivery11" sourceName="Delivery">
  <pivotTables>
    <pivotTable tabId="24" name="TableauRecapMachines"/>
  </pivotTables>
  <state minimalRefreshVersion="6" lastRefreshVersion="6" pivotCacheId="2" filterType="dateBetween">
    <selection startDate="2018-01-01T00:00:00" endDate="2018-12-31T00:00:00"/>
    <bounds startDate="2017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elivery 1" cache="ChronologieNative_Delivery1" caption="Delivery" level="1" selectionLevel="0" scrollPosition="2017-01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elivery 2" cache="ChronologieNative_Delivery11" caption="Delivery" level="1" selectionLevel="0" scrollPosition="2017-01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Relationship Id="rId5" Type="http://schemas.microsoft.com/office/2011/relationships/timeline" Target="../timelines/timeline1.xml"/><Relationship Id="rId4" Type="http://schemas.microsoft.com/office/2007/relationships/slicer" Target="../slicers/slicer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Relationship Id="rId5" Type="http://schemas.microsoft.com/office/2011/relationships/timeline" Target="../timelines/timeline2.xml"/><Relationship Id="rId4" Type="http://schemas.microsoft.com/office/2007/relationships/slicer" Target="../slicers/slicer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8.bin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  <pageSetUpPr fitToPage="1"/>
  </sheetPr>
  <dimension ref="B1:BE560"/>
  <sheetViews>
    <sheetView tabSelected="1" zoomScale="85" zoomScaleNormal="85" zoomScalePageLayoutView="85" workbookViewId="0">
      <selection activeCell="E224" sqref="E224"/>
    </sheetView>
  </sheetViews>
  <sheetFormatPr baseColWidth="10" defaultColWidth="9.109375" defaultRowHeight="15" outlineLevelCol="1"/>
  <cols>
    <col min="1" max="1" width="18.109375" style="92" customWidth="1"/>
    <col min="2" max="2" width="17.109375" style="119" customWidth="1" collapsed="1"/>
    <col min="3" max="3" width="9.44140625" style="119" hidden="1" customWidth="1" outlineLevel="1"/>
    <col min="4" max="4" width="10.109375" style="96" hidden="1" customWidth="1" outlineLevel="1"/>
    <col min="5" max="5" width="22.77734375" style="96" bestFit="1" customWidth="1"/>
    <col min="6" max="6" width="17.77734375" style="92" bestFit="1" customWidth="1"/>
    <col min="7" max="7" width="28.109375" style="97" bestFit="1" customWidth="1"/>
    <col min="8" max="8" width="9.109375" style="89" customWidth="1"/>
    <col min="9" max="9" width="9.109375" hidden="1" customWidth="1"/>
    <col min="10" max="10" width="19.77734375" customWidth="1"/>
    <col min="11" max="11" width="14.109375" style="119" customWidth="1"/>
    <col min="12" max="12" width="18.109375" customWidth="1"/>
    <col min="13" max="13" width="13.77734375" style="73" customWidth="1" collapsed="1"/>
    <col min="14" max="14" width="14.33203125" style="92" hidden="1" customWidth="1" outlineLevel="1"/>
    <col min="15" max="15" width="9.77734375" style="97" hidden="1" customWidth="1" outlineLevel="1"/>
    <col min="16" max="16" width="7.44140625" style="92" hidden="1" customWidth="1" outlineLevel="1"/>
    <col min="17" max="17" width="11.6640625" style="92" hidden="1" customWidth="1" outlineLevel="1"/>
    <col min="18" max="18" width="12.109375" style="140" hidden="1" customWidth="1" outlineLevel="1"/>
    <col min="19" max="19" width="11.44140625" style="97" hidden="1" customWidth="1" outlineLevel="1"/>
    <col min="20" max="20" width="10.77734375" style="92" hidden="1" customWidth="1" outlineLevel="1"/>
    <col min="21" max="21" width="16.77734375" style="92" hidden="1" customWidth="1" outlineLevel="1"/>
    <col min="22" max="22" width="12.109375" style="98" hidden="1" customWidth="1" outlineLevel="1"/>
    <col min="23" max="23" width="17.44140625" style="98" hidden="1" customWidth="1" outlineLevel="1"/>
    <col min="24" max="24" width="15.77734375" style="259" hidden="1" customWidth="1" outlineLevel="1"/>
    <col min="25" max="25" width="12.77734375" style="259" hidden="1" customWidth="1" outlineLevel="1"/>
    <col min="26" max="32" width="16.109375" style="260" hidden="1" customWidth="1" outlineLevel="1"/>
    <col min="33" max="33" width="10.77734375" style="260" hidden="1" customWidth="1" outlineLevel="1"/>
    <col min="34" max="34" width="16.109375" style="260" hidden="1" customWidth="1" outlineLevel="1"/>
    <col min="35" max="35" width="11.109375" style="260" hidden="1" customWidth="1" outlineLevel="1"/>
    <col min="36" max="36" width="9.109375" hidden="1" customWidth="1" outlineLevel="1"/>
    <col min="37" max="37" width="8.77734375" style="92" hidden="1" customWidth="1" outlineLevel="1"/>
    <col min="38" max="38" width="3.6640625" style="97" hidden="1" customWidth="1" outlineLevel="1"/>
    <col min="39" max="39" width="19.44140625" style="92" customWidth="1"/>
    <col min="40" max="40" width="2.77734375" style="97" customWidth="1"/>
    <col min="51" max="51" width="11.44140625" style="93" customWidth="1"/>
    <col min="52" max="52" width="6" style="92" customWidth="1"/>
    <col min="54" max="54" width="10.33203125" style="92" customWidth="1"/>
    <col min="55" max="55" width="18.44140625" style="72" bestFit="1" customWidth="1"/>
    <col min="56" max="56" width="9.109375" style="119" customWidth="1"/>
    <col min="57" max="57" width="8.33203125" style="99" customWidth="1"/>
    <col min="58" max="58" width="20.109375" style="92" bestFit="1" customWidth="1"/>
    <col min="59" max="16384" width="9.109375" style="92"/>
  </cols>
  <sheetData>
    <row r="1" spans="2:57" ht="15.6">
      <c r="E1" s="118" t="s">
        <v>466</v>
      </c>
      <c r="F1" s="253">
        <f>SUBTOTAL(9,LstMachines[Nbre])</f>
        <v>63</v>
      </c>
      <c r="G1" s="122" t="s">
        <v>467</v>
      </c>
      <c r="H1" s="123"/>
      <c r="I1" s="124">
        <f>SUBTOTAL(9,LstMachines[Budget])</f>
        <v>2765</v>
      </c>
      <c r="J1" s="242" t="s">
        <v>299</v>
      </c>
      <c r="M1" s="92"/>
      <c r="O1" s="140"/>
      <c r="R1" s="98"/>
      <c r="S1" s="98"/>
      <c r="T1" s="73"/>
      <c r="U1" s="93"/>
      <c r="V1" s="92"/>
      <c r="W1" s="92"/>
      <c r="X1" s="261" t="s">
        <v>490</v>
      </c>
      <c r="Y1" s="262"/>
      <c r="Z1" s="261" t="s">
        <v>489</v>
      </c>
      <c r="AA1" s="262"/>
      <c r="AB1" s="261" t="s">
        <v>496</v>
      </c>
      <c r="AC1" s="262"/>
      <c r="AD1" s="261" t="s">
        <v>491</v>
      </c>
      <c r="AE1" s="262"/>
      <c r="AF1" s="261" t="s">
        <v>495</v>
      </c>
      <c r="AG1" s="262"/>
      <c r="AH1" s="261" t="s">
        <v>494</v>
      </c>
      <c r="AI1" s="262"/>
      <c r="AJ1" s="140"/>
      <c r="AL1" s="140"/>
      <c r="AM1" s="119"/>
      <c r="AN1" s="99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BA1" s="92"/>
      <c r="BC1" s="92"/>
      <c r="BD1" s="92"/>
      <c r="BE1" s="92"/>
    </row>
    <row r="2" spans="2:57">
      <c r="I2" s="92"/>
      <c r="J2" s="97"/>
      <c r="M2" s="92"/>
      <c r="O2" s="140"/>
      <c r="P2" s="97"/>
      <c r="R2" s="98"/>
      <c r="S2" s="98"/>
      <c r="T2" s="73"/>
      <c r="U2" s="131"/>
      <c r="V2" s="127"/>
      <c r="W2" s="127"/>
      <c r="X2" s="263"/>
      <c r="Y2" s="264"/>
      <c r="Z2" s="263"/>
      <c r="AA2" s="267"/>
      <c r="AB2" s="263"/>
      <c r="AC2" s="267"/>
      <c r="AD2" s="263"/>
      <c r="AE2" s="267"/>
      <c r="AF2" s="263"/>
      <c r="AG2" s="267"/>
      <c r="AH2" s="263"/>
      <c r="AI2" s="267"/>
      <c r="AJ2" s="140"/>
      <c r="AK2" s="97"/>
      <c r="AL2" s="140"/>
      <c r="AM2" s="119"/>
      <c r="AN2" s="99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BA2" s="92"/>
      <c r="BC2" s="92"/>
      <c r="BD2" s="92"/>
      <c r="BE2" s="92"/>
    </row>
    <row r="3" spans="2:57" s="91" customFormat="1">
      <c r="B3" s="114" t="s">
        <v>235</v>
      </c>
      <c r="C3" s="114" t="s">
        <v>354</v>
      </c>
      <c r="D3" s="84" t="s">
        <v>388</v>
      </c>
      <c r="E3" s="84" t="s">
        <v>353</v>
      </c>
      <c r="F3" s="84" t="s">
        <v>99</v>
      </c>
      <c r="G3" s="84" t="s">
        <v>103</v>
      </c>
      <c r="H3" s="84" t="s">
        <v>365</v>
      </c>
      <c r="I3" s="84" t="s">
        <v>391</v>
      </c>
      <c r="J3" s="84" t="s">
        <v>97</v>
      </c>
      <c r="K3" s="114" t="s">
        <v>74</v>
      </c>
      <c r="L3" s="84" t="s">
        <v>293</v>
      </c>
      <c r="M3" s="84" t="s">
        <v>98</v>
      </c>
      <c r="N3" s="84" t="s">
        <v>290</v>
      </c>
      <c r="O3" s="254" t="s">
        <v>476</v>
      </c>
      <c r="P3" s="254" t="s">
        <v>477</v>
      </c>
      <c r="Q3" s="84" t="s">
        <v>291</v>
      </c>
      <c r="R3" s="84" t="s">
        <v>296</v>
      </c>
      <c r="S3" s="84" t="s">
        <v>269</v>
      </c>
      <c r="T3" s="84" t="s">
        <v>295</v>
      </c>
      <c r="U3" s="84" t="s">
        <v>102</v>
      </c>
      <c r="V3" s="84" t="s">
        <v>294</v>
      </c>
      <c r="W3" s="114" t="s">
        <v>292</v>
      </c>
      <c r="X3" s="265" t="s">
        <v>479</v>
      </c>
      <c r="Y3" s="266" t="s">
        <v>480</v>
      </c>
      <c r="Z3" s="84" t="s">
        <v>481</v>
      </c>
      <c r="AA3" s="84" t="s">
        <v>482</v>
      </c>
      <c r="AB3" s="84" t="s">
        <v>483</v>
      </c>
      <c r="AC3" s="84" t="s">
        <v>484</v>
      </c>
      <c r="AD3" s="84" t="s">
        <v>485</v>
      </c>
      <c r="AE3" s="84" t="s">
        <v>486</v>
      </c>
      <c r="AF3" s="84" t="s">
        <v>487</v>
      </c>
      <c r="AG3" s="84" t="s">
        <v>488</v>
      </c>
      <c r="AH3" s="84" t="s">
        <v>492</v>
      </c>
      <c r="AI3" s="84" t="s">
        <v>493</v>
      </c>
      <c r="AJ3" s="84" t="s">
        <v>474</v>
      </c>
      <c r="AK3" s="84" t="s">
        <v>475</v>
      </c>
      <c r="AL3" s="84" t="s">
        <v>473</v>
      </c>
      <c r="AM3" s="96" t="s">
        <v>601</v>
      </c>
    </row>
    <row r="4" spans="2:57" hidden="1">
      <c r="B4" s="104" t="s">
        <v>75</v>
      </c>
      <c r="C4" s="104" t="s">
        <v>35</v>
      </c>
      <c r="D4" s="87">
        <v>19</v>
      </c>
      <c r="E4" s="86" t="s">
        <v>76</v>
      </c>
      <c r="F4" s="87" t="s">
        <v>67</v>
      </c>
      <c r="G4" s="87" t="s">
        <v>107</v>
      </c>
      <c r="H4" s="89">
        <v>1</v>
      </c>
      <c r="I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4" s="88">
        <v>42856</v>
      </c>
      <c r="K4" s="99" t="s">
        <v>461</v>
      </c>
      <c r="L4" s="85" t="s">
        <v>389</v>
      </c>
      <c r="M4" s="99"/>
      <c r="N4" s="90"/>
      <c r="O4" s="255">
        <f>MONTH(LstMachines[[#This Row],[Delivery]])</f>
        <v>5</v>
      </c>
      <c r="P4" s="256" t="str">
        <f>FIXED(YEAR(LstMachines[[#This Row],[Delivery]]),0,TRUE)</f>
        <v>2017</v>
      </c>
      <c r="Q4" s="73"/>
      <c r="R4" s="93"/>
      <c r="S4" s="90"/>
      <c r="T4" s="90"/>
      <c r="U4" s="90"/>
      <c r="V4" s="72"/>
      <c r="W4" s="99"/>
      <c r="X4" s="258">
        <f>LstMachines[[#This Row],[Delivery]]</f>
        <v>42856</v>
      </c>
      <c r="Y4" s="258" t="str">
        <f xml:space="preserve"> IF(MONTH(LstMachines[[#This Row],[DateLivr]])&lt;10,"0","") &amp; MONTH(LstMachines[[#This Row],[DateLivr]]) &amp;"-"&amp;YEAR(LstMachines[[#This Row],[DateLivr]])</f>
        <v>05-2017</v>
      </c>
      <c r="Z4" s="258">
        <f>LstMachines[[#This Row],[Delivery]]+Rglt_à_HCME</f>
        <v>42916</v>
      </c>
      <c r="AA4" s="258" t="str">
        <f xml:space="preserve"> IF(MONTH(LstMachines[[#This Row],[DatePaie]])&lt;10,"0","") &amp; MONTH(LstMachines[[#This Row],[DatePaie]])&amp;"-"&amp;YEAR(LstMachines[[#This Row],[DatePaie]])</f>
        <v>06-2017</v>
      </c>
      <c r="AB4" s="258">
        <f>LstMachines[[#This Row],[DateLivr]]+1</f>
        <v>42857</v>
      </c>
      <c r="AC4" s="258" t="str">
        <f xml:space="preserve"> IF(MONTH(LstMachines[[#This Row],[Distrib]])&lt;10,"0","") &amp; MONTH(LstMachines[[#This Row],[Distrib]]) &amp; "-" &amp; YEAR(LstMachines[[#This Row],[Distrib]])</f>
        <v>05-2017</v>
      </c>
      <c r="AD4" s="258">
        <f>LstMachines[[#This Row],[DateLivr]]+Délai_Vente</f>
        <v>42976</v>
      </c>
      <c r="AE4" s="258" t="str">
        <f xml:space="preserve"> IF(MONTH(LstMachines[[#This Row],[VteESM]])&lt;10,"0","") &amp; MONTH(LstMachines[[#This Row],[VteESM]]) &amp; "-" &amp; YEAR(LstMachines[[#This Row],[VteESM]])</f>
        <v>08-2017</v>
      </c>
      <c r="AF4" s="258">
        <f>LstMachines[[#This Row],[DateLivr]]+Rglt_à_ESMTP</f>
        <v>42916</v>
      </c>
      <c r="AG4" s="258" t="str">
        <f xml:space="preserve"> IF(MONTH(LstMachines[[#This Row],[RgltDistrib]])&lt;10,"0","") &amp; MONTH(LstMachines[[#This Row],[RgltDistrib]]) &amp; "-" &amp; YEAR(LstMachines[[#This Row],[RgltDistrib]])</f>
        <v>06-2017</v>
      </c>
      <c r="AH4" s="258">
        <f>LstMachines[[#This Row],[VteESM]]+Rglt_à_ESMTP</f>
        <v>43036</v>
      </c>
      <c r="AI4" s="258" t="str">
        <f xml:space="preserve"> IF(MONTH(LstMachines[[#This Row],[RgltVteESM]])&lt;10,"0","") &amp; MONTH(LstMachines[[#This Row],[RgltVteESM]]) &amp; "-" &amp; YEAR(LstMachines[[#This Row],[RgltVteESM]])</f>
        <v>10-2017</v>
      </c>
      <c r="AJ4" s="140">
        <f>MONTH(LstMachines[[#This Row],[DatePaie]])</f>
        <v>6</v>
      </c>
      <c r="AK4" s="88" t="str">
        <f>FIXED(YEAR(LstMachines[[#This Row],[DatePaie]]),0,TRUE)</f>
        <v>2017</v>
      </c>
      <c r="AL4" s="140"/>
      <c r="AM4" s="414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BA4" s="92"/>
      <c r="BC4" s="92"/>
      <c r="BD4" s="92"/>
      <c r="BE4" s="92"/>
    </row>
    <row r="5" spans="2:57" hidden="1">
      <c r="B5" s="104" t="s">
        <v>75</v>
      </c>
      <c r="C5" s="104" t="s">
        <v>69</v>
      </c>
      <c r="D5" s="87">
        <v>55</v>
      </c>
      <c r="E5" s="86" t="s">
        <v>358</v>
      </c>
      <c r="F5" s="87" t="s">
        <v>67</v>
      </c>
      <c r="G5" s="87" t="s">
        <v>107</v>
      </c>
      <c r="H5" s="89">
        <v>1</v>
      </c>
      <c r="I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5" s="88">
        <v>42870</v>
      </c>
      <c r="K5" s="99" t="s">
        <v>461</v>
      </c>
      <c r="L5" s="85" t="s">
        <v>389</v>
      </c>
      <c r="M5" s="99"/>
      <c r="N5" s="90"/>
      <c r="O5" s="255">
        <f>MONTH(LstMachines[[#This Row],[Delivery]])</f>
        <v>5</v>
      </c>
      <c r="P5" s="256" t="str">
        <f>FIXED(YEAR(LstMachines[[#This Row],[Delivery]]),0,TRUE)</f>
        <v>2017</v>
      </c>
      <c r="Q5" s="73"/>
      <c r="R5" s="93"/>
      <c r="S5" s="90"/>
      <c r="T5" s="90"/>
      <c r="U5" s="90"/>
      <c r="V5" s="72"/>
      <c r="W5" s="99"/>
      <c r="X5" s="258">
        <f>LstMachines[[#This Row],[Delivery]]</f>
        <v>42870</v>
      </c>
      <c r="Y5" s="258" t="str">
        <f xml:space="preserve"> IF(MONTH(LstMachines[[#This Row],[DateLivr]])&lt;10,"0","") &amp; MONTH(LstMachines[[#This Row],[DateLivr]]) &amp;"-"&amp;YEAR(LstMachines[[#This Row],[DateLivr]])</f>
        <v>05-2017</v>
      </c>
      <c r="Z5" s="258">
        <f>LstMachines[[#This Row],[Delivery]]+Rglt_à_HCME</f>
        <v>42930</v>
      </c>
      <c r="AA5" s="258" t="str">
        <f xml:space="preserve"> IF(MONTH(LstMachines[[#This Row],[DatePaie]])&lt;10,"0","") &amp; MONTH(LstMachines[[#This Row],[DatePaie]])&amp;"-"&amp;YEAR(LstMachines[[#This Row],[DatePaie]])</f>
        <v>07-2017</v>
      </c>
      <c r="AB5" s="258">
        <f>LstMachines[[#This Row],[DateLivr]]+1</f>
        <v>42871</v>
      </c>
      <c r="AC5" s="258" t="str">
        <f xml:space="preserve"> IF(MONTH(LstMachines[[#This Row],[Distrib]])&lt;10,"0","") &amp; MONTH(LstMachines[[#This Row],[Distrib]]) &amp; "-" &amp; YEAR(LstMachines[[#This Row],[Distrib]])</f>
        <v>05-2017</v>
      </c>
      <c r="AD5" s="258">
        <f>LstMachines[[#This Row],[DateLivr]]+Délai_Vente</f>
        <v>42990</v>
      </c>
      <c r="AE5" s="258" t="str">
        <f xml:space="preserve"> IF(MONTH(LstMachines[[#This Row],[VteESM]])&lt;10,"0","") &amp; MONTH(LstMachines[[#This Row],[VteESM]]) &amp; "-" &amp; YEAR(LstMachines[[#This Row],[VteESM]])</f>
        <v>09-2017</v>
      </c>
      <c r="AF5" s="258">
        <f>LstMachines[[#This Row],[DateLivr]]+Rglt_à_ESMTP</f>
        <v>42930</v>
      </c>
      <c r="AG5" s="258" t="str">
        <f xml:space="preserve"> IF(MONTH(LstMachines[[#This Row],[RgltDistrib]])&lt;10,"0","") &amp; MONTH(LstMachines[[#This Row],[RgltDistrib]]) &amp; "-" &amp; YEAR(LstMachines[[#This Row],[RgltDistrib]])</f>
        <v>07-2017</v>
      </c>
      <c r="AH5" s="258">
        <f>LstMachines[[#This Row],[VteESM]]+Rglt_à_ESMTP</f>
        <v>43050</v>
      </c>
      <c r="AI5" s="258" t="str">
        <f xml:space="preserve"> IF(MONTH(LstMachines[[#This Row],[RgltVteESM]])&lt;10,"0","") &amp; MONTH(LstMachines[[#This Row],[RgltVteESM]]) &amp; "-" &amp; YEAR(LstMachines[[#This Row],[RgltVteESM]])</f>
        <v>11-2017</v>
      </c>
      <c r="AJ5" s="140">
        <f>MONTH(LstMachines[[#This Row],[DatePaie]])</f>
        <v>7</v>
      </c>
      <c r="AK5" s="88" t="str">
        <f>FIXED(YEAR(LstMachines[[#This Row],[DatePaie]]),0,TRUE)</f>
        <v>2017</v>
      </c>
      <c r="AL5" s="140"/>
      <c r="AM5" s="414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BA5" s="92"/>
      <c r="BC5" s="92"/>
      <c r="BD5" s="92"/>
      <c r="BE5" s="92"/>
    </row>
    <row r="6" spans="2:57" hidden="1">
      <c r="B6" s="104" t="s">
        <v>262</v>
      </c>
      <c r="C6" s="104" t="s">
        <v>39</v>
      </c>
      <c r="D6" s="87">
        <v>85</v>
      </c>
      <c r="E6" s="86" t="s">
        <v>356</v>
      </c>
      <c r="F6" s="87" t="s">
        <v>67</v>
      </c>
      <c r="G6" s="87" t="s">
        <v>107</v>
      </c>
      <c r="H6" s="89">
        <v>1</v>
      </c>
      <c r="I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6" s="88">
        <v>42870</v>
      </c>
      <c r="K6" s="99" t="s">
        <v>461</v>
      </c>
      <c r="L6" s="85" t="s">
        <v>389</v>
      </c>
      <c r="M6" s="99"/>
      <c r="N6" s="90"/>
      <c r="O6" s="255">
        <f>MONTH(LstMachines[[#This Row],[Delivery]])</f>
        <v>5</v>
      </c>
      <c r="P6" s="256" t="str">
        <f>FIXED(YEAR(LstMachines[[#This Row],[Delivery]]),0,TRUE)</f>
        <v>2017</v>
      </c>
      <c r="Q6" s="73"/>
      <c r="R6" s="93"/>
      <c r="S6" s="90"/>
      <c r="T6" s="90"/>
      <c r="U6" s="90"/>
      <c r="V6" s="72"/>
      <c r="W6" s="99"/>
      <c r="X6" s="258">
        <f>LstMachines[[#This Row],[Delivery]]</f>
        <v>42870</v>
      </c>
      <c r="Y6" s="258" t="str">
        <f xml:space="preserve"> IF(MONTH(LstMachines[[#This Row],[DateLivr]])&lt;10,"0","") &amp; MONTH(LstMachines[[#This Row],[DateLivr]]) &amp;"-"&amp;YEAR(LstMachines[[#This Row],[DateLivr]])</f>
        <v>05-2017</v>
      </c>
      <c r="Z6" s="258">
        <f>LstMachines[[#This Row],[Delivery]]+Rglt_à_HCME</f>
        <v>42930</v>
      </c>
      <c r="AA6" s="258" t="str">
        <f xml:space="preserve"> IF(MONTH(LstMachines[[#This Row],[DatePaie]])&lt;10,"0","") &amp; MONTH(LstMachines[[#This Row],[DatePaie]])&amp;"-"&amp;YEAR(LstMachines[[#This Row],[DatePaie]])</f>
        <v>07-2017</v>
      </c>
      <c r="AB6" s="258">
        <f>LstMachines[[#This Row],[DateLivr]]+1</f>
        <v>42871</v>
      </c>
      <c r="AC6" s="258" t="str">
        <f xml:space="preserve"> IF(MONTH(LstMachines[[#This Row],[Distrib]])&lt;10,"0","") &amp; MONTH(LstMachines[[#This Row],[Distrib]]) &amp; "-" &amp; YEAR(LstMachines[[#This Row],[Distrib]])</f>
        <v>05-2017</v>
      </c>
      <c r="AD6" s="258">
        <f>LstMachines[[#This Row],[DateLivr]]+Délai_Vente</f>
        <v>42990</v>
      </c>
      <c r="AE6" s="258" t="str">
        <f xml:space="preserve"> IF(MONTH(LstMachines[[#This Row],[VteESM]])&lt;10,"0","") &amp; MONTH(LstMachines[[#This Row],[VteESM]]) &amp; "-" &amp; YEAR(LstMachines[[#This Row],[VteESM]])</f>
        <v>09-2017</v>
      </c>
      <c r="AF6" s="258">
        <f>LstMachines[[#This Row],[DateLivr]]+Rglt_à_ESMTP</f>
        <v>42930</v>
      </c>
      <c r="AG6" s="258" t="str">
        <f xml:space="preserve"> IF(MONTH(LstMachines[[#This Row],[RgltDistrib]])&lt;10,"0","") &amp; MONTH(LstMachines[[#This Row],[RgltDistrib]]) &amp; "-" &amp; YEAR(LstMachines[[#This Row],[RgltDistrib]])</f>
        <v>07-2017</v>
      </c>
      <c r="AH6" s="258">
        <f>LstMachines[[#This Row],[VteESM]]+Rglt_à_ESMTP</f>
        <v>43050</v>
      </c>
      <c r="AI6" s="258" t="str">
        <f xml:space="preserve"> IF(MONTH(LstMachines[[#This Row],[RgltVteESM]])&lt;10,"0","") &amp; MONTH(LstMachines[[#This Row],[RgltVteESM]]) &amp; "-" &amp; YEAR(LstMachines[[#This Row],[RgltVteESM]])</f>
        <v>11-2017</v>
      </c>
      <c r="AJ6" s="140">
        <f>MONTH(LstMachines[[#This Row],[DatePaie]])</f>
        <v>7</v>
      </c>
      <c r="AK6" s="88" t="str">
        <f>FIXED(YEAR(LstMachines[[#This Row],[DatePaie]]),0,TRUE)</f>
        <v>2017</v>
      </c>
      <c r="AL6" s="140"/>
      <c r="AM6" s="414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BA6" s="92"/>
      <c r="BC6" s="92"/>
      <c r="BD6" s="92"/>
      <c r="BE6" s="92"/>
    </row>
    <row r="7" spans="2:57" hidden="1">
      <c r="B7" s="104" t="s">
        <v>262</v>
      </c>
      <c r="C7" s="104" t="s">
        <v>42</v>
      </c>
      <c r="D7" s="87">
        <v>190</v>
      </c>
      <c r="E7" s="86" t="s">
        <v>200</v>
      </c>
      <c r="F7" s="87" t="s">
        <v>100</v>
      </c>
      <c r="G7" s="87" t="s">
        <v>31</v>
      </c>
      <c r="H7" s="89">
        <v>1</v>
      </c>
      <c r="I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7" s="88">
        <v>42901</v>
      </c>
      <c r="K7" s="99" t="s">
        <v>465</v>
      </c>
      <c r="L7" s="132" t="s">
        <v>387</v>
      </c>
      <c r="M7" s="99"/>
      <c r="N7" s="90"/>
      <c r="O7" s="255">
        <f>MONTH(LstMachines[[#This Row],[Delivery]])</f>
        <v>6</v>
      </c>
      <c r="P7" s="256" t="str">
        <f>FIXED(YEAR(LstMachines[[#This Row],[Delivery]]),0,TRUE)</f>
        <v>2017</v>
      </c>
      <c r="Q7" s="73"/>
      <c r="R7" s="93"/>
      <c r="S7" s="90"/>
      <c r="T7" s="90"/>
      <c r="U7" s="128" t="s">
        <v>105</v>
      </c>
      <c r="V7" s="129"/>
      <c r="W7" s="130" t="s">
        <v>383</v>
      </c>
      <c r="X7" s="258">
        <f>LstMachines[[#This Row],[Delivery]]</f>
        <v>42901</v>
      </c>
      <c r="Y7" s="258" t="str">
        <f xml:space="preserve"> IF(MONTH(LstMachines[[#This Row],[DateLivr]])&lt;10,"0","") &amp; MONTH(LstMachines[[#This Row],[DateLivr]]) &amp;"-"&amp;YEAR(LstMachines[[#This Row],[DateLivr]])</f>
        <v>06-2017</v>
      </c>
      <c r="Z7" s="258">
        <f>LstMachines[[#This Row],[Delivery]]+Rglt_à_HCME</f>
        <v>42961</v>
      </c>
      <c r="AA7" s="258" t="str">
        <f xml:space="preserve"> IF(MONTH(LstMachines[[#This Row],[DatePaie]])&lt;10,"0","") &amp; MONTH(LstMachines[[#This Row],[DatePaie]])&amp;"-"&amp;YEAR(LstMachines[[#This Row],[DatePaie]])</f>
        <v>08-2017</v>
      </c>
      <c r="AB7" s="258">
        <f>LstMachines[[#This Row],[DateLivr]]+1</f>
        <v>42902</v>
      </c>
      <c r="AC7" s="258" t="str">
        <f xml:space="preserve"> IF(MONTH(LstMachines[[#This Row],[Distrib]])&lt;10,"0","") &amp; MONTH(LstMachines[[#This Row],[Distrib]]) &amp; "-" &amp; YEAR(LstMachines[[#This Row],[Distrib]])</f>
        <v>06-2017</v>
      </c>
      <c r="AD7" s="258">
        <f>LstMachines[[#This Row],[DateLivr]]+Délai_Vente</f>
        <v>43021</v>
      </c>
      <c r="AE7" s="258" t="str">
        <f xml:space="preserve"> IF(MONTH(LstMachines[[#This Row],[VteESM]])&lt;10,"0","") &amp; MONTH(LstMachines[[#This Row],[VteESM]]) &amp; "-" &amp; YEAR(LstMachines[[#This Row],[VteESM]])</f>
        <v>10-2017</v>
      </c>
      <c r="AF7" s="258">
        <f>LstMachines[[#This Row],[DateLivr]]+Rglt_à_ESMTP</f>
        <v>42961</v>
      </c>
      <c r="AG7" s="258" t="str">
        <f xml:space="preserve"> IF(MONTH(LstMachines[[#This Row],[RgltDistrib]])&lt;10,"0","") &amp; MONTH(LstMachines[[#This Row],[RgltDistrib]]) &amp; "-" &amp; YEAR(LstMachines[[#This Row],[RgltDistrib]])</f>
        <v>08-2017</v>
      </c>
      <c r="AH7" s="258">
        <f>LstMachines[[#This Row],[VteESM]]+Rglt_à_ESMTP</f>
        <v>43081</v>
      </c>
      <c r="AI7" s="258" t="str">
        <f xml:space="preserve"> IF(MONTH(LstMachines[[#This Row],[RgltVteESM]])&lt;10,"0","") &amp; MONTH(LstMachines[[#This Row],[RgltVteESM]]) &amp; "-" &amp; YEAR(LstMachines[[#This Row],[RgltVteESM]])</f>
        <v>12-2017</v>
      </c>
      <c r="AJ7" s="140">
        <f>MONTH(LstMachines[[#This Row],[DatePaie]])</f>
        <v>8</v>
      </c>
      <c r="AK7" s="88" t="str">
        <f>FIXED(YEAR(LstMachines[[#This Row],[DatePaie]]),0,TRUE)</f>
        <v>2017</v>
      </c>
      <c r="AL7" s="140"/>
      <c r="AM7" s="414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BA7" s="92"/>
      <c r="BC7" s="92"/>
      <c r="BD7" s="92"/>
      <c r="BE7" s="92"/>
    </row>
    <row r="8" spans="2:57" hidden="1">
      <c r="B8" s="104" t="s">
        <v>262</v>
      </c>
      <c r="C8" s="104" t="s">
        <v>45</v>
      </c>
      <c r="D8" s="87">
        <v>300</v>
      </c>
      <c r="E8" s="86" t="s">
        <v>216</v>
      </c>
      <c r="F8" s="87" t="s">
        <v>100</v>
      </c>
      <c r="G8" s="87"/>
      <c r="H8" s="89">
        <v>1</v>
      </c>
      <c r="I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8" s="88">
        <v>42901</v>
      </c>
      <c r="K8" s="99" t="s">
        <v>465</v>
      </c>
      <c r="L8" s="121" t="s">
        <v>386</v>
      </c>
      <c r="M8" s="99"/>
      <c r="N8" s="90">
        <v>42795</v>
      </c>
      <c r="O8" s="255">
        <f>MONTH(LstMachines[[#This Row],[Delivery]])</f>
        <v>6</v>
      </c>
      <c r="P8" s="256" t="str">
        <f>FIXED(YEAR(LstMachines[[#This Row],[Delivery]]),0,TRUE)</f>
        <v>2017</v>
      </c>
      <c r="Q8" s="73"/>
      <c r="R8" s="93"/>
      <c r="S8" s="90"/>
      <c r="T8" s="90"/>
      <c r="U8" s="90"/>
      <c r="V8" s="72"/>
      <c r="W8" s="99"/>
      <c r="X8" s="258">
        <f>LstMachines[[#This Row],[Delivery]]</f>
        <v>42901</v>
      </c>
      <c r="Y8" s="258" t="str">
        <f xml:space="preserve"> IF(MONTH(LstMachines[[#This Row],[DateLivr]])&lt;10,"0","") &amp; MONTH(LstMachines[[#This Row],[DateLivr]]) &amp;"-"&amp;YEAR(LstMachines[[#This Row],[DateLivr]])</f>
        <v>06-2017</v>
      </c>
      <c r="Z8" s="258">
        <f>LstMachines[[#This Row],[Delivery]]+Rglt_à_HCME</f>
        <v>42961</v>
      </c>
      <c r="AA8" s="258" t="str">
        <f xml:space="preserve"> IF(MONTH(LstMachines[[#This Row],[DatePaie]])&lt;10,"0","") &amp; MONTH(LstMachines[[#This Row],[DatePaie]])&amp;"-"&amp;YEAR(LstMachines[[#This Row],[DatePaie]])</f>
        <v>08-2017</v>
      </c>
      <c r="AB8" s="258">
        <f>LstMachines[[#This Row],[DateLivr]]+1</f>
        <v>42902</v>
      </c>
      <c r="AC8" s="258" t="str">
        <f xml:space="preserve"> IF(MONTH(LstMachines[[#This Row],[Distrib]])&lt;10,"0","") &amp; MONTH(LstMachines[[#This Row],[Distrib]]) &amp; "-" &amp; YEAR(LstMachines[[#This Row],[Distrib]])</f>
        <v>06-2017</v>
      </c>
      <c r="AD8" s="258">
        <f>LstMachines[[#This Row],[DateLivr]]+Délai_Vente</f>
        <v>43021</v>
      </c>
      <c r="AE8" s="258" t="str">
        <f xml:space="preserve"> IF(MONTH(LstMachines[[#This Row],[VteESM]])&lt;10,"0","") &amp; MONTH(LstMachines[[#This Row],[VteESM]]) &amp; "-" &amp; YEAR(LstMachines[[#This Row],[VteESM]])</f>
        <v>10-2017</v>
      </c>
      <c r="AF8" s="258">
        <f>LstMachines[[#This Row],[DateLivr]]+Rglt_à_ESMTP</f>
        <v>42961</v>
      </c>
      <c r="AG8" s="258" t="str">
        <f xml:space="preserve"> IF(MONTH(LstMachines[[#This Row],[RgltDistrib]])&lt;10,"0","") &amp; MONTH(LstMachines[[#This Row],[RgltDistrib]]) &amp; "-" &amp; YEAR(LstMachines[[#This Row],[RgltDistrib]])</f>
        <v>08-2017</v>
      </c>
      <c r="AH8" s="258">
        <f>LstMachines[[#This Row],[VteESM]]+Rglt_à_ESMTP</f>
        <v>43081</v>
      </c>
      <c r="AI8" s="258" t="str">
        <f xml:space="preserve"> IF(MONTH(LstMachines[[#This Row],[RgltVteESM]])&lt;10,"0","") &amp; MONTH(LstMachines[[#This Row],[RgltVteESM]]) &amp; "-" &amp; YEAR(LstMachines[[#This Row],[RgltVteESM]])</f>
        <v>12-2017</v>
      </c>
      <c r="AJ8" s="140">
        <f>MONTH(LstMachines[[#This Row],[DatePaie]])</f>
        <v>8</v>
      </c>
      <c r="AK8" s="88" t="str">
        <f>FIXED(YEAR(LstMachines[[#This Row],[DatePaie]]),0,TRUE)</f>
        <v>2017</v>
      </c>
      <c r="AL8" s="140"/>
      <c r="AM8" s="414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BA8" s="92"/>
      <c r="BC8" s="92"/>
      <c r="BD8" s="92"/>
      <c r="BE8" s="92"/>
    </row>
    <row r="9" spans="2:57" hidden="1">
      <c r="B9" s="104" t="s">
        <v>262</v>
      </c>
      <c r="C9" s="104" t="s">
        <v>39</v>
      </c>
      <c r="D9" s="87">
        <v>85</v>
      </c>
      <c r="E9" s="104" t="s">
        <v>356</v>
      </c>
      <c r="F9" s="71" t="s">
        <v>100</v>
      </c>
      <c r="G9" s="101" t="s">
        <v>31</v>
      </c>
      <c r="H9" s="89">
        <v>1</v>
      </c>
      <c r="I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9" s="88">
        <v>42931</v>
      </c>
      <c r="K9" s="99" t="s">
        <v>465</v>
      </c>
      <c r="L9" s="121" t="s">
        <v>386</v>
      </c>
      <c r="M9" s="99"/>
      <c r="N9" s="90">
        <v>42853</v>
      </c>
      <c r="O9" s="255">
        <f>MONTH(LstMachines[[#This Row],[Delivery]])</f>
        <v>7</v>
      </c>
      <c r="P9" s="256" t="str">
        <f>FIXED(YEAR(LstMachines[[#This Row],[Delivery]]),0,TRUE)</f>
        <v>2017</v>
      </c>
      <c r="Q9" s="73" t="s">
        <v>339</v>
      </c>
      <c r="R9" s="93">
        <v>56981</v>
      </c>
      <c r="S9" s="94"/>
      <c r="T9" s="73" t="s">
        <v>283</v>
      </c>
      <c r="U9" s="90" t="s">
        <v>105</v>
      </c>
      <c r="V9" s="72">
        <v>4111</v>
      </c>
      <c r="W9" s="100" t="s">
        <v>284</v>
      </c>
      <c r="X9" s="258">
        <f>LstMachines[[#This Row],[Delivery]]</f>
        <v>42931</v>
      </c>
      <c r="Y9" s="258" t="str">
        <f xml:space="preserve"> IF(MONTH(LstMachines[[#This Row],[DateLivr]])&lt;10,"0","") &amp; MONTH(LstMachines[[#This Row],[DateLivr]]) &amp;"-"&amp;YEAR(LstMachines[[#This Row],[DateLivr]])</f>
        <v>07-2017</v>
      </c>
      <c r="Z9" s="258">
        <f>LstMachines[[#This Row],[Delivery]]+Rglt_à_HCME</f>
        <v>42991</v>
      </c>
      <c r="AA9" s="258" t="str">
        <f xml:space="preserve"> IF(MONTH(LstMachines[[#This Row],[DatePaie]])&lt;10,"0","") &amp; MONTH(LstMachines[[#This Row],[DatePaie]])&amp;"-"&amp;YEAR(LstMachines[[#This Row],[DatePaie]])</f>
        <v>09-2017</v>
      </c>
      <c r="AB9" s="258">
        <f>LstMachines[[#This Row],[DateLivr]]+1</f>
        <v>42932</v>
      </c>
      <c r="AC9" s="258" t="str">
        <f xml:space="preserve"> IF(MONTH(LstMachines[[#This Row],[Distrib]])&lt;10,"0","") &amp; MONTH(LstMachines[[#This Row],[Distrib]]) &amp; "-" &amp; YEAR(LstMachines[[#This Row],[Distrib]])</f>
        <v>07-2017</v>
      </c>
      <c r="AD9" s="258">
        <f>LstMachines[[#This Row],[DateLivr]]+Délai_Vente</f>
        <v>43051</v>
      </c>
      <c r="AE9" s="258" t="str">
        <f xml:space="preserve"> IF(MONTH(LstMachines[[#This Row],[VteESM]])&lt;10,"0","") &amp; MONTH(LstMachines[[#This Row],[VteESM]]) &amp; "-" &amp; YEAR(LstMachines[[#This Row],[VteESM]])</f>
        <v>11-2017</v>
      </c>
      <c r="AF9" s="258">
        <f>LstMachines[[#This Row],[DateLivr]]+Rglt_à_ESMTP</f>
        <v>42991</v>
      </c>
      <c r="AG9" s="258" t="str">
        <f xml:space="preserve"> IF(MONTH(LstMachines[[#This Row],[RgltDistrib]])&lt;10,"0","") &amp; MONTH(LstMachines[[#This Row],[RgltDistrib]]) &amp; "-" &amp; YEAR(LstMachines[[#This Row],[RgltDistrib]])</f>
        <v>09-2017</v>
      </c>
      <c r="AH9" s="258">
        <f>LstMachines[[#This Row],[VteESM]]+Rglt_à_ESMTP</f>
        <v>43111</v>
      </c>
      <c r="AI9" s="258" t="str">
        <f xml:space="preserve"> IF(MONTH(LstMachines[[#This Row],[RgltVteESM]])&lt;10,"0","") &amp; MONTH(LstMachines[[#This Row],[RgltVteESM]]) &amp; "-" &amp; YEAR(LstMachines[[#This Row],[RgltVteESM]])</f>
        <v>01-2018</v>
      </c>
      <c r="AJ9" s="140">
        <f>MONTH(LstMachines[[#This Row],[DatePaie]])</f>
        <v>9</v>
      </c>
      <c r="AK9" s="88" t="str">
        <f>FIXED(YEAR(LstMachines[[#This Row],[DatePaie]]),0,TRUE)</f>
        <v>2017</v>
      </c>
      <c r="AL9" s="140"/>
      <c r="AM9" s="414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BA9" s="92"/>
      <c r="BC9" s="92"/>
      <c r="BD9" s="92"/>
      <c r="BE9" s="92"/>
    </row>
    <row r="10" spans="2:57" hidden="1">
      <c r="B10" s="104" t="s">
        <v>259</v>
      </c>
      <c r="C10" s="104" t="s">
        <v>48</v>
      </c>
      <c r="D10" s="87">
        <v>180</v>
      </c>
      <c r="E10" s="86" t="s">
        <v>163</v>
      </c>
      <c r="F10" s="71" t="s">
        <v>100</v>
      </c>
      <c r="G10" s="101" t="s">
        <v>31</v>
      </c>
      <c r="H10" s="89">
        <v>1</v>
      </c>
      <c r="I1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10" s="88">
        <v>42962</v>
      </c>
      <c r="K10" s="99" t="s">
        <v>465</v>
      </c>
      <c r="L10" s="120" t="s">
        <v>378</v>
      </c>
      <c r="M10" s="99"/>
      <c r="N10" s="90">
        <v>42853</v>
      </c>
      <c r="O10" s="255">
        <f>MONTH(LstMachines[[#This Row],[Delivery]])</f>
        <v>8</v>
      </c>
      <c r="P10" s="256" t="str">
        <f>FIXED(YEAR(LstMachines[[#This Row],[Delivery]]),0,TRUE)</f>
        <v>2017</v>
      </c>
      <c r="Q10" s="73" t="s">
        <v>328</v>
      </c>
      <c r="R10" s="93">
        <v>101896</v>
      </c>
      <c r="S10" s="94"/>
      <c r="T10" s="73" t="s">
        <v>396</v>
      </c>
      <c r="U10" s="90" t="s">
        <v>105</v>
      </c>
      <c r="V10" s="72">
        <v>4118</v>
      </c>
      <c r="W10" s="99" t="s">
        <v>382</v>
      </c>
      <c r="X10" s="258">
        <f>LstMachines[[#This Row],[Delivery]]</f>
        <v>42962</v>
      </c>
      <c r="Y10" s="258" t="str">
        <f xml:space="preserve"> IF(MONTH(LstMachines[[#This Row],[DateLivr]])&lt;10,"0","") &amp; MONTH(LstMachines[[#This Row],[DateLivr]]) &amp;"-"&amp;YEAR(LstMachines[[#This Row],[DateLivr]])</f>
        <v>08-2017</v>
      </c>
      <c r="Z10" s="258">
        <f>LstMachines[[#This Row],[Delivery]]+Rglt_à_HCME</f>
        <v>43022</v>
      </c>
      <c r="AA10" s="258" t="str">
        <f xml:space="preserve"> IF(MONTH(LstMachines[[#This Row],[DatePaie]])&lt;10,"0","") &amp; MONTH(LstMachines[[#This Row],[DatePaie]])&amp;"-"&amp;YEAR(LstMachines[[#This Row],[DatePaie]])</f>
        <v>10-2017</v>
      </c>
      <c r="AB10" s="258">
        <f>LstMachines[[#This Row],[DateLivr]]+1</f>
        <v>42963</v>
      </c>
      <c r="AC10" s="258" t="str">
        <f xml:space="preserve"> IF(MONTH(LstMachines[[#This Row],[Distrib]])&lt;10,"0","") &amp; MONTH(LstMachines[[#This Row],[Distrib]]) &amp; "-" &amp; YEAR(LstMachines[[#This Row],[Distrib]])</f>
        <v>08-2017</v>
      </c>
      <c r="AD10" s="258">
        <f>LstMachines[[#This Row],[DateLivr]]+Délai_Vente</f>
        <v>43082</v>
      </c>
      <c r="AE10" s="258" t="str">
        <f xml:space="preserve"> IF(MONTH(LstMachines[[#This Row],[VteESM]])&lt;10,"0","") &amp; MONTH(LstMachines[[#This Row],[VteESM]]) &amp; "-" &amp; YEAR(LstMachines[[#This Row],[VteESM]])</f>
        <v>12-2017</v>
      </c>
      <c r="AF10" s="258">
        <f>LstMachines[[#This Row],[DateLivr]]+Rglt_à_ESMTP</f>
        <v>43022</v>
      </c>
      <c r="AG10" s="258" t="str">
        <f xml:space="preserve"> IF(MONTH(LstMachines[[#This Row],[RgltDistrib]])&lt;10,"0","") &amp; MONTH(LstMachines[[#This Row],[RgltDistrib]]) &amp; "-" &amp; YEAR(LstMachines[[#This Row],[RgltDistrib]])</f>
        <v>10-2017</v>
      </c>
      <c r="AH10" s="258">
        <f>LstMachines[[#This Row],[VteESM]]+Rglt_à_ESMTP</f>
        <v>43142</v>
      </c>
      <c r="AI10" s="258" t="str">
        <f xml:space="preserve"> IF(MONTH(LstMachines[[#This Row],[RgltVteESM]])&lt;10,"0","") &amp; MONTH(LstMachines[[#This Row],[RgltVteESM]]) &amp; "-" &amp; YEAR(LstMachines[[#This Row],[RgltVteESM]])</f>
        <v>02-2018</v>
      </c>
      <c r="AJ10" s="140">
        <f>MONTH(LstMachines[[#This Row],[DatePaie]])</f>
        <v>10</v>
      </c>
      <c r="AK10" s="88" t="str">
        <f>FIXED(YEAR(LstMachines[[#This Row],[DatePaie]]),0,TRUE)</f>
        <v>2017</v>
      </c>
      <c r="AL10" s="140"/>
      <c r="AM10" s="414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BA10" s="92"/>
      <c r="BC10" s="92"/>
      <c r="BD10" s="92"/>
      <c r="BE10" s="92"/>
    </row>
    <row r="11" spans="2:57" hidden="1">
      <c r="B11" s="104" t="s">
        <v>262</v>
      </c>
      <c r="C11" s="104" t="s">
        <v>40</v>
      </c>
      <c r="D11" s="87">
        <v>135</v>
      </c>
      <c r="E11" s="104" t="s">
        <v>194</v>
      </c>
      <c r="F11" s="71" t="s">
        <v>100</v>
      </c>
      <c r="G11" s="101" t="s">
        <v>31</v>
      </c>
      <c r="H11" s="89">
        <v>1</v>
      </c>
      <c r="I1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11" s="88">
        <v>42962</v>
      </c>
      <c r="K11" s="99" t="s">
        <v>465</v>
      </c>
      <c r="L11" s="121" t="s">
        <v>386</v>
      </c>
      <c r="M11" s="99"/>
      <c r="N11" s="90">
        <v>42794</v>
      </c>
      <c r="O11" s="255">
        <f>MONTH(LstMachines[[#This Row],[Delivery]])</f>
        <v>8</v>
      </c>
      <c r="P11" s="256" t="str">
        <f>FIXED(YEAR(LstMachines[[#This Row],[Delivery]]),0,TRUE)</f>
        <v>2017</v>
      </c>
      <c r="Q11" s="73" t="s">
        <v>337</v>
      </c>
      <c r="R11" s="93">
        <v>105100</v>
      </c>
      <c r="S11" s="94"/>
      <c r="T11" s="73" t="s">
        <v>398</v>
      </c>
      <c r="U11" s="90" t="s">
        <v>105</v>
      </c>
      <c r="V11" s="72">
        <v>4188</v>
      </c>
      <c r="W11" s="100" t="s">
        <v>279</v>
      </c>
      <c r="X11" s="258">
        <f>LstMachines[[#This Row],[Delivery]]</f>
        <v>42962</v>
      </c>
      <c r="Y11" s="258" t="str">
        <f xml:space="preserve"> IF(MONTH(LstMachines[[#This Row],[DateLivr]])&lt;10,"0","") &amp; MONTH(LstMachines[[#This Row],[DateLivr]]) &amp;"-"&amp;YEAR(LstMachines[[#This Row],[DateLivr]])</f>
        <v>08-2017</v>
      </c>
      <c r="Z11" s="258">
        <f>LstMachines[[#This Row],[Delivery]]+Rglt_à_HCME</f>
        <v>43022</v>
      </c>
      <c r="AA11" s="258" t="str">
        <f xml:space="preserve"> IF(MONTH(LstMachines[[#This Row],[DatePaie]])&lt;10,"0","") &amp; MONTH(LstMachines[[#This Row],[DatePaie]])&amp;"-"&amp;YEAR(LstMachines[[#This Row],[DatePaie]])</f>
        <v>10-2017</v>
      </c>
      <c r="AB11" s="258">
        <f>LstMachines[[#This Row],[DateLivr]]+1</f>
        <v>42963</v>
      </c>
      <c r="AC11" s="258" t="str">
        <f xml:space="preserve"> IF(MONTH(LstMachines[[#This Row],[Distrib]])&lt;10,"0","") &amp; MONTH(LstMachines[[#This Row],[Distrib]]) &amp; "-" &amp; YEAR(LstMachines[[#This Row],[Distrib]])</f>
        <v>08-2017</v>
      </c>
      <c r="AD11" s="258">
        <f>LstMachines[[#This Row],[DateLivr]]+Délai_Vente</f>
        <v>43082</v>
      </c>
      <c r="AE11" s="258" t="str">
        <f xml:space="preserve"> IF(MONTH(LstMachines[[#This Row],[VteESM]])&lt;10,"0","") &amp; MONTH(LstMachines[[#This Row],[VteESM]]) &amp; "-" &amp; YEAR(LstMachines[[#This Row],[VteESM]])</f>
        <v>12-2017</v>
      </c>
      <c r="AF11" s="258">
        <f>LstMachines[[#This Row],[DateLivr]]+Rglt_à_ESMTP</f>
        <v>43022</v>
      </c>
      <c r="AG11" s="258" t="str">
        <f xml:space="preserve"> IF(MONTH(LstMachines[[#This Row],[RgltDistrib]])&lt;10,"0","") &amp; MONTH(LstMachines[[#This Row],[RgltDistrib]]) &amp; "-" &amp; YEAR(LstMachines[[#This Row],[RgltDistrib]])</f>
        <v>10-2017</v>
      </c>
      <c r="AH11" s="258">
        <f>LstMachines[[#This Row],[VteESM]]+Rglt_à_ESMTP</f>
        <v>43142</v>
      </c>
      <c r="AI11" s="258" t="str">
        <f xml:space="preserve"> IF(MONTH(LstMachines[[#This Row],[RgltVteESM]])&lt;10,"0","") &amp; MONTH(LstMachines[[#This Row],[RgltVteESM]]) &amp; "-" &amp; YEAR(LstMachines[[#This Row],[RgltVteESM]])</f>
        <v>02-2018</v>
      </c>
      <c r="AJ11" s="140">
        <f>MONTH(LstMachines[[#This Row],[DatePaie]])</f>
        <v>10</v>
      </c>
      <c r="AK11" s="88" t="str">
        <f>FIXED(YEAR(LstMachines[[#This Row],[DatePaie]]),0,TRUE)</f>
        <v>2017</v>
      </c>
      <c r="AL11" s="140"/>
      <c r="AM11" s="414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BA11" s="92"/>
      <c r="BC11" s="92"/>
      <c r="BD11" s="92"/>
      <c r="BE11" s="92"/>
    </row>
    <row r="12" spans="2:57" hidden="1">
      <c r="B12" s="104" t="s">
        <v>262</v>
      </c>
      <c r="C12" s="104" t="s">
        <v>39</v>
      </c>
      <c r="D12" s="87">
        <v>85</v>
      </c>
      <c r="E12" s="104" t="s">
        <v>356</v>
      </c>
      <c r="F12" s="71" t="s">
        <v>100</v>
      </c>
      <c r="G12" s="101" t="s">
        <v>31</v>
      </c>
      <c r="H12" s="89">
        <v>1</v>
      </c>
      <c r="I1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12" s="88">
        <v>42962</v>
      </c>
      <c r="K12" s="99" t="s">
        <v>465</v>
      </c>
      <c r="L12" s="121" t="s">
        <v>386</v>
      </c>
      <c r="M12" s="99"/>
      <c r="N12" s="90">
        <v>42853</v>
      </c>
      <c r="O12" s="255">
        <f>MONTH(LstMachines[[#This Row],[Delivery]])</f>
        <v>8</v>
      </c>
      <c r="P12" s="256" t="str">
        <f>FIXED(YEAR(LstMachines[[#This Row],[Delivery]]),0,TRUE)</f>
        <v>2017</v>
      </c>
      <c r="Q12" s="73" t="s">
        <v>338</v>
      </c>
      <c r="R12" s="93">
        <v>56981</v>
      </c>
      <c r="S12" s="94"/>
      <c r="T12" s="73" t="s">
        <v>394</v>
      </c>
      <c r="U12" s="90" t="s">
        <v>105</v>
      </c>
      <c r="V12" s="72">
        <v>4112</v>
      </c>
      <c r="W12" s="100" t="s">
        <v>282</v>
      </c>
      <c r="X12" s="258">
        <f>LstMachines[[#This Row],[Delivery]]</f>
        <v>42962</v>
      </c>
      <c r="Y12" s="258" t="str">
        <f xml:space="preserve"> IF(MONTH(LstMachines[[#This Row],[DateLivr]])&lt;10,"0","") &amp; MONTH(LstMachines[[#This Row],[DateLivr]]) &amp;"-"&amp;YEAR(LstMachines[[#This Row],[DateLivr]])</f>
        <v>08-2017</v>
      </c>
      <c r="Z12" s="258">
        <f>LstMachines[[#This Row],[Delivery]]+Rglt_à_HCME</f>
        <v>43022</v>
      </c>
      <c r="AA12" s="258" t="str">
        <f xml:space="preserve"> IF(MONTH(LstMachines[[#This Row],[DatePaie]])&lt;10,"0","") &amp; MONTH(LstMachines[[#This Row],[DatePaie]])&amp;"-"&amp;YEAR(LstMachines[[#This Row],[DatePaie]])</f>
        <v>10-2017</v>
      </c>
      <c r="AB12" s="258">
        <f>LstMachines[[#This Row],[DateLivr]]+1</f>
        <v>42963</v>
      </c>
      <c r="AC12" s="258" t="str">
        <f xml:space="preserve"> IF(MONTH(LstMachines[[#This Row],[Distrib]])&lt;10,"0","") &amp; MONTH(LstMachines[[#This Row],[Distrib]]) &amp; "-" &amp; YEAR(LstMachines[[#This Row],[Distrib]])</f>
        <v>08-2017</v>
      </c>
      <c r="AD12" s="258">
        <f>LstMachines[[#This Row],[DateLivr]]+Délai_Vente</f>
        <v>43082</v>
      </c>
      <c r="AE12" s="258" t="str">
        <f xml:space="preserve"> IF(MONTH(LstMachines[[#This Row],[VteESM]])&lt;10,"0","") &amp; MONTH(LstMachines[[#This Row],[VteESM]]) &amp; "-" &amp; YEAR(LstMachines[[#This Row],[VteESM]])</f>
        <v>12-2017</v>
      </c>
      <c r="AF12" s="258">
        <f>LstMachines[[#This Row],[DateLivr]]+Rglt_à_ESMTP</f>
        <v>43022</v>
      </c>
      <c r="AG12" s="258" t="str">
        <f xml:space="preserve"> IF(MONTH(LstMachines[[#This Row],[RgltDistrib]])&lt;10,"0","") &amp; MONTH(LstMachines[[#This Row],[RgltDistrib]]) &amp; "-" &amp; YEAR(LstMachines[[#This Row],[RgltDistrib]])</f>
        <v>10-2017</v>
      </c>
      <c r="AH12" s="258">
        <f>LstMachines[[#This Row],[VteESM]]+Rglt_à_ESMTP</f>
        <v>43142</v>
      </c>
      <c r="AI12" s="258" t="str">
        <f xml:space="preserve"> IF(MONTH(LstMachines[[#This Row],[RgltVteESM]])&lt;10,"0","") &amp; MONTH(LstMachines[[#This Row],[RgltVteESM]]) &amp; "-" &amp; YEAR(LstMachines[[#This Row],[RgltVteESM]])</f>
        <v>02-2018</v>
      </c>
      <c r="AJ12" s="140">
        <f>MONTH(LstMachines[[#This Row],[DatePaie]])</f>
        <v>10</v>
      </c>
      <c r="AK12" s="88" t="str">
        <f>FIXED(YEAR(LstMachines[[#This Row],[DatePaie]]),0,TRUE)</f>
        <v>2017</v>
      </c>
      <c r="AL12" s="140"/>
      <c r="AM12" s="414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BA12" s="92"/>
      <c r="BC12" s="92"/>
      <c r="BD12" s="92"/>
      <c r="BE12" s="92"/>
    </row>
    <row r="13" spans="2:57" hidden="1">
      <c r="B13" s="104" t="s">
        <v>263</v>
      </c>
      <c r="C13" s="104" t="s">
        <v>250</v>
      </c>
      <c r="D13" s="87">
        <v>145</v>
      </c>
      <c r="E13" s="86" t="s">
        <v>228</v>
      </c>
      <c r="F13" s="87" t="s">
        <v>100</v>
      </c>
      <c r="G13" s="87" t="s">
        <v>31</v>
      </c>
      <c r="H13" s="89">
        <v>1</v>
      </c>
      <c r="I1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13" s="88">
        <v>42962</v>
      </c>
      <c r="K13" s="99" t="s">
        <v>366</v>
      </c>
      <c r="L13" s="121" t="s">
        <v>386</v>
      </c>
      <c r="M13" s="90" t="s">
        <v>366</v>
      </c>
      <c r="N13" s="90">
        <v>42887</v>
      </c>
      <c r="O13" s="255">
        <f>MONTH(LstMachines[[#This Row],[Delivery]])</f>
        <v>8</v>
      </c>
      <c r="P13" s="256" t="str">
        <f>FIXED(YEAR(LstMachines[[#This Row],[Delivery]]),0,TRUE)</f>
        <v>2017</v>
      </c>
      <c r="Q13" s="73"/>
      <c r="R13" s="93"/>
      <c r="S13" s="90"/>
      <c r="T13" s="90"/>
      <c r="U13" s="90"/>
      <c r="V13" s="72"/>
      <c r="W13" s="99"/>
      <c r="X13" s="258">
        <f>LstMachines[[#This Row],[Delivery]]</f>
        <v>42962</v>
      </c>
      <c r="Y13" s="258" t="str">
        <f xml:space="preserve"> IF(MONTH(LstMachines[[#This Row],[DateLivr]])&lt;10,"0","") &amp; MONTH(LstMachines[[#This Row],[DateLivr]]) &amp;"-"&amp;YEAR(LstMachines[[#This Row],[DateLivr]])</f>
        <v>08-2017</v>
      </c>
      <c r="Z13" s="258">
        <f>LstMachines[[#This Row],[Delivery]]+Rglt_à_HCME</f>
        <v>43022</v>
      </c>
      <c r="AA13" s="258" t="str">
        <f xml:space="preserve"> IF(MONTH(LstMachines[[#This Row],[DatePaie]])&lt;10,"0","") &amp; MONTH(LstMachines[[#This Row],[DatePaie]])&amp;"-"&amp;YEAR(LstMachines[[#This Row],[DatePaie]])</f>
        <v>10-2017</v>
      </c>
      <c r="AB13" s="258">
        <f>LstMachines[[#This Row],[DateLivr]]+1</f>
        <v>42963</v>
      </c>
      <c r="AC13" s="258" t="str">
        <f xml:space="preserve"> IF(MONTH(LstMachines[[#This Row],[Distrib]])&lt;10,"0","") &amp; MONTH(LstMachines[[#This Row],[Distrib]]) &amp; "-" &amp; YEAR(LstMachines[[#This Row],[Distrib]])</f>
        <v>08-2017</v>
      </c>
      <c r="AD13" s="258">
        <f>LstMachines[[#This Row],[DateLivr]]+Délai_Vente</f>
        <v>43082</v>
      </c>
      <c r="AE13" s="258" t="str">
        <f xml:space="preserve"> IF(MONTH(LstMachines[[#This Row],[VteESM]])&lt;10,"0","") &amp; MONTH(LstMachines[[#This Row],[VteESM]]) &amp; "-" &amp; YEAR(LstMachines[[#This Row],[VteESM]])</f>
        <v>12-2017</v>
      </c>
      <c r="AF13" s="258">
        <f>LstMachines[[#This Row],[DateLivr]]+Rglt_à_ESMTP</f>
        <v>43022</v>
      </c>
      <c r="AG13" s="258" t="str">
        <f xml:space="preserve"> IF(MONTH(LstMachines[[#This Row],[RgltDistrib]])&lt;10,"0","") &amp; MONTH(LstMachines[[#This Row],[RgltDistrib]]) &amp; "-" &amp; YEAR(LstMachines[[#This Row],[RgltDistrib]])</f>
        <v>10-2017</v>
      </c>
      <c r="AH13" s="258">
        <f>LstMachines[[#This Row],[VteESM]]+Rglt_à_ESMTP</f>
        <v>43142</v>
      </c>
      <c r="AI13" s="258" t="str">
        <f xml:space="preserve"> IF(MONTH(LstMachines[[#This Row],[RgltVteESM]])&lt;10,"0","") &amp; MONTH(LstMachines[[#This Row],[RgltVteESM]]) &amp; "-" &amp; YEAR(LstMachines[[#This Row],[RgltVteESM]])</f>
        <v>02-2018</v>
      </c>
      <c r="AJ13" s="140">
        <f>MONTH(LstMachines[[#This Row],[DatePaie]])</f>
        <v>10</v>
      </c>
      <c r="AK13" s="88" t="str">
        <f>FIXED(YEAR(LstMachines[[#This Row],[DatePaie]]),0,TRUE)</f>
        <v>2017</v>
      </c>
      <c r="AL13" s="140"/>
      <c r="AM13" s="414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BA13" s="92"/>
      <c r="BC13" s="92"/>
      <c r="BD13" s="92"/>
      <c r="BE13" s="92"/>
    </row>
    <row r="14" spans="2:57" hidden="1">
      <c r="B14" s="104" t="s">
        <v>262</v>
      </c>
      <c r="C14" s="104" t="s">
        <v>44</v>
      </c>
      <c r="D14" s="87">
        <v>225</v>
      </c>
      <c r="E14" s="86" t="s">
        <v>204</v>
      </c>
      <c r="F14" s="87" t="s">
        <v>100</v>
      </c>
      <c r="G14" s="87" t="s">
        <v>31</v>
      </c>
      <c r="H14" s="89">
        <v>1</v>
      </c>
      <c r="I1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14" s="88">
        <v>42993</v>
      </c>
      <c r="K14" s="99" t="s">
        <v>465</v>
      </c>
      <c r="L14" s="121" t="s">
        <v>386</v>
      </c>
      <c r="M14" s="99"/>
      <c r="N14" s="90">
        <v>42901</v>
      </c>
      <c r="O14" s="255">
        <f>MONTH(LstMachines[[#This Row],[Delivery]])</f>
        <v>9</v>
      </c>
      <c r="P14" s="256" t="str">
        <f>FIXED(YEAR(LstMachines[[#This Row],[Delivery]]),0,TRUE)</f>
        <v>2017</v>
      </c>
      <c r="Q14" s="73"/>
      <c r="R14" s="93"/>
      <c r="S14" s="90"/>
      <c r="T14" s="90"/>
      <c r="U14" s="90" t="s">
        <v>105</v>
      </c>
      <c r="V14" s="72"/>
      <c r="W14" s="99" t="s">
        <v>375</v>
      </c>
      <c r="X14" s="258">
        <f>LstMachines[[#This Row],[Delivery]]</f>
        <v>42993</v>
      </c>
      <c r="Y14" s="258" t="str">
        <f xml:space="preserve"> IF(MONTH(LstMachines[[#This Row],[DateLivr]])&lt;10,"0","") &amp; MONTH(LstMachines[[#This Row],[DateLivr]]) &amp;"-"&amp;YEAR(LstMachines[[#This Row],[DateLivr]])</f>
        <v>09-2017</v>
      </c>
      <c r="Z14" s="258">
        <f>LstMachines[[#This Row],[Delivery]]+Rglt_à_HCME</f>
        <v>43053</v>
      </c>
      <c r="AA14" s="258" t="str">
        <f xml:space="preserve"> IF(MONTH(LstMachines[[#This Row],[DatePaie]])&lt;10,"0","") &amp; MONTH(LstMachines[[#This Row],[DatePaie]])&amp;"-"&amp;YEAR(LstMachines[[#This Row],[DatePaie]])</f>
        <v>11-2017</v>
      </c>
      <c r="AB14" s="258">
        <f>LstMachines[[#This Row],[DateLivr]]+1</f>
        <v>42994</v>
      </c>
      <c r="AC14" s="258" t="str">
        <f xml:space="preserve"> IF(MONTH(LstMachines[[#This Row],[Distrib]])&lt;10,"0","") &amp; MONTH(LstMachines[[#This Row],[Distrib]]) &amp; "-" &amp; YEAR(LstMachines[[#This Row],[Distrib]])</f>
        <v>09-2017</v>
      </c>
      <c r="AD14" s="258">
        <f>LstMachines[[#This Row],[DateLivr]]+Délai_Vente</f>
        <v>43113</v>
      </c>
      <c r="AE14" s="258" t="str">
        <f xml:space="preserve"> IF(MONTH(LstMachines[[#This Row],[VteESM]])&lt;10,"0","") &amp; MONTH(LstMachines[[#This Row],[VteESM]]) &amp; "-" &amp; YEAR(LstMachines[[#This Row],[VteESM]])</f>
        <v>01-2018</v>
      </c>
      <c r="AF14" s="258">
        <f>LstMachines[[#This Row],[DateLivr]]+Rglt_à_ESMTP</f>
        <v>43053</v>
      </c>
      <c r="AG14" s="258" t="str">
        <f xml:space="preserve"> IF(MONTH(LstMachines[[#This Row],[RgltDistrib]])&lt;10,"0","") &amp; MONTH(LstMachines[[#This Row],[RgltDistrib]]) &amp; "-" &amp; YEAR(LstMachines[[#This Row],[RgltDistrib]])</f>
        <v>11-2017</v>
      </c>
      <c r="AH14" s="258">
        <f>LstMachines[[#This Row],[VteESM]]+Rglt_à_ESMTP</f>
        <v>43173</v>
      </c>
      <c r="AI14" s="258" t="str">
        <f xml:space="preserve"> IF(MONTH(LstMachines[[#This Row],[RgltVteESM]])&lt;10,"0","") &amp; MONTH(LstMachines[[#This Row],[RgltVteESM]]) &amp; "-" &amp; YEAR(LstMachines[[#This Row],[RgltVteESM]])</f>
        <v>03-2018</v>
      </c>
      <c r="AJ14" s="140">
        <f>MONTH(LstMachines[[#This Row],[DatePaie]])</f>
        <v>11</v>
      </c>
      <c r="AK14" s="88" t="str">
        <f>FIXED(YEAR(LstMachines[[#This Row],[DatePaie]]),0,TRUE)</f>
        <v>2017</v>
      </c>
      <c r="AL14" s="140"/>
      <c r="AM14" s="414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BA14" s="92"/>
      <c r="BC14" s="92"/>
      <c r="BD14" s="92"/>
      <c r="BE14" s="92"/>
    </row>
    <row r="15" spans="2:57" hidden="1">
      <c r="B15" s="104" t="s">
        <v>75</v>
      </c>
      <c r="C15" s="104" t="s">
        <v>68</v>
      </c>
      <c r="D15" s="87">
        <v>33</v>
      </c>
      <c r="E15" s="104" t="s">
        <v>362</v>
      </c>
      <c r="F15" s="71" t="s">
        <v>100</v>
      </c>
      <c r="G15" s="101" t="s">
        <v>31</v>
      </c>
      <c r="H15" s="89">
        <v>1</v>
      </c>
      <c r="I1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15" s="88">
        <v>42993</v>
      </c>
      <c r="K15" s="99" t="s">
        <v>465</v>
      </c>
      <c r="L15" s="121" t="s">
        <v>386</v>
      </c>
      <c r="M15" s="99"/>
      <c r="N15" s="90">
        <v>42822</v>
      </c>
      <c r="O15" s="255">
        <f>MONTH(LstMachines[[#This Row],[Delivery]])</f>
        <v>9</v>
      </c>
      <c r="P15" s="256" t="str">
        <f>FIXED(YEAR(LstMachines[[#This Row],[Delivery]]),0,TRUE)</f>
        <v>2017</v>
      </c>
      <c r="Q15" s="73" t="s">
        <v>335</v>
      </c>
      <c r="R15" s="93">
        <v>29000</v>
      </c>
      <c r="S15" s="94" t="s">
        <v>276</v>
      </c>
      <c r="T15" s="73" t="s">
        <v>397</v>
      </c>
      <c r="U15" s="90" t="s">
        <v>105</v>
      </c>
      <c r="V15" s="72">
        <v>4094</v>
      </c>
      <c r="W15" s="100" t="s">
        <v>385</v>
      </c>
      <c r="X15" s="258">
        <f>LstMachines[[#This Row],[Delivery]]</f>
        <v>42993</v>
      </c>
      <c r="Y15" s="258" t="str">
        <f xml:space="preserve"> IF(MONTH(LstMachines[[#This Row],[DateLivr]])&lt;10,"0","") &amp; MONTH(LstMachines[[#This Row],[DateLivr]]) &amp;"-"&amp;YEAR(LstMachines[[#This Row],[DateLivr]])</f>
        <v>09-2017</v>
      </c>
      <c r="Z15" s="258">
        <f>LstMachines[[#This Row],[Delivery]]+Rglt_à_HCME</f>
        <v>43053</v>
      </c>
      <c r="AA15" s="258" t="str">
        <f xml:space="preserve"> IF(MONTH(LstMachines[[#This Row],[DatePaie]])&lt;10,"0","") &amp; MONTH(LstMachines[[#This Row],[DatePaie]])&amp;"-"&amp;YEAR(LstMachines[[#This Row],[DatePaie]])</f>
        <v>11-2017</v>
      </c>
      <c r="AB15" s="258">
        <f>LstMachines[[#This Row],[DateLivr]]+1</f>
        <v>42994</v>
      </c>
      <c r="AC15" s="258" t="str">
        <f xml:space="preserve"> IF(MONTH(LstMachines[[#This Row],[Distrib]])&lt;10,"0","") &amp; MONTH(LstMachines[[#This Row],[Distrib]]) &amp; "-" &amp; YEAR(LstMachines[[#This Row],[Distrib]])</f>
        <v>09-2017</v>
      </c>
      <c r="AD15" s="258">
        <f>LstMachines[[#This Row],[DateLivr]]+Délai_Vente</f>
        <v>43113</v>
      </c>
      <c r="AE15" s="258" t="str">
        <f xml:space="preserve"> IF(MONTH(LstMachines[[#This Row],[VteESM]])&lt;10,"0","") &amp; MONTH(LstMachines[[#This Row],[VteESM]]) &amp; "-" &amp; YEAR(LstMachines[[#This Row],[VteESM]])</f>
        <v>01-2018</v>
      </c>
      <c r="AF15" s="258">
        <f>LstMachines[[#This Row],[DateLivr]]+Rglt_à_ESMTP</f>
        <v>43053</v>
      </c>
      <c r="AG15" s="258" t="str">
        <f xml:space="preserve"> IF(MONTH(LstMachines[[#This Row],[RgltDistrib]])&lt;10,"0","") &amp; MONTH(LstMachines[[#This Row],[RgltDistrib]]) &amp; "-" &amp; YEAR(LstMachines[[#This Row],[RgltDistrib]])</f>
        <v>11-2017</v>
      </c>
      <c r="AH15" s="258">
        <f>LstMachines[[#This Row],[VteESM]]+Rglt_à_ESMTP</f>
        <v>43173</v>
      </c>
      <c r="AI15" s="258" t="str">
        <f xml:space="preserve"> IF(MONTH(LstMachines[[#This Row],[RgltVteESM]])&lt;10,"0","") &amp; MONTH(LstMachines[[#This Row],[RgltVteESM]]) &amp; "-" &amp; YEAR(LstMachines[[#This Row],[RgltVteESM]])</f>
        <v>03-2018</v>
      </c>
      <c r="AJ15" s="140">
        <f>MONTH(LstMachines[[#This Row],[DatePaie]])</f>
        <v>11</v>
      </c>
      <c r="AK15" s="88" t="str">
        <f>FIXED(YEAR(LstMachines[[#This Row],[DatePaie]]),0,TRUE)</f>
        <v>2017</v>
      </c>
      <c r="AL15" s="140"/>
      <c r="AM15" s="414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BA15" s="92"/>
      <c r="BC15" s="92"/>
      <c r="BD15" s="92"/>
      <c r="BE15" s="92"/>
    </row>
    <row r="16" spans="2:57" hidden="1">
      <c r="B16" s="104" t="s">
        <v>262</v>
      </c>
      <c r="C16" s="104" t="s">
        <v>39</v>
      </c>
      <c r="D16" s="87">
        <v>85</v>
      </c>
      <c r="E16" s="104" t="s">
        <v>356</v>
      </c>
      <c r="F16" s="71" t="s">
        <v>100</v>
      </c>
      <c r="G16" s="101" t="s">
        <v>31</v>
      </c>
      <c r="H16" s="89">
        <v>1</v>
      </c>
      <c r="I1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16" s="88">
        <v>42993</v>
      </c>
      <c r="K16" s="99" t="s">
        <v>465</v>
      </c>
      <c r="L16" s="121" t="s">
        <v>386</v>
      </c>
      <c r="M16" s="99"/>
      <c r="N16" s="90">
        <v>42975</v>
      </c>
      <c r="O16" s="255">
        <f>MONTH(LstMachines[[#This Row],[Delivery]])</f>
        <v>9</v>
      </c>
      <c r="P16" s="256" t="str">
        <f>FIXED(YEAR(LstMachines[[#This Row],[Delivery]]),0,TRUE)</f>
        <v>2017</v>
      </c>
      <c r="Q16" s="73" t="s">
        <v>336</v>
      </c>
      <c r="R16" s="93">
        <v>56981</v>
      </c>
      <c r="S16" s="94"/>
      <c r="T16" s="73"/>
      <c r="U16" s="90" t="s">
        <v>105</v>
      </c>
      <c r="V16" s="72">
        <v>4183</v>
      </c>
      <c r="W16" s="100" t="s">
        <v>278</v>
      </c>
      <c r="X16" s="258">
        <f>LstMachines[[#This Row],[Delivery]]</f>
        <v>42993</v>
      </c>
      <c r="Y16" s="258" t="str">
        <f xml:space="preserve"> IF(MONTH(LstMachines[[#This Row],[DateLivr]])&lt;10,"0","") &amp; MONTH(LstMachines[[#This Row],[DateLivr]]) &amp;"-"&amp;YEAR(LstMachines[[#This Row],[DateLivr]])</f>
        <v>09-2017</v>
      </c>
      <c r="Z16" s="258">
        <f>LstMachines[[#This Row],[Delivery]]+Rglt_à_HCME</f>
        <v>43053</v>
      </c>
      <c r="AA16" s="258" t="str">
        <f xml:space="preserve"> IF(MONTH(LstMachines[[#This Row],[DatePaie]])&lt;10,"0","") &amp; MONTH(LstMachines[[#This Row],[DatePaie]])&amp;"-"&amp;YEAR(LstMachines[[#This Row],[DatePaie]])</f>
        <v>11-2017</v>
      </c>
      <c r="AB16" s="258">
        <f>LstMachines[[#This Row],[DateLivr]]+1</f>
        <v>42994</v>
      </c>
      <c r="AC16" s="258" t="str">
        <f xml:space="preserve"> IF(MONTH(LstMachines[[#This Row],[Distrib]])&lt;10,"0","") &amp; MONTH(LstMachines[[#This Row],[Distrib]]) &amp; "-" &amp; YEAR(LstMachines[[#This Row],[Distrib]])</f>
        <v>09-2017</v>
      </c>
      <c r="AD16" s="258">
        <f>LstMachines[[#This Row],[DateLivr]]+Délai_Vente</f>
        <v>43113</v>
      </c>
      <c r="AE16" s="258" t="str">
        <f xml:space="preserve"> IF(MONTH(LstMachines[[#This Row],[VteESM]])&lt;10,"0","") &amp; MONTH(LstMachines[[#This Row],[VteESM]]) &amp; "-" &amp; YEAR(LstMachines[[#This Row],[VteESM]])</f>
        <v>01-2018</v>
      </c>
      <c r="AF16" s="258">
        <f>LstMachines[[#This Row],[DateLivr]]+Rglt_à_ESMTP</f>
        <v>43053</v>
      </c>
      <c r="AG16" s="258" t="str">
        <f xml:space="preserve"> IF(MONTH(LstMachines[[#This Row],[RgltDistrib]])&lt;10,"0","") &amp; MONTH(LstMachines[[#This Row],[RgltDistrib]]) &amp; "-" &amp; YEAR(LstMachines[[#This Row],[RgltDistrib]])</f>
        <v>11-2017</v>
      </c>
      <c r="AH16" s="258">
        <f>LstMachines[[#This Row],[VteESM]]+Rglt_à_ESMTP</f>
        <v>43173</v>
      </c>
      <c r="AI16" s="258" t="str">
        <f xml:space="preserve"> IF(MONTH(LstMachines[[#This Row],[RgltVteESM]])&lt;10,"0","") &amp; MONTH(LstMachines[[#This Row],[RgltVteESM]]) &amp; "-" &amp; YEAR(LstMachines[[#This Row],[RgltVteESM]])</f>
        <v>03-2018</v>
      </c>
      <c r="AJ16" s="140">
        <f>MONTH(LstMachines[[#This Row],[DatePaie]])</f>
        <v>11</v>
      </c>
      <c r="AK16" s="88" t="str">
        <f>FIXED(YEAR(LstMachines[[#This Row],[DatePaie]]),0,TRUE)</f>
        <v>2017</v>
      </c>
      <c r="AL16" s="140"/>
      <c r="AM16" s="414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BA16" s="92"/>
      <c r="BC16" s="92"/>
      <c r="BD16" s="92"/>
      <c r="BE16" s="92"/>
    </row>
    <row r="17" spans="2:57" hidden="1">
      <c r="B17" s="104" t="s">
        <v>262</v>
      </c>
      <c r="C17" s="104" t="s">
        <v>45</v>
      </c>
      <c r="D17" s="87">
        <v>300</v>
      </c>
      <c r="E17" s="86" t="s">
        <v>216</v>
      </c>
      <c r="F17" s="87" t="s">
        <v>100</v>
      </c>
      <c r="G17" s="87" t="s">
        <v>31</v>
      </c>
      <c r="H17" s="89">
        <v>1</v>
      </c>
      <c r="I1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17" s="88">
        <v>42993</v>
      </c>
      <c r="K17" s="99" t="s">
        <v>461</v>
      </c>
      <c r="L17" s="132" t="s">
        <v>387</v>
      </c>
      <c r="M17" s="99"/>
      <c r="N17" s="90"/>
      <c r="O17" s="255">
        <f>MONTH(LstMachines[[#This Row],[Delivery]])</f>
        <v>9</v>
      </c>
      <c r="P17" s="256" t="str">
        <f>FIXED(YEAR(LstMachines[[#This Row],[Delivery]]),0,TRUE)</f>
        <v>2017</v>
      </c>
      <c r="Q17" s="73"/>
      <c r="R17" s="93"/>
      <c r="S17" s="90"/>
      <c r="T17" s="90"/>
      <c r="U17" s="90" t="s">
        <v>105</v>
      </c>
      <c r="V17" s="72"/>
      <c r="W17" s="99" t="s">
        <v>384</v>
      </c>
      <c r="X17" s="258">
        <f>LstMachines[[#This Row],[Delivery]]</f>
        <v>42993</v>
      </c>
      <c r="Y17" s="258" t="str">
        <f xml:space="preserve"> IF(MONTH(LstMachines[[#This Row],[DateLivr]])&lt;10,"0","") &amp; MONTH(LstMachines[[#This Row],[DateLivr]]) &amp;"-"&amp;YEAR(LstMachines[[#This Row],[DateLivr]])</f>
        <v>09-2017</v>
      </c>
      <c r="Z17" s="258">
        <f>LstMachines[[#This Row],[Delivery]]+Rglt_à_HCME</f>
        <v>43053</v>
      </c>
      <c r="AA17" s="258" t="str">
        <f xml:space="preserve"> IF(MONTH(LstMachines[[#This Row],[DatePaie]])&lt;10,"0","") &amp; MONTH(LstMachines[[#This Row],[DatePaie]])&amp;"-"&amp;YEAR(LstMachines[[#This Row],[DatePaie]])</f>
        <v>11-2017</v>
      </c>
      <c r="AB17" s="258">
        <f>LstMachines[[#This Row],[DateLivr]]+1</f>
        <v>42994</v>
      </c>
      <c r="AC17" s="258" t="str">
        <f xml:space="preserve"> IF(MONTH(LstMachines[[#This Row],[Distrib]])&lt;10,"0","") &amp; MONTH(LstMachines[[#This Row],[Distrib]]) &amp; "-" &amp; YEAR(LstMachines[[#This Row],[Distrib]])</f>
        <v>09-2017</v>
      </c>
      <c r="AD17" s="258">
        <f>LstMachines[[#This Row],[DateLivr]]+Délai_Vente</f>
        <v>43113</v>
      </c>
      <c r="AE17" s="258" t="str">
        <f xml:space="preserve"> IF(MONTH(LstMachines[[#This Row],[VteESM]])&lt;10,"0","") &amp; MONTH(LstMachines[[#This Row],[VteESM]]) &amp; "-" &amp; YEAR(LstMachines[[#This Row],[VteESM]])</f>
        <v>01-2018</v>
      </c>
      <c r="AF17" s="258">
        <f>LstMachines[[#This Row],[DateLivr]]+Rglt_à_ESMTP</f>
        <v>43053</v>
      </c>
      <c r="AG17" s="258" t="str">
        <f xml:space="preserve"> IF(MONTH(LstMachines[[#This Row],[RgltDistrib]])&lt;10,"0","") &amp; MONTH(LstMachines[[#This Row],[RgltDistrib]]) &amp; "-" &amp; YEAR(LstMachines[[#This Row],[RgltDistrib]])</f>
        <v>11-2017</v>
      </c>
      <c r="AH17" s="258">
        <f>LstMachines[[#This Row],[VteESM]]+Rglt_à_ESMTP</f>
        <v>43173</v>
      </c>
      <c r="AI17" s="258" t="str">
        <f xml:space="preserve"> IF(MONTH(LstMachines[[#This Row],[RgltVteESM]])&lt;10,"0","") &amp; MONTH(LstMachines[[#This Row],[RgltVteESM]]) &amp; "-" &amp; YEAR(LstMachines[[#This Row],[RgltVteESM]])</f>
        <v>03-2018</v>
      </c>
      <c r="AJ17" s="140">
        <f>MONTH(LstMachines[[#This Row],[DatePaie]])</f>
        <v>11</v>
      </c>
      <c r="AK17" s="88" t="str">
        <f>FIXED(YEAR(LstMachines[[#This Row],[DatePaie]]),0,TRUE)</f>
        <v>2017</v>
      </c>
      <c r="AL17" s="140"/>
      <c r="AM17" s="414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BA17" s="92"/>
      <c r="BC17" s="92"/>
      <c r="BD17" s="92"/>
      <c r="BE17" s="92"/>
    </row>
    <row r="18" spans="2:57" hidden="1">
      <c r="B18" s="104" t="s">
        <v>263</v>
      </c>
      <c r="C18" s="104" t="s">
        <v>250</v>
      </c>
      <c r="D18" s="87">
        <v>145</v>
      </c>
      <c r="E18" s="86" t="s">
        <v>228</v>
      </c>
      <c r="F18" s="87" t="s">
        <v>100</v>
      </c>
      <c r="G18" s="87" t="s">
        <v>31</v>
      </c>
      <c r="H18" s="89">
        <v>1</v>
      </c>
      <c r="I1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18" s="88">
        <v>42993</v>
      </c>
      <c r="K18" s="99" t="s">
        <v>366</v>
      </c>
      <c r="L18" s="121" t="s">
        <v>386</v>
      </c>
      <c r="M18" s="90" t="s">
        <v>366</v>
      </c>
      <c r="N18" s="90">
        <v>42979</v>
      </c>
      <c r="O18" s="255">
        <f>MONTH(LstMachines[[#This Row],[Delivery]])</f>
        <v>9</v>
      </c>
      <c r="P18" s="256" t="str">
        <f>FIXED(YEAR(LstMachines[[#This Row],[Delivery]]),0,TRUE)</f>
        <v>2017</v>
      </c>
      <c r="Q18" s="73"/>
      <c r="R18" s="93"/>
      <c r="S18" s="90"/>
      <c r="T18" s="90"/>
      <c r="U18" s="90"/>
      <c r="V18" s="72"/>
      <c r="W18" s="99"/>
      <c r="X18" s="258">
        <f>LstMachines[[#This Row],[Delivery]]</f>
        <v>42993</v>
      </c>
      <c r="Y18" s="258" t="str">
        <f xml:space="preserve"> IF(MONTH(LstMachines[[#This Row],[DateLivr]])&lt;10,"0","") &amp; MONTH(LstMachines[[#This Row],[DateLivr]]) &amp;"-"&amp;YEAR(LstMachines[[#This Row],[DateLivr]])</f>
        <v>09-2017</v>
      </c>
      <c r="Z18" s="258">
        <f>LstMachines[[#This Row],[Delivery]]+Rglt_à_HCME</f>
        <v>43053</v>
      </c>
      <c r="AA18" s="258" t="str">
        <f xml:space="preserve"> IF(MONTH(LstMachines[[#This Row],[DatePaie]])&lt;10,"0","") &amp; MONTH(LstMachines[[#This Row],[DatePaie]])&amp;"-"&amp;YEAR(LstMachines[[#This Row],[DatePaie]])</f>
        <v>11-2017</v>
      </c>
      <c r="AB18" s="258">
        <f>LstMachines[[#This Row],[DateLivr]]+1</f>
        <v>42994</v>
      </c>
      <c r="AC18" s="258" t="str">
        <f xml:space="preserve"> IF(MONTH(LstMachines[[#This Row],[Distrib]])&lt;10,"0","") &amp; MONTH(LstMachines[[#This Row],[Distrib]]) &amp; "-" &amp; YEAR(LstMachines[[#This Row],[Distrib]])</f>
        <v>09-2017</v>
      </c>
      <c r="AD18" s="258">
        <f>LstMachines[[#This Row],[DateLivr]]+Délai_Vente</f>
        <v>43113</v>
      </c>
      <c r="AE18" s="258" t="str">
        <f xml:space="preserve"> IF(MONTH(LstMachines[[#This Row],[VteESM]])&lt;10,"0","") &amp; MONTH(LstMachines[[#This Row],[VteESM]]) &amp; "-" &amp; YEAR(LstMachines[[#This Row],[VteESM]])</f>
        <v>01-2018</v>
      </c>
      <c r="AF18" s="258">
        <f>LstMachines[[#This Row],[DateLivr]]+Rglt_à_ESMTP</f>
        <v>43053</v>
      </c>
      <c r="AG18" s="258" t="str">
        <f xml:space="preserve"> IF(MONTH(LstMachines[[#This Row],[RgltDistrib]])&lt;10,"0","") &amp; MONTH(LstMachines[[#This Row],[RgltDistrib]]) &amp; "-" &amp; YEAR(LstMachines[[#This Row],[RgltDistrib]])</f>
        <v>11-2017</v>
      </c>
      <c r="AH18" s="258">
        <f>LstMachines[[#This Row],[VteESM]]+Rglt_à_ESMTP</f>
        <v>43173</v>
      </c>
      <c r="AI18" s="258" t="str">
        <f xml:space="preserve"> IF(MONTH(LstMachines[[#This Row],[RgltVteESM]])&lt;10,"0","") &amp; MONTH(LstMachines[[#This Row],[RgltVteESM]]) &amp; "-" &amp; YEAR(LstMachines[[#This Row],[RgltVteESM]])</f>
        <v>03-2018</v>
      </c>
      <c r="AJ18" s="140">
        <f>MONTH(LstMachines[[#This Row],[DatePaie]])</f>
        <v>11</v>
      </c>
      <c r="AK18" s="88" t="str">
        <f>FIXED(YEAR(LstMachines[[#This Row],[DatePaie]]),0,TRUE)</f>
        <v>2017</v>
      </c>
      <c r="AL18" s="140"/>
      <c r="AM18" s="414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BA18" s="92"/>
      <c r="BC18" s="92"/>
      <c r="BD18" s="92"/>
      <c r="BE18" s="92"/>
    </row>
    <row r="19" spans="2:57" hidden="1">
      <c r="B19" s="104" t="s">
        <v>75</v>
      </c>
      <c r="C19" s="104" t="s">
        <v>38</v>
      </c>
      <c r="D19" s="87">
        <v>65</v>
      </c>
      <c r="E19" s="104" t="s">
        <v>376</v>
      </c>
      <c r="F19" s="71" t="s">
        <v>100</v>
      </c>
      <c r="G19" s="101" t="s">
        <v>31</v>
      </c>
      <c r="H19" s="89">
        <v>1</v>
      </c>
      <c r="I1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19" s="88">
        <v>43023</v>
      </c>
      <c r="K19" s="99" t="s">
        <v>465</v>
      </c>
      <c r="L19" s="121" t="s">
        <v>386</v>
      </c>
      <c r="M19" s="99" t="s">
        <v>549</v>
      </c>
      <c r="N19" s="90">
        <v>42975</v>
      </c>
      <c r="O19" s="255">
        <f>MONTH(LstMachines[[#This Row],[Delivery]])</f>
        <v>10</v>
      </c>
      <c r="P19" s="256" t="str">
        <f>FIXED(YEAR(LstMachines[[#This Row],[Delivery]]),0,TRUE)</f>
        <v>2017</v>
      </c>
      <c r="Q19" s="73" t="s">
        <v>309</v>
      </c>
      <c r="R19" s="93"/>
      <c r="S19" s="94"/>
      <c r="T19" s="73"/>
      <c r="U19" s="90" t="s">
        <v>105</v>
      </c>
      <c r="V19" s="72">
        <v>3959</v>
      </c>
      <c r="W19" s="100" t="s">
        <v>281</v>
      </c>
      <c r="X19" s="258">
        <f>LstMachines[[#This Row],[Delivery]]</f>
        <v>43023</v>
      </c>
      <c r="Y19" s="258" t="str">
        <f xml:space="preserve"> IF(MONTH(LstMachines[[#This Row],[DateLivr]])&lt;10,"0","") &amp; MONTH(LstMachines[[#This Row],[DateLivr]]) &amp;"-"&amp;YEAR(LstMachines[[#This Row],[DateLivr]])</f>
        <v>10-2017</v>
      </c>
      <c r="Z19" s="258">
        <f>LstMachines[[#This Row],[Delivery]]+Rglt_à_HCME</f>
        <v>43083</v>
      </c>
      <c r="AA19" s="258" t="str">
        <f xml:space="preserve"> IF(MONTH(LstMachines[[#This Row],[DatePaie]])&lt;10,"0","") &amp; MONTH(LstMachines[[#This Row],[DatePaie]])&amp;"-"&amp;YEAR(LstMachines[[#This Row],[DatePaie]])</f>
        <v>12-2017</v>
      </c>
      <c r="AB19" s="258">
        <f>LstMachines[[#This Row],[DateLivr]]+1</f>
        <v>43024</v>
      </c>
      <c r="AC19" s="258" t="str">
        <f xml:space="preserve"> IF(MONTH(LstMachines[[#This Row],[Distrib]])&lt;10,"0","") &amp; MONTH(LstMachines[[#This Row],[Distrib]]) &amp; "-" &amp; YEAR(LstMachines[[#This Row],[Distrib]])</f>
        <v>10-2017</v>
      </c>
      <c r="AD19" s="258">
        <f>LstMachines[[#This Row],[DateLivr]]+Délai_Vente</f>
        <v>43143</v>
      </c>
      <c r="AE19" s="258" t="str">
        <f xml:space="preserve"> IF(MONTH(LstMachines[[#This Row],[VteESM]])&lt;10,"0","") &amp; MONTH(LstMachines[[#This Row],[VteESM]]) &amp; "-" &amp; YEAR(LstMachines[[#This Row],[VteESM]])</f>
        <v>02-2018</v>
      </c>
      <c r="AF19" s="258">
        <f>LstMachines[[#This Row],[DateLivr]]+Rglt_à_ESMTP</f>
        <v>43083</v>
      </c>
      <c r="AG19" s="258" t="str">
        <f xml:space="preserve"> IF(MONTH(LstMachines[[#This Row],[RgltDistrib]])&lt;10,"0","") &amp; MONTH(LstMachines[[#This Row],[RgltDistrib]]) &amp; "-" &amp; YEAR(LstMachines[[#This Row],[RgltDistrib]])</f>
        <v>12-2017</v>
      </c>
      <c r="AH19" s="258">
        <f>LstMachines[[#This Row],[VteESM]]+Rglt_à_ESMTP</f>
        <v>43203</v>
      </c>
      <c r="AI19" s="258" t="str">
        <f xml:space="preserve"> IF(MONTH(LstMachines[[#This Row],[RgltVteESM]])&lt;10,"0","") &amp; MONTH(LstMachines[[#This Row],[RgltVteESM]]) &amp; "-" &amp; YEAR(LstMachines[[#This Row],[RgltVteESM]])</f>
        <v>04-2018</v>
      </c>
      <c r="AJ19" s="140">
        <f>MONTH(LstMachines[[#This Row],[DatePaie]])</f>
        <v>12</v>
      </c>
      <c r="AK19" s="88" t="str">
        <f>FIXED(YEAR(LstMachines[[#This Row],[DatePaie]]),0,TRUE)</f>
        <v>2017</v>
      </c>
      <c r="AL19" s="140"/>
      <c r="AM19" s="414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BA19" s="92"/>
      <c r="BC19" s="92"/>
      <c r="BD19" s="92"/>
      <c r="BE19" s="92"/>
    </row>
    <row r="20" spans="2:57" hidden="1">
      <c r="B20" s="104" t="s">
        <v>262</v>
      </c>
      <c r="C20" s="104" t="s">
        <v>39</v>
      </c>
      <c r="D20" s="87">
        <v>85</v>
      </c>
      <c r="E20" s="104" t="s">
        <v>356</v>
      </c>
      <c r="F20" s="71" t="s">
        <v>100</v>
      </c>
      <c r="G20" s="101" t="s">
        <v>31</v>
      </c>
      <c r="H20" s="89">
        <v>1</v>
      </c>
      <c r="I2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20" s="88">
        <v>43023</v>
      </c>
      <c r="K20" s="99" t="s">
        <v>465</v>
      </c>
      <c r="L20" s="121" t="s">
        <v>386</v>
      </c>
      <c r="M20" s="99"/>
      <c r="N20" s="90">
        <v>42822</v>
      </c>
      <c r="O20" s="255">
        <f>MONTH(LstMachines[[#This Row],[Delivery]])</f>
        <v>10</v>
      </c>
      <c r="P20" s="256" t="str">
        <f>FIXED(YEAR(LstMachines[[#This Row],[Delivery]]),0,TRUE)</f>
        <v>2017</v>
      </c>
      <c r="Q20" s="73" t="s">
        <v>307</v>
      </c>
      <c r="R20" s="93">
        <v>52800</v>
      </c>
      <c r="S20" s="94"/>
      <c r="T20" s="73"/>
      <c r="U20" s="90" t="s">
        <v>105</v>
      </c>
      <c r="V20" s="72">
        <v>4086</v>
      </c>
      <c r="W20" s="100" t="s">
        <v>277</v>
      </c>
      <c r="X20" s="258">
        <f>LstMachines[[#This Row],[Delivery]]</f>
        <v>43023</v>
      </c>
      <c r="Y20" s="258" t="str">
        <f xml:space="preserve"> IF(MONTH(LstMachines[[#This Row],[DateLivr]])&lt;10,"0","") &amp; MONTH(LstMachines[[#This Row],[DateLivr]]) &amp;"-"&amp;YEAR(LstMachines[[#This Row],[DateLivr]])</f>
        <v>10-2017</v>
      </c>
      <c r="Z20" s="258">
        <f>LstMachines[[#This Row],[Delivery]]+Rglt_à_HCME</f>
        <v>43083</v>
      </c>
      <c r="AA20" s="258" t="str">
        <f xml:space="preserve"> IF(MONTH(LstMachines[[#This Row],[DatePaie]])&lt;10,"0","") &amp; MONTH(LstMachines[[#This Row],[DatePaie]])&amp;"-"&amp;YEAR(LstMachines[[#This Row],[DatePaie]])</f>
        <v>12-2017</v>
      </c>
      <c r="AB20" s="258">
        <f>LstMachines[[#This Row],[DateLivr]]+1</f>
        <v>43024</v>
      </c>
      <c r="AC20" s="258" t="str">
        <f xml:space="preserve"> IF(MONTH(LstMachines[[#This Row],[Distrib]])&lt;10,"0","") &amp; MONTH(LstMachines[[#This Row],[Distrib]]) &amp; "-" &amp; YEAR(LstMachines[[#This Row],[Distrib]])</f>
        <v>10-2017</v>
      </c>
      <c r="AD20" s="258">
        <f>LstMachines[[#This Row],[DateLivr]]+Délai_Vente</f>
        <v>43143</v>
      </c>
      <c r="AE20" s="258" t="str">
        <f xml:space="preserve"> IF(MONTH(LstMachines[[#This Row],[VteESM]])&lt;10,"0","") &amp; MONTH(LstMachines[[#This Row],[VteESM]]) &amp; "-" &amp; YEAR(LstMachines[[#This Row],[VteESM]])</f>
        <v>02-2018</v>
      </c>
      <c r="AF20" s="258">
        <f>LstMachines[[#This Row],[DateLivr]]+Rglt_à_ESMTP</f>
        <v>43083</v>
      </c>
      <c r="AG20" s="258" t="str">
        <f xml:space="preserve"> IF(MONTH(LstMachines[[#This Row],[RgltDistrib]])&lt;10,"0","") &amp; MONTH(LstMachines[[#This Row],[RgltDistrib]]) &amp; "-" &amp; YEAR(LstMachines[[#This Row],[RgltDistrib]])</f>
        <v>12-2017</v>
      </c>
      <c r="AH20" s="258">
        <f>LstMachines[[#This Row],[VteESM]]+Rglt_à_ESMTP</f>
        <v>43203</v>
      </c>
      <c r="AI20" s="258" t="str">
        <f xml:space="preserve"> IF(MONTH(LstMachines[[#This Row],[RgltVteESM]])&lt;10,"0","") &amp; MONTH(LstMachines[[#This Row],[RgltVteESM]]) &amp; "-" &amp; YEAR(LstMachines[[#This Row],[RgltVteESM]])</f>
        <v>04-2018</v>
      </c>
      <c r="AJ20" s="140">
        <f>MONTH(LstMachines[[#This Row],[DatePaie]])</f>
        <v>12</v>
      </c>
      <c r="AK20" s="88" t="str">
        <f>FIXED(YEAR(LstMachines[[#This Row],[DatePaie]]),0,TRUE)</f>
        <v>2017</v>
      </c>
      <c r="AL20" s="140"/>
      <c r="AM20" s="414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BA20" s="92"/>
      <c r="BC20" s="92"/>
      <c r="BD20" s="92"/>
      <c r="BE20" s="92"/>
    </row>
    <row r="21" spans="2:57" hidden="1">
      <c r="B21" s="104" t="s">
        <v>75</v>
      </c>
      <c r="C21" s="104" t="s">
        <v>36</v>
      </c>
      <c r="D21" s="87">
        <v>26</v>
      </c>
      <c r="E21" s="104" t="s">
        <v>361</v>
      </c>
      <c r="F21" s="71" t="s">
        <v>100</v>
      </c>
      <c r="G21" s="87" t="s">
        <v>592</v>
      </c>
      <c r="H21" s="89">
        <v>1</v>
      </c>
      <c r="I2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21" s="88">
        <v>43023</v>
      </c>
      <c r="K21" s="99" t="s">
        <v>465</v>
      </c>
      <c r="L21" s="120" t="s">
        <v>378</v>
      </c>
      <c r="M21" s="99" t="s">
        <v>287</v>
      </c>
      <c r="N21" s="90">
        <v>42914</v>
      </c>
      <c r="O21" s="255">
        <f>MONTH(LstMachines[[#This Row],[Delivery]])</f>
        <v>10</v>
      </c>
      <c r="P21" s="256" t="str">
        <f>FIXED(YEAR(LstMachines[[#This Row],[Delivery]]),0,TRUE)</f>
        <v>2017</v>
      </c>
      <c r="Q21" s="73" t="s">
        <v>308</v>
      </c>
      <c r="R21" s="93">
        <v>22700</v>
      </c>
      <c r="S21" s="93"/>
      <c r="T21" s="73" t="s">
        <v>399</v>
      </c>
      <c r="U21" s="90" t="s">
        <v>105</v>
      </c>
      <c r="V21" s="72">
        <v>4148</v>
      </c>
      <c r="W21" s="100" t="s">
        <v>286</v>
      </c>
      <c r="X21" s="258">
        <f>LstMachines[[#This Row],[Delivery]]</f>
        <v>43023</v>
      </c>
      <c r="Y21" s="258" t="str">
        <f xml:space="preserve"> IF(MONTH(LstMachines[[#This Row],[DateLivr]])&lt;10,"0","") &amp; MONTH(LstMachines[[#This Row],[DateLivr]]) &amp;"-"&amp;YEAR(LstMachines[[#This Row],[DateLivr]])</f>
        <v>10-2017</v>
      </c>
      <c r="Z21" s="258">
        <f>LstMachines[[#This Row],[Delivery]]+Rglt_à_HCME</f>
        <v>43083</v>
      </c>
      <c r="AA21" s="258" t="str">
        <f xml:space="preserve"> IF(MONTH(LstMachines[[#This Row],[DatePaie]])&lt;10,"0","") &amp; MONTH(LstMachines[[#This Row],[DatePaie]])&amp;"-"&amp;YEAR(LstMachines[[#This Row],[DatePaie]])</f>
        <v>12-2017</v>
      </c>
      <c r="AB21" s="258">
        <f>LstMachines[[#This Row],[DateLivr]]+1</f>
        <v>43024</v>
      </c>
      <c r="AC21" s="258" t="str">
        <f xml:space="preserve"> IF(MONTH(LstMachines[[#This Row],[Distrib]])&lt;10,"0","") &amp; MONTH(LstMachines[[#This Row],[Distrib]]) &amp; "-" &amp; YEAR(LstMachines[[#This Row],[Distrib]])</f>
        <v>10-2017</v>
      </c>
      <c r="AD21" s="258">
        <f>LstMachines[[#This Row],[DateLivr]]+Délai_Vente</f>
        <v>43143</v>
      </c>
      <c r="AE21" s="258" t="str">
        <f xml:space="preserve"> IF(MONTH(LstMachines[[#This Row],[VteESM]])&lt;10,"0","") &amp; MONTH(LstMachines[[#This Row],[VteESM]]) &amp; "-" &amp; YEAR(LstMachines[[#This Row],[VteESM]])</f>
        <v>02-2018</v>
      </c>
      <c r="AF21" s="258">
        <f>LstMachines[[#This Row],[DateLivr]]+Rglt_à_ESMTP</f>
        <v>43083</v>
      </c>
      <c r="AG21" s="258" t="str">
        <f xml:space="preserve"> IF(MONTH(LstMachines[[#This Row],[RgltDistrib]])&lt;10,"0","") &amp; MONTH(LstMachines[[#This Row],[RgltDistrib]]) &amp; "-" &amp; YEAR(LstMachines[[#This Row],[RgltDistrib]])</f>
        <v>12-2017</v>
      </c>
      <c r="AH21" s="258">
        <f>LstMachines[[#This Row],[VteESM]]+Rglt_à_ESMTP</f>
        <v>43203</v>
      </c>
      <c r="AI21" s="258" t="str">
        <f xml:space="preserve"> IF(MONTH(LstMachines[[#This Row],[RgltVteESM]])&lt;10,"0","") &amp; MONTH(LstMachines[[#This Row],[RgltVteESM]]) &amp; "-" &amp; YEAR(LstMachines[[#This Row],[RgltVteESM]])</f>
        <v>04-2018</v>
      </c>
      <c r="AJ21" s="140">
        <f>MONTH(LstMachines[[#This Row],[DatePaie]])</f>
        <v>12</v>
      </c>
      <c r="AK21" s="88" t="str">
        <f>FIXED(YEAR(LstMachines[[#This Row],[DatePaie]]),0,TRUE)</f>
        <v>2017</v>
      </c>
      <c r="AL21" s="140"/>
      <c r="AM21" s="414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BA21" s="92"/>
      <c r="BC21" s="92"/>
      <c r="BD21" s="92"/>
      <c r="BE21" s="92"/>
    </row>
    <row r="22" spans="2:57" hidden="1">
      <c r="B22" s="104" t="s">
        <v>75</v>
      </c>
      <c r="C22" s="104" t="s">
        <v>35</v>
      </c>
      <c r="D22" s="87">
        <v>19</v>
      </c>
      <c r="E22" s="86" t="s">
        <v>76</v>
      </c>
      <c r="F22" s="87" t="s">
        <v>67</v>
      </c>
      <c r="G22" s="87" t="s">
        <v>107</v>
      </c>
      <c r="H22" s="89">
        <v>1</v>
      </c>
      <c r="I2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22" s="88">
        <v>43054</v>
      </c>
      <c r="K22" s="99" t="s">
        <v>463</v>
      </c>
      <c r="L22" s="85" t="s">
        <v>389</v>
      </c>
      <c r="M22" s="99"/>
      <c r="N22" s="90"/>
      <c r="O22" s="255">
        <f>MONTH(LstMachines[[#This Row],[Delivery]])</f>
        <v>11</v>
      </c>
      <c r="P22" s="256" t="str">
        <f>FIXED(YEAR(LstMachines[[#This Row],[Delivery]]),0,TRUE)</f>
        <v>2017</v>
      </c>
      <c r="Q22" s="73"/>
      <c r="R22" s="93"/>
      <c r="S22" s="90"/>
      <c r="T22" s="90"/>
      <c r="U22" s="90"/>
      <c r="V22" s="72"/>
      <c r="W22" s="99"/>
      <c r="X22" s="258">
        <f>LstMachines[[#This Row],[Delivery]]</f>
        <v>43054</v>
      </c>
      <c r="Y22" s="258" t="str">
        <f xml:space="preserve"> IF(MONTH(LstMachines[[#This Row],[DateLivr]])&lt;10,"0","") &amp; MONTH(LstMachines[[#This Row],[DateLivr]]) &amp;"-"&amp;YEAR(LstMachines[[#This Row],[DateLivr]])</f>
        <v>11-2017</v>
      </c>
      <c r="Z22" s="258">
        <f>LstMachines[[#This Row],[Delivery]]+Rglt_à_HCME</f>
        <v>43114</v>
      </c>
      <c r="AA22" s="258" t="str">
        <f xml:space="preserve"> IF(MONTH(LstMachines[[#This Row],[DatePaie]])&lt;10,"0","") &amp; MONTH(LstMachines[[#This Row],[DatePaie]])&amp;"-"&amp;YEAR(LstMachines[[#This Row],[DatePaie]])</f>
        <v>01-2018</v>
      </c>
      <c r="AB22" s="258">
        <f>LstMachines[[#This Row],[DateLivr]]+1</f>
        <v>43055</v>
      </c>
      <c r="AC22" s="258" t="str">
        <f xml:space="preserve"> IF(MONTH(LstMachines[[#This Row],[Distrib]])&lt;10,"0","") &amp; MONTH(LstMachines[[#This Row],[Distrib]]) &amp; "-" &amp; YEAR(LstMachines[[#This Row],[Distrib]])</f>
        <v>11-2017</v>
      </c>
      <c r="AD22" s="258">
        <f>LstMachines[[#This Row],[DateLivr]]+Délai_Vente</f>
        <v>43174</v>
      </c>
      <c r="AE22" s="258" t="str">
        <f xml:space="preserve"> IF(MONTH(LstMachines[[#This Row],[VteESM]])&lt;10,"0","") &amp; MONTH(LstMachines[[#This Row],[VteESM]]) &amp; "-" &amp; YEAR(LstMachines[[#This Row],[VteESM]])</f>
        <v>03-2018</v>
      </c>
      <c r="AF22" s="258">
        <f>LstMachines[[#This Row],[DateLivr]]+Rglt_à_ESMTP</f>
        <v>43114</v>
      </c>
      <c r="AG22" s="258" t="str">
        <f xml:space="preserve"> IF(MONTH(LstMachines[[#This Row],[RgltDistrib]])&lt;10,"0","") &amp; MONTH(LstMachines[[#This Row],[RgltDistrib]]) &amp; "-" &amp; YEAR(LstMachines[[#This Row],[RgltDistrib]])</f>
        <v>01-2018</v>
      </c>
      <c r="AH22" s="258">
        <f>LstMachines[[#This Row],[VteESM]]+Rglt_à_ESMTP</f>
        <v>43234</v>
      </c>
      <c r="AI22" s="258" t="str">
        <f xml:space="preserve"> IF(MONTH(LstMachines[[#This Row],[RgltVteESM]])&lt;10,"0","") &amp; MONTH(LstMachines[[#This Row],[RgltVteESM]]) &amp; "-" &amp; YEAR(LstMachines[[#This Row],[RgltVteESM]])</f>
        <v>05-2018</v>
      </c>
      <c r="AJ22" s="140">
        <f>MONTH(LstMachines[[#This Row],[DatePaie]])</f>
        <v>1</v>
      </c>
      <c r="AK22" s="88" t="str">
        <f>FIXED(YEAR(LstMachines[[#This Row],[DatePaie]]),0,TRUE)</f>
        <v>2018</v>
      </c>
      <c r="AL22" s="140"/>
      <c r="AM22" s="414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BA22" s="92"/>
      <c r="BC22" s="92"/>
      <c r="BD22" s="92"/>
      <c r="BE22" s="92"/>
    </row>
    <row r="23" spans="2:57" hidden="1">
      <c r="B23" s="104" t="s">
        <v>75</v>
      </c>
      <c r="C23" s="104" t="s">
        <v>36</v>
      </c>
      <c r="D23" s="87">
        <v>26</v>
      </c>
      <c r="E23" s="86" t="s">
        <v>355</v>
      </c>
      <c r="F23" s="87" t="s">
        <v>67</v>
      </c>
      <c r="G23" s="87" t="s">
        <v>107</v>
      </c>
      <c r="H23" s="89">
        <v>1</v>
      </c>
      <c r="I2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23" s="88">
        <v>43054</v>
      </c>
      <c r="K23" s="99" t="s">
        <v>463</v>
      </c>
      <c r="L23" s="85" t="s">
        <v>389</v>
      </c>
      <c r="M23" s="99"/>
      <c r="N23" s="90"/>
      <c r="O23" s="255">
        <f>MONTH(LstMachines[[#This Row],[Delivery]])</f>
        <v>11</v>
      </c>
      <c r="P23" s="256" t="str">
        <f>FIXED(YEAR(LstMachines[[#This Row],[Delivery]]),0,TRUE)</f>
        <v>2017</v>
      </c>
      <c r="Q23" s="73"/>
      <c r="R23" s="93"/>
      <c r="S23" s="90"/>
      <c r="T23" s="90"/>
      <c r="U23" s="90"/>
      <c r="V23" s="72"/>
      <c r="W23" s="99"/>
      <c r="X23" s="258">
        <f>LstMachines[[#This Row],[Delivery]]</f>
        <v>43054</v>
      </c>
      <c r="Y23" s="258" t="str">
        <f xml:space="preserve"> IF(MONTH(LstMachines[[#This Row],[DateLivr]])&lt;10,"0","") &amp; MONTH(LstMachines[[#This Row],[DateLivr]]) &amp;"-"&amp;YEAR(LstMachines[[#This Row],[DateLivr]])</f>
        <v>11-2017</v>
      </c>
      <c r="Z23" s="258">
        <f>LstMachines[[#This Row],[Delivery]]+Rglt_à_HCME</f>
        <v>43114</v>
      </c>
      <c r="AA23" s="258" t="str">
        <f xml:space="preserve"> IF(MONTH(LstMachines[[#This Row],[DatePaie]])&lt;10,"0","") &amp; MONTH(LstMachines[[#This Row],[DatePaie]])&amp;"-"&amp;YEAR(LstMachines[[#This Row],[DatePaie]])</f>
        <v>01-2018</v>
      </c>
      <c r="AB23" s="258">
        <f>LstMachines[[#This Row],[DateLivr]]+1</f>
        <v>43055</v>
      </c>
      <c r="AC23" s="258" t="str">
        <f xml:space="preserve"> IF(MONTH(LstMachines[[#This Row],[Distrib]])&lt;10,"0","") &amp; MONTH(LstMachines[[#This Row],[Distrib]]) &amp; "-" &amp; YEAR(LstMachines[[#This Row],[Distrib]])</f>
        <v>11-2017</v>
      </c>
      <c r="AD23" s="258">
        <f>LstMachines[[#This Row],[DateLivr]]+Délai_Vente</f>
        <v>43174</v>
      </c>
      <c r="AE23" s="258" t="str">
        <f xml:space="preserve"> IF(MONTH(LstMachines[[#This Row],[VteESM]])&lt;10,"0","") &amp; MONTH(LstMachines[[#This Row],[VteESM]]) &amp; "-" &amp; YEAR(LstMachines[[#This Row],[VteESM]])</f>
        <v>03-2018</v>
      </c>
      <c r="AF23" s="258">
        <f>LstMachines[[#This Row],[DateLivr]]+Rglt_à_ESMTP</f>
        <v>43114</v>
      </c>
      <c r="AG23" s="258" t="str">
        <f xml:space="preserve"> IF(MONTH(LstMachines[[#This Row],[RgltDistrib]])&lt;10,"0","") &amp; MONTH(LstMachines[[#This Row],[RgltDistrib]]) &amp; "-" &amp; YEAR(LstMachines[[#This Row],[RgltDistrib]])</f>
        <v>01-2018</v>
      </c>
      <c r="AH23" s="258">
        <f>LstMachines[[#This Row],[VteESM]]+Rglt_à_ESMTP</f>
        <v>43234</v>
      </c>
      <c r="AI23" s="258" t="str">
        <f xml:space="preserve"> IF(MONTH(LstMachines[[#This Row],[RgltVteESM]])&lt;10,"0","") &amp; MONTH(LstMachines[[#This Row],[RgltVteESM]]) &amp; "-" &amp; YEAR(LstMachines[[#This Row],[RgltVteESM]])</f>
        <v>05-2018</v>
      </c>
      <c r="AJ23" s="140">
        <f>MONTH(LstMachines[[#This Row],[DatePaie]])</f>
        <v>1</v>
      </c>
      <c r="AK23" s="88" t="str">
        <f>FIXED(YEAR(LstMachines[[#This Row],[DatePaie]]),0,TRUE)</f>
        <v>2018</v>
      </c>
      <c r="AL23" s="140"/>
      <c r="AM23" s="414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BA23" s="92"/>
      <c r="BC23" s="92"/>
      <c r="BD23" s="92"/>
      <c r="BE23" s="92"/>
    </row>
    <row r="24" spans="2:57" hidden="1">
      <c r="B24" s="104" t="s">
        <v>262</v>
      </c>
      <c r="C24" s="104" t="s">
        <v>46</v>
      </c>
      <c r="D24" s="87">
        <v>350</v>
      </c>
      <c r="E24" s="86" t="s">
        <v>91</v>
      </c>
      <c r="F24" s="87" t="s">
        <v>67</v>
      </c>
      <c r="G24" s="87" t="s">
        <v>107</v>
      </c>
      <c r="H24" s="89">
        <v>1</v>
      </c>
      <c r="I2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24" s="88">
        <v>43054</v>
      </c>
      <c r="K24" s="99" t="s">
        <v>463</v>
      </c>
      <c r="L24" s="85" t="s">
        <v>389</v>
      </c>
      <c r="M24" s="99"/>
      <c r="N24" s="90"/>
      <c r="O24" s="255">
        <f>MONTH(LstMachines[[#This Row],[Delivery]])</f>
        <v>11</v>
      </c>
      <c r="P24" s="256" t="str">
        <f>FIXED(YEAR(LstMachines[[#This Row],[Delivery]]),0,TRUE)</f>
        <v>2017</v>
      </c>
      <c r="Q24" s="73"/>
      <c r="R24" s="93"/>
      <c r="S24" s="90"/>
      <c r="T24" s="90"/>
      <c r="U24" s="90"/>
      <c r="V24" s="72"/>
      <c r="W24" s="99"/>
      <c r="X24" s="258">
        <f>LstMachines[[#This Row],[Delivery]]</f>
        <v>43054</v>
      </c>
      <c r="Y24" s="258" t="str">
        <f xml:space="preserve"> IF(MONTH(LstMachines[[#This Row],[DateLivr]])&lt;10,"0","") &amp; MONTH(LstMachines[[#This Row],[DateLivr]]) &amp;"-"&amp;YEAR(LstMachines[[#This Row],[DateLivr]])</f>
        <v>11-2017</v>
      </c>
      <c r="Z24" s="258">
        <f>LstMachines[[#This Row],[Delivery]]+Rglt_à_HCME</f>
        <v>43114</v>
      </c>
      <c r="AA24" s="258" t="str">
        <f xml:space="preserve"> IF(MONTH(LstMachines[[#This Row],[DatePaie]])&lt;10,"0","") &amp; MONTH(LstMachines[[#This Row],[DatePaie]])&amp;"-"&amp;YEAR(LstMachines[[#This Row],[DatePaie]])</f>
        <v>01-2018</v>
      </c>
      <c r="AB24" s="258">
        <f>LstMachines[[#This Row],[DateLivr]]+1</f>
        <v>43055</v>
      </c>
      <c r="AC24" s="258" t="str">
        <f xml:space="preserve"> IF(MONTH(LstMachines[[#This Row],[Distrib]])&lt;10,"0","") &amp; MONTH(LstMachines[[#This Row],[Distrib]]) &amp; "-" &amp; YEAR(LstMachines[[#This Row],[Distrib]])</f>
        <v>11-2017</v>
      </c>
      <c r="AD24" s="258">
        <f>LstMachines[[#This Row],[DateLivr]]+Délai_Vente</f>
        <v>43174</v>
      </c>
      <c r="AE24" s="258" t="str">
        <f xml:space="preserve"> IF(MONTH(LstMachines[[#This Row],[VteESM]])&lt;10,"0","") &amp; MONTH(LstMachines[[#This Row],[VteESM]]) &amp; "-" &amp; YEAR(LstMachines[[#This Row],[VteESM]])</f>
        <v>03-2018</v>
      </c>
      <c r="AF24" s="258">
        <f>LstMachines[[#This Row],[DateLivr]]+Rglt_à_ESMTP</f>
        <v>43114</v>
      </c>
      <c r="AG24" s="258" t="str">
        <f xml:space="preserve"> IF(MONTH(LstMachines[[#This Row],[RgltDistrib]])&lt;10,"0","") &amp; MONTH(LstMachines[[#This Row],[RgltDistrib]]) &amp; "-" &amp; YEAR(LstMachines[[#This Row],[RgltDistrib]])</f>
        <v>01-2018</v>
      </c>
      <c r="AH24" s="258">
        <f>LstMachines[[#This Row],[VteESM]]+Rglt_à_ESMTP</f>
        <v>43234</v>
      </c>
      <c r="AI24" s="258" t="str">
        <f xml:space="preserve"> IF(MONTH(LstMachines[[#This Row],[RgltVteESM]])&lt;10,"0","") &amp; MONTH(LstMachines[[#This Row],[RgltVteESM]]) &amp; "-" &amp; YEAR(LstMachines[[#This Row],[RgltVteESM]])</f>
        <v>05-2018</v>
      </c>
      <c r="AJ24" s="140">
        <f>MONTH(LstMachines[[#This Row],[DatePaie]])</f>
        <v>1</v>
      </c>
      <c r="AK24" s="88" t="str">
        <f>FIXED(YEAR(LstMachines[[#This Row],[DatePaie]]),0,TRUE)</f>
        <v>2018</v>
      </c>
      <c r="AL24" s="140"/>
      <c r="AM24" s="414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BA24" s="92"/>
      <c r="BC24" s="92"/>
      <c r="BD24" s="92"/>
      <c r="BE24" s="92"/>
    </row>
    <row r="25" spans="2:57" hidden="1">
      <c r="B25" s="104" t="s">
        <v>262</v>
      </c>
      <c r="C25" s="104" t="s">
        <v>47</v>
      </c>
      <c r="D25" s="87">
        <v>490</v>
      </c>
      <c r="E25" s="86" t="s">
        <v>360</v>
      </c>
      <c r="F25" s="87" t="s">
        <v>67</v>
      </c>
      <c r="G25" s="87" t="s">
        <v>107</v>
      </c>
      <c r="H25" s="89">
        <v>1</v>
      </c>
      <c r="I2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25" s="88">
        <v>43054</v>
      </c>
      <c r="K25" s="99" t="s">
        <v>463</v>
      </c>
      <c r="L25" s="85" t="s">
        <v>389</v>
      </c>
      <c r="M25" s="99"/>
      <c r="N25" s="90"/>
      <c r="O25" s="255">
        <f>MONTH(LstMachines[[#This Row],[Delivery]])</f>
        <v>11</v>
      </c>
      <c r="P25" s="256" t="str">
        <f>FIXED(YEAR(LstMachines[[#This Row],[Delivery]]),0,TRUE)</f>
        <v>2017</v>
      </c>
      <c r="Q25" s="73"/>
      <c r="R25" s="93"/>
      <c r="S25" s="90"/>
      <c r="T25" s="90"/>
      <c r="U25" s="90"/>
      <c r="V25" s="72"/>
      <c r="W25" s="99"/>
      <c r="X25" s="258">
        <f>LstMachines[[#This Row],[Delivery]]</f>
        <v>43054</v>
      </c>
      <c r="Y25" s="258" t="str">
        <f xml:space="preserve"> IF(MONTH(LstMachines[[#This Row],[DateLivr]])&lt;10,"0","") &amp; MONTH(LstMachines[[#This Row],[DateLivr]]) &amp;"-"&amp;YEAR(LstMachines[[#This Row],[DateLivr]])</f>
        <v>11-2017</v>
      </c>
      <c r="Z25" s="258">
        <f>LstMachines[[#This Row],[Delivery]]+Rglt_à_HCME</f>
        <v>43114</v>
      </c>
      <c r="AA25" s="258" t="str">
        <f xml:space="preserve"> IF(MONTH(LstMachines[[#This Row],[DatePaie]])&lt;10,"0","") &amp; MONTH(LstMachines[[#This Row],[DatePaie]])&amp;"-"&amp;YEAR(LstMachines[[#This Row],[DatePaie]])</f>
        <v>01-2018</v>
      </c>
      <c r="AB25" s="258">
        <f>LstMachines[[#This Row],[DateLivr]]+1</f>
        <v>43055</v>
      </c>
      <c r="AC25" s="258" t="str">
        <f xml:space="preserve"> IF(MONTH(LstMachines[[#This Row],[Distrib]])&lt;10,"0","") &amp; MONTH(LstMachines[[#This Row],[Distrib]]) &amp; "-" &amp; YEAR(LstMachines[[#This Row],[Distrib]])</f>
        <v>11-2017</v>
      </c>
      <c r="AD25" s="258">
        <f>LstMachines[[#This Row],[DateLivr]]+Délai_Vente</f>
        <v>43174</v>
      </c>
      <c r="AE25" s="258" t="str">
        <f xml:space="preserve"> IF(MONTH(LstMachines[[#This Row],[VteESM]])&lt;10,"0","") &amp; MONTH(LstMachines[[#This Row],[VteESM]]) &amp; "-" &amp; YEAR(LstMachines[[#This Row],[VteESM]])</f>
        <v>03-2018</v>
      </c>
      <c r="AF25" s="258">
        <f>LstMachines[[#This Row],[DateLivr]]+Rglt_à_ESMTP</f>
        <v>43114</v>
      </c>
      <c r="AG25" s="258" t="str">
        <f xml:space="preserve"> IF(MONTH(LstMachines[[#This Row],[RgltDistrib]])&lt;10,"0","") &amp; MONTH(LstMachines[[#This Row],[RgltDistrib]]) &amp; "-" &amp; YEAR(LstMachines[[#This Row],[RgltDistrib]])</f>
        <v>01-2018</v>
      </c>
      <c r="AH25" s="258">
        <f>LstMachines[[#This Row],[VteESM]]+Rglt_à_ESMTP</f>
        <v>43234</v>
      </c>
      <c r="AI25" s="258" t="str">
        <f xml:space="preserve"> IF(MONTH(LstMachines[[#This Row],[RgltVteESM]])&lt;10,"0","") &amp; MONTH(LstMachines[[#This Row],[RgltVteESM]]) &amp; "-" &amp; YEAR(LstMachines[[#This Row],[RgltVteESM]])</f>
        <v>05-2018</v>
      </c>
      <c r="AJ25" s="140">
        <f>MONTH(LstMachines[[#This Row],[DatePaie]])</f>
        <v>1</v>
      </c>
      <c r="AK25" s="88" t="str">
        <f>FIXED(YEAR(LstMachines[[#This Row],[DatePaie]]),0,TRUE)</f>
        <v>2018</v>
      </c>
      <c r="AL25" s="140"/>
      <c r="AM25" s="414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BA25" s="92"/>
      <c r="BC25" s="92"/>
      <c r="BD25" s="92"/>
      <c r="BE25" s="92"/>
    </row>
    <row r="26" spans="2:57" hidden="1">
      <c r="B26" s="104" t="s">
        <v>75</v>
      </c>
      <c r="C26" s="104" t="s">
        <v>38</v>
      </c>
      <c r="D26" s="87">
        <v>65</v>
      </c>
      <c r="E26" s="86" t="s">
        <v>359</v>
      </c>
      <c r="F26" s="87" t="s">
        <v>67</v>
      </c>
      <c r="G26" s="87" t="s">
        <v>107</v>
      </c>
      <c r="H26" s="89">
        <v>1</v>
      </c>
      <c r="I2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26" s="88">
        <v>43054</v>
      </c>
      <c r="K26" s="99" t="s">
        <v>463</v>
      </c>
      <c r="L26" s="85" t="s">
        <v>389</v>
      </c>
      <c r="M26" s="99"/>
      <c r="N26" s="90"/>
      <c r="O26" s="255">
        <f>MONTH(LstMachines[[#This Row],[Delivery]])</f>
        <v>11</v>
      </c>
      <c r="P26" s="256" t="str">
        <f>FIXED(YEAR(LstMachines[[#This Row],[Delivery]]),0,TRUE)</f>
        <v>2017</v>
      </c>
      <c r="Q26" s="73"/>
      <c r="R26" s="93"/>
      <c r="S26" s="90"/>
      <c r="T26" s="90"/>
      <c r="U26" s="90"/>
      <c r="V26" s="72"/>
      <c r="W26" s="99"/>
      <c r="X26" s="258">
        <f>LstMachines[[#This Row],[Delivery]]</f>
        <v>43054</v>
      </c>
      <c r="Y26" s="258" t="str">
        <f xml:space="preserve"> IF(MONTH(LstMachines[[#This Row],[DateLivr]])&lt;10,"0","") &amp; MONTH(LstMachines[[#This Row],[DateLivr]]) &amp;"-"&amp;YEAR(LstMachines[[#This Row],[DateLivr]])</f>
        <v>11-2017</v>
      </c>
      <c r="Z26" s="258">
        <f>LstMachines[[#This Row],[Delivery]]+Rglt_à_HCME</f>
        <v>43114</v>
      </c>
      <c r="AA26" s="258" t="str">
        <f xml:space="preserve"> IF(MONTH(LstMachines[[#This Row],[DatePaie]])&lt;10,"0","") &amp; MONTH(LstMachines[[#This Row],[DatePaie]])&amp;"-"&amp;YEAR(LstMachines[[#This Row],[DatePaie]])</f>
        <v>01-2018</v>
      </c>
      <c r="AB26" s="258">
        <f>LstMachines[[#This Row],[DateLivr]]+1</f>
        <v>43055</v>
      </c>
      <c r="AC26" s="258" t="str">
        <f xml:space="preserve"> IF(MONTH(LstMachines[[#This Row],[Distrib]])&lt;10,"0","") &amp; MONTH(LstMachines[[#This Row],[Distrib]]) &amp; "-" &amp; YEAR(LstMachines[[#This Row],[Distrib]])</f>
        <v>11-2017</v>
      </c>
      <c r="AD26" s="258">
        <f>LstMachines[[#This Row],[DateLivr]]+Délai_Vente</f>
        <v>43174</v>
      </c>
      <c r="AE26" s="258" t="str">
        <f xml:space="preserve"> IF(MONTH(LstMachines[[#This Row],[VteESM]])&lt;10,"0","") &amp; MONTH(LstMachines[[#This Row],[VteESM]]) &amp; "-" &amp; YEAR(LstMachines[[#This Row],[VteESM]])</f>
        <v>03-2018</v>
      </c>
      <c r="AF26" s="258">
        <f>LstMachines[[#This Row],[DateLivr]]+Rglt_à_ESMTP</f>
        <v>43114</v>
      </c>
      <c r="AG26" s="258" t="str">
        <f xml:space="preserve"> IF(MONTH(LstMachines[[#This Row],[RgltDistrib]])&lt;10,"0","") &amp; MONTH(LstMachines[[#This Row],[RgltDistrib]]) &amp; "-" &amp; YEAR(LstMachines[[#This Row],[RgltDistrib]])</f>
        <v>01-2018</v>
      </c>
      <c r="AH26" s="258">
        <f>LstMachines[[#This Row],[VteESM]]+Rglt_à_ESMTP</f>
        <v>43234</v>
      </c>
      <c r="AI26" s="258" t="str">
        <f xml:space="preserve"> IF(MONTH(LstMachines[[#This Row],[RgltVteESM]])&lt;10,"0","") &amp; MONTH(LstMachines[[#This Row],[RgltVteESM]]) &amp; "-" &amp; YEAR(LstMachines[[#This Row],[RgltVteESM]])</f>
        <v>05-2018</v>
      </c>
      <c r="AJ26" s="140">
        <f>MONTH(LstMachines[[#This Row],[DatePaie]])</f>
        <v>1</v>
      </c>
      <c r="AK26" s="88" t="str">
        <f>FIXED(YEAR(LstMachines[[#This Row],[DatePaie]]),0,TRUE)</f>
        <v>2018</v>
      </c>
      <c r="AL26" s="140"/>
      <c r="AM26" s="414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BA26" s="92"/>
      <c r="BC26" s="92"/>
      <c r="BD26" s="92"/>
      <c r="BE26" s="92"/>
    </row>
    <row r="27" spans="2:57" hidden="1">
      <c r="B27" s="104" t="s">
        <v>75</v>
      </c>
      <c r="C27" s="104" t="s">
        <v>38</v>
      </c>
      <c r="D27" s="87">
        <v>65</v>
      </c>
      <c r="E27" s="86" t="s">
        <v>359</v>
      </c>
      <c r="F27" s="87" t="s">
        <v>67</v>
      </c>
      <c r="G27" s="87" t="s">
        <v>107</v>
      </c>
      <c r="H27" s="89">
        <v>1</v>
      </c>
      <c r="I2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27" s="88">
        <v>43054</v>
      </c>
      <c r="K27" s="99" t="s">
        <v>463</v>
      </c>
      <c r="L27" s="85" t="s">
        <v>389</v>
      </c>
      <c r="M27" s="99"/>
      <c r="N27" s="90"/>
      <c r="O27" s="255">
        <f>MONTH(LstMachines[[#This Row],[Delivery]])</f>
        <v>11</v>
      </c>
      <c r="P27" s="256" t="str">
        <f>FIXED(YEAR(LstMachines[[#This Row],[Delivery]]),0,TRUE)</f>
        <v>2017</v>
      </c>
      <c r="Q27" s="73"/>
      <c r="R27" s="93"/>
      <c r="S27" s="90"/>
      <c r="T27" s="90"/>
      <c r="U27" s="90"/>
      <c r="V27" s="72"/>
      <c r="W27" s="99"/>
      <c r="X27" s="258">
        <f>LstMachines[[#This Row],[Delivery]]</f>
        <v>43054</v>
      </c>
      <c r="Y27" s="258" t="str">
        <f xml:space="preserve"> IF(MONTH(LstMachines[[#This Row],[DateLivr]])&lt;10,"0","") &amp; MONTH(LstMachines[[#This Row],[DateLivr]]) &amp;"-"&amp;YEAR(LstMachines[[#This Row],[DateLivr]])</f>
        <v>11-2017</v>
      </c>
      <c r="Z27" s="258">
        <f>LstMachines[[#This Row],[Delivery]]+Rglt_à_HCME</f>
        <v>43114</v>
      </c>
      <c r="AA27" s="258" t="str">
        <f xml:space="preserve"> IF(MONTH(LstMachines[[#This Row],[DatePaie]])&lt;10,"0","") &amp; MONTH(LstMachines[[#This Row],[DatePaie]])&amp;"-"&amp;YEAR(LstMachines[[#This Row],[DatePaie]])</f>
        <v>01-2018</v>
      </c>
      <c r="AB27" s="258">
        <f>LstMachines[[#This Row],[DateLivr]]+1</f>
        <v>43055</v>
      </c>
      <c r="AC27" s="258" t="str">
        <f xml:space="preserve"> IF(MONTH(LstMachines[[#This Row],[Distrib]])&lt;10,"0","") &amp; MONTH(LstMachines[[#This Row],[Distrib]]) &amp; "-" &amp; YEAR(LstMachines[[#This Row],[Distrib]])</f>
        <v>11-2017</v>
      </c>
      <c r="AD27" s="258">
        <f>LstMachines[[#This Row],[DateLivr]]+Délai_Vente</f>
        <v>43174</v>
      </c>
      <c r="AE27" s="258" t="str">
        <f xml:space="preserve"> IF(MONTH(LstMachines[[#This Row],[VteESM]])&lt;10,"0","") &amp; MONTH(LstMachines[[#This Row],[VteESM]]) &amp; "-" &amp; YEAR(LstMachines[[#This Row],[VteESM]])</f>
        <v>03-2018</v>
      </c>
      <c r="AF27" s="258">
        <f>LstMachines[[#This Row],[DateLivr]]+Rglt_à_ESMTP</f>
        <v>43114</v>
      </c>
      <c r="AG27" s="258" t="str">
        <f xml:space="preserve"> IF(MONTH(LstMachines[[#This Row],[RgltDistrib]])&lt;10,"0","") &amp; MONTH(LstMachines[[#This Row],[RgltDistrib]]) &amp; "-" &amp; YEAR(LstMachines[[#This Row],[RgltDistrib]])</f>
        <v>01-2018</v>
      </c>
      <c r="AH27" s="258">
        <f>LstMachines[[#This Row],[VteESM]]+Rglt_à_ESMTP</f>
        <v>43234</v>
      </c>
      <c r="AI27" s="258" t="str">
        <f xml:space="preserve"> IF(MONTH(LstMachines[[#This Row],[RgltVteESM]])&lt;10,"0","") &amp; MONTH(LstMachines[[#This Row],[RgltVteESM]]) &amp; "-" &amp; YEAR(LstMachines[[#This Row],[RgltVteESM]])</f>
        <v>05-2018</v>
      </c>
      <c r="AJ27" s="140">
        <f>MONTH(LstMachines[[#This Row],[DatePaie]])</f>
        <v>1</v>
      </c>
      <c r="AK27" s="88" t="str">
        <f>FIXED(YEAR(LstMachines[[#This Row],[DatePaie]]),0,TRUE)</f>
        <v>2018</v>
      </c>
      <c r="AL27" s="140"/>
      <c r="AM27" s="414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BA27" s="92"/>
      <c r="BC27" s="92"/>
      <c r="BD27" s="92"/>
      <c r="BE27" s="92"/>
    </row>
    <row r="28" spans="2:57" hidden="1">
      <c r="B28" s="104" t="s">
        <v>75</v>
      </c>
      <c r="C28" s="104" t="s">
        <v>38</v>
      </c>
      <c r="D28" s="87">
        <v>65</v>
      </c>
      <c r="E28" s="86" t="s">
        <v>359</v>
      </c>
      <c r="F28" s="87" t="s">
        <v>67</v>
      </c>
      <c r="G28" s="87" t="s">
        <v>107</v>
      </c>
      <c r="H28" s="89">
        <v>1</v>
      </c>
      <c r="I2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28" s="88">
        <v>43054</v>
      </c>
      <c r="K28" s="99" t="s">
        <v>463</v>
      </c>
      <c r="L28" s="85" t="s">
        <v>389</v>
      </c>
      <c r="M28" s="99"/>
      <c r="N28" s="90"/>
      <c r="O28" s="255">
        <f>MONTH(LstMachines[[#This Row],[Delivery]])</f>
        <v>11</v>
      </c>
      <c r="P28" s="256" t="str">
        <f>FIXED(YEAR(LstMachines[[#This Row],[Delivery]]),0,TRUE)</f>
        <v>2017</v>
      </c>
      <c r="Q28" s="73"/>
      <c r="R28" s="93"/>
      <c r="S28" s="90"/>
      <c r="T28" s="90"/>
      <c r="U28" s="90"/>
      <c r="V28" s="72"/>
      <c r="W28" s="99"/>
      <c r="X28" s="258">
        <f>LstMachines[[#This Row],[Delivery]]</f>
        <v>43054</v>
      </c>
      <c r="Y28" s="258" t="str">
        <f xml:space="preserve"> IF(MONTH(LstMachines[[#This Row],[DateLivr]])&lt;10,"0","") &amp; MONTH(LstMachines[[#This Row],[DateLivr]]) &amp;"-"&amp;YEAR(LstMachines[[#This Row],[DateLivr]])</f>
        <v>11-2017</v>
      </c>
      <c r="Z28" s="258">
        <f>LstMachines[[#This Row],[Delivery]]+Rglt_à_HCME</f>
        <v>43114</v>
      </c>
      <c r="AA28" s="258" t="str">
        <f xml:space="preserve"> IF(MONTH(LstMachines[[#This Row],[DatePaie]])&lt;10,"0","") &amp; MONTH(LstMachines[[#This Row],[DatePaie]])&amp;"-"&amp;YEAR(LstMachines[[#This Row],[DatePaie]])</f>
        <v>01-2018</v>
      </c>
      <c r="AB28" s="258">
        <f>LstMachines[[#This Row],[DateLivr]]+1</f>
        <v>43055</v>
      </c>
      <c r="AC28" s="258" t="str">
        <f xml:space="preserve"> IF(MONTH(LstMachines[[#This Row],[Distrib]])&lt;10,"0","") &amp; MONTH(LstMachines[[#This Row],[Distrib]]) &amp; "-" &amp; YEAR(LstMachines[[#This Row],[Distrib]])</f>
        <v>11-2017</v>
      </c>
      <c r="AD28" s="258">
        <f>LstMachines[[#This Row],[DateLivr]]+Délai_Vente</f>
        <v>43174</v>
      </c>
      <c r="AE28" s="258" t="str">
        <f xml:space="preserve"> IF(MONTH(LstMachines[[#This Row],[VteESM]])&lt;10,"0","") &amp; MONTH(LstMachines[[#This Row],[VteESM]]) &amp; "-" &amp; YEAR(LstMachines[[#This Row],[VteESM]])</f>
        <v>03-2018</v>
      </c>
      <c r="AF28" s="258">
        <f>LstMachines[[#This Row],[DateLivr]]+Rglt_à_ESMTP</f>
        <v>43114</v>
      </c>
      <c r="AG28" s="258" t="str">
        <f xml:space="preserve"> IF(MONTH(LstMachines[[#This Row],[RgltDistrib]])&lt;10,"0","") &amp; MONTH(LstMachines[[#This Row],[RgltDistrib]]) &amp; "-" &amp; YEAR(LstMachines[[#This Row],[RgltDistrib]])</f>
        <v>01-2018</v>
      </c>
      <c r="AH28" s="258">
        <f>LstMachines[[#This Row],[VteESM]]+Rglt_à_ESMTP</f>
        <v>43234</v>
      </c>
      <c r="AI28" s="258" t="str">
        <f xml:space="preserve"> IF(MONTH(LstMachines[[#This Row],[RgltVteESM]])&lt;10,"0","") &amp; MONTH(LstMachines[[#This Row],[RgltVteESM]]) &amp; "-" &amp; YEAR(LstMachines[[#This Row],[RgltVteESM]])</f>
        <v>05-2018</v>
      </c>
      <c r="AJ28" s="140">
        <f>MONTH(LstMachines[[#This Row],[DatePaie]])</f>
        <v>1</v>
      </c>
      <c r="AK28" s="88" t="str">
        <f>FIXED(YEAR(LstMachines[[#This Row],[DatePaie]]),0,TRUE)</f>
        <v>2018</v>
      </c>
      <c r="AL28" s="140"/>
      <c r="AM28" s="414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BA28" s="92"/>
      <c r="BC28" s="92"/>
      <c r="BD28" s="92"/>
      <c r="BE28" s="92"/>
    </row>
    <row r="29" spans="2:57" hidden="1">
      <c r="B29" s="104" t="s">
        <v>262</v>
      </c>
      <c r="C29" s="104" t="s">
        <v>39</v>
      </c>
      <c r="D29" s="87">
        <v>85</v>
      </c>
      <c r="E29" s="86" t="s">
        <v>356</v>
      </c>
      <c r="F29" s="87" t="s">
        <v>67</v>
      </c>
      <c r="G29" s="87" t="s">
        <v>107</v>
      </c>
      <c r="H29" s="89">
        <v>1</v>
      </c>
      <c r="I2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29" s="88">
        <v>43054</v>
      </c>
      <c r="K29" s="99" t="s">
        <v>463</v>
      </c>
      <c r="L29" s="85" t="s">
        <v>389</v>
      </c>
      <c r="M29" s="99"/>
      <c r="N29" s="90"/>
      <c r="O29" s="255">
        <f>MONTH(LstMachines[[#This Row],[Delivery]])</f>
        <v>11</v>
      </c>
      <c r="P29" s="256" t="str">
        <f>FIXED(YEAR(LstMachines[[#This Row],[Delivery]]),0,TRUE)</f>
        <v>2017</v>
      </c>
      <c r="Q29" s="73"/>
      <c r="R29" s="93"/>
      <c r="S29" s="90"/>
      <c r="T29" s="90"/>
      <c r="U29" s="90"/>
      <c r="V29" s="72"/>
      <c r="W29" s="99"/>
      <c r="X29" s="258">
        <f>LstMachines[[#This Row],[Delivery]]</f>
        <v>43054</v>
      </c>
      <c r="Y29" s="258" t="str">
        <f xml:space="preserve"> IF(MONTH(LstMachines[[#This Row],[DateLivr]])&lt;10,"0","") &amp; MONTH(LstMachines[[#This Row],[DateLivr]]) &amp;"-"&amp;YEAR(LstMachines[[#This Row],[DateLivr]])</f>
        <v>11-2017</v>
      </c>
      <c r="Z29" s="258">
        <f>LstMachines[[#This Row],[Delivery]]+Rglt_à_HCME</f>
        <v>43114</v>
      </c>
      <c r="AA29" s="258" t="str">
        <f xml:space="preserve"> IF(MONTH(LstMachines[[#This Row],[DatePaie]])&lt;10,"0","") &amp; MONTH(LstMachines[[#This Row],[DatePaie]])&amp;"-"&amp;YEAR(LstMachines[[#This Row],[DatePaie]])</f>
        <v>01-2018</v>
      </c>
      <c r="AB29" s="258">
        <f>LstMachines[[#This Row],[DateLivr]]+1</f>
        <v>43055</v>
      </c>
      <c r="AC29" s="258" t="str">
        <f xml:space="preserve"> IF(MONTH(LstMachines[[#This Row],[Distrib]])&lt;10,"0","") &amp; MONTH(LstMachines[[#This Row],[Distrib]]) &amp; "-" &amp; YEAR(LstMachines[[#This Row],[Distrib]])</f>
        <v>11-2017</v>
      </c>
      <c r="AD29" s="258">
        <f>LstMachines[[#This Row],[DateLivr]]+Délai_Vente</f>
        <v>43174</v>
      </c>
      <c r="AE29" s="258" t="str">
        <f xml:space="preserve"> IF(MONTH(LstMachines[[#This Row],[VteESM]])&lt;10,"0","") &amp; MONTH(LstMachines[[#This Row],[VteESM]]) &amp; "-" &amp; YEAR(LstMachines[[#This Row],[VteESM]])</f>
        <v>03-2018</v>
      </c>
      <c r="AF29" s="258">
        <f>LstMachines[[#This Row],[DateLivr]]+Rglt_à_ESMTP</f>
        <v>43114</v>
      </c>
      <c r="AG29" s="258" t="str">
        <f xml:space="preserve"> IF(MONTH(LstMachines[[#This Row],[RgltDistrib]])&lt;10,"0","") &amp; MONTH(LstMachines[[#This Row],[RgltDistrib]]) &amp; "-" &amp; YEAR(LstMachines[[#This Row],[RgltDistrib]])</f>
        <v>01-2018</v>
      </c>
      <c r="AH29" s="258">
        <f>LstMachines[[#This Row],[VteESM]]+Rglt_à_ESMTP</f>
        <v>43234</v>
      </c>
      <c r="AI29" s="258" t="str">
        <f xml:space="preserve"> IF(MONTH(LstMachines[[#This Row],[RgltVteESM]])&lt;10,"0","") &amp; MONTH(LstMachines[[#This Row],[RgltVteESM]]) &amp; "-" &amp; YEAR(LstMachines[[#This Row],[RgltVteESM]])</f>
        <v>05-2018</v>
      </c>
      <c r="AJ29" s="140">
        <f>MONTH(LstMachines[[#This Row],[DatePaie]])</f>
        <v>1</v>
      </c>
      <c r="AK29" s="88" t="str">
        <f>FIXED(YEAR(LstMachines[[#This Row],[DatePaie]]),0,TRUE)</f>
        <v>2018</v>
      </c>
      <c r="AL29" s="140"/>
      <c r="AM29" s="414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BA29" s="92"/>
      <c r="BC29" s="92"/>
      <c r="BD29" s="92"/>
      <c r="BE29" s="92"/>
    </row>
    <row r="30" spans="2:57" hidden="1">
      <c r="B30" s="104" t="s">
        <v>259</v>
      </c>
      <c r="C30" s="104" t="s">
        <v>49</v>
      </c>
      <c r="D30" s="87">
        <v>310</v>
      </c>
      <c r="E30" s="86" t="s">
        <v>177</v>
      </c>
      <c r="F30" s="71" t="s">
        <v>100</v>
      </c>
      <c r="G30" s="101" t="s">
        <v>31</v>
      </c>
      <c r="H30" s="89">
        <v>1</v>
      </c>
      <c r="I3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30" s="88">
        <v>43054</v>
      </c>
      <c r="K30" s="99" t="s">
        <v>465</v>
      </c>
      <c r="L30" s="121" t="s">
        <v>386</v>
      </c>
      <c r="M30" s="99"/>
      <c r="N30" s="90">
        <v>42944</v>
      </c>
      <c r="O30" s="255">
        <f>MONTH(LstMachines[[#This Row],[Delivery]])</f>
        <v>11</v>
      </c>
      <c r="P30" s="256" t="str">
        <f>FIXED(YEAR(LstMachines[[#This Row],[Delivery]]),0,TRUE)</f>
        <v>2017</v>
      </c>
      <c r="Q30" s="73" t="s">
        <v>329</v>
      </c>
      <c r="R30" s="93">
        <v>179279</v>
      </c>
      <c r="S30" s="93"/>
      <c r="T30" s="73"/>
      <c r="U30" s="90" t="s">
        <v>105</v>
      </c>
      <c r="V30" s="72">
        <v>4173</v>
      </c>
      <c r="W30" s="100" t="s">
        <v>280</v>
      </c>
      <c r="X30" s="258">
        <f>LstMachines[[#This Row],[Delivery]]</f>
        <v>43054</v>
      </c>
      <c r="Y30" s="258" t="str">
        <f xml:space="preserve"> IF(MONTH(LstMachines[[#This Row],[DateLivr]])&lt;10,"0","") &amp; MONTH(LstMachines[[#This Row],[DateLivr]]) &amp;"-"&amp;YEAR(LstMachines[[#This Row],[DateLivr]])</f>
        <v>11-2017</v>
      </c>
      <c r="Z30" s="258">
        <f>LstMachines[[#This Row],[Delivery]]+Rglt_à_HCME</f>
        <v>43114</v>
      </c>
      <c r="AA30" s="258" t="str">
        <f xml:space="preserve"> IF(MONTH(LstMachines[[#This Row],[DatePaie]])&lt;10,"0","") &amp; MONTH(LstMachines[[#This Row],[DatePaie]])&amp;"-"&amp;YEAR(LstMachines[[#This Row],[DatePaie]])</f>
        <v>01-2018</v>
      </c>
      <c r="AB30" s="258">
        <f>LstMachines[[#This Row],[DateLivr]]+1</f>
        <v>43055</v>
      </c>
      <c r="AC30" s="258" t="str">
        <f xml:space="preserve"> IF(MONTH(LstMachines[[#This Row],[Distrib]])&lt;10,"0","") &amp; MONTH(LstMachines[[#This Row],[Distrib]]) &amp; "-" &amp; YEAR(LstMachines[[#This Row],[Distrib]])</f>
        <v>11-2017</v>
      </c>
      <c r="AD30" s="258">
        <f>LstMachines[[#This Row],[DateLivr]]+Délai_Vente</f>
        <v>43174</v>
      </c>
      <c r="AE30" s="258" t="str">
        <f xml:space="preserve"> IF(MONTH(LstMachines[[#This Row],[VteESM]])&lt;10,"0","") &amp; MONTH(LstMachines[[#This Row],[VteESM]]) &amp; "-" &amp; YEAR(LstMachines[[#This Row],[VteESM]])</f>
        <v>03-2018</v>
      </c>
      <c r="AF30" s="258">
        <f>LstMachines[[#This Row],[DateLivr]]+Rglt_à_ESMTP</f>
        <v>43114</v>
      </c>
      <c r="AG30" s="258" t="str">
        <f xml:space="preserve"> IF(MONTH(LstMachines[[#This Row],[RgltDistrib]])&lt;10,"0","") &amp; MONTH(LstMachines[[#This Row],[RgltDistrib]]) &amp; "-" &amp; YEAR(LstMachines[[#This Row],[RgltDistrib]])</f>
        <v>01-2018</v>
      </c>
      <c r="AH30" s="258">
        <f>LstMachines[[#This Row],[VteESM]]+Rglt_à_ESMTP</f>
        <v>43234</v>
      </c>
      <c r="AI30" s="258" t="str">
        <f xml:space="preserve"> IF(MONTH(LstMachines[[#This Row],[RgltVteESM]])&lt;10,"0","") &amp; MONTH(LstMachines[[#This Row],[RgltVteESM]]) &amp; "-" &amp; YEAR(LstMachines[[#This Row],[RgltVteESM]])</f>
        <v>05-2018</v>
      </c>
      <c r="AJ30" s="140">
        <f>MONTH(LstMachines[[#This Row],[DatePaie]])</f>
        <v>1</v>
      </c>
      <c r="AK30" s="88" t="str">
        <f>FIXED(YEAR(LstMachines[[#This Row],[DatePaie]]),0,TRUE)</f>
        <v>2018</v>
      </c>
      <c r="AL30" s="140"/>
      <c r="AM30" s="414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BA30" s="92"/>
      <c r="BC30" s="92"/>
      <c r="BD30" s="92"/>
      <c r="BE30" s="92"/>
    </row>
    <row r="31" spans="2:57" hidden="1">
      <c r="B31" s="104" t="s">
        <v>75</v>
      </c>
      <c r="C31" s="104" t="s">
        <v>35</v>
      </c>
      <c r="D31" s="87">
        <v>19</v>
      </c>
      <c r="E31" s="86" t="s">
        <v>76</v>
      </c>
      <c r="F31" s="87" t="s">
        <v>67</v>
      </c>
      <c r="G31" s="87" t="s">
        <v>107</v>
      </c>
      <c r="H31" s="89">
        <v>1</v>
      </c>
      <c r="I3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31" s="88">
        <v>43084</v>
      </c>
      <c r="K31" s="99" t="s">
        <v>463</v>
      </c>
      <c r="L31" s="85" t="s">
        <v>389</v>
      </c>
      <c r="M31" s="99"/>
      <c r="N31" s="90"/>
      <c r="O31" s="255">
        <f>MONTH(LstMachines[[#This Row],[Delivery]])</f>
        <v>12</v>
      </c>
      <c r="P31" s="256" t="str">
        <f>FIXED(YEAR(LstMachines[[#This Row],[Delivery]]),0,TRUE)</f>
        <v>2017</v>
      </c>
      <c r="Q31" s="73"/>
      <c r="R31" s="93"/>
      <c r="S31" s="90"/>
      <c r="T31" s="90"/>
      <c r="U31" s="90"/>
      <c r="V31" s="72"/>
      <c r="W31" s="99"/>
      <c r="X31" s="258">
        <f>LstMachines[[#This Row],[Delivery]]</f>
        <v>43084</v>
      </c>
      <c r="Y31" s="258" t="str">
        <f xml:space="preserve"> IF(MONTH(LstMachines[[#This Row],[DateLivr]])&lt;10,"0","") &amp; MONTH(LstMachines[[#This Row],[DateLivr]]) &amp;"-"&amp;YEAR(LstMachines[[#This Row],[DateLivr]])</f>
        <v>12-2017</v>
      </c>
      <c r="Z31" s="258">
        <f>LstMachines[[#This Row],[Delivery]]+Rglt_à_HCME</f>
        <v>43144</v>
      </c>
      <c r="AA31" s="258" t="str">
        <f xml:space="preserve"> IF(MONTH(LstMachines[[#This Row],[DatePaie]])&lt;10,"0","") &amp; MONTH(LstMachines[[#This Row],[DatePaie]])&amp;"-"&amp;YEAR(LstMachines[[#This Row],[DatePaie]])</f>
        <v>02-2018</v>
      </c>
      <c r="AB31" s="258">
        <f>LstMachines[[#This Row],[DateLivr]]+1</f>
        <v>43085</v>
      </c>
      <c r="AC31" s="258" t="str">
        <f xml:space="preserve"> IF(MONTH(LstMachines[[#This Row],[Distrib]])&lt;10,"0","") &amp; MONTH(LstMachines[[#This Row],[Distrib]]) &amp; "-" &amp; YEAR(LstMachines[[#This Row],[Distrib]])</f>
        <v>12-2017</v>
      </c>
      <c r="AD31" s="258">
        <f>LstMachines[[#This Row],[DateLivr]]+Délai_Vente</f>
        <v>43204</v>
      </c>
      <c r="AE31" s="258" t="str">
        <f xml:space="preserve"> IF(MONTH(LstMachines[[#This Row],[VteESM]])&lt;10,"0","") &amp; MONTH(LstMachines[[#This Row],[VteESM]]) &amp; "-" &amp; YEAR(LstMachines[[#This Row],[VteESM]])</f>
        <v>04-2018</v>
      </c>
      <c r="AF31" s="258">
        <f>LstMachines[[#This Row],[DateLivr]]+Rglt_à_ESMTP</f>
        <v>43144</v>
      </c>
      <c r="AG31" s="258" t="str">
        <f xml:space="preserve"> IF(MONTH(LstMachines[[#This Row],[RgltDistrib]])&lt;10,"0","") &amp; MONTH(LstMachines[[#This Row],[RgltDistrib]]) &amp; "-" &amp; YEAR(LstMachines[[#This Row],[RgltDistrib]])</f>
        <v>02-2018</v>
      </c>
      <c r="AH31" s="258">
        <f>LstMachines[[#This Row],[VteESM]]+Rglt_à_ESMTP</f>
        <v>43264</v>
      </c>
      <c r="AI31" s="258" t="str">
        <f xml:space="preserve"> IF(MONTH(LstMachines[[#This Row],[RgltVteESM]])&lt;10,"0","") &amp; MONTH(LstMachines[[#This Row],[RgltVteESM]]) &amp; "-" &amp; YEAR(LstMachines[[#This Row],[RgltVteESM]])</f>
        <v>06-2018</v>
      </c>
      <c r="AJ31" s="140">
        <f>MONTH(LstMachines[[#This Row],[DatePaie]])</f>
        <v>2</v>
      </c>
      <c r="AK31" s="88" t="str">
        <f>FIXED(YEAR(LstMachines[[#This Row],[DatePaie]]),0,TRUE)</f>
        <v>2018</v>
      </c>
      <c r="AL31" s="140"/>
      <c r="AM31" s="414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BA31" s="92"/>
      <c r="BC31" s="92"/>
      <c r="BD31" s="92"/>
      <c r="BE31" s="92"/>
    </row>
    <row r="32" spans="2:57" hidden="1">
      <c r="B32" s="104" t="s">
        <v>75</v>
      </c>
      <c r="C32" s="104" t="s">
        <v>69</v>
      </c>
      <c r="D32" s="87">
        <v>55</v>
      </c>
      <c r="E32" s="86" t="s">
        <v>358</v>
      </c>
      <c r="F32" s="87" t="s">
        <v>67</v>
      </c>
      <c r="G32" s="87" t="s">
        <v>107</v>
      </c>
      <c r="H32" s="89">
        <v>1</v>
      </c>
      <c r="I3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32" s="88">
        <v>43084</v>
      </c>
      <c r="K32" s="99" t="s">
        <v>463</v>
      </c>
      <c r="L32" s="85" t="s">
        <v>389</v>
      </c>
      <c r="M32" s="99"/>
      <c r="N32" s="90"/>
      <c r="O32" s="255">
        <f>MONTH(LstMachines[[#This Row],[Delivery]])</f>
        <v>12</v>
      </c>
      <c r="P32" s="256" t="str">
        <f>FIXED(YEAR(LstMachines[[#This Row],[Delivery]]),0,TRUE)</f>
        <v>2017</v>
      </c>
      <c r="Q32" s="73"/>
      <c r="R32" s="93"/>
      <c r="S32" s="90"/>
      <c r="T32" s="90"/>
      <c r="U32" s="90"/>
      <c r="V32" s="72"/>
      <c r="W32" s="99"/>
      <c r="X32" s="258">
        <f>LstMachines[[#This Row],[Delivery]]</f>
        <v>43084</v>
      </c>
      <c r="Y32" s="258" t="str">
        <f xml:space="preserve"> IF(MONTH(LstMachines[[#This Row],[DateLivr]])&lt;10,"0","") &amp; MONTH(LstMachines[[#This Row],[DateLivr]]) &amp;"-"&amp;YEAR(LstMachines[[#This Row],[DateLivr]])</f>
        <v>12-2017</v>
      </c>
      <c r="Z32" s="258">
        <f>LstMachines[[#This Row],[Delivery]]+Rglt_à_HCME</f>
        <v>43144</v>
      </c>
      <c r="AA32" s="258" t="str">
        <f xml:space="preserve"> IF(MONTH(LstMachines[[#This Row],[DatePaie]])&lt;10,"0","") &amp; MONTH(LstMachines[[#This Row],[DatePaie]])&amp;"-"&amp;YEAR(LstMachines[[#This Row],[DatePaie]])</f>
        <v>02-2018</v>
      </c>
      <c r="AB32" s="258">
        <f>LstMachines[[#This Row],[DateLivr]]+1</f>
        <v>43085</v>
      </c>
      <c r="AC32" s="258" t="str">
        <f xml:space="preserve"> IF(MONTH(LstMachines[[#This Row],[Distrib]])&lt;10,"0","") &amp; MONTH(LstMachines[[#This Row],[Distrib]]) &amp; "-" &amp; YEAR(LstMachines[[#This Row],[Distrib]])</f>
        <v>12-2017</v>
      </c>
      <c r="AD32" s="258">
        <f>LstMachines[[#This Row],[DateLivr]]+Délai_Vente</f>
        <v>43204</v>
      </c>
      <c r="AE32" s="258" t="str">
        <f xml:space="preserve"> IF(MONTH(LstMachines[[#This Row],[VteESM]])&lt;10,"0","") &amp; MONTH(LstMachines[[#This Row],[VteESM]]) &amp; "-" &amp; YEAR(LstMachines[[#This Row],[VteESM]])</f>
        <v>04-2018</v>
      </c>
      <c r="AF32" s="258">
        <f>LstMachines[[#This Row],[DateLivr]]+Rglt_à_ESMTP</f>
        <v>43144</v>
      </c>
      <c r="AG32" s="258" t="str">
        <f xml:space="preserve"> IF(MONTH(LstMachines[[#This Row],[RgltDistrib]])&lt;10,"0","") &amp; MONTH(LstMachines[[#This Row],[RgltDistrib]]) &amp; "-" &amp; YEAR(LstMachines[[#This Row],[RgltDistrib]])</f>
        <v>02-2018</v>
      </c>
      <c r="AH32" s="258">
        <f>LstMachines[[#This Row],[VteESM]]+Rglt_à_ESMTP</f>
        <v>43264</v>
      </c>
      <c r="AI32" s="258" t="str">
        <f xml:space="preserve"> IF(MONTH(LstMachines[[#This Row],[RgltVteESM]])&lt;10,"0","") &amp; MONTH(LstMachines[[#This Row],[RgltVteESM]]) &amp; "-" &amp; YEAR(LstMachines[[#This Row],[RgltVteESM]])</f>
        <v>06-2018</v>
      </c>
      <c r="AJ32" s="140">
        <f>MONTH(LstMachines[[#This Row],[DatePaie]])</f>
        <v>2</v>
      </c>
      <c r="AK32" s="88" t="str">
        <f>FIXED(YEAR(LstMachines[[#This Row],[DatePaie]]),0,TRUE)</f>
        <v>2018</v>
      </c>
      <c r="AL32" s="140"/>
      <c r="AM32" s="414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BA32" s="92"/>
      <c r="BC32" s="92"/>
      <c r="BD32" s="92"/>
      <c r="BE32" s="92"/>
    </row>
    <row r="33" spans="2:57" hidden="1">
      <c r="B33" s="104" t="s">
        <v>75</v>
      </c>
      <c r="C33" s="104" t="s">
        <v>38</v>
      </c>
      <c r="D33" s="87">
        <v>65</v>
      </c>
      <c r="E33" s="86" t="s">
        <v>359</v>
      </c>
      <c r="F33" s="87" t="s">
        <v>67</v>
      </c>
      <c r="G33" s="87" t="s">
        <v>107</v>
      </c>
      <c r="H33" s="89">
        <v>1</v>
      </c>
      <c r="I3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33" s="88">
        <v>43084</v>
      </c>
      <c r="K33" s="99" t="s">
        <v>463</v>
      </c>
      <c r="L33" s="85" t="s">
        <v>389</v>
      </c>
      <c r="M33" s="99"/>
      <c r="N33" s="90"/>
      <c r="O33" s="255">
        <f>MONTH(LstMachines[[#This Row],[Delivery]])</f>
        <v>12</v>
      </c>
      <c r="P33" s="256" t="str">
        <f>FIXED(YEAR(LstMachines[[#This Row],[Delivery]]),0,TRUE)</f>
        <v>2017</v>
      </c>
      <c r="Q33" s="73"/>
      <c r="R33" s="93"/>
      <c r="S33" s="90"/>
      <c r="T33" s="90"/>
      <c r="U33" s="90"/>
      <c r="V33" s="72"/>
      <c r="W33" s="99"/>
      <c r="X33" s="258">
        <f>LstMachines[[#This Row],[Delivery]]</f>
        <v>43084</v>
      </c>
      <c r="Y33" s="258" t="str">
        <f xml:space="preserve"> IF(MONTH(LstMachines[[#This Row],[DateLivr]])&lt;10,"0","") &amp; MONTH(LstMachines[[#This Row],[DateLivr]]) &amp;"-"&amp;YEAR(LstMachines[[#This Row],[DateLivr]])</f>
        <v>12-2017</v>
      </c>
      <c r="Z33" s="258">
        <f>LstMachines[[#This Row],[Delivery]]+Rglt_à_HCME</f>
        <v>43144</v>
      </c>
      <c r="AA33" s="258" t="str">
        <f xml:space="preserve"> IF(MONTH(LstMachines[[#This Row],[DatePaie]])&lt;10,"0","") &amp; MONTH(LstMachines[[#This Row],[DatePaie]])&amp;"-"&amp;YEAR(LstMachines[[#This Row],[DatePaie]])</f>
        <v>02-2018</v>
      </c>
      <c r="AB33" s="258">
        <f>LstMachines[[#This Row],[DateLivr]]+1</f>
        <v>43085</v>
      </c>
      <c r="AC33" s="258" t="str">
        <f xml:space="preserve"> IF(MONTH(LstMachines[[#This Row],[Distrib]])&lt;10,"0","") &amp; MONTH(LstMachines[[#This Row],[Distrib]]) &amp; "-" &amp; YEAR(LstMachines[[#This Row],[Distrib]])</f>
        <v>12-2017</v>
      </c>
      <c r="AD33" s="258">
        <f>LstMachines[[#This Row],[DateLivr]]+Délai_Vente</f>
        <v>43204</v>
      </c>
      <c r="AE33" s="258" t="str">
        <f xml:space="preserve"> IF(MONTH(LstMachines[[#This Row],[VteESM]])&lt;10,"0","") &amp; MONTH(LstMachines[[#This Row],[VteESM]]) &amp; "-" &amp; YEAR(LstMachines[[#This Row],[VteESM]])</f>
        <v>04-2018</v>
      </c>
      <c r="AF33" s="258">
        <f>LstMachines[[#This Row],[DateLivr]]+Rglt_à_ESMTP</f>
        <v>43144</v>
      </c>
      <c r="AG33" s="258" t="str">
        <f xml:space="preserve"> IF(MONTH(LstMachines[[#This Row],[RgltDistrib]])&lt;10,"0","") &amp; MONTH(LstMachines[[#This Row],[RgltDistrib]]) &amp; "-" &amp; YEAR(LstMachines[[#This Row],[RgltDistrib]])</f>
        <v>02-2018</v>
      </c>
      <c r="AH33" s="258">
        <f>LstMachines[[#This Row],[VteESM]]+Rglt_à_ESMTP</f>
        <v>43264</v>
      </c>
      <c r="AI33" s="258" t="str">
        <f xml:space="preserve"> IF(MONTH(LstMachines[[#This Row],[RgltVteESM]])&lt;10,"0","") &amp; MONTH(LstMachines[[#This Row],[RgltVteESM]]) &amp; "-" &amp; YEAR(LstMachines[[#This Row],[RgltVteESM]])</f>
        <v>06-2018</v>
      </c>
      <c r="AJ33" s="140">
        <f>MONTH(LstMachines[[#This Row],[DatePaie]])</f>
        <v>2</v>
      </c>
      <c r="AK33" s="88" t="str">
        <f>FIXED(YEAR(LstMachines[[#This Row],[DatePaie]]),0,TRUE)</f>
        <v>2018</v>
      </c>
      <c r="AL33" s="140"/>
      <c r="AM33" s="414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BA33" s="92"/>
      <c r="BC33" s="92"/>
      <c r="BD33" s="92"/>
      <c r="BE33" s="92"/>
    </row>
    <row r="34" spans="2:57" hidden="1">
      <c r="B34" s="104" t="s">
        <v>262</v>
      </c>
      <c r="C34" s="104" t="s">
        <v>39</v>
      </c>
      <c r="D34" s="87">
        <v>85</v>
      </c>
      <c r="E34" s="86" t="s">
        <v>356</v>
      </c>
      <c r="F34" s="87" t="s">
        <v>67</v>
      </c>
      <c r="G34" s="87" t="s">
        <v>107</v>
      </c>
      <c r="H34" s="89">
        <v>1</v>
      </c>
      <c r="I3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34" s="88">
        <v>43084</v>
      </c>
      <c r="K34" s="99" t="s">
        <v>463</v>
      </c>
      <c r="L34" s="85" t="s">
        <v>389</v>
      </c>
      <c r="M34" s="99"/>
      <c r="N34" s="90"/>
      <c r="O34" s="255">
        <f>MONTH(LstMachines[[#This Row],[Delivery]])</f>
        <v>12</v>
      </c>
      <c r="P34" s="256" t="str">
        <f>FIXED(YEAR(LstMachines[[#This Row],[Delivery]]),0,TRUE)</f>
        <v>2017</v>
      </c>
      <c r="Q34" s="73"/>
      <c r="R34" s="93"/>
      <c r="S34" s="90"/>
      <c r="T34" s="90"/>
      <c r="U34" s="90"/>
      <c r="V34" s="72"/>
      <c r="W34" s="99"/>
      <c r="X34" s="258">
        <f>LstMachines[[#This Row],[Delivery]]</f>
        <v>43084</v>
      </c>
      <c r="Y34" s="258" t="str">
        <f xml:space="preserve"> IF(MONTH(LstMachines[[#This Row],[DateLivr]])&lt;10,"0","") &amp; MONTH(LstMachines[[#This Row],[DateLivr]]) &amp;"-"&amp;YEAR(LstMachines[[#This Row],[DateLivr]])</f>
        <v>12-2017</v>
      </c>
      <c r="Z34" s="258">
        <f>LstMachines[[#This Row],[Delivery]]+Rglt_à_HCME</f>
        <v>43144</v>
      </c>
      <c r="AA34" s="258" t="str">
        <f xml:space="preserve"> IF(MONTH(LstMachines[[#This Row],[DatePaie]])&lt;10,"0","") &amp; MONTH(LstMachines[[#This Row],[DatePaie]])&amp;"-"&amp;YEAR(LstMachines[[#This Row],[DatePaie]])</f>
        <v>02-2018</v>
      </c>
      <c r="AB34" s="258">
        <f>LstMachines[[#This Row],[DateLivr]]+1</f>
        <v>43085</v>
      </c>
      <c r="AC34" s="258" t="str">
        <f xml:space="preserve"> IF(MONTH(LstMachines[[#This Row],[Distrib]])&lt;10,"0","") &amp; MONTH(LstMachines[[#This Row],[Distrib]]) &amp; "-" &amp; YEAR(LstMachines[[#This Row],[Distrib]])</f>
        <v>12-2017</v>
      </c>
      <c r="AD34" s="258">
        <f>LstMachines[[#This Row],[DateLivr]]+Délai_Vente</f>
        <v>43204</v>
      </c>
      <c r="AE34" s="258" t="str">
        <f xml:space="preserve"> IF(MONTH(LstMachines[[#This Row],[VteESM]])&lt;10,"0","") &amp; MONTH(LstMachines[[#This Row],[VteESM]]) &amp; "-" &amp; YEAR(LstMachines[[#This Row],[VteESM]])</f>
        <v>04-2018</v>
      </c>
      <c r="AF34" s="258">
        <f>LstMachines[[#This Row],[DateLivr]]+Rglt_à_ESMTP</f>
        <v>43144</v>
      </c>
      <c r="AG34" s="258" t="str">
        <f xml:space="preserve"> IF(MONTH(LstMachines[[#This Row],[RgltDistrib]])&lt;10,"0","") &amp; MONTH(LstMachines[[#This Row],[RgltDistrib]]) &amp; "-" &amp; YEAR(LstMachines[[#This Row],[RgltDistrib]])</f>
        <v>02-2018</v>
      </c>
      <c r="AH34" s="258">
        <f>LstMachines[[#This Row],[VteESM]]+Rglt_à_ESMTP</f>
        <v>43264</v>
      </c>
      <c r="AI34" s="258" t="str">
        <f xml:space="preserve"> IF(MONTH(LstMachines[[#This Row],[RgltVteESM]])&lt;10,"0","") &amp; MONTH(LstMachines[[#This Row],[RgltVteESM]]) &amp; "-" &amp; YEAR(LstMachines[[#This Row],[RgltVteESM]])</f>
        <v>06-2018</v>
      </c>
      <c r="AJ34" s="140">
        <f>MONTH(LstMachines[[#This Row],[DatePaie]])</f>
        <v>2</v>
      </c>
      <c r="AK34" s="88" t="str">
        <f>FIXED(YEAR(LstMachines[[#This Row],[DatePaie]]),0,TRUE)</f>
        <v>2018</v>
      </c>
      <c r="AL34" s="140"/>
      <c r="AM34" s="414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BA34" s="92"/>
      <c r="BC34" s="92"/>
      <c r="BD34" s="92"/>
      <c r="BE34" s="92"/>
    </row>
    <row r="35" spans="2:57" hidden="1">
      <c r="B35" s="104" t="s">
        <v>262</v>
      </c>
      <c r="C35" s="104" t="s">
        <v>39</v>
      </c>
      <c r="D35" s="87">
        <v>85</v>
      </c>
      <c r="E35" s="86" t="s">
        <v>356</v>
      </c>
      <c r="F35" s="87" t="s">
        <v>67</v>
      </c>
      <c r="G35" s="87" t="s">
        <v>107</v>
      </c>
      <c r="H35" s="89">
        <v>1</v>
      </c>
      <c r="I3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35" s="88">
        <v>43084</v>
      </c>
      <c r="K35" s="99" t="s">
        <v>463</v>
      </c>
      <c r="L35" s="85" t="s">
        <v>389</v>
      </c>
      <c r="M35" s="99"/>
      <c r="N35" s="90"/>
      <c r="O35" s="255">
        <f>MONTH(LstMachines[[#This Row],[Delivery]])</f>
        <v>12</v>
      </c>
      <c r="P35" s="256" t="str">
        <f>FIXED(YEAR(LstMachines[[#This Row],[Delivery]]),0,TRUE)</f>
        <v>2017</v>
      </c>
      <c r="Q35" s="73"/>
      <c r="R35" s="93"/>
      <c r="S35" s="90"/>
      <c r="T35" s="90"/>
      <c r="U35" s="90"/>
      <c r="V35" s="72"/>
      <c r="W35" s="99"/>
      <c r="X35" s="258">
        <f>LstMachines[[#This Row],[Delivery]]</f>
        <v>43084</v>
      </c>
      <c r="Y35" s="258" t="str">
        <f xml:space="preserve"> IF(MONTH(LstMachines[[#This Row],[DateLivr]])&lt;10,"0","") &amp; MONTH(LstMachines[[#This Row],[DateLivr]]) &amp;"-"&amp;YEAR(LstMachines[[#This Row],[DateLivr]])</f>
        <v>12-2017</v>
      </c>
      <c r="Z35" s="258">
        <f>LstMachines[[#This Row],[Delivery]]+Rglt_à_HCME</f>
        <v>43144</v>
      </c>
      <c r="AA35" s="258" t="str">
        <f xml:space="preserve"> IF(MONTH(LstMachines[[#This Row],[DatePaie]])&lt;10,"0","") &amp; MONTH(LstMachines[[#This Row],[DatePaie]])&amp;"-"&amp;YEAR(LstMachines[[#This Row],[DatePaie]])</f>
        <v>02-2018</v>
      </c>
      <c r="AB35" s="258">
        <f>LstMachines[[#This Row],[DateLivr]]+1</f>
        <v>43085</v>
      </c>
      <c r="AC35" s="258" t="str">
        <f xml:space="preserve"> IF(MONTH(LstMachines[[#This Row],[Distrib]])&lt;10,"0","") &amp; MONTH(LstMachines[[#This Row],[Distrib]]) &amp; "-" &amp; YEAR(LstMachines[[#This Row],[Distrib]])</f>
        <v>12-2017</v>
      </c>
      <c r="AD35" s="258">
        <f>LstMachines[[#This Row],[DateLivr]]+Délai_Vente</f>
        <v>43204</v>
      </c>
      <c r="AE35" s="258" t="str">
        <f xml:space="preserve"> IF(MONTH(LstMachines[[#This Row],[VteESM]])&lt;10,"0","") &amp; MONTH(LstMachines[[#This Row],[VteESM]]) &amp; "-" &amp; YEAR(LstMachines[[#This Row],[VteESM]])</f>
        <v>04-2018</v>
      </c>
      <c r="AF35" s="258">
        <f>LstMachines[[#This Row],[DateLivr]]+Rglt_à_ESMTP</f>
        <v>43144</v>
      </c>
      <c r="AG35" s="258" t="str">
        <f xml:space="preserve"> IF(MONTH(LstMachines[[#This Row],[RgltDistrib]])&lt;10,"0","") &amp; MONTH(LstMachines[[#This Row],[RgltDistrib]]) &amp; "-" &amp; YEAR(LstMachines[[#This Row],[RgltDistrib]])</f>
        <v>02-2018</v>
      </c>
      <c r="AH35" s="258">
        <f>LstMachines[[#This Row],[VteESM]]+Rglt_à_ESMTP</f>
        <v>43264</v>
      </c>
      <c r="AI35" s="258" t="str">
        <f xml:space="preserve"> IF(MONTH(LstMachines[[#This Row],[RgltVteESM]])&lt;10,"0","") &amp; MONTH(LstMachines[[#This Row],[RgltVteESM]]) &amp; "-" &amp; YEAR(LstMachines[[#This Row],[RgltVteESM]])</f>
        <v>06-2018</v>
      </c>
      <c r="AJ35" s="140">
        <f>MONTH(LstMachines[[#This Row],[DatePaie]])</f>
        <v>2</v>
      </c>
      <c r="AK35" s="88" t="str">
        <f>FIXED(YEAR(LstMachines[[#This Row],[DatePaie]]),0,TRUE)</f>
        <v>2018</v>
      </c>
      <c r="AL35" s="140"/>
      <c r="AM35" s="414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BA35" s="92"/>
      <c r="BC35" s="92"/>
      <c r="BD35" s="92"/>
      <c r="BE35" s="92"/>
    </row>
    <row r="36" spans="2:57" hidden="1">
      <c r="B36" s="104" t="s">
        <v>262</v>
      </c>
      <c r="C36" s="104" t="s">
        <v>39</v>
      </c>
      <c r="D36" s="87">
        <v>85</v>
      </c>
      <c r="E36" s="86" t="s">
        <v>356</v>
      </c>
      <c r="F36" s="87" t="s">
        <v>67</v>
      </c>
      <c r="G36" s="87" t="s">
        <v>107</v>
      </c>
      <c r="H36" s="89">
        <v>1</v>
      </c>
      <c r="I3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36" s="88">
        <v>43084</v>
      </c>
      <c r="K36" s="99" t="s">
        <v>463</v>
      </c>
      <c r="L36" s="85" t="s">
        <v>389</v>
      </c>
      <c r="M36" s="99"/>
      <c r="N36" s="90"/>
      <c r="O36" s="255">
        <f>MONTH(LstMachines[[#This Row],[Delivery]])</f>
        <v>12</v>
      </c>
      <c r="P36" s="256" t="str">
        <f>FIXED(YEAR(LstMachines[[#This Row],[Delivery]]),0,TRUE)</f>
        <v>2017</v>
      </c>
      <c r="Q36" s="73"/>
      <c r="R36" s="93"/>
      <c r="S36" s="90"/>
      <c r="T36" s="90"/>
      <c r="U36" s="90"/>
      <c r="V36" s="72"/>
      <c r="W36" s="99"/>
      <c r="X36" s="258">
        <f>LstMachines[[#This Row],[Delivery]]</f>
        <v>43084</v>
      </c>
      <c r="Y36" s="258" t="str">
        <f xml:space="preserve"> IF(MONTH(LstMachines[[#This Row],[DateLivr]])&lt;10,"0","") &amp; MONTH(LstMachines[[#This Row],[DateLivr]]) &amp;"-"&amp;YEAR(LstMachines[[#This Row],[DateLivr]])</f>
        <v>12-2017</v>
      </c>
      <c r="Z36" s="258">
        <f>LstMachines[[#This Row],[Delivery]]+Rglt_à_HCME</f>
        <v>43144</v>
      </c>
      <c r="AA36" s="258" t="str">
        <f xml:space="preserve"> IF(MONTH(LstMachines[[#This Row],[DatePaie]])&lt;10,"0","") &amp; MONTH(LstMachines[[#This Row],[DatePaie]])&amp;"-"&amp;YEAR(LstMachines[[#This Row],[DatePaie]])</f>
        <v>02-2018</v>
      </c>
      <c r="AB36" s="258">
        <f>LstMachines[[#This Row],[DateLivr]]+1</f>
        <v>43085</v>
      </c>
      <c r="AC36" s="258" t="str">
        <f xml:space="preserve"> IF(MONTH(LstMachines[[#This Row],[Distrib]])&lt;10,"0","") &amp; MONTH(LstMachines[[#This Row],[Distrib]]) &amp; "-" &amp; YEAR(LstMachines[[#This Row],[Distrib]])</f>
        <v>12-2017</v>
      </c>
      <c r="AD36" s="258">
        <f>LstMachines[[#This Row],[DateLivr]]+Délai_Vente</f>
        <v>43204</v>
      </c>
      <c r="AE36" s="258" t="str">
        <f xml:space="preserve"> IF(MONTH(LstMachines[[#This Row],[VteESM]])&lt;10,"0","") &amp; MONTH(LstMachines[[#This Row],[VteESM]]) &amp; "-" &amp; YEAR(LstMachines[[#This Row],[VteESM]])</f>
        <v>04-2018</v>
      </c>
      <c r="AF36" s="258">
        <f>LstMachines[[#This Row],[DateLivr]]+Rglt_à_ESMTP</f>
        <v>43144</v>
      </c>
      <c r="AG36" s="258" t="str">
        <f xml:space="preserve"> IF(MONTH(LstMachines[[#This Row],[RgltDistrib]])&lt;10,"0","") &amp; MONTH(LstMachines[[#This Row],[RgltDistrib]]) &amp; "-" &amp; YEAR(LstMachines[[#This Row],[RgltDistrib]])</f>
        <v>02-2018</v>
      </c>
      <c r="AH36" s="258">
        <f>LstMachines[[#This Row],[VteESM]]+Rglt_à_ESMTP</f>
        <v>43264</v>
      </c>
      <c r="AI36" s="258" t="str">
        <f xml:space="preserve"> IF(MONTH(LstMachines[[#This Row],[RgltVteESM]])&lt;10,"0","") &amp; MONTH(LstMachines[[#This Row],[RgltVteESM]]) &amp; "-" &amp; YEAR(LstMachines[[#This Row],[RgltVteESM]])</f>
        <v>06-2018</v>
      </c>
      <c r="AJ36" s="140">
        <f>MONTH(LstMachines[[#This Row],[DatePaie]])</f>
        <v>2</v>
      </c>
      <c r="AK36" s="88" t="str">
        <f>FIXED(YEAR(LstMachines[[#This Row],[DatePaie]]),0,TRUE)</f>
        <v>2018</v>
      </c>
      <c r="AL36" s="140"/>
      <c r="AM36" s="414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BA36" s="92"/>
      <c r="BC36" s="92"/>
      <c r="BD36" s="92"/>
      <c r="BE36" s="92"/>
    </row>
    <row r="37" spans="2:57" hidden="1">
      <c r="B37" s="104" t="s">
        <v>75</v>
      </c>
      <c r="C37" s="104" t="s">
        <v>36</v>
      </c>
      <c r="D37" s="87">
        <v>26</v>
      </c>
      <c r="E37" s="86" t="s">
        <v>355</v>
      </c>
      <c r="F37" s="71" t="s">
        <v>100</v>
      </c>
      <c r="G37" s="71" t="s">
        <v>31</v>
      </c>
      <c r="H37" s="89">
        <v>1</v>
      </c>
      <c r="I3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37" s="88">
        <v>43084</v>
      </c>
      <c r="K37" s="99" t="s">
        <v>465</v>
      </c>
      <c r="L37" s="120" t="s">
        <v>378</v>
      </c>
      <c r="M37" s="99"/>
      <c r="N37" s="90">
        <v>42914</v>
      </c>
      <c r="O37" s="255">
        <f>MONTH(LstMachines[[#This Row],[Delivery]])</f>
        <v>12</v>
      </c>
      <c r="P37" s="256" t="str">
        <f>FIXED(YEAR(LstMachines[[#This Row],[Delivery]]),0,TRUE)</f>
        <v>2017</v>
      </c>
      <c r="Q37" s="73" t="s">
        <v>311</v>
      </c>
      <c r="R37" s="93">
        <v>20350</v>
      </c>
      <c r="S37" s="95"/>
      <c r="T37" s="71" t="s">
        <v>395</v>
      </c>
      <c r="U37" s="90" t="s">
        <v>105</v>
      </c>
      <c r="V37" s="72">
        <v>4143</v>
      </c>
      <c r="W37" s="100" t="s">
        <v>271</v>
      </c>
      <c r="X37" s="258">
        <f>LstMachines[[#This Row],[Delivery]]</f>
        <v>43084</v>
      </c>
      <c r="Y37" s="258" t="str">
        <f xml:space="preserve"> IF(MONTH(LstMachines[[#This Row],[DateLivr]])&lt;10,"0","") &amp; MONTH(LstMachines[[#This Row],[DateLivr]]) &amp;"-"&amp;YEAR(LstMachines[[#This Row],[DateLivr]])</f>
        <v>12-2017</v>
      </c>
      <c r="Z37" s="258">
        <f>LstMachines[[#This Row],[Delivery]]+Rglt_à_HCME</f>
        <v>43144</v>
      </c>
      <c r="AA37" s="258" t="str">
        <f xml:space="preserve"> IF(MONTH(LstMachines[[#This Row],[DatePaie]])&lt;10,"0","") &amp; MONTH(LstMachines[[#This Row],[DatePaie]])&amp;"-"&amp;YEAR(LstMachines[[#This Row],[DatePaie]])</f>
        <v>02-2018</v>
      </c>
      <c r="AB37" s="258">
        <f>LstMachines[[#This Row],[DateLivr]]+1</f>
        <v>43085</v>
      </c>
      <c r="AC37" s="258" t="str">
        <f xml:space="preserve"> IF(MONTH(LstMachines[[#This Row],[Distrib]])&lt;10,"0","") &amp; MONTH(LstMachines[[#This Row],[Distrib]]) &amp; "-" &amp; YEAR(LstMachines[[#This Row],[Distrib]])</f>
        <v>12-2017</v>
      </c>
      <c r="AD37" s="258">
        <f>LstMachines[[#This Row],[DateLivr]]+Délai_Vente</f>
        <v>43204</v>
      </c>
      <c r="AE37" s="258" t="str">
        <f xml:space="preserve"> IF(MONTH(LstMachines[[#This Row],[VteESM]])&lt;10,"0","") &amp; MONTH(LstMachines[[#This Row],[VteESM]]) &amp; "-" &amp; YEAR(LstMachines[[#This Row],[VteESM]])</f>
        <v>04-2018</v>
      </c>
      <c r="AF37" s="258">
        <f>LstMachines[[#This Row],[DateLivr]]+Rglt_à_ESMTP</f>
        <v>43144</v>
      </c>
      <c r="AG37" s="258" t="str">
        <f xml:space="preserve"> IF(MONTH(LstMachines[[#This Row],[RgltDistrib]])&lt;10,"0","") &amp; MONTH(LstMachines[[#This Row],[RgltDistrib]]) &amp; "-" &amp; YEAR(LstMachines[[#This Row],[RgltDistrib]])</f>
        <v>02-2018</v>
      </c>
      <c r="AH37" s="258">
        <f>LstMachines[[#This Row],[VteESM]]+Rglt_à_ESMTP</f>
        <v>43264</v>
      </c>
      <c r="AI37" s="258" t="str">
        <f xml:space="preserve"> IF(MONTH(LstMachines[[#This Row],[RgltVteESM]])&lt;10,"0","") &amp; MONTH(LstMachines[[#This Row],[RgltVteESM]]) &amp; "-" &amp; YEAR(LstMachines[[#This Row],[RgltVteESM]])</f>
        <v>06-2018</v>
      </c>
      <c r="AJ37" s="140">
        <f>MONTH(LstMachines[[#This Row],[DatePaie]])</f>
        <v>2</v>
      </c>
      <c r="AK37" s="88" t="str">
        <f>FIXED(YEAR(LstMachines[[#This Row],[DatePaie]]),0,TRUE)</f>
        <v>2018</v>
      </c>
      <c r="AL37" s="140"/>
      <c r="AM37" s="414"/>
      <c r="AN37" s="92"/>
      <c r="AO37" s="92"/>
      <c r="AP37" s="92"/>
      <c r="AQ37" s="92"/>
      <c r="AR37" s="92"/>
      <c r="AS37" s="92"/>
      <c r="AT37" s="92"/>
      <c r="AU37" s="92"/>
      <c r="AV37" s="92"/>
      <c r="AW37" s="92"/>
      <c r="AX37" s="92"/>
      <c r="AY37" s="92"/>
      <c r="BA37" s="92"/>
      <c r="BC37" s="92"/>
      <c r="BD37" s="92"/>
      <c r="BE37" s="92"/>
    </row>
    <row r="38" spans="2:57" hidden="1">
      <c r="B38" s="104" t="s">
        <v>259</v>
      </c>
      <c r="C38" s="104" t="s">
        <v>373</v>
      </c>
      <c r="D38" s="87">
        <v>75</v>
      </c>
      <c r="E38" s="104" t="s">
        <v>374</v>
      </c>
      <c r="F38" s="71" t="s">
        <v>100</v>
      </c>
      <c r="G38" s="71" t="s">
        <v>31</v>
      </c>
      <c r="H38" s="89">
        <v>1</v>
      </c>
      <c r="I3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38" s="88">
        <v>43084</v>
      </c>
      <c r="K38" s="99" t="s">
        <v>463</v>
      </c>
      <c r="L38" s="120" t="s">
        <v>378</v>
      </c>
      <c r="M38" s="99"/>
      <c r="N38" s="90">
        <v>43067</v>
      </c>
      <c r="O38" s="255">
        <f>MONTH(LstMachines[[#This Row],[Delivery]])</f>
        <v>12</v>
      </c>
      <c r="P38" s="256" t="str">
        <f>FIXED(YEAR(LstMachines[[#This Row],[Delivery]]),0,TRUE)</f>
        <v>2017</v>
      </c>
      <c r="Q38" s="73" t="s">
        <v>310</v>
      </c>
      <c r="R38" s="93">
        <v>38070</v>
      </c>
      <c r="S38" s="95"/>
      <c r="T38" s="71"/>
      <c r="U38" s="72" t="s">
        <v>270</v>
      </c>
      <c r="V38" s="72">
        <v>4244</v>
      </c>
      <c r="W38" s="99" t="s">
        <v>384</v>
      </c>
      <c r="X38" s="258">
        <f>LstMachines[[#This Row],[Delivery]]</f>
        <v>43084</v>
      </c>
      <c r="Y38" s="258" t="str">
        <f xml:space="preserve"> IF(MONTH(LstMachines[[#This Row],[DateLivr]])&lt;10,"0","") &amp; MONTH(LstMachines[[#This Row],[DateLivr]]) &amp;"-"&amp;YEAR(LstMachines[[#This Row],[DateLivr]])</f>
        <v>12-2017</v>
      </c>
      <c r="Z38" s="258">
        <f>LstMachines[[#This Row],[Delivery]]+Rglt_à_HCME</f>
        <v>43144</v>
      </c>
      <c r="AA38" s="258" t="str">
        <f xml:space="preserve"> IF(MONTH(LstMachines[[#This Row],[DatePaie]])&lt;10,"0","") &amp; MONTH(LstMachines[[#This Row],[DatePaie]])&amp;"-"&amp;YEAR(LstMachines[[#This Row],[DatePaie]])</f>
        <v>02-2018</v>
      </c>
      <c r="AB38" s="258">
        <f>LstMachines[[#This Row],[DateLivr]]+1</f>
        <v>43085</v>
      </c>
      <c r="AC38" s="258" t="str">
        <f xml:space="preserve"> IF(MONTH(LstMachines[[#This Row],[Distrib]])&lt;10,"0","") &amp; MONTH(LstMachines[[#This Row],[Distrib]]) &amp; "-" &amp; YEAR(LstMachines[[#This Row],[Distrib]])</f>
        <v>12-2017</v>
      </c>
      <c r="AD38" s="258">
        <f>LstMachines[[#This Row],[DateLivr]]+Délai_Vente</f>
        <v>43204</v>
      </c>
      <c r="AE38" s="258" t="str">
        <f xml:space="preserve"> IF(MONTH(LstMachines[[#This Row],[VteESM]])&lt;10,"0","") &amp; MONTH(LstMachines[[#This Row],[VteESM]]) &amp; "-" &amp; YEAR(LstMachines[[#This Row],[VteESM]])</f>
        <v>04-2018</v>
      </c>
      <c r="AF38" s="258">
        <f>LstMachines[[#This Row],[DateLivr]]+Rglt_à_ESMTP</f>
        <v>43144</v>
      </c>
      <c r="AG38" s="258" t="str">
        <f xml:space="preserve"> IF(MONTH(LstMachines[[#This Row],[RgltDistrib]])&lt;10,"0","") &amp; MONTH(LstMachines[[#This Row],[RgltDistrib]]) &amp; "-" &amp; YEAR(LstMachines[[#This Row],[RgltDistrib]])</f>
        <v>02-2018</v>
      </c>
      <c r="AH38" s="258">
        <f>LstMachines[[#This Row],[VteESM]]+Rglt_à_ESMTP</f>
        <v>43264</v>
      </c>
      <c r="AI38" s="258" t="str">
        <f xml:space="preserve"> IF(MONTH(LstMachines[[#This Row],[RgltVteESM]])&lt;10,"0","") &amp; MONTH(LstMachines[[#This Row],[RgltVteESM]]) &amp; "-" &amp; YEAR(LstMachines[[#This Row],[RgltVteESM]])</f>
        <v>06-2018</v>
      </c>
      <c r="AJ38" s="140">
        <f>MONTH(LstMachines[[#This Row],[DatePaie]])</f>
        <v>2</v>
      </c>
      <c r="AK38" s="88" t="str">
        <f>FIXED(YEAR(LstMachines[[#This Row],[DatePaie]]),0,TRUE)</f>
        <v>2018</v>
      </c>
      <c r="AL38" s="140"/>
      <c r="AM38" s="414"/>
      <c r="AN38" s="92"/>
      <c r="AO38" s="92"/>
      <c r="AP38" s="92"/>
      <c r="AQ38" s="92"/>
      <c r="AR38" s="92"/>
      <c r="AS38" s="92"/>
      <c r="AT38" s="92"/>
      <c r="AU38" s="92"/>
      <c r="AV38" s="92"/>
      <c r="AW38" s="92"/>
      <c r="AX38" s="92"/>
      <c r="AY38" s="92"/>
      <c r="BA38" s="92"/>
      <c r="BC38" s="92"/>
      <c r="BD38" s="92"/>
      <c r="BE38" s="92"/>
    </row>
    <row r="39" spans="2:57" hidden="1">
      <c r="B39" s="104" t="s">
        <v>75</v>
      </c>
      <c r="C39" s="104" t="s">
        <v>38</v>
      </c>
      <c r="D39" s="87">
        <v>65</v>
      </c>
      <c r="E39" s="104" t="s">
        <v>364</v>
      </c>
      <c r="F39" s="71" t="s">
        <v>100</v>
      </c>
      <c r="G39" s="71" t="s">
        <v>31</v>
      </c>
      <c r="H39" s="89">
        <v>1</v>
      </c>
      <c r="I3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39" s="88">
        <v>43084</v>
      </c>
      <c r="K39" s="99" t="s">
        <v>463</v>
      </c>
      <c r="L39" s="120" t="s">
        <v>378</v>
      </c>
      <c r="M39" s="99" t="s">
        <v>273</v>
      </c>
      <c r="N39" s="90">
        <v>42914</v>
      </c>
      <c r="O39" s="255">
        <f>MONTH(LstMachines[[#This Row],[Delivery]])</f>
        <v>12</v>
      </c>
      <c r="P39" s="256" t="str">
        <f>FIXED(YEAR(LstMachines[[#This Row],[Delivery]]),0,TRUE)</f>
        <v>2017</v>
      </c>
      <c r="Q39" s="73" t="s">
        <v>340</v>
      </c>
      <c r="R39" s="93">
        <v>45000</v>
      </c>
      <c r="S39" s="95"/>
      <c r="T39" s="71" t="s">
        <v>272</v>
      </c>
      <c r="U39" s="72" t="s">
        <v>270</v>
      </c>
      <c r="V39" s="72">
        <v>4150</v>
      </c>
      <c r="W39" s="99" t="s">
        <v>384</v>
      </c>
      <c r="X39" s="258">
        <f>LstMachines[[#This Row],[Delivery]]</f>
        <v>43084</v>
      </c>
      <c r="Y39" s="258" t="str">
        <f xml:space="preserve"> IF(MONTH(LstMachines[[#This Row],[DateLivr]])&lt;10,"0","") &amp; MONTH(LstMachines[[#This Row],[DateLivr]]) &amp;"-"&amp;YEAR(LstMachines[[#This Row],[DateLivr]])</f>
        <v>12-2017</v>
      </c>
      <c r="Z39" s="258">
        <f>LstMachines[[#This Row],[Delivery]]+Rglt_à_HCME</f>
        <v>43144</v>
      </c>
      <c r="AA39" s="258" t="str">
        <f xml:space="preserve"> IF(MONTH(LstMachines[[#This Row],[DatePaie]])&lt;10,"0","") &amp; MONTH(LstMachines[[#This Row],[DatePaie]])&amp;"-"&amp;YEAR(LstMachines[[#This Row],[DatePaie]])</f>
        <v>02-2018</v>
      </c>
      <c r="AB39" s="258">
        <f>LstMachines[[#This Row],[DateLivr]]+1</f>
        <v>43085</v>
      </c>
      <c r="AC39" s="258" t="str">
        <f xml:space="preserve"> IF(MONTH(LstMachines[[#This Row],[Distrib]])&lt;10,"0","") &amp; MONTH(LstMachines[[#This Row],[Distrib]]) &amp; "-" &amp; YEAR(LstMachines[[#This Row],[Distrib]])</f>
        <v>12-2017</v>
      </c>
      <c r="AD39" s="258">
        <f>LstMachines[[#This Row],[DateLivr]]+Délai_Vente</f>
        <v>43204</v>
      </c>
      <c r="AE39" s="258" t="str">
        <f xml:space="preserve"> IF(MONTH(LstMachines[[#This Row],[VteESM]])&lt;10,"0","") &amp; MONTH(LstMachines[[#This Row],[VteESM]]) &amp; "-" &amp; YEAR(LstMachines[[#This Row],[VteESM]])</f>
        <v>04-2018</v>
      </c>
      <c r="AF39" s="258">
        <f>LstMachines[[#This Row],[DateLivr]]+Rglt_à_ESMTP</f>
        <v>43144</v>
      </c>
      <c r="AG39" s="258" t="str">
        <f xml:space="preserve"> IF(MONTH(LstMachines[[#This Row],[RgltDistrib]])&lt;10,"0","") &amp; MONTH(LstMachines[[#This Row],[RgltDistrib]]) &amp; "-" &amp; YEAR(LstMachines[[#This Row],[RgltDistrib]])</f>
        <v>02-2018</v>
      </c>
      <c r="AH39" s="258">
        <f>LstMachines[[#This Row],[VteESM]]+Rglt_à_ESMTP</f>
        <v>43264</v>
      </c>
      <c r="AI39" s="258" t="str">
        <f xml:space="preserve"> IF(MONTH(LstMachines[[#This Row],[RgltVteESM]])&lt;10,"0","") &amp; MONTH(LstMachines[[#This Row],[RgltVteESM]]) &amp; "-" &amp; YEAR(LstMachines[[#This Row],[RgltVteESM]])</f>
        <v>06-2018</v>
      </c>
      <c r="AJ39" s="140">
        <f>MONTH(LstMachines[[#This Row],[DatePaie]])</f>
        <v>2</v>
      </c>
      <c r="AK39" s="88" t="str">
        <f>FIXED(YEAR(LstMachines[[#This Row],[DatePaie]]),0,TRUE)</f>
        <v>2018</v>
      </c>
      <c r="AL39" s="140"/>
      <c r="AM39" s="414"/>
      <c r="AN39" s="92"/>
      <c r="AO39" s="92"/>
      <c r="AP39" s="92"/>
      <c r="AQ39" s="92"/>
      <c r="AR39" s="92"/>
      <c r="AS39" s="92"/>
      <c r="AT39" s="92"/>
      <c r="AU39" s="92"/>
      <c r="AV39" s="92"/>
      <c r="AW39" s="92"/>
      <c r="AX39" s="92"/>
      <c r="AY39" s="92"/>
      <c r="BA39" s="92"/>
      <c r="BC39" s="92"/>
      <c r="BD39" s="92"/>
      <c r="BE39" s="92"/>
    </row>
    <row r="40" spans="2:57" hidden="1">
      <c r="B40" s="104" t="s">
        <v>262</v>
      </c>
      <c r="C40" s="104" t="s">
        <v>39</v>
      </c>
      <c r="D40" s="87">
        <v>85</v>
      </c>
      <c r="E40" s="86" t="s">
        <v>356</v>
      </c>
      <c r="F40" s="87" t="s">
        <v>100</v>
      </c>
      <c r="G40" s="87" t="s">
        <v>31</v>
      </c>
      <c r="H40" s="89">
        <v>1</v>
      </c>
      <c r="I4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40" s="88">
        <v>43084</v>
      </c>
      <c r="K40" s="99" t="s">
        <v>366</v>
      </c>
      <c r="L40" s="121" t="s">
        <v>386</v>
      </c>
      <c r="M40" s="90" t="s">
        <v>366</v>
      </c>
      <c r="N40" s="90">
        <v>43070</v>
      </c>
      <c r="O40" s="255">
        <f>MONTH(LstMachines[[#This Row],[Delivery]])</f>
        <v>12</v>
      </c>
      <c r="P40" s="256" t="str">
        <f>FIXED(YEAR(LstMachines[[#This Row],[Delivery]]),0,TRUE)</f>
        <v>2017</v>
      </c>
      <c r="Q40" s="73"/>
      <c r="R40" s="93"/>
      <c r="S40" s="90"/>
      <c r="T40" s="90"/>
      <c r="U40" s="90"/>
      <c r="V40" s="72"/>
      <c r="W40" s="99"/>
      <c r="X40" s="258">
        <f>LstMachines[[#This Row],[Delivery]]</f>
        <v>43084</v>
      </c>
      <c r="Y40" s="258" t="str">
        <f xml:space="preserve"> IF(MONTH(LstMachines[[#This Row],[DateLivr]])&lt;10,"0","") &amp; MONTH(LstMachines[[#This Row],[DateLivr]]) &amp;"-"&amp;YEAR(LstMachines[[#This Row],[DateLivr]])</f>
        <v>12-2017</v>
      </c>
      <c r="Z40" s="258">
        <f>LstMachines[[#This Row],[Delivery]]+Rglt_à_HCME</f>
        <v>43144</v>
      </c>
      <c r="AA40" s="258" t="str">
        <f xml:space="preserve"> IF(MONTH(LstMachines[[#This Row],[DatePaie]])&lt;10,"0","") &amp; MONTH(LstMachines[[#This Row],[DatePaie]])&amp;"-"&amp;YEAR(LstMachines[[#This Row],[DatePaie]])</f>
        <v>02-2018</v>
      </c>
      <c r="AB40" s="258">
        <f>LstMachines[[#This Row],[DateLivr]]+1</f>
        <v>43085</v>
      </c>
      <c r="AC40" s="258" t="str">
        <f xml:space="preserve"> IF(MONTH(LstMachines[[#This Row],[Distrib]])&lt;10,"0","") &amp; MONTH(LstMachines[[#This Row],[Distrib]]) &amp; "-" &amp; YEAR(LstMachines[[#This Row],[Distrib]])</f>
        <v>12-2017</v>
      </c>
      <c r="AD40" s="258">
        <f>LstMachines[[#This Row],[DateLivr]]+Délai_Vente</f>
        <v>43204</v>
      </c>
      <c r="AE40" s="258" t="str">
        <f xml:space="preserve"> IF(MONTH(LstMachines[[#This Row],[VteESM]])&lt;10,"0","") &amp; MONTH(LstMachines[[#This Row],[VteESM]]) &amp; "-" &amp; YEAR(LstMachines[[#This Row],[VteESM]])</f>
        <v>04-2018</v>
      </c>
      <c r="AF40" s="258">
        <f>LstMachines[[#This Row],[DateLivr]]+Rglt_à_ESMTP</f>
        <v>43144</v>
      </c>
      <c r="AG40" s="258" t="str">
        <f xml:space="preserve"> IF(MONTH(LstMachines[[#This Row],[RgltDistrib]])&lt;10,"0","") &amp; MONTH(LstMachines[[#This Row],[RgltDistrib]]) &amp; "-" &amp; YEAR(LstMachines[[#This Row],[RgltDistrib]])</f>
        <v>02-2018</v>
      </c>
      <c r="AH40" s="258">
        <f>LstMachines[[#This Row],[VteESM]]+Rglt_à_ESMTP</f>
        <v>43264</v>
      </c>
      <c r="AI40" s="258" t="str">
        <f xml:space="preserve"> IF(MONTH(LstMachines[[#This Row],[RgltVteESM]])&lt;10,"0","") &amp; MONTH(LstMachines[[#This Row],[RgltVteESM]]) &amp; "-" &amp; YEAR(LstMachines[[#This Row],[RgltVteESM]])</f>
        <v>06-2018</v>
      </c>
      <c r="AJ40" s="140">
        <f>MONTH(LstMachines[[#This Row],[DatePaie]])</f>
        <v>2</v>
      </c>
      <c r="AK40" s="88" t="str">
        <f>FIXED(YEAR(LstMachines[[#This Row],[DatePaie]]),0,TRUE)</f>
        <v>2018</v>
      </c>
      <c r="AL40" s="140"/>
      <c r="AM40" s="414"/>
      <c r="AN40" s="92"/>
      <c r="AO40" s="92"/>
      <c r="AP40" s="92"/>
      <c r="AQ40" s="92"/>
      <c r="AR40" s="92"/>
      <c r="AS40" s="92"/>
      <c r="AT40" s="92"/>
      <c r="AU40" s="92"/>
      <c r="AV40" s="92"/>
      <c r="AW40" s="92"/>
      <c r="AX40" s="92"/>
      <c r="AY40" s="92"/>
      <c r="BA40" s="92"/>
      <c r="BC40" s="92"/>
      <c r="BD40" s="92"/>
      <c r="BE40" s="92"/>
    </row>
    <row r="41" spans="2:57" hidden="1">
      <c r="B41" s="104" t="s">
        <v>262</v>
      </c>
      <c r="C41" s="104" t="s">
        <v>43</v>
      </c>
      <c r="D41" s="87">
        <v>210</v>
      </c>
      <c r="E41" s="86" t="s">
        <v>89</v>
      </c>
      <c r="F41" s="87" t="s">
        <v>67</v>
      </c>
      <c r="G41" s="87" t="s">
        <v>107</v>
      </c>
      <c r="H41" s="89">
        <v>1</v>
      </c>
      <c r="I4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118</v>
      </c>
      <c r="J41" s="88">
        <v>43115</v>
      </c>
      <c r="K41" s="99" t="s">
        <v>463</v>
      </c>
      <c r="L41" s="85" t="s">
        <v>389</v>
      </c>
      <c r="M41" s="99"/>
      <c r="N41" s="90"/>
      <c r="O41" s="255">
        <f>MONTH(LstMachines[[#This Row],[Delivery]])</f>
        <v>1</v>
      </c>
      <c r="P41" s="256" t="str">
        <f>FIXED(YEAR(LstMachines[[#This Row],[Delivery]]),0,TRUE)</f>
        <v>2018</v>
      </c>
      <c r="Q41" s="73"/>
      <c r="R41" s="93"/>
      <c r="S41" s="90"/>
      <c r="T41" s="90"/>
      <c r="U41" s="90"/>
      <c r="V41" s="72"/>
      <c r="W41" s="99"/>
      <c r="X41" s="258">
        <f>LstMachines[[#This Row],[Delivery]]</f>
        <v>43115</v>
      </c>
      <c r="Y41" s="258" t="str">
        <f xml:space="preserve"> IF(MONTH(LstMachines[[#This Row],[DateLivr]])&lt;10,"0","") &amp; MONTH(LstMachines[[#This Row],[DateLivr]]) &amp;"-"&amp;YEAR(LstMachines[[#This Row],[DateLivr]])</f>
        <v>01-2018</v>
      </c>
      <c r="Z41" s="258">
        <f>LstMachines[[#This Row],[Delivery]]+Rglt_à_HCME</f>
        <v>43175</v>
      </c>
      <c r="AA41" s="258" t="str">
        <f xml:space="preserve"> IF(MONTH(LstMachines[[#This Row],[DatePaie]])&lt;10,"0","") &amp; MONTH(LstMachines[[#This Row],[DatePaie]])&amp;"-"&amp;YEAR(LstMachines[[#This Row],[DatePaie]])</f>
        <v>03-2018</v>
      </c>
      <c r="AB41" s="258">
        <f>LstMachines[[#This Row],[DateLivr]]+1</f>
        <v>43116</v>
      </c>
      <c r="AC41" s="258" t="str">
        <f xml:space="preserve"> IF(MONTH(LstMachines[[#This Row],[Distrib]])&lt;10,"0","") &amp; MONTH(LstMachines[[#This Row],[Distrib]]) &amp; "-" &amp; YEAR(LstMachines[[#This Row],[Distrib]])</f>
        <v>01-2018</v>
      </c>
      <c r="AD41" s="258">
        <f>LstMachines[[#This Row],[DateLivr]]+Délai_Vente</f>
        <v>43235</v>
      </c>
      <c r="AE41" s="258" t="str">
        <f xml:space="preserve"> IF(MONTH(LstMachines[[#This Row],[VteESM]])&lt;10,"0","") &amp; MONTH(LstMachines[[#This Row],[VteESM]]) &amp; "-" &amp; YEAR(LstMachines[[#This Row],[VteESM]])</f>
        <v>05-2018</v>
      </c>
      <c r="AF41" s="258">
        <f>LstMachines[[#This Row],[DateLivr]]+Rglt_à_ESMTP</f>
        <v>43175</v>
      </c>
      <c r="AG41" s="258" t="str">
        <f xml:space="preserve"> IF(MONTH(LstMachines[[#This Row],[RgltDistrib]])&lt;10,"0","") &amp; MONTH(LstMachines[[#This Row],[RgltDistrib]]) &amp; "-" &amp; YEAR(LstMachines[[#This Row],[RgltDistrib]])</f>
        <v>03-2018</v>
      </c>
      <c r="AH41" s="258">
        <f>LstMachines[[#This Row],[VteESM]]+Rglt_à_ESMTP</f>
        <v>43295</v>
      </c>
      <c r="AI41" s="258" t="str">
        <f xml:space="preserve"> IF(MONTH(LstMachines[[#This Row],[RgltVteESM]])&lt;10,"0","") &amp; MONTH(LstMachines[[#This Row],[RgltVteESM]]) &amp; "-" &amp; YEAR(LstMachines[[#This Row],[RgltVteESM]])</f>
        <v>07-2018</v>
      </c>
      <c r="AJ41" s="140">
        <f>MONTH(LstMachines[[#This Row],[DatePaie]])</f>
        <v>3</v>
      </c>
      <c r="AK41" s="88" t="str">
        <f>FIXED(YEAR(LstMachines[[#This Row],[DatePaie]]),0,TRUE)</f>
        <v>2018</v>
      </c>
      <c r="AL41" s="140"/>
      <c r="AM41" s="414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BA41" s="92"/>
      <c r="BC41" s="92"/>
      <c r="BD41" s="92"/>
      <c r="BE41" s="92"/>
    </row>
    <row r="42" spans="2:57" hidden="1">
      <c r="B42" s="104" t="s">
        <v>75</v>
      </c>
      <c r="C42" s="104" t="s">
        <v>36</v>
      </c>
      <c r="D42" s="87">
        <v>26</v>
      </c>
      <c r="E42" s="86" t="s">
        <v>355</v>
      </c>
      <c r="F42" s="87" t="s">
        <v>67</v>
      </c>
      <c r="G42" s="87" t="s">
        <v>107</v>
      </c>
      <c r="H42" s="89">
        <v>1</v>
      </c>
      <c r="I4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42" s="88">
        <v>43115</v>
      </c>
      <c r="K42" s="99" t="s">
        <v>463</v>
      </c>
      <c r="L42" s="85" t="s">
        <v>389</v>
      </c>
      <c r="M42" s="99"/>
      <c r="N42" s="90"/>
      <c r="O42" s="255">
        <f>MONTH(LstMachines[[#This Row],[Delivery]])</f>
        <v>1</v>
      </c>
      <c r="P42" s="256" t="str">
        <f>FIXED(YEAR(LstMachines[[#This Row],[Delivery]]),0,TRUE)</f>
        <v>2018</v>
      </c>
      <c r="Q42" s="73"/>
      <c r="R42" s="93"/>
      <c r="S42" s="90"/>
      <c r="T42" s="90"/>
      <c r="U42" s="90"/>
      <c r="V42" s="72"/>
      <c r="W42" s="99"/>
      <c r="X42" s="258">
        <f>LstMachines[[#This Row],[Delivery]]</f>
        <v>43115</v>
      </c>
      <c r="Y42" s="258" t="str">
        <f xml:space="preserve"> IF(MONTH(LstMachines[[#This Row],[DateLivr]])&lt;10,"0","") &amp; MONTH(LstMachines[[#This Row],[DateLivr]]) &amp;"-"&amp;YEAR(LstMachines[[#This Row],[DateLivr]])</f>
        <v>01-2018</v>
      </c>
      <c r="Z42" s="258">
        <f>LstMachines[[#This Row],[Delivery]]+Rglt_à_HCME</f>
        <v>43175</v>
      </c>
      <c r="AA42" s="258" t="str">
        <f xml:space="preserve"> IF(MONTH(LstMachines[[#This Row],[DatePaie]])&lt;10,"0","") &amp; MONTH(LstMachines[[#This Row],[DatePaie]])&amp;"-"&amp;YEAR(LstMachines[[#This Row],[DatePaie]])</f>
        <v>03-2018</v>
      </c>
      <c r="AB42" s="258">
        <f>LstMachines[[#This Row],[DateLivr]]+1</f>
        <v>43116</v>
      </c>
      <c r="AC42" s="258" t="str">
        <f xml:space="preserve"> IF(MONTH(LstMachines[[#This Row],[Distrib]])&lt;10,"0","") &amp; MONTH(LstMachines[[#This Row],[Distrib]]) &amp; "-" &amp; YEAR(LstMachines[[#This Row],[Distrib]])</f>
        <v>01-2018</v>
      </c>
      <c r="AD42" s="258">
        <f>LstMachines[[#This Row],[DateLivr]]+Délai_Vente</f>
        <v>43235</v>
      </c>
      <c r="AE42" s="258" t="str">
        <f xml:space="preserve"> IF(MONTH(LstMachines[[#This Row],[VteESM]])&lt;10,"0","") &amp; MONTH(LstMachines[[#This Row],[VteESM]]) &amp; "-" &amp; YEAR(LstMachines[[#This Row],[VteESM]])</f>
        <v>05-2018</v>
      </c>
      <c r="AF42" s="258">
        <f>LstMachines[[#This Row],[DateLivr]]+Rglt_à_ESMTP</f>
        <v>43175</v>
      </c>
      <c r="AG42" s="258" t="str">
        <f xml:space="preserve"> IF(MONTH(LstMachines[[#This Row],[RgltDistrib]])&lt;10,"0","") &amp; MONTH(LstMachines[[#This Row],[RgltDistrib]]) &amp; "-" &amp; YEAR(LstMachines[[#This Row],[RgltDistrib]])</f>
        <v>03-2018</v>
      </c>
      <c r="AH42" s="258">
        <f>LstMachines[[#This Row],[VteESM]]+Rglt_à_ESMTP</f>
        <v>43295</v>
      </c>
      <c r="AI42" s="258" t="str">
        <f xml:space="preserve"> IF(MONTH(LstMachines[[#This Row],[RgltVteESM]])&lt;10,"0","") &amp; MONTH(LstMachines[[#This Row],[RgltVteESM]]) &amp; "-" &amp; YEAR(LstMachines[[#This Row],[RgltVteESM]])</f>
        <v>07-2018</v>
      </c>
      <c r="AJ42" s="140">
        <f>MONTH(LstMachines[[#This Row],[DatePaie]])</f>
        <v>3</v>
      </c>
      <c r="AK42" s="88" t="str">
        <f>FIXED(YEAR(LstMachines[[#This Row],[DatePaie]]),0,TRUE)</f>
        <v>2018</v>
      </c>
      <c r="AL42" s="140"/>
      <c r="AM42" s="414"/>
      <c r="AN42" s="92"/>
      <c r="AO42" s="92"/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BA42" s="92"/>
      <c r="BC42" s="92"/>
      <c r="BD42" s="92"/>
      <c r="BE42" s="92"/>
    </row>
    <row r="43" spans="2:57" hidden="1">
      <c r="B43" s="104" t="s">
        <v>75</v>
      </c>
      <c r="C43" s="104" t="s">
        <v>36</v>
      </c>
      <c r="D43" s="87">
        <v>26</v>
      </c>
      <c r="E43" s="86" t="s">
        <v>355</v>
      </c>
      <c r="F43" s="87" t="s">
        <v>67</v>
      </c>
      <c r="G43" s="87" t="s">
        <v>107</v>
      </c>
      <c r="H43" s="89">
        <v>1</v>
      </c>
      <c r="I4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43" s="88">
        <v>43115</v>
      </c>
      <c r="K43" s="99" t="s">
        <v>463</v>
      </c>
      <c r="L43" s="85" t="s">
        <v>389</v>
      </c>
      <c r="M43" s="99"/>
      <c r="N43" s="90"/>
      <c r="O43" s="255">
        <f>MONTH(LstMachines[[#This Row],[Delivery]])</f>
        <v>1</v>
      </c>
      <c r="P43" s="256" t="str">
        <f>FIXED(YEAR(LstMachines[[#This Row],[Delivery]]),0,TRUE)</f>
        <v>2018</v>
      </c>
      <c r="Q43" s="73"/>
      <c r="R43" s="93"/>
      <c r="S43" s="90"/>
      <c r="T43" s="90"/>
      <c r="U43" s="90"/>
      <c r="V43" s="72"/>
      <c r="W43" s="99"/>
      <c r="X43" s="258">
        <f>LstMachines[[#This Row],[Delivery]]</f>
        <v>43115</v>
      </c>
      <c r="Y43" s="258" t="str">
        <f xml:space="preserve"> IF(MONTH(LstMachines[[#This Row],[DateLivr]])&lt;10,"0","") &amp; MONTH(LstMachines[[#This Row],[DateLivr]]) &amp;"-"&amp;YEAR(LstMachines[[#This Row],[DateLivr]])</f>
        <v>01-2018</v>
      </c>
      <c r="Z43" s="258">
        <f>LstMachines[[#This Row],[Delivery]]+Rglt_à_HCME</f>
        <v>43175</v>
      </c>
      <c r="AA43" s="258" t="str">
        <f xml:space="preserve"> IF(MONTH(LstMachines[[#This Row],[DatePaie]])&lt;10,"0","") &amp; MONTH(LstMachines[[#This Row],[DatePaie]])&amp;"-"&amp;YEAR(LstMachines[[#This Row],[DatePaie]])</f>
        <v>03-2018</v>
      </c>
      <c r="AB43" s="258">
        <f>LstMachines[[#This Row],[DateLivr]]+1</f>
        <v>43116</v>
      </c>
      <c r="AC43" s="258" t="str">
        <f xml:space="preserve"> IF(MONTH(LstMachines[[#This Row],[Distrib]])&lt;10,"0","") &amp; MONTH(LstMachines[[#This Row],[Distrib]]) &amp; "-" &amp; YEAR(LstMachines[[#This Row],[Distrib]])</f>
        <v>01-2018</v>
      </c>
      <c r="AD43" s="258">
        <f>LstMachines[[#This Row],[DateLivr]]+Délai_Vente</f>
        <v>43235</v>
      </c>
      <c r="AE43" s="258" t="str">
        <f xml:space="preserve"> IF(MONTH(LstMachines[[#This Row],[VteESM]])&lt;10,"0","") &amp; MONTH(LstMachines[[#This Row],[VteESM]]) &amp; "-" &amp; YEAR(LstMachines[[#This Row],[VteESM]])</f>
        <v>05-2018</v>
      </c>
      <c r="AF43" s="258">
        <f>LstMachines[[#This Row],[DateLivr]]+Rglt_à_ESMTP</f>
        <v>43175</v>
      </c>
      <c r="AG43" s="258" t="str">
        <f xml:space="preserve"> IF(MONTH(LstMachines[[#This Row],[RgltDistrib]])&lt;10,"0","") &amp; MONTH(LstMachines[[#This Row],[RgltDistrib]]) &amp; "-" &amp; YEAR(LstMachines[[#This Row],[RgltDistrib]])</f>
        <v>03-2018</v>
      </c>
      <c r="AH43" s="258">
        <f>LstMachines[[#This Row],[VteESM]]+Rglt_à_ESMTP</f>
        <v>43295</v>
      </c>
      <c r="AI43" s="258" t="str">
        <f xml:space="preserve"> IF(MONTH(LstMachines[[#This Row],[RgltVteESM]])&lt;10,"0","") &amp; MONTH(LstMachines[[#This Row],[RgltVteESM]]) &amp; "-" &amp; YEAR(LstMachines[[#This Row],[RgltVteESM]])</f>
        <v>07-2018</v>
      </c>
      <c r="AJ43" s="140">
        <f>MONTH(LstMachines[[#This Row],[DatePaie]])</f>
        <v>3</v>
      </c>
      <c r="AK43" s="88" t="str">
        <f>FIXED(YEAR(LstMachines[[#This Row],[DatePaie]]),0,TRUE)</f>
        <v>2018</v>
      </c>
      <c r="AL43" s="140"/>
      <c r="AM43" s="414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BA43" s="92"/>
      <c r="BC43" s="92"/>
      <c r="BD43" s="92"/>
      <c r="BE43" s="92"/>
    </row>
    <row r="44" spans="2:57" hidden="1">
      <c r="B44" s="104" t="s">
        <v>75</v>
      </c>
      <c r="C44" s="104" t="s">
        <v>36</v>
      </c>
      <c r="D44" s="87">
        <v>26</v>
      </c>
      <c r="E44" s="86" t="s">
        <v>355</v>
      </c>
      <c r="F44" s="87" t="s">
        <v>67</v>
      </c>
      <c r="G44" s="87" t="s">
        <v>107</v>
      </c>
      <c r="H44" s="89">
        <v>1</v>
      </c>
      <c r="I4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44" s="88">
        <v>43115</v>
      </c>
      <c r="K44" s="99" t="s">
        <v>463</v>
      </c>
      <c r="L44" s="85" t="s">
        <v>389</v>
      </c>
      <c r="M44" s="99"/>
      <c r="N44" s="90"/>
      <c r="O44" s="255">
        <f>MONTH(LstMachines[[#This Row],[Delivery]])</f>
        <v>1</v>
      </c>
      <c r="P44" s="256" t="str">
        <f>FIXED(YEAR(LstMachines[[#This Row],[Delivery]]),0,TRUE)</f>
        <v>2018</v>
      </c>
      <c r="Q44" s="73"/>
      <c r="R44" s="93"/>
      <c r="S44" s="90"/>
      <c r="T44" s="90"/>
      <c r="U44" s="90"/>
      <c r="V44" s="72"/>
      <c r="W44" s="99"/>
      <c r="X44" s="258">
        <f>LstMachines[[#This Row],[Delivery]]</f>
        <v>43115</v>
      </c>
      <c r="Y44" s="258" t="str">
        <f xml:space="preserve"> IF(MONTH(LstMachines[[#This Row],[DateLivr]])&lt;10,"0","") &amp; MONTH(LstMachines[[#This Row],[DateLivr]]) &amp;"-"&amp;YEAR(LstMachines[[#This Row],[DateLivr]])</f>
        <v>01-2018</v>
      </c>
      <c r="Z44" s="258">
        <f>LstMachines[[#This Row],[Delivery]]+Rglt_à_HCME</f>
        <v>43175</v>
      </c>
      <c r="AA44" s="258" t="str">
        <f xml:space="preserve"> IF(MONTH(LstMachines[[#This Row],[DatePaie]])&lt;10,"0","") &amp; MONTH(LstMachines[[#This Row],[DatePaie]])&amp;"-"&amp;YEAR(LstMachines[[#This Row],[DatePaie]])</f>
        <v>03-2018</v>
      </c>
      <c r="AB44" s="258">
        <f>LstMachines[[#This Row],[DateLivr]]+1</f>
        <v>43116</v>
      </c>
      <c r="AC44" s="258" t="str">
        <f xml:space="preserve"> IF(MONTH(LstMachines[[#This Row],[Distrib]])&lt;10,"0","") &amp; MONTH(LstMachines[[#This Row],[Distrib]]) &amp; "-" &amp; YEAR(LstMachines[[#This Row],[Distrib]])</f>
        <v>01-2018</v>
      </c>
      <c r="AD44" s="258">
        <f>LstMachines[[#This Row],[DateLivr]]+Délai_Vente</f>
        <v>43235</v>
      </c>
      <c r="AE44" s="258" t="str">
        <f xml:space="preserve"> IF(MONTH(LstMachines[[#This Row],[VteESM]])&lt;10,"0","") &amp; MONTH(LstMachines[[#This Row],[VteESM]]) &amp; "-" &amp; YEAR(LstMachines[[#This Row],[VteESM]])</f>
        <v>05-2018</v>
      </c>
      <c r="AF44" s="258">
        <f>LstMachines[[#This Row],[DateLivr]]+Rglt_à_ESMTP</f>
        <v>43175</v>
      </c>
      <c r="AG44" s="258" t="str">
        <f xml:space="preserve"> IF(MONTH(LstMachines[[#This Row],[RgltDistrib]])&lt;10,"0","") &amp; MONTH(LstMachines[[#This Row],[RgltDistrib]]) &amp; "-" &amp; YEAR(LstMachines[[#This Row],[RgltDistrib]])</f>
        <v>03-2018</v>
      </c>
      <c r="AH44" s="258">
        <f>LstMachines[[#This Row],[VteESM]]+Rglt_à_ESMTP</f>
        <v>43295</v>
      </c>
      <c r="AI44" s="258" t="str">
        <f xml:space="preserve"> IF(MONTH(LstMachines[[#This Row],[RgltVteESM]])&lt;10,"0","") &amp; MONTH(LstMachines[[#This Row],[RgltVteESM]]) &amp; "-" &amp; YEAR(LstMachines[[#This Row],[RgltVteESM]])</f>
        <v>07-2018</v>
      </c>
      <c r="AJ44" s="140">
        <f>MONTH(LstMachines[[#This Row],[DatePaie]])</f>
        <v>3</v>
      </c>
      <c r="AK44" s="88" t="str">
        <f>FIXED(YEAR(LstMachines[[#This Row],[DatePaie]]),0,TRUE)</f>
        <v>2018</v>
      </c>
      <c r="AL44" s="140"/>
      <c r="AM44" s="414"/>
      <c r="AN44" s="92"/>
      <c r="AO44" s="92"/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BA44" s="92"/>
      <c r="BC44" s="92"/>
      <c r="BD44" s="92"/>
      <c r="BE44" s="92"/>
    </row>
    <row r="45" spans="2:57" hidden="1">
      <c r="B45" s="104" t="s">
        <v>75</v>
      </c>
      <c r="C45" s="104" t="s">
        <v>35</v>
      </c>
      <c r="D45" s="87">
        <v>19</v>
      </c>
      <c r="E45" s="86" t="s">
        <v>76</v>
      </c>
      <c r="F45" s="87" t="s">
        <v>67</v>
      </c>
      <c r="G45" s="87" t="s">
        <v>107</v>
      </c>
      <c r="H45" s="89">
        <v>1</v>
      </c>
      <c r="I4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45" s="88">
        <v>43115</v>
      </c>
      <c r="K45" s="99" t="s">
        <v>461</v>
      </c>
      <c r="L45" s="85" t="s">
        <v>389</v>
      </c>
      <c r="M45" s="99"/>
      <c r="N45" s="90"/>
      <c r="O45" s="255">
        <f>MONTH(LstMachines[[#This Row],[Delivery]])</f>
        <v>1</v>
      </c>
      <c r="P45" s="256" t="str">
        <f>FIXED(YEAR(LstMachines[[#This Row],[Delivery]]),0,TRUE)</f>
        <v>2018</v>
      </c>
      <c r="Q45" s="73"/>
      <c r="R45" s="93"/>
      <c r="S45" s="90"/>
      <c r="T45" s="90"/>
      <c r="U45" s="90"/>
      <c r="V45" s="72"/>
      <c r="W45" s="99"/>
      <c r="X45" s="258">
        <f>LstMachines[[#This Row],[Delivery]]</f>
        <v>43115</v>
      </c>
      <c r="Y45" s="258" t="str">
        <f xml:space="preserve"> IF(MONTH(LstMachines[[#This Row],[DateLivr]])&lt;10,"0","") &amp; MONTH(LstMachines[[#This Row],[DateLivr]]) &amp;"-"&amp;YEAR(LstMachines[[#This Row],[DateLivr]])</f>
        <v>01-2018</v>
      </c>
      <c r="Z45" s="258">
        <f>LstMachines[[#This Row],[Delivery]]+Rglt_à_HCME</f>
        <v>43175</v>
      </c>
      <c r="AA45" s="258" t="str">
        <f xml:space="preserve"> IF(MONTH(LstMachines[[#This Row],[DatePaie]])&lt;10,"0","") &amp; MONTH(LstMachines[[#This Row],[DatePaie]])&amp;"-"&amp;YEAR(LstMachines[[#This Row],[DatePaie]])</f>
        <v>03-2018</v>
      </c>
      <c r="AB45" s="258">
        <f>LstMachines[[#This Row],[DateLivr]]+1</f>
        <v>43116</v>
      </c>
      <c r="AC45" s="258" t="str">
        <f xml:space="preserve"> IF(MONTH(LstMachines[[#This Row],[Distrib]])&lt;10,"0","") &amp; MONTH(LstMachines[[#This Row],[Distrib]]) &amp; "-" &amp; YEAR(LstMachines[[#This Row],[Distrib]])</f>
        <v>01-2018</v>
      </c>
      <c r="AD45" s="258">
        <f>LstMachines[[#This Row],[DateLivr]]+Délai_Vente</f>
        <v>43235</v>
      </c>
      <c r="AE45" s="258" t="str">
        <f xml:space="preserve"> IF(MONTH(LstMachines[[#This Row],[VteESM]])&lt;10,"0","") &amp; MONTH(LstMachines[[#This Row],[VteESM]]) &amp; "-" &amp; YEAR(LstMachines[[#This Row],[VteESM]])</f>
        <v>05-2018</v>
      </c>
      <c r="AF45" s="258">
        <f>LstMachines[[#This Row],[DateLivr]]+Rglt_à_ESMTP</f>
        <v>43175</v>
      </c>
      <c r="AG45" s="258" t="str">
        <f xml:space="preserve"> IF(MONTH(LstMachines[[#This Row],[RgltDistrib]])&lt;10,"0","") &amp; MONTH(LstMachines[[#This Row],[RgltDistrib]]) &amp; "-" &amp; YEAR(LstMachines[[#This Row],[RgltDistrib]])</f>
        <v>03-2018</v>
      </c>
      <c r="AH45" s="258">
        <f>LstMachines[[#This Row],[VteESM]]+Rglt_à_ESMTP</f>
        <v>43295</v>
      </c>
      <c r="AI45" s="258" t="str">
        <f xml:space="preserve"> IF(MONTH(LstMachines[[#This Row],[RgltVteESM]])&lt;10,"0","") &amp; MONTH(LstMachines[[#This Row],[RgltVteESM]]) &amp; "-" &amp; YEAR(LstMachines[[#This Row],[RgltVteESM]])</f>
        <v>07-2018</v>
      </c>
      <c r="AJ45" s="140">
        <f>MONTH(LstMachines[[#This Row],[DatePaie]])</f>
        <v>3</v>
      </c>
      <c r="AK45" s="88" t="str">
        <f>FIXED(YEAR(LstMachines[[#This Row],[DatePaie]]),0,TRUE)</f>
        <v>2018</v>
      </c>
      <c r="AL45" s="140"/>
      <c r="AM45" s="414"/>
      <c r="AN45" s="92"/>
      <c r="AO45" s="92"/>
      <c r="AP45" s="92"/>
      <c r="AQ45" s="92"/>
      <c r="AR45" s="92"/>
      <c r="AS45" s="92"/>
      <c r="AT45" s="92"/>
      <c r="AU45" s="92"/>
      <c r="AV45" s="92"/>
      <c r="AW45" s="92"/>
      <c r="AX45" s="92"/>
      <c r="AY45" s="92"/>
      <c r="BA45" s="92"/>
      <c r="BC45" s="92"/>
      <c r="BD45" s="92"/>
      <c r="BE45" s="92"/>
    </row>
    <row r="46" spans="2:57" hidden="1">
      <c r="B46" s="104" t="s">
        <v>259</v>
      </c>
      <c r="C46" s="243" t="s">
        <v>584</v>
      </c>
      <c r="D46" s="245">
        <v>95</v>
      </c>
      <c r="E46" s="243" t="s">
        <v>585</v>
      </c>
      <c r="F46" s="89" t="s">
        <v>580</v>
      </c>
      <c r="G46" s="89" t="s">
        <v>581</v>
      </c>
      <c r="H46" s="246">
        <v>1</v>
      </c>
      <c r="I4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75</v>
      </c>
      <c r="J46" s="88">
        <v>43115</v>
      </c>
      <c r="K46" s="248" t="s">
        <v>463</v>
      </c>
      <c r="L46" s="120" t="s">
        <v>582</v>
      </c>
      <c r="M46" s="248"/>
      <c r="N46" s="249"/>
      <c r="O46" s="270">
        <f>MONTH(LstMachines[[#This Row],[Delivery]])</f>
        <v>1</v>
      </c>
      <c r="P46" s="247" t="str">
        <f>FIXED(YEAR(LstMachines[[#This Row],[Delivery]]),0,TRUE)</f>
        <v>2018</v>
      </c>
      <c r="Q46" s="250"/>
      <c r="R46" s="251"/>
      <c r="S46" s="249"/>
      <c r="T46" s="249"/>
      <c r="U46" s="249"/>
      <c r="V46" s="246"/>
      <c r="W46" s="248" t="s">
        <v>586</v>
      </c>
      <c r="X46" s="249">
        <f>LstMachines[[#This Row],[Delivery]]</f>
        <v>43115</v>
      </c>
      <c r="Y46" s="271" t="str">
        <f xml:space="preserve"> IF(MONTH(LstMachines[[#This Row],[DateLivr]])&lt;10,"0","") &amp; MONTH(LstMachines[[#This Row],[DateLivr]]) &amp;"-"&amp;YEAR(LstMachines[[#This Row],[DateLivr]])</f>
        <v>01-2018</v>
      </c>
      <c r="Z46" s="247">
        <f>LstMachines[[#This Row],[Delivery]]+Rglt_à_HCME</f>
        <v>43175</v>
      </c>
      <c r="AA46" s="271" t="str">
        <f xml:space="preserve"> IF(MONTH(LstMachines[[#This Row],[DatePaie]])&lt;10,"0","") &amp; MONTH(LstMachines[[#This Row],[DatePaie]])&amp;"-"&amp;YEAR(LstMachines[[#This Row],[DatePaie]])</f>
        <v>03-2018</v>
      </c>
      <c r="AB46" s="271">
        <f>LstMachines[[#This Row],[DateLivr]]+1</f>
        <v>43116</v>
      </c>
      <c r="AC46" s="271" t="str">
        <f xml:space="preserve"> IF(MONTH(LstMachines[[#This Row],[Distrib]])&lt;10,"0","") &amp; MONTH(LstMachines[[#This Row],[Distrib]]) &amp; "-" &amp; YEAR(LstMachines[[#This Row],[Distrib]])</f>
        <v>01-2018</v>
      </c>
      <c r="AD46" s="271">
        <f>LstMachines[[#This Row],[DateLivr]]+Délai_Vente</f>
        <v>43235</v>
      </c>
      <c r="AE46" s="271" t="str">
        <f xml:space="preserve"> IF(MONTH(LstMachines[[#This Row],[VteESM]])&lt;10,"0","") &amp; MONTH(LstMachines[[#This Row],[VteESM]]) &amp; "-" &amp; YEAR(LstMachines[[#This Row],[VteESM]])</f>
        <v>05-2018</v>
      </c>
      <c r="AF46" s="271">
        <f>LstMachines[[#This Row],[DateLivr]]+Rglt_à_ESMTP</f>
        <v>43175</v>
      </c>
      <c r="AG46" s="271" t="str">
        <f xml:space="preserve"> IF(MONTH(LstMachines[[#This Row],[RgltDistrib]])&lt;10,"0","") &amp; MONTH(LstMachines[[#This Row],[RgltDistrib]]) &amp; "-" &amp; YEAR(LstMachines[[#This Row],[RgltDistrib]])</f>
        <v>03-2018</v>
      </c>
      <c r="AH46" s="271">
        <f>LstMachines[[#This Row],[VteESM]]+Rglt_à_ESMTP</f>
        <v>43295</v>
      </c>
      <c r="AI46" s="271" t="str">
        <f xml:space="preserve"> IF(MONTH(LstMachines[[#This Row],[RgltVteESM]])&lt;10,"0","") &amp; MONTH(LstMachines[[#This Row],[RgltVteESM]]) &amp; "-" &amp; YEAR(LstMachines[[#This Row],[RgltVteESM]])</f>
        <v>07-2018</v>
      </c>
      <c r="AJ46" s="270">
        <f>MONTH(LstMachines[[#This Row],[DatePaie]])</f>
        <v>3</v>
      </c>
      <c r="AK46" s="247" t="str">
        <f>FIXED(YEAR(LstMachines[[#This Row],[DatePaie]]),0,TRUE)</f>
        <v>2018</v>
      </c>
      <c r="AL46" s="270"/>
      <c r="AM46" s="414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BA46" s="92"/>
      <c r="BC46" s="92"/>
      <c r="BD46" s="92"/>
      <c r="BE46" s="92"/>
    </row>
    <row r="47" spans="2:57" hidden="1">
      <c r="B47" s="104" t="s">
        <v>262</v>
      </c>
      <c r="C47" s="243" t="s">
        <v>39</v>
      </c>
      <c r="D47" s="245">
        <v>85</v>
      </c>
      <c r="E47" s="86" t="s">
        <v>356</v>
      </c>
      <c r="F47" s="89" t="s">
        <v>580</v>
      </c>
      <c r="G47" s="89" t="s">
        <v>581</v>
      </c>
      <c r="H47" s="246">
        <v>1</v>
      </c>
      <c r="I4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47" s="88">
        <v>43115</v>
      </c>
      <c r="K47" s="248" t="s">
        <v>463</v>
      </c>
      <c r="L47" s="120" t="s">
        <v>582</v>
      </c>
      <c r="M47" s="248"/>
      <c r="N47" s="249"/>
      <c r="O47" s="270">
        <f>MONTH(LstMachines[[#This Row],[Delivery]])</f>
        <v>1</v>
      </c>
      <c r="P47" s="247" t="str">
        <f>FIXED(YEAR(LstMachines[[#This Row],[Delivery]]),0,TRUE)</f>
        <v>2018</v>
      </c>
      <c r="Q47" s="250"/>
      <c r="R47" s="251"/>
      <c r="S47" s="249"/>
      <c r="T47" s="249"/>
      <c r="U47" s="249"/>
      <c r="V47" s="246"/>
      <c r="W47" s="248" t="s">
        <v>586</v>
      </c>
      <c r="X47" s="249">
        <f>LstMachines[[#This Row],[Delivery]]</f>
        <v>43115</v>
      </c>
      <c r="Y47" s="271" t="str">
        <f xml:space="preserve"> IF(MONTH(LstMachines[[#This Row],[DateLivr]])&lt;10,"0","") &amp; MONTH(LstMachines[[#This Row],[DateLivr]]) &amp;"-"&amp;YEAR(LstMachines[[#This Row],[DateLivr]])</f>
        <v>01-2018</v>
      </c>
      <c r="Z47" s="247">
        <f>LstMachines[[#This Row],[Delivery]]+Rglt_à_HCME</f>
        <v>43175</v>
      </c>
      <c r="AA47" s="271" t="str">
        <f xml:space="preserve"> IF(MONTH(LstMachines[[#This Row],[DatePaie]])&lt;10,"0","") &amp; MONTH(LstMachines[[#This Row],[DatePaie]])&amp;"-"&amp;YEAR(LstMachines[[#This Row],[DatePaie]])</f>
        <v>03-2018</v>
      </c>
      <c r="AB47" s="271">
        <f>LstMachines[[#This Row],[DateLivr]]+1</f>
        <v>43116</v>
      </c>
      <c r="AC47" s="271" t="str">
        <f xml:space="preserve"> IF(MONTH(LstMachines[[#This Row],[Distrib]])&lt;10,"0","") &amp; MONTH(LstMachines[[#This Row],[Distrib]]) &amp; "-" &amp; YEAR(LstMachines[[#This Row],[Distrib]])</f>
        <v>01-2018</v>
      </c>
      <c r="AD47" s="271">
        <f>LstMachines[[#This Row],[DateLivr]]+Délai_Vente</f>
        <v>43235</v>
      </c>
      <c r="AE47" s="271" t="str">
        <f xml:space="preserve"> IF(MONTH(LstMachines[[#This Row],[VteESM]])&lt;10,"0","") &amp; MONTH(LstMachines[[#This Row],[VteESM]]) &amp; "-" &amp; YEAR(LstMachines[[#This Row],[VteESM]])</f>
        <v>05-2018</v>
      </c>
      <c r="AF47" s="271">
        <f>LstMachines[[#This Row],[DateLivr]]+Rglt_à_ESMTP</f>
        <v>43175</v>
      </c>
      <c r="AG47" s="271" t="str">
        <f xml:space="preserve"> IF(MONTH(LstMachines[[#This Row],[RgltDistrib]])&lt;10,"0","") &amp; MONTH(LstMachines[[#This Row],[RgltDistrib]]) &amp; "-" &amp; YEAR(LstMachines[[#This Row],[RgltDistrib]])</f>
        <v>03-2018</v>
      </c>
      <c r="AH47" s="271">
        <f>LstMachines[[#This Row],[VteESM]]+Rglt_à_ESMTP</f>
        <v>43295</v>
      </c>
      <c r="AI47" s="271" t="str">
        <f xml:space="preserve"> IF(MONTH(LstMachines[[#This Row],[RgltVteESM]])&lt;10,"0","") &amp; MONTH(LstMachines[[#This Row],[RgltVteESM]]) &amp; "-" &amp; YEAR(LstMachines[[#This Row],[RgltVteESM]])</f>
        <v>07-2018</v>
      </c>
      <c r="AJ47" s="270">
        <f>MONTH(LstMachines[[#This Row],[DatePaie]])</f>
        <v>3</v>
      </c>
      <c r="AK47" s="247" t="str">
        <f>FIXED(YEAR(LstMachines[[#This Row],[DatePaie]]),0,TRUE)</f>
        <v>2018</v>
      </c>
      <c r="AL47" s="270"/>
      <c r="AM47" s="414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BA47" s="92"/>
      <c r="BC47" s="92"/>
      <c r="BD47" s="92"/>
      <c r="BE47" s="92"/>
    </row>
    <row r="48" spans="2:57" hidden="1">
      <c r="B48" s="243" t="s">
        <v>75</v>
      </c>
      <c r="C48" s="243" t="s">
        <v>36</v>
      </c>
      <c r="D48" s="245">
        <v>26</v>
      </c>
      <c r="E48" s="243" t="s">
        <v>361</v>
      </c>
      <c r="F48" s="89" t="s">
        <v>580</v>
      </c>
      <c r="G48" s="89" t="s">
        <v>581</v>
      </c>
      <c r="H48" s="246">
        <v>1</v>
      </c>
      <c r="I48" s="246">
        <v>23</v>
      </c>
      <c r="J48" s="88">
        <v>43115</v>
      </c>
      <c r="K48" s="248" t="s">
        <v>463</v>
      </c>
      <c r="L48" s="120" t="s">
        <v>582</v>
      </c>
      <c r="M48" s="248"/>
      <c r="N48" s="249"/>
      <c r="O48" s="270">
        <f>MONTH(LstMachines[[#This Row],[Delivery]])</f>
        <v>1</v>
      </c>
      <c r="P48" s="247" t="str">
        <f>FIXED(YEAR(LstMachines[[#This Row],[Delivery]]),0,TRUE)</f>
        <v>2018</v>
      </c>
      <c r="Q48" s="250"/>
      <c r="R48" s="251"/>
      <c r="S48" s="249"/>
      <c r="T48" s="249"/>
      <c r="U48" s="249"/>
      <c r="V48" s="246"/>
      <c r="W48" s="99" t="s">
        <v>384</v>
      </c>
      <c r="X48" s="249">
        <f>LstMachines[[#This Row],[Delivery]]</f>
        <v>43115</v>
      </c>
      <c r="Y48" s="271" t="str">
        <f xml:space="preserve"> IF(MONTH(LstMachines[[#This Row],[DateLivr]])&lt;10,"0","") &amp; MONTH(LstMachines[[#This Row],[DateLivr]]) &amp;"-"&amp;YEAR(LstMachines[[#This Row],[DateLivr]])</f>
        <v>01-2018</v>
      </c>
      <c r="Z48" s="247">
        <f>LstMachines[[#This Row],[Delivery]]+Rglt_à_HCME</f>
        <v>43175</v>
      </c>
      <c r="AA48" s="271" t="str">
        <f xml:space="preserve"> IF(MONTH(LstMachines[[#This Row],[DatePaie]])&lt;10,"0","") &amp; MONTH(LstMachines[[#This Row],[DatePaie]])&amp;"-"&amp;YEAR(LstMachines[[#This Row],[DatePaie]])</f>
        <v>03-2018</v>
      </c>
      <c r="AB48" s="271">
        <f>LstMachines[[#This Row],[DateLivr]]+1</f>
        <v>43116</v>
      </c>
      <c r="AC48" s="271" t="str">
        <f xml:space="preserve"> IF(MONTH(LstMachines[[#This Row],[Distrib]])&lt;10,"0","") &amp; MONTH(LstMachines[[#This Row],[Distrib]]) &amp; "-" &amp; YEAR(LstMachines[[#This Row],[Distrib]])</f>
        <v>01-2018</v>
      </c>
      <c r="AD48" s="271">
        <f>LstMachines[[#This Row],[DateLivr]]+Délai_Vente</f>
        <v>43235</v>
      </c>
      <c r="AE48" s="271" t="str">
        <f xml:space="preserve"> IF(MONTH(LstMachines[[#This Row],[VteESM]])&lt;10,"0","") &amp; MONTH(LstMachines[[#This Row],[VteESM]]) &amp; "-" &amp; YEAR(LstMachines[[#This Row],[VteESM]])</f>
        <v>05-2018</v>
      </c>
      <c r="AF48" s="271">
        <f>LstMachines[[#This Row],[DateLivr]]+Rglt_à_ESMTP</f>
        <v>43175</v>
      </c>
      <c r="AG48" s="271" t="str">
        <f xml:space="preserve"> IF(MONTH(LstMachines[[#This Row],[RgltDistrib]])&lt;10,"0","") &amp; MONTH(LstMachines[[#This Row],[RgltDistrib]]) &amp; "-" &amp; YEAR(LstMachines[[#This Row],[RgltDistrib]])</f>
        <v>03-2018</v>
      </c>
      <c r="AH48" s="271">
        <f>LstMachines[[#This Row],[VteESM]]+Rglt_à_ESMTP</f>
        <v>43295</v>
      </c>
      <c r="AI48" s="271" t="str">
        <f xml:space="preserve"> IF(MONTH(LstMachines[[#This Row],[RgltVteESM]])&lt;10,"0","") &amp; MONTH(LstMachines[[#This Row],[RgltVteESM]]) &amp; "-" &amp; YEAR(LstMachines[[#This Row],[RgltVteESM]])</f>
        <v>07-2018</v>
      </c>
      <c r="AJ48" s="270">
        <f>MONTH(LstMachines[[#This Row],[DatePaie]])</f>
        <v>3</v>
      </c>
      <c r="AK48" s="247" t="str">
        <f>FIXED(YEAR(LstMachines[[#This Row],[DatePaie]]),0,TRUE)</f>
        <v>2018</v>
      </c>
      <c r="AL48" s="270"/>
      <c r="AM48" s="414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BA48" s="92"/>
      <c r="BC48" s="92"/>
      <c r="BD48" s="92"/>
      <c r="BE48" s="92"/>
    </row>
    <row r="49" spans="2:57" hidden="1">
      <c r="B49" s="104" t="s">
        <v>75</v>
      </c>
      <c r="C49" s="104" t="s">
        <v>36</v>
      </c>
      <c r="D49" s="87">
        <v>26</v>
      </c>
      <c r="E49" s="86" t="s">
        <v>355</v>
      </c>
      <c r="F49" s="71" t="s">
        <v>100</v>
      </c>
      <c r="G49" s="71" t="s">
        <v>31</v>
      </c>
      <c r="H49" s="89">
        <v>1</v>
      </c>
      <c r="I4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49" s="88">
        <v>43115</v>
      </c>
      <c r="K49" s="99" t="s">
        <v>463</v>
      </c>
      <c r="L49" s="120" t="s">
        <v>378</v>
      </c>
      <c r="M49" s="99"/>
      <c r="N49" s="90">
        <v>42914</v>
      </c>
      <c r="O49" s="255">
        <f>MONTH(LstMachines[[#This Row],[Delivery]])</f>
        <v>1</v>
      </c>
      <c r="P49" s="256" t="str">
        <f>FIXED(YEAR(LstMachines[[#This Row],[Delivery]]),0,TRUE)</f>
        <v>2018</v>
      </c>
      <c r="Q49" s="73" t="s">
        <v>312</v>
      </c>
      <c r="R49" s="93">
        <v>20350</v>
      </c>
      <c r="S49" s="95"/>
      <c r="T49" s="71"/>
      <c r="U49" s="90" t="s">
        <v>105</v>
      </c>
      <c r="V49" s="72">
        <v>4146</v>
      </c>
      <c r="W49" s="100" t="s">
        <v>271</v>
      </c>
      <c r="X49" s="258">
        <f>LstMachines[[#This Row],[Delivery]]</f>
        <v>43115</v>
      </c>
      <c r="Y49" s="258" t="str">
        <f xml:space="preserve"> IF(MONTH(LstMachines[[#This Row],[DateLivr]])&lt;10,"0","") &amp; MONTH(LstMachines[[#This Row],[DateLivr]]) &amp;"-"&amp;YEAR(LstMachines[[#This Row],[DateLivr]])</f>
        <v>01-2018</v>
      </c>
      <c r="Z49" s="258">
        <f>LstMachines[[#This Row],[Delivery]]+Rglt_à_HCME</f>
        <v>43175</v>
      </c>
      <c r="AA49" s="258" t="str">
        <f xml:space="preserve"> IF(MONTH(LstMachines[[#This Row],[DatePaie]])&lt;10,"0","") &amp; MONTH(LstMachines[[#This Row],[DatePaie]])&amp;"-"&amp;YEAR(LstMachines[[#This Row],[DatePaie]])</f>
        <v>03-2018</v>
      </c>
      <c r="AB49" s="258">
        <f>LstMachines[[#This Row],[DateLivr]]+1</f>
        <v>43116</v>
      </c>
      <c r="AC49" s="258" t="str">
        <f xml:space="preserve"> IF(MONTH(LstMachines[[#This Row],[Distrib]])&lt;10,"0","") &amp; MONTH(LstMachines[[#This Row],[Distrib]]) &amp; "-" &amp; YEAR(LstMachines[[#This Row],[Distrib]])</f>
        <v>01-2018</v>
      </c>
      <c r="AD49" s="258">
        <f>LstMachines[[#This Row],[DateLivr]]+Délai_Vente</f>
        <v>43235</v>
      </c>
      <c r="AE49" s="258" t="str">
        <f xml:space="preserve"> IF(MONTH(LstMachines[[#This Row],[VteESM]])&lt;10,"0","") &amp; MONTH(LstMachines[[#This Row],[VteESM]]) &amp; "-" &amp; YEAR(LstMachines[[#This Row],[VteESM]])</f>
        <v>05-2018</v>
      </c>
      <c r="AF49" s="258">
        <f>LstMachines[[#This Row],[DateLivr]]+Rglt_à_ESMTP</f>
        <v>43175</v>
      </c>
      <c r="AG49" s="258" t="str">
        <f xml:space="preserve"> IF(MONTH(LstMachines[[#This Row],[RgltDistrib]])&lt;10,"0","") &amp; MONTH(LstMachines[[#This Row],[RgltDistrib]]) &amp; "-" &amp; YEAR(LstMachines[[#This Row],[RgltDistrib]])</f>
        <v>03-2018</v>
      </c>
      <c r="AH49" s="258">
        <f>LstMachines[[#This Row],[VteESM]]+Rglt_à_ESMTP</f>
        <v>43295</v>
      </c>
      <c r="AI49" s="258" t="str">
        <f xml:space="preserve"> IF(MONTH(LstMachines[[#This Row],[RgltVteESM]])&lt;10,"0","") &amp; MONTH(LstMachines[[#This Row],[RgltVteESM]]) &amp; "-" &amp; YEAR(LstMachines[[#This Row],[RgltVteESM]])</f>
        <v>07-2018</v>
      </c>
      <c r="AJ49" s="140">
        <f>MONTH(LstMachines[[#This Row],[DatePaie]])</f>
        <v>3</v>
      </c>
      <c r="AK49" s="88" t="str">
        <f>FIXED(YEAR(LstMachines[[#This Row],[DatePaie]]),0,TRUE)</f>
        <v>2018</v>
      </c>
      <c r="AL49" s="140"/>
      <c r="AM49" s="414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BA49" s="92"/>
      <c r="BC49" s="92"/>
      <c r="BD49" s="92"/>
      <c r="BE49" s="92"/>
    </row>
    <row r="50" spans="2:57" hidden="1">
      <c r="B50" s="104" t="s">
        <v>262</v>
      </c>
      <c r="C50" s="104" t="s">
        <v>39</v>
      </c>
      <c r="D50" s="87">
        <v>85</v>
      </c>
      <c r="E50" s="86" t="s">
        <v>356</v>
      </c>
      <c r="F50" s="87" t="s">
        <v>100</v>
      </c>
      <c r="G50" s="71" t="s">
        <v>31</v>
      </c>
      <c r="H50" s="89">
        <v>1</v>
      </c>
      <c r="I5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50" s="88">
        <v>43115</v>
      </c>
      <c r="K50" s="99" t="s">
        <v>463</v>
      </c>
      <c r="L50" s="120" t="s">
        <v>378</v>
      </c>
      <c r="M50" s="117"/>
      <c r="N50" s="90">
        <v>42979</v>
      </c>
      <c r="O50" s="255">
        <f>MONTH(LstMachines[[#This Row],[Delivery]])</f>
        <v>1</v>
      </c>
      <c r="P50" s="256" t="str">
        <f>FIXED(YEAR(LstMachines[[#This Row],[Delivery]]),0,TRUE)</f>
        <v>2018</v>
      </c>
      <c r="Q50" s="73" t="s">
        <v>347</v>
      </c>
      <c r="R50" s="93">
        <v>59260</v>
      </c>
      <c r="S50" s="90"/>
      <c r="T50" s="90"/>
      <c r="U50" s="90" t="s">
        <v>105</v>
      </c>
      <c r="V50" s="72">
        <v>4222</v>
      </c>
      <c r="W50" s="99" t="s">
        <v>275</v>
      </c>
      <c r="X50" s="258">
        <f>LstMachines[[#This Row],[Delivery]]</f>
        <v>43115</v>
      </c>
      <c r="Y50" s="258" t="str">
        <f xml:space="preserve"> IF(MONTH(LstMachines[[#This Row],[DateLivr]])&lt;10,"0","") &amp; MONTH(LstMachines[[#This Row],[DateLivr]]) &amp;"-"&amp;YEAR(LstMachines[[#This Row],[DateLivr]])</f>
        <v>01-2018</v>
      </c>
      <c r="Z50" s="258">
        <f>LstMachines[[#This Row],[Delivery]]+Rglt_à_HCME</f>
        <v>43175</v>
      </c>
      <c r="AA50" s="258" t="str">
        <f xml:space="preserve"> IF(MONTH(LstMachines[[#This Row],[DatePaie]])&lt;10,"0","") &amp; MONTH(LstMachines[[#This Row],[DatePaie]])&amp;"-"&amp;YEAR(LstMachines[[#This Row],[DatePaie]])</f>
        <v>03-2018</v>
      </c>
      <c r="AB50" s="258">
        <f>LstMachines[[#This Row],[DateLivr]]+1</f>
        <v>43116</v>
      </c>
      <c r="AC50" s="258" t="str">
        <f xml:space="preserve"> IF(MONTH(LstMachines[[#This Row],[Distrib]])&lt;10,"0","") &amp; MONTH(LstMachines[[#This Row],[Distrib]]) &amp; "-" &amp; YEAR(LstMachines[[#This Row],[Distrib]])</f>
        <v>01-2018</v>
      </c>
      <c r="AD50" s="258">
        <f>LstMachines[[#This Row],[DateLivr]]+Délai_Vente</f>
        <v>43235</v>
      </c>
      <c r="AE50" s="258" t="str">
        <f xml:space="preserve"> IF(MONTH(LstMachines[[#This Row],[VteESM]])&lt;10,"0","") &amp; MONTH(LstMachines[[#This Row],[VteESM]]) &amp; "-" &amp; YEAR(LstMachines[[#This Row],[VteESM]])</f>
        <v>05-2018</v>
      </c>
      <c r="AF50" s="258">
        <f>LstMachines[[#This Row],[DateLivr]]+Rglt_à_ESMTP</f>
        <v>43175</v>
      </c>
      <c r="AG50" s="258" t="str">
        <f xml:space="preserve"> IF(MONTH(LstMachines[[#This Row],[RgltDistrib]])&lt;10,"0","") &amp; MONTH(LstMachines[[#This Row],[RgltDistrib]]) &amp; "-" &amp; YEAR(LstMachines[[#This Row],[RgltDistrib]])</f>
        <v>03-2018</v>
      </c>
      <c r="AH50" s="258">
        <f>LstMachines[[#This Row],[VteESM]]+Rglt_à_ESMTP</f>
        <v>43295</v>
      </c>
      <c r="AI50" s="258" t="str">
        <f xml:space="preserve"> IF(MONTH(LstMachines[[#This Row],[RgltVteESM]])&lt;10,"0","") &amp; MONTH(LstMachines[[#This Row],[RgltVteESM]]) &amp; "-" &amp; YEAR(LstMachines[[#This Row],[RgltVteESM]])</f>
        <v>07-2018</v>
      </c>
      <c r="AJ50" s="140">
        <f>MONTH(LstMachines[[#This Row],[DatePaie]])</f>
        <v>3</v>
      </c>
      <c r="AK50" s="88" t="str">
        <f>FIXED(YEAR(LstMachines[[#This Row],[DatePaie]]),0,TRUE)</f>
        <v>2018</v>
      </c>
      <c r="AL50" s="140"/>
      <c r="AM50" s="414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BA50" s="92"/>
      <c r="BC50" s="92"/>
      <c r="BD50" s="92"/>
      <c r="BE50" s="92"/>
    </row>
    <row r="51" spans="2:57" hidden="1">
      <c r="B51" s="104" t="s">
        <v>262</v>
      </c>
      <c r="C51" s="104" t="s">
        <v>40</v>
      </c>
      <c r="D51" s="87">
        <v>135</v>
      </c>
      <c r="E51" s="104" t="s">
        <v>194</v>
      </c>
      <c r="F51" s="71" t="s">
        <v>100</v>
      </c>
      <c r="G51" s="87" t="s">
        <v>592</v>
      </c>
      <c r="H51" s="89">
        <v>1</v>
      </c>
      <c r="I5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51" s="88">
        <v>43115</v>
      </c>
      <c r="K51" s="99" t="s">
        <v>463</v>
      </c>
      <c r="L51" s="120" t="s">
        <v>378</v>
      </c>
      <c r="M51" s="99"/>
      <c r="N51" s="90">
        <v>42975</v>
      </c>
      <c r="O51" s="255">
        <f>MONTH(LstMachines[[#This Row],[Delivery]])</f>
        <v>1</v>
      </c>
      <c r="P51" s="256" t="str">
        <f>FIXED(YEAR(LstMachines[[#This Row],[Delivery]]),0,TRUE)</f>
        <v>2018</v>
      </c>
      <c r="Q51" s="73" t="s">
        <v>327</v>
      </c>
      <c r="R51" s="93">
        <v>104000</v>
      </c>
      <c r="S51" s="95"/>
      <c r="T51" s="71"/>
      <c r="U51" s="90" t="s">
        <v>104</v>
      </c>
      <c r="V51" s="72">
        <v>4185</v>
      </c>
      <c r="W51" s="100" t="s">
        <v>597</v>
      </c>
      <c r="X51" s="258">
        <f>LstMachines[[#This Row],[Delivery]]</f>
        <v>43115</v>
      </c>
      <c r="Y51" s="258" t="str">
        <f xml:space="preserve"> IF(MONTH(LstMachines[[#This Row],[DateLivr]])&lt;10,"0","") &amp; MONTH(LstMachines[[#This Row],[DateLivr]]) &amp;"-"&amp;YEAR(LstMachines[[#This Row],[DateLivr]])</f>
        <v>01-2018</v>
      </c>
      <c r="Z51" s="258">
        <f>LstMachines[[#This Row],[Delivery]]+Rglt_à_HCME</f>
        <v>43175</v>
      </c>
      <c r="AA51" s="258" t="str">
        <f xml:space="preserve"> IF(MONTH(LstMachines[[#This Row],[DatePaie]])&lt;10,"0","") &amp; MONTH(LstMachines[[#This Row],[DatePaie]])&amp;"-"&amp;YEAR(LstMachines[[#This Row],[DatePaie]])</f>
        <v>03-2018</v>
      </c>
      <c r="AB51" s="258">
        <f>LstMachines[[#This Row],[DateLivr]]+1</f>
        <v>43116</v>
      </c>
      <c r="AC51" s="258" t="str">
        <f xml:space="preserve"> IF(MONTH(LstMachines[[#This Row],[Distrib]])&lt;10,"0","") &amp; MONTH(LstMachines[[#This Row],[Distrib]]) &amp; "-" &amp; YEAR(LstMachines[[#This Row],[Distrib]])</f>
        <v>01-2018</v>
      </c>
      <c r="AD51" s="258">
        <f>LstMachines[[#This Row],[DateLivr]]+Délai_Vente</f>
        <v>43235</v>
      </c>
      <c r="AE51" s="258" t="str">
        <f xml:space="preserve"> IF(MONTH(LstMachines[[#This Row],[VteESM]])&lt;10,"0","") &amp; MONTH(LstMachines[[#This Row],[VteESM]]) &amp; "-" &amp; YEAR(LstMachines[[#This Row],[VteESM]])</f>
        <v>05-2018</v>
      </c>
      <c r="AF51" s="258">
        <f>LstMachines[[#This Row],[DateLivr]]+Rglt_à_ESMTP</f>
        <v>43175</v>
      </c>
      <c r="AG51" s="258" t="str">
        <f xml:space="preserve"> IF(MONTH(LstMachines[[#This Row],[RgltDistrib]])&lt;10,"0","") &amp; MONTH(LstMachines[[#This Row],[RgltDistrib]]) &amp; "-" &amp; YEAR(LstMachines[[#This Row],[RgltDistrib]])</f>
        <v>03-2018</v>
      </c>
      <c r="AH51" s="258">
        <f>LstMachines[[#This Row],[VteESM]]+Rglt_à_ESMTP</f>
        <v>43295</v>
      </c>
      <c r="AI51" s="258" t="str">
        <f xml:space="preserve"> IF(MONTH(LstMachines[[#This Row],[RgltVteESM]])&lt;10,"0","") &amp; MONTH(LstMachines[[#This Row],[RgltVteESM]]) &amp; "-" &amp; YEAR(LstMachines[[#This Row],[RgltVteESM]])</f>
        <v>07-2018</v>
      </c>
      <c r="AJ51" s="140">
        <f>MONTH(LstMachines[[#This Row],[DatePaie]])</f>
        <v>3</v>
      </c>
      <c r="AK51" s="88" t="str">
        <f>FIXED(YEAR(LstMachines[[#This Row],[DatePaie]]),0,TRUE)</f>
        <v>2018</v>
      </c>
      <c r="AL51" s="140"/>
      <c r="AM51" s="414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BA51" s="92"/>
      <c r="BC51" s="92"/>
      <c r="BD51" s="92"/>
      <c r="BE51" s="92"/>
    </row>
    <row r="52" spans="2:57" hidden="1">
      <c r="B52" s="243" t="s">
        <v>262</v>
      </c>
      <c r="C52" s="243" t="s">
        <v>43</v>
      </c>
      <c r="D52" s="245">
        <v>210</v>
      </c>
      <c r="E52" s="243" t="s">
        <v>89</v>
      </c>
      <c r="F52" s="89" t="s">
        <v>66</v>
      </c>
      <c r="G52" s="87" t="s">
        <v>106</v>
      </c>
      <c r="H52" s="246">
        <v>1</v>
      </c>
      <c r="I5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118</v>
      </c>
      <c r="J52" s="247">
        <v>43115</v>
      </c>
      <c r="K52" s="248" t="s">
        <v>465</v>
      </c>
      <c r="L52" s="398" t="s">
        <v>596</v>
      </c>
      <c r="M52" s="248"/>
      <c r="N52" s="90"/>
      <c r="O52" s="255">
        <f>MONTH(LstMachines[[#This Row],[Delivery]])</f>
        <v>1</v>
      </c>
      <c r="P52" s="256" t="str">
        <f>FIXED(YEAR(LstMachines[[#This Row],[Delivery]]),0,TRUE)</f>
        <v>2018</v>
      </c>
      <c r="Q52" s="73"/>
      <c r="R52" s="93"/>
      <c r="S52" s="90"/>
      <c r="T52" s="90"/>
      <c r="U52" s="90"/>
      <c r="V52" s="72"/>
      <c r="W52" s="99"/>
      <c r="X52" s="258">
        <f>LstMachines[[#This Row],[Delivery]]</f>
        <v>43115</v>
      </c>
      <c r="Y52" s="258" t="str">
        <f xml:space="preserve"> IF(MONTH(LstMachines[[#This Row],[DateLivr]])&lt;10,"0","") &amp; MONTH(LstMachines[[#This Row],[DateLivr]]) &amp;"-"&amp;YEAR(LstMachines[[#This Row],[DateLivr]])</f>
        <v>01-2018</v>
      </c>
      <c r="Z52" s="258">
        <f>LstMachines[[#This Row],[Delivery]]+Rglt_à_HCME</f>
        <v>43175</v>
      </c>
      <c r="AA52" s="258" t="str">
        <f xml:space="preserve"> IF(MONTH(LstMachines[[#This Row],[DatePaie]])&lt;10,"0","") &amp; MONTH(LstMachines[[#This Row],[DatePaie]])&amp;"-"&amp;YEAR(LstMachines[[#This Row],[DatePaie]])</f>
        <v>03-2018</v>
      </c>
      <c r="AB52" s="258">
        <f>LstMachines[[#This Row],[DateLivr]]+1</f>
        <v>43116</v>
      </c>
      <c r="AC52" s="258" t="str">
        <f xml:space="preserve"> IF(MONTH(LstMachines[[#This Row],[Distrib]])&lt;10,"0","") &amp; MONTH(LstMachines[[#This Row],[Distrib]]) &amp; "-" &amp; YEAR(LstMachines[[#This Row],[Distrib]])</f>
        <v>01-2018</v>
      </c>
      <c r="AD52" s="258">
        <f>LstMachines[[#This Row],[DateLivr]]+Délai_Vente</f>
        <v>43235</v>
      </c>
      <c r="AE52" s="258" t="str">
        <f xml:space="preserve"> IF(MONTH(LstMachines[[#This Row],[VteESM]])&lt;10,"0","") &amp; MONTH(LstMachines[[#This Row],[VteESM]]) &amp; "-" &amp; YEAR(LstMachines[[#This Row],[VteESM]])</f>
        <v>05-2018</v>
      </c>
      <c r="AF52" s="258">
        <f>LstMachines[[#This Row],[DateLivr]]+Rglt_à_ESMTP</f>
        <v>43175</v>
      </c>
      <c r="AG52" s="258" t="str">
        <f xml:space="preserve"> IF(MONTH(LstMachines[[#This Row],[RgltDistrib]])&lt;10,"0","") &amp; MONTH(LstMachines[[#This Row],[RgltDistrib]]) &amp; "-" &amp; YEAR(LstMachines[[#This Row],[RgltDistrib]])</f>
        <v>03-2018</v>
      </c>
      <c r="AH52" s="258">
        <f>LstMachines[[#This Row],[VteESM]]+Rglt_à_ESMTP</f>
        <v>43295</v>
      </c>
      <c r="AI52" s="258" t="str">
        <f xml:space="preserve"> IF(MONTH(LstMachines[[#This Row],[RgltVteESM]])&lt;10,"0","") &amp; MONTH(LstMachines[[#This Row],[RgltVteESM]]) &amp; "-" &amp; YEAR(LstMachines[[#This Row],[RgltVteESM]])</f>
        <v>07-2018</v>
      </c>
      <c r="AJ52" s="140">
        <f>MONTH(LstMachines[[#This Row],[DatePaie]])</f>
        <v>3</v>
      </c>
      <c r="AK52" s="88" t="str">
        <f>FIXED(YEAR(LstMachines[[#This Row],[DatePaie]]),0,TRUE)</f>
        <v>2018</v>
      </c>
      <c r="AL52" s="140"/>
      <c r="AM52" s="414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BA52" s="92"/>
      <c r="BC52" s="92"/>
      <c r="BD52" s="92"/>
      <c r="BE52" s="92"/>
    </row>
    <row r="53" spans="2:57" hidden="1">
      <c r="B53" s="243" t="s">
        <v>75</v>
      </c>
      <c r="C53" s="243" t="s">
        <v>69</v>
      </c>
      <c r="D53" s="245">
        <v>55</v>
      </c>
      <c r="E53" s="243" t="s">
        <v>426</v>
      </c>
      <c r="F53" s="89" t="s">
        <v>66</v>
      </c>
      <c r="G53" s="89" t="s">
        <v>106</v>
      </c>
      <c r="H53" s="246">
        <v>2</v>
      </c>
      <c r="I5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86</v>
      </c>
      <c r="J53" s="247">
        <v>43115</v>
      </c>
      <c r="K53" s="248" t="s">
        <v>465</v>
      </c>
      <c r="L53" s="398" t="s">
        <v>589</v>
      </c>
      <c r="M53" s="248"/>
      <c r="N53" s="249"/>
      <c r="O53" s="255">
        <f>MONTH(LstMachines[[#This Row],[Delivery]])</f>
        <v>1</v>
      </c>
      <c r="P53" s="256" t="str">
        <f>FIXED(YEAR(LstMachines[[#This Row],[Delivery]]),0,TRUE)</f>
        <v>2018</v>
      </c>
      <c r="Q53" s="250"/>
      <c r="R53" s="251"/>
      <c r="S53" s="249"/>
      <c r="T53" s="249"/>
      <c r="U53" s="249" t="s">
        <v>105</v>
      </c>
      <c r="V53" s="246"/>
      <c r="W53" s="248" t="s">
        <v>384</v>
      </c>
      <c r="X53" s="258">
        <f>LstMachines[[#This Row],[Delivery]]</f>
        <v>43115</v>
      </c>
      <c r="Y53" s="258" t="str">
        <f xml:space="preserve"> IF(MONTH(LstMachines[[#This Row],[DateLivr]])&lt;10,"0","") &amp; MONTH(LstMachines[[#This Row],[DateLivr]]) &amp;"-"&amp;YEAR(LstMachines[[#This Row],[DateLivr]])</f>
        <v>01-2018</v>
      </c>
      <c r="Z53" s="258">
        <f>LstMachines[[#This Row],[Delivery]]+Rglt_à_HCME</f>
        <v>43175</v>
      </c>
      <c r="AA53" s="258" t="str">
        <f xml:space="preserve"> IF(MONTH(LstMachines[[#This Row],[DatePaie]])&lt;10,"0","") &amp; MONTH(LstMachines[[#This Row],[DatePaie]])&amp;"-"&amp;YEAR(LstMachines[[#This Row],[DatePaie]])</f>
        <v>03-2018</v>
      </c>
      <c r="AB53" s="258">
        <f>LstMachines[[#This Row],[DateLivr]]+1</f>
        <v>43116</v>
      </c>
      <c r="AC53" s="258" t="str">
        <f xml:space="preserve"> IF(MONTH(LstMachines[[#This Row],[Distrib]])&lt;10,"0","") &amp; MONTH(LstMachines[[#This Row],[Distrib]]) &amp; "-" &amp; YEAR(LstMachines[[#This Row],[Distrib]])</f>
        <v>01-2018</v>
      </c>
      <c r="AD53" s="258">
        <f>LstMachines[[#This Row],[DateLivr]]+Délai_Vente</f>
        <v>43235</v>
      </c>
      <c r="AE53" s="258" t="str">
        <f xml:space="preserve"> IF(MONTH(LstMachines[[#This Row],[VteESM]])&lt;10,"0","") &amp; MONTH(LstMachines[[#This Row],[VteESM]]) &amp; "-" &amp; YEAR(LstMachines[[#This Row],[VteESM]])</f>
        <v>05-2018</v>
      </c>
      <c r="AF53" s="258">
        <f>LstMachines[[#This Row],[DateLivr]]+Rglt_à_ESMTP</f>
        <v>43175</v>
      </c>
      <c r="AG53" s="258" t="str">
        <f xml:space="preserve"> IF(MONTH(LstMachines[[#This Row],[RgltDistrib]])&lt;10,"0","") &amp; MONTH(LstMachines[[#This Row],[RgltDistrib]]) &amp; "-" &amp; YEAR(LstMachines[[#This Row],[RgltDistrib]])</f>
        <v>03-2018</v>
      </c>
      <c r="AH53" s="258">
        <f>LstMachines[[#This Row],[VteESM]]+Rglt_à_ESMTP</f>
        <v>43295</v>
      </c>
      <c r="AI53" s="258" t="str">
        <f xml:space="preserve"> IF(MONTH(LstMachines[[#This Row],[RgltVteESM]])&lt;10,"0","") &amp; MONTH(LstMachines[[#This Row],[RgltVteESM]]) &amp; "-" &amp; YEAR(LstMachines[[#This Row],[RgltVteESM]])</f>
        <v>07-2018</v>
      </c>
      <c r="AJ53" s="140">
        <f>MONTH(LstMachines[[#This Row],[DatePaie]])</f>
        <v>3</v>
      </c>
      <c r="AK53" s="88" t="str">
        <f>FIXED(YEAR(LstMachines[[#This Row],[DatePaie]]),0,TRUE)</f>
        <v>2018</v>
      </c>
      <c r="AL53" s="270"/>
      <c r="AM53" s="414"/>
      <c r="AN53" s="92"/>
      <c r="AO53" s="92"/>
      <c r="AP53" s="92"/>
      <c r="AQ53" s="92"/>
      <c r="AR53" s="92"/>
      <c r="AS53" s="92"/>
      <c r="AT53" s="92"/>
      <c r="AU53" s="92"/>
      <c r="AV53" s="92"/>
      <c r="AW53" s="92"/>
      <c r="AX53" s="92"/>
      <c r="AY53" s="92"/>
      <c r="BA53" s="92"/>
      <c r="BC53" s="92"/>
      <c r="BD53" s="92"/>
      <c r="BE53" s="92"/>
    </row>
    <row r="54" spans="2:57" hidden="1">
      <c r="B54" s="243" t="s">
        <v>75</v>
      </c>
      <c r="C54" s="243" t="s">
        <v>37</v>
      </c>
      <c r="D54" s="245">
        <v>48</v>
      </c>
      <c r="E54" s="243" t="s">
        <v>363</v>
      </c>
      <c r="F54" s="89" t="s">
        <v>66</v>
      </c>
      <c r="G54" s="89" t="s">
        <v>106</v>
      </c>
      <c r="H54" s="246">
        <v>1</v>
      </c>
      <c r="I5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41</v>
      </c>
      <c r="J54" s="247">
        <v>43115</v>
      </c>
      <c r="K54" s="248" t="s">
        <v>465</v>
      </c>
      <c r="L54" s="398" t="s">
        <v>589</v>
      </c>
      <c r="M54" s="248"/>
      <c r="N54" s="249"/>
      <c r="O54" s="255">
        <f>MONTH(LstMachines[[#This Row],[Delivery]])</f>
        <v>1</v>
      </c>
      <c r="P54" s="256" t="str">
        <f>FIXED(YEAR(LstMachines[[#This Row],[Delivery]]),0,TRUE)</f>
        <v>2018</v>
      </c>
      <c r="Q54" s="250"/>
      <c r="R54" s="251"/>
      <c r="S54" s="249"/>
      <c r="T54" s="249"/>
      <c r="U54" s="249"/>
      <c r="V54" s="246"/>
      <c r="W54" s="248"/>
      <c r="X54" s="258">
        <f>LstMachines[[#This Row],[Delivery]]</f>
        <v>43115</v>
      </c>
      <c r="Y54" s="258" t="str">
        <f xml:space="preserve"> IF(MONTH(LstMachines[[#This Row],[DateLivr]])&lt;10,"0","") &amp; MONTH(LstMachines[[#This Row],[DateLivr]]) &amp;"-"&amp;YEAR(LstMachines[[#This Row],[DateLivr]])</f>
        <v>01-2018</v>
      </c>
      <c r="Z54" s="258">
        <f>LstMachines[[#This Row],[Delivery]]+Rglt_à_HCME</f>
        <v>43175</v>
      </c>
      <c r="AA54" s="258" t="str">
        <f xml:space="preserve"> IF(MONTH(LstMachines[[#This Row],[DatePaie]])&lt;10,"0","") &amp; MONTH(LstMachines[[#This Row],[DatePaie]])&amp;"-"&amp;YEAR(LstMachines[[#This Row],[DatePaie]])</f>
        <v>03-2018</v>
      </c>
      <c r="AB54" s="258">
        <f>LstMachines[[#This Row],[DateLivr]]+1</f>
        <v>43116</v>
      </c>
      <c r="AC54" s="258" t="str">
        <f xml:space="preserve"> IF(MONTH(LstMachines[[#This Row],[Distrib]])&lt;10,"0","") &amp; MONTH(LstMachines[[#This Row],[Distrib]]) &amp; "-" &amp; YEAR(LstMachines[[#This Row],[Distrib]])</f>
        <v>01-2018</v>
      </c>
      <c r="AD54" s="258">
        <f>LstMachines[[#This Row],[DateLivr]]+Délai_Vente</f>
        <v>43235</v>
      </c>
      <c r="AE54" s="258" t="str">
        <f xml:space="preserve"> IF(MONTH(LstMachines[[#This Row],[VteESM]])&lt;10,"0","") &amp; MONTH(LstMachines[[#This Row],[VteESM]]) &amp; "-" &amp; YEAR(LstMachines[[#This Row],[VteESM]])</f>
        <v>05-2018</v>
      </c>
      <c r="AF54" s="258">
        <f>LstMachines[[#This Row],[DateLivr]]+Rglt_à_ESMTP</f>
        <v>43175</v>
      </c>
      <c r="AG54" s="258" t="str">
        <f xml:space="preserve"> IF(MONTH(LstMachines[[#This Row],[RgltDistrib]])&lt;10,"0","") &amp; MONTH(LstMachines[[#This Row],[RgltDistrib]]) &amp; "-" &amp; YEAR(LstMachines[[#This Row],[RgltDistrib]])</f>
        <v>03-2018</v>
      </c>
      <c r="AH54" s="258">
        <f>LstMachines[[#This Row],[VteESM]]+Rglt_à_ESMTP</f>
        <v>43295</v>
      </c>
      <c r="AI54" s="258" t="str">
        <f xml:space="preserve"> IF(MONTH(LstMachines[[#This Row],[RgltVteESM]])&lt;10,"0","") &amp; MONTH(LstMachines[[#This Row],[RgltVteESM]]) &amp; "-" &amp; YEAR(LstMachines[[#This Row],[RgltVteESM]])</f>
        <v>07-2018</v>
      </c>
      <c r="AJ54" s="140">
        <f>MONTH(LstMachines[[#This Row],[DatePaie]])</f>
        <v>3</v>
      </c>
      <c r="AK54" s="88" t="str">
        <f>FIXED(YEAR(LstMachines[[#This Row],[DatePaie]]),0,TRUE)</f>
        <v>2018</v>
      </c>
      <c r="AL54" s="270"/>
      <c r="AM54" s="414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BA54" s="92"/>
      <c r="BC54" s="92"/>
      <c r="BD54" s="92"/>
      <c r="BE54" s="92"/>
    </row>
    <row r="55" spans="2:57" hidden="1">
      <c r="B55" s="243" t="s">
        <v>75</v>
      </c>
      <c r="C55" s="243" t="s">
        <v>37</v>
      </c>
      <c r="D55" s="245">
        <v>48</v>
      </c>
      <c r="E55" s="243" t="s">
        <v>363</v>
      </c>
      <c r="F55" s="89" t="s">
        <v>66</v>
      </c>
      <c r="G55" s="89" t="s">
        <v>106</v>
      </c>
      <c r="H55" s="246">
        <v>1</v>
      </c>
      <c r="I5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41</v>
      </c>
      <c r="J55" s="247">
        <v>43115</v>
      </c>
      <c r="K55" s="248" t="s">
        <v>465</v>
      </c>
      <c r="L55" s="398" t="s">
        <v>589</v>
      </c>
      <c r="M55" s="248"/>
      <c r="N55" s="249"/>
      <c r="O55" s="255">
        <f>MONTH(LstMachines[[#This Row],[Delivery]])</f>
        <v>1</v>
      </c>
      <c r="P55" s="256" t="str">
        <f>FIXED(YEAR(LstMachines[[#This Row],[Delivery]]),0,TRUE)</f>
        <v>2018</v>
      </c>
      <c r="Q55" s="250"/>
      <c r="R55" s="251"/>
      <c r="S55" s="249"/>
      <c r="T55" s="249"/>
      <c r="U55" s="249"/>
      <c r="V55" s="246"/>
      <c r="W55" s="248"/>
      <c r="X55" s="258">
        <f>LstMachines[[#This Row],[Delivery]]</f>
        <v>43115</v>
      </c>
      <c r="Y55" s="258" t="str">
        <f xml:space="preserve"> IF(MONTH(LstMachines[[#This Row],[DateLivr]])&lt;10,"0","") &amp; MONTH(LstMachines[[#This Row],[DateLivr]]) &amp;"-"&amp;YEAR(LstMachines[[#This Row],[DateLivr]])</f>
        <v>01-2018</v>
      </c>
      <c r="Z55" s="258">
        <f>LstMachines[[#This Row],[Delivery]]+Rglt_à_HCME</f>
        <v>43175</v>
      </c>
      <c r="AA55" s="258" t="str">
        <f xml:space="preserve"> IF(MONTH(LstMachines[[#This Row],[DatePaie]])&lt;10,"0","") &amp; MONTH(LstMachines[[#This Row],[DatePaie]])&amp;"-"&amp;YEAR(LstMachines[[#This Row],[DatePaie]])</f>
        <v>03-2018</v>
      </c>
      <c r="AB55" s="258">
        <f>LstMachines[[#This Row],[DateLivr]]+1</f>
        <v>43116</v>
      </c>
      <c r="AC55" s="258" t="str">
        <f xml:space="preserve"> IF(MONTH(LstMachines[[#This Row],[Distrib]])&lt;10,"0","") &amp; MONTH(LstMachines[[#This Row],[Distrib]]) &amp; "-" &amp; YEAR(LstMachines[[#This Row],[Distrib]])</f>
        <v>01-2018</v>
      </c>
      <c r="AD55" s="258">
        <f>LstMachines[[#This Row],[DateLivr]]+Délai_Vente</f>
        <v>43235</v>
      </c>
      <c r="AE55" s="258" t="str">
        <f xml:space="preserve"> IF(MONTH(LstMachines[[#This Row],[VteESM]])&lt;10,"0","") &amp; MONTH(LstMachines[[#This Row],[VteESM]]) &amp; "-" &amp; YEAR(LstMachines[[#This Row],[VteESM]])</f>
        <v>05-2018</v>
      </c>
      <c r="AF55" s="258">
        <f>LstMachines[[#This Row],[DateLivr]]+Rglt_à_ESMTP</f>
        <v>43175</v>
      </c>
      <c r="AG55" s="258" t="str">
        <f xml:space="preserve"> IF(MONTH(LstMachines[[#This Row],[RgltDistrib]])&lt;10,"0","") &amp; MONTH(LstMachines[[#This Row],[RgltDistrib]]) &amp; "-" &amp; YEAR(LstMachines[[#This Row],[RgltDistrib]])</f>
        <v>03-2018</v>
      </c>
      <c r="AH55" s="258">
        <f>LstMachines[[#This Row],[VteESM]]+Rglt_à_ESMTP</f>
        <v>43295</v>
      </c>
      <c r="AI55" s="258" t="str">
        <f xml:space="preserve"> IF(MONTH(LstMachines[[#This Row],[RgltVteESM]])&lt;10,"0","") &amp; MONTH(LstMachines[[#This Row],[RgltVteESM]]) &amp; "-" &amp; YEAR(LstMachines[[#This Row],[RgltVteESM]])</f>
        <v>07-2018</v>
      </c>
      <c r="AJ55" s="140">
        <f>MONTH(LstMachines[[#This Row],[DatePaie]])</f>
        <v>3</v>
      </c>
      <c r="AK55" s="88" t="str">
        <f>FIXED(YEAR(LstMachines[[#This Row],[DatePaie]]),0,TRUE)</f>
        <v>2018</v>
      </c>
      <c r="AL55" s="270"/>
      <c r="AM55" s="414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BA55" s="92"/>
      <c r="BC55" s="92"/>
      <c r="BD55" s="92"/>
      <c r="BE55" s="92"/>
    </row>
    <row r="56" spans="2:57" hidden="1">
      <c r="B56" s="104" t="s">
        <v>75</v>
      </c>
      <c r="C56" s="104" t="s">
        <v>36</v>
      </c>
      <c r="D56" s="87">
        <v>26</v>
      </c>
      <c r="E56" s="86" t="s">
        <v>355</v>
      </c>
      <c r="F56" s="87" t="s">
        <v>67</v>
      </c>
      <c r="G56" s="87" t="s">
        <v>107</v>
      </c>
      <c r="H56" s="89">
        <v>1</v>
      </c>
      <c r="I5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56" s="88">
        <v>43146</v>
      </c>
      <c r="K56" s="99" t="s">
        <v>461</v>
      </c>
      <c r="L56" s="85" t="s">
        <v>389</v>
      </c>
      <c r="M56" s="99"/>
      <c r="N56" s="90"/>
      <c r="O56" s="255">
        <f>MONTH(LstMachines[[#This Row],[Delivery]])</f>
        <v>2</v>
      </c>
      <c r="P56" s="256" t="str">
        <f>FIXED(YEAR(LstMachines[[#This Row],[Delivery]]),0,TRUE)</f>
        <v>2018</v>
      </c>
      <c r="Q56" s="73"/>
      <c r="R56" s="93"/>
      <c r="S56" s="90"/>
      <c r="T56" s="90"/>
      <c r="U56" s="90"/>
      <c r="V56" s="72"/>
      <c r="W56" s="99"/>
      <c r="X56" s="258">
        <f>LstMachines[[#This Row],[Delivery]]</f>
        <v>43146</v>
      </c>
      <c r="Y56" s="258" t="str">
        <f xml:space="preserve"> IF(MONTH(LstMachines[[#This Row],[DateLivr]])&lt;10,"0","") &amp; MONTH(LstMachines[[#This Row],[DateLivr]]) &amp;"-"&amp;YEAR(LstMachines[[#This Row],[DateLivr]])</f>
        <v>02-2018</v>
      </c>
      <c r="Z56" s="258">
        <f>LstMachines[[#This Row],[Delivery]]+Rglt_à_HCME</f>
        <v>43206</v>
      </c>
      <c r="AA56" s="258" t="str">
        <f xml:space="preserve"> IF(MONTH(LstMachines[[#This Row],[DatePaie]])&lt;10,"0","") &amp; MONTH(LstMachines[[#This Row],[DatePaie]])&amp;"-"&amp;YEAR(LstMachines[[#This Row],[DatePaie]])</f>
        <v>04-2018</v>
      </c>
      <c r="AB56" s="258">
        <f>LstMachines[[#This Row],[DateLivr]]+1</f>
        <v>43147</v>
      </c>
      <c r="AC56" s="258" t="str">
        <f xml:space="preserve"> IF(MONTH(LstMachines[[#This Row],[Distrib]])&lt;10,"0","") &amp; MONTH(LstMachines[[#This Row],[Distrib]]) &amp; "-" &amp; YEAR(LstMachines[[#This Row],[Distrib]])</f>
        <v>02-2018</v>
      </c>
      <c r="AD56" s="258">
        <f>LstMachines[[#This Row],[DateLivr]]+Délai_Vente</f>
        <v>43266</v>
      </c>
      <c r="AE56" s="258" t="str">
        <f xml:space="preserve"> IF(MONTH(LstMachines[[#This Row],[VteESM]])&lt;10,"0","") &amp; MONTH(LstMachines[[#This Row],[VteESM]]) &amp; "-" &amp; YEAR(LstMachines[[#This Row],[VteESM]])</f>
        <v>06-2018</v>
      </c>
      <c r="AF56" s="258">
        <f>LstMachines[[#This Row],[DateLivr]]+Rglt_à_ESMTP</f>
        <v>43206</v>
      </c>
      <c r="AG56" s="258" t="str">
        <f xml:space="preserve"> IF(MONTH(LstMachines[[#This Row],[RgltDistrib]])&lt;10,"0","") &amp; MONTH(LstMachines[[#This Row],[RgltDistrib]]) &amp; "-" &amp; YEAR(LstMachines[[#This Row],[RgltDistrib]])</f>
        <v>04-2018</v>
      </c>
      <c r="AH56" s="258">
        <f>LstMachines[[#This Row],[VteESM]]+Rglt_à_ESMTP</f>
        <v>43326</v>
      </c>
      <c r="AI56" s="258" t="str">
        <f xml:space="preserve"> IF(MONTH(LstMachines[[#This Row],[RgltVteESM]])&lt;10,"0","") &amp; MONTH(LstMachines[[#This Row],[RgltVteESM]]) &amp; "-" &amp; YEAR(LstMachines[[#This Row],[RgltVteESM]])</f>
        <v>08-2018</v>
      </c>
      <c r="AJ56" s="140">
        <f>MONTH(LstMachines[[#This Row],[DatePaie]])</f>
        <v>4</v>
      </c>
      <c r="AK56" s="88" t="str">
        <f>FIXED(YEAR(LstMachines[[#This Row],[DatePaie]]),0,TRUE)</f>
        <v>2018</v>
      </c>
      <c r="AL56" s="140"/>
      <c r="AM56" s="414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BA56" s="92"/>
      <c r="BC56" s="92"/>
      <c r="BD56" s="92"/>
      <c r="BE56" s="92"/>
    </row>
    <row r="57" spans="2:57" hidden="1">
      <c r="B57" s="104" t="s">
        <v>75</v>
      </c>
      <c r="C57" s="104" t="s">
        <v>37</v>
      </c>
      <c r="D57" s="87">
        <v>48</v>
      </c>
      <c r="E57" s="86" t="s">
        <v>357</v>
      </c>
      <c r="F57" s="87" t="s">
        <v>67</v>
      </c>
      <c r="G57" s="87" t="s">
        <v>107</v>
      </c>
      <c r="H57" s="89">
        <v>1</v>
      </c>
      <c r="I5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41</v>
      </c>
      <c r="J57" s="88">
        <v>43146</v>
      </c>
      <c r="K57" s="99" t="s">
        <v>461</v>
      </c>
      <c r="L57" s="85" t="s">
        <v>389</v>
      </c>
      <c r="M57" s="99"/>
      <c r="N57" s="90"/>
      <c r="O57" s="255">
        <f>MONTH(LstMachines[[#This Row],[Delivery]])</f>
        <v>2</v>
      </c>
      <c r="P57" s="256" t="str">
        <f>FIXED(YEAR(LstMachines[[#This Row],[Delivery]]),0,TRUE)</f>
        <v>2018</v>
      </c>
      <c r="Q57" s="73"/>
      <c r="R57" s="93"/>
      <c r="S57" s="90"/>
      <c r="T57" s="90"/>
      <c r="U57" s="90"/>
      <c r="V57" s="72"/>
      <c r="W57" s="99"/>
      <c r="X57" s="258">
        <f>LstMachines[[#This Row],[Delivery]]</f>
        <v>43146</v>
      </c>
      <c r="Y57" s="258" t="str">
        <f xml:space="preserve"> IF(MONTH(LstMachines[[#This Row],[DateLivr]])&lt;10,"0","") &amp; MONTH(LstMachines[[#This Row],[DateLivr]]) &amp;"-"&amp;YEAR(LstMachines[[#This Row],[DateLivr]])</f>
        <v>02-2018</v>
      </c>
      <c r="Z57" s="258">
        <f>LstMachines[[#This Row],[Delivery]]+Rglt_à_HCME</f>
        <v>43206</v>
      </c>
      <c r="AA57" s="258" t="str">
        <f xml:space="preserve"> IF(MONTH(LstMachines[[#This Row],[DatePaie]])&lt;10,"0","") &amp; MONTH(LstMachines[[#This Row],[DatePaie]])&amp;"-"&amp;YEAR(LstMachines[[#This Row],[DatePaie]])</f>
        <v>04-2018</v>
      </c>
      <c r="AB57" s="258">
        <f>LstMachines[[#This Row],[DateLivr]]+1</f>
        <v>43147</v>
      </c>
      <c r="AC57" s="258" t="str">
        <f xml:space="preserve"> IF(MONTH(LstMachines[[#This Row],[Distrib]])&lt;10,"0","") &amp; MONTH(LstMachines[[#This Row],[Distrib]]) &amp; "-" &amp; YEAR(LstMachines[[#This Row],[Distrib]])</f>
        <v>02-2018</v>
      </c>
      <c r="AD57" s="258">
        <f>LstMachines[[#This Row],[DateLivr]]+Délai_Vente</f>
        <v>43266</v>
      </c>
      <c r="AE57" s="258" t="str">
        <f xml:space="preserve"> IF(MONTH(LstMachines[[#This Row],[VteESM]])&lt;10,"0","") &amp; MONTH(LstMachines[[#This Row],[VteESM]]) &amp; "-" &amp; YEAR(LstMachines[[#This Row],[VteESM]])</f>
        <v>06-2018</v>
      </c>
      <c r="AF57" s="258">
        <f>LstMachines[[#This Row],[DateLivr]]+Rglt_à_ESMTP</f>
        <v>43206</v>
      </c>
      <c r="AG57" s="258" t="str">
        <f xml:space="preserve"> IF(MONTH(LstMachines[[#This Row],[RgltDistrib]])&lt;10,"0","") &amp; MONTH(LstMachines[[#This Row],[RgltDistrib]]) &amp; "-" &amp; YEAR(LstMachines[[#This Row],[RgltDistrib]])</f>
        <v>04-2018</v>
      </c>
      <c r="AH57" s="258">
        <f>LstMachines[[#This Row],[VteESM]]+Rglt_à_ESMTP</f>
        <v>43326</v>
      </c>
      <c r="AI57" s="258" t="str">
        <f xml:space="preserve"> IF(MONTH(LstMachines[[#This Row],[RgltVteESM]])&lt;10,"0","") &amp; MONTH(LstMachines[[#This Row],[RgltVteESM]]) &amp; "-" &amp; YEAR(LstMachines[[#This Row],[RgltVteESM]])</f>
        <v>08-2018</v>
      </c>
      <c r="AJ57" s="140">
        <f>MONTH(LstMachines[[#This Row],[DatePaie]])</f>
        <v>4</v>
      </c>
      <c r="AK57" s="88" t="str">
        <f>FIXED(YEAR(LstMachines[[#This Row],[DatePaie]]),0,TRUE)</f>
        <v>2018</v>
      </c>
      <c r="AL57" s="140"/>
      <c r="AM57" s="414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92"/>
      <c r="BA57" s="92"/>
      <c r="BC57" s="92"/>
      <c r="BD57" s="92"/>
      <c r="BE57" s="92"/>
    </row>
    <row r="58" spans="2:57" hidden="1">
      <c r="B58" s="104" t="s">
        <v>75</v>
      </c>
      <c r="C58" s="104" t="s">
        <v>36</v>
      </c>
      <c r="D58" s="87">
        <v>26</v>
      </c>
      <c r="E58" s="86" t="s">
        <v>355</v>
      </c>
      <c r="F58" s="71" t="s">
        <v>100</v>
      </c>
      <c r="G58" s="71" t="s">
        <v>31</v>
      </c>
      <c r="H58" s="89">
        <v>1</v>
      </c>
      <c r="I5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58" s="88">
        <v>43146</v>
      </c>
      <c r="K58" s="99" t="s">
        <v>463</v>
      </c>
      <c r="L58" s="120" t="s">
        <v>378</v>
      </c>
      <c r="M58" s="99"/>
      <c r="N58" s="90">
        <v>42944</v>
      </c>
      <c r="O58" s="255">
        <f>MONTH(LstMachines[[#This Row],[Delivery]])</f>
        <v>2</v>
      </c>
      <c r="P58" s="256" t="str">
        <f>FIXED(YEAR(LstMachines[[#This Row],[Delivery]]),0,TRUE)</f>
        <v>2018</v>
      </c>
      <c r="Q58" s="73" t="s">
        <v>342</v>
      </c>
      <c r="R58" s="93">
        <v>20350</v>
      </c>
      <c r="S58" s="95"/>
      <c r="T58" s="71"/>
      <c r="U58" s="72" t="s">
        <v>270</v>
      </c>
      <c r="V58" s="72">
        <v>4175</v>
      </c>
      <c r="W58" s="99" t="s">
        <v>384</v>
      </c>
      <c r="X58" s="258">
        <f>LstMachines[[#This Row],[Delivery]]</f>
        <v>43146</v>
      </c>
      <c r="Y58" s="258" t="str">
        <f xml:space="preserve"> IF(MONTH(LstMachines[[#This Row],[DateLivr]])&lt;10,"0","") &amp; MONTH(LstMachines[[#This Row],[DateLivr]]) &amp;"-"&amp;YEAR(LstMachines[[#This Row],[DateLivr]])</f>
        <v>02-2018</v>
      </c>
      <c r="Z58" s="258">
        <f>LstMachines[[#This Row],[Delivery]]+Rglt_à_HCME</f>
        <v>43206</v>
      </c>
      <c r="AA58" s="258" t="str">
        <f xml:space="preserve"> IF(MONTH(LstMachines[[#This Row],[DatePaie]])&lt;10,"0","") &amp; MONTH(LstMachines[[#This Row],[DatePaie]])&amp;"-"&amp;YEAR(LstMachines[[#This Row],[DatePaie]])</f>
        <v>04-2018</v>
      </c>
      <c r="AB58" s="258">
        <f>LstMachines[[#This Row],[DateLivr]]+1</f>
        <v>43147</v>
      </c>
      <c r="AC58" s="258" t="str">
        <f xml:space="preserve"> IF(MONTH(LstMachines[[#This Row],[Distrib]])&lt;10,"0","") &amp; MONTH(LstMachines[[#This Row],[Distrib]]) &amp; "-" &amp; YEAR(LstMachines[[#This Row],[Distrib]])</f>
        <v>02-2018</v>
      </c>
      <c r="AD58" s="258">
        <f>LstMachines[[#This Row],[DateLivr]]+Délai_Vente</f>
        <v>43266</v>
      </c>
      <c r="AE58" s="258" t="str">
        <f xml:space="preserve"> IF(MONTH(LstMachines[[#This Row],[VteESM]])&lt;10,"0","") &amp; MONTH(LstMachines[[#This Row],[VteESM]]) &amp; "-" &amp; YEAR(LstMachines[[#This Row],[VteESM]])</f>
        <v>06-2018</v>
      </c>
      <c r="AF58" s="258">
        <f>LstMachines[[#This Row],[DateLivr]]+Rglt_à_ESMTP</f>
        <v>43206</v>
      </c>
      <c r="AG58" s="258" t="str">
        <f xml:space="preserve"> IF(MONTH(LstMachines[[#This Row],[RgltDistrib]])&lt;10,"0","") &amp; MONTH(LstMachines[[#This Row],[RgltDistrib]]) &amp; "-" &amp; YEAR(LstMachines[[#This Row],[RgltDistrib]])</f>
        <v>04-2018</v>
      </c>
      <c r="AH58" s="258">
        <f>LstMachines[[#This Row],[VteESM]]+Rglt_à_ESMTP</f>
        <v>43326</v>
      </c>
      <c r="AI58" s="258" t="str">
        <f xml:space="preserve"> IF(MONTH(LstMachines[[#This Row],[RgltVteESM]])&lt;10,"0","") &amp; MONTH(LstMachines[[#This Row],[RgltVteESM]]) &amp; "-" &amp; YEAR(LstMachines[[#This Row],[RgltVteESM]])</f>
        <v>08-2018</v>
      </c>
      <c r="AJ58" s="140">
        <f>MONTH(LstMachines[[#This Row],[DatePaie]])</f>
        <v>4</v>
      </c>
      <c r="AK58" s="88" t="str">
        <f>FIXED(YEAR(LstMachines[[#This Row],[DatePaie]]),0,TRUE)</f>
        <v>2018</v>
      </c>
      <c r="AL58" s="140"/>
      <c r="AM58" s="414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BA58" s="92"/>
      <c r="BC58" s="92"/>
      <c r="BD58" s="92"/>
      <c r="BE58" s="92"/>
    </row>
    <row r="59" spans="2:57" hidden="1">
      <c r="B59" s="104" t="s">
        <v>75</v>
      </c>
      <c r="C59" s="104" t="s">
        <v>36</v>
      </c>
      <c r="D59" s="87">
        <v>26</v>
      </c>
      <c r="E59" s="86" t="s">
        <v>355</v>
      </c>
      <c r="F59" s="71" t="s">
        <v>100</v>
      </c>
      <c r="G59" s="71" t="s">
        <v>31</v>
      </c>
      <c r="H59" s="89">
        <v>1</v>
      </c>
      <c r="I5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59" s="88">
        <v>43146</v>
      </c>
      <c r="K59" s="99" t="s">
        <v>463</v>
      </c>
      <c r="L59" s="120" t="s">
        <v>378</v>
      </c>
      <c r="M59" s="99"/>
      <c r="N59" s="90">
        <v>42944</v>
      </c>
      <c r="O59" s="255">
        <f>MONTH(LstMachines[[#This Row],[Delivery]])</f>
        <v>2</v>
      </c>
      <c r="P59" s="256" t="str">
        <f>FIXED(YEAR(LstMachines[[#This Row],[Delivery]]),0,TRUE)</f>
        <v>2018</v>
      </c>
      <c r="Q59" s="73" t="s">
        <v>343</v>
      </c>
      <c r="R59" s="93">
        <v>20350</v>
      </c>
      <c r="S59" s="95"/>
      <c r="T59" s="71"/>
      <c r="U59" s="72" t="s">
        <v>270</v>
      </c>
      <c r="V59" s="72">
        <v>4176</v>
      </c>
      <c r="W59" s="99" t="s">
        <v>275</v>
      </c>
      <c r="X59" s="258">
        <f>LstMachines[[#This Row],[Delivery]]</f>
        <v>43146</v>
      </c>
      <c r="Y59" s="258" t="str">
        <f xml:space="preserve"> IF(MONTH(LstMachines[[#This Row],[DateLivr]])&lt;10,"0","") &amp; MONTH(LstMachines[[#This Row],[DateLivr]]) &amp;"-"&amp;YEAR(LstMachines[[#This Row],[DateLivr]])</f>
        <v>02-2018</v>
      </c>
      <c r="Z59" s="258">
        <f>LstMachines[[#This Row],[Delivery]]+Rglt_à_HCME</f>
        <v>43206</v>
      </c>
      <c r="AA59" s="258" t="str">
        <f xml:space="preserve"> IF(MONTH(LstMachines[[#This Row],[DatePaie]])&lt;10,"0","") &amp; MONTH(LstMachines[[#This Row],[DatePaie]])&amp;"-"&amp;YEAR(LstMachines[[#This Row],[DatePaie]])</f>
        <v>04-2018</v>
      </c>
      <c r="AB59" s="258">
        <f>LstMachines[[#This Row],[DateLivr]]+1</f>
        <v>43147</v>
      </c>
      <c r="AC59" s="258" t="str">
        <f xml:space="preserve"> IF(MONTH(LstMachines[[#This Row],[Distrib]])&lt;10,"0","") &amp; MONTH(LstMachines[[#This Row],[Distrib]]) &amp; "-" &amp; YEAR(LstMachines[[#This Row],[Distrib]])</f>
        <v>02-2018</v>
      </c>
      <c r="AD59" s="258">
        <f>LstMachines[[#This Row],[DateLivr]]+Délai_Vente</f>
        <v>43266</v>
      </c>
      <c r="AE59" s="258" t="str">
        <f xml:space="preserve"> IF(MONTH(LstMachines[[#This Row],[VteESM]])&lt;10,"0","") &amp; MONTH(LstMachines[[#This Row],[VteESM]]) &amp; "-" &amp; YEAR(LstMachines[[#This Row],[VteESM]])</f>
        <v>06-2018</v>
      </c>
      <c r="AF59" s="258">
        <f>LstMachines[[#This Row],[DateLivr]]+Rglt_à_ESMTP</f>
        <v>43206</v>
      </c>
      <c r="AG59" s="258" t="str">
        <f xml:space="preserve"> IF(MONTH(LstMachines[[#This Row],[RgltDistrib]])&lt;10,"0","") &amp; MONTH(LstMachines[[#This Row],[RgltDistrib]]) &amp; "-" &amp; YEAR(LstMachines[[#This Row],[RgltDistrib]])</f>
        <v>04-2018</v>
      </c>
      <c r="AH59" s="258">
        <f>LstMachines[[#This Row],[VteESM]]+Rglt_à_ESMTP</f>
        <v>43326</v>
      </c>
      <c r="AI59" s="258" t="str">
        <f xml:space="preserve"> IF(MONTH(LstMachines[[#This Row],[RgltVteESM]])&lt;10,"0","") &amp; MONTH(LstMachines[[#This Row],[RgltVteESM]]) &amp; "-" &amp; YEAR(LstMachines[[#This Row],[RgltVteESM]])</f>
        <v>08-2018</v>
      </c>
      <c r="AJ59" s="140">
        <f>MONTH(LstMachines[[#This Row],[DatePaie]])</f>
        <v>4</v>
      </c>
      <c r="AK59" s="88" t="str">
        <f>FIXED(YEAR(LstMachines[[#This Row],[DatePaie]]),0,TRUE)</f>
        <v>2018</v>
      </c>
      <c r="AL59" s="140"/>
      <c r="AM59" s="414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BA59" s="92"/>
      <c r="BC59" s="92"/>
      <c r="BD59" s="92"/>
      <c r="BE59" s="92"/>
    </row>
    <row r="60" spans="2:57" hidden="1">
      <c r="B60" s="104" t="s">
        <v>75</v>
      </c>
      <c r="C60" s="104" t="s">
        <v>36</v>
      </c>
      <c r="D60" s="87">
        <v>26</v>
      </c>
      <c r="E60" s="86" t="s">
        <v>355</v>
      </c>
      <c r="F60" s="71" t="s">
        <v>100</v>
      </c>
      <c r="G60" s="71" t="s">
        <v>31</v>
      </c>
      <c r="H60" s="89">
        <v>1</v>
      </c>
      <c r="I6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60" s="88">
        <v>43146</v>
      </c>
      <c r="K60" s="99" t="s">
        <v>463</v>
      </c>
      <c r="L60" s="120" t="s">
        <v>378</v>
      </c>
      <c r="M60" s="99"/>
      <c r="N60" s="90">
        <v>42944</v>
      </c>
      <c r="O60" s="255">
        <f>MONTH(LstMachines[[#This Row],[Delivery]])</f>
        <v>2</v>
      </c>
      <c r="P60" s="256" t="str">
        <f>FIXED(YEAR(LstMachines[[#This Row],[Delivery]]),0,TRUE)</f>
        <v>2018</v>
      </c>
      <c r="Q60" s="73" t="s">
        <v>344</v>
      </c>
      <c r="R60" s="93">
        <v>20350</v>
      </c>
      <c r="S60" s="95"/>
      <c r="T60" s="71"/>
      <c r="U60" s="72" t="s">
        <v>270</v>
      </c>
      <c r="V60" s="72">
        <v>4177</v>
      </c>
      <c r="W60" s="99" t="s">
        <v>275</v>
      </c>
      <c r="X60" s="258">
        <f>LstMachines[[#This Row],[Delivery]]</f>
        <v>43146</v>
      </c>
      <c r="Y60" s="258" t="str">
        <f xml:space="preserve"> IF(MONTH(LstMachines[[#This Row],[DateLivr]])&lt;10,"0","") &amp; MONTH(LstMachines[[#This Row],[DateLivr]]) &amp;"-"&amp;YEAR(LstMachines[[#This Row],[DateLivr]])</f>
        <v>02-2018</v>
      </c>
      <c r="Z60" s="258">
        <f>LstMachines[[#This Row],[Delivery]]+Rglt_à_HCME</f>
        <v>43206</v>
      </c>
      <c r="AA60" s="258" t="str">
        <f xml:space="preserve"> IF(MONTH(LstMachines[[#This Row],[DatePaie]])&lt;10,"0","") &amp; MONTH(LstMachines[[#This Row],[DatePaie]])&amp;"-"&amp;YEAR(LstMachines[[#This Row],[DatePaie]])</f>
        <v>04-2018</v>
      </c>
      <c r="AB60" s="258">
        <f>LstMachines[[#This Row],[DateLivr]]+1</f>
        <v>43147</v>
      </c>
      <c r="AC60" s="258" t="str">
        <f xml:space="preserve"> IF(MONTH(LstMachines[[#This Row],[Distrib]])&lt;10,"0","") &amp; MONTH(LstMachines[[#This Row],[Distrib]]) &amp; "-" &amp; YEAR(LstMachines[[#This Row],[Distrib]])</f>
        <v>02-2018</v>
      </c>
      <c r="AD60" s="258">
        <f>LstMachines[[#This Row],[DateLivr]]+Délai_Vente</f>
        <v>43266</v>
      </c>
      <c r="AE60" s="258" t="str">
        <f xml:space="preserve"> IF(MONTH(LstMachines[[#This Row],[VteESM]])&lt;10,"0","") &amp; MONTH(LstMachines[[#This Row],[VteESM]]) &amp; "-" &amp; YEAR(LstMachines[[#This Row],[VteESM]])</f>
        <v>06-2018</v>
      </c>
      <c r="AF60" s="258">
        <f>LstMachines[[#This Row],[DateLivr]]+Rglt_à_ESMTP</f>
        <v>43206</v>
      </c>
      <c r="AG60" s="258" t="str">
        <f xml:space="preserve"> IF(MONTH(LstMachines[[#This Row],[RgltDistrib]])&lt;10,"0","") &amp; MONTH(LstMachines[[#This Row],[RgltDistrib]]) &amp; "-" &amp; YEAR(LstMachines[[#This Row],[RgltDistrib]])</f>
        <v>04-2018</v>
      </c>
      <c r="AH60" s="258">
        <f>LstMachines[[#This Row],[VteESM]]+Rglt_à_ESMTP</f>
        <v>43326</v>
      </c>
      <c r="AI60" s="258" t="str">
        <f xml:space="preserve"> IF(MONTH(LstMachines[[#This Row],[RgltVteESM]])&lt;10,"0","") &amp; MONTH(LstMachines[[#This Row],[RgltVteESM]]) &amp; "-" &amp; YEAR(LstMachines[[#This Row],[RgltVteESM]])</f>
        <v>08-2018</v>
      </c>
      <c r="AJ60" s="140">
        <f>MONTH(LstMachines[[#This Row],[DatePaie]])</f>
        <v>4</v>
      </c>
      <c r="AK60" s="88" t="str">
        <f>FIXED(YEAR(LstMachines[[#This Row],[DatePaie]]),0,TRUE)</f>
        <v>2018</v>
      </c>
      <c r="AL60" s="140"/>
      <c r="AM60" s="414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BA60" s="92"/>
      <c r="BC60" s="92"/>
      <c r="BD60" s="92"/>
      <c r="BE60" s="92"/>
    </row>
    <row r="61" spans="2:57" hidden="1">
      <c r="B61" s="104" t="s">
        <v>75</v>
      </c>
      <c r="C61" s="104" t="s">
        <v>36</v>
      </c>
      <c r="D61" s="87">
        <v>26</v>
      </c>
      <c r="E61" s="86" t="s">
        <v>355</v>
      </c>
      <c r="F61" s="71" t="s">
        <v>100</v>
      </c>
      <c r="G61" s="71" t="s">
        <v>31</v>
      </c>
      <c r="H61" s="89">
        <v>1</v>
      </c>
      <c r="I6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61" s="88">
        <v>43146</v>
      </c>
      <c r="K61" s="99" t="s">
        <v>463</v>
      </c>
      <c r="L61" s="120" t="s">
        <v>378</v>
      </c>
      <c r="M61" s="99"/>
      <c r="N61" s="90">
        <v>42944</v>
      </c>
      <c r="O61" s="255">
        <f>MONTH(LstMachines[[#This Row],[Delivery]])</f>
        <v>2</v>
      </c>
      <c r="P61" s="256" t="str">
        <f>FIXED(YEAR(LstMachines[[#This Row],[Delivery]]),0,TRUE)</f>
        <v>2018</v>
      </c>
      <c r="Q61" s="73" t="s">
        <v>341</v>
      </c>
      <c r="R61" s="93">
        <v>20350</v>
      </c>
      <c r="S61" s="95"/>
      <c r="T61" s="71"/>
      <c r="U61" s="90" t="s">
        <v>105</v>
      </c>
      <c r="V61" s="72">
        <v>4167</v>
      </c>
      <c r="W61" s="100" t="s">
        <v>271</v>
      </c>
      <c r="X61" s="258">
        <f>LstMachines[[#This Row],[Delivery]]</f>
        <v>43146</v>
      </c>
      <c r="Y61" s="258" t="str">
        <f xml:space="preserve"> IF(MONTH(LstMachines[[#This Row],[DateLivr]])&lt;10,"0","") &amp; MONTH(LstMachines[[#This Row],[DateLivr]]) &amp;"-"&amp;YEAR(LstMachines[[#This Row],[DateLivr]])</f>
        <v>02-2018</v>
      </c>
      <c r="Z61" s="258">
        <f>LstMachines[[#This Row],[Delivery]]+Rglt_à_HCME</f>
        <v>43206</v>
      </c>
      <c r="AA61" s="258" t="str">
        <f xml:space="preserve"> IF(MONTH(LstMachines[[#This Row],[DatePaie]])&lt;10,"0","") &amp; MONTH(LstMachines[[#This Row],[DatePaie]])&amp;"-"&amp;YEAR(LstMachines[[#This Row],[DatePaie]])</f>
        <v>04-2018</v>
      </c>
      <c r="AB61" s="258">
        <f>LstMachines[[#This Row],[DateLivr]]+1</f>
        <v>43147</v>
      </c>
      <c r="AC61" s="258" t="str">
        <f xml:space="preserve"> IF(MONTH(LstMachines[[#This Row],[Distrib]])&lt;10,"0","") &amp; MONTH(LstMachines[[#This Row],[Distrib]]) &amp; "-" &amp; YEAR(LstMachines[[#This Row],[Distrib]])</f>
        <v>02-2018</v>
      </c>
      <c r="AD61" s="258">
        <f>LstMachines[[#This Row],[DateLivr]]+Délai_Vente</f>
        <v>43266</v>
      </c>
      <c r="AE61" s="258" t="str">
        <f xml:space="preserve"> IF(MONTH(LstMachines[[#This Row],[VteESM]])&lt;10,"0","") &amp; MONTH(LstMachines[[#This Row],[VteESM]]) &amp; "-" &amp; YEAR(LstMachines[[#This Row],[VteESM]])</f>
        <v>06-2018</v>
      </c>
      <c r="AF61" s="258">
        <f>LstMachines[[#This Row],[DateLivr]]+Rglt_à_ESMTP</f>
        <v>43206</v>
      </c>
      <c r="AG61" s="258" t="str">
        <f xml:space="preserve"> IF(MONTH(LstMachines[[#This Row],[RgltDistrib]])&lt;10,"0","") &amp; MONTH(LstMachines[[#This Row],[RgltDistrib]]) &amp; "-" &amp; YEAR(LstMachines[[#This Row],[RgltDistrib]])</f>
        <v>04-2018</v>
      </c>
      <c r="AH61" s="258">
        <f>LstMachines[[#This Row],[VteESM]]+Rglt_à_ESMTP</f>
        <v>43326</v>
      </c>
      <c r="AI61" s="258" t="str">
        <f xml:space="preserve"> IF(MONTH(LstMachines[[#This Row],[RgltVteESM]])&lt;10,"0","") &amp; MONTH(LstMachines[[#This Row],[RgltVteESM]]) &amp; "-" &amp; YEAR(LstMachines[[#This Row],[RgltVteESM]])</f>
        <v>08-2018</v>
      </c>
      <c r="AJ61" s="140">
        <f>MONTH(LstMachines[[#This Row],[DatePaie]])</f>
        <v>4</v>
      </c>
      <c r="AK61" s="88" t="str">
        <f>FIXED(YEAR(LstMachines[[#This Row],[DatePaie]]),0,TRUE)</f>
        <v>2018</v>
      </c>
      <c r="AL61" s="140"/>
      <c r="AM61" s="414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BA61" s="92"/>
      <c r="BC61" s="92"/>
      <c r="BD61" s="92"/>
      <c r="BE61" s="92"/>
    </row>
    <row r="62" spans="2:57" hidden="1">
      <c r="B62" s="104" t="s">
        <v>75</v>
      </c>
      <c r="C62" s="104" t="s">
        <v>36</v>
      </c>
      <c r="D62" s="87">
        <v>26</v>
      </c>
      <c r="E62" s="86" t="s">
        <v>355</v>
      </c>
      <c r="F62" s="71" t="s">
        <v>100</v>
      </c>
      <c r="G62" s="71" t="s">
        <v>31</v>
      </c>
      <c r="H62" s="89">
        <v>1</v>
      </c>
      <c r="I6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62" s="88">
        <v>43146</v>
      </c>
      <c r="K62" s="99" t="s">
        <v>463</v>
      </c>
      <c r="L62" s="120" t="s">
        <v>378</v>
      </c>
      <c r="M62" s="99"/>
      <c r="N62" s="90">
        <v>42944</v>
      </c>
      <c r="O62" s="255">
        <f>MONTH(LstMachines[[#This Row],[Delivery]])</f>
        <v>2</v>
      </c>
      <c r="P62" s="256" t="str">
        <f>FIXED(YEAR(LstMachines[[#This Row],[Delivery]]),0,TRUE)</f>
        <v>2018</v>
      </c>
      <c r="Q62" s="73" t="s">
        <v>345</v>
      </c>
      <c r="R62" s="93">
        <v>20350</v>
      </c>
      <c r="S62" s="95"/>
      <c r="T62" s="71"/>
      <c r="U62" s="128" t="s">
        <v>105</v>
      </c>
      <c r="V62" s="129">
        <v>4166</v>
      </c>
      <c r="W62" s="130" t="s">
        <v>383</v>
      </c>
      <c r="X62" s="258">
        <f>LstMachines[[#This Row],[Delivery]]</f>
        <v>43146</v>
      </c>
      <c r="Y62" s="258" t="str">
        <f xml:space="preserve"> IF(MONTH(LstMachines[[#This Row],[DateLivr]])&lt;10,"0","") &amp; MONTH(LstMachines[[#This Row],[DateLivr]]) &amp;"-"&amp;YEAR(LstMachines[[#This Row],[DateLivr]])</f>
        <v>02-2018</v>
      </c>
      <c r="Z62" s="258">
        <f>LstMachines[[#This Row],[Delivery]]+Rglt_à_HCME</f>
        <v>43206</v>
      </c>
      <c r="AA62" s="258" t="str">
        <f xml:space="preserve"> IF(MONTH(LstMachines[[#This Row],[DatePaie]])&lt;10,"0","") &amp; MONTH(LstMachines[[#This Row],[DatePaie]])&amp;"-"&amp;YEAR(LstMachines[[#This Row],[DatePaie]])</f>
        <v>04-2018</v>
      </c>
      <c r="AB62" s="258">
        <f>LstMachines[[#This Row],[DateLivr]]+1</f>
        <v>43147</v>
      </c>
      <c r="AC62" s="258" t="str">
        <f xml:space="preserve"> IF(MONTH(LstMachines[[#This Row],[Distrib]])&lt;10,"0","") &amp; MONTH(LstMachines[[#This Row],[Distrib]]) &amp; "-" &amp; YEAR(LstMachines[[#This Row],[Distrib]])</f>
        <v>02-2018</v>
      </c>
      <c r="AD62" s="258">
        <f>LstMachines[[#This Row],[DateLivr]]+Délai_Vente</f>
        <v>43266</v>
      </c>
      <c r="AE62" s="258" t="str">
        <f xml:space="preserve"> IF(MONTH(LstMachines[[#This Row],[VteESM]])&lt;10,"0","") &amp; MONTH(LstMachines[[#This Row],[VteESM]]) &amp; "-" &amp; YEAR(LstMachines[[#This Row],[VteESM]])</f>
        <v>06-2018</v>
      </c>
      <c r="AF62" s="258">
        <f>LstMachines[[#This Row],[DateLivr]]+Rglt_à_ESMTP</f>
        <v>43206</v>
      </c>
      <c r="AG62" s="258" t="str">
        <f xml:space="preserve"> IF(MONTH(LstMachines[[#This Row],[RgltDistrib]])&lt;10,"0","") &amp; MONTH(LstMachines[[#This Row],[RgltDistrib]]) &amp; "-" &amp; YEAR(LstMachines[[#This Row],[RgltDistrib]])</f>
        <v>04-2018</v>
      </c>
      <c r="AH62" s="258">
        <f>LstMachines[[#This Row],[VteESM]]+Rglt_à_ESMTP</f>
        <v>43326</v>
      </c>
      <c r="AI62" s="258" t="str">
        <f xml:space="preserve"> IF(MONTH(LstMachines[[#This Row],[RgltVteESM]])&lt;10,"0","") &amp; MONTH(LstMachines[[#This Row],[RgltVteESM]]) &amp; "-" &amp; YEAR(LstMachines[[#This Row],[RgltVteESM]])</f>
        <v>08-2018</v>
      </c>
      <c r="AJ62" s="140">
        <f>MONTH(LstMachines[[#This Row],[DatePaie]])</f>
        <v>4</v>
      </c>
      <c r="AK62" s="88" t="str">
        <f>FIXED(YEAR(LstMachines[[#This Row],[DatePaie]]),0,TRUE)</f>
        <v>2018</v>
      </c>
      <c r="AL62" s="140"/>
      <c r="AM62" s="414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BA62" s="92"/>
      <c r="BC62" s="92"/>
      <c r="BD62" s="92"/>
      <c r="BE62" s="92"/>
    </row>
    <row r="63" spans="2:57" hidden="1">
      <c r="B63" s="104" t="s">
        <v>75</v>
      </c>
      <c r="C63" s="104" t="s">
        <v>68</v>
      </c>
      <c r="D63" s="87">
        <v>33</v>
      </c>
      <c r="E63" s="104" t="s">
        <v>362</v>
      </c>
      <c r="F63" s="71" t="s">
        <v>100</v>
      </c>
      <c r="G63" s="71" t="s">
        <v>31</v>
      </c>
      <c r="H63" s="89">
        <v>1</v>
      </c>
      <c r="I6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32</v>
      </c>
      <c r="J63" s="88">
        <v>43146</v>
      </c>
      <c r="K63" s="99" t="s">
        <v>463</v>
      </c>
      <c r="L63" s="120" t="s">
        <v>378</v>
      </c>
      <c r="M63" s="99"/>
      <c r="N63" s="90">
        <v>43036</v>
      </c>
      <c r="O63" s="255">
        <f>MONTH(LstMachines[[#This Row],[Delivery]])</f>
        <v>2</v>
      </c>
      <c r="P63" s="256" t="str">
        <f>FIXED(YEAR(LstMachines[[#This Row],[Delivery]]),0,TRUE)</f>
        <v>2018</v>
      </c>
      <c r="Q63" s="73" t="s">
        <v>313</v>
      </c>
      <c r="R63" s="93">
        <v>32431</v>
      </c>
      <c r="S63" s="95"/>
      <c r="T63" s="71"/>
      <c r="U63" s="72" t="s">
        <v>270</v>
      </c>
      <c r="V63" s="72">
        <v>4237</v>
      </c>
      <c r="W63" s="99" t="s">
        <v>384</v>
      </c>
      <c r="X63" s="258">
        <f>LstMachines[[#This Row],[Delivery]]</f>
        <v>43146</v>
      </c>
      <c r="Y63" s="258" t="str">
        <f xml:space="preserve"> IF(MONTH(LstMachines[[#This Row],[DateLivr]])&lt;10,"0","") &amp; MONTH(LstMachines[[#This Row],[DateLivr]]) &amp;"-"&amp;YEAR(LstMachines[[#This Row],[DateLivr]])</f>
        <v>02-2018</v>
      </c>
      <c r="Z63" s="258">
        <f>LstMachines[[#This Row],[Delivery]]+Rglt_à_HCME</f>
        <v>43206</v>
      </c>
      <c r="AA63" s="258" t="str">
        <f xml:space="preserve"> IF(MONTH(LstMachines[[#This Row],[DatePaie]])&lt;10,"0","") &amp; MONTH(LstMachines[[#This Row],[DatePaie]])&amp;"-"&amp;YEAR(LstMachines[[#This Row],[DatePaie]])</f>
        <v>04-2018</v>
      </c>
      <c r="AB63" s="258">
        <f>LstMachines[[#This Row],[DateLivr]]+1</f>
        <v>43147</v>
      </c>
      <c r="AC63" s="258" t="str">
        <f xml:space="preserve"> IF(MONTH(LstMachines[[#This Row],[Distrib]])&lt;10,"0","") &amp; MONTH(LstMachines[[#This Row],[Distrib]]) &amp; "-" &amp; YEAR(LstMachines[[#This Row],[Distrib]])</f>
        <v>02-2018</v>
      </c>
      <c r="AD63" s="258">
        <f>LstMachines[[#This Row],[DateLivr]]+Délai_Vente</f>
        <v>43266</v>
      </c>
      <c r="AE63" s="258" t="str">
        <f xml:space="preserve"> IF(MONTH(LstMachines[[#This Row],[VteESM]])&lt;10,"0","") &amp; MONTH(LstMachines[[#This Row],[VteESM]]) &amp; "-" &amp; YEAR(LstMachines[[#This Row],[VteESM]])</f>
        <v>06-2018</v>
      </c>
      <c r="AF63" s="258">
        <f>LstMachines[[#This Row],[DateLivr]]+Rglt_à_ESMTP</f>
        <v>43206</v>
      </c>
      <c r="AG63" s="258" t="str">
        <f xml:space="preserve"> IF(MONTH(LstMachines[[#This Row],[RgltDistrib]])&lt;10,"0","") &amp; MONTH(LstMachines[[#This Row],[RgltDistrib]]) &amp; "-" &amp; YEAR(LstMachines[[#This Row],[RgltDistrib]])</f>
        <v>04-2018</v>
      </c>
      <c r="AH63" s="258">
        <f>LstMachines[[#This Row],[VteESM]]+Rglt_à_ESMTP</f>
        <v>43326</v>
      </c>
      <c r="AI63" s="258" t="str">
        <f xml:space="preserve"> IF(MONTH(LstMachines[[#This Row],[RgltVteESM]])&lt;10,"0","") &amp; MONTH(LstMachines[[#This Row],[RgltVteESM]]) &amp; "-" &amp; YEAR(LstMachines[[#This Row],[RgltVteESM]])</f>
        <v>08-2018</v>
      </c>
      <c r="AJ63" s="140">
        <f>MONTH(LstMachines[[#This Row],[DatePaie]])</f>
        <v>4</v>
      </c>
      <c r="AK63" s="88" t="str">
        <f>FIXED(YEAR(LstMachines[[#This Row],[DatePaie]]),0,TRUE)</f>
        <v>2018</v>
      </c>
      <c r="AL63" s="140"/>
      <c r="AM63" s="414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BA63" s="92"/>
      <c r="BC63" s="92"/>
      <c r="BD63" s="92"/>
      <c r="BE63" s="92"/>
    </row>
    <row r="64" spans="2:57" hidden="1">
      <c r="B64" s="104" t="s">
        <v>75</v>
      </c>
      <c r="C64" s="104" t="s">
        <v>38</v>
      </c>
      <c r="D64" s="87">
        <v>65</v>
      </c>
      <c r="E64" s="104" t="s">
        <v>364</v>
      </c>
      <c r="F64" s="71" t="s">
        <v>100</v>
      </c>
      <c r="G64" s="71" t="s">
        <v>31</v>
      </c>
      <c r="H64" s="89">
        <v>1</v>
      </c>
      <c r="I6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64" s="88">
        <v>43146</v>
      </c>
      <c r="K64" s="99" t="s">
        <v>463</v>
      </c>
      <c r="L64" s="120" t="s">
        <v>378</v>
      </c>
      <c r="M64" s="99"/>
      <c r="N64" s="90">
        <v>43036</v>
      </c>
      <c r="O64" s="255">
        <f>MONTH(LstMachines[[#This Row],[Delivery]])</f>
        <v>2</v>
      </c>
      <c r="P64" s="256" t="str">
        <f>FIXED(YEAR(LstMachines[[#This Row],[Delivery]]),0,TRUE)</f>
        <v>2018</v>
      </c>
      <c r="Q64" s="73" t="s">
        <v>349</v>
      </c>
      <c r="R64" s="93">
        <v>48776</v>
      </c>
      <c r="S64" s="95"/>
      <c r="T64" s="71"/>
      <c r="U64" s="72" t="s">
        <v>270</v>
      </c>
      <c r="V64" s="72">
        <v>4240</v>
      </c>
      <c r="W64" s="99" t="s">
        <v>384</v>
      </c>
      <c r="X64" s="258">
        <f>LstMachines[[#This Row],[Delivery]]</f>
        <v>43146</v>
      </c>
      <c r="Y64" s="258" t="str">
        <f xml:space="preserve"> IF(MONTH(LstMachines[[#This Row],[DateLivr]])&lt;10,"0","") &amp; MONTH(LstMachines[[#This Row],[DateLivr]]) &amp;"-"&amp;YEAR(LstMachines[[#This Row],[DateLivr]])</f>
        <v>02-2018</v>
      </c>
      <c r="Z64" s="258">
        <f>LstMachines[[#This Row],[Delivery]]+Rglt_à_HCME</f>
        <v>43206</v>
      </c>
      <c r="AA64" s="258" t="str">
        <f xml:space="preserve"> IF(MONTH(LstMachines[[#This Row],[DatePaie]])&lt;10,"0","") &amp; MONTH(LstMachines[[#This Row],[DatePaie]])&amp;"-"&amp;YEAR(LstMachines[[#This Row],[DatePaie]])</f>
        <v>04-2018</v>
      </c>
      <c r="AB64" s="258">
        <f>LstMachines[[#This Row],[DateLivr]]+1</f>
        <v>43147</v>
      </c>
      <c r="AC64" s="258" t="str">
        <f xml:space="preserve"> IF(MONTH(LstMachines[[#This Row],[Distrib]])&lt;10,"0","") &amp; MONTH(LstMachines[[#This Row],[Distrib]]) &amp; "-" &amp; YEAR(LstMachines[[#This Row],[Distrib]])</f>
        <v>02-2018</v>
      </c>
      <c r="AD64" s="258">
        <f>LstMachines[[#This Row],[DateLivr]]+Délai_Vente</f>
        <v>43266</v>
      </c>
      <c r="AE64" s="258" t="str">
        <f xml:space="preserve"> IF(MONTH(LstMachines[[#This Row],[VteESM]])&lt;10,"0","") &amp; MONTH(LstMachines[[#This Row],[VteESM]]) &amp; "-" &amp; YEAR(LstMachines[[#This Row],[VteESM]])</f>
        <v>06-2018</v>
      </c>
      <c r="AF64" s="258">
        <f>LstMachines[[#This Row],[DateLivr]]+Rglt_à_ESMTP</f>
        <v>43206</v>
      </c>
      <c r="AG64" s="258" t="str">
        <f xml:space="preserve"> IF(MONTH(LstMachines[[#This Row],[RgltDistrib]])&lt;10,"0","") &amp; MONTH(LstMachines[[#This Row],[RgltDistrib]]) &amp; "-" &amp; YEAR(LstMachines[[#This Row],[RgltDistrib]])</f>
        <v>04-2018</v>
      </c>
      <c r="AH64" s="258">
        <f>LstMachines[[#This Row],[VteESM]]+Rglt_à_ESMTP</f>
        <v>43326</v>
      </c>
      <c r="AI64" s="258" t="str">
        <f xml:space="preserve"> IF(MONTH(LstMachines[[#This Row],[RgltVteESM]])&lt;10,"0","") &amp; MONTH(LstMachines[[#This Row],[RgltVteESM]]) &amp; "-" &amp; YEAR(LstMachines[[#This Row],[RgltVteESM]])</f>
        <v>08-2018</v>
      </c>
      <c r="AJ64" s="140">
        <f>MONTH(LstMachines[[#This Row],[DatePaie]])</f>
        <v>4</v>
      </c>
      <c r="AK64" s="88" t="str">
        <f>FIXED(YEAR(LstMachines[[#This Row],[DatePaie]]),0,TRUE)</f>
        <v>2018</v>
      </c>
      <c r="AL64" s="140"/>
      <c r="AM64" s="414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BA64" s="92"/>
      <c r="BC64" s="92"/>
      <c r="BD64" s="92"/>
      <c r="BE64" s="92"/>
    </row>
    <row r="65" spans="2:57" hidden="1">
      <c r="B65" s="104" t="s">
        <v>75</v>
      </c>
      <c r="C65" s="104" t="s">
        <v>38</v>
      </c>
      <c r="D65" s="87">
        <v>65</v>
      </c>
      <c r="E65" s="104" t="s">
        <v>364</v>
      </c>
      <c r="F65" s="71" t="s">
        <v>100</v>
      </c>
      <c r="G65" s="71" t="s">
        <v>31</v>
      </c>
      <c r="H65" s="89">
        <v>1</v>
      </c>
      <c r="I6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65" s="88">
        <v>43146</v>
      </c>
      <c r="K65" s="99" t="s">
        <v>463</v>
      </c>
      <c r="L65" s="120" t="s">
        <v>378</v>
      </c>
      <c r="M65" s="99"/>
      <c r="N65" s="90">
        <v>43036</v>
      </c>
      <c r="O65" s="255">
        <f>MONTH(LstMachines[[#This Row],[Delivery]])</f>
        <v>2</v>
      </c>
      <c r="P65" s="256" t="str">
        <f>FIXED(YEAR(LstMachines[[#This Row],[Delivery]]),0,TRUE)</f>
        <v>2018</v>
      </c>
      <c r="Q65" s="73" t="s">
        <v>314</v>
      </c>
      <c r="R65" s="93">
        <v>48776</v>
      </c>
      <c r="S65" s="95"/>
      <c r="T65" s="71"/>
      <c r="U65" s="72" t="s">
        <v>270</v>
      </c>
      <c r="V65" s="72">
        <v>4241</v>
      </c>
      <c r="W65" s="100" t="s">
        <v>383</v>
      </c>
      <c r="X65" s="258">
        <f>LstMachines[[#This Row],[Delivery]]</f>
        <v>43146</v>
      </c>
      <c r="Y65" s="258" t="str">
        <f xml:space="preserve"> IF(MONTH(LstMachines[[#This Row],[DateLivr]])&lt;10,"0","") &amp; MONTH(LstMachines[[#This Row],[DateLivr]]) &amp;"-"&amp;YEAR(LstMachines[[#This Row],[DateLivr]])</f>
        <v>02-2018</v>
      </c>
      <c r="Z65" s="258">
        <f>LstMachines[[#This Row],[Delivery]]+Rglt_à_HCME</f>
        <v>43206</v>
      </c>
      <c r="AA65" s="258" t="str">
        <f xml:space="preserve"> IF(MONTH(LstMachines[[#This Row],[DatePaie]])&lt;10,"0","") &amp; MONTH(LstMachines[[#This Row],[DatePaie]])&amp;"-"&amp;YEAR(LstMachines[[#This Row],[DatePaie]])</f>
        <v>04-2018</v>
      </c>
      <c r="AB65" s="258">
        <f>LstMachines[[#This Row],[DateLivr]]+1</f>
        <v>43147</v>
      </c>
      <c r="AC65" s="258" t="str">
        <f xml:space="preserve"> IF(MONTH(LstMachines[[#This Row],[Distrib]])&lt;10,"0","") &amp; MONTH(LstMachines[[#This Row],[Distrib]]) &amp; "-" &amp; YEAR(LstMachines[[#This Row],[Distrib]])</f>
        <v>02-2018</v>
      </c>
      <c r="AD65" s="258">
        <f>LstMachines[[#This Row],[DateLivr]]+Délai_Vente</f>
        <v>43266</v>
      </c>
      <c r="AE65" s="258" t="str">
        <f xml:space="preserve"> IF(MONTH(LstMachines[[#This Row],[VteESM]])&lt;10,"0","") &amp; MONTH(LstMachines[[#This Row],[VteESM]]) &amp; "-" &amp; YEAR(LstMachines[[#This Row],[VteESM]])</f>
        <v>06-2018</v>
      </c>
      <c r="AF65" s="258">
        <f>LstMachines[[#This Row],[DateLivr]]+Rglt_à_ESMTP</f>
        <v>43206</v>
      </c>
      <c r="AG65" s="258" t="str">
        <f xml:space="preserve"> IF(MONTH(LstMachines[[#This Row],[RgltDistrib]])&lt;10,"0","") &amp; MONTH(LstMachines[[#This Row],[RgltDistrib]]) &amp; "-" &amp; YEAR(LstMachines[[#This Row],[RgltDistrib]])</f>
        <v>04-2018</v>
      </c>
      <c r="AH65" s="258">
        <f>LstMachines[[#This Row],[VteESM]]+Rglt_à_ESMTP</f>
        <v>43326</v>
      </c>
      <c r="AI65" s="258" t="str">
        <f xml:space="preserve"> IF(MONTH(LstMachines[[#This Row],[RgltVteESM]])&lt;10,"0","") &amp; MONTH(LstMachines[[#This Row],[RgltVteESM]]) &amp; "-" &amp; YEAR(LstMachines[[#This Row],[RgltVteESM]])</f>
        <v>08-2018</v>
      </c>
      <c r="AJ65" s="140">
        <f>MONTH(LstMachines[[#This Row],[DatePaie]])</f>
        <v>4</v>
      </c>
      <c r="AK65" s="88" t="str">
        <f>FIXED(YEAR(LstMachines[[#This Row],[DatePaie]]),0,TRUE)</f>
        <v>2018</v>
      </c>
      <c r="AL65" s="140"/>
      <c r="AM65" s="414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BA65" s="92"/>
      <c r="BC65" s="92"/>
      <c r="BD65" s="92"/>
      <c r="BE65" s="92"/>
    </row>
    <row r="66" spans="2:57" hidden="1">
      <c r="B66" s="104" t="s">
        <v>259</v>
      </c>
      <c r="C66" s="104" t="s">
        <v>373</v>
      </c>
      <c r="D66" s="87">
        <v>75</v>
      </c>
      <c r="E66" s="104" t="s">
        <v>374</v>
      </c>
      <c r="F66" s="71" t="s">
        <v>100</v>
      </c>
      <c r="G66" s="71" t="s">
        <v>31</v>
      </c>
      <c r="H66" s="89">
        <v>1</v>
      </c>
      <c r="I6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66" s="88">
        <v>43146</v>
      </c>
      <c r="K66" s="99" t="s">
        <v>463</v>
      </c>
      <c r="L66" s="120" t="s">
        <v>378</v>
      </c>
      <c r="M66" s="99"/>
      <c r="N66" s="90">
        <v>43067</v>
      </c>
      <c r="O66" s="255">
        <f>MONTH(LstMachines[[#This Row],[Delivery]])</f>
        <v>2</v>
      </c>
      <c r="P66" s="256" t="str">
        <f>FIXED(YEAR(LstMachines[[#This Row],[Delivery]]),0,TRUE)</f>
        <v>2018</v>
      </c>
      <c r="Q66" s="73" t="s">
        <v>315</v>
      </c>
      <c r="R66" s="93">
        <v>38070</v>
      </c>
      <c r="S66" s="95"/>
      <c r="T66" s="71"/>
      <c r="U66" s="72" t="s">
        <v>270</v>
      </c>
      <c r="V66" s="72">
        <v>4245</v>
      </c>
      <c r="W66" s="99" t="s">
        <v>384</v>
      </c>
      <c r="X66" s="258">
        <f>LstMachines[[#This Row],[Delivery]]</f>
        <v>43146</v>
      </c>
      <c r="Y66" s="258" t="str">
        <f xml:space="preserve"> IF(MONTH(LstMachines[[#This Row],[DateLivr]])&lt;10,"0","") &amp; MONTH(LstMachines[[#This Row],[DateLivr]]) &amp;"-"&amp;YEAR(LstMachines[[#This Row],[DateLivr]])</f>
        <v>02-2018</v>
      </c>
      <c r="Z66" s="258">
        <f>LstMachines[[#This Row],[Delivery]]+Rglt_à_HCME</f>
        <v>43206</v>
      </c>
      <c r="AA66" s="258" t="str">
        <f xml:space="preserve"> IF(MONTH(LstMachines[[#This Row],[DatePaie]])&lt;10,"0","") &amp; MONTH(LstMachines[[#This Row],[DatePaie]])&amp;"-"&amp;YEAR(LstMachines[[#This Row],[DatePaie]])</f>
        <v>04-2018</v>
      </c>
      <c r="AB66" s="258">
        <f>LstMachines[[#This Row],[DateLivr]]+1</f>
        <v>43147</v>
      </c>
      <c r="AC66" s="258" t="str">
        <f xml:space="preserve"> IF(MONTH(LstMachines[[#This Row],[Distrib]])&lt;10,"0","") &amp; MONTH(LstMachines[[#This Row],[Distrib]]) &amp; "-" &amp; YEAR(LstMachines[[#This Row],[Distrib]])</f>
        <v>02-2018</v>
      </c>
      <c r="AD66" s="258">
        <f>LstMachines[[#This Row],[DateLivr]]+Délai_Vente</f>
        <v>43266</v>
      </c>
      <c r="AE66" s="258" t="str">
        <f xml:space="preserve"> IF(MONTH(LstMachines[[#This Row],[VteESM]])&lt;10,"0","") &amp; MONTH(LstMachines[[#This Row],[VteESM]]) &amp; "-" &amp; YEAR(LstMachines[[#This Row],[VteESM]])</f>
        <v>06-2018</v>
      </c>
      <c r="AF66" s="258">
        <f>LstMachines[[#This Row],[DateLivr]]+Rglt_à_ESMTP</f>
        <v>43206</v>
      </c>
      <c r="AG66" s="258" t="str">
        <f xml:space="preserve"> IF(MONTH(LstMachines[[#This Row],[RgltDistrib]])&lt;10,"0","") &amp; MONTH(LstMachines[[#This Row],[RgltDistrib]]) &amp; "-" &amp; YEAR(LstMachines[[#This Row],[RgltDistrib]])</f>
        <v>04-2018</v>
      </c>
      <c r="AH66" s="258">
        <f>LstMachines[[#This Row],[VteESM]]+Rglt_à_ESMTP</f>
        <v>43326</v>
      </c>
      <c r="AI66" s="258" t="str">
        <f xml:space="preserve"> IF(MONTH(LstMachines[[#This Row],[RgltVteESM]])&lt;10,"0","") &amp; MONTH(LstMachines[[#This Row],[RgltVteESM]]) &amp; "-" &amp; YEAR(LstMachines[[#This Row],[RgltVteESM]])</f>
        <v>08-2018</v>
      </c>
      <c r="AJ66" s="140">
        <f>MONTH(LstMachines[[#This Row],[DatePaie]])</f>
        <v>4</v>
      </c>
      <c r="AK66" s="88" t="str">
        <f>FIXED(YEAR(LstMachines[[#This Row],[DatePaie]]),0,TRUE)</f>
        <v>2018</v>
      </c>
      <c r="AL66" s="140"/>
      <c r="AM66" s="414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BA66" s="92"/>
      <c r="BC66" s="92"/>
      <c r="BD66" s="92"/>
      <c r="BE66" s="92"/>
    </row>
    <row r="67" spans="2:57" hidden="1">
      <c r="B67" s="104" t="s">
        <v>262</v>
      </c>
      <c r="C67" s="104" t="s">
        <v>43</v>
      </c>
      <c r="D67" s="87">
        <v>210</v>
      </c>
      <c r="E67" s="104" t="s">
        <v>89</v>
      </c>
      <c r="F67" s="71" t="s">
        <v>100</v>
      </c>
      <c r="G67" s="71" t="s">
        <v>31</v>
      </c>
      <c r="H67" s="89">
        <v>1</v>
      </c>
      <c r="I6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118</v>
      </c>
      <c r="J67" s="88">
        <v>43146</v>
      </c>
      <c r="K67" s="99" t="s">
        <v>463</v>
      </c>
      <c r="L67" s="120" t="s">
        <v>378</v>
      </c>
      <c r="M67" s="99"/>
      <c r="N67" s="90">
        <v>43036</v>
      </c>
      <c r="O67" s="255">
        <f>MONTH(LstMachines[[#This Row],[Delivery]])</f>
        <v>2</v>
      </c>
      <c r="P67" s="256" t="str">
        <f>FIXED(YEAR(LstMachines[[#This Row],[Delivery]]),0,TRUE)</f>
        <v>2018</v>
      </c>
      <c r="Q67" s="73" t="s">
        <v>331</v>
      </c>
      <c r="R67" s="93">
        <v>112553</v>
      </c>
      <c r="S67" s="95"/>
      <c r="T67" s="71"/>
      <c r="U67" s="72" t="s">
        <v>270</v>
      </c>
      <c r="V67" s="72">
        <v>4230</v>
      </c>
      <c r="W67" s="99" t="s">
        <v>384</v>
      </c>
      <c r="X67" s="258">
        <f>LstMachines[[#This Row],[Delivery]]</f>
        <v>43146</v>
      </c>
      <c r="Y67" s="258" t="str">
        <f xml:space="preserve"> IF(MONTH(LstMachines[[#This Row],[DateLivr]])&lt;10,"0","") &amp; MONTH(LstMachines[[#This Row],[DateLivr]]) &amp;"-"&amp;YEAR(LstMachines[[#This Row],[DateLivr]])</f>
        <v>02-2018</v>
      </c>
      <c r="Z67" s="258">
        <f>LstMachines[[#This Row],[Delivery]]+Rglt_à_HCME</f>
        <v>43206</v>
      </c>
      <c r="AA67" s="258" t="str">
        <f xml:space="preserve"> IF(MONTH(LstMachines[[#This Row],[DatePaie]])&lt;10,"0","") &amp; MONTH(LstMachines[[#This Row],[DatePaie]])&amp;"-"&amp;YEAR(LstMachines[[#This Row],[DatePaie]])</f>
        <v>04-2018</v>
      </c>
      <c r="AB67" s="258">
        <f>LstMachines[[#This Row],[DateLivr]]+1</f>
        <v>43147</v>
      </c>
      <c r="AC67" s="258" t="str">
        <f xml:space="preserve"> IF(MONTH(LstMachines[[#This Row],[Distrib]])&lt;10,"0","") &amp; MONTH(LstMachines[[#This Row],[Distrib]]) &amp; "-" &amp; YEAR(LstMachines[[#This Row],[Distrib]])</f>
        <v>02-2018</v>
      </c>
      <c r="AD67" s="258">
        <f>LstMachines[[#This Row],[DateLivr]]+Délai_Vente</f>
        <v>43266</v>
      </c>
      <c r="AE67" s="258" t="str">
        <f xml:space="preserve"> IF(MONTH(LstMachines[[#This Row],[VteESM]])&lt;10,"0","") &amp; MONTH(LstMachines[[#This Row],[VteESM]]) &amp; "-" &amp; YEAR(LstMachines[[#This Row],[VteESM]])</f>
        <v>06-2018</v>
      </c>
      <c r="AF67" s="258">
        <f>LstMachines[[#This Row],[DateLivr]]+Rglt_à_ESMTP</f>
        <v>43206</v>
      </c>
      <c r="AG67" s="258" t="str">
        <f xml:space="preserve"> IF(MONTH(LstMachines[[#This Row],[RgltDistrib]])&lt;10,"0","") &amp; MONTH(LstMachines[[#This Row],[RgltDistrib]]) &amp; "-" &amp; YEAR(LstMachines[[#This Row],[RgltDistrib]])</f>
        <v>04-2018</v>
      </c>
      <c r="AH67" s="258">
        <f>LstMachines[[#This Row],[VteESM]]+Rglt_à_ESMTP</f>
        <v>43326</v>
      </c>
      <c r="AI67" s="258" t="str">
        <f xml:space="preserve"> IF(MONTH(LstMachines[[#This Row],[RgltVteESM]])&lt;10,"0","") &amp; MONTH(LstMachines[[#This Row],[RgltVteESM]]) &amp; "-" &amp; YEAR(LstMachines[[#This Row],[RgltVteESM]])</f>
        <v>08-2018</v>
      </c>
      <c r="AJ67" s="140">
        <f>MONTH(LstMachines[[#This Row],[DatePaie]])</f>
        <v>4</v>
      </c>
      <c r="AK67" s="88" t="str">
        <f>FIXED(YEAR(LstMachines[[#This Row],[DatePaie]]),0,TRUE)</f>
        <v>2018</v>
      </c>
      <c r="AL67" s="140"/>
      <c r="AM67" s="414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BA67" s="92"/>
      <c r="BC67" s="92"/>
      <c r="BD67" s="92"/>
      <c r="BE67" s="92"/>
    </row>
    <row r="68" spans="2:57" hidden="1">
      <c r="B68" s="104" t="s">
        <v>262</v>
      </c>
      <c r="C68" s="104" t="s">
        <v>44</v>
      </c>
      <c r="D68" s="87">
        <v>225</v>
      </c>
      <c r="E68" s="104" t="s">
        <v>204</v>
      </c>
      <c r="F68" s="71" t="s">
        <v>100</v>
      </c>
      <c r="G68" s="87" t="s">
        <v>592</v>
      </c>
      <c r="H68" s="89">
        <v>1</v>
      </c>
      <c r="I6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68" s="88">
        <v>43146</v>
      </c>
      <c r="K68" s="99" t="s">
        <v>463</v>
      </c>
      <c r="L68" s="120" t="s">
        <v>378</v>
      </c>
      <c r="M68" s="99"/>
      <c r="N68" s="90">
        <v>42944</v>
      </c>
      <c r="O68" s="255">
        <f>MONTH(LstMachines[[#This Row],[Delivery]])</f>
        <v>2</v>
      </c>
      <c r="P68" s="256" t="str">
        <f>FIXED(YEAR(LstMachines[[#This Row],[Delivery]]),0,TRUE)</f>
        <v>2018</v>
      </c>
      <c r="Q68" s="73" t="s">
        <v>346</v>
      </c>
      <c r="R68" s="93">
        <v>141543</v>
      </c>
      <c r="S68" s="93"/>
      <c r="T68" s="73"/>
      <c r="U68" s="90" t="s">
        <v>105</v>
      </c>
      <c r="V68" s="72">
        <v>4168</v>
      </c>
      <c r="W68" s="100" t="s">
        <v>288</v>
      </c>
      <c r="X68" s="258">
        <f>LstMachines[[#This Row],[Delivery]]</f>
        <v>43146</v>
      </c>
      <c r="Y68" s="258" t="str">
        <f xml:space="preserve"> IF(MONTH(LstMachines[[#This Row],[DateLivr]])&lt;10,"0","") &amp; MONTH(LstMachines[[#This Row],[DateLivr]]) &amp;"-"&amp;YEAR(LstMachines[[#This Row],[DateLivr]])</f>
        <v>02-2018</v>
      </c>
      <c r="Z68" s="258">
        <f>LstMachines[[#This Row],[Delivery]]+Rglt_à_HCME</f>
        <v>43206</v>
      </c>
      <c r="AA68" s="258" t="str">
        <f xml:space="preserve"> IF(MONTH(LstMachines[[#This Row],[DatePaie]])&lt;10,"0","") &amp; MONTH(LstMachines[[#This Row],[DatePaie]])&amp;"-"&amp;YEAR(LstMachines[[#This Row],[DatePaie]])</f>
        <v>04-2018</v>
      </c>
      <c r="AB68" s="258">
        <f>LstMachines[[#This Row],[DateLivr]]+1</f>
        <v>43147</v>
      </c>
      <c r="AC68" s="258" t="str">
        <f xml:space="preserve"> IF(MONTH(LstMachines[[#This Row],[Distrib]])&lt;10,"0","") &amp; MONTH(LstMachines[[#This Row],[Distrib]]) &amp; "-" &amp; YEAR(LstMachines[[#This Row],[Distrib]])</f>
        <v>02-2018</v>
      </c>
      <c r="AD68" s="258">
        <f>LstMachines[[#This Row],[DateLivr]]+Délai_Vente</f>
        <v>43266</v>
      </c>
      <c r="AE68" s="258" t="str">
        <f xml:space="preserve"> IF(MONTH(LstMachines[[#This Row],[VteESM]])&lt;10,"0","") &amp; MONTH(LstMachines[[#This Row],[VteESM]]) &amp; "-" &amp; YEAR(LstMachines[[#This Row],[VteESM]])</f>
        <v>06-2018</v>
      </c>
      <c r="AF68" s="258">
        <f>LstMachines[[#This Row],[DateLivr]]+Rglt_à_ESMTP</f>
        <v>43206</v>
      </c>
      <c r="AG68" s="258" t="str">
        <f xml:space="preserve"> IF(MONTH(LstMachines[[#This Row],[RgltDistrib]])&lt;10,"0","") &amp; MONTH(LstMachines[[#This Row],[RgltDistrib]]) &amp; "-" &amp; YEAR(LstMachines[[#This Row],[RgltDistrib]])</f>
        <v>04-2018</v>
      </c>
      <c r="AH68" s="258">
        <f>LstMachines[[#This Row],[VteESM]]+Rglt_à_ESMTP</f>
        <v>43326</v>
      </c>
      <c r="AI68" s="258" t="str">
        <f xml:space="preserve"> IF(MONTH(LstMachines[[#This Row],[RgltVteESM]])&lt;10,"0","") &amp; MONTH(LstMachines[[#This Row],[RgltVteESM]]) &amp; "-" &amp; YEAR(LstMachines[[#This Row],[RgltVteESM]])</f>
        <v>08-2018</v>
      </c>
      <c r="AJ68" s="140">
        <f>MONTH(LstMachines[[#This Row],[DatePaie]])</f>
        <v>4</v>
      </c>
      <c r="AK68" s="88" t="str">
        <f>FIXED(YEAR(LstMachines[[#This Row],[DatePaie]]),0,TRUE)</f>
        <v>2018</v>
      </c>
      <c r="AL68" s="140"/>
      <c r="AM68" s="414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BA68" s="92"/>
      <c r="BC68" s="92"/>
      <c r="BD68" s="92"/>
      <c r="BE68" s="92"/>
    </row>
    <row r="69" spans="2:57" hidden="1">
      <c r="B69" s="243" t="s">
        <v>262</v>
      </c>
      <c r="C69" s="243" t="s">
        <v>43</v>
      </c>
      <c r="D69" s="245">
        <v>210</v>
      </c>
      <c r="E69" s="243" t="s">
        <v>89</v>
      </c>
      <c r="F69" s="89" t="s">
        <v>66</v>
      </c>
      <c r="G69" s="87" t="s">
        <v>106</v>
      </c>
      <c r="H69" s="246">
        <v>1</v>
      </c>
      <c r="I6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118</v>
      </c>
      <c r="J69" s="247">
        <v>43146</v>
      </c>
      <c r="K69" s="248" t="s">
        <v>463</v>
      </c>
      <c r="L69" s="398" t="s">
        <v>596</v>
      </c>
      <c r="M69" s="248"/>
      <c r="N69" s="249"/>
      <c r="O69" s="255">
        <f>MONTH(LstMachines[[#This Row],[Delivery]])</f>
        <v>2</v>
      </c>
      <c r="P69" s="256" t="str">
        <f>FIXED(YEAR(LstMachines[[#This Row],[Delivery]]),0,TRUE)</f>
        <v>2018</v>
      </c>
      <c r="Q69" s="250"/>
      <c r="R69" s="251"/>
      <c r="S69" s="249"/>
      <c r="T69" s="249"/>
      <c r="U69" s="249" t="s">
        <v>105</v>
      </c>
      <c r="V69" s="246"/>
      <c r="W69" s="248" t="s">
        <v>384</v>
      </c>
      <c r="X69" s="258">
        <f>LstMachines[[#This Row],[Delivery]]</f>
        <v>43146</v>
      </c>
      <c r="Y69" s="258" t="str">
        <f xml:space="preserve"> IF(MONTH(LstMachines[[#This Row],[DateLivr]])&lt;10,"0","") &amp; MONTH(LstMachines[[#This Row],[DateLivr]]) &amp;"-"&amp;YEAR(LstMachines[[#This Row],[DateLivr]])</f>
        <v>02-2018</v>
      </c>
      <c r="Z69" s="258">
        <f>LstMachines[[#This Row],[Delivery]]+Rglt_à_HCME</f>
        <v>43206</v>
      </c>
      <c r="AA69" s="258" t="str">
        <f xml:space="preserve"> IF(MONTH(LstMachines[[#This Row],[DatePaie]])&lt;10,"0","") &amp; MONTH(LstMachines[[#This Row],[DatePaie]])&amp;"-"&amp;YEAR(LstMachines[[#This Row],[DatePaie]])</f>
        <v>04-2018</v>
      </c>
      <c r="AB69" s="258">
        <f>LstMachines[[#This Row],[DateLivr]]+1</f>
        <v>43147</v>
      </c>
      <c r="AC69" s="258" t="str">
        <f xml:space="preserve"> IF(MONTH(LstMachines[[#This Row],[Distrib]])&lt;10,"0","") &amp; MONTH(LstMachines[[#This Row],[Distrib]]) &amp; "-" &amp; YEAR(LstMachines[[#This Row],[Distrib]])</f>
        <v>02-2018</v>
      </c>
      <c r="AD69" s="258">
        <f>LstMachines[[#This Row],[DateLivr]]+Délai_Vente</f>
        <v>43266</v>
      </c>
      <c r="AE69" s="258" t="str">
        <f xml:space="preserve"> IF(MONTH(LstMachines[[#This Row],[VteESM]])&lt;10,"0","") &amp; MONTH(LstMachines[[#This Row],[VteESM]]) &amp; "-" &amp; YEAR(LstMachines[[#This Row],[VteESM]])</f>
        <v>06-2018</v>
      </c>
      <c r="AF69" s="258">
        <f>LstMachines[[#This Row],[DateLivr]]+Rglt_à_ESMTP</f>
        <v>43206</v>
      </c>
      <c r="AG69" s="258" t="str">
        <f xml:space="preserve"> IF(MONTH(LstMachines[[#This Row],[RgltDistrib]])&lt;10,"0","") &amp; MONTH(LstMachines[[#This Row],[RgltDistrib]]) &amp; "-" &amp; YEAR(LstMachines[[#This Row],[RgltDistrib]])</f>
        <v>04-2018</v>
      </c>
      <c r="AH69" s="258">
        <f>LstMachines[[#This Row],[VteESM]]+Rglt_à_ESMTP</f>
        <v>43326</v>
      </c>
      <c r="AI69" s="258" t="str">
        <f xml:space="preserve"> IF(MONTH(LstMachines[[#This Row],[RgltVteESM]])&lt;10,"0","") &amp; MONTH(LstMachines[[#This Row],[RgltVteESM]]) &amp; "-" &amp; YEAR(LstMachines[[#This Row],[RgltVteESM]])</f>
        <v>08-2018</v>
      </c>
      <c r="AJ69" s="140">
        <f>MONTH(LstMachines[[#This Row],[DatePaie]])</f>
        <v>4</v>
      </c>
      <c r="AK69" s="88" t="str">
        <f>FIXED(YEAR(LstMachines[[#This Row],[DatePaie]]),0,TRUE)</f>
        <v>2018</v>
      </c>
      <c r="AL69" s="270"/>
      <c r="AM69" s="414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BA69" s="92"/>
      <c r="BC69" s="92"/>
      <c r="BD69" s="92"/>
      <c r="BE69" s="92"/>
    </row>
    <row r="70" spans="2:57" hidden="1">
      <c r="B70" s="104" t="s">
        <v>263</v>
      </c>
      <c r="C70" s="104" t="s">
        <v>35</v>
      </c>
      <c r="D70" s="87">
        <v>19</v>
      </c>
      <c r="E70" s="86" t="s">
        <v>180</v>
      </c>
      <c r="F70" s="89" t="s">
        <v>66</v>
      </c>
      <c r="G70" s="87" t="s">
        <v>106</v>
      </c>
      <c r="H70" s="89">
        <v>1</v>
      </c>
      <c r="I7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70" s="247">
        <v>43146</v>
      </c>
      <c r="K70" s="99" t="s">
        <v>465</v>
      </c>
      <c r="L70" s="398" t="s">
        <v>596</v>
      </c>
      <c r="M70" s="99"/>
      <c r="N70" s="90"/>
      <c r="O70" s="255">
        <f>MONTH(LstMachines[[#This Row],[Delivery]])</f>
        <v>2</v>
      </c>
      <c r="P70" s="256" t="str">
        <f>FIXED(YEAR(LstMachines[[#This Row],[Delivery]]),0,TRUE)</f>
        <v>2018</v>
      </c>
      <c r="Q70" s="73"/>
      <c r="R70" s="93"/>
      <c r="S70" s="90"/>
      <c r="T70" s="90"/>
      <c r="U70" s="90"/>
      <c r="V70" s="72"/>
      <c r="W70" s="99"/>
      <c r="X70" s="258">
        <f>LstMachines[[#This Row],[Delivery]]</f>
        <v>43146</v>
      </c>
      <c r="Y70" s="258" t="str">
        <f xml:space="preserve"> IF(MONTH(LstMachines[[#This Row],[DateLivr]])&lt;10,"0","") &amp; MONTH(LstMachines[[#This Row],[DateLivr]]) &amp;"-"&amp;YEAR(LstMachines[[#This Row],[DateLivr]])</f>
        <v>02-2018</v>
      </c>
      <c r="Z70" s="258">
        <f>LstMachines[[#This Row],[Delivery]]+Rglt_à_HCME</f>
        <v>43206</v>
      </c>
      <c r="AA70" s="258" t="str">
        <f xml:space="preserve"> IF(MONTH(LstMachines[[#This Row],[DatePaie]])&lt;10,"0","") &amp; MONTH(LstMachines[[#This Row],[DatePaie]])&amp;"-"&amp;YEAR(LstMachines[[#This Row],[DatePaie]])</f>
        <v>04-2018</v>
      </c>
      <c r="AB70" s="258">
        <f>LstMachines[[#This Row],[DateLivr]]+1</f>
        <v>43147</v>
      </c>
      <c r="AC70" s="258" t="str">
        <f xml:space="preserve"> IF(MONTH(LstMachines[[#This Row],[Distrib]])&lt;10,"0","") &amp; MONTH(LstMachines[[#This Row],[Distrib]]) &amp; "-" &amp; YEAR(LstMachines[[#This Row],[Distrib]])</f>
        <v>02-2018</v>
      </c>
      <c r="AD70" s="258">
        <f>LstMachines[[#This Row],[DateLivr]]+Délai_Vente</f>
        <v>43266</v>
      </c>
      <c r="AE70" s="258" t="str">
        <f xml:space="preserve"> IF(MONTH(LstMachines[[#This Row],[VteESM]])&lt;10,"0","") &amp; MONTH(LstMachines[[#This Row],[VteESM]]) &amp; "-" &amp; YEAR(LstMachines[[#This Row],[VteESM]])</f>
        <v>06-2018</v>
      </c>
      <c r="AF70" s="258">
        <f>LstMachines[[#This Row],[DateLivr]]+Rglt_à_ESMTP</f>
        <v>43206</v>
      </c>
      <c r="AG70" s="258" t="str">
        <f xml:space="preserve"> IF(MONTH(LstMachines[[#This Row],[RgltDistrib]])&lt;10,"0","") &amp; MONTH(LstMachines[[#This Row],[RgltDistrib]]) &amp; "-" &amp; YEAR(LstMachines[[#This Row],[RgltDistrib]])</f>
        <v>04-2018</v>
      </c>
      <c r="AH70" s="258">
        <f>LstMachines[[#This Row],[VteESM]]+Rglt_à_ESMTP</f>
        <v>43326</v>
      </c>
      <c r="AI70" s="258" t="str">
        <f xml:space="preserve"> IF(MONTH(LstMachines[[#This Row],[RgltVteESM]])&lt;10,"0","") &amp; MONTH(LstMachines[[#This Row],[RgltVteESM]]) &amp; "-" &amp; YEAR(LstMachines[[#This Row],[RgltVteESM]])</f>
        <v>08-2018</v>
      </c>
      <c r="AJ70" s="140">
        <f>MONTH(LstMachines[[#This Row],[DatePaie]])</f>
        <v>4</v>
      </c>
      <c r="AK70" s="88" t="str">
        <f>FIXED(YEAR(LstMachines[[#This Row],[DatePaie]]),0,TRUE)</f>
        <v>2018</v>
      </c>
      <c r="AL70" s="140"/>
      <c r="AM70" s="414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BA70" s="92"/>
      <c r="BC70" s="92"/>
      <c r="BD70" s="92"/>
      <c r="BE70" s="92"/>
    </row>
    <row r="71" spans="2:57" hidden="1">
      <c r="B71" s="104" t="s">
        <v>263</v>
      </c>
      <c r="C71" s="104" t="s">
        <v>35</v>
      </c>
      <c r="D71" s="87">
        <v>19</v>
      </c>
      <c r="E71" s="86" t="s">
        <v>76</v>
      </c>
      <c r="F71" s="89" t="s">
        <v>66</v>
      </c>
      <c r="G71" s="87" t="s">
        <v>106</v>
      </c>
      <c r="H71" s="89">
        <v>1</v>
      </c>
      <c r="I7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71" s="247">
        <v>43146</v>
      </c>
      <c r="K71" s="99" t="s">
        <v>465</v>
      </c>
      <c r="L71" s="398" t="s">
        <v>596</v>
      </c>
      <c r="M71" s="99"/>
      <c r="N71" s="90"/>
      <c r="O71" s="255">
        <f>MONTH(LstMachines[[#This Row],[Delivery]])</f>
        <v>2</v>
      </c>
      <c r="P71" s="256" t="str">
        <f>FIXED(YEAR(LstMachines[[#This Row],[Delivery]]),0,TRUE)</f>
        <v>2018</v>
      </c>
      <c r="Q71" s="73"/>
      <c r="R71" s="93"/>
      <c r="S71" s="90"/>
      <c r="T71" s="90"/>
      <c r="U71" s="90"/>
      <c r="V71" s="72"/>
      <c r="W71" s="99"/>
      <c r="X71" s="258">
        <f>LstMachines[[#This Row],[Delivery]]</f>
        <v>43146</v>
      </c>
      <c r="Y71" s="258" t="str">
        <f xml:space="preserve"> IF(MONTH(LstMachines[[#This Row],[DateLivr]])&lt;10,"0","") &amp; MONTH(LstMachines[[#This Row],[DateLivr]]) &amp;"-"&amp;YEAR(LstMachines[[#This Row],[DateLivr]])</f>
        <v>02-2018</v>
      </c>
      <c r="Z71" s="258">
        <f>LstMachines[[#This Row],[Delivery]]+Rglt_à_HCME</f>
        <v>43206</v>
      </c>
      <c r="AA71" s="258" t="str">
        <f xml:space="preserve"> IF(MONTH(LstMachines[[#This Row],[DatePaie]])&lt;10,"0","") &amp; MONTH(LstMachines[[#This Row],[DatePaie]])&amp;"-"&amp;YEAR(LstMachines[[#This Row],[DatePaie]])</f>
        <v>04-2018</v>
      </c>
      <c r="AB71" s="258">
        <f>LstMachines[[#This Row],[DateLivr]]+1</f>
        <v>43147</v>
      </c>
      <c r="AC71" s="258" t="str">
        <f xml:space="preserve"> IF(MONTH(LstMachines[[#This Row],[Distrib]])&lt;10,"0","") &amp; MONTH(LstMachines[[#This Row],[Distrib]]) &amp; "-" &amp; YEAR(LstMachines[[#This Row],[Distrib]])</f>
        <v>02-2018</v>
      </c>
      <c r="AD71" s="258">
        <f>LstMachines[[#This Row],[DateLivr]]+Délai_Vente</f>
        <v>43266</v>
      </c>
      <c r="AE71" s="258" t="str">
        <f xml:space="preserve"> IF(MONTH(LstMachines[[#This Row],[VteESM]])&lt;10,"0","") &amp; MONTH(LstMachines[[#This Row],[VteESM]]) &amp; "-" &amp; YEAR(LstMachines[[#This Row],[VteESM]])</f>
        <v>06-2018</v>
      </c>
      <c r="AF71" s="258">
        <f>LstMachines[[#This Row],[DateLivr]]+Rglt_à_ESMTP</f>
        <v>43206</v>
      </c>
      <c r="AG71" s="258" t="str">
        <f xml:space="preserve"> IF(MONTH(LstMachines[[#This Row],[RgltDistrib]])&lt;10,"0","") &amp; MONTH(LstMachines[[#This Row],[RgltDistrib]]) &amp; "-" &amp; YEAR(LstMachines[[#This Row],[RgltDistrib]])</f>
        <v>04-2018</v>
      </c>
      <c r="AH71" s="258">
        <f>LstMachines[[#This Row],[VteESM]]+Rglt_à_ESMTP</f>
        <v>43326</v>
      </c>
      <c r="AI71" s="258" t="str">
        <f xml:space="preserve"> IF(MONTH(LstMachines[[#This Row],[RgltVteESM]])&lt;10,"0","") &amp; MONTH(LstMachines[[#This Row],[RgltVteESM]]) &amp; "-" &amp; YEAR(LstMachines[[#This Row],[RgltVteESM]])</f>
        <v>08-2018</v>
      </c>
      <c r="AJ71" s="140">
        <f>MONTH(LstMachines[[#This Row],[DatePaie]])</f>
        <v>4</v>
      </c>
      <c r="AK71" s="88" t="str">
        <f>FIXED(YEAR(LstMachines[[#This Row],[DatePaie]]),0,TRUE)</f>
        <v>2018</v>
      </c>
      <c r="AL71" s="140"/>
      <c r="AM71" s="414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BA71" s="92"/>
      <c r="BC71" s="92"/>
      <c r="BD71" s="92"/>
      <c r="BE71" s="92"/>
    </row>
    <row r="72" spans="2:57" hidden="1">
      <c r="B72" s="104" t="s">
        <v>263</v>
      </c>
      <c r="C72" s="243" t="s">
        <v>250</v>
      </c>
      <c r="D72" s="245">
        <v>145</v>
      </c>
      <c r="E72" s="243" t="s">
        <v>228</v>
      </c>
      <c r="F72" s="89" t="s">
        <v>66</v>
      </c>
      <c r="G72" s="87" t="s">
        <v>106</v>
      </c>
      <c r="H72" s="246">
        <v>1</v>
      </c>
      <c r="I7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115</v>
      </c>
      <c r="J72" s="247">
        <v>43146</v>
      </c>
      <c r="K72" s="248" t="s">
        <v>463</v>
      </c>
      <c r="L72" s="398" t="s">
        <v>589</v>
      </c>
      <c r="M72" s="248"/>
      <c r="N72" s="249"/>
      <c r="O72" s="255">
        <f>MONTH(LstMachines[[#This Row],[Delivery]])</f>
        <v>2</v>
      </c>
      <c r="P72" s="256" t="str">
        <f>FIXED(YEAR(LstMachines[[#This Row],[Delivery]]),0,TRUE)</f>
        <v>2018</v>
      </c>
      <c r="Q72" s="250"/>
      <c r="R72" s="251"/>
      <c r="S72" s="249"/>
      <c r="T72" s="249"/>
      <c r="U72" s="249" t="s">
        <v>105</v>
      </c>
      <c r="V72" s="246"/>
      <c r="W72" s="248" t="s">
        <v>384</v>
      </c>
      <c r="X72" s="258">
        <f>LstMachines[[#This Row],[Delivery]]</f>
        <v>43146</v>
      </c>
      <c r="Y72" s="258" t="str">
        <f xml:space="preserve"> IF(MONTH(LstMachines[[#This Row],[DateLivr]])&lt;10,"0","") &amp; MONTH(LstMachines[[#This Row],[DateLivr]]) &amp;"-"&amp;YEAR(LstMachines[[#This Row],[DateLivr]])</f>
        <v>02-2018</v>
      </c>
      <c r="Z72" s="258">
        <f>LstMachines[[#This Row],[Delivery]]+Rglt_à_HCME</f>
        <v>43206</v>
      </c>
      <c r="AA72" s="258" t="str">
        <f xml:space="preserve"> IF(MONTH(LstMachines[[#This Row],[DatePaie]])&lt;10,"0","") &amp; MONTH(LstMachines[[#This Row],[DatePaie]])&amp;"-"&amp;YEAR(LstMachines[[#This Row],[DatePaie]])</f>
        <v>04-2018</v>
      </c>
      <c r="AB72" s="258">
        <f>LstMachines[[#This Row],[DateLivr]]+1</f>
        <v>43147</v>
      </c>
      <c r="AC72" s="258" t="str">
        <f xml:space="preserve"> IF(MONTH(LstMachines[[#This Row],[Distrib]])&lt;10,"0","") &amp; MONTH(LstMachines[[#This Row],[Distrib]]) &amp; "-" &amp; YEAR(LstMachines[[#This Row],[Distrib]])</f>
        <v>02-2018</v>
      </c>
      <c r="AD72" s="258">
        <f>LstMachines[[#This Row],[DateLivr]]+Délai_Vente</f>
        <v>43266</v>
      </c>
      <c r="AE72" s="258" t="str">
        <f xml:space="preserve"> IF(MONTH(LstMachines[[#This Row],[VteESM]])&lt;10,"0","") &amp; MONTH(LstMachines[[#This Row],[VteESM]]) &amp; "-" &amp; YEAR(LstMachines[[#This Row],[VteESM]])</f>
        <v>06-2018</v>
      </c>
      <c r="AF72" s="258">
        <f>LstMachines[[#This Row],[DateLivr]]+Rglt_à_ESMTP</f>
        <v>43206</v>
      </c>
      <c r="AG72" s="258" t="str">
        <f xml:space="preserve"> IF(MONTH(LstMachines[[#This Row],[RgltDistrib]])&lt;10,"0","") &amp; MONTH(LstMachines[[#This Row],[RgltDistrib]]) &amp; "-" &amp; YEAR(LstMachines[[#This Row],[RgltDistrib]])</f>
        <v>04-2018</v>
      </c>
      <c r="AH72" s="258">
        <f>LstMachines[[#This Row],[VteESM]]+Rglt_à_ESMTP</f>
        <v>43326</v>
      </c>
      <c r="AI72" s="258" t="str">
        <f xml:space="preserve"> IF(MONTH(LstMachines[[#This Row],[RgltVteESM]])&lt;10,"0","") &amp; MONTH(LstMachines[[#This Row],[RgltVteESM]]) &amp; "-" &amp; YEAR(LstMachines[[#This Row],[RgltVteESM]])</f>
        <v>08-2018</v>
      </c>
      <c r="AJ72" s="140">
        <f>MONTH(LstMachines[[#This Row],[DatePaie]])</f>
        <v>4</v>
      </c>
      <c r="AK72" s="88" t="str">
        <f>FIXED(YEAR(LstMachines[[#This Row],[DatePaie]]),0,TRUE)</f>
        <v>2018</v>
      </c>
      <c r="AL72" s="270"/>
      <c r="AM72" s="414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BA72" s="92"/>
      <c r="BC72" s="92"/>
      <c r="BD72" s="92"/>
      <c r="BE72" s="92"/>
    </row>
    <row r="73" spans="2:57" hidden="1">
      <c r="B73" s="243" t="s">
        <v>262</v>
      </c>
      <c r="C73" s="243" t="s">
        <v>40</v>
      </c>
      <c r="D73" s="245">
        <v>135</v>
      </c>
      <c r="E73" s="243" t="s">
        <v>87</v>
      </c>
      <c r="F73" s="89" t="s">
        <v>66</v>
      </c>
      <c r="G73" s="87" t="s">
        <v>106</v>
      </c>
      <c r="H73" s="246">
        <v>1</v>
      </c>
      <c r="I7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73" s="247">
        <v>43146</v>
      </c>
      <c r="K73" s="248" t="s">
        <v>463</v>
      </c>
      <c r="L73" s="398" t="s">
        <v>589</v>
      </c>
      <c r="M73" s="248"/>
      <c r="N73" s="249"/>
      <c r="O73" s="255">
        <f>MONTH(LstMachines[[#This Row],[Delivery]])</f>
        <v>2</v>
      </c>
      <c r="P73" s="256" t="str">
        <f>FIXED(YEAR(LstMachines[[#This Row],[Delivery]]),0,TRUE)</f>
        <v>2018</v>
      </c>
      <c r="Q73" s="250"/>
      <c r="R73" s="251"/>
      <c r="S73" s="249"/>
      <c r="T73" s="249"/>
      <c r="U73" s="249" t="s">
        <v>105</v>
      </c>
      <c r="V73" s="246"/>
      <c r="W73" s="248" t="s">
        <v>384</v>
      </c>
      <c r="X73" s="258">
        <f>LstMachines[[#This Row],[Delivery]]</f>
        <v>43146</v>
      </c>
      <c r="Y73" s="258" t="str">
        <f xml:space="preserve"> IF(MONTH(LstMachines[[#This Row],[DateLivr]])&lt;10,"0","") &amp; MONTH(LstMachines[[#This Row],[DateLivr]]) &amp;"-"&amp;YEAR(LstMachines[[#This Row],[DateLivr]])</f>
        <v>02-2018</v>
      </c>
      <c r="Z73" s="258">
        <f>LstMachines[[#This Row],[Delivery]]+Rglt_à_HCME</f>
        <v>43206</v>
      </c>
      <c r="AA73" s="258" t="str">
        <f xml:space="preserve"> IF(MONTH(LstMachines[[#This Row],[DatePaie]])&lt;10,"0","") &amp; MONTH(LstMachines[[#This Row],[DatePaie]])&amp;"-"&amp;YEAR(LstMachines[[#This Row],[DatePaie]])</f>
        <v>04-2018</v>
      </c>
      <c r="AB73" s="258">
        <f>LstMachines[[#This Row],[DateLivr]]+1</f>
        <v>43147</v>
      </c>
      <c r="AC73" s="258" t="str">
        <f xml:space="preserve"> IF(MONTH(LstMachines[[#This Row],[Distrib]])&lt;10,"0","") &amp; MONTH(LstMachines[[#This Row],[Distrib]]) &amp; "-" &amp; YEAR(LstMachines[[#This Row],[Distrib]])</f>
        <v>02-2018</v>
      </c>
      <c r="AD73" s="258">
        <f>LstMachines[[#This Row],[DateLivr]]+Délai_Vente</f>
        <v>43266</v>
      </c>
      <c r="AE73" s="258" t="str">
        <f xml:space="preserve"> IF(MONTH(LstMachines[[#This Row],[VteESM]])&lt;10,"0","") &amp; MONTH(LstMachines[[#This Row],[VteESM]]) &amp; "-" &amp; YEAR(LstMachines[[#This Row],[VteESM]])</f>
        <v>06-2018</v>
      </c>
      <c r="AF73" s="258">
        <f>LstMachines[[#This Row],[DateLivr]]+Rglt_à_ESMTP</f>
        <v>43206</v>
      </c>
      <c r="AG73" s="258" t="str">
        <f xml:space="preserve"> IF(MONTH(LstMachines[[#This Row],[RgltDistrib]])&lt;10,"0","") &amp; MONTH(LstMachines[[#This Row],[RgltDistrib]]) &amp; "-" &amp; YEAR(LstMachines[[#This Row],[RgltDistrib]])</f>
        <v>04-2018</v>
      </c>
      <c r="AH73" s="258">
        <f>LstMachines[[#This Row],[VteESM]]+Rglt_à_ESMTP</f>
        <v>43326</v>
      </c>
      <c r="AI73" s="258" t="str">
        <f xml:space="preserve"> IF(MONTH(LstMachines[[#This Row],[RgltVteESM]])&lt;10,"0","") &amp; MONTH(LstMachines[[#This Row],[RgltVteESM]]) &amp; "-" &amp; YEAR(LstMachines[[#This Row],[RgltVteESM]])</f>
        <v>08-2018</v>
      </c>
      <c r="AJ73" s="140">
        <f>MONTH(LstMachines[[#This Row],[DatePaie]])</f>
        <v>4</v>
      </c>
      <c r="AK73" s="88" t="str">
        <f>FIXED(YEAR(LstMachines[[#This Row],[DatePaie]]),0,TRUE)</f>
        <v>2018</v>
      </c>
      <c r="AL73" s="270"/>
      <c r="AM73" s="414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BA73" s="92"/>
      <c r="BC73" s="92"/>
      <c r="BD73" s="92"/>
      <c r="BE73" s="92"/>
    </row>
    <row r="74" spans="2:57" hidden="1">
      <c r="B74" s="243" t="s">
        <v>262</v>
      </c>
      <c r="C74" s="243" t="s">
        <v>39</v>
      </c>
      <c r="D74" s="245">
        <v>85</v>
      </c>
      <c r="E74" s="243" t="s">
        <v>356</v>
      </c>
      <c r="F74" s="89" t="s">
        <v>66</v>
      </c>
      <c r="G74" s="89" t="s">
        <v>106</v>
      </c>
      <c r="H74" s="246">
        <v>2</v>
      </c>
      <c r="I7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74" s="247">
        <v>43146</v>
      </c>
      <c r="K74" s="248" t="s">
        <v>463</v>
      </c>
      <c r="L74" s="398" t="s">
        <v>589</v>
      </c>
      <c r="M74" s="248"/>
      <c r="N74" s="249"/>
      <c r="O74" s="255">
        <f>MONTH(LstMachines[[#This Row],[Delivery]])</f>
        <v>2</v>
      </c>
      <c r="P74" s="256" t="str">
        <f>FIXED(YEAR(LstMachines[[#This Row],[Delivery]]),0,TRUE)</f>
        <v>2018</v>
      </c>
      <c r="Q74" s="250"/>
      <c r="R74" s="251"/>
      <c r="S74" s="249"/>
      <c r="T74" s="249"/>
      <c r="U74" s="249" t="s">
        <v>105</v>
      </c>
      <c r="V74" s="246"/>
      <c r="W74" s="248" t="s">
        <v>384</v>
      </c>
      <c r="X74" s="258">
        <f>LstMachines[[#This Row],[Delivery]]</f>
        <v>43146</v>
      </c>
      <c r="Y74" s="258" t="str">
        <f xml:space="preserve"> IF(MONTH(LstMachines[[#This Row],[DateLivr]])&lt;10,"0","") &amp; MONTH(LstMachines[[#This Row],[DateLivr]]) &amp;"-"&amp;YEAR(LstMachines[[#This Row],[DateLivr]])</f>
        <v>02-2018</v>
      </c>
      <c r="Z74" s="258">
        <f>LstMachines[[#This Row],[Delivery]]+Rglt_à_HCME</f>
        <v>43206</v>
      </c>
      <c r="AA74" s="258" t="str">
        <f xml:space="preserve"> IF(MONTH(LstMachines[[#This Row],[DatePaie]])&lt;10,"0","") &amp; MONTH(LstMachines[[#This Row],[DatePaie]])&amp;"-"&amp;YEAR(LstMachines[[#This Row],[DatePaie]])</f>
        <v>04-2018</v>
      </c>
      <c r="AB74" s="258">
        <f>LstMachines[[#This Row],[DateLivr]]+1</f>
        <v>43147</v>
      </c>
      <c r="AC74" s="258" t="str">
        <f xml:space="preserve"> IF(MONTH(LstMachines[[#This Row],[Distrib]])&lt;10,"0","") &amp; MONTH(LstMachines[[#This Row],[Distrib]]) &amp; "-" &amp; YEAR(LstMachines[[#This Row],[Distrib]])</f>
        <v>02-2018</v>
      </c>
      <c r="AD74" s="258">
        <f>LstMachines[[#This Row],[DateLivr]]+Délai_Vente</f>
        <v>43266</v>
      </c>
      <c r="AE74" s="258" t="str">
        <f xml:space="preserve"> IF(MONTH(LstMachines[[#This Row],[VteESM]])&lt;10,"0","") &amp; MONTH(LstMachines[[#This Row],[VteESM]]) &amp; "-" &amp; YEAR(LstMachines[[#This Row],[VteESM]])</f>
        <v>06-2018</v>
      </c>
      <c r="AF74" s="258">
        <f>LstMachines[[#This Row],[DateLivr]]+Rglt_à_ESMTP</f>
        <v>43206</v>
      </c>
      <c r="AG74" s="258" t="str">
        <f xml:space="preserve"> IF(MONTH(LstMachines[[#This Row],[RgltDistrib]])&lt;10,"0","") &amp; MONTH(LstMachines[[#This Row],[RgltDistrib]]) &amp; "-" &amp; YEAR(LstMachines[[#This Row],[RgltDistrib]])</f>
        <v>04-2018</v>
      </c>
      <c r="AH74" s="258">
        <f>LstMachines[[#This Row],[VteESM]]+Rglt_à_ESMTP</f>
        <v>43326</v>
      </c>
      <c r="AI74" s="258" t="str">
        <f xml:space="preserve"> IF(MONTH(LstMachines[[#This Row],[RgltVteESM]])&lt;10,"0","") &amp; MONTH(LstMachines[[#This Row],[RgltVteESM]]) &amp; "-" &amp; YEAR(LstMachines[[#This Row],[RgltVteESM]])</f>
        <v>08-2018</v>
      </c>
      <c r="AJ74" s="140">
        <f>MONTH(LstMachines[[#This Row],[DatePaie]])</f>
        <v>4</v>
      </c>
      <c r="AK74" s="88" t="str">
        <f>FIXED(YEAR(LstMachines[[#This Row],[DatePaie]]),0,TRUE)</f>
        <v>2018</v>
      </c>
      <c r="AL74" s="270"/>
      <c r="AM74" s="414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BA74" s="92"/>
      <c r="BC74" s="92"/>
      <c r="BD74" s="92"/>
      <c r="BE74" s="92"/>
    </row>
    <row r="75" spans="2:57" hidden="1">
      <c r="B75" s="243" t="s">
        <v>75</v>
      </c>
      <c r="C75" s="243" t="s">
        <v>36</v>
      </c>
      <c r="D75" s="245">
        <v>26</v>
      </c>
      <c r="E75" s="243" t="s">
        <v>355</v>
      </c>
      <c r="F75" s="89" t="s">
        <v>66</v>
      </c>
      <c r="G75" s="89" t="s">
        <v>106</v>
      </c>
      <c r="H75" s="246">
        <v>4</v>
      </c>
      <c r="I7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88</v>
      </c>
      <c r="J75" s="247">
        <v>43146</v>
      </c>
      <c r="K75" s="248" t="s">
        <v>465</v>
      </c>
      <c r="L75" s="398" t="s">
        <v>589</v>
      </c>
      <c r="M75" s="248"/>
      <c r="N75" s="249"/>
      <c r="O75" s="255">
        <f>MONTH(LstMachines[[#This Row],[Delivery]])</f>
        <v>2</v>
      </c>
      <c r="P75" s="256" t="str">
        <f>FIXED(YEAR(LstMachines[[#This Row],[Delivery]]),0,TRUE)</f>
        <v>2018</v>
      </c>
      <c r="Q75" s="250"/>
      <c r="R75" s="251"/>
      <c r="S75" s="249"/>
      <c r="T75" s="249"/>
      <c r="U75" s="249" t="s">
        <v>105</v>
      </c>
      <c r="V75" s="246"/>
      <c r="W75" s="248" t="s">
        <v>384</v>
      </c>
      <c r="X75" s="258">
        <f>LstMachines[[#This Row],[Delivery]]</f>
        <v>43146</v>
      </c>
      <c r="Y75" s="258" t="str">
        <f xml:space="preserve"> IF(MONTH(LstMachines[[#This Row],[DateLivr]])&lt;10,"0","") &amp; MONTH(LstMachines[[#This Row],[DateLivr]]) &amp;"-"&amp;YEAR(LstMachines[[#This Row],[DateLivr]])</f>
        <v>02-2018</v>
      </c>
      <c r="Z75" s="258">
        <f>LstMachines[[#This Row],[Delivery]]+Rglt_à_HCME</f>
        <v>43206</v>
      </c>
      <c r="AA75" s="258" t="str">
        <f xml:space="preserve"> IF(MONTH(LstMachines[[#This Row],[DatePaie]])&lt;10,"0","") &amp; MONTH(LstMachines[[#This Row],[DatePaie]])&amp;"-"&amp;YEAR(LstMachines[[#This Row],[DatePaie]])</f>
        <v>04-2018</v>
      </c>
      <c r="AB75" s="258">
        <f>LstMachines[[#This Row],[DateLivr]]+1</f>
        <v>43147</v>
      </c>
      <c r="AC75" s="258" t="str">
        <f xml:space="preserve"> IF(MONTH(LstMachines[[#This Row],[Distrib]])&lt;10,"0","") &amp; MONTH(LstMachines[[#This Row],[Distrib]]) &amp; "-" &amp; YEAR(LstMachines[[#This Row],[Distrib]])</f>
        <v>02-2018</v>
      </c>
      <c r="AD75" s="258">
        <f>LstMachines[[#This Row],[DateLivr]]+Délai_Vente</f>
        <v>43266</v>
      </c>
      <c r="AE75" s="258" t="str">
        <f xml:space="preserve"> IF(MONTH(LstMachines[[#This Row],[VteESM]])&lt;10,"0","") &amp; MONTH(LstMachines[[#This Row],[VteESM]]) &amp; "-" &amp; YEAR(LstMachines[[#This Row],[VteESM]])</f>
        <v>06-2018</v>
      </c>
      <c r="AF75" s="258">
        <f>LstMachines[[#This Row],[DateLivr]]+Rglt_à_ESMTP</f>
        <v>43206</v>
      </c>
      <c r="AG75" s="258" t="str">
        <f xml:space="preserve"> IF(MONTH(LstMachines[[#This Row],[RgltDistrib]])&lt;10,"0","") &amp; MONTH(LstMachines[[#This Row],[RgltDistrib]]) &amp; "-" &amp; YEAR(LstMachines[[#This Row],[RgltDistrib]])</f>
        <v>04-2018</v>
      </c>
      <c r="AH75" s="258">
        <f>LstMachines[[#This Row],[VteESM]]+Rglt_à_ESMTP</f>
        <v>43326</v>
      </c>
      <c r="AI75" s="258" t="str">
        <f xml:space="preserve"> IF(MONTH(LstMachines[[#This Row],[RgltVteESM]])&lt;10,"0","") &amp; MONTH(LstMachines[[#This Row],[RgltVteESM]]) &amp; "-" &amp; YEAR(LstMachines[[#This Row],[RgltVteESM]])</f>
        <v>08-2018</v>
      </c>
      <c r="AJ75" s="140">
        <f>MONTH(LstMachines[[#This Row],[DatePaie]])</f>
        <v>4</v>
      </c>
      <c r="AK75" s="88" t="str">
        <f>FIXED(YEAR(LstMachines[[#This Row],[DatePaie]]),0,TRUE)</f>
        <v>2018</v>
      </c>
      <c r="AL75" s="270"/>
      <c r="AM75" s="414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BA75" s="92"/>
      <c r="BC75" s="92"/>
      <c r="BD75" s="92"/>
      <c r="BE75" s="92"/>
    </row>
    <row r="76" spans="2:57" hidden="1">
      <c r="B76" s="104" t="s">
        <v>262</v>
      </c>
      <c r="C76" s="104" t="s">
        <v>39</v>
      </c>
      <c r="D76" s="87">
        <v>85</v>
      </c>
      <c r="E76" s="86" t="s">
        <v>356</v>
      </c>
      <c r="F76" s="87" t="s">
        <v>67</v>
      </c>
      <c r="G76" s="87" t="s">
        <v>107</v>
      </c>
      <c r="H76" s="89">
        <v>1</v>
      </c>
      <c r="I7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76" s="88">
        <v>43174</v>
      </c>
      <c r="K76" s="99" t="s">
        <v>463</v>
      </c>
      <c r="L76" s="85" t="s">
        <v>389</v>
      </c>
      <c r="M76" s="99"/>
      <c r="N76" s="90"/>
      <c r="O76" s="255">
        <f>MONTH(LstMachines[[#This Row],[Delivery]])</f>
        <v>3</v>
      </c>
      <c r="P76" s="256" t="str">
        <f>FIXED(YEAR(LstMachines[[#This Row],[Delivery]]),0,TRUE)</f>
        <v>2018</v>
      </c>
      <c r="Q76" s="73"/>
      <c r="R76" s="93"/>
      <c r="S76" s="90"/>
      <c r="T76" s="90"/>
      <c r="U76" s="90"/>
      <c r="V76" s="72"/>
      <c r="W76" s="99"/>
      <c r="X76" s="258">
        <f>LstMachines[[#This Row],[Delivery]]</f>
        <v>43174</v>
      </c>
      <c r="Y76" s="258" t="str">
        <f xml:space="preserve"> IF(MONTH(LstMachines[[#This Row],[DateLivr]])&lt;10,"0","") &amp; MONTH(LstMachines[[#This Row],[DateLivr]]) &amp;"-"&amp;YEAR(LstMachines[[#This Row],[DateLivr]])</f>
        <v>03-2018</v>
      </c>
      <c r="Z76" s="258">
        <f>LstMachines[[#This Row],[Delivery]]+Rglt_à_HCME</f>
        <v>43234</v>
      </c>
      <c r="AA76" s="258" t="str">
        <f xml:space="preserve"> IF(MONTH(LstMachines[[#This Row],[DatePaie]])&lt;10,"0","") &amp; MONTH(LstMachines[[#This Row],[DatePaie]])&amp;"-"&amp;YEAR(LstMachines[[#This Row],[DatePaie]])</f>
        <v>05-2018</v>
      </c>
      <c r="AB76" s="258">
        <f>LstMachines[[#This Row],[DateLivr]]+1</f>
        <v>43175</v>
      </c>
      <c r="AC76" s="258" t="str">
        <f xml:space="preserve"> IF(MONTH(LstMachines[[#This Row],[Distrib]])&lt;10,"0","") &amp; MONTH(LstMachines[[#This Row],[Distrib]]) &amp; "-" &amp; YEAR(LstMachines[[#This Row],[Distrib]])</f>
        <v>03-2018</v>
      </c>
      <c r="AD76" s="258">
        <f>LstMachines[[#This Row],[DateLivr]]+Délai_Vente</f>
        <v>43294</v>
      </c>
      <c r="AE76" s="258" t="str">
        <f xml:space="preserve"> IF(MONTH(LstMachines[[#This Row],[VteESM]])&lt;10,"0","") &amp; MONTH(LstMachines[[#This Row],[VteESM]]) &amp; "-" &amp; YEAR(LstMachines[[#This Row],[VteESM]])</f>
        <v>07-2018</v>
      </c>
      <c r="AF76" s="258">
        <f>LstMachines[[#This Row],[DateLivr]]+Rglt_à_ESMTP</f>
        <v>43234</v>
      </c>
      <c r="AG76" s="258" t="str">
        <f xml:space="preserve"> IF(MONTH(LstMachines[[#This Row],[RgltDistrib]])&lt;10,"0","") &amp; MONTH(LstMachines[[#This Row],[RgltDistrib]]) &amp; "-" &amp; YEAR(LstMachines[[#This Row],[RgltDistrib]])</f>
        <v>05-2018</v>
      </c>
      <c r="AH76" s="258">
        <f>LstMachines[[#This Row],[VteESM]]+Rglt_à_ESMTP</f>
        <v>43354</v>
      </c>
      <c r="AI76" s="258" t="str">
        <f xml:space="preserve"> IF(MONTH(LstMachines[[#This Row],[RgltVteESM]])&lt;10,"0","") &amp; MONTH(LstMachines[[#This Row],[RgltVteESM]]) &amp; "-" &amp; YEAR(LstMachines[[#This Row],[RgltVteESM]])</f>
        <v>09-2018</v>
      </c>
      <c r="AJ76" s="140">
        <f>MONTH(LstMachines[[#This Row],[DatePaie]])</f>
        <v>5</v>
      </c>
      <c r="AK76" s="88" t="str">
        <f>FIXED(YEAR(LstMachines[[#This Row],[DatePaie]]),0,TRUE)</f>
        <v>2018</v>
      </c>
      <c r="AL76" s="140"/>
      <c r="AM76" s="414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BA76" s="92"/>
      <c r="BC76" s="92"/>
      <c r="BD76" s="92"/>
      <c r="BE76" s="92"/>
    </row>
    <row r="77" spans="2:57" hidden="1">
      <c r="B77" s="104" t="s">
        <v>75</v>
      </c>
      <c r="C77" s="104" t="s">
        <v>35</v>
      </c>
      <c r="D77" s="87">
        <v>19</v>
      </c>
      <c r="E77" s="86" t="s">
        <v>76</v>
      </c>
      <c r="F77" s="87" t="s">
        <v>67</v>
      </c>
      <c r="G77" s="87" t="s">
        <v>107</v>
      </c>
      <c r="H77" s="89">
        <v>1</v>
      </c>
      <c r="I7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77" s="88">
        <v>43174</v>
      </c>
      <c r="K77" s="99" t="s">
        <v>461</v>
      </c>
      <c r="L77" s="85" t="s">
        <v>389</v>
      </c>
      <c r="M77" s="99"/>
      <c r="N77" s="90"/>
      <c r="O77" s="255">
        <f>MONTH(LstMachines[[#This Row],[Delivery]])</f>
        <v>3</v>
      </c>
      <c r="P77" s="256" t="str">
        <f>FIXED(YEAR(LstMachines[[#This Row],[Delivery]]),0,TRUE)</f>
        <v>2018</v>
      </c>
      <c r="Q77" s="73"/>
      <c r="R77" s="93"/>
      <c r="S77" s="90"/>
      <c r="T77" s="90"/>
      <c r="U77" s="90"/>
      <c r="V77" s="72"/>
      <c r="W77" s="99"/>
      <c r="X77" s="258">
        <f>LstMachines[[#This Row],[Delivery]]</f>
        <v>43174</v>
      </c>
      <c r="Y77" s="258" t="str">
        <f xml:space="preserve"> IF(MONTH(LstMachines[[#This Row],[DateLivr]])&lt;10,"0","") &amp; MONTH(LstMachines[[#This Row],[DateLivr]]) &amp;"-"&amp;YEAR(LstMachines[[#This Row],[DateLivr]])</f>
        <v>03-2018</v>
      </c>
      <c r="Z77" s="258">
        <f>LstMachines[[#This Row],[Delivery]]+Rglt_à_HCME</f>
        <v>43234</v>
      </c>
      <c r="AA77" s="258" t="str">
        <f xml:space="preserve"> IF(MONTH(LstMachines[[#This Row],[DatePaie]])&lt;10,"0","") &amp; MONTH(LstMachines[[#This Row],[DatePaie]])&amp;"-"&amp;YEAR(LstMachines[[#This Row],[DatePaie]])</f>
        <v>05-2018</v>
      </c>
      <c r="AB77" s="258">
        <f>LstMachines[[#This Row],[DateLivr]]+1</f>
        <v>43175</v>
      </c>
      <c r="AC77" s="258" t="str">
        <f xml:space="preserve"> IF(MONTH(LstMachines[[#This Row],[Distrib]])&lt;10,"0","") &amp; MONTH(LstMachines[[#This Row],[Distrib]]) &amp; "-" &amp; YEAR(LstMachines[[#This Row],[Distrib]])</f>
        <v>03-2018</v>
      </c>
      <c r="AD77" s="258">
        <f>LstMachines[[#This Row],[DateLivr]]+Délai_Vente</f>
        <v>43294</v>
      </c>
      <c r="AE77" s="258" t="str">
        <f xml:space="preserve"> IF(MONTH(LstMachines[[#This Row],[VteESM]])&lt;10,"0","") &amp; MONTH(LstMachines[[#This Row],[VteESM]]) &amp; "-" &amp; YEAR(LstMachines[[#This Row],[VteESM]])</f>
        <v>07-2018</v>
      </c>
      <c r="AF77" s="258">
        <f>LstMachines[[#This Row],[DateLivr]]+Rglt_à_ESMTP</f>
        <v>43234</v>
      </c>
      <c r="AG77" s="258" t="str">
        <f xml:space="preserve"> IF(MONTH(LstMachines[[#This Row],[RgltDistrib]])&lt;10,"0","") &amp; MONTH(LstMachines[[#This Row],[RgltDistrib]]) &amp; "-" &amp; YEAR(LstMachines[[#This Row],[RgltDistrib]])</f>
        <v>05-2018</v>
      </c>
      <c r="AH77" s="258">
        <f>LstMachines[[#This Row],[VteESM]]+Rglt_à_ESMTP</f>
        <v>43354</v>
      </c>
      <c r="AI77" s="258" t="str">
        <f xml:space="preserve"> IF(MONTH(LstMachines[[#This Row],[RgltVteESM]])&lt;10,"0","") &amp; MONTH(LstMachines[[#This Row],[RgltVteESM]]) &amp; "-" &amp; YEAR(LstMachines[[#This Row],[RgltVteESM]])</f>
        <v>09-2018</v>
      </c>
      <c r="AJ77" s="140">
        <f>MONTH(LstMachines[[#This Row],[DatePaie]])</f>
        <v>5</v>
      </c>
      <c r="AK77" s="88" t="str">
        <f>FIXED(YEAR(LstMachines[[#This Row],[DatePaie]]),0,TRUE)</f>
        <v>2018</v>
      </c>
      <c r="AL77" s="140"/>
      <c r="AM77" s="414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BA77" s="92"/>
      <c r="BC77" s="92"/>
      <c r="BD77" s="92"/>
      <c r="BE77" s="92"/>
    </row>
    <row r="78" spans="2:57" hidden="1">
      <c r="B78" s="104" t="s">
        <v>75</v>
      </c>
      <c r="C78" s="104" t="s">
        <v>38</v>
      </c>
      <c r="D78" s="87">
        <v>65</v>
      </c>
      <c r="E78" s="86" t="s">
        <v>359</v>
      </c>
      <c r="F78" s="87" t="s">
        <v>67</v>
      </c>
      <c r="G78" s="87" t="s">
        <v>107</v>
      </c>
      <c r="H78" s="89">
        <v>1</v>
      </c>
      <c r="I7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78" s="88">
        <v>43174</v>
      </c>
      <c r="K78" s="99" t="s">
        <v>461</v>
      </c>
      <c r="L78" s="85" t="s">
        <v>389</v>
      </c>
      <c r="M78" s="99"/>
      <c r="N78" s="90"/>
      <c r="O78" s="255">
        <f>MONTH(LstMachines[[#This Row],[Delivery]])</f>
        <v>3</v>
      </c>
      <c r="P78" s="256" t="str">
        <f>FIXED(YEAR(LstMachines[[#This Row],[Delivery]]),0,TRUE)</f>
        <v>2018</v>
      </c>
      <c r="Q78" s="73"/>
      <c r="R78" s="93"/>
      <c r="S78" s="90"/>
      <c r="T78" s="90"/>
      <c r="U78" s="90"/>
      <c r="V78" s="72"/>
      <c r="W78" s="99"/>
      <c r="X78" s="258">
        <f>LstMachines[[#This Row],[Delivery]]</f>
        <v>43174</v>
      </c>
      <c r="Y78" s="258" t="str">
        <f xml:space="preserve"> IF(MONTH(LstMachines[[#This Row],[DateLivr]])&lt;10,"0","") &amp; MONTH(LstMachines[[#This Row],[DateLivr]]) &amp;"-"&amp;YEAR(LstMachines[[#This Row],[DateLivr]])</f>
        <v>03-2018</v>
      </c>
      <c r="Z78" s="258">
        <f>LstMachines[[#This Row],[Delivery]]+Rglt_à_HCME</f>
        <v>43234</v>
      </c>
      <c r="AA78" s="258" t="str">
        <f xml:space="preserve"> IF(MONTH(LstMachines[[#This Row],[DatePaie]])&lt;10,"0","") &amp; MONTH(LstMachines[[#This Row],[DatePaie]])&amp;"-"&amp;YEAR(LstMachines[[#This Row],[DatePaie]])</f>
        <v>05-2018</v>
      </c>
      <c r="AB78" s="258">
        <f>LstMachines[[#This Row],[DateLivr]]+1</f>
        <v>43175</v>
      </c>
      <c r="AC78" s="258" t="str">
        <f xml:space="preserve"> IF(MONTH(LstMachines[[#This Row],[Distrib]])&lt;10,"0","") &amp; MONTH(LstMachines[[#This Row],[Distrib]]) &amp; "-" &amp; YEAR(LstMachines[[#This Row],[Distrib]])</f>
        <v>03-2018</v>
      </c>
      <c r="AD78" s="258">
        <f>LstMachines[[#This Row],[DateLivr]]+Délai_Vente</f>
        <v>43294</v>
      </c>
      <c r="AE78" s="258" t="str">
        <f xml:space="preserve"> IF(MONTH(LstMachines[[#This Row],[VteESM]])&lt;10,"0","") &amp; MONTH(LstMachines[[#This Row],[VteESM]]) &amp; "-" &amp; YEAR(LstMachines[[#This Row],[VteESM]])</f>
        <v>07-2018</v>
      </c>
      <c r="AF78" s="258">
        <f>LstMachines[[#This Row],[DateLivr]]+Rglt_à_ESMTP</f>
        <v>43234</v>
      </c>
      <c r="AG78" s="258" t="str">
        <f xml:space="preserve"> IF(MONTH(LstMachines[[#This Row],[RgltDistrib]])&lt;10,"0","") &amp; MONTH(LstMachines[[#This Row],[RgltDistrib]]) &amp; "-" &amp; YEAR(LstMachines[[#This Row],[RgltDistrib]])</f>
        <v>05-2018</v>
      </c>
      <c r="AH78" s="258">
        <f>LstMachines[[#This Row],[VteESM]]+Rglt_à_ESMTP</f>
        <v>43354</v>
      </c>
      <c r="AI78" s="258" t="str">
        <f xml:space="preserve"> IF(MONTH(LstMachines[[#This Row],[RgltVteESM]])&lt;10,"0","") &amp; MONTH(LstMachines[[#This Row],[RgltVteESM]]) &amp; "-" &amp; YEAR(LstMachines[[#This Row],[RgltVteESM]])</f>
        <v>09-2018</v>
      </c>
      <c r="AJ78" s="140">
        <f>MONTH(LstMachines[[#This Row],[DatePaie]])</f>
        <v>5</v>
      </c>
      <c r="AK78" s="88" t="str">
        <f>FIXED(YEAR(LstMachines[[#This Row],[DatePaie]]),0,TRUE)</f>
        <v>2018</v>
      </c>
      <c r="AL78" s="140"/>
      <c r="AM78" s="414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BA78" s="92"/>
      <c r="BC78" s="92"/>
      <c r="BD78" s="92"/>
      <c r="BE78" s="92"/>
    </row>
    <row r="79" spans="2:57" hidden="1">
      <c r="B79" s="104" t="s">
        <v>262</v>
      </c>
      <c r="C79" s="104" t="s">
        <v>39</v>
      </c>
      <c r="D79" s="87">
        <v>85</v>
      </c>
      <c r="E79" s="86" t="s">
        <v>356</v>
      </c>
      <c r="F79" s="87" t="s">
        <v>67</v>
      </c>
      <c r="G79" s="87" t="s">
        <v>107</v>
      </c>
      <c r="H79" s="89">
        <v>1</v>
      </c>
      <c r="I7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79" s="88">
        <v>43174</v>
      </c>
      <c r="K79" s="99" t="s">
        <v>461</v>
      </c>
      <c r="L79" s="85" t="s">
        <v>389</v>
      </c>
      <c r="M79" s="99"/>
      <c r="N79" s="90"/>
      <c r="O79" s="255">
        <f>MONTH(LstMachines[[#This Row],[Delivery]])</f>
        <v>3</v>
      </c>
      <c r="P79" s="256" t="str">
        <f>FIXED(YEAR(LstMachines[[#This Row],[Delivery]]),0,TRUE)</f>
        <v>2018</v>
      </c>
      <c r="Q79" s="73"/>
      <c r="R79" s="93"/>
      <c r="S79" s="90"/>
      <c r="T79" s="90"/>
      <c r="U79" s="90"/>
      <c r="V79" s="72"/>
      <c r="W79" s="99"/>
      <c r="X79" s="258">
        <f>LstMachines[[#This Row],[Delivery]]</f>
        <v>43174</v>
      </c>
      <c r="Y79" s="258" t="str">
        <f xml:space="preserve"> IF(MONTH(LstMachines[[#This Row],[DateLivr]])&lt;10,"0","") &amp; MONTH(LstMachines[[#This Row],[DateLivr]]) &amp;"-"&amp;YEAR(LstMachines[[#This Row],[DateLivr]])</f>
        <v>03-2018</v>
      </c>
      <c r="Z79" s="258">
        <f>LstMachines[[#This Row],[Delivery]]+Rglt_à_HCME</f>
        <v>43234</v>
      </c>
      <c r="AA79" s="258" t="str">
        <f xml:space="preserve"> IF(MONTH(LstMachines[[#This Row],[DatePaie]])&lt;10,"0","") &amp; MONTH(LstMachines[[#This Row],[DatePaie]])&amp;"-"&amp;YEAR(LstMachines[[#This Row],[DatePaie]])</f>
        <v>05-2018</v>
      </c>
      <c r="AB79" s="258">
        <f>LstMachines[[#This Row],[DateLivr]]+1</f>
        <v>43175</v>
      </c>
      <c r="AC79" s="258" t="str">
        <f xml:space="preserve"> IF(MONTH(LstMachines[[#This Row],[Distrib]])&lt;10,"0","") &amp; MONTH(LstMachines[[#This Row],[Distrib]]) &amp; "-" &amp; YEAR(LstMachines[[#This Row],[Distrib]])</f>
        <v>03-2018</v>
      </c>
      <c r="AD79" s="258">
        <f>LstMachines[[#This Row],[DateLivr]]+Délai_Vente</f>
        <v>43294</v>
      </c>
      <c r="AE79" s="258" t="str">
        <f xml:space="preserve"> IF(MONTH(LstMachines[[#This Row],[VteESM]])&lt;10,"0","") &amp; MONTH(LstMachines[[#This Row],[VteESM]]) &amp; "-" &amp; YEAR(LstMachines[[#This Row],[VteESM]])</f>
        <v>07-2018</v>
      </c>
      <c r="AF79" s="258">
        <f>LstMachines[[#This Row],[DateLivr]]+Rglt_à_ESMTP</f>
        <v>43234</v>
      </c>
      <c r="AG79" s="258" t="str">
        <f xml:space="preserve"> IF(MONTH(LstMachines[[#This Row],[RgltDistrib]])&lt;10,"0","") &amp; MONTH(LstMachines[[#This Row],[RgltDistrib]]) &amp; "-" &amp; YEAR(LstMachines[[#This Row],[RgltDistrib]])</f>
        <v>05-2018</v>
      </c>
      <c r="AH79" s="258">
        <f>LstMachines[[#This Row],[VteESM]]+Rglt_à_ESMTP</f>
        <v>43354</v>
      </c>
      <c r="AI79" s="258" t="str">
        <f xml:space="preserve"> IF(MONTH(LstMachines[[#This Row],[RgltVteESM]])&lt;10,"0","") &amp; MONTH(LstMachines[[#This Row],[RgltVteESM]]) &amp; "-" &amp; YEAR(LstMachines[[#This Row],[RgltVteESM]])</f>
        <v>09-2018</v>
      </c>
      <c r="AJ79" s="140">
        <f>MONTH(LstMachines[[#This Row],[DatePaie]])</f>
        <v>5</v>
      </c>
      <c r="AK79" s="88" t="str">
        <f>FIXED(YEAR(LstMachines[[#This Row],[DatePaie]]),0,TRUE)</f>
        <v>2018</v>
      </c>
      <c r="AL79" s="140"/>
      <c r="AM79" s="414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BA79" s="92"/>
      <c r="BC79" s="92"/>
      <c r="BD79" s="92"/>
      <c r="BE79" s="92"/>
    </row>
    <row r="80" spans="2:57" hidden="1">
      <c r="B80" s="243" t="s">
        <v>262</v>
      </c>
      <c r="C80" s="243" t="s">
        <v>38</v>
      </c>
      <c r="D80" s="245">
        <v>65</v>
      </c>
      <c r="E80" s="243" t="s">
        <v>583</v>
      </c>
      <c r="F80" s="89" t="s">
        <v>580</v>
      </c>
      <c r="G80" s="89" t="s">
        <v>581</v>
      </c>
      <c r="H80" s="246">
        <v>1</v>
      </c>
      <c r="I80" s="246">
        <v>47</v>
      </c>
      <c r="J80" s="88">
        <v>43174</v>
      </c>
      <c r="K80" s="248" t="s">
        <v>463</v>
      </c>
      <c r="L80" s="120" t="s">
        <v>582</v>
      </c>
      <c r="M80" s="248"/>
      <c r="N80" s="249"/>
      <c r="O80" s="270">
        <f>MONTH(LstMachines[[#This Row],[Delivery]])</f>
        <v>3</v>
      </c>
      <c r="P80" s="247" t="str">
        <f>FIXED(YEAR(LstMachines[[#This Row],[Delivery]]),0,TRUE)</f>
        <v>2018</v>
      </c>
      <c r="Q80" s="250"/>
      <c r="R80" s="251"/>
      <c r="S80" s="249"/>
      <c r="T80" s="249"/>
      <c r="U80" s="249"/>
      <c r="V80" s="246"/>
      <c r="W80" s="99" t="s">
        <v>384</v>
      </c>
      <c r="X80" s="249">
        <f>LstMachines[[#This Row],[Delivery]]</f>
        <v>43174</v>
      </c>
      <c r="Y80" s="271" t="str">
        <f xml:space="preserve"> IF(MONTH(LstMachines[[#This Row],[DateLivr]])&lt;10,"0","") &amp; MONTH(LstMachines[[#This Row],[DateLivr]]) &amp;"-"&amp;YEAR(LstMachines[[#This Row],[DateLivr]])</f>
        <v>03-2018</v>
      </c>
      <c r="Z80" s="247">
        <f>LstMachines[[#This Row],[Delivery]]+Rglt_à_HCME</f>
        <v>43234</v>
      </c>
      <c r="AA80" s="271" t="str">
        <f xml:space="preserve"> IF(MONTH(LstMachines[[#This Row],[DatePaie]])&lt;10,"0","") &amp; MONTH(LstMachines[[#This Row],[DatePaie]])&amp;"-"&amp;YEAR(LstMachines[[#This Row],[DatePaie]])</f>
        <v>05-2018</v>
      </c>
      <c r="AB80" s="271">
        <f>LstMachines[[#This Row],[DateLivr]]+1</f>
        <v>43175</v>
      </c>
      <c r="AC80" s="271" t="str">
        <f xml:space="preserve"> IF(MONTH(LstMachines[[#This Row],[Distrib]])&lt;10,"0","") &amp; MONTH(LstMachines[[#This Row],[Distrib]]) &amp; "-" &amp; YEAR(LstMachines[[#This Row],[Distrib]])</f>
        <v>03-2018</v>
      </c>
      <c r="AD80" s="271">
        <f>LstMachines[[#This Row],[DateLivr]]+Délai_Vente</f>
        <v>43294</v>
      </c>
      <c r="AE80" s="271" t="str">
        <f xml:space="preserve"> IF(MONTH(LstMachines[[#This Row],[VteESM]])&lt;10,"0","") &amp; MONTH(LstMachines[[#This Row],[VteESM]]) &amp; "-" &amp; YEAR(LstMachines[[#This Row],[VteESM]])</f>
        <v>07-2018</v>
      </c>
      <c r="AF80" s="271">
        <f>LstMachines[[#This Row],[DateLivr]]+Rglt_à_ESMTP</f>
        <v>43234</v>
      </c>
      <c r="AG80" s="271" t="str">
        <f xml:space="preserve"> IF(MONTH(LstMachines[[#This Row],[RgltDistrib]])&lt;10,"0","") &amp; MONTH(LstMachines[[#This Row],[RgltDistrib]]) &amp; "-" &amp; YEAR(LstMachines[[#This Row],[RgltDistrib]])</f>
        <v>05-2018</v>
      </c>
      <c r="AH80" s="271">
        <f>LstMachines[[#This Row],[VteESM]]+Rglt_à_ESMTP</f>
        <v>43354</v>
      </c>
      <c r="AI80" s="271" t="str">
        <f xml:space="preserve"> IF(MONTH(LstMachines[[#This Row],[RgltVteESM]])&lt;10,"0","") &amp; MONTH(LstMachines[[#This Row],[RgltVteESM]]) &amp; "-" &amp; YEAR(LstMachines[[#This Row],[RgltVteESM]])</f>
        <v>09-2018</v>
      </c>
      <c r="AJ80" s="270">
        <f>MONTH(LstMachines[[#This Row],[DatePaie]])</f>
        <v>5</v>
      </c>
      <c r="AK80" s="247" t="str">
        <f>FIXED(YEAR(LstMachines[[#This Row],[DatePaie]]),0,TRUE)</f>
        <v>2018</v>
      </c>
      <c r="AL80" s="270"/>
      <c r="AM80" s="414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BA80" s="92"/>
      <c r="BC80" s="92"/>
      <c r="BD80" s="92"/>
      <c r="BE80" s="92"/>
    </row>
    <row r="81" spans="2:57" hidden="1">
      <c r="B81" s="104" t="s">
        <v>75</v>
      </c>
      <c r="C81" s="104" t="s">
        <v>35</v>
      </c>
      <c r="D81" s="87">
        <v>19</v>
      </c>
      <c r="E81" s="104" t="s">
        <v>76</v>
      </c>
      <c r="F81" s="71" t="s">
        <v>100</v>
      </c>
      <c r="G81" s="71" t="s">
        <v>31</v>
      </c>
      <c r="H81" s="89">
        <v>1</v>
      </c>
      <c r="I8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81" s="88">
        <v>43174</v>
      </c>
      <c r="K81" s="99" t="s">
        <v>463</v>
      </c>
      <c r="L81" s="120" t="s">
        <v>378</v>
      </c>
      <c r="M81" s="99"/>
      <c r="N81" s="90">
        <v>43036</v>
      </c>
      <c r="O81" s="255">
        <f>MONTH(LstMachines[[#This Row],[Delivery]])</f>
        <v>3</v>
      </c>
      <c r="P81" s="256" t="str">
        <f>FIXED(YEAR(LstMachines[[#This Row],[Delivery]]),0,TRUE)</f>
        <v>2018</v>
      </c>
      <c r="Q81" s="73" t="s">
        <v>316</v>
      </c>
      <c r="R81" s="93">
        <v>16198</v>
      </c>
      <c r="S81" s="95"/>
      <c r="T81" s="71"/>
      <c r="U81" s="72" t="s">
        <v>270</v>
      </c>
      <c r="V81" s="72">
        <v>4235</v>
      </c>
      <c r="W81" s="99" t="s">
        <v>384</v>
      </c>
      <c r="X81" s="258">
        <f>LstMachines[[#This Row],[Delivery]]</f>
        <v>43174</v>
      </c>
      <c r="Y81" s="258" t="str">
        <f xml:space="preserve"> IF(MONTH(LstMachines[[#This Row],[DateLivr]])&lt;10,"0","") &amp; MONTH(LstMachines[[#This Row],[DateLivr]]) &amp;"-"&amp;YEAR(LstMachines[[#This Row],[DateLivr]])</f>
        <v>03-2018</v>
      </c>
      <c r="Z81" s="258">
        <f>LstMachines[[#This Row],[Delivery]]+Rglt_à_HCME</f>
        <v>43234</v>
      </c>
      <c r="AA81" s="258" t="str">
        <f xml:space="preserve"> IF(MONTH(LstMachines[[#This Row],[DatePaie]])&lt;10,"0","") &amp; MONTH(LstMachines[[#This Row],[DatePaie]])&amp;"-"&amp;YEAR(LstMachines[[#This Row],[DatePaie]])</f>
        <v>05-2018</v>
      </c>
      <c r="AB81" s="258">
        <f>LstMachines[[#This Row],[DateLivr]]+1</f>
        <v>43175</v>
      </c>
      <c r="AC81" s="258" t="str">
        <f xml:space="preserve"> IF(MONTH(LstMachines[[#This Row],[Distrib]])&lt;10,"0","") &amp; MONTH(LstMachines[[#This Row],[Distrib]]) &amp; "-" &amp; YEAR(LstMachines[[#This Row],[Distrib]])</f>
        <v>03-2018</v>
      </c>
      <c r="AD81" s="258">
        <f>LstMachines[[#This Row],[DateLivr]]+Délai_Vente</f>
        <v>43294</v>
      </c>
      <c r="AE81" s="258" t="str">
        <f xml:space="preserve"> IF(MONTH(LstMachines[[#This Row],[VteESM]])&lt;10,"0","") &amp; MONTH(LstMachines[[#This Row],[VteESM]]) &amp; "-" &amp; YEAR(LstMachines[[#This Row],[VteESM]])</f>
        <v>07-2018</v>
      </c>
      <c r="AF81" s="258">
        <f>LstMachines[[#This Row],[DateLivr]]+Rglt_à_ESMTP</f>
        <v>43234</v>
      </c>
      <c r="AG81" s="258" t="str">
        <f xml:space="preserve"> IF(MONTH(LstMachines[[#This Row],[RgltDistrib]])&lt;10,"0","") &amp; MONTH(LstMachines[[#This Row],[RgltDistrib]]) &amp; "-" &amp; YEAR(LstMachines[[#This Row],[RgltDistrib]])</f>
        <v>05-2018</v>
      </c>
      <c r="AH81" s="258">
        <f>LstMachines[[#This Row],[VteESM]]+Rglt_à_ESMTP</f>
        <v>43354</v>
      </c>
      <c r="AI81" s="258" t="str">
        <f xml:space="preserve"> IF(MONTH(LstMachines[[#This Row],[RgltVteESM]])&lt;10,"0","") &amp; MONTH(LstMachines[[#This Row],[RgltVteESM]]) &amp; "-" &amp; YEAR(LstMachines[[#This Row],[RgltVteESM]])</f>
        <v>09-2018</v>
      </c>
      <c r="AJ81" s="140">
        <f>MONTH(LstMachines[[#This Row],[DatePaie]])</f>
        <v>5</v>
      </c>
      <c r="AK81" s="88" t="str">
        <f>FIXED(YEAR(LstMachines[[#This Row],[DatePaie]]),0,TRUE)</f>
        <v>2018</v>
      </c>
      <c r="AL81" s="140"/>
      <c r="AM81" s="414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BA81" s="92"/>
      <c r="BC81" s="92"/>
      <c r="BD81" s="92"/>
      <c r="BE81" s="92"/>
    </row>
    <row r="82" spans="2:57" hidden="1">
      <c r="B82" s="104" t="s">
        <v>75</v>
      </c>
      <c r="C82" s="104" t="s">
        <v>36</v>
      </c>
      <c r="D82" s="87">
        <v>26</v>
      </c>
      <c r="E82" s="104" t="s">
        <v>361</v>
      </c>
      <c r="F82" s="71" t="s">
        <v>100</v>
      </c>
      <c r="G82" s="71" t="s">
        <v>31</v>
      </c>
      <c r="H82" s="89">
        <v>1</v>
      </c>
      <c r="I8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82" s="88">
        <v>43174</v>
      </c>
      <c r="K82" s="99" t="s">
        <v>463</v>
      </c>
      <c r="L82" s="120" t="s">
        <v>378</v>
      </c>
      <c r="M82" s="99"/>
      <c r="N82" s="90">
        <v>43036</v>
      </c>
      <c r="O82" s="255">
        <f>MONTH(LstMachines[[#This Row],[Delivery]])</f>
        <v>3</v>
      </c>
      <c r="P82" s="256" t="str">
        <f>FIXED(YEAR(LstMachines[[#This Row],[Delivery]]),0,TRUE)</f>
        <v>2018</v>
      </c>
      <c r="Q82" s="73" t="s">
        <v>317</v>
      </c>
      <c r="R82" s="93">
        <v>23608</v>
      </c>
      <c r="S82" s="95"/>
      <c r="T82" s="71"/>
      <c r="U82" s="90" t="s">
        <v>105</v>
      </c>
      <c r="V82" s="72">
        <v>4236</v>
      </c>
      <c r="W82" s="100" t="s">
        <v>271</v>
      </c>
      <c r="X82" s="258">
        <f>LstMachines[[#This Row],[Delivery]]</f>
        <v>43174</v>
      </c>
      <c r="Y82" s="258" t="str">
        <f xml:space="preserve"> IF(MONTH(LstMachines[[#This Row],[DateLivr]])&lt;10,"0","") &amp; MONTH(LstMachines[[#This Row],[DateLivr]]) &amp;"-"&amp;YEAR(LstMachines[[#This Row],[DateLivr]])</f>
        <v>03-2018</v>
      </c>
      <c r="Z82" s="258">
        <f>LstMachines[[#This Row],[Delivery]]+Rglt_à_HCME</f>
        <v>43234</v>
      </c>
      <c r="AA82" s="258" t="str">
        <f xml:space="preserve"> IF(MONTH(LstMachines[[#This Row],[DatePaie]])&lt;10,"0","") &amp; MONTH(LstMachines[[#This Row],[DatePaie]])&amp;"-"&amp;YEAR(LstMachines[[#This Row],[DatePaie]])</f>
        <v>05-2018</v>
      </c>
      <c r="AB82" s="258">
        <f>LstMachines[[#This Row],[DateLivr]]+1</f>
        <v>43175</v>
      </c>
      <c r="AC82" s="258" t="str">
        <f xml:space="preserve"> IF(MONTH(LstMachines[[#This Row],[Distrib]])&lt;10,"0","") &amp; MONTH(LstMachines[[#This Row],[Distrib]]) &amp; "-" &amp; YEAR(LstMachines[[#This Row],[Distrib]])</f>
        <v>03-2018</v>
      </c>
      <c r="AD82" s="258">
        <f>LstMachines[[#This Row],[DateLivr]]+Délai_Vente</f>
        <v>43294</v>
      </c>
      <c r="AE82" s="258" t="str">
        <f xml:space="preserve"> IF(MONTH(LstMachines[[#This Row],[VteESM]])&lt;10,"0","") &amp; MONTH(LstMachines[[#This Row],[VteESM]]) &amp; "-" &amp; YEAR(LstMachines[[#This Row],[VteESM]])</f>
        <v>07-2018</v>
      </c>
      <c r="AF82" s="258">
        <f>LstMachines[[#This Row],[DateLivr]]+Rglt_à_ESMTP</f>
        <v>43234</v>
      </c>
      <c r="AG82" s="258" t="str">
        <f xml:space="preserve"> IF(MONTH(LstMachines[[#This Row],[RgltDistrib]])&lt;10,"0","") &amp; MONTH(LstMachines[[#This Row],[RgltDistrib]]) &amp; "-" &amp; YEAR(LstMachines[[#This Row],[RgltDistrib]])</f>
        <v>05-2018</v>
      </c>
      <c r="AH82" s="258">
        <f>LstMachines[[#This Row],[VteESM]]+Rglt_à_ESMTP</f>
        <v>43354</v>
      </c>
      <c r="AI82" s="258" t="str">
        <f xml:space="preserve"> IF(MONTH(LstMachines[[#This Row],[RgltVteESM]])&lt;10,"0","") &amp; MONTH(LstMachines[[#This Row],[RgltVteESM]]) &amp; "-" &amp; YEAR(LstMachines[[#This Row],[RgltVteESM]])</f>
        <v>09-2018</v>
      </c>
      <c r="AJ82" s="140">
        <f>MONTH(LstMachines[[#This Row],[DatePaie]])</f>
        <v>5</v>
      </c>
      <c r="AK82" s="88" t="str">
        <f>FIXED(YEAR(LstMachines[[#This Row],[DatePaie]]),0,TRUE)</f>
        <v>2018</v>
      </c>
      <c r="AL82" s="140"/>
      <c r="AM82" s="414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BA82" s="92"/>
      <c r="BC82" s="92"/>
      <c r="BD82" s="92"/>
      <c r="BE82" s="92"/>
    </row>
    <row r="83" spans="2:57" hidden="1">
      <c r="B83" s="104" t="s">
        <v>75</v>
      </c>
      <c r="C83" s="104" t="s">
        <v>68</v>
      </c>
      <c r="D83" s="87">
        <v>33</v>
      </c>
      <c r="E83" s="104" t="s">
        <v>362</v>
      </c>
      <c r="F83" s="71" t="s">
        <v>100</v>
      </c>
      <c r="G83" s="71" t="s">
        <v>31</v>
      </c>
      <c r="H83" s="89">
        <v>1</v>
      </c>
      <c r="I8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32</v>
      </c>
      <c r="J83" s="88">
        <v>43174</v>
      </c>
      <c r="K83" s="99" t="s">
        <v>463</v>
      </c>
      <c r="L83" s="120" t="s">
        <v>378</v>
      </c>
      <c r="M83" s="99"/>
      <c r="N83" s="90">
        <v>43036</v>
      </c>
      <c r="O83" s="255">
        <f>MONTH(LstMachines[[#This Row],[Delivery]])</f>
        <v>3</v>
      </c>
      <c r="P83" s="256" t="str">
        <f>FIXED(YEAR(LstMachines[[#This Row],[Delivery]]),0,TRUE)</f>
        <v>2018</v>
      </c>
      <c r="Q83" s="73" t="s">
        <v>318</v>
      </c>
      <c r="R83" s="93">
        <v>32431</v>
      </c>
      <c r="S83" s="95"/>
      <c r="T83" s="71"/>
      <c r="U83" s="72" t="s">
        <v>270</v>
      </c>
      <c r="V83" s="72">
        <v>4238</v>
      </c>
      <c r="W83" s="99" t="s">
        <v>384</v>
      </c>
      <c r="X83" s="258">
        <f>LstMachines[[#This Row],[Delivery]]</f>
        <v>43174</v>
      </c>
      <c r="Y83" s="258" t="str">
        <f xml:space="preserve"> IF(MONTH(LstMachines[[#This Row],[DateLivr]])&lt;10,"0","") &amp; MONTH(LstMachines[[#This Row],[DateLivr]]) &amp;"-"&amp;YEAR(LstMachines[[#This Row],[DateLivr]])</f>
        <v>03-2018</v>
      </c>
      <c r="Z83" s="258">
        <f>LstMachines[[#This Row],[Delivery]]+Rglt_à_HCME</f>
        <v>43234</v>
      </c>
      <c r="AA83" s="258" t="str">
        <f xml:space="preserve"> IF(MONTH(LstMachines[[#This Row],[DatePaie]])&lt;10,"0","") &amp; MONTH(LstMachines[[#This Row],[DatePaie]])&amp;"-"&amp;YEAR(LstMachines[[#This Row],[DatePaie]])</f>
        <v>05-2018</v>
      </c>
      <c r="AB83" s="258">
        <f>LstMachines[[#This Row],[DateLivr]]+1</f>
        <v>43175</v>
      </c>
      <c r="AC83" s="258" t="str">
        <f xml:space="preserve"> IF(MONTH(LstMachines[[#This Row],[Distrib]])&lt;10,"0","") &amp; MONTH(LstMachines[[#This Row],[Distrib]]) &amp; "-" &amp; YEAR(LstMachines[[#This Row],[Distrib]])</f>
        <v>03-2018</v>
      </c>
      <c r="AD83" s="258">
        <f>LstMachines[[#This Row],[DateLivr]]+Délai_Vente</f>
        <v>43294</v>
      </c>
      <c r="AE83" s="258" t="str">
        <f xml:space="preserve"> IF(MONTH(LstMachines[[#This Row],[VteESM]])&lt;10,"0","") &amp; MONTH(LstMachines[[#This Row],[VteESM]]) &amp; "-" &amp; YEAR(LstMachines[[#This Row],[VteESM]])</f>
        <v>07-2018</v>
      </c>
      <c r="AF83" s="258">
        <f>LstMachines[[#This Row],[DateLivr]]+Rglt_à_ESMTP</f>
        <v>43234</v>
      </c>
      <c r="AG83" s="258" t="str">
        <f xml:space="preserve"> IF(MONTH(LstMachines[[#This Row],[RgltDistrib]])&lt;10,"0","") &amp; MONTH(LstMachines[[#This Row],[RgltDistrib]]) &amp; "-" &amp; YEAR(LstMachines[[#This Row],[RgltDistrib]])</f>
        <v>05-2018</v>
      </c>
      <c r="AH83" s="258">
        <f>LstMachines[[#This Row],[VteESM]]+Rglt_à_ESMTP</f>
        <v>43354</v>
      </c>
      <c r="AI83" s="258" t="str">
        <f xml:space="preserve"> IF(MONTH(LstMachines[[#This Row],[RgltVteESM]])&lt;10,"0","") &amp; MONTH(LstMachines[[#This Row],[RgltVteESM]]) &amp; "-" &amp; YEAR(LstMachines[[#This Row],[RgltVteESM]])</f>
        <v>09-2018</v>
      </c>
      <c r="AJ83" s="140">
        <f>MONTH(LstMachines[[#This Row],[DatePaie]])</f>
        <v>5</v>
      </c>
      <c r="AK83" s="88" t="str">
        <f>FIXED(YEAR(LstMachines[[#This Row],[DatePaie]]),0,TRUE)</f>
        <v>2018</v>
      </c>
      <c r="AL83" s="140"/>
      <c r="AM83" s="414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BA83" s="92"/>
      <c r="BC83" s="92"/>
      <c r="BD83" s="92"/>
      <c r="BE83" s="92"/>
    </row>
    <row r="84" spans="2:57" hidden="1">
      <c r="B84" s="104" t="s">
        <v>75</v>
      </c>
      <c r="C84" s="104" t="s">
        <v>37</v>
      </c>
      <c r="D84" s="87">
        <v>48</v>
      </c>
      <c r="E84" s="104" t="s">
        <v>363</v>
      </c>
      <c r="F84" s="71" t="s">
        <v>100</v>
      </c>
      <c r="G84" s="71" t="s">
        <v>31</v>
      </c>
      <c r="H84" s="89">
        <v>1</v>
      </c>
      <c r="I8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41</v>
      </c>
      <c r="J84" s="88">
        <v>43174</v>
      </c>
      <c r="K84" s="99" t="s">
        <v>463</v>
      </c>
      <c r="L84" s="120" t="s">
        <v>378</v>
      </c>
      <c r="M84" s="99"/>
      <c r="N84" s="90">
        <v>43036</v>
      </c>
      <c r="O84" s="255">
        <f>MONTH(LstMachines[[#This Row],[Delivery]])</f>
        <v>3</v>
      </c>
      <c r="P84" s="256" t="str">
        <f>FIXED(YEAR(LstMachines[[#This Row],[Delivery]]),0,TRUE)</f>
        <v>2018</v>
      </c>
      <c r="Q84" s="73" t="s">
        <v>319</v>
      </c>
      <c r="R84" s="93">
        <v>42459</v>
      </c>
      <c r="S84" s="95"/>
      <c r="T84" s="71"/>
      <c r="U84" s="72" t="s">
        <v>270</v>
      </c>
      <c r="V84" s="72">
        <v>4239</v>
      </c>
      <c r="W84" s="99" t="s">
        <v>384</v>
      </c>
      <c r="X84" s="258">
        <f>LstMachines[[#This Row],[Delivery]]</f>
        <v>43174</v>
      </c>
      <c r="Y84" s="258" t="str">
        <f xml:space="preserve"> IF(MONTH(LstMachines[[#This Row],[DateLivr]])&lt;10,"0","") &amp; MONTH(LstMachines[[#This Row],[DateLivr]]) &amp;"-"&amp;YEAR(LstMachines[[#This Row],[DateLivr]])</f>
        <v>03-2018</v>
      </c>
      <c r="Z84" s="258">
        <f>LstMachines[[#This Row],[Delivery]]+Rglt_à_HCME</f>
        <v>43234</v>
      </c>
      <c r="AA84" s="258" t="str">
        <f xml:space="preserve"> IF(MONTH(LstMachines[[#This Row],[DatePaie]])&lt;10,"0","") &amp; MONTH(LstMachines[[#This Row],[DatePaie]])&amp;"-"&amp;YEAR(LstMachines[[#This Row],[DatePaie]])</f>
        <v>05-2018</v>
      </c>
      <c r="AB84" s="258">
        <f>LstMachines[[#This Row],[DateLivr]]+1</f>
        <v>43175</v>
      </c>
      <c r="AC84" s="258" t="str">
        <f xml:space="preserve"> IF(MONTH(LstMachines[[#This Row],[Distrib]])&lt;10,"0","") &amp; MONTH(LstMachines[[#This Row],[Distrib]]) &amp; "-" &amp; YEAR(LstMachines[[#This Row],[Distrib]])</f>
        <v>03-2018</v>
      </c>
      <c r="AD84" s="258">
        <f>LstMachines[[#This Row],[DateLivr]]+Délai_Vente</f>
        <v>43294</v>
      </c>
      <c r="AE84" s="258" t="str">
        <f xml:space="preserve"> IF(MONTH(LstMachines[[#This Row],[VteESM]])&lt;10,"0","") &amp; MONTH(LstMachines[[#This Row],[VteESM]]) &amp; "-" &amp; YEAR(LstMachines[[#This Row],[VteESM]])</f>
        <v>07-2018</v>
      </c>
      <c r="AF84" s="258">
        <f>LstMachines[[#This Row],[DateLivr]]+Rglt_à_ESMTP</f>
        <v>43234</v>
      </c>
      <c r="AG84" s="258" t="str">
        <f xml:space="preserve"> IF(MONTH(LstMachines[[#This Row],[RgltDistrib]])&lt;10,"0","") &amp; MONTH(LstMachines[[#This Row],[RgltDistrib]]) &amp; "-" &amp; YEAR(LstMachines[[#This Row],[RgltDistrib]])</f>
        <v>05-2018</v>
      </c>
      <c r="AH84" s="258">
        <f>LstMachines[[#This Row],[VteESM]]+Rglt_à_ESMTP</f>
        <v>43354</v>
      </c>
      <c r="AI84" s="258" t="str">
        <f xml:space="preserve"> IF(MONTH(LstMachines[[#This Row],[RgltVteESM]])&lt;10,"0","") &amp; MONTH(LstMachines[[#This Row],[RgltVteESM]]) &amp; "-" &amp; YEAR(LstMachines[[#This Row],[RgltVteESM]])</f>
        <v>09-2018</v>
      </c>
      <c r="AJ84" s="140">
        <f>MONTH(LstMachines[[#This Row],[DatePaie]])</f>
        <v>5</v>
      </c>
      <c r="AK84" s="88" t="str">
        <f>FIXED(YEAR(LstMachines[[#This Row],[DatePaie]]),0,TRUE)</f>
        <v>2018</v>
      </c>
      <c r="AL84" s="140"/>
      <c r="AM84" s="414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BA84" s="92"/>
      <c r="BC84" s="92"/>
      <c r="BD84" s="92"/>
      <c r="BE84" s="92"/>
    </row>
    <row r="85" spans="2:57" hidden="1">
      <c r="B85" s="104" t="s">
        <v>75</v>
      </c>
      <c r="C85" s="104" t="s">
        <v>37</v>
      </c>
      <c r="D85" s="87">
        <v>48</v>
      </c>
      <c r="E85" s="104" t="s">
        <v>363</v>
      </c>
      <c r="F85" s="71" t="s">
        <v>100</v>
      </c>
      <c r="G85" s="71" t="s">
        <v>31</v>
      </c>
      <c r="H85" s="89">
        <v>1</v>
      </c>
      <c r="I8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41</v>
      </c>
      <c r="J85" s="88">
        <v>43174</v>
      </c>
      <c r="K85" s="99" t="s">
        <v>463</v>
      </c>
      <c r="L85" s="120" t="s">
        <v>378</v>
      </c>
      <c r="M85" s="99"/>
      <c r="N85" s="90">
        <v>43067</v>
      </c>
      <c r="O85" s="255">
        <f>MONTH(LstMachines[[#This Row],[Delivery]])</f>
        <v>3</v>
      </c>
      <c r="P85" s="256" t="str">
        <f>FIXED(YEAR(LstMachines[[#This Row],[Delivery]]),0,TRUE)</f>
        <v>2018</v>
      </c>
      <c r="Q85" s="73" t="s">
        <v>320</v>
      </c>
      <c r="R85" s="93">
        <v>42459</v>
      </c>
      <c r="S85" s="95"/>
      <c r="T85" s="71"/>
      <c r="U85" s="72" t="s">
        <v>270</v>
      </c>
      <c r="V85" s="72">
        <v>4247</v>
      </c>
      <c r="W85" s="99" t="s">
        <v>384</v>
      </c>
      <c r="X85" s="258">
        <f>LstMachines[[#This Row],[Delivery]]</f>
        <v>43174</v>
      </c>
      <c r="Y85" s="258" t="str">
        <f xml:space="preserve"> IF(MONTH(LstMachines[[#This Row],[DateLivr]])&lt;10,"0","") &amp; MONTH(LstMachines[[#This Row],[DateLivr]]) &amp;"-"&amp;YEAR(LstMachines[[#This Row],[DateLivr]])</f>
        <v>03-2018</v>
      </c>
      <c r="Z85" s="258">
        <f>LstMachines[[#This Row],[Delivery]]+Rglt_à_HCME</f>
        <v>43234</v>
      </c>
      <c r="AA85" s="258" t="str">
        <f xml:space="preserve"> IF(MONTH(LstMachines[[#This Row],[DatePaie]])&lt;10,"0","") &amp; MONTH(LstMachines[[#This Row],[DatePaie]])&amp;"-"&amp;YEAR(LstMachines[[#This Row],[DatePaie]])</f>
        <v>05-2018</v>
      </c>
      <c r="AB85" s="258">
        <f>LstMachines[[#This Row],[DateLivr]]+1</f>
        <v>43175</v>
      </c>
      <c r="AC85" s="258" t="str">
        <f xml:space="preserve"> IF(MONTH(LstMachines[[#This Row],[Distrib]])&lt;10,"0","") &amp; MONTH(LstMachines[[#This Row],[Distrib]]) &amp; "-" &amp; YEAR(LstMachines[[#This Row],[Distrib]])</f>
        <v>03-2018</v>
      </c>
      <c r="AD85" s="258">
        <f>LstMachines[[#This Row],[DateLivr]]+Délai_Vente</f>
        <v>43294</v>
      </c>
      <c r="AE85" s="258" t="str">
        <f xml:space="preserve"> IF(MONTH(LstMachines[[#This Row],[VteESM]])&lt;10,"0","") &amp; MONTH(LstMachines[[#This Row],[VteESM]]) &amp; "-" &amp; YEAR(LstMachines[[#This Row],[VteESM]])</f>
        <v>07-2018</v>
      </c>
      <c r="AF85" s="258">
        <f>LstMachines[[#This Row],[DateLivr]]+Rglt_à_ESMTP</f>
        <v>43234</v>
      </c>
      <c r="AG85" s="258" t="str">
        <f xml:space="preserve"> IF(MONTH(LstMachines[[#This Row],[RgltDistrib]])&lt;10,"0","") &amp; MONTH(LstMachines[[#This Row],[RgltDistrib]]) &amp; "-" &amp; YEAR(LstMachines[[#This Row],[RgltDistrib]])</f>
        <v>05-2018</v>
      </c>
      <c r="AH85" s="258">
        <f>LstMachines[[#This Row],[VteESM]]+Rglt_à_ESMTP</f>
        <v>43354</v>
      </c>
      <c r="AI85" s="258" t="str">
        <f xml:space="preserve"> IF(MONTH(LstMachines[[#This Row],[RgltVteESM]])&lt;10,"0","") &amp; MONTH(LstMachines[[#This Row],[RgltVteESM]]) &amp; "-" &amp; YEAR(LstMachines[[#This Row],[RgltVteESM]])</f>
        <v>09-2018</v>
      </c>
      <c r="AJ85" s="140">
        <f>MONTH(LstMachines[[#This Row],[DatePaie]])</f>
        <v>5</v>
      </c>
      <c r="AK85" s="88" t="str">
        <f>FIXED(YEAR(LstMachines[[#This Row],[DatePaie]]),0,TRUE)</f>
        <v>2018</v>
      </c>
      <c r="AL85" s="140"/>
      <c r="AM85" s="414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BA85" s="92"/>
      <c r="BC85" s="92"/>
      <c r="BD85" s="92"/>
      <c r="BE85" s="92"/>
    </row>
    <row r="86" spans="2:57" hidden="1">
      <c r="B86" s="104" t="s">
        <v>262</v>
      </c>
      <c r="C86" s="104" t="s">
        <v>39</v>
      </c>
      <c r="D86" s="87">
        <v>85</v>
      </c>
      <c r="E86" s="86" t="s">
        <v>356</v>
      </c>
      <c r="F86" s="87" t="s">
        <v>100</v>
      </c>
      <c r="G86" s="87" t="s">
        <v>594</v>
      </c>
      <c r="H86" s="89">
        <v>1</v>
      </c>
      <c r="I8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86" s="88">
        <v>43174</v>
      </c>
      <c r="K86" s="99" t="s">
        <v>463</v>
      </c>
      <c r="L86" s="120" t="s">
        <v>595</v>
      </c>
      <c r="M86" s="99"/>
      <c r="N86" s="90"/>
      <c r="O86" s="255">
        <f>MONTH(LstMachines[[#This Row],[Delivery]])</f>
        <v>3</v>
      </c>
      <c r="P86" s="256" t="str">
        <f>FIXED(YEAR(LstMachines[[#This Row],[Delivery]]),0,TRUE)</f>
        <v>2018</v>
      </c>
      <c r="Q86" s="73"/>
      <c r="R86" s="93">
        <v>59482</v>
      </c>
      <c r="S86" s="95"/>
      <c r="T86" s="71"/>
      <c r="U86" s="72" t="s">
        <v>105</v>
      </c>
      <c r="V86" s="72"/>
      <c r="W86" s="99" t="s">
        <v>586</v>
      </c>
      <c r="X86" s="258">
        <f>LstMachines[[#This Row],[Delivery]]</f>
        <v>43174</v>
      </c>
      <c r="Y86" s="258" t="str">
        <f xml:space="preserve"> IF(MONTH(LstMachines[[#This Row],[DateLivr]])&lt;10,"0","") &amp; MONTH(LstMachines[[#This Row],[DateLivr]]) &amp;"-"&amp;YEAR(LstMachines[[#This Row],[DateLivr]])</f>
        <v>03-2018</v>
      </c>
      <c r="Z86" s="258">
        <f>LstMachines[[#This Row],[Delivery]]+Rglt_à_HCME</f>
        <v>43234</v>
      </c>
      <c r="AA86" s="258" t="str">
        <f xml:space="preserve"> IF(MONTH(LstMachines[[#This Row],[DatePaie]])&lt;10,"0","") &amp; MONTH(LstMachines[[#This Row],[DatePaie]])&amp;"-"&amp;YEAR(LstMachines[[#This Row],[DatePaie]])</f>
        <v>05-2018</v>
      </c>
      <c r="AB86" s="258">
        <f>LstMachines[[#This Row],[DateLivr]]+1</f>
        <v>43175</v>
      </c>
      <c r="AC86" s="258" t="str">
        <f xml:space="preserve"> IF(MONTH(LstMachines[[#This Row],[Distrib]])&lt;10,"0","") &amp; MONTH(LstMachines[[#This Row],[Distrib]]) &amp; "-" &amp; YEAR(LstMachines[[#This Row],[Distrib]])</f>
        <v>03-2018</v>
      </c>
      <c r="AD86" s="258">
        <f>LstMachines[[#This Row],[DateLivr]]+Délai_Vente</f>
        <v>43294</v>
      </c>
      <c r="AE86" s="258" t="str">
        <f xml:space="preserve"> IF(MONTH(LstMachines[[#This Row],[VteESM]])&lt;10,"0","") &amp; MONTH(LstMachines[[#This Row],[VteESM]]) &amp; "-" &amp; YEAR(LstMachines[[#This Row],[VteESM]])</f>
        <v>07-2018</v>
      </c>
      <c r="AF86" s="258">
        <f>LstMachines[[#This Row],[DateLivr]]+Rglt_à_ESMTP</f>
        <v>43234</v>
      </c>
      <c r="AG86" s="258" t="str">
        <f xml:space="preserve"> IF(MONTH(LstMachines[[#This Row],[RgltDistrib]])&lt;10,"0","") &amp; MONTH(LstMachines[[#This Row],[RgltDistrib]]) &amp; "-" &amp; YEAR(LstMachines[[#This Row],[RgltDistrib]])</f>
        <v>05-2018</v>
      </c>
      <c r="AH86" s="258">
        <f>LstMachines[[#This Row],[VteESM]]+Rglt_à_ESMTP</f>
        <v>43354</v>
      </c>
      <c r="AI86" s="258" t="str">
        <f xml:space="preserve"> IF(MONTH(LstMachines[[#This Row],[RgltVteESM]])&lt;10,"0","") &amp; MONTH(LstMachines[[#This Row],[RgltVteESM]]) &amp; "-" &amp; YEAR(LstMachines[[#This Row],[RgltVteESM]])</f>
        <v>09-2018</v>
      </c>
      <c r="AJ86" s="140">
        <f>MONTH(LstMachines[[#This Row],[DatePaie]])</f>
        <v>5</v>
      </c>
      <c r="AK86" s="88" t="str">
        <f>FIXED(YEAR(LstMachines[[#This Row],[DatePaie]]),0,TRUE)</f>
        <v>2018</v>
      </c>
      <c r="AL86" s="140"/>
      <c r="AM86" s="414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BA86" s="92"/>
      <c r="BC86" s="92"/>
      <c r="BD86" s="92"/>
      <c r="BE86" s="92"/>
    </row>
    <row r="87" spans="2:57" hidden="1">
      <c r="B87" s="104" t="s">
        <v>262</v>
      </c>
      <c r="C87" s="104" t="s">
        <v>44</v>
      </c>
      <c r="D87" s="87">
        <v>225</v>
      </c>
      <c r="E87" s="104" t="s">
        <v>206</v>
      </c>
      <c r="F87" s="71" t="s">
        <v>100</v>
      </c>
      <c r="G87" s="71" t="s">
        <v>31</v>
      </c>
      <c r="H87" s="89">
        <v>1</v>
      </c>
      <c r="I8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87" s="88">
        <v>43174</v>
      </c>
      <c r="K87" s="99" t="s">
        <v>463</v>
      </c>
      <c r="L87" s="120" t="s">
        <v>378</v>
      </c>
      <c r="M87" s="99"/>
      <c r="N87" s="90">
        <v>43036</v>
      </c>
      <c r="O87" s="255">
        <f>MONTH(LstMachines[[#This Row],[Delivery]])</f>
        <v>3</v>
      </c>
      <c r="P87" s="256" t="str">
        <f>FIXED(YEAR(LstMachines[[#This Row],[Delivery]]),0,TRUE)</f>
        <v>2018</v>
      </c>
      <c r="Q87" s="73" t="s">
        <v>334</v>
      </c>
      <c r="R87" s="93">
        <v>120482</v>
      </c>
      <c r="S87" s="95"/>
      <c r="T87" s="71"/>
      <c r="U87" s="72" t="s">
        <v>270</v>
      </c>
      <c r="V87" s="72">
        <v>4232</v>
      </c>
      <c r="W87" s="99" t="s">
        <v>384</v>
      </c>
      <c r="X87" s="258">
        <f>LstMachines[[#This Row],[Delivery]]</f>
        <v>43174</v>
      </c>
      <c r="Y87" s="258" t="str">
        <f xml:space="preserve"> IF(MONTH(LstMachines[[#This Row],[DateLivr]])&lt;10,"0","") &amp; MONTH(LstMachines[[#This Row],[DateLivr]]) &amp;"-"&amp;YEAR(LstMachines[[#This Row],[DateLivr]])</f>
        <v>03-2018</v>
      </c>
      <c r="Z87" s="258">
        <f>LstMachines[[#This Row],[Delivery]]+Rglt_à_HCME</f>
        <v>43234</v>
      </c>
      <c r="AA87" s="258" t="str">
        <f xml:space="preserve"> IF(MONTH(LstMachines[[#This Row],[DatePaie]])&lt;10,"0","") &amp; MONTH(LstMachines[[#This Row],[DatePaie]])&amp;"-"&amp;YEAR(LstMachines[[#This Row],[DatePaie]])</f>
        <v>05-2018</v>
      </c>
      <c r="AB87" s="258">
        <f>LstMachines[[#This Row],[DateLivr]]+1</f>
        <v>43175</v>
      </c>
      <c r="AC87" s="258" t="str">
        <f xml:space="preserve"> IF(MONTH(LstMachines[[#This Row],[Distrib]])&lt;10,"0","") &amp; MONTH(LstMachines[[#This Row],[Distrib]]) &amp; "-" &amp; YEAR(LstMachines[[#This Row],[Distrib]])</f>
        <v>03-2018</v>
      </c>
      <c r="AD87" s="258">
        <f>LstMachines[[#This Row],[DateLivr]]+Délai_Vente</f>
        <v>43294</v>
      </c>
      <c r="AE87" s="258" t="str">
        <f xml:space="preserve"> IF(MONTH(LstMachines[[#This Row],[VteESM]])&lt;10,"0","") &amp; MONTH(LstMachines[[#This Row],[VteESM]]) &amp; "-" &amp; YEAR(LstMachines[[#This Row],[VteESM]])</f>
        <v>07-2018</v>
      </c>
      <c r="AF87" s="258">
        <f>LstMachines[[#This Row],[DateLivr]]+Rglt_à_ESMTP</f>
        <v>43234</v>
      </c>
      <c r="AG87" s="258" t="str">
        <f xml:space="preserve"> IF(MONTH(LstMachines[[#This Row],[RgltDistrib]])&lt;10,"0","") &amp; MONTH(LstMachines[[#This Row],[RgltDistrib]]) &amp; "-" &amp; YEAR(LstMachines[[#This Row],[RgltDistrib]])</f>
        <v>05-2018</v>
      </c>
      <c r="AH87" s="258">
        <f>LstMachines[[#This Row],[VteESM]]+Rglt_à_ESMTP</f>
        <v>43354</v>
      </c>
      <c r="AI87" s="258" t="str">
        <f xml:space="preserve"> IF(MONTH(LstMachines[[#This Row],[RgltVteESM]])&lt;10,"0","") &amp; MONTH(LstMachines[[#This Row],[RgltVteESM]]) &amp; "-" &amp; YEAR(LstMachines[[#This Row],[RgltVteESM]])</f>
        <v>09-2018</v>
      </c>
      <c r="AJ87" s="140">
        <f>MONTH(LstMachines[[#This Row],[DatePaie]])</f>
        <v>5</v>
      </c>
      <c r="AK87" s="88" t="str">
        <f>FIXED(YEAR(LstMachines[[#This Row],[DatePaie]]),0,TRUE)</f>
        <v>2018</v>
      </c>
      <c r="AL87" s="140"/>
      <c r="AM87" s="414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BA87" s="92"/>
      <c r="BC87" s="92"/>
      <c r="BD87" s="92"/>
      <c r="BE87" s="92"/>
    </row>
    <row r="88" spans="2:57" hidden="1">
      <c r="B88" s="104" t="s">
        <v>75</v>
      </c>
      <c r="C88" s="104" t="s">
        <v>36</v>
      </c>
      <c r="D88" s="87">
        <v>26</v>
      </c>
      <c r="E88" s="104" t="s">
        <v>361</v>
      </c>
      <c r="F88" s="71" t="s">
        <v>100</v>
      </c>
      <c r="G88" s="101" t="s">
        <v>31</v>
      </c>
      <c r="H88" s="89">
        <v>1</v>
      </c>
      <c r="I8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88" s="88">
        <v>43174</v>
      </c>
      <c r="K88" s="99" t="s">
        <v>461</v>
      </c>
      <c r="L88" s="120" t="s">
        <v>378</v>
      </c>
      <c r="M88" s="99"/>
      <c r="N88" s="90"/>
      <c r="O88" s="255">
        <f>MONTH(LstMachines[[#This Row],[Delivery]])</f>
        <v>3</v>
      </c>
      <c r="P88" s="256" t="str">
        <f>FIXED(YEAR(LstMachines[[#This Row],[Delivery]]),0,TRUE)</f>
        <v>2018</v>
      </c>
      <c r="Q88" s="73"/>
      <c r="R88" s="93"/>
      <c r="S88" s="93"/>
      <c r="T88" s="73"/>
      <c r="U88" s="90"/>
      <c r="V88" s="72"/>
      <c r="W88" s="100" t="s">
        <v>383</v>
      </c>
      <c r="X88" s="258">
        <f>LstMachines[[#This Row],[Delivery]]</f>
        <v>43174</v>
      </c>
      <c r="Y88" s="258" t="str">
        <f xml:space="preserve"> IF(MONTH(LstMachines[[#This Row],[DateLivr]])&lt;10,"0","") &amp; MONTH(LstMachines[[#This Row],[DateLivr]]) &amp;"-"&amp;YEAR(LstMachines[[#This Row],[DateLivr]])</f>
        <v>03-2018</v>
      </c>
      <c r="Z88" s="258">
        <f>LstMachines[[#This Row],[Delivery]]+Rglt_à_HCME</f>
        <v>43234</v>
      </c>
      <c r="AA88" s="258" t="str">
        <f xml:space="preserve"> IF(MONTH(LstMachines[[#This Row],[DatePaie]])&lt;10,"0","") &amp; MONTH(LstMachines[[#This Row],[DatePaie]])&amp;"-"&amp;YEAR(LstMachines[[#This Row],[DatePaie]])</f>
        <v>05-2018</v>
      </c>
      <c r="AB88" s="258">
        <f>LstMachines[[#This Row],[DateLivr]]+1</f>
        <v>43175</v>
      </c>
      <c r="AC88" s="258" t="str">
        <f xml:space="preserve"> IF(MONTH(LstMachines[[#This Row],[Distrib]])&lt;10,"0","") &amp; MONTH(LstMachines[[#This Row],[Distrib]]) &amp; "-" &amp; YEAR(LstMachines[[#This Row],[Distrib]])</f>
        <v>03-2018</v>
      </c>
      <c r="AD88" s="258">
        <f>LstMachines[[#This Row],[DateLivr]]+Délai_Vente</f>
        <v>43294</v>
      </c>
      <c r="AE88" s="258" t="str">
        <f xml:space="preserve"> IF(MONTH(LstMachines[[#This Row],[VteESM]])&lt;10,"0","") &amp; MONTH(LstMachines[[#This Row],[VteESM]]) &amp; "-" &amp; YEAR(LstMachines[[#This Row],[VteESM]])</f>
        <v>07-2018</v>
      </c>
      <c r="AF88" s="258">
        <f>LstMachines[[#This Row],[DateLivr]]+Rglt_à_ESMTP</f>
        <v>43234</v>
      </c>
      <c r="AG88" s="258" t="str">
        <f xml:space="preserve"> IF(MONTH(LstMachines[[#This Row],[RgltDistrib]])&lt;10,"0","") &amp; MONTH(LstMachines[[#This Row],[RgltDistrib]]) &amp; "-" &amp; YEAR(LstMachines[[#This Row],[RgltDistrib]])</f>
        <v>05-2018</v>
      </c>
      <c r="AH88" s="258">
        <f>LstMachines[[#This Row],[VteESM]]+Rglt_à_ESMTP</f>
        <v>43354</v>
      </c>
      <c r="AI88" s="258" t="str">
        <f xml:space="preserve"> IF(MONTH(LstMachines[[#This Row],[RgltVteESM]])&lt;10,"0","") &amp; MONTH(LstMachines[[#This Row],[RgltVteESM]]) &amp; "-" &amp; YEAR(LstMachines[[#This Row],[RgltVteESM]])</f>
        <v>09-2018</v>
      </c>
      <c r="AJ88" s="140">
        <f>MONTH(LstMachines[[#This Row],[DatePaie]])</f>
        <v>5</v>
      </c>
      <c r="AK88" s="88" t="str">
        <f>FIXED(YEAR(LstMachines[[#This Row],[DatePaie]]),0,TRUE)</f>
        <v>2018</v>
      </c>
      <c r="AL88" s="140"/>
      <c r="AM88" s="414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BA88" s="92"/>
      <c r="BC88" s="92"/>
      <c r="BD88" s="92"/>
      <c r="BE88" s="92"/>
    </row>
    <row r="89" spans="2:57" hidden="1">
      <c r="B89" s="243" t="s">
        <v>262</v>
      </c>
      <c r="C89" s="243" t="s">
        <v>43</v>
      </c>
      <c r="D89" s="245">
        <v>210</v>
      </c>
      <c r="E89" s="243" t="s">
        <v>89</v>
      </c>
      <c r="F89" s="89" t="s">
        <v>66</v>
      </c>
      <c r="G89" s="87" t="s">
        <v>106</v>
      </c>
      <c r="H89" s="246">
        <v>1</v>
      </c>
      <c r="I8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118</v>
      </c>
      <c r="J89" s="247">
        <v>43174</v>
      </c>
      <c r="K89" s="248" t="s">
        <v>463</v>
      </c>
      <c r="L89" s="398" t="s">
        <v>589</v>
      </c>
      <c r="M89" s="248"/>
      <c r="N89" s="249"/>
      <c r="O89" s="255">
        <f>MONTH(LstMachines[[#This Row],[Delivery]])</f>
        <v>3</v>
      </c>
      <c r="P89" s="256" t="str">
        <f>FIXED(YEAR(LstMachines[[#This Row],[Delivery]]),0,TRUE)</f>
        <v>2018</v>
      </c>
      <c r="Q89" s="250"/>
      <c r="R89" s="251"/>
      <c r="S89" s="249"/>
      <c r="T89" s="249"/>
      <c r="U89" s="249" t="s">
        <v>105</v>
      </c>
      <c r="V89" s="246"/>
      <c r="W89" s="248" t="s">
        <v>384</v>
      </c>
      <c r="X89" s="258">
        <f>LstMachines[[#This Row],[Delivery]]</f>
        <v>43174</v>
      </c>
      <c r="Y89" s="258" t="str">
        <f xml:space="preserve"> IF(MONTH(LstMachines[[#This Row],[DateLivr]])&lt;10,"0","") &amp; MONTH(LstMachines[[#This Row],[DateLivr]]) &amp;"-"&amp;YEAR(LstMachines[[#This Row],[DateLivr]])</f>
        <v>03-2018</v>
      </c>
      <c r="Z89" s="258">
        <f>LstMachines[[#This Row],[Delivery]]+Rglt_à_HCME</f>
        <v>43234</v>
      </c>
      <c r="AA89" s="258" t="str">
        <f xml:space="preserve"> IF(MONTH(LstMachines[[#This Row],[DatePaie]])&lt;10,"0","") &amp; MONTH(LstMachines[[#This Row],[DatePaie]])&amp;"-"&amp;YEAR(LstMachines[[#This Row],[DatePaie]])</f>
        <v>05-2018</v>
      </c>
      <c r="AB89" s="258">
        <f>LstMachines[[#This Row],[DateLivr]]+1</f>
        <v>43175</v>
      </c>
      <c r="AC89" s="258" t="str">
        <f xml:space="preserve"> IF(MONTH(LstMachines[[#This Row],[Distrib]])&lt;10,"0","") &amp; MONTH(LstMachines[[#This Row],[Distrib]]) &amp; "-" &amp; YEAR(LstMachines[[#This Row],[Distrib]])</f>
        <v>03-2018</v>
      </c>
      <c r="AD89" s="258">
        <f>LstMachines[[#This Row],[DateLivr]]+Délai_Vente</f>
        <v>43294</v>
      </c>
      <c r="AE89" s="258" t="str">
        <f xml:space="preserve"> IF(MONTH(LstMachines[[#This Row],[VteESM]])&lt;10,"0","") &amp; MONTH(LstMachines[[#This Row],[VteESM]]) &amp; "-" &amp; YEAR(LstMachines[[#This Row],[VteESM]])</f>
        <v>07-2018</v>
      </c>
      <c r="AF89" s="258">
        <f>LstMachines[[#This Row],[DateLivr]]+Rglt_à_ESMTP</f>
        <v>43234</v>
      </c>
      <c r="AG89" s="258" t="str">
        <f xml:space="preserve"> IF(MONTH(LstMachines[[#This Row],[RgltDistrib]])&lt;10,"0","") &amp; MONTH(LstMachines[[#This Row],[RgltDistrib]]) &amp; "-" &amp; YEAR(LstMachines[[#This Row],[RgltDistrib]])</f>
        <v>05-2018</v>
      </c>
      <c r="AH89" s="258">
        <f>LstMachines[[#This Row],[VteESM]]+Rglt_à_ESMTP</f>
        <v>43354</v>
      </c>
      <c r="AI89" s="258" t="str">
        <f xml:space="preserve"> IF(MONTH(LstMachines[[#This Row],[RgltVteESM]])&lt;10,"0","") &amp; MONTH(LstMachines[[#This Row],[RgltVteESM]]) &amp; "-" &amp; YEAR(LstMachines[[#This Row],[RgltVteESM]])</f>
        <v>09-2018</v>
      </c>
      <c r="AJ89" s="140">
        <f>MONTH(LstMachines[[#This Row],[DatePaie]])</f>
        <v>5</v>
      </c>
      <c r="AK89" s="88" t="str">
        <f>FIXED(YEAR(LstMachines[[#This Row],[DatePaie]]),0,TRUE)</f>
        <v>2018</v>
      </c>
      <c r="AL89" s="270"/>
      <c r="AM89" s="414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BA89" s="92"/>
      <c r="BC89" s="92"/>
      <c r="BD89" s="92"/>
      <c r="BE89" s="92"/>
    </row>
    <row r="90" spans="2:57" hidden="1">
      <c r="B90" s="243" t="s">
        <v>75</v>
      </c>
      <c r="C90" s="243" t="s">
        <v>38</v>
      </c>
      <c r="D90" s="245">
        <v>65</v>
      </c>
      <c r="E90" s="243" t="s">
        <v>364</v>
      </c>
      <c r="F90" s="89" t="s">
        <v>66</v>
      </c>
      <c r="G90" s="89" t="s">
        <v>106</v>
      </c>
      <c r="H90" s="246">
        <v>1</v>
      </c>
      <c r="I9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90" s="247">
        <v>43174</v>
      </c>
      <c r="K90" s="248" t="s">
        <v>461</v>
      </c>
      <c r="L90" s="398" t="s">
        <v>589</v>
      </c>
      <c r="M90" s="248"/>
      <c r="N90" s="249"/>
      <c r="O90" s="255">
        <f>MONTH(LstMachines[[#This Row],[Delivery]])</f>
        <v>3</v>
      </c>
      <c r="P90" s="256" t="str">
        <f>FIXED(YEAR(LstMachines[[#This Row],[Delivery]]),0,TRUE)</f>
        <v>2018</v>
      </c>
      <c r="Q90" s="250"/>
      <c r="R90" s="251"/>
      <c r="S90" s="249"/>
      <c r="T90" s="249"/>
      <c r="U90" s="249" t="s">
        <v>105</v>
      </c>
      <c r="V90" s="246"/>
      <c r="W90" s="248" t="s">
        <v>384</v>
      </c>
      <c r="X90" s="258">
        <f>LstMachines[[#This Row],[Delivery]]</f>
        <v>43174</v>
      </c>
      <c r="Y90" s="258" t="str">
        <f xml:space="preserve"> IF(MONTH(LstMachines[[#This Row],[DateLivr]])&lt;10,"0","") &amp; MONTH(LstMachines[[#This Row],[DateLivr]]) &amp;"-"&amp;YEAR(LstMachines[[#This Row],[DateLivr]])</f>
        <v>03-2018</v>
      </c>
      <c r="Z90" s="258">
        <f>LstMachines[[#This Row],[Delivery]]+Rglt_à_HCME</f>
        <v>43234</v>
      </c>
      <c r="AA90" s="258" t="str">
        <f xml:space="preserve"> IF(MONTH(LstMachines[[#This Row],[DatePaie]])&lt;10,"0","") &amp; MONTH(LstMachines[[#This Row],[DatePaie]])&amp;"-"&amp;YEAR(LstMachines[[#This Row],[DatePaie]])</f>
        <v>05-2018</v>
      </c>
      <c r="AB90" s="258">
        <f>LstMachines[[#This Row],[DateLivr]]+1</f>
        <v>43175</v>
      </c>
      <c r="AC90" s="258" t="str">
        <f xml:space="preserve"> IF(MONTH(LstMachines[[#This Row],[Distrib]])&lt;10,"0","") &amp; MONTH(LstMachines[[#This Row],[Distrib]]) &amp; "-" &amp; YEAR(LstMachines[[#This Row],[Distrib]])</f>
        <v>03-2018</v>
      </c>
      <c r="AD90" s="258">
        <f>LstMachines[[#This Row],[DateLivr]]+Délai_Vente</f>
        <v>43294</v>
      </c>
      <c r="AE90" s="258" t="str">
        <f xml:space="preserve"> IF(MONTH(LstMachines[[#This Row],[VteESM]])&lt;10,"0","") &amp; MONTH(LstMachines[[#This Row],[VteESM]]) &amp; "-" &amp; YEAR(LstMachines[[#This Row],[VteESM]])</f>
        <v>07-2018</v>
      </c>
      <c r="AF90" s="258">
        <f>LstMachines[[#This Row],[DateLivr]]+Rglt_à_ESMTP</f>
        <v>43234</v>
      </c>
      <c r="AG90" s="258" t="str">
        <f xml:space="preserve"> IF(MONTH(LstMachines[[#This Row],[RgltDistrib]])&lt;10,"0","") &amp; MONTH(LstMachines[[#This Row],[RgltDistrib]]) &amp; "-" &amp; YEAR(LstMachines[[#This Row],[RgltDistrib]])</f>
        <v>05-2018</v>
      </c>
      <c r="AH90" s="258">
        <f>LstMachines[[#This Row],[VteESM]]+Rglt_à_ESMTP</f>
        <v>43354</v>
      </c>
      <c r="AI90" s="258" t="str">
        <f xml:space="preserve"> IF(MONTH(LstMachines[[#This Row],[RgltVteESM]])&lt;10,"0","") &amp; MONTH(LstMachines[[#This Row],[RgltVteESM]]) &amp; "-" &amp; YEAR(LstMachines[[#This Row],[RgltVteESM]])</f>
        <v>09-2018</v>
      </c>
      <c r="AJ90" s="140">
        <f>MONTH(LstMachines[[#This Row],[DatePaie]])</f>
        <v>5</v>
      </c>
      <c r="AK90" s="88" t="str">
        <f>FIXED(YEAR(LstMachines[[#This Row],[DatePaie]]),0,TRUE)</f>
        <v>2018</v>
      </c>
      <c r="AL90" s="270"/>
      <c r="AM90" s="414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BA90" s="92"/>
      <c r="BC90" s="92"/>
      <c r="BD90" s="92"/>
      <c r="BE90" s="92"/>
    </row>
    <row r="91" spans="2:57" hidden="1">
      <c r="B91" s="243" t="s">
        <v>75</v>
      </c>
      <c r="C91" s="243" t="s">
        <v>37</v>
      </c>
      <c r="D91" s="245">
        <v>48</v>
      </c>
      <c r="E91" s="243" t="s">
        <v>363</v>
      </c>
      <c r="F91" s="89" t="s">
        <v>66</v>
      </c>
      <c r="G91" s="89" t="s">
        <v>106</v>
      </c>
      <c r="H91" s="246">
        <v>2</v>
      </c>
      <c r="I9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82</v>
      </c>
      <c r="J91" s="247">
        <v>43174</v>
      </c>
      <c r="K91" s="248" t="s">
        <v>461</v>
      </c>
      <c r="L91" s="398" t="s">
        <v>589</v>
      </c>
      <c r="M91" s="248"/>
      <c r="N91" s="249"/>
      <c r="O91" s="255">
        <f>MONTH(LstMachines[[#This Row],[Delivery]])</f>
        <v>3</v>
      </c>
      <c r="P91" s="256" t="str">
        <f>FIXED(YEAR(LstMachines[[#This Row],[Delivery]]),0,TRUE)</f>
        <v>2018</v>
      </c>
      <c r="Q91" s="250"/>
      <c r="R91" s="251"/>
      <c r="S91" s="249"/>
      <c r="T91" s="249"/>
      <c r="U91" s="249" t="s">
        <v>105</v>
      </c>
      <c r="V91" s="246"/>
      <c r="W91" s="248" t="s">
        <v>384</v>
      </c>
      <c r="X91" s="258">
        <f>LstMachines[[#This Row],[Delivery]]</f>
        <v>43174</v>
      </c>
      <c r="Y91" s="258" t="str">
        <f xml:space="preserve"> IF(MONTH(LstMachines[[#This Row],[DateLivr]])&lt;10,"0","") &amp; MONTH(LstMachines[[#This Row],[DateLivr]]) &amp;"-"&amp;YEAR(LstMachines[[#This Row],[DateLivr]])</f>
        <v>03-2018</v>
      </c>
      <c r="Z91" s="258">
        <f>LstMachines[[#This Row],[Delivery]]+Rglt_à_HCME</f>
        <v>43234</v>
      </c>
      <c r="AA91" s="258" t="str">
        <f xml:space="preserve"> IF(MONTH(LstMachines[[#This Row],[DatePaie]])&lt;10,"0","") &amp; MONTH(LstMachines[[#This Row],[DatePaie]])&amp;"-"&amp;YEAR(LstMachines[[#This Row],[DatePaie]])</f>
        <v>05-2018</v>
      </c>
      <c r="AB91" s="258">
        <f>LstMachines[[#This Row],[DateLivr]]+1</f>
        <v>43175</v>
      </c>
      <c r="AC91" s="258" t="str">
        <f xml:space="preserve"> IF(MONTH(LstMachines[[#This Row],[Distrib]])&lt;10,"0","") &amp; MONTH(LstMachines[[#This Row],[Distrib]]) &amp; "-" &amp; YEAR(LstMachines[[#This Row],[Distrib]])</f>
        <v>03-2018</v>
      </c>
      <c r="AD91" s="258">
        <f>LstMachines[[#This Row],[DateLivr]]+Délai_Vente</f>
        <v>43294</v>
      </c>
      <c r="AE91" s="258" t="str">
        <f xml:space="preserve"> IF(MONTH(LstMachines[[#This Row],[VteESM]])&lt;10,"0","") &amp; MONTH(LstMachines[[#This Row],[VteESM]]) &amp; "-" &amp; YEAR(LstMachines[[#This Row],[VteESM]])</f>
        <v>07-2018</v>
      </c>
      <c r="AF91" s="258">
        <f>LstMachines[[#This Row],[DateLivr]]+Rglt_à_ESMTP</f>
        <v>43234</v>
      </c>
      <c r="AG91" s="258" t="str">
        <f xml:space="preserve"> IF(MONTH(LstMachines[[#This Row],[RgltDistrib]])&lt;10,"0","") &amp; MONTH(LstMachines[[#This Row],[RgltDistrib]]) &amp; "-" &amp; YEAR(LstMachines[[#This Row],[RgltDistrib]])</f>
        <v>05-2018</v>
      </c>
      <c r="AH91" s="258">
        <f>LstMachines[[#This Row],[VteESM]]+Rglt_à_ESMTP</f>
        <v>43354</v>
      </c>
      <c r="AI91" s="258" t="str">
        <f xml:space="preserve"> IF(MONTH(LstMachines[[#This Row],[RgltVteESM]])&lt;10,"0","") &amp; MONTH(LstMachines[[#This Row],[RgltVteESM]]) &amp; "-" &amp; YEAR(LstMachines[[#This Row],[RgltVteESM]])</f>
        <v>09-2018</v>
      </c>
      <c r="AJ91" s="140">
        <f>MONTH(LstMachines[[#This Row],[DatePaie]])</f>
        <v>5</v>
      </c>
      <c r="AK91" s="88" t="str">
        <f>FIXED(YEAR(LstMachines[[#This Row],[DatePaie]]),0,TRUE)</f>
        <v>2018</v>
      </c>
      <c r="AL91" s="270"/>
      <c r="AM91" s="414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BA91" s="92"/>
      <c r="BC91" s="92"/>
      <c r="BD91" s="92"/>
      <c r="BE91" s="92"/>
    </row>
    <row r="92" spans="2:57" hidden="1">
      <c r="B92" s="243" t="s">
        <v>75</v>
      </c>
      <c r="C92" s="243" t="s">
        <v>68</v>
      </c>
      <c r="D92" s="245">
        <v>33</v>
      </c>
      <c r="E92" s="243" t="s">
        <v>408</v>
      </c>
      <c r="F92" s="89" t="s">
        <v>66</v>
      </c>
      <c r="G92" s="89" t="s">
        <v>106</v>
      </c>
      <c r="H92" s="246">
        <v>1</v>
      </c>
      <c r="I9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32</v>
      </c>
      <c r="J92" s="247">
        <v>43174</v>
      </c>
      <c r="K92" s="248" t="s">
        <v>463</v>
      </c>
      <c r="L92" s="398" t="s">
        <v>589</v>
      </c>
      <c r="M92" s="248"/>
      <c r="N92" s="249"/>
      <c r="O92" s="255">
        <f>MONTH(LstMachines[[#This Row],[Delivery]])</f>
        <v>3</v>
      </c>
      <c r="P92" s="256" t="str">
        <f>FIXED(YEAR(LstMachines[[#This Row],[Delivery]]),0,TRUE)</f>
        <v>2018</v>
      </c>
      <c r="Q92" s="250"/>
      <c r="R92" s="251"/>
      <c r="S92" s="249"/>
      <c r="T92" s="249"/>
      <c r="U92" s="249" t="s">
        <v>105</v>
      </c>
      <c r="V92" s="246"/>
      <c r="W92" s="248" t="s">
        <v>384</v>
      </c>
      <c r="X92" s="258">
        <f>LstMachines[[#This Row],[Delivery]]</f>
        <v>43174</v>
      </c>
      <c r="Y92" s="258" t="str">
        <f xml:space="preserve"> IF(MONTH(LstMachines[[#This Row],[DateLivr]])&lt;10,"0","") &amp; MONTH(LstMachines[[#This Row],[DateLivr]]) &amp;"-"&amp;YEAR(LstMachines[[#This Row],[DateLivr]])</f>
        <v>03-2018</v>
      </c>
      <c r="Z92" s="258">
        <f>LstMachines[[#This Row],[Delivery]]+Rglt_à_HCME</f>
        <v>43234</v>
      </c>
      <c r="AA92" s="258" t="str">
        <f xml:space="preserve"> IF(MONTH(LstMachines[[#This Row],[DatePaie]])&lt;10,"0","") &amp; MONTH(LstMachines[[#This Row],[DatePaie]])&amp;"-"&amp;YEAR(LstMachines[[#This Row],[DatePaie]])</f>
        <v>05-2018</v>
      </c>
      <c r="AB92" s="258">
        <f>LstMachines[[#This Row],[DateLivr]]+1</f>
        <v>43175</v>
      </c>
      <c r="AC92" s="258" t="str">
        <f xml:space="preserve"> IF(MONTH(LstMachines[[#This Row],[Distrib]])&lt;10,"0","") &amp; MONTH(LstMachines[[#This Row],[Distrib]]) &amp; "-" &amp; YEAR(LstMachines[[#This Row],[Distrib]])</f>
        <v>03-2018</v>
      </c>
      <c r="AD92" s="258">
        <f>LstMachines[[#This Row],[DateLivr]]+Délai_Vente</f>
        <v>43294</v>
      </c>
      <c r="AE92" s="258" t="str">
        <f xml:space="preserve"> IF(MONTH(LstMachines[[#This Row],[VteESM]])&lt;10,"0","") &amp; MONTH(LstMachines[[#This Row],[VteESM]]) &amp; "-" &amp; YEAR(LstMachines[[#This Row],[VteESM]])</f>
        <v>07-2018</v>
      </c>
      <c r="AF92" s="258">
        <f>LstMachines[[#This Row],[DateLivr]]+Rglt_à_ESMTP</f>
        <v>43234</v>
      </c>
      <c r="AG92" s="258" t="str">
        <f xml:space="preserve"> IF(MONTH(LstMachines[[#This Row],[RgltDistrib]])&lt;10,"0","") &amp; MONTH(LstMachines[[#This Row],[RgltDistrib]]) &amp; "-" &amp; YEAR(LstMachines[[#This Row],[RgltDistrib]])</f>
        <v>05-2018</v>
      </c>
      <c r="AH92" s="258">
        <f>LstMachines[[#This Row],[VteESM]]+Rglt_à_ESMTP</f>
        <v>43354</v>
      </c>
      <c r="AI92" s="258" t="str">
        <f xml:space="preserve"> IF(MONTH(LstMachines[[#This Row],[RgltVteESM]])&lt;10,"0","") &amp; MONTH(LstMachines[[#This Row],[RgltVteESM]]) &amp; "-" &amp; YEAR(LstMachines[[#This Row],[RgltVteESM]])</f>
        <v>09-2018</v>
      </c>
      <c r="AJ92" s="140">
        <f>MONTH(LstMachines[[#This Row],[DatePaie]])</f>
        <v>5</v>
      </c>
      <c r="AK92" s="88" t="str">
        <f>FIXED(YEAR(LstMachines[[#This Row],[DatePaie]]),0,TRUE)</f>
        <v>2018</v>
      </c>
      <c r="AL92" s="270"/>
      <c r="AM92" s="414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BA92" s="92"/>
      <c r="BC92" s="92"/>
      <c r="BD92" s="92"/>
      <c r="BE92" s="92"/>
    </row>
    <row r="93" spans="2:57" hidden="1">
      <c r="B93" s="243" t="s">
        <v>75</v>
      </c>
      <c r="C93" s="243" t="s">
        <v>35</v>
      </c>
      <c r="D93" s="245">
        <v>19</v>
      </c>
      <c r="E93" s="243" t="s">
        <v>76</v>
      </c>
      <c r="F93" s="89" t="s">
        <v>66</v>
      </c>
      <c r="G93" s="89" t="s">
        <v>106</v>
      </c>
      <c r="H93" s="246">
        <v>1</v>
      </c>
      <c r="I9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93" s="247">
        <v>43174</v>
      </c>
      <c r="K93" s="248" t="s">
        <v>461</v>
      </c>
      <c r="L93" s="398" t="s">
        <v>589</v>
      </c>
      <c r="M93" s="248"/>
      <c r="N93" s="249"/>
      <c r="O93" s="255">
        <f>MONTH(LstMachines[[#This Row],[Delivery]])</f>
        <v>3</v>
      </c>
      <c r="P93" s="256" t="str">
        <f>FIXED(YEAR(LstMachines[[#This Row],[Delivery]]),0,TRUE)</f>
        <v>2018</v>
      </c>
      <c r="Q93" s="250"/>
      <c r="R93" s="251"/>
      <c r="S93" s="249"/>
      <c r="T93" s="249"/>
      <c r="U93" s="249" t="s">
        <v>105</v>
      </c>
      <c r="V93" s="246"/>
      <c r="W93" s="248" t="s">
        <v>384</v>
      </c>
      <c r="X93" s="258">
        <f>LstMachines[[#This Row],[Delivery]]</f>
        <v>43174</v>
      </c>
      <c r="Y93" s="258" t="str">
        <f xml:space="preserve"> IF(MONTH(LstMachines[[#This Row],[DateLivr]])&lt;10,"0","") &amp; MONTH(LstMachines[[#This Row],[DateLivr]]) &amp;"-"&amp;YEAR(LstMachines[[#This Row],[DateLivr]])</f>
        <v>03-2018</v>
      </c>
      <c r="Z93" s="258">
        <f>LstMachines[[#This Row],[Delivery]]+Rglt_à_HCME</f>
        <v>43234</v>
      </c>
      <c r="AA93" s="258" t="str">
        <f xml:space="preserve"> IF(MONTH(LstMachines[[#This Row],[DatePaie]])&lt;10,"0","") &amp; MONTH(LstMachines[[#This Row],[DatePaie]])&amp;"-"&amp;YEAR(LstMachines[[#This Row],[DatePaie]])</f>
        <v>05-2018</v>
      </c>
      <c r="AB93" s="258">
        <f>LstMachines[[#This Row],[DateLivr]]+1</f>
        <v>43175</v>
      </c>
      <c r="AC93" s="258" t="str">
        <f xml:space="preserve"> IF(MONTH(LstMachines[[#This Row],[Distrib]])&lt;10,"0","") &amp; MONTH(LstMachines[[#This Row],[Distrib]]) &amp; "-" &amp; YEAR(LstMachines[[#This Row],[Distrib]])</f>
        <v>03-2018</v>
      </c>
      <c r="AD93" s="258">
        <f>LstMachines[[#This Row],[DateLivr]]+Délai_Vente</f>
        <v>43294</v>
      </c>
      <c r="AE93" s="258" t="str">
        <f xml:space="preserve"> IF(MONTH(LstMachines[[#This Row],[VteESM]])&lt;10,"0","") &amp; MONTH(LstMachines[[#This Row],[VteESM]]) &amp; "-" &amp; YEAR(LstMachines[[#This Row],[VteESM]])</f>
        <v>07-2018</v>
      </c>
      <c r="AF93" s="258">
        <f>LstMachines[[#This Row],[DateLivr]]+Rglt_à_ESMTP</f>
        <v>43234</v>
      </c>
      <c r="AG93" s="258" t="str">
        <f xml:space="preserve"> IF(MONTH(LstMachines[[#This Row],[RgltDistrib]])&lt;10,"0","") &amp; MONTH(LstMachines[[#This Row],[RgltDistrib]]) &amp; "-" &amp; YEAR(LstMachines[[#This Row],[RgltDistrib]])</f>
        <v>05-2018</v>
      </c>
      <c r="AH93" s="258">
        <f>LstMachines[[#This Row],[VteESM]]+Rglt_à_ESMTP</f>
        <v>43354</v>
      </c>
      <c r="AI93" s="258" t="str">
        <f xml:space="preserve"> IF(MONTH(LstMachines[[#This Row],[RgltVteESM]])&lt;10,"0","") &amp; MONTH(LstMachines[[#This Row],[RgltVteESM]]) &amp; "-" &amp; YEAR(LstMachines[[#This Row],[RgltVteESM]])</f>
        <v>09-2018</v>
      </c>
      <c r="AJ93" s="140">
        <f>MONTH(LstMachines[[#This Row],[DatePaie]])</f>
        <v>5</v>
      </c>
      <c r="AK93" s="88" t="str">
        <f>FIXED(YEAR(LstMachines[[#This Row],[DatePaie]]),0,TRUE)</f>
        <v>2018</v>
      </c>
      <c r="AL93" s="270"/>
      <c r="AM93" s="414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BA93" s="92"/>
      <c r="BC93" s="92"/>
      <c r="BD93" s="92"/>
      <c r="BE93" s="92"/>
    </row>
    <row r="94" spans="2:57" hidden="1">
      <c r="B94" s="104" t="s">
        <v>262</v>
      </c>
      <c r="C94" s="104" t="s">
        <v>40</v>
      </c>
      <c r="D94" s="87">
        <v>135</v>
      </c>
      <c r="E94" s="86" t="s">
        <v>87</v>
      </c>
      <c r="F94" s="87" t="s">
        <v>67</v>
      </c>
      <c r="G94" s="87" t="s">
        <v>107</v>
      </c>
      <c r="H94" s="89">
        <v>1</v>
      </c>
      <c r="I9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94" s="88">
        <v>43205</v>
      </c>
      <c r="K94" s="99" t="s">
        <v>463</v>
      </c>
      <c r="L94" s="85" t="s">
        <v>389</v>
      </c>
      <c r="M94" s="99"/>
      <c r="N94" s="90"/>
      <c r="O94" s="255">
        <f>MONTH(LstMachines[[#This Row],[Delivery]])</f>
        <v>4</v>
      </c>
      <c r="P94" s="256" t="str">
        <f>FIXED(YEAR(LstMachines[[#This Row],[Delivery]]),0,TRUE)</f>
        <v>2018</v>
      </c>
      <c r="Q94" s="73"/>
      <c r="R94" s="93"/>
      <c r="S94" s="90"/>
      <c r="T94" s="90"/>
      <c r="U94" s="90"/>
      <c r="V94" s="72"/>
      <c r="W94" s="99"/>
      <c r="X94" s="258">
        <f>LstMachines[[#This Row],[Delivery]]</f>
        <v>43205</v>
      </c>
      <c r="Y94" s="258" t="str">
        <f xml:space="preserve"> IF(MONTH(LstMachines[[#This Row],[DateLivr]])&lt;10,"0","") &amp; MONTH(LstMachines[[#This Row],[DateLivr]]) &amp;"-"&amp;YEAR(LstMachines[[#This Row],[DateLivr]])</f>
        <v>04-2018</v>
      </c>
      <c r="Z94" s="258">
        <f>LstMachines[[#This Row],[Delivery]]+Rglt_à_HCME</f>
        <v>43265</v>
      </c>
      <c r="AA94" s="258" t="str">
        <f xml:space="preserve"> IF(MONTH(LstMachines[[#This Row],[DatePaie]])&lt;10,"0","") &amp; MONTH(LstMachines[[#This Row],[DatePaie]])&amp;"-"&amp;YEAR(LstMachines[[#This Row],[DatePaie]])</f>
        <v>06-2018</v>
      </c>
      <c r="AB94" s="258">
        <f>LstMachines[[#This Row],[DateLivr]]+1</f>
        <v>43206</v>
      </c>
      <c r="AC94" s="258" t="str">
        <f xml:space="preserve"> IF(MONTH(LstMachines[[#This Row],[Distrib]])&lt;10,"0","") &amp; MONTH(LstMachines[[#This Row],[Distrib]]) &amp; "-" &amp; YEAR(LstMachines[[#This Row],[Distrib]])</f>
        <v>04-2018</v>
      </c>
      <c r="AD94" s="258">
        <f>LstMachines[[#This Row],[DateLivr]]+Délai_Vente</f>
        <v>43325</v>
      </c>
      <c r="AE94" s="258" t="str">
        <f xml:space="preserve"> IF(MONTH(LstMachines[[#This Row],[VteESM]])&lt;10,"0","") &amp; MONTH(LstMachines[[#This Row],[VteESM]]) &amp; "-" &amp; YEAR(LstMachines[[#This Row],[VteESM]])</f>
        <v>08-2018</v>
      </c>
      <c r="AF94" s="258">
        <f>LstMachines[[#This Row],[DateLivr]]+Rglt_à_ESMTP</f>
        <v>43265</v>
      </c>
      <c r="AG94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94" s="258">
        <f>LstMachines[[#This Row],[VteESM]]+Rglt_à_ESMTP</f>
        <v>43385</v>
      </c>
      <c r="AI94" s="258" t="str">
        <f xml:space="preserve"> IF(MONTH(LstMachines[[#This Row],[RgltVteESM]])&lt;10,"0","") &amp; MONTH(LstMachines[[#This Row],[RgltVteESM]]) &amp; "-" &amp; YEAR(LstMachines[[#This Row],[RgltVteESM]])</f>
        <v>10-2018</v>
      </c>
      <c r="AJ94" s="140">
        <f>MONTH(LstMachines[[#This Row],[DatePaie]])</f>
        <v>6</v>
      </c>
      <c r="AK94" s="88" t="str">
        <f>FIXED(YEAR(LstMachines[[#This Row],[DatePaie]]),0,TRUE)</f>
        <v>2018</v>
      </c>
      <c r="AL94" s="140"/>
      <c r="AM94" s="414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BA94" s="92"/>
      <c r="BC94" s="92"/>
      <c r="BD94" s="92"/>
      <c r="BE94" s="92"/>
    </row>
    <row r="95" spans="2:57" hidden="1">
      <c r="B95" s="104" t="s">
        <v>75</v>
      </c>
      <c r="C95" s="104" t="s">
        <v>36</v>
      </c>
      <c r="D95" s="87">
        <v>26</v>
      </c>
      <c r="E95" s="86" t="s">
        <v>355</v>
      </c>
      <c r="F95" s="87" t="s">
        <v>67</v>
      </c>
      <c r="G95" s="87" t="s">
        <v>107</v>
      </c>
      <c r="H95" s="89">
        <v>1</v>
      </c>
      <c r="I9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95" s="88">
        <v>43205</v>
      </c>
      <c r="K95" s="99" t="s">
        <v>461</v>
      </c>
      <c r="L95" s="85" t="s">
        <v>389</v>
      </c>
      <c r="M95" s="99"/>
      <c r="N95" s="90"/>
      <c r="O95" s="255">
        <f>MONTH(LstMachines[[#This Row],[Delivery]])</f>
        <v>4</v>
      </c>
      <c r="P95" s="256" t="str">
        <f>FIXED(YEAR(LstMachines[[#This Row],[Delivery]]),0,TRUE)</f>
        <v>2018</v>
      </c>
      <c r="Q95" s="73"/>
      <c r="R95" s="93"/>
      <c r="S95" s="90"/>
      <c r="T95" s="90"/>
      <c r="U95" s="90"/>
      <c r="V95" s="72"/>
      <c r="W95" s="99"/>
      <c r="X95" s="258">
        <f>LstMachines[[#This Row],[Delivery]]</f>
        <v>43205</v>
      </c>
      <c r="Y95" s="258" t="str">
        <f xml:space="preserve"> IF(MONTH(LstMachines[[#This Row],[DateLivr]])&lt;10,"0","") &amp; MONTH(LstMachines[[#This Row],[DateLivr]]) &amp;"-"&amp;YEAR(LstMachines[[#This Row],[DateLivr]])</f>
        <v>04-2018</v>
      </c>
      <c r="Z95" s="258">
        <f>LstMachines[[#This Row],[Delivery]]+Rglt_à_HCME</f>
        <v>43265</v>
      </c>
      <c r="AA95" s="258" t="str">
        <f xml:space="preserve"> IF(MONTH(LstMachines[[#This Row],[DatePaie]])&lt;10,"0","") &amp; MONTH(LstMachines[[#This Row],[DatePaie]])&amp;"-"&amp;YEAR(LstMachines[[#This Row],[DatePaie]])</f>
        <v>06-2018</v>
      </c>
      <c r="AB95" s="258">
        <f>LstMachines[[#This Row],[DateLivr]]+1</f>
        <v>43206</v>
      </c>
      <c r="AC95" s="258" t="str">
        <f xml:space="preserve"> IF(MONTH(LstMachines[[#This Row],[Distrib]])&lt;10,"0","") &amp; MONTH(LstMachines[[#This Row],[Distrib]]) &amp; "-" &amp; YEAR(LstMachines[[#This Row],[Distrib]])</f>
        <v>04-2018</v>
      </c>
      <c r="AD95" s="258">
        <f>LstMachines[[#This Row],[DateLivr]]+Délai_Vente</f>
        <v>43325</v>
      </c>
      <c r="AE95" s="258" t="str">
        <f xml:space="preserve"> IF(MONTH(LstMachines[[#This Row],[VteESM]])&lt;10,"0","") &amp; MONTH(LstMachines[[#This Row],[VteESM]]) &amp; "-" &amp; YEAR(LstMachines[[#This Row],[VteESM]])</f>
        <v>08-2018</v>
      </c>
      <c r="AF95" s="258">
        <f>LstMachines[[#This Row],[DateLivr]]+Rglt_à_ESMTP</f>
        <v>43265</v>
      </c>
      <c r="AG95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95" s="258">
        <f>LstMachines[[#This Row],[VteESM]]+Rglt_à_ESMTP</f>
        <v>43385</v>
      </c>
      <c r="AI95" s="258" t="str">
        <f xml:space="preserve"> IF(MONTH(LstMachines[[#This Row],[RgltVteESM]])&lt;10,"0","") &amp; MONTH(LstMachines[[#This Row],[RgltVteESM]]) &amp; "-" &amp; YEAR(LstMachines[[#This Row],[RgltVteESM]])</f>
        <v>10-2018</v>
      </c>
      <c r="AJ95" s="140">
        <f>MONTH(LstMachines[[#This Row],[DatePaie]])</f>
        <v>6</v>
      </c>
      <c r="AK95" s="88" t="str">
        <f>FIXED(YEAR(LstMachines[[#This Row],[DatePaie]]),0,TRUE)</f>
        <v>2018</v>
      </c>
      <c r="AL95" s="140"/>
      <c r="AM95" s="414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BA95" s="92"/>
      <c r="BC95" s="92"/>
      <c r="BD95" s="92"/>
      <c r="BE95" s="92"/>
    </row>
    <row r="96" spans="2:57" hidden="1">
      <c r="B96" s="194" t="s">
        <v>75</v>
      </c>
      <c r="C96" s="194" t="s">
        <v>35</v>
      </c>
      <c r="D96" s="195">
        <v>19</v>
      </c>
      <c r="E96" s="194" t="s">
        <v>76</v>
      </c>
      <c r="F96" s="204" t="s">
        <v>468</v>
      </c>
      <c r="G96" s="204" t="s">
        <v>469</v>
      </c>
      <c r="H96" s="246">
        <v>1</v>
      </c>
      <c r="I9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96" s="196">
        <v>43205</v>
      </c>
      <c r="K96" s="139" t="s">
        <v>461</v>
      </c>
      <c r="L96" s="198" t="s">
        <v>470</v>
      </c>
      <c r="M96" s="139"/>
      <c r="N96" s="197"/>
      <c r="O96" s="255">
        <f>MONTH(LstMachines[[#This Row],[Delivery]])</f>
        <v>4</v>
      </c>
      <c r="P96" s="256" t="str">
        <f>FIXED(YEAR(LstMachines[[#This Row],[Delivery]]),0,TRUE)</f>
        <v>2018</v>
      </c>
      <c r="Q96" s="205"/>
      <c r="R96" s="241"/>
      <c r="S96" s="197"/>
      <c r="T96" s="197"/>
      <c r="U96" s="197"/>
      <c r="V96" s="193"/>
      <c r="W96" s="139"/>
      <c r="X96" s="258">
        <f>LstMachines[[#This Row],[Delivery]]</f>
        <v>43205</v>
      </c>
      <c r="Y96" s="258" t="str">
        <f xml:space="preserve"> IF(MONTH(LstMachines[[#This Row],[DateLivr]])&lt;10,"0","") &amp; MONTH(LstMachines[[#This Row],[DateLivr]]) &amp;"-"&amp;YEAR(LstMachines[[#This Row],[DateLivr]])</f>
        <v>04-2018</v>
      </c>
      <c r="Z96" s="258">
        <f>LstMachines[[#This Row],[Delivery]]+Rglt_à_HCME</f>
        <v>43265</v>
      </c>
      <c r="AA96" s="258" t="str">
        <f xml:space="preserve"> IF(MONTH(LstMachines[[#This Row],[DatePaie]])&lt;10,"0","") &amp; MONTH(LstMachines[[#This Row],[DatePaie]])&amp;"-"&amp;YEAR(LstMachines[[#This Row],[DatePaie]])</f>
        <v>06-2018</v>
      </c>
      <c r="AB96" s="258">
        <f>LstMachines[[#This Row],[DateLivr]]+1</f>
        <v>43206</v>
      </c>
      <c r="AC96" s="258" t="str">
        <f xml:space="preserve"> IF(MONTH(LstMachines[[#This Row],[Distrib]])&lt;10,"0","") &amp; MONTH(LstMachines[[#This Row],[Distrib]]) &amp; "-" &amp; YEAR(LstMachines[[#This Row],[Distrib]])</f>
        <v>04-2018</v>
      </c>
      <c r="AD96" s="258">
        <f>LstMachines[[#This Row],[DateLivr]]+Délai_Vente</f>
        <v>43325</v>
      </c>
      <c r="AE96" s="258" t="str">
        <f xml:space="preserve"> IF(MONTH(LstMachines[[#This Row],[VteESM]])&lt;10,"0","") &amp; MONTH(LstMachines[[#This Row],[VteESM]]) &amp; "-" &amp; YEAR(LstMachines[[#This Row],[VteESM]])</f>
        <v>08-2018</v>
      </c>
      <c r="AF96" s="258">
        <f>LstMachines[[#This Row],[DateLivr]]+Rglt_à_ESMTP</f>
        <v>43265</v>
      </c>
      <c r="AG96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96" s="258">
        <f>LstMachines[[#This Row],[VteESM]]+Rglt_à_ESMTP</f>
        <v>43385</v>
      </c>
      <c r="AI96" s="258" t="str">
        <f xml:space="preserve"> IF(MONTH(LstMachines[[#This Row],[RgltVteESM]])&lt;10,"0","") &amp; MONTH(LstMachines[[#This Row],[RgltVteESM]]) &amp; "-" &amp; YEAR(LstMachines[[#This Row],[RgltVteESM]])</f>
        <v>10-2018</v>
      </c>
      <c r="AJ96" s="140">
        <f>MONTH(LstMachines[[#This Row],[DatePaie]])</f>
        <v>6</v>
      </c>
      <c r="AK96" s="88" t="str">
        <f>FIXED(YEAR(LstMachines[[#This Row],[DatePaie]]),0,TRUE)</f>
        <v>2018</v>
      </c>
      <c r="AL96" s="140"/>
      <c r="AM96" s="414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BA96" s="92"/>
      <c r="BC96" s="92"/>
      <c r="BD96" s="92"/>
      <c r="BE96" s="92"/>
    </row>
    <row r="97" spans="2:57" hidden="1">
      <c r="B97" s="194" t="s">
        <v>75</v>
      </c>
      <c r="C97" s="194" t="s">
        <v>35</v>
      </c>
      <c r="D97" s="195">
        <v>19</v>
      </c>
      <c r="E97" s="194" t="s">
        <v>76</v>
      </c>
      <c r="F97" s="204" t="s">
        <v>468</v>
      </c>
      <c r="G97" s="204" t="s">
        <v>469</v>
      </c>
      <c r="H97" s="246">
        <v>1</v>
      </c>
      <c r="I9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97" s="196">
        <v>43205</v>
      </c>
      <c r="K97" s="139" t="s">
        <v>461</v>
      </c>
      <c r="L97" s="198" t="s">
        <v>470</v>
      </c>
      <c r="M97" s="139"/>
      <c r="N97" s="197"/>
      <c r="O97" s="255">
        <f>MONTH(LstMachines[[#This Row],[Delivery]])</f>
        <v>4</v>
      </c>
      <c r="P97" s="256" t="str">
        <f>FIXED(YEAR(LstMachines[[#This Row],[Delivery]]),0,TRUE)</f>
        <v>2018</v>
      </c>
      <c r="Q97" s="205"/>
      <c r="R97" s="241"/>
      <c r="S97" s="197"/>
      <c r="T97" s="197"/>
      <c r="U97" s="197"/>
      <c r="V97" s="193"/>
      <c r="W97" s="139"/>
      <c r="X97" s="258">
        <f>LstMachines[[#This Row],[Delivery]]</f>
        <v>43205</v>
      </c>
      <c r="Y97" s="258" t="str">
        <f xml:space="preserve"> IF(MONTH(LstMachines[[#This Row],[DateLivr]])&lt;10,"0","") &amp; MONTH(LstMachines[[#This Row],[DateLivr]]) &amp;"-"&amp;YEAR(LstMachines[[#This Row],[DateLivr]])</f>
        <v>04-2018</v>
      </c>
      <c r="Z97" s="258">
        <f>LstMachines[[#This Row],[Delivery]]+Rglt_à_HCME</f>
        <v>43265</v>
      </c>
      <c r="AA97" s="258" t="str">
        <f xml:space="preserve"> IF(MONTH(LstMachines[[#This Row],[DatePaie]])&lt;10,"0","") &amp; MONTH(LstMachines[[#This Row],[DatePaie]])&amp;"-"&amp;YEAR(LstMachines[[#This Row],[DatePaie]])</f>
        <v>06-2018</v>
      </c>
      <c r="AB97" s="258">
        <f>LstMachines[[#This Row],[DateLivr]]+1</f>
        <v>43206</v>
      </c>
      <c r="AC97" s="258" t="str">
        <f xml:space="preserve"> IF(MONTH(LstMachines[[#This Row],[Distrib]])&lt;10,"0","") &amp; MONTH(LstMachines[[#This Row],[Distrib]]) &amp; "-" &amp; YEAR(LstMachines[[#This Row],[Distrib]])</f>
        <v>04-2018</v>
      </c>
      <c r="AD97" s="258">
        <f>LstMachines[[#This Row],[DateLivr]]+Délai_Vente</f>
        <v>43325</v>
      </c>
      <c r="AE97" s="258" t="str">
        <f xml:space="preserve"> IF(MONTH(LstMachines[[#This Row],[VteESM]])&lt;10,"0","") &amp; MONTH(LstMachines[[#This Row],[VteESM]]) &amp; "-" &amp; YEAR(LstMachines[[#This Row],[VteESM]])</f>
        <v>08-2018</v>
      </c>
      <c r="AF97" s="258">
        <f>LstMachines[[#This Row],[DateLivr]]+Rglt_à_ESMTP</f>
        <v>43265</v>
      </c>
      <c r="AG97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97" s="258">
        <f>LstMachines[[#This Row],[VteESM]]+Rglt_à_ESMTP</f>
        <v>43385</v>
      </c>
      <c r="AI97" s="258" t="str">
        <f xml:space="preserve"> IF(MONTH(LstMachines[[#This Row],[RgltVteESM]])&lt;10,"0","") &amp; MONTH(LstMachines[[#This Row],[RgltVteESM]]) &amp; "-" &amp; YEAR(LstMachines[[#This Row],[RgltVteESM]])</f>
        <v>10-2018</v>
      </c>
      <c r="AJ97" s="140">
        <f>MONTH(LstMachines[[#This Row],[DatePaie]])</f>
        <v>6</v>
      </c>
      <c r="AK97" s="88" t="str">
        <f>FIXED(YEAR(LstMachines[[#This Row],[DatePaie]]),0,TRUE)</f>
        <v>2018</v>
      </c>
      <c r="AL97" s="140"/>
      <c r="AM97" s="414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BA97" s="92"/>
      <c r="BC97" s="92"/>
      <c r="BD97" s="92"/>
      <c r="BE97" s="92"/>
    </row>
    <row r="98" spans="2:57" hidden="1">
      <c r="B98" s="194" t="s">
        <v>262</v>
      </c>
      <c r="C98" s="194" t="s">
        <v>40</v>
      </c>
      <c r="D98" s="195">
        <v>135</v>
      </c>
      <c r="E98" s="104" t="s">
        <v>87</v>
      </c>
      <c r="F98" s="204" t="s">
        <v>468</v>
      </c>
      <c r="G98" s="204" t="s">
        <v>469</v>
      </c>
      <c r="H98" s="246">
        <v>1</v>
      </c>
      <c r="I9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98" s="196">
        <v>43205</v>
      </c>
      <c r="K98" s="139" t="s">
        <v>461</v>
      </c>
      <c r="L98" s="198" t="s">
        <v>470</v>
      </c>
      <c r="M98" s="139"/>
      <c r="N98" s="197"/>
      <c r="O98" s="255">
        <f>MONTH(LstMachines[[#This Row],[Delivery]])</f>
        <v>4</v>
      </c>
      <c r="P98" s="256" t="str">
        <f>FIXED(YEAR(LstMachines[[#This Row],[Delivery]]),0,TRUE)</f>
        <v>2018</v>
      </c>
      <c r="Q98" s="205"/>
      <c r="R98" s="241"/>
      <c r="S98" s="197"/>
      <c r="T98" s="197"/>
      <c r="U98" s="197"/>
      <c r="V98" s="193"/>
      <c r="W98" s="139"/>
      <c r="X98" s="258">
        <f>LstMachines[[#This Row],[Delivery]]</f>
        <v>43205</v>
      </c>
      <c r="Y98" s="258" t="str">
        <f xml:space="preserve"> IF(MONTH(LstMachines[[#This Row],[DateLivr]])&lt;10,"0","") &amp; MONTH(LstMachines[[#This Row],[DateLivr]]) &amp;"-"&amp;YEAR(LstMachines[[#This Row],[DateLivr]])</f>
        <v>04-2018</v>
      </c>
      <c r="Z98" s="258">
        <f>LstMachines[[#This Row],[Delivery]]+Rglt_à_HCME</f>
        <v>43265</v>
      </c>
      <c r="AA98" s="258" t="str">
        <f xml:space="preserve"> IF(MONTH(LstMachines[[#This Row],[DatePaie]])&lt;10,"0","") &amp; MONTH(LstMachines[[#This Row],[DatePaie]])&amp;"-"&amp;YEAR(LstMachines[[#This Row],[DatePaie]])</f>
        <v>06-2018</v>
      </c>
      <c r="AB98" s="258">
        <f>LstMachines[[#This Row],[DateLivr]]+1</f>
        <v>43206</v>
      </c>
      <c r="AC98" s="258" t="str">
        <f xml:space="preserve"> IF(MONTH(LstMachines[[#This Row],[Distrib]])&lt;10,"0","") &amp; MONTH(LstMachines[[#This Row],[Distrib]]) &amp; "-" &amp; YEAR(LstMachines[[#This Row],[Distrib]])</f>
        <v>04-2018</v>
      </c>
      <c r="AD98" s="258">
        <f>LstMachines[[#This Row],[DateLivr]]+Délai_Vente</f>
        <v>43325</v>
      </c>
      <c r="AE98" s="258" t="str">
        <f xml:space="preserve"> IF(MONTH(LstMachines[[#This Row],[VteESM]])&lt;10,"0","") &amp; MONTH(LstMachines[[#This Row],[VteESM]]) &amp; "-" &amp; YEAR(LstMachines[[#This Row],[VteESM]])</f>
        <v>08-2018</v>
      </c>
      <c r="AF98" s="258">
        <f>LstMachines[[#This Row],[DateLivr]]+Rglt_à_ESMTP</f>
        <v>43265</v>
      </c>
      <c r="AG98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98" s="258">
        <f>LstMachines[[#This Row],[VteESM]]+Rglt_à_ESMTP</f>
        <v>43385</v>
      </c>
      <c r="AI98" s="258" t="str">
        <f xml:space="preserve"> IF(MONTH(LstMachines[[#This Row],[RgltVteESM]])&lt;10,"0","") &amp; MONTH(LstMachines[[#This Row],[RgltVteESM]]) &amp; "-" &amp; YEAR(LstMachines[[#This Row],[RgltVteESM]])</f>
        <v>10-2018</v>
      </c>
      <c r="AJ98" s="140">
        <f>MONTH(LstMachines[[#This Row],[DatePaie]])</f>
        <v>6</v>
      </c>
      <c r="AK98" s="88" t="str">
        <f>FIXED(YEAR(LstMachines[[#This Row],[DatePaie]]),0,TRUE)</f>
        <v>2018</v>
      </c>
      <c r="AL98" s="140"/>
      <c r="AM98" s="414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BA98" s="92"/>
      <c r="BC98" s="92"/>
      <c r="BD98" s="92"/>
      <c r="BE98" s="92"/>
    </row>
    <row r="99" spans="2:57" hidden="1">
      <c r="B99" s="243" t="s">
        <v>262</v>
      </c>
      <c r="C99" s="243" t="s">
        <v>43</v>
      </c>
      <c r="D99" s="245">
        <v>210</v>
      </c>
      <c r="E99" s="104" t="s">
        <v>89</v>
      </c>
      <c r="F99" s="89" t="s">
        <v>468</v>
      </c>
      <c r="G99" s="89" t="s">
        <v>469</v>
      </c>
      <c r="H99" s="246">
        <v>1</v>
      </c>
      <c r="I9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118</v>
      </c>
      <c r="J99" s="247">
        <v>43205</v>
      </c>
      <c r="K99" s="248" t="s">
        <v>461</v>
      </c>
      <c r="L99" s="244" t="s">
        <v>470</v>
      </c>
      <c r="M99" s="248"/>
      <c r="N99" s="249"/>
      <c r="O99" s="255">
        <f>MONTH(LstMachines[[#This Row],[Delivery]])</f>
        <v>4</v>
      </c>
      <c r="P99" s="256" t="str">
        <f>FIXED(YEAR(LstMachines[[#This Row],[Delivery]]),0,TRUE)</f>
        <v>2018</v>
      </c>
      <c r="Q99" s="250"/>
      <c r="R99" s="251"/>
      <c r="S99" s="249"/>
      <c r="T99" s="249"/>
      <c r="U99" s="249"/>
      <c r="V99" s="246"/>
      <c r="W99" s="248"/>
      <c r="X99" s="258">
        <f>LstMachines[[#This Row],[Delivery]]</f>
        <v>43205</v>
      </c>
      <c r="Y99" s="258" t="str">
        <f xml:space="preserve"> IF(MONTH(LstMachines[[#This Row],[DateLivr]])&lt;10,"0","") &amp; MONTH(LstMachines[[#This Row],[DateLivr]]) &amp;"-"&amp;YEAR(LstMachines[[#This Row],[DateLivr]])</f>
        <v>04-2018</v>
      </c>
      <c r="Z99" s="258">
        <f>LstMachines[[#This Row],[Delivery]]+Rglt_à_HCME</f>
        <v>43265</v>
      </c>
      <c r="AA99" s="258" t="str">
        <f xml:space="preserve"> IF(MONTH(LstMachines[[#This Row],[DatePaie]])&lt;10,"0","") &amp; MONTH(LstMachines[[#This Row],[DatePaie]])&amp;"-"&amp;YEAR(LstMachines[[#This Row],[DatePaie]])</f>
        <v>06-2018</v>
      </c>
      <c r="AB99" s="258">
        <f>LstMachines[[#This Row],[DateLivr]]+1</f>
        <v>43206</v>
      </c>
      <c r="AC99" s="258" t="str">
        <f xml:space="preserve"> IF(MONTH(LstMachines[[#This Row],[Distrib]])&lt;10,"0","") &amp; MONTH(LstMachines[[#This Row],[Distrib]]) &amp; "-" &amp; YEAR(LstMachines[[#This Row],[Distrib]])</f>
        <v>04-2018</v>
      </c>
      <c r="AD99" s="258">
        <f>LstMachines[[#This Row],[DateLivr]]+Délai_Vente</f>
        <v>43325</v>
      </c>
      <c r="AE99" s="258" t="str">
        <f xml:space="preserve"> IF(MONTH(LstMachines[[#This Row],[VteESM]])&lt;10,"0","") &amp; MONTH(LstMachines[[#This Row],[VteESM]]) &amp; "-" &amp; YEAR(LstMachines[[#This Row],[VteESM]])</f>
        <v>08-2018</v>
      </c>
      <c r="AF99" s="258">
        <f>LstMachines[[#This Row],[DateLivr]]+Rglt_à_ESMTP</f>
        <v>43265</v>
      </c>
      <c r="AG99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99" s="258">
        <f>LstMachines[[#This Row],[VteESM]]+Rglt_à_ESMTP</f>
        <v>43385</v>
      </c>
      <c r="AI99" s="258" t="str">
        <f xml:space="preserve"> IF(MONTH(LstMachines[[#This Row],[RgltVteESM]])&lt;10,"0","") &amp; MONTH(LstMachines[[#This Row],[RgltVteESM]]) &amp; "-" &amp; YEAR(LstMachines[[#This Row],[RgltVteESM]])</f>
        <v>10-2018</v>
      </c>
      <c r="AJ99" s="140">
        <f>MONTH(LstMachines[[#This Row],[DatePaie]])</f>
        <v>6</v>
      </c>
      <c r="AK99" s="88" t="str">
        <f>FIXED(YEAR(LstMachines[[#This Row],[DatePaie]]),0,TRUE)</f>
        <v>2018</v>
      </c>
      <c r="AL99" s="140"/>
      <c r="AM99" s="414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BA99" s="92"/>
      <c r="BC99" s="92"/>
      <c r="BD99" s="92"/>
      <c r="BE99" s="92"/>
    </row>
    <row r="100" spans="2:57" hidden="1">
      <c r="B100" s="104" t="s">
        <v>75</v>
      </c>
      <c r="C100" s="104" t="s">
        <v>35</v>
      </c>
      <c r="D100" s="87">
        <v>19</v>
      </c>
      <c r="E100" s="104" t="s">
        <v>76</v>
      </c>
      <c r="F100" s="71" t="s">
        <v>100</v>
      </c>
      <c r="G100" s="71" t="s">
        <v>31</v>
      </c>
      <c r="H100" s="89">
        <v>1</v>
      </c>
      <c r="I10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100" s="88">
        <v>43205</v>
      </c>
      <c r="K100" s="99" t="s">
        <v>463</v>
      </c>
      <c r="L100" s="120" t="s">
        <v>378</v>
      </c>
      <c r="M100" s="99"/>
      <c r="N100" s="90">
        <v>43036</v>
      </c>
      <c r="O100" s="255">
        <f>MONTH(LstMachines[[#This Row],[Delivery]])</f>
        <v>4</v>
      </c>
      <c r="P100" s="256" t="str">
        <f>FIXED(YEAR(LstMachines[[#This Row],[Delivery]]),0,TRUE)</f>
        <v>2018</v>
      </c>
      <c r="Q100" s="73" t="s">
        <v>326</v>
      </c>
      <c r="R100" s="93">
        <v>16198</v>
      </c>
      <c r="S100" s="95"/>
      <c r="T100" s="71"/>
      <c r="U100" s="72" t="s">
        <v>270</v>
      </c>
      <c r="V100" s="72">
        <v>4234</v>
      </c>
      <c r="W100" s="99" t="s">
        <v>384</v>
      </c>
      <c r="X100" s="258">
        <f>LstMachines[[#This Row],[Delivery]]</f>
        <v>43205</v>
      </c>
      <c r="Y100" s="258" t="str">
        <f xml:space="preserve"> IF(MONTH(LstMachines[[#This Row],[DateLivr]])&lt;10,"0","") &amp; MONTH(LstMachines[[#This Row],[DateLivr]]) &amp;"-"&amp;YEAR(LstMachines[[#This Row],[DateLivr]])</f>
        <v>04-2018</v>
      </c>
      <c r="Z100" s="258">
        <f>LstMachines[[#This Row],[Delivery]]+Rglt_à_HCME</f>
        <v>43265</v>
      </c>
      <c r="AA100" s="258" t="str">
        <f xml:space="preserve"> IF(MONTH(LstMachines[[#This Row],[DatePaie]])&lt;10,"0","") &amp; MONTH(LstMachines[[#This Row],[DatePaie]])&amp;"-"&amp;YEAR(LstMachines[[#This Row],[DatePaie]])</f>
        <v>06-2018</v>
      </c>
      <c r="AB100" s="258">
        <f>LstMachines[[#This Row],[DateLivr]]+1</f>
        <v>43206</v>
      </c>
      <c r="AC100" s="258" t="str">
        <f xml:space="preserve"> IF(MONTH(LstMachines[[#This Row],[Distrib]])&lt;10,"0","") &amp; MONTH(LstMachines[[#This Row],[Distrib]]) &amp; "-" &amp; YEAR(LstMachines[[#This Row],[Distrib]])</f>
        <v>04-2018</v>
      </c>
      <c r="AD100" s="258">
        <f>LstMachines[[#This Row],[DateLivr]]+Délai_Vente</f>
        <v>43325</v>
      </c>
      <c r="AE100" s="258" t="str">
        <f xml:space="preserve"> IF(MONTH(LstMachines[[#This Row],[VteESM]])&lt;10,"0","") &amp; MONTH(LstMachines[[#This Row],[VteESM]]) &amp; "-" &amp; YEAR(LstMachines[[#This Row],[VteESM]])</f>
        <v>08-2018</v>
      </c>
      <c r="AF100" s="258">
        <f>LstMachines[[#This Row],[DateLivr]]+Rglt_à_ESMTP</f>
        <v>43265</v>
      </c>
      <c r="AG100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100" s="258">
        <f>LstMachines[[#This Row],[VteESM]]+Rglt_à_ESMTP</f>
        <v>43385</v>
      </c>
      <c r="AI100" s="258" t="str">
        <f xml:space="preserve"> IF(MONTH(LstMachines[[#This Row],[RgltVteESM]])&lt;10,"0","") &amp; MONTH(LstMachines[[#This Row],[RgltVteESM]]) &amp; "-" &amp; YEAR(LstMachines[[#This Row],[RgltVteESM]])</f>
        <v>10-2018</v>
      </c>
      <c r="AJ100" s="140">
        <f>MONTH(LstMachines[[#This Row],[DatePaie]])</f>
        <v>6</v>
      </c>
      <c r="AK100" s="88" t="str">
        <f>FIXED(YEAR(LstMachines[[#This Row],[DatePaie]]),0,TRUE)</f>
        <v>2018</v>
      </c>
      <c r="AL100" s="140"/>
      <c r="AM100" s="414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BA100" s="92"/>
      <c r="BC100" s="92"/>
      <c r="BD100" s="92"/>
      <c r="BE100" s="92"/>
    </row>
    <row r="101" spans="2:57" hidden="1">
      <c r="B101" s="104" t="s">
        <v>262</v>
      </c>
      <c r="C101" s="104" t="s">
        <v>39</v>
      </c>
      <c r="D101" s="87">
        <v>85</v>
      </c>
      <c r="E101" s="86" t="s">
        <v>356</v>
      </c>
      <c r="F101" s="87" t="s">
        <v>100</v>
      </c>
      <c r="G101" s="71" t="s">
        <v>31</v>
      </c>
      <c r="H101" s="89">
        <v>1</v>
      </c>
      <c r="I10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101" s="88">
        <v>43205</v>
      </c>
      <c r="K101" s="99" t="s">
        <v>463</v>
      </c>
      <c r="L101" s="120" t="s">
        <v>378</v>
      </c>
      <c r="M101" s="117"/>
      <c r="N101" s="90">
        <v>42979</v>
      </c>
      <c r="O101" s="255">
        <f>MONTH(LstMachines[[#This Row],[Delivery]])</f>
        <v>4</v>
      </c>
      <c r="P101" s="256" t="str">
        <f>FIXED(YEAR(LstMachines[[#This Row],[Delivery]]),0,TRUE)</f>
        <v>2018</v>
      </c>
      <c r="Q101" s="73" t="s">
        <v>324</v>
      </c>
      <c r="R101" s="93">
        <v>59260</v>
      </c>
      <c r="S101" s="90"/>
      <c r="T101" s="90"/>
      <c r="U101" s="90" t="s">
        <v>105</v>
      </c>
      <c r="V101" s="72">
        <v>4224</v>
      </c>
      <c r="W101" s="99" t="s">
        <v>384</v>
      </c>
      <c r="X101" s="258">
        <f>LstMachines[[#This Row],[Delivery]]</f>
        <v>43205</v>
      </c>
      <c r="Y101" s="258" t="str">
        <f xml:space="preserve"> IF(MONTH(LstMachines[[#This Row],[DateLivr]])&lt;10,"0","") &amp; MONTH(LstMachines[[#This Row],[DateLivr]]) &amp;"-"&amp;YEAR(LstMachines[[#This Row],[DateLivr]])</f>
        <v>04-2018</v>
      </c>
      <c r="Z101" s="258">
        <f>LstMachines[[#This Row],[Delivery]]+Rglt_à_HCME</f>
        <v>43265</v>
      </c>
      <c r="AA101" s="258" t="str">
        <f xml:space="preserve"> IF(MONTH(LstMachines[[#This Row],[DatePaie]])&lt;10,"0","") &amp; MONTH(LstMachines[[#This Row],[DatePaie]])&amp;"-"&amp;YEAR(LstMachines[[#This Row],[DatePaie]])</f>
        <v>06-2018</v>
      </c>
      <c r="AB101" s="258">
        <f>LstMachines[[#This Row],[DateLivr]]+1</f>
        <v>43206</v>
      </c>
      <c r="AC101" s="258" t="str">
        <f xml:space="preserve"> IF(MONTH(LstMachines[[#This Row],[Distrib]])&lt;10,"0","") &amp; MONTH(LstMachines[[#This Row],[Distrib]]) &amp; "-" &amp; YEAR(LstMachines[[#This Row],[Distrib]])</f>
        <v>04-2018</v>
      </c>
      <c r="AD101" s="258">
        <f>LstMachines[[#This Row],[DateLivr]]+Délai_Vente</f>
        <v>43325</v>
      </c>
      <c r="AE101" s="258" t="str">
        <f xml:space="preserve"> IF(MONTH(LstMachines[[#This Row],[VteESM]])&lt;10,"0","") &amp; MONTH(LstMachines[[#This Row],[VteESM]]) &amp; "-" &amp; YEAR(LstMachines[[#This Row],[VteESM]])</f>
        <v>08-2018</v>
      </c>
      <c r="AF101" s="258">
        <f>LstMachines[[#This Row],[DateLivr]]+Rglt_à_ESMTP</f>
        <v>43265</v>
      </c>
      <c r="AG101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101" s="258">
        <f>LstMachines[[#This Row],[VteESM]]+Rglt_à_ESMTP</f>
        <v>43385</v>
      </c>
      <c r="AI101" s="258" t="str">
        <f xml:space="preserve"> IF(MONTH(LstMachines[[#This Row],[RgltVteESM]])&lt;10,"0","") &amp; MONTH(LstMachines[[#This Row],[RgltVteESM]]) &amp; "-" &amp; YEAR(LstMachines[[#This Row],[RgltVteESM]])</f>
        <v>10-2018</v>
      </c>
      <c r="AJ101" s="140">
        <f>MONTH(LstMachines[[#This Row],[DatePaie]])</f>
        <v>6</v>
      </c>
      <c r="AK101" s="88" t="str">
        <f>FIXED(YEAR(LstMachines[[#This Row],[DatePaie]]),0,TRUE)</f>
        <v>2018</v>
      </c>
      <c r="AL101" s="140"/>
      <c r="AM101" s="414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BA101" s="92"/>
      <c r="BC101" s="92"/>
      <c r="BD101" s="92"/>
      <c r="BE101" s="92"/>
    </row>
    <row r="102" spans="2:57" hidden="1">
      <c r="B102" s="104" t="s">
        <v>262</v>
      </c>
      <c r="C102" s="104" t="s">
        <v>39</v>
      </c>
      <c r="D102" s="87">
        <v>85</v>
      </c>
      <c r="E102" s="86" t="s">
        <v>356</v>
      </c>
      <c r="F102" s="87" t="s">
        <v>100</v>
      </c>
      <c r="G102" s="71" t="s">
        <v>31</v>
      </c>
      <c r="H102" s="89">
        <v>1</v>
      </c>
      <c r="I10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102" s="88">
        <v>43205</v>
      </c>
      <c r="K102" s="99" t="s">
        <v>463</v>
      </c>
      <c r="L102" s="120" t="s">
        <v>378</v>
      </c>
      <c r="M102" s="117"/>
      <c r="N102" s="90">
        <v>42979</v>
      </c>
      <c r="O102" s="255">
        <f>MONTH(LstMachines[[#This Row],[Delivery]])</f>
        <v>4</v>
      </c>
      <c r="P102" s="256" t="str">
        <f>FIXED(YEAR(LstMachines[[#This Row],[Delivery]]),0,TRUE)</f>
        <v>2018</v>
      </c>
      <c r="Q102" s="73" t="s">
        <v>325</v>
      </c>
      <c r="R102" s="93">
        <v>59260</v>
      </c>
      <c r="S102" s="90"/>
      <c r="T102" s="90"/>
      <c r="U102" s="90" t="s">
        <v>105</v>
      </c>
      <c r="V102" s="72">
        <v>4225</v>
      </c>
      <c r="W102" s="99" t="s">
        <v>384</v>
      </c>
      <c r="X102" s="258">
        <f>LstMachines[[#This Row],[Delivery]]</f>
        <v>43205</v>
      </c>
      <c r="Y102" s="258" t="str">
        <f xml:space="preserve"> IF(MONTH(LstMachines[[#This Row],[DateLivr]])&lt;10,"0","") &amp; MONTH(LstMachines[[#This Row],[DateLivr]]) &amp;"-"&amp;YEAR(LstMachines[[#This Row],[DateLivr]])</f>
        <v>04-2018</v>
      </c>
      <c r="Z102" s="258">
        <f>LstMachines[[#This Row],[Delivery]]+Rglt_à_HCME</f>
        <v>43265</v>
      </c>
      <c r="AA102" s="258" t="str">
        <f xml:space="preserve"> IF(MONTH(LstMachines[[#This Row],[DatePaie]])&lt;10,"0","") &amp; MONTH(LstMachines[[#This Row],[DatePaie]])&amp;"-"&amp;YEAR(LstMachines[[#This Row],[DatePaie]])</f>
        <v>06-2018</v>
      </c>
      <c r="AB102" s="258">
        <f>LstMachines[[#This Row],[DateLivr]]+1</f>
        <v>43206</v>
      </c>
      <c r="AC102" s="258" t="str">
        <f xml:space="preserve"> IF(MONTH(LstMachines[[#This Row],[Distrib]])&lt;10,"0","") &amp; MONTH(LstMachines[[#This Row],[Distrib]]) &amp; "-" &amp; YEAR(LstMachines[[#This Row],[Distrib]])</f>
        <v>04-2018</v>
      </c>
      <c r="AD102" s="258">
        <f>LstMachines[[#This Row],[DateLivr]]+Délai_Vente</f>
        <v>43325</v>
      </c>
      <c r="AE102" s="258" t="str">
        <f xml:space="preserve"> IF(MONTH(LstMachines[[#This Row],[VteESM]])&lt;10,"0","") &amp; MONTH(LstMachines[[#This Row],[VteESM]]) &amp; "-" &amp; YEAR(LstMachines[[#This Row],[VteESM]])</f>
        <v>08-2018</v>
      </c>
      <c r="AF102" s="258">
        <f>LstMachines[[#This Row],[DateLivr]]+Rglt_à_ESMTP</f>
        <v>43265</v>
      </c>
      <c r="AG102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102" s="258">
        <f>LstMachines[[#This Row],[VteESM]]+Rglt_à_ESMTP</f>
        <v>43385</v>
      </c>
      <c r="AI102" s="258" t="str">
        <f xml:space="preserve"> IF(MONTH(LstMachines[[#This Row],[RgltVteESM]])&lt;10,"0","") &amp; MONTH(LstMachines[[#This Row],[RgltVteESM]]) &amp; "-" &amp; YEAR(LstMachines[[#This Row],[RgltVteESM]])</f>
        <v>10-2018</v>
      </c>
      <c r="AJ102" s="140">
        <f>MONTH(LstMachines[[#This Row],[DatePaie]])</f>
        <v>6</v>
      </c>
      <c r="AK102" s="88" t="str">
        <f>FIXED(YEAR(LstMachines[[#This Row],[DatePaie]]),0,TRUE)</f>
        <v>2018</v>
      </c>
      <c r="AL102" s="140"/>
      <c r="AM102" s="414"/>
      <c r="AN102" s="92"/>
      <c r="AO102" s="92"/>
      <c r="AP102" s="92"/>
      <c r="AQ102" s="92"/>
      <c r="AR102" s="92"/>
      <c r="AS102" s="92"/>
      <c r="AT102" s="92"/>
      <c r="AU102" s="92"/>
      <c r="AV102" s="92"/>
      <c r="AW102" s="92"/>
      <c r="AX102" s="92"/>
      <c r="AY102" s="92"/>
      <c r="BA102" s="92"/>
      <c r="BC102" s="92"/>
      <c r="BD102" s="92"/>
      <c r="BE102" s="92"/>
    </row>
    <row r="103" spans="2:57" hidden="1">
      <c r="B103" s="104" t="s">
        <v>262</v>
      </c>
      <c r="C103" s="104" t="s">
        <v>40</v>
      </c>
      <c r="D103" s="87">
        <v>135</v>
      </c>
      <c r="E103" s="104" t="s">
        <v>87</v>
      </c>
      <c r="F103" s="71" t="s">
        <v>100</v>
      </c>
      <c r="G103" s="71" t="s">
        <v>31</v>
      </c>
      <c r="H103" s="89">
        <v>1</v>
      </c>
      <c r="I10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103" s="88">
        <v>43205</v>
      </c>
      <c r="K103" s="99" t="s">
        <v>463</v>
      </c>
      <c r="L103" s="120" t="s">
        <v>378</v>
      </c>
      <c r="M103" s="99"/>
      <c r="N103" s="90">
        <v>43036</v>
      </c>
      <c r="O103" s="255">
        <f>MONTH(LstMachines[[#This Row],[Delivery]])</f>
        <v>4</v>
      </c>
      <c r="P103" s="256" t="str">
        <f>FIXED(YEAR(LstMachines[[#This Row],[Delivery]]),0,TRUE)</f>
        <v>2018</v>
      </c>
      <c r="Q103" s="73" t="s">
        <v>321</v>
      </c>
      <c r="R103" s="93">
        <v>108134</v>
      </c>
      <c r="S103" s="95"/>
      <c r="T103" s="71"/>
      <c r="U103" s="72" t="s">
        <v>270</v>
      </c>
      <c r="V103" s="72">
        <v>4227</v>
      </c>
      <c r="W103" s="99" t="s">
        <v>384</v>
      </c>
      <c r="X103" s="258">
        <f>LstMachines[[#This Row],[Delivery]]</f>
        <v>43205</v>
      </c>
      <c r="Y103" s="258" t="str">
        <f xml:space="preserve"> IF(MONTH(LstMachines[[#This Row],[DateLivr]])&lt;10,"0","") &amp; MONTH(LstMachines[[#This Row],[DateLivr]]) &amp;"-"&amp;YEAR(LstMachines[[#This Row],[DateLivr]])</f>
        <v>04-2018</v>
      </c>
      <c r="Z103" s="258">
        <f>LstMachines[[#This Row],[Delivery]]+Rglt_à_HCME</f>
        <v>43265</v>
      </c>
      <c r="AA103" s="258" t="str">
        <f xml:space="preserve"> IF(MONTH(LstMachines[[#This Row],[DatePaie]])&lt;10,"0","") &amp; MONTH(LstMachines[[#This Row],[DatePaie]])&amp;"-"&amp;YEAR(LstMachines[[#This Row],[DatePaie]])</f>
        <v>06-2018</v>
      </c>
      <c r="AB103" s="258">
        <f>LstMachines[[#This Row],[DateLivr]]+1</f>
        <v>43206</v>
      </c>
      <c r="AC103" s="258" t="str">
        <f xml:space="preserve"> IF(MONTH(LstMachines[[#This Row],[Distrib]])&lt;10,"0","") &amp; MONTH(LstMachines[[#This Row],[Distrib]]) &amp; "-" &amp; YEAR(LstMachines[[#This Row],[Distrib]])</f>
        <v>04-2018</v>
      </c>
      <c r="AD103" s="258">
        <f>LstMachines[[#This Row],[DateLivr]]+Délai_Vente</f>
        <v>43325</v>
      </c>
      <c r="AE103" s="258" t="str">
        <f xml:space="preserve"> IF(MONTH(LstMachines[[#This Row],[VteESM]])&lt;10,"0","") &amp; MONTH(LstMachines[[#This Row],[VteESM]]) &amp; "-" &amp; YEAR(LstMachines[[#This Row],[VteESM]])</f>
        <v>08-2018</v>
      </c>
      <c r="AF103" s="258">
        <f>LstMachines[[#This Row],[DateLivr]]+Rglt_à_ESMTP</f>
        <v>43265</v>
      </c>
      <c r="AG103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103" s="258">
        <f>LstMachines[[#This Row],[VteESM]]+Rglt_à_ESMTP</f>
        <v>43385</v>
      </c>
      <c r="AI103" s="258" t="str">
        <f xml:space="preserve"> IF(MONTH(LstMachines[[#This Row],[RgltVteESM]])&lt;10,"0","") &amp; MONTH(LstMachines[[#This Row],[RgltVteESM]]) &amp; "-" &amp; YEAR(LstMachines[[#This Row],[RgltVteESM]])</f>
        <v>10-2018</v>
      </c>
      <c r="AJ103" s="140">
        <f>MONTH(LstMachines[[#This Row],[DatePaie]])</f>
        <v>6</v>
      </c>
      <c r="AK103" s="88" t="str">
        <f>FIXED(YEAR(LstMachines[[#This Row],[DatePaie]]),0,TRUE)</f>
        <v>2018</v>
      </c>
      <c r="AL103" s="140"/>
      <c r="AM103" s="414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92"/>
      <c r="AY103" s="92"/>
      <c r="BA103" s="92"/>
      <c r="BC103" s="92"/>
      <c r="BD103" s="92"/>
      <c r="BE103" s="92"/>
    </row>
    <row r="104" spans="2:57" hidden="1">
      <c r="B104" s="104" t="s">
        <v>262</v>
      </c>
      <c r="C104" s="104" t="s">
        <v>40</v>
      </c>
      <c r="D104" s="87">
        <v>135</v>
      </c>
      <c r="E104" s="104" t="s">
        <v>87</v>
      </c>
      <c r="F104" s="71" t="s">
        <v>100</v>
      </c>
      <c r="G104" s="71" t="s">
        <v>31</v>
      </c>
      <c r="H104" s="89">
        <v>1</v>
      </c>
      <c r="I10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104" s="88">
        <v>43205</v>
      </c>
      <c r="K104" s="99" t="s">
        <v>463</v>
      </c>
      <c r="L104" s="120" t="s">
        <v>378</v>
      </c>
      <c r="M104" s="99"/>
      <c r="N104" s="90">
        <v>43036</v>
      </c>
      <c r="O104" s="255">
        <f>MONTH(LstMachines[[#This Row],[Delivery]])</f>
        <v>4</v>
      </c>
      <c r="P104" s="256" t="str">
        <f>FIXED(YEAR(LstMachines[[#This Row],[Delivery]]),0,TRUE)</f>
        <v>2018</v>
      </c>
      <c r="Q104" s="73" t="s">
        <v>322</v>
      </c>
      <c r="R104" s="93">
        <v>108134</v>
      </c>
      <c r="S104" s="95"/>
      <c r="T104" s="71"/>
      <c r="U104" s="72" t="s">
        <v>270</v>
      </c>
      <c r="V104" s="72">
        <v>4228</v>
      </c>
      <c r="W104" s="99" t="s">
        <v>384</v>
      </c>
      <c r="X104" s="258">
        <f>LstMachines[[#This Row],[Delivery]]</f>
        <v>43205</v>
      </c>
      <c r="Y104" s="258" t="str">
        <f xml:space="preserve"> IF(MONTH(LstMachines[[#This Row],[DateLivr]])&lt;10,"0","") &amp; MONTH(LstMachines[[#This Row],[DateLivr]]) &amp;"-"&amp;YEAR(LstMachines[[#This Row],[DateLivr]])</f>
        <v>04-2018</v>
      </c>
      <c r="Z104" s="258">
        <f>LstMachines[[#This Row],[Delivery]]+Rglt_à_HCME</f>
        <v>43265</v>
      </c>
      <c r="AA104" s="258" t="str">
        <f xml:space="preserve"> IF(MONTH(LstMachines[[#This Row],[DatePaie]])&lt;10,"0","") &amp; MONTH(LstMachines[[#This Row],[DatePaie]])&amp;"-"&amp;YEAR(LstMachines[[#This Row],[DatePaie]])</f>
        <v>06-2018</v>
      </c>
      <c r="AB104" s="258">
        <f>LstMachines[[#This Row],[DateLivr]]+1</f>
        <v>43206</v>
      </c>
      <c r="AC104" s="258" t="str">
        <f xml:space="preserve"> IF(MONTH(LstMachines[[#This Row],[Distrib]])&lt;10,"0","") &amp; MONTH(LstMachines[[#This Row],[Distrib]]) &amp; "-" &amp; YEAR(LstMachines[[#This Row],[Distrib]])</f>
        <v>04-2018</v>
      </c>
      <c r="AD104" s="258">
        <f>LstMachines[[#This Row],[DateLivr]]+Délai_Vente</f>
        <v>43325</v>
      </c>
      <c r="AE104" s="258" t="str">
        <f xml:space="preserve"> IF(MONTH(LstMachines[[#This Row],[VteESM]])&lt;10,"0","") &amp; MONTH(LstMachines[[#This Row],[VteESM]]) &amp; "-" &amp; YEAR(LstMachines[[#This Row],[VteESM]])</f>
        <v>08-2018</v>
      </c>
      <c r="AF104" s="258">
        <f>LstMachines[[#This Row],[DateLivr]]+Rglt_à_ESMTP</f>
        <v>43265</v>
      </c>
      <c r="AG104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104" s="258">
        <f>LstMachines[[#This Row],[VteESM]]+Rglt_à_ESMTP</f>
        <v>43385</v>
      </c>
      <c r="AI104" s="258" t="str">
        <f xml:space="preserve"> IF(MONTH(LstMachines[[#This Row],[RgltVteESM]])&lt;10,"0","") &amp; MONTH(LstMachines[[#This Row],[RgltVteESM]]) &amp; "-" &amp; YEAR(LstMachines[[#This Row],[RgltVteESM]])</f>
        <v>10-2018</v>
      </c>
      <c r="AJ104" s="140">
        <f>MONTH(LstMachines[[#This Row],[DatePaie]])</f>
        <v>6</v>
      </c>
      <c r="AK104" s="88" t="str">
        <f>FIXED(YEAR(LstMachines[[#This Row],[DatePaie]]),0,TRUE)</f>
        <v>2018</v>
      </c>
      <c r="AL104" s="140"/>
      <c r="AM104" s="414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92"/>
      <c r="AY104" s="92"/>
      <c r="BA104" s="92"/>
      <c r="BC104" s="92"/>
      <c r="BD104" s="92"/>
      <c r="BE104" s="92"/>
    </row>
    <row r="105" spans="2:57" hidden="1">
      <c r="B105" s="104" t="s">
        <v>262</v>
      </c>
      <c r="C105" s="104" t="s">
        <v>41</v>
      </c>
      <c r="D105" s="87">
        <v>160</v>
      </c>
      <c r="E105" s="104" t="s">
        <v>196</v>
      </c>
      <c r="F105" s="71" t="s">
        <v>100</v>
      </c>
      <c r="G105" s="71" t="s">
        <v>31</v>
      </c>
      <c r="H105" s="89">
        <v>1</v>
      </c>
      <c r="I10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110</v>
      </c>
      <c r="J105" s="88">
        <v>43205</v>
      </c>
      <c r="K105" s="99" t="s">
        <v>463</v>
      </c>
      <c r="L105" s="120" t="s">
        <v>378</v>
      </c>
      <c r="M105" s="99"/>
      <c r="N105" s="90">
        <v>43067</v>
      </c>
      <c r="O105" s="255">
        <f>MONTH(LstMachines[[#This Row],[Delivery]])</f>
        <v>4</v>
      </c>
      <c r="P105" s="256" t="str">
        <f>FIXED(YEAR(LstMachines[[#This Row],[Delivery]]),0,TRUE)</f>
        <v>2018</v>
      </c>
      <c r="Q105" s="73" t="s">
        <v>323</v>
      </c>
      <c r="R105" s="93">
        <v>103900</v>
      </c>
      <c r="S105" s="95"/>
      <c r="T105" s="71"/>
      <c r="U105" s="72" t="s">
        <v>270</v>
      </c>
      <c r="V105" s="72"/>
      <c r="W105" s="100" t="s">
        <v>380</v>
      </c>
      <c r="X105" s="258">
        <f>LstMachines[[#This Row],[Delivery]]</f>
        <v>43205</v>
      </c>
      <c r="Y105" s="258" t="str">
        <f xml:space="preserve"> IF(MONTH(LstMachines[[#This Row],[DateLivr]])&lt;10,"0","") &amp; MONTH(LstMachines[[#This Row],[DateLivr]]) &amp;"-"&amp;YEAR(LstMachines[[#This Row],[DateLivr]])</f>
        <v>04-2018</v>
      </c>
      <c r="Z105" s="258">
        <f>LstMachines[[#This Row],[Delivery]]+Rglt_à_HCME</f>
        <v>43265</v>
      </c>
      <c r="AA105" s="258" t="str">
        <f xml:space="preserve"> IF(MONTH(LstMachines[[#This Row],[DatePaie]])&lt;10,"0","") &amp; MONTH(LstMachines[[#This Row],[DatePaie]])&amp;"-"&amp;YEAR(LstMachines[[#This Row],[DatePaie]])</f>
        <v>06-2018</v>
      </c>
      <c r="AB105" s="258">
        <f>LstMachines[[#This Row],[DateLivr]]+1</f>
        <v>43206</v>
      </c>
      <c r="AC105" s="258" t="str">
        <f xml:space="preserve"> IF(MONTH(LstMachines[[#This Row],[Distrib]])&lt;10,"0","") &amp; MONTH(LstMachines[[#This Row],[Distrib]]) &amp; "-" &amp; YEAR(LstMachines[[#This Row],[Distrib]])</f>
        <v>04-2018</v>
      </c>
      <c r="AD105" s="258">
        <f>LstMachines[[#This Row],[DateLivr]]+Délai_Vente</f>
        <v>43325</v>
      </c>
      <c r="AE105" s="258" t="str">
        <f xml:space="preserve"> IF(MONTH(LstMachines[[#This Row],[VteESM]])&lt;10,"0","") &amp; MONTH(LstMachines[[#This Row],[VteESM]]) &amp; "-" &amp; YEAR(LstMachines[[#This Row],[VteESM]])</f>
        <v>08-2018</v>
      </c>
      <c r="AF105" s="258">
        <f>LstMachines[[#This Row],[DateLivr]]+Rglt_à_ESMTP</f>
        <v>43265</v>
      </c>
      <c r="AG105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105" s="258">
        <f>LstMachines[[#This Row],[VteESM]]+Rglt_à_ESMTP</f>
        <v>43385</v>
      </c>
      <c r="AI105" s="258" t="str">
        <f xml:space="preserve"> IF(MONTH(LstMachines[[#This Row],[RgltVteESM]])&lt;10,"0","") &amp; MONTH(LstMachines[[#This Row],[RgltVteESM]]) &amp; "-" &amp; YEAR(LstMachines[[#This Row],[RgltVteESM]])</f>
        <v>10-2018</v>
      </c>
      <c r="AJ105" s="140">
        <f>MONTH(LstMachines[[#This Row],[DatePaie]])</f>
        <v>6</v>
      </c>
      <c r="AK105" s="88" t="str">
        <f>FIXED(YEAR(LstMachines[[#This Row],[DatePaie]]),0,TRUE)</f>
        <v>2018</v>
      </c>
      <c r="AL105" s="140"/>
      <c r="AM105" s="414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92"/>
      <c r="AY105" s="92"/>
      <c r="BA105" s="92"/>
      <c r="BC105" s="92"/>
      <c r="BD105" s="92"/>
      <c r="BE105" s="92"/>
    </row>
    <row r="106" spans="2:57" hidden="1">
      <c r="B106" s="104" t="s">
        <v>262</v>
      </c>
      <c r="C106" s="104" t="s">
        <v>367</v>
      </c>
      <c r="D106" s="87">
        <v>530</v>
      </c>
      <c r="E106" s="104" t="s">
        <v>370</v>
      </c>
      <c r="F106" s="71" t="s">
        <v>100</v>
      </c>
      <c r="G106" s="101" t="s">
        <v>31</v>
      </c>
      <c r="H106" s="89">
        <v>1</v>
      </c>
      <c r="I10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290</v>
      </c>
      <c r="J106" s="88">
        <v>43205</v>
      </c>
      <c r="K106" s="99" t="s">
        <v>463</v>
      </c>
      <c r="L106" s="120" t="s">
        <v>378</v>
      </c>
      <c r="M106" s="99"/>
      <c r="N106" s="90">
        <v>43067</v>
      </c>
      <c r="O106" s="255">
        <f>MONTH(LstMachines[[#This Row],[Delivery]])</f>
        <v>4</v>
      </c>
      <c r="P106" s="256" t="str">
        <f>FIXED(YEAR(LstMachines[[#This Row],[Delivery]]),0,TRUE)</f>
        <v>2018</v>
      </c>
      <c r="Q106" s="73" t="s">
        <v>330</v>
      </c>
      <c r="R106" s="93">
        <v>290000</v>
      </c>
      <c r="S106" s="93"/>
      <c r="T106" s="73"/>
      <c r="U106" s="90" t="s">
        <v>105</v>
      </c>
      <c r="V106" s="72">
        <v>4253</v>
      </c>
      <c r="W106" s="100" t="s">
        <v>285</v>
      </c>
      <c r="X106" s="258">
        <f>LstMachines[[#This Row],[Delivery]]</f>
        <v>43205</v>
      </c>
      <c r="Y106" s="258" t="str">
        <f xml:space="preserve"> IF(MONTH(LstMachines[[#This Row],[DateLivr]])&lt;10,"0","") &amp; MONTH(LstMachines[[#This Row],[DateLivr]]) &amp;"-"&amp;YEAR(LstMachines[[#This Row],[DateLivr]])</f>
        <v>04-2018</v>
      </c>
      <c r="Z106" s="258">
        <f>LstMachines[[#This Row],[Delivery]]+Rglt_à_HCME</f>
        <v>43265</v>
      </c>
      <c r="AA106" s="258" t="str">
        <f xml:space="preserve"> IF(MONTH(LstMachines[[#This Row],[DatePaie]])&lt;10,"0","") &amp; MONTH(LstMachines[[#This Row],[DatePaie]])&amp;"-"&amp;YEAR(LstMachines[[#This Row],[DatePaie]])</f>
        <v>06-2018</v>
      </c>
      <c r="AB106" s="258">
        <f>LstMachines[[#This Row],[DateLivr]]+1</f>
        <v>43206</v>
      </c>
      <c r="AC106" s="258" t="str">
        <f xml:space="preserve"> IF(MONTH(LstMachines[[#This Row],[Distrib]])&lt;10,"0","") &amp; MONTH(LstMachines[[#This Row],[Distrib]]) &amp; "-" &amp; YEAR(LstMachines[[#This Row],[Distrib]])</f>
        <v>04-2018</v>
      </c>
      <c r="AD106" s="258">
        <f>LstMachines[[#This Row],[DateLivr]]+Délai_Vente</f>
        <v>43325</v>
      </c>
      <c r="AE106" s="258" t="str">
        <f xml:space="preserve"> IF(MONTH(LstMachines[[#This Row],[VteESM]])&lt;10,"0","") &amp; MONTH(LstMachines[[#This Row],[VteESM]]) &amp; "-" &amp; YEAR(LstMachines[[#This Row],[VteESM]])</f>
        <v>08-2018</v>
      </c>
      <c r="AF106" s="258">
        <f>LstMachines[[#This Row],[DateLivr]]+Rglt_à_ESMTP</f>
        <v>43265</v>
      </c>
      <c r="AG106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106" s="258">
        <f>LstMachines[[#This Row],[VteESM]]+Rglt_à_ESMTP</f>
        <v>43385</v>
      </c>
      <c r="AI106" s="258" t="str">
        <f xml:space="preserve"> IF(MONTH(LstMachines[[#This Row],[RgltVteESM]])&lt;10,"0","") &amp; MONTH(LstMachines[[#This Row],[RgltVteESM]]) &amp; "-" &amp; YEAR(LstMachines[[#This Row],[RgltVteESM]])</f>
        <v>10-2018</v>
      </c>
      <c r="AJ106" s="140">
        <f>MONTH(LstMachines[[#This Row],[DatePaie]])</f>
        <v>6</v>
      </c>
      <c r="AK106" s="88" t="str">
        <f>FIXED(YEAR(LstMachines[[#This Row],[DatePaie]]),0,TRUE)</f>
        <v>2018</v>
      </c>
      <c r="AL106" s="140"/>
      <c r="AM106" s="414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92"/>
      <c r="AY106" s="92"/>
      <c r="BA106" s="92"/>
      <c r="BC106" s="92"/>
      <c r="BD106" s="92"/>
      <c r="BE106" s="92"/>
    </row>
    <row r="107" spans="2:57" hidden="1">
      <c r="B107" s="104" t="s">
        <v>75</v>
      </c>
      <c r="C107" s="104" t="s">
        <v>37</v>
      </c>
      <c r="D107" s="87">
        <v>48</v>
      </c>
      <c r="E107" s="104" t="s">
        <v>363</v>
      </c>
      <c r="F107" s="87" t="s">
        <v>297</v>
      </c>
      <c r="G107" s="87" t="s">
        <v>32</v>
      </c>
      <c r="H107" s="89">
        <v>1</v>
      </c>
      <c r="I10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41</v>
      </c>
      <c r="J107" s="88">
        <v>43205</v>
      </c>
      <c r="K107" s="99" t="s">
        <v>461</v>
      </c>
      <c r="L107" s="120" t="s">
        <v>378</v>
      </c>
      <c r="M107" s="99"/>
      <c r="N107" s="90"/>
      <c r="O107" s="255">
        <f>MONTH(LstMachines[[#This Row],[Delivery]])</f>
        <v>4</v>
      </c>
      <c r="P107" s="256" t="str">
        <f>FIXED(YEAR(LstMachines[[#This Row],[Delivery]]),0,TRUE)</f>
        <v>2018</v>
      </c>
      <c r="Q107" s="73"/>
      <c r="R107" s="93"/>
      <c r="S107" s="90"/>
      <c r="T107" s="90"/>
      <c r="U107" s="90" t="s">
        <v>104</v>
      </c>
      <c r="V107" s="72"/>
      <c r="W107" s="99" t="s">
        <v>383</v>
      </c>
      <c r="X107" s="258">
        <f>LstMachines[[#This Row],[Delivery]]</f>
        <v>43205</v>
      </c>
      <c r="Y107" s="258" t="str">
        <f xml:space="preserve"> IF(MONTH(LstMachines[[#This Row],[DateLivr]])&lt;10,"0","") &amp; MONTH(LstMachines[[#This Row],[DateLivr]]) &amp;"-"&amp;YEAR(LstMachines[[#This Row],[DateLivr]])</f>
        <v>04-2018</v>
      </c>
      <c r="Z107" s="258">
        <f>LstMachines[[#This Row],[Delivery]]+Rglt_à_HCME</f>
        <v>43265</v>
      </c>
      <c r="AA107" s="258" t="str">
        <f xml:space="preserve"> IF(MONTH(LstMachines[[#This Row],[DatePaie]])&lt;10,"0","") &amp; MONTH(LstMachines[[#This Row],[DatePaie]])&amp;"-"&amp;YEAR(LstMachines[[#This Row],[DatePaie]])</f>
        <v>06-2018</v>
      </c>
      <c r="AB107" s="258">
        <f>LstMachines[[#This Row],[DateLivr]]+1</f>
        <v>43206</v>
      </c>
      <c r="AC107" s="258" t="str">
        <f xml:space="preserve"> IF(MONTH(LstMachines[[#This Row],[Distrib]])&lt;10,"0","") &amp; MONTH(LstMachines[[#This Row],[Distrib]]) &amp; "-" &amp; YEAR(LstMachines[[#This Row],[Distrib]])</f>
        <v>04-2018</v>
      </c>
      <c r="AD107" s="258">
        <f>LstMachines[[#This Row],[DateLivr]]+Délai_Vente</f>
        <v>43325</v>
      </c>
      <c r="AE107" s="258" t="str">
        <f xml:space="preserve"> IF(MONTH(LstMachines[[#This Row],[VteESM]])&lt;10,"0","") &amp; MONTH(LstMachines[[#This Row],[VteESM]]) &amp; "-" &amp; YEAR(LstMachines[[#This Row],[VteESM]])</f>
        <v>08-2018</v>
      </c>
      <c r="AF107" s="258">
        <f>LstMachines[[#This Row],[DateLivr]]+Rglt_à_ESMTP</f>
        <v>43265</v>
      </c>
      <c r="AG107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107" s="258">
        <f>LstMachines[[#This Row],[VteESM]]+Rglt_à_ESMTP</f>
        <v>43385</v>
      </c>
      <c r="AI107" s="258" t="str">
        <f xml:space="preserve"> IF(MONTH(LstMachines[[#This Row],[RgltVteESM]])&lt;10,"0","") &amp; MONTH(LstMachines[[#This Row],[RgltVteESM]]) &amp; "-" &amp; YEAR(LstMachines[[#This Row],[RgltVteESM]])</f>
        <v>10-2018</v>
      </c>
      <c r="AJ107" s="140">
        <f>MONTH(LstMachines[[#This Row],[DatePaie]])</f>
        <v>6</v>
      </c>
      <c r="AK107" s="88" t="str">
        <f>FIXED(YEAR(LstMachines[[#This Row],[DatePaie]]),0,TRUE)</f>
        <v>2018</v>
      </c>
      <c r="AL107" s="140"/>
      <c r="AM107" s="414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92"/>
      <c r="AY107" s="92"/>
      <c r="BA107" s="92"/>
      <c r="BC107" s="92"/>
      <c r="BD107" s="92"/>
      <c r="BE107" s="92"/>
    </row>
    <row r="108" spans="2:57" hidden="1">
      <c r="B108" s="104" t="s">
        <v>75</v>
      </c>
      <c r="C108" s="194" t="s">
        <v>37</v>
      </c>
      <c r="D108" s="195">
        <v>48</v>
      </c>
      <c r="E108" s="194" t="s">
        <v>363</v>
      </c>
      <c r="F108" s="87" t="s">
        <v>297</v>
      </c>
      <c r="G108" s="87" t="s">
        <v>32</v>
      </c>
      <c r="H108" s="193">
        <v>1</v>
      </c>
      <c r="I10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41</v>
      </c>
      <c r="J108" s="196">
        <v>43205</v>
      </c>
      <c r="K108" s="99" t="s">
        <v>461</v>
      </c>
      <c r="L108" s="198" t="s">
        <v>378</v>
      </c>
      <c r="M108" s="139"/>
      <c r="N108" s="197"/>
      <c r="O108" s="255">
        <f>MONTH(LstMachines[[#This Row],[Delivery]])</f>
        <v>4</v>
      </c>
      <c r="P108" s="256" t="str">
        <f>FIXED(YEAR(LstMachines[[#This Row],[Delivery]]),0,TRUE)</f>
        <v>2018</v>
      </c>
      <c r="Q108" s="205"/>
      <c r="R108" s="241"/>
      <c r="S108" s="197"/>
      <c r="T108" s="197"/>
      <c r="U108" s="197"/>
      <c r="V108" s="193"/>
      <c r="W108" s="139"/>
      <c r="X108" s="258">
        <f>LstMachines[[#This Row],[Delivery]]</f>
        <v>43205</v>
      </c>
      <c r="Y108" s="258" t="str">
        <f xml:space="preserve"> IF(MONTH(LstMachines[[#This Row],[DateLivr]])&lt;10,"0","") &amp; MONTH(LstMachines[[#This Row],[DateLivr]]) &amp;"-"&amp;YEAR(LstMachines[[#This Row],[DateLivr]])</f>
        <v>04-2018</v>
      </c>
      <c r="Z108" s="258">
        <f>LstMachines[[#This Row],[Delivery]]+Rglt_à_HCME</f>
        <v>43265</v>
      </c>
      <c r="AA108" s="258" t="str">
        <f xml:space="preserve"> IF(MONTH(LstMachines[[#This Row],[DatePaie]])&lt;10,"0","") &amp; MONTH(LstMachines[[#This Row],[DatePaie]])&amp;"-"&amp;YEAR(LstMachines[[#This Row],[DatePaie]])</f>
        <v>06-2018</v>
      </c>
      <c r="AB108" s="258">
        <f>LstMachines[[#This Row],[DateLivr]]+1</f>
        <v>43206</v>
      </c>
      <c r="AC108" s="258" t="str">
        <f xml:space="preserve"> IF(MONTH(LstMachines[[#This Row],[Distrib]])&lt;10,"0","") &amp; MONTH(LstMachines[[#This Row],[Distrib]]) &amp; "-" &amp; YEAR(LstMachines[[#This Row],[Distrib]])</f>
        <v>04-2018</v>
      </c>
      <c r="AD108" s="258">
        <f>LstMachines[[#This Row],[DateLivr]]+Délai_Vente</f>
        <v>43325</v>
      </c>
      <c r="AE108" s="258" t="str">
        <f xml:space="preserve"> IF(MONTH(LstMachines[[#This Row],[VteESM]])&lt;10,"0","") &amp; MONTH(LstMachines[[#This Row],[VteESM]]) &amp; "-" &amp; YEAR(LstMachines[[#This Row],[VteESM]])</f>
        <v>08-2018</v>
      </c>
      <c r="AF108" s="258">
        <f>LstMachines[[#This Row],[DateLivr]]+Rglt_à_ESMTP</f>
        <v>43265</v>
      </c>
      <c r="AG108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108" s="258">
        <f>LstMachines[[#This Row],[VteESM]]+Rglt_à_ESMTP</f>
        <v>43385</v>
      </c>
      <c r="AI108" s="258" t="str">
        <f xml:space="preserve"> IF(MONTH(LstMachines[[#This Row],[RgltVteESM]])&lt;10,"0","") &amp; MONTH(LstMachines[[#This Row],[RgltVteESM]]) &amp; "-" &amp; YEAR(LstMachines[[#This Row],[RgltVteESM]])</f>
        <v>10-2018</v>
      </c>
      <c r="AJ108" s="140">
        <f>MONTH(LstMachines[[#This Row],[DatePaie]])</f>
        <v>6</v>
      </c>
      <c r="AK108" s="88" t="str">
        <f>FIXED(YEAR(LstMachines[[#This Row],[DatePaie]]),0,TRUE)</f>
        <v>2018</v>
      </c>
      <c r="AL108" s="140"/>
      <c r="AM108" s="414"/>
      <c r="AN108" s="92"/>
      <c r="AO108" s="92"/>
      <c r="AP108" s="92"/>
      <c r="AQ108" s="92"/>
      <c r="AR108" s="92"/>
      <c r="AS108" s="92"/>
      <c r="AT108" s="92"/>
      <c r="AU108" s="92"/>
      <c r="AV108" s="92"/>
      <c r="AW108" s="92"/>
      <c r="AX108" s="92"/>
      <c r="AY108" s="92"/>
      <c r="BA108" s="92"/>
      <c r="BC108" s="92"/>
      <c r="BD108" s="92"/>
      <c r="BE108" s="92"/>
    </row>
    <row r="109" spans="2:57" hidden="1">
      <c r="B109" s="104" t="s">
        <v>75</v>
      </c>
      <c r="C109" s="104" t="s">
        <v>36</v>
      </c>
      <c r="D109" s="87">
        <v>26</v>
      </c>
      <c r="E109" s="104" t="s">
        <v>355</v>
      </c>
      <c r="F109" s="71" t="s">
        <v>100</v>
      </c>
      <c r="G109" s="101" t="s">
        <v>31</v>
      </c>
      <c r="H109" s="89">
        <v>1</v>
      </c>
      <c r="I10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109" s="88">
        <v>43205</v>
      </c>
      <c r="K109" s="99" t="s">
        <v>461</v>
      </c>
      <c r="L109" s="120" t="s">
        <v>378</v>
      </c>
      <c r="M109" s="99"/>
      <c r="N109" s="90"/>
      <c r="O109" s="255">
        <f>MONTH(LstMachines[[#This Row],[Delivery]])</f>
        <v>4</v>
      </c>
      <c r="P109" s="256" t="str">
        <f>FIXED(YEAR(LstMachines[[#This Row],[Delivery]]),0,TRUE)</f>
        <v>2018</v>
      </c>
      <c r="Q109" s="73"/>
      <c r="R109" s="93"/>
      <c r="S109" s="93"/>
      <c r="T109" s="73"/>
      <c r="U109" s="90"/>
      <c r="V109" s="72"/>
      <c r="W109" s="100" t="s">
        <v>384</v>
      </c>
      <c r="X109" s="258">
        <f>LstMachines[[#This Row],[Delivery]]</f>
        <v>43205</v>
      </c>
      <c r="Y109" s="258" t="str">
        <f xml:space="preserve"> IF(MONTH(LstMachines[[#This Row],[DateLivr]])&lt;10,"0","") &amp; MONTH(LstMachines[[#This Row],[DateLivr]]) &amp;"-"&amp;YEAR(LstMachines[[#This Row],[DateLivr]])</f>
        <v>04-2018</v>
      </c>
      <c r="Z109" s="258">
        <f>LstMachines[[#This Row],[Delivery]]+Rglt_à_HCME</f>
        <v>43265</v>
      </c>
      <c r="AA109" s="258" t="str">
        <f xml:space="preserve"> IF(MONTH(LstMachines[[#This Row],[DatePaie]])&lt;10,"0","") &amp; MONTH(LstMachines[[#This Row],[DatePaie]])&amp;"-"&amp;YEAR(LstMachines[[#This Row],[DatePaie]])</f>
        <v>06-2018</v>
      </c>
      <c r="AB109" s="258">
        <f>LstMachines[[#This Row],[DateLivr]]+1</f>
        <v>43206</v>
      </c>
      <c r="AC109" s="258" t="str">
        <f xml:space="preserve"> IF(MONTH(LstMachines[[#This Row],[Distrib]])&lt;10,"0","") &amp; MONTH(LstMachines[[#This Row],[Distrib]]) &amp; "-" &amp; YEAR(LstMachines[[#This Row],[Distrib]])</f>
        <v>04-2018</v>
      </c>
      <c r="AD109" s="258">
        <f>LstMachines[[#This Row],[DateLivr]]+Délai_Vente</f>
        <v>43325</v>
      </c>
      <c r="AE109" s="258" t="str">
        <f xml:space="preserve"> IF(MONTH(LstMachines[[#This Row],[VteESM]])&lt;10,"0","") &amp; MONTH(LstMachines[[#This Row],[VteESM]]) &amp; "-" &amp; YEAR(LstMachines[[#This Row],[VteESM]])</f>
        <v>08-2018</v>
      </c>
      <c r="AF109" s="258">
        <f>LstMachines[[#This Row],[DateLivr]]+Rglt_à_ESMTP</f>
        <v>43265</v>
      </c>
      <c r="AG109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109" s="258">
        <f>LstMachines[[#This Row],[VteESM]]+Rglt_à_ESMTP</f>
        <v>43385</v>
      </c>
      <c r="AI109" s="258" t="str">
        <f xml:space="preserve"> IF(MONTH(LstMachines[[#This Row],[RgltVteESM]])&lt;10,"0","") &amp; MONTH(LstMachines[[#This Row],[RgltVteESM]]) &amp; "-" &amp; YEAR(LstMachines[[#This Row],[RgltVteESM]])</f>
        <v>10-2018</v>
      </c>
      <c r="AJ109" s="140">
        <f>MONTH(LstMachines[[#This Row],[DatePaie]])</f>
        <v>6</v>
      </c>
      <c r="AK109" s="88" t="str">
        <f>FIXED(YEAR(LstMachines[[#This Row],[DatePaie]]),0,TRUE)</f>
        <v>2018</v>
      </c>
      <c r="AL109" s="140"/>
      <c r="AM109" s="414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92"/>
      <c r="AY109" s="92"/>
      <c r="BA109" s="92"/>
      <c r="BC109" s="92"/>
      <c r="BD109" s="92"/>
      <c r="BE109" s="92"/>
    </row>
    <row r="110" spans="2:57" hidden="1">
      <c r="B110" s="104" t="s">
        <v>75</v>
      </c>
      <c r="C110" s="104" t="s">
        <v>36</v>
      </c>
      <c r="D110" s="87">
        <v>26</v>
      </c>
      <c r="E110" s="104" t="s">
        <v>362</v>
      </c>
      <c r="F110" s="71" t="s">
        <v>100</v>
      </c>
      <c r="G110" s="101" t="s">
        <v>31</v>
      </c>
      <c r="H110" s="89">
        <v>1</v>
      </c>
      <c r="I11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110" s="88">
        <v>43205</v>
      </c>
      <c r="K110" s="99" t="s">
        <v>461</v>
      </c>
      <c r="L110" s="120" t="s">
        <v>378</v>
      </c>
      <c r="M110" s="99"/>
      <c r="N110" s="90"/>
      <c r="O110" s="255">
        <f>MONTH(LstMachines[[#This Row],[Delivery]])</f>
        <v>4</v>
      </c>
      <c r="P110" s="256" t="str">
        <f>FIXED(YEAR(LstMachines[[#This Row],[Delivery]]),0,TRUE)</f>
        <v>2018</v>
      </c>
      <c r="Q110" s="73"/>
      <c r="R110" s="93"/>
      <c r="S110" s="93"/>
      <c r="T110" s="73"/>
      <c r="U110" s="90"/>
      <c r="V110" s="72">
        <v>4260</v>
      </c>
      <c r="W110" s="100" t="s">
        <v>384</v>
      </c>
      <c r="X110" s="258">
        <f>LstMachines[[#This Row],[Delivery]]</f>
        <v>43205</v>
      </c>
      <c r="Y110" s="258" t="str">
        <f xml:space="preserve"> IF(MONTH(LstMachines[[#This Row],[DateLivr]])&lt;10,"0","") &amp; MONTH(LstMachines[[#This Row],[DateLivr]]) &amp;"-"&amp;YEAR(LstMachines[[#This Row],[DateLivr]])</f>
        <v>04-2018</v>
      </c>
      <c r="Z110" s="258">
        <f>LstMachines[[#This Row],[Delivery]]+Rglt_à_HCME</f>
        <v>43265</v>
      </c>
      <c r="AA110" s="258" t="str">
        <f xml:space="preserve"> IF(MONTH(LstMachines[[#This Row],[DatePaie]])&lt;10,"0","") &amp; MONTH(LstMachines[[#This Row],[DatePaie]])&amp;"-"&amp;YEAR(LstMachines[[#This Row],[DatePaie]])</f>
        <v>06-2018</v>
      </c>
      <c r="AB110" s="258">
        <f>LstMachines[[#This Row],[DateLivr]]+1</f>
        <v>43206</v>
      </c>
      <c r="AC110" s="258" t="str">
        <f xml:space="preserve"> IF(MONTH(LstMachines[[#This Row],[Distrib]])&lt;10,"0","") &amp; MONTH(LstMachines[[#This Row],[Distrib]]) &amp; "-" &amp; YEAR(LstMachines[[#This Row],[Distrib]])</f>
        <v>04-2018</v>
      </c>
      <c r="AD110" s="258">
        <f>LstMachines[[#This Row],[DateLivr]]+Délai_Vente</f>
        <v>43325</v>
      </c>
      <c r="AE110" s="258" t="str">
        <f xml:space="preserve"> IF(MONTH(LstMachines[[#This Row],[VteESM]])&lt;10,"0","") &amp; MONTH(LstMachines[[#This Row],[VteESM]]) &amp; "-" &amp; YEAR(LstMachines[[#This Row],[VteESM]])</f>
        <v>08-2018</v>
      </c>
      <c r="AF110" s="258">
        <f>LstMachines[[#This Row],[DateLivr]]+Rglt_à_ESMTP</f>
        <v>43265</v>
      </c>
      <c r="AG110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110" s="258">
        <f>LstMachines[[#This Row],[VteESM]]+Rglt_à_ESMTP</f>
        <v>43385</v>
      </c>
      <c r="AI110" s="258" t="str">
        <f xml:space="preserve"> IF(MONTH(LstMachines[[#This Row],[RgltVteESM]])&lt;10,"0","") &amp; MONTH(LstMachines[[#This Row],[RgltVteESM]]) &amp; "-" &amp; YEAR(LstMachines[[#This Row],[RgltVteESM]])</f>
        <v>10-2018</v>
      </c>
      <c r="AJ110" s="140">
        <f>MONTH(LstMachines[[#This Row],[DatePaie]])</f>
        <v>6</v>
      </c>
      <c r="AK110" s="88" t="str">
        <f>FIXED(YEAR(LstMachines[[#This Row],[DatePaie]]),0,TRUE)</f>
        <v>2018</v>
      </c>
      <c r="AL110" s="140"/>
      <c r="AM110" s="414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92"/>
      <c r="AY110" s="92"/>
      <c r="BA110" s="92"/>
      <c r="BC110" s="92"/>
      <c r="BD110" s="92"/>
      <c r="BE110" s="92"/>
    </row>
    <row r="111" spans="2:57" hidden="1">
      <c r="B111" s="243" t="s">
        <v>259</v>
      </c>
      <c r="C111" s="243" t="s">
        <v>244</v>
      </c>
      <c r="D111" s="245">
        <v>310</v>
      </c>
      <c r="E111" s="243" t="s">
        <v>171</v>
      </c>
      <c r="F111" s="89" t="s">
        <v>66</v>
      </c>
      <c r="G111" s="89" t="s">
        <v>106</v>
      </c>
      <c r="H111" s="246">
        <v>1</v>
      </c>
      <c r="I11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140</v>
      </c>
      <c r="J111" s="247">
        <v>43205</v>
      </c>
      <c r="K111" s="248" t="s">
        <v>463</v>
      </c>
      <c r="L111" s="398" t="s">
        <v>589</v>
      </c>
      <c r="M111" s="248"/>
      <c r="N111" s="249"/>
      <c r="O111" s="255">
        <f>MONTH(LstMachines[[#This Row],[Delivery]])</f>
        <v>4</v>
      </c>
      <c r="P111" s="256" t="str">
        <f>FIXED(YEAR(LstMachines[[#This Row],[Delivery]]),0,TRUE)</f>
        <v>2018</v>
      </c>
      <c r="Q111" s="250"/>
      <c r="R111" s="251"/>
      <c r="S111" s="249"/>
      <c r="T111" s="249"/>
      <c r="U111" s="249" t="s">
        <v>105</v>
      </c>
      <c r="V111" s="246"/>
      <c r="W111" s="248" t="s">
        <v>384</v>
      </c>
      <c r="X111" s="258">
        <f>LstMachines[[#This Row],[Delivery]]</f>
        <v>43205</v>
      </c>
      <c r="Y111" s="258" t="str">
        <f xml:space="preserve"> IF(MONTH(LstMachines[[#This Row],[DateLivr]])&lt;10,"0","") &amp; MONTH(LstMachines[[#This Row],[DateLivr]]) &amp;"-"&amp;YEAR(LstMachines[[#This Row],[DateLivr]])</f>
        <v>04-2018</v>
      </c>
      <c r="Z111" s="258">
        <f>LstMachines[[#This Row],[Delivery]]+Rglt_à_HCME</f>
        <v>43265</v>
      </c>
      <c r="AA111" s="258" t="str">
        <f xml:space="preserve"> IF(MONTH(LstMachines[[#This Row],[DatePaie]])&lt;10,"0","") &amp; MONTH(LstMachines[[#This Row],[DatePaie]])&amp;"-"&amp;YEAR(LstMachines[[#This Row],[DatePaie]])</f>
        <v>06-2018</v>
      </c>
      <c r="AB111" s="258">
        <f>LstMachines[[#This Row],[DateLivr]]+1</f>
        <v>43206</v>
      </c>
      <c r="AC111" s="258" t="str">
        <f xml:space="preserve"> IF(MONTH(LstMachines[[#This Row],[Distrib]])&lt;10,"0","") &amp; MONTH(LstMachines[[#This Row],[Distrib]]) &amp; "-" &amp; YEAR(LstMachines[[#This Row],[Distrib]])</f>
        <v>04-2018</v>
      </c>
      <c r="AD111" s="258">
        <f>LstMachines[[#This Row],[DateLivr]]+Délai_Vente</f>
        <v>43325</v>
      </c>
      <c r="AE111" s="258" t="str">
        <f xml:space="preserve"> IF(MONTH(LstMachines[[#This Row],[VteESM]])&lt;10,"0","") &amp; MONTH(LstMachines[[#This Row],[VteESM]]) &amp; "-" &amp; YEAR(LstMachines[[#This Row],[VteESM]])</f>
        <v>08-2018</v>
      </c>
      <c r="AF111" s="258">
        <f>LstMachines[[#This Row],[DateLivr]]+Rglt_à_ESMTP</f>
        <v>43265</v>
      </c>
      <c r="AG111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111" s="258">
        <f>LstMachines[[#This Row],[VteESM]]+Rglt_à_ESMTP</f>
        <v>43385</v>
      </c>
      <c r="AI111" s="258" t="str">
        <f xml:space="preserve"> IF(MONTH(LstMachines[[#This Row],[RgltVteESM]])&lt;10,"0","") &amp; MONTH(LstMachines[[#This Row],[RgltVteESM]]) &amp; "-" &amp; YEAR(LstMachines[[#This Row],[RgltVteESM]])</f>
        <v>10-2018</v>
      </c>
      <c r="AJ111" s="140">
        <f>MONTH(LstMachines[[#This Row],[DatePaie]])</f>
        <v>6</v>
      </c>
      <c r="AK111" s="88" t="str">
        <f>FIXED(YEAR(LstMachines[[#This Row],[DatePaie]]),0,TRUE)</f>
        <v>2018</v>
      </c>
      <c r="AL111" s="270"/>
      <c r="AM111" s="414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92"/>
      <c r="AY111" s="92"/>
      <c r="BA111" s="92"/>
      <c r="BC111" s="92"/>
      <c r="BD111" s="92"/>
      <c r="BE111" s="92"/>
    </row>
    <row r="112" spans="2:57" hidden="1">
      <c r="B112" s="243" t="s">
        <v>262</v>
      </c>
      <c r="C112" s="243" t="s">
        <v>45</v>
      </c>
      <c r="D112" s="245">
        <v>300</v>
      </c>
      <c r="E112" s="243" t="s">
        <v>216</v>
      </c>
      <c r="F112" s="89" t="s">
        <v>66</v>
      </c>
      <c r="G112" s="87" t="s">
        <v>106</v>
      </c>
      <c r="H112" s="246">
        <v>1</v>
      </c>
      <c r="I11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168</v>
      </c>
      <c r="J112" s="247">
        <v>43205</v>
      </c>
      <c r="K112" s="248" t="s">
        <v>463</v>
      </c>
      <c r="L112" s="398" t="s">
        <v>589</v>
      </c>
      <c r="M112" s="248"/>
      <c r="N112" s="249"/>
      <c r="O112" s="255">
        <f>MONTH(LstMachines[[#This Row],[Delivery]])</f>
        <v>4</v>
      </c>
      <c r="P112" s="256" t="str">
        <f>FIXED(YEAR(LstMachines[[#This Row],[Delivery]]),0,TRUE)</f>
        <v>2018</v>
      </c>
      <c r="Q112" s="250"/>
      <c r="R112" s="251"/>
      <c r="S112" s="249"/>
      <c r="T112" s="249"/>
      <c r="U112" s="249" t="s">
        <v>105</v>
      </c>
      <c r="V112" s="246"/>
      <c r="W112" s="248" t="s">
        <v>384</v>
      </c>
      <c r="X112" s="258">
        <f>LstMachines[[#This Row],[Delivery]]</f>
        <v>43205</v>
      </c>
      <c r="Y112" s="258" t="str">
        <f xml:space="preserve"> IF(MONTH(LstMachines[[#This Row],[DateLivr]])&lt;10,"0","") &amp; MONTH(LstMachines[[#This Row],[DateLivr]]) &amp;"-"&amp;YEAR(LstMachines[[#This Row],[DateLivr]])</f>
        <v>04-2018</v>
      </c>
      <c r="Z112" s="258">
        <f>LstMachines[[#This Row],[Delivery]]+Rglt_à_HCME</f>
        <v>43265</v>
      </c>
      <c r="AA112" s="258" t="str">
        <f xml:space="preserve"> IF(MONTH(LstMachines[[#This Row],[DatePaie]])&lt;10,"0","") &amp; MONTH(LstMachines[[#This Row],[DatePaie]])&amp;"-"&amp;YEAR(LstMachines[[#This Row],[DatePaie]])</f>
        <v>06-2018</v>
      </c>
      <c r="AB112" s="258">
        <f>LstMachines[[#This Row],[DateLivr]]+1</f>
        <v>43206</v>
      </c>
      <c r="AC112" s="258" t="str">
        <f xml:space="preserve"> IF(MONTH(LstMachines[[#This Row],[Distrib]])&lt;10,"0","") &amp; MONTH(LstMachines[[#This Row],[Distrib]]) &amp; "-" &amp; YEAR(LstMachines[[#This Row],[Distrib]])</f>
        <v>04-2018</v>
      </c>
      <c r="AD112" s="258">
        <f>LstMachines[[#This Row],[DateLivr]]+Délai_Vente</f>
        <v>43325</v>
      </c>
      <c r="AE112" s="258" t="str">
        <f xml:space="preserve"> IF(MONTH(LstMachines[[#This Row],[VteESM]])&lt;10,"0","") &amp; MONTH(LstMachines[[#This Row],[VteESM]]) &amp; "-" &amp; YEAR(LstMachines[[#This Row],[VteESM]])</f>
        <v>08-2018</v>
      </c>
      <c r="AF112" s="258">
        <f>LstMachines[[#This Row],[DateLivr]]+Rglt_à_ESMTP</f>
        <v>43265</v>
      </c>
      <c r="AG112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112" s="258">
        <f>LstMachines[[#This Row],[VteESM]]+Rglt_à_ESMTP</f>
        <v>43385</v>
      </c>
      <c r="AI112" s="258" t="str">
        <f xml:space="preserve"> IF(MONTH(LstMachines[[#This Row],[RgltVteESM]])&lt;10,"0","") &amp; MONTH(LstMachines[[#This Row],[RgltVteESM]]) &amp; "-" &amp; YEAR(LstMachines[[#This Row],[RgltVteESM]])</f>
        <v>10-2018</v>
      </c>
      <c r="AJ112" s="140">
        <f>MONTH(LstMachines[[#This Row],[DatePaie]])</f>
        <v>6</v>
      </c>
      <c r="AK112" s="88" t="str">
        <f>FIXED(YEAR(LstMachines[[#This Row],[DatePaie]]),0,TRUE)</f>
        <v>2018</v>
      </c>
      <c r="AL112" s="270"/>
      <c r="AM112" s="414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92"/>
      <c r="AY112" s="92"/>
      <c r="BA112" s="92"/>
      <c r="BC112" s="92"/>
      <c r="BD112" s="92"/>
      <c r="BE112" s="92"/>
    </row>
    <row r="113" spans="2:57" hidden="1">
      <c r="B113" s="243" t="s">
        <v>262</v>
      </c>
      <c r="C113" s="243" t="s">
        <v>45</v>
      </c>
      <c r="D113" s="245">
        <v>300</v>
      </c>
      <c r="E113" s="243" t="s">
        <v>215</v>
      </c>
      <c r="F113" s="89" t="s">
        <v>66</v>
      </c>
      <c r="G113" s="87" t="s">
        <v>106</v>
      </c>
      <c r="H113" s="246">
        <v>1</v>
      </c>
      <c r="I11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168</v>
      </c>
      <c r="J113" s="247">
        <v>43205</v>
      </c>
      <c r="K113" s="248" t="s">
        <v>461</v>
      </c>
      <c r="L113" s="398" t="s">
        <v>589</v>
      </c>
      <c r="M113" s="248"/>
      <c r="N113" s="249"/>
      <c r="O113" s="255">
        <f>MONTH(LstMachines[[#This Row],[Delivery]])</f>
        <v>4</v>
      </c>
      <c r="P113" s="256" t="str">
        <f>FIXED(YEAR(LstMachines[[#This Row],[Delivery]]),0,TRUE)</f>
        <v>2018</v>
      </c>
      <c r="Q113" s="250"/>
      <c r="R113" s="251"/>
      <c r="S113" s="249"/>
      <c r="T113" s="249"/>
      <c r="U113" s="249" t="s">
        <v>105</v>
      </c>
      <c r="V113" s="246"/>
      <c r="W113" s="248" t="s">
        <v>384</v>
      </c>
      <c r="X113" s="258">
        <f>LstMachines[[#This Row],[Delivery]]</f>
        <v>43205</v>
      </c>
      <c r="Y113" s="258" t="str">
        <f xml:space="preserve"> IF(MONTH(LstMachines[[#This Row],[DateLivr]])&lt;10,"0","") &amp; MONTH(LstMachines[[#This Row],[DateLivr]]) &amp;"-"&amp;YEAR(LstMachines[[#This Row],[DateLivr]])</f>
        <v>04-2018</v>
      </c>
      <c r="Z113" s="258">
        <f>LstMachines[[#This Row],[Delivery]]+Rglt_à_HCME</f>
        <v>43265</v>
      </c>
      <c r="AA113" s="258" t="str">
        <f xml:space="preserve"> IF(MONTH(LstMachines[[#This Row],[DatePaie]])&lt;10,"0","") &amp; MONTH(LstMachines[[#This Row],[DatePaie]])&amp;"-"&amp;YEAR(LstMachines[[#This Row],[DatePaie]])</f>
        <v>06-2018</v>
      </c>
      <c r="AB113" s="258">
        <f>LstMachines[[#This Row],[DateLivr]]+1</f>
        <v>43206</v>
      </c>
      <c r="AC113" s="258" t="str">
        <f xml:space="preserve"> IF(MONTH(LstMachines[[#This Row],[Distrib]])&lt;10,"0","") &amp; MONTH(LstMachines[[#This Row],[Distrib]]) &amp; "-" &amp; YEAR(LstMachines[[#This Row],[Distrib]])</f>
        <v>04-2018</v>
      </c>
      <c r="AD113" s="258">
        <f>LstMachines[[#This Row],[DateLivr]]+Délai_Vente</f>
        <v>43325</v>
      </c>
      <c r="AE113" s="258" t="str">
        <f xml:space="preserve"> IF(MONTH(LstMachines[[#This Row],[VteESM]])&lt;10,"0","") &amp; MONTH(LstMachines[[#This Row],[VteESM]]) &amp; "-" &amp; YEAR(LstMachines[[#This Row],[VteESM]])</f>
        <v>08-2018</v>
      </c>
      <c r="AF113" s="258">
        <f>LstMachines[[#This Row],[DateLivr]]+Rglt_à_ESMTP</f>
        <v>43265</v>
      </c>
      <c r="AG113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113" s="258">
        <f>LstMachines[[#This Row],[VteESM]]+Rglt_à_ESMTP</f>
        <v>43385</v>
      </c>
      <c r="AI113" s="258" t="str">
        <f xml:space="preserve"> IF(MONTH(LstMachines[[#This Row],[RgltVteESM]])&lt;10,"0","") &amp; MONTH(LstMachines[[#This Row],[RgltVteESM]]) &amp; "-" &amp; YEAR(LstMachines[[#This Row],[RgltVteESM]])</f>
        <v>10-2018</v>
      </c>
      <c r="AJ113" s="140">
        <f>MONTH(LstMachines[[#This Row],[DatePaie]])</f>
        <v>6</v>
      </c>
      <c r="AK113" s="88" t="str">
        <f>FIXED(YEAR(LstMachines[[#This Row],[DatePaie]]),0,TRUE)</f>
        <v>2018</v>
      </c>
      <c r="AL113" s="270"/>
      <c r="AM113" s="414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/>
      <c r="AX113" s="92"/>
      <c r="AY113" s="92"/>
      <c r="BA113" s="92"/>
      <c r="BC113" s="92"/>
      <c r="BD113" s="92"/>
      <c r="BE113" s="92"/>
    </row>
    <row r="114" spans="2:57" hidden="1">
      <c r="B114" s="104" t="s">
        <v>263</v>
      </c>
      <c r="C114" s="243" t="s">
        <v>250</v>
      </c>
      <c r="D114" s="245">
        <v>145</v>
      </c>
      <c r="E114" s="243" t="s">
        <v>228</v>
      </c>
      <c r="F114" s="89" t="s">
        <v>66</v>
      </c>
      <c r="G114" s="87" t="s">
        <v>106</v>
      </c>
      <c r="H114" s="246">
        <v>3</v>
      </c>
      <c r="I11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345</v>
      </c>
      <c r="J114" s="247">
        <v>43205</v>
      </c>
      <c r="K114" s="248" t="s">
        <v>463</v>
      </c>
      <c r="L114" s="398" t="s">
        <v>589</v>
      </c>
      <c r="M114" s="248"/>
      <c r="N114" s="249"/>
      <c r="O114" s="255">
        <f>MONTH(LstMachines[[#This Row],[Delivery]])</f>
        <v>4</v>
      </c>
      <c r="P114" s="256" t="str">
        <f>FIXED(YEAR(LstMachines[[#This Row],[Delivery]]),0,TRUE)</f>
        <v>2018</v>
      </c>
      <c r="Q114" s="250"/>
      <c r="R114" s="251"/>
      <c r="S114" s="249"/>
      <c r="T114" s="249"/>
      <c r="U114" s="249" t="s">
        <v>105</v>
      </c>
      <c r="V114" s="246"/>
      <c r="W114" s="248" t="s">
        <v>384</v>
      </c>
      <c r="X114" s="258">
        <f>LstMachines[[#This Row],[Delivery]]</f>
        <v>43205</v>
      </c>
      <c r="Y114" s="258" t="str">
        <f xml:space="preserve"> IF(MONTH(LstMachines[[#This Row],[DateLivr]])&lt;10,"0","") &amp; MONTH(LstMachines[[#This Row],[DateLivr]]) &amp;"-"&amp;YEAR(LstMachines[[#This Row],[DateLivr]])</f>
        <v>04-2018</v>
      </c>
      <c r="Z114" s="258">
        <f>LstMachines[[#This Row],[Delivery]]+Rglt_à_HCME</f>
        <v>43265</v>
      </c>
      <c r="AA114" s="258" t="str">
        <f xml:space="preserve"> IF(MONTH(LstMachines[[#This Row],[DatePaie]])&lt;10,"0","") &amp; MONTH(LstMachines[[#This Row],[DatePaie]])&amp;"-"&amp;YEAR(LstMachines[[#This Row],[DatePaie]])</f>
        <v>06-2018</v>
      </c>
      <c r="AB114" s="258">
        <f>LstMachines[[#This Row],[DateLivr]]+1</f>
        <v>43206</v>
      </c>
      <c r="AC114" s="258" t="str">
        <f xml:space="preserve"> IF(MONTH(LstMachines[[#This Row],[Distrib]])&lt;10,"0","") &amp; MONTH(LstMachines[[#This Row],[Distrib]]) &amp; "-" &amp; YEAR(LstMachines[[#This Row],[Distrib]])</f>
        <v>04-2018</v>
      </c>
      <c r="AD114" s="258">
        <f>LstMachines[[#This Row],[DateLivr]]+Délai_Vente</f>
        <v>43325</v>
      </c>
      <c r="AE114" s="258" t="str">
        <f xml:space="preserve"> IF(MONTH(LstMachines[[#This Row],[VteESM]])&lt;10,"0","") &amp; MONTH(LstMachines[[#This Row],[VteESM]]) &amp; "-" &amp; YEAR(LstMachines[[#This Row],[VteESM]])</f>
        <v>08-2018</v>
      </c>
      <c r="AF114" s="258">
        <f>LstMachines[[#This Row],[DateLivr]]+Rglt_à_ESMTP</f>
        <v>43265</v>
      </c>
      <c r="AG114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114" s="258">
        <f>LstMachines[[#This Row],[VteESM]]+Rglt_à_ESMTP</f>
        <v>43385</v>
      </c>
      <c r="AI114" s="258" t="str">
        <f xml:space="preserve"> IF(MONTH(LstMachines[[#This Row],[RgltVteESM]])&lt;10,"0","") &amp; MONTH(LstMachines[[#This Row],[RgltVteESM]]) &amp; "-" &amp; YEAR(LstMachines[[#This Row],[RgltVteESM]])</f>
        <v>10-2018</v>
      </c>
      <c r="AJ114" s="140">
        <f>MONTH(LstMachines[[#This Row],[DatePaie]])</f>
        <v>6</v>
      </c>
      <c r="AK114" s="88" t="str">
        <f>FIXED(YEAR(LstMachines[[#This Row],[DatePaie]]),0,TRUE)</f>
        <v>2018</v>
      </c>
      <c r="AL114" s="270"/>
      <c r="AM114" s="414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92"/>
      <c r="AY114" s="92"/>
      <c r="BA114" s="92"/>
      <c r="BC114" s="92"/>
      <c r="BD114" s="92"/>
      <c r="BE114" s="92"/>
    </row>
    <row r="115" spans="2:57" hidden="1">
      <c r="B115" s="243" t="s">
        <v>75</v>
      </c>
      <c r="C115" s="243" t="s">
        <v>69</v>
      </c>
      <c r="D115" s="245">
        <v>55</v>
      </c>
      <c r="E115" s="243" t="s">
        <v>426</v>
      </c>
      <c r="F115" s="89" t="s">
        <v>66</v>
      </c>
      <c r="G115" s="89" t="s">
        <v>106</v>
      </c>
      <c r="H115" s="246">
        <v>1</v>
      </c>
      <c r="I11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43</v>
      </c>
      <c r="J115" s="247">
        <v>43205</v>
      </c>
      <c r="K115" s="248" t="s">
        <v>461</v>
      </c>
      <c r="L115" s="398" t="s">
        <v>589</v>
      </c>
      <c r="M115" s="248"/>
      <c r="N115" s="249"/>
      <c r="O115" s="255">
        <f>MONTH(LstMachines[[#This Row],[Delivery]])</f>
        <v>4</v>
      </c>
      <c r="P115" s="256" t="str">
        <f>FIXED(YEAR(LstMachines[[#This Row],[Delivery]]),0,TRUE)</f>
        <v>2018</v>
      </c>
      <c r="Q115" s="250"/>
      <c r="R115" s="251"/>
      <c r="S115" s="249"/>
      <c r="T115" s="249"/>
      <c r="U115" s="249" t="s">
        <v>105</v>
      </c>
      <c r="V115" s="246"/>
      <c r="W115" s="248" t="s">
        <v>384</v>
      </c>
      <c r="X115" s="258">
        <f>LstMachines[[#This Row],[Delivery]]</f>
        <v>43205</v>
      </c>
      <c r="Y115" s="258" t="str">
        <f xml:space="preserve"> IF(MONTH(LstMachines[[#This Row],[DateLivr]])&lt;10,"0","") &amp; MONTH(LstMachines[[#This Row],[DateLivr]]) &amp;"-"&amp;YEAR(LstMachines[[#This Row],[DateLivr]])</f>
        <v>04-2018</v>
      </c>
      <c r="Z115" s="258">
        <f>LstMachines[[#This Row],[Delivery]]+Rglt_à_HCME</f>
        <v>43265</v>
      </c>
      <c r="AA115" s="258" t="str">
        <f xml:space="preserve"> IF(MONTH(LstMachines[[#This Row],[DatePaie]])&lt;10,"0","") &amp; MONTH(LstMachines[[#This Row],[DatePaie]])&amp;"-"&amp;YEAR(LstMachines[[#This Row],[DatePaie]])</f>
        <v>06-2018</v>
      </c>
      <c r="AB115" s="258">
        <f>LstMachines[[#This Row],[DateLivr]]+1</f>
        <v>43206</v>
      </c>
      <c r="AC115" s="258" t="str">
        <f xml:space="preserve"> IF(MONTH(LstMachines[[#This Row],[Distrib]])&lt;10,"0","") &amp; MONTH(LstMachines[[#This Row],[Distrib]]) &amp; "-" &amp; YEAR(LstMachines[[#This Row],[Distrib]])</f>
        <v>04-2018</v>
      </c>
      <c r="AD115" s="258">
        <f>LstMachines[[#This Row],[DateLivr]]+Délai_Vente</f>
        <v>43325</v>
      </c>
      <c r="AE115" s="258" t="str">
        <f xml:space="preserve"> IF(MONTH(LstMachines[[#This Row],[VteESM]])&lt;10,"0","") &amp; MONTH(LstMachines[[#This Row],[VteESM]]) &amp; "-" &amp; YEAR(LstMachines[[#This Row],[VteESM]])</f>
        <v>08-2018</v>
      </c>
      <c r="AF115" s="258">
        <f>LstMachines[[#This Row],[DateLivr]]+Rglt_à_ESMTP</f>
        <v>43265</v>
      </c>
      <c r="AG115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115" s="258">
        <f>LstMachines[[#This Row],[VteESM]]+Rglt_à_ESMTP</f>
        <v>43385</v>
      </c>
      <c r="AI115" s="258" t="str">
        <f xml:space="preserve"> IF(MONTH(LstMachines[[#This Row],[RgltVteESM]])&lt;10,"0","") &amp; MONTH(LstMachines[[#This Row],[RgltVteESM]]) &amp; "-" &amp; YEAR(LstMachines[[#This Row],[RgltVteESM]])</f>
        <v>10-2018</v>
      </c>
      <c r="AJ115" s="140">
        <f>MONTH(LstMachines[[#This Row],[DatePaie]])</f>
        <v>6</v>
      </c>
      <c r="AK115" s="88" t="str">
        <f>FIXED(YEAR(LstMachines[[#This Row],[DatePaie]]),0,TRUE)</f>
        <v>2018</v>
      </c>
      <c r="AL115" s="270"/>
      <c r="AM115" s="414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92"/>
      <c r="AY115" s="92"/>
      <c r="BA115" s="92"/>
      <c r="BC115" s="92"/>
      <c r="BD115" s="92"/>
      <c r="BE115" s="92"/>
    </row>
    <row r="116" spans="2:57" hidden="1">
      <c r="B116" s="243" t="s">
        <v>75</v>
      </c>
      <c r="C116" s="243" t="s">
        <v>68</v>
      </c>
      <c r="D116" s="245">
        <v>33</v>
      </c>
      <c r="E116" s="243" t="s">
        <v>408</v>
      </c>
      <c r="F116" s="89" t="s">
        <v>66</v>
      </c>
      <c r="G116" s="89" t="s">
        <v>106</v>
      </c>
      <c r="H116" s="246">
        <v>1</v>
      </c>
      <c r="I11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32</v>
      </c>
      <c r="J116" s="247">
        <v>43205</v>
      </c>
      <c r="K116" s="248" t="s">
        <v>463</v>
      </c>
      <c r="L116" s="398" t="s">
        <v>596</v>
      </c>
      <c r="M116" s="248"/>
      <c r="N116" s="249"/>
      <c r="O116" s="255">
        <f>MONTH(LstMachines[[#This Row],[Delivery]])</f>
        <v>4</v>
      </c>
      <c r="P116" s="256" t="str">
        <f>FIXED(YEAR(LstMachines[[#This Row],[Delivery]]),0,TRUE)</f>
        <v>2018</v>
      </c>
      <c r="Q116" s="250"/>
      <c r="R116" s="251"/>
      <c r="S116" s="249"/>
      <c r="T116" s="249"/>
      <c r="U116" s="249"/>
      <c r="V116" s="246"/>
      <c r="W116" s="248"/>
      <c r="X116" s="258">
        <f>LstMachines[[#This Row],[Delivery]]</f>
        <v>43205</v>
      </c>
      <c r="Y116" s="258" t="str">
        <f xml:space="preserve"> IF(MONTH(LstMachines[[#This Row],[DateLivr]])&lt;10,"0","") &amp; MONTH(LstMachines[[#This Row],[DateLivr]]) &amp;"-"&amp;YEAR(LstMachines[[#This Row],[DateLivr]])</f>
        <v>04-2018</v>
      </c>
      <c r="Z116" s="258">
        <f>LstMachines[[#This Row],[Delivery]]+Rglt_à_HCME</f>
        <v>43265</v>
      </c>
      <c r="AA116" s="258" t="str">
        <f xml:space="preserve"> IF(MONTH(LstMachines[[#This Row],[DatePaie]])&lt;10,"0","") &amp; MONTH(LstMachines[[#This Row],[DatePaie]])&amp;"-"&amp;YEAR(LstMachines[[#This Row],[DatePaie]])</f>
        <v>06-2018</v>
      </c>
      <c r="AB116" s="258">
        <f>LstMachines[[#This Row],[DateLivr]]+1</f>
        <v>43206</v>
      </c>
      <c r="AC116" s="258" t="str">
        <f xml:space="preserve"> IF(MONTH(LstMachines[[#This Row],[Distrib]])&lt;10,"0","") &amp; MONTH(LstMachines[[#This Row],[Distrib]]) &amp; "-" &amp; YEAR(LstMachines[[#This Row],[Distrib]])</f>
        <v>04-2018</v>
      </c>
      <c r="AD116" s="258">
        <f>LstMachines[[#This Row],[DateLivr]]+Délai_Vente</f>
        <v>43325</v>
      </c>
      <c r="AE116" s="258" t="str">
        <f xml:space="preserve"> IF(MONTH(LstMachines[[#This Row],[VteESM]])&lt;10,"0","") &amp; MONTH(LstMachines[[#This Row],[VteESM]]) &amp; "-" &amp; YEAR(LstMachines[[#This Row],[VteESM]])</f>
        <v>08-2018</v>
      </c>
      <c r="AF116" s="258">
        <f>LstMachines[[#This Row],[DateLivr]]+Rglt_à_ESMTP</f>
        <v>43265</v>
      </c>
      <c r="AG116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116" s="258">
        <f>LstMachines[[#This Row],[VteESM]]+Rglt_à_ESMTP</f>
        <v>43385</v>
      </c>
      <c r="AI116" s="258" t="str">
        <f xml:space="preserve"> IF(MONTH(LstMachines[[#This Row],[RgltVteESM]])&lt;10,"0","") &amp; MONTH(LstMachines[[#This Row],[RgltVteESM]]) &amp; "-" &amp; YEAR(LstMachines[[#This Row],[RgltVteESM]])</f>
        <v>10-2018</v>
      </c>
      <c r="AJ116" s="140">
        <f>MONTH(LstMachines[[#This Row],[DatePaie]])</f>
        <v>6</v>
      </c>
      <c r="AK116" s="88" t="str">
        <f>FIXED(YEAR(LstMachines[[#This Row],[DatePaie]]),0,TRUE)</f>
        <v>2018</v>
      </c>
      <c r="AL116" s="270"/>
      <c r="AM116" s="414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92"/>
      <c r="AY116" s="92"/>
      <c r="BA116" s="92"/>
      <c r="BC116" s="92"/>
      <c r="BD116" s="92"/>
      <c r="BE116" s="92"/>
    </row>
    <row r="117" spans="2:57" hidden="1">
      <c r="B117" s="243" t="s">
        <v>75</v>
      </c>
      <c r="C117" s="243" t="s">
        <v>36</v>
      </c>
      <c r="D117" s="245">
        <v>26</v>
      </c>
      <c r="E117" s="243" t="s">
        <v>355</v>
      </c>
      <c r="F117" s="89" t="s">
        <v>66</v>
      </c>
      <c r="G117" s="89" t="s">
        <v>106</v>
      </c>
      <c r="H117" s="246">
        <v>10</v>
      </c>
      <c r="I11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220</v>
      </c>
      <c r="J117" s="247">
        <v>43205</v>
      </c>
      <c r="K117" s="248" t="s">
        <v>463</v>
      </c>
      <c r="L117" s="398" t="s">
        <v>589</v>
      </c>
      <c r="M117" s="248"/>
      <c r="N117" s="249"/>
      <c r="O117" s="255">
        <f>MONTH(LstMachines[[#This Row],[Delivery]])</f>
        <v>4</v>
      </c>
      <c r="P117" s="256" t="str">
        <f>FIXED(YEAR(LstMachines[[#This Row],[Delivery]]),0,TRUE)</f>
        <v>2018</v>
      </c>
      <c r="Q117" s="250"/>
      <c r="R117" s="251"/>
      <c r="S117" s="249"/>
      <c r="T117" s="249"/>
      <c r="U117" s="249" t="s">
        <v>105</v>
      </c>
      <c r="V117" s="246"/>
      <c r="W117" s="248" t="s">
        <v>384</v>
      </c>
      <c r="X117" s="258">
        <f>LstMachines[[#This Row],[Delivery]]</f>
        <v>43205</v>
      </c>
      <c r="Y117" s="258" t="str">
        <f xml:space="preserve"> IF(MONTH(LstMachines[[#This Row],[DateLivr]])&lt;10,"0","") &amp; MONTH(LstMachines[[#This Row],[DateLivr]]) &amp;"-"&amp;YEAR(LstMachines[[#This Row],[DateLivr]])</f>
        <v>04-2018</v>
      </c>
      <c r="Z117" s="258">
        <f>LstMachines[[#This Row],[Delivery]]+Rglt_à_HCME</f>
        <v>43265</v>
      </c>
      <c r="AA117" s="258" t="str">
        <f xml:space="preserve"> IF(MONTH(LstMachines[[#This Row],[DatePaie]])&lt;10,"0","") &amp; MONTH(LstMachines[[#This Row],[DatePaie]])&amp;"-"&amp;YEAR(LstMachines[[#This Row],[DatePaie]])</f>
        <v>06-2018</v>
      </c>
      <c r="AB117" s="258">
        <f>LstMachines[[#This Row],[DateLivr]]+1</f>
        <v>43206</v>
      </c>
      <c r="AC117" s="258" t="str">
        <f xml:space="preserve"> IF(MONTH(LstMachines[[#This Row],[Distrib]])&lt;10,"0","") &amp; MONTH(LstMachines[[#This Row],[Distrib]]) &amp; "-" &amp; YEAR(LstMachines[[#This Row],[Distrib]])</f>
        <v>04-2018</v>
      </c>
      <c r="AD117" s="258">
        <f>LstMachines[[#This Row],[DateLivr]]+Délai_Vente</f>
        <v>43325</v>
      </c>
      <c r="AE117" s="258" t="str">
        <f xml:space="preserve"> IF(MONTH(LstMachines[[#This Row],[VteESM]])&lt;10,"0","") &amp; MONTH(LstMachines[[#This Row],[VteESM]]) &amp; "-" &amp; YEAR(LstMachines[[#This Row],[VteESM]])</f>
        <v>08-2018</v>
      </c>
      <c r="AF117" s="258">
        <f>LstMachines[[#This Row],[DateLivr]]+Rglt_à_ESMTP</f>
        <v>43265</v>
      </c>
      <c r="AG117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117" s="258">
        <f>LstMachines[[#This Row],[VteESM]]+Rglt_à_ESMTP</f>
        <v>43385</v>
      </c>
      <c r="AI117" s="258" t="str">
        <f xml:space="preserve"> IF(MONTH(LstMachines[[#This Row],[RgltVteESM]])&lt;10,"0","") &amp; MONTH(LstMachines[[#This Row],[RgltVteESM]]) &amp; "-" &amp; YEAR(LstMachines[[#This Row],[RgltVteESM]])</f>
        <v>10-2018</v>
      </c>
      <c r="AJ117" s="140">
        <f>MONTH(LstMachines[[#This Row],[DatePaie]])</f>
        <v>6</v>
      </c>
      <c r="AK117" s="88" t="str">
        <f>FIXED(YEAR(LstMachines[[#This Row],[DatePaie]]),0,TRUE)</f>
        <v>2018</v>
      </c>
      <c r="AL117" s="270"/>
      <c r="AM117" s="414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92"/>
      <c r="AY117" s="92"/>
      <c r="BA117" s="92"/>
      <c r="BC117" s="92"/>
      <c r="BD117" s="92"/>
      <c r="BE117" s="92"/>
    </row>
    <row r="118" spans="2:57" hidden="1">
      <c r="B118" s="243" t="s">
        <v>75</v>
      </c>
      <c r="C118" s="243" t="s">
        <v>35</v>
      </c>
      <c r="D118" s="245">
        <v>19</v>
      </c>
      <c r="E118" s="243" t="s">
        <v>76</v>
      </c>
      <c r="F118" s="89" t="s">
        <v>66</v>
      </c>
      <c r="G118" s="89" t="s">
        <v>106</v>
      </c>
      <c r="H118" s="246">
        <v>1</v>
      </c>
      <c r="I11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118" s="247">
        <v>43205</v>
      </c>
      <c r="K118" s="248" t="s">
        <v>461</v>
      </c>
      <c r="L118" s="398" t="s">
        <v>589</v>
      </c>
      <c r="M118" s="248"/>
      <c r="N118" s="249"/>
      <c r="O118" s="255">
        <f>MONTH(LstMachines[[#This Row],[Delivery]])</f>
        <v>4</v>
      </c>
      <c r="P118" s="256" t="str">
        <f>FIXED(YEAR(LstMachines[[#This Row],[Delivery]]),0,TRUE)</f>
        <v>2018</v>
      </c>
      <c r="Q118" s="250"/>
      <c r="R118" s="251"/>
      <c r="S118" s="249"/>
      <c r="T118" s="249"/>
      <c r="U118" s="249" t="s">
        <v>105</v>
      </c>
      <c r="V118" s="246"/>
      <c r="W118" s="248" t="s">
        <v>384</v>
      </c>
      <c r="X118" s="258">
        <f>LstMachines[[#This Row],[Delivery]]</f>
        <v>43205</v>
      </c>
      <c r="Y118" s="258" t="str">
        <f xml:space="preserve"> IF(MONTH(LstMachines[[#This Row],[DateLivr]])&lt;10,"0","") &amp; MONTH(LstMachines[[#This Row],[DateLivr]]) &amp;"-"&amp;YEAR(LstMachines[[#This Row],[DateLivr]])</f>
        <v>04-2018</v>
      </c>
      <c r="Z118" s="258">
        <f>LstMachines[[#This Row],[Delivery]]+Rglt_à_HCME</f>
        <v>43265</v>
      </c>
      <c r="AA118" s="258" t="str">
        <f xml:space="preserve"> IF(MONTH(LstMachines[[#This Row],[DatePaie]])&lt;10,"0","") &amp; MONTH(LstMachines[[#This Row],[DatePaie]])&amp;"-"&amp;YEAR(LstMachines[[#This Row],[DatePaie]])</f>
        <v>06-2018</v>
      </c>
      <c r="AB118" s="258">
        <f>LstMachines[[#This Row],[DateLivr]]+1</f>
        <v>43206</v>
      </c>
      <c r="AC118" s="258" t="str">
        <f xml:space="preserve"> IF(MONTH(LstMachines[[#This Row],[Distrib]])&lt;10,"0","") &amp; MONTH(LstMachines[[#This Row],[Distrib]]) &amp; "-" &amp; YEAR(LstMachines[[#This Row],[Distrib]])</f>
        <v>04-2018</v>
      </c>
      <c r="AD118" s="258">
        <f>LstMachines[[#This Row],[DateLivr]]+Délai_Vente</f>
        <v>43325</v>
      </c>
      <c r="AE118" s="258" t="str">
        <f xml:space="preserve"> IF(MONTH(LstMachines[[#This Row],[VteESM]])&lt;10,"0","") &amp; MONTH(LstMachines[[#This Row],[VteESM]]) &amp; "-" &amp; YEAR(LstMachines[[#This Row],[VteESM]])</f>
        <v>08-2018</v>
      </c>
      <c r="AF118" s="258">
        <f>LstMachines[[#This Row],[DateLivr]]+Rglt_à_ESMTP</f>
        <v>43265</v>
      </c>
      <c r="AG118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118" s="258">
        <f>LstMachines[[#This Row],[VteESM]]+Rglt_à_ESMTP</f>
        <v>43385</v>
      </c>
      <c r="AI118" s="258" t="str">
        <f xml:space="preserve"> IF(MONTH(LstMachines[[#This Row],[RgltVteESM]])&lt;10,"0","") &amp; MONTH(LstMachines[[#This Row],[RgltVteESM]]) &amp; "-" &amp; YEAR(LstMachines[[#This Row],[RgltVteESM]])</f>
        <v>10-2018</v>
      </c>
      <c r="AJ118" s="140">
        <f>MONTH(LstMachines[[#This Row],[DatePaie]])</f>
        <v>6</v>
      </c>
      <c r="AK118" s="88" t="str">
        <f>FIXED(YEAR(LstMachines[[#This Row],[DatePaie]]),0,TRUE)</f>
        <v>2018</v>
      </c>
      <c r="AL118" s="270"/>
      <c r="AM118" s="414"/>
      <c r="AN118" s="92"/>
      <c r="AO118" s="92"/>
      <c r="AP118" s="92"/>
      <c r="AQ118" s="92"/>
      <c r="AR118" s="92"/>
      <c r="AS118" s="92"/>
      <c r="AT118" s="92"/>
      <c r="AU118" s="92"/>
      <c r="AV118" s="92"/>
      <c r="AW118" s="92"/>
      <c r="AX118" s="92"/>
      <c r="AY118" s="92"/>
      <c r="BA118" s="92"/>
      <c r="BC118" s="92"/>
      <c r="BD118" s="92"/>
      <c r="BE118" s="92"/>
    </row>
    <row r="119" spans="2:57" hidden="1">
      <c r="B119" s="104" t="s">
        <v>75</v>
      </c>
      <c r="C119" s="104" t="s">
        <v>36</v>
      </c>
      <c r="D119" s="87">
        <v>26</v>
      </c>
      <c r="E119" s="86" t="s">
        <v>355</v>
      </c>
      <c r="F119" s="87" t="s">
        <v>67</v>
      </c>
      <c r="G119" s="87" t="s">
        <v>107</v>
      </c>
      <c r="H119" s="89">
        <v>1</v>
      </c>
      <c r="I11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119" s="88">
        <v>43235</v>
      </c>
      <c r="K119" s="99" t="s">
        <v>461</v>
      </c>
      <c r="L119" s="85" t="s">
        <v>389</v>
      </c>
      <c r="M119" s="99"/>
      <c r="N119" s="90"/>
      <c r="O119" s="255">
        <f>MONTH(LstMachines[[#This Row],[Delivery]])</f>
        <v>5</v>
      </c>
      <c r="P119" s="256" t="str">
        <f>FIXED(YEAR(LstMachines[[#This Row],[Delivery]]),0,TRUE)</f>
        <v>2018</v>
      </c>
      <c r="Q119" s="73"/>
      <c r="R119" s="93"/>
      <c r="S119" s="90"/>
      <c r="T119" s="90"/>
      <c r="U119" s="90"/>
      <c r="V119" s="72"/>
      <c r="W119" s="99"/>
      <c r="X119" s="258">
        <f>LstMachines[[#This Row],[Delivery]]</f>
        <v>43235</v>
      </c>
      <c r="Y119" s="258" t="str">
        <f xml:space="preserve"> IF(MONTH(LstMachines[[#This Row],[DateLivr]])&lt;10,"0","") &amp; MONTH(LstMachines[[#This Row],[DateLivr]]) &amp;"-"&amp;YEAR(LstMachines[[#This Row],[DateLivr]])</f>
        <v>05-2018</v>
      </c>
      <c r="Z119" s="258">
        <f>LstMachines[[#This Row],[Delivery]]+Rglt_à_HCME</f>
        <v>43295</v>
      </c>
      <c r="AA119" s="258" t="str">
        <f xml:space="preserve"> IF(MONTH(LstMachines[[#This Row],[DatePaie]])&lt;10,"0","") &amp; MONTH(LstMachines[[#This Row],[DatePaie]])&amp;"-"&amp;YEAR(LstMachines[[#This Row],[DatePaie]])</f>
        <v>07-2018</v>
      </c>
      <c r="AB119" s="258">
        <f>LstMachines[[#This Row],[DateLivr]]+1</f>
        <v>43236</v>
      </c>
      <c r="AC119" s="258" t="str">
        <f xml:space="preserve"> IF(MONTH(LstMachines[[#This Row],[Distrib]])&lt;10,"0","") &amp; MONTH(LstMachines[[#This Row],[Distrib]]) &amp; "-" &amp; YEAR(LstMachines[[#This Row],[Distrib]])</f>
        <v>05-2018</v>
      </c>
      <c r="AD119" s="258">
        <f>LstMachines[[#This Row],[DateLivr]]+Délai_Vente</f>
        <v>43355</v>
      </c>
      <c r="AE119" s="258" t="str">
        <f xml:space="preserve"> IF(MONTH(LstMachines[[#This Row],[VteESM]])&lt;10,"0","") &amp; MONTH(LstMachines[[#This Row],[VteESM]]) &amp; "-" &amp; YEAR(LstMachines[[#This Row],[VteESM]])</f>
        <v>09-2018</v>
      </c>
      <c r="AF119" s="258">
        <f>LstMachines[[#This Row],[DateLivr]]+Rglt_à_ESMTP</f>
        <v>43295</v>
      </c>
      <c r="AG119" s="258" t="str">
        <f xml:space="preserve"> IF(MONTH(LstMachines[[#This Row],[RgltDistrib]])&lt;10,"0","") &amp; MONTH(LstMachines[[#This Row],[RgltDistrib]]) &amp; "-" &amp; YEAR(LstMachines[[#This Row],[RgltDistrib]])</f>
        <v>07-2018</v>
      </c>
      <c r="AH119" s="258">
        <f>LstMachines[[#This Row],[VteESM]]+Rglt_à_ESMTP</f>
        <v>43415</v>
      </c>
      <c r="AI119" s="258" t="str">
        <f xml:space="preserve"> IF(MONTH(LstMachines[[#This Row],[RgltVteESM]])&lt;10,"0","") &amp; MONTH(LstMachines[[#This Row],[RgltVteESM]]) &amp; "-" &amp; YEAR(LstMachines[[#This Row],[RgltVteESM]])</f>
        <v>11-2018</v>
      </c>
      <c r="AJ119" s="140">
        <f>MONTH(LstMachines[[#This Row],[DatePaie]])</f>
        <v>7</v>
      </c>
      <c r="AK119" s="88" t="str">
        <f>FIXED(YEAR(LstMachines[[#This Row],[DatePaie]]),0,TRUE)</f>
        <v>2018</v>
      </c>
      <c r="AL119" s="140"/>
      <c r="AM119" s="414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92"/>
      <c r="AY119" s="92"/>
      <c r="BA119" s="92"/>
      <c r="BC119" s="92"/>
      <c r="BD119" s="92"/>
      <c r="BE119" s="92"/>
    </row>
    <row r="120" spans="2:57" hidden="1">
      <c r="B120" s="104" t="s">
        <v>75</v>
      </c>
      <c r="C120" s="104" t="s">
        <v>38</v>
      </c>
      <c r="D120" s="87">
        <v>65</v>
      </c>
      <c r="E120" s="86" t="s">
        <v>359</v>
      </c>
      <c r="F120" s="87" t="s">
        <v>67</v>
      </c>
      <c r="G120" s="87" t="s">
        <v>107</v>
      </c>
      <c r="H120" s="89">
        <v>1</v>
      </c>
      <c r="I12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120" s="88">
        <v>43235</v>
      </c>
      <c r="K120" s="99" t="s">
        <v>461</v>
      </c>
      <c r="L120" s="85" t="s">
        <v>389</v>
      </c>
      <c r="M120" s="99"/>
      <c r="N120" s="90"/>
      <c r="O120" s="255">
        <f>MONTH(LstMachines[[#This Row],[Delivery]])</f>
        <v>5</v>
      </c>
      <c r="P120" s="256" t="str">
        <f>FIXED(YEAR(LstMachines[[#This Row],[Delivery]]),0,TRUE)</f>
        <v>2018</v>
      </c>
      <c r="Q120" s="73"/>
      <c r="R120" s="93"/>
      <c r="S120" s="90"/>
      <c r="T120" s="90"/>
      <c r="U120" s="90"/>
      <c r="V120" s="72"/>
      <c r="W120" s="99"/>
      <c r="X120" s="258">
        <f>LstMachines[[#This Row],[Delivery]]</f>
        <v>43235</v>
      </c>
      <c r="Y120" s="258" t="str">
        <f xml:space="preserve"> IF(MONTH(LstMachines[[#This Row],[DateLivr]])&lt;10,"0","") &amp; MONTH(LstMachines[[#This Row],[DateLivr]]) &amp;"-"&amp;YEAR(LstMachines[[#This Row],[DateLivr]])</f>
        <v>05-2018</v>
      </c>
      <c r="Z120" s="258">
        <f>LstMachines[[#This Row],[Delivery]]+Rglt_à_HCME</f>
        <v>43295</v>
      </c>
      <c r="AA120" s="258" t="str">
        <f xml:space="preserve"> IF(MONTH(LstMachines[[#This Row],[DatePaie]])&lt;10,"0","") &amp; MONTH(LstMachines[[#This Row],[DatePaie]])&amp;"-"&amp;YEAR(LstMachines[[#This Row],[DatePaie]])</f>
        <v>07-2018</v>
      </c>
      <c r="AB120" s="258">
        <f>LstMachines[[#This Row],[DateLivr]]+1</f>
        <v>43236</v>
      </c>
      <c r="AC120" s="258" t="str">
        <f xml:space="preserve"> IF(MONTH(LstMachines[[#This Row],[Distrib]])&lt;10,"0","") &amp; MONTH(LstMachines[[#This Row],[Distrib]]) &amp; "-" &amp; YEAR(LstMachines[[#This Row],[Distrib]])</f>
        <v>05-2018</v>
      </c>
      <c r="AD120" s="258">
        <f>LstMachines[[#This Row],[DateLivr]]+Délai_Vente</f>
        <v>43355</v>
      </c>
      <c r="AE120" s="258" t="str">
        <f xml:space="preserve"> IF(MONTH(LstMachines[[#This Row],[VteESM]])&lt;10,"0","") &amp; MONTH(LstMachines[[#This Row],[VteESM]]) &amp; "-" &amp; YEAR(LstMachines[[#This Row],[VteESM]])</f>
        <v>09-2018</v>
      </c>
      <c r="AF120" s="258">
        <f>LstMachines[[#This Row],[DateLivr]]+Rglt_à_ESMTP</f>
        <v>43295</v>
      </c>
      <c r="AG120" s="258" t="str">
        <f xml:space="preserve"> IF(MONTH(LstMachines[[#This Row],[RgltDistrib]])&lt;10,"0","") &amp; MONTH(LstMachines[[#This Row],[RgltDistrib]]) &amp; "-" &amp; YEAR(LstMachines[[#This Row],[RgltDistrib]])</f>
        <v>07-2018</v>
      </c>
      <c r="AH120" s="258">
        <f>LstMachines[[#This Row],[VteESM]]+Rglt_à_ESMTP</f>
        <v>43415</v>
      </c>
      <c r="AI120" s="258" t="str">
        <f xml:space="preserve"> IF(MONTH(LstMachines[[#This Row],[RgltVteESM]])&lt;10,"0","") &amp; MONTH(LstMachines[[#This Row],[RgltVteESM]]) &amp; "-" &amp; YEAR(LstMachines[[#This Row],[RgltVteESM]])</f>
        <v>11-2018</v>
      </c>
      <c r="AJ120" s="140">
        <f>MONTH(LstMachines[[#This Row],[DatePaie]])</f>
        <v>7</v>
      </c>
      <c r="AK120" s="88" t="str">
        <f>FIXED(YEAR(LstMachines[[#This Row],[DatePaie]]),0,TRUE)</f>
        <v>2018</v>
      </c>
      <c r="AL120" s="140"/>
      <c r="AM120" s="414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92"/>
      <c r="AY120" s="92"/>
      <c r="BA120" s="92"/>
      <c r="BC120" s="92"/>
      <c r="BD120" s="92"/>
      <c r="BE120" s="92"/>
    </row>
    <row r="121" spans="2:57" hidden="1">
      <c r="B121" s="243" t="s">
        <v>75</v>
      </c>
      <c r="C121" s="243" t="s">
        <v>36</v>
      </c>
      <c r="D121" s="245">
        <v>26</v>
      </c>
      <c r="E121" s="86"/>
      <c r="F121" s="89" t="s">
        <v>67</v>
      </c>
      <c r="G121" s="87" t="s">
        <v>107</v>
      </c>
      <c r="H121" s="89">
        <v>1</v>
      </c>
      <c r="I121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121" s="88">
        <v>43235</v>
      </c>
      <c r="K121" s="99" t="s">
        <v>461</v>
      </c>
      <c r="L121" s="244" t="s">
        <v>390</v>
      </c>
      <c r="M121" s="248"/>
      <c r="N121" s="249"/>
      <c r="O121" s="270">
        <f>MONTH(LstMachines[[#This Row],[Delivery]])</f>
        <v>5</v>
      </c>
      <c r="P121" s="247" t="str">
        <f>FIXED(YEAR(LstMachines[[#This Row],[Delivery]]),0,TRUE)</f>
        <v>2018</v>
      </c>
      <c r="Q121" s="250"/>
      <c r="R121" s="251"/>
      <c r="S121" s="249"/>
      <c r="T121" s="249"/>
      <c r="U121" s="249" t="s">
        <v>105</v>
      </c>
      <c r="V121" s="246"/>
      <c r="W121" s="248" t="s">
        <v>384</v>
      </c>
      <c r="X121" s="249">
        <f>LstMachines[[#This Row],[Delivery]]</f>
        <v>43235</v>
      </c>
      <c r="Y121" s="271" t="str">
        <f xml:space="preserve"> IF(MONTH(LstMachines[[#This Row],[DateLivr]])&lt;10,"0","") &amp; MONTH(LstMachines[[#This Row],[DateLivr]]) &amp;"-"&amp;YEAR(LstMachines[[#This Row],[DateLivr]])</f>
        <v>05-2018</v>
      </c>
      <c r="Z121" s="247">
        <f>LstMachines[[#This Row],[Delivery]]+Rglt_à_HCME</f>
        <v>43295</v>
      </c>
      <c r="AA121" s="271" t="str">
        <f xml:space="preserve"> IF(MONTH(LstMachines[[#This Row],[DatePaie]])&lt;10,"0","") &amp; MONTH(LstMachines[[#This Row],[DatePaie]])&amp;"-"&amp;YEAR(LstMachines[[#This Row],[DatePaie]])</f>
        <v>07-2018</v>
      </c>
      <c r="AB121" s="271">
        <f>LstMachines[[#This Row],[DateLivr]]+1</f>
        <v>43236</v>
      </c>
      <c r="AC121" s="271" t="str">
        <f xml:space="preserve"> IF(MONTH(LstMachines[[#This Row],[Distrib]])&lt;10,"0","") &amp; MONTH(LstMachines[[#This Row],[Distrib]]) &amp; "-" &amp; YEAR(LstMachines[[#This Row],[Distrib]])</f>
        <v>05-2018</v>
      </c>
      <c r="AD121" s="271">
        <f>LstMachines[[#This Row],[DateLivr]]+Délai_Vente</f>
        <v>43355</v>
      </c>
      <c r="AE121" s="271" t="str">
        <f xml:space="preserve"> IF(MONTH(LstMachines[[#This Row],[VteESM]])&lt;10,"0","") &amp; MONTH(LstMachines[[#This Row],[VteESM]]) &amp; "-" &amp; YEAR(LstMachines[[#This Row],[VteESM]])</f>
        <v>09-2018</v>
      </c>
      <c r="AF121" s="271">
        <f>LstMachines[[#This Row],[DateLivr]]+Rglt_à_ESMTP</f>
        <v>43295</v>
      </c>
      <c r="AG121" s="271" t="str">
        <f xml:space="preserve"> IF(MONTH(LstMachines[[#This Row],[RgltDistrib]])&lt;10,"0","") &amp; MONTH(LstMachines[[#This Row],[RgltDistrib]]) &amp; "-" &amp; YEAR(LstMachines[[#This Row],[RgltDistrib]])</f>
        <v>07-2018</v>
      </c>
      <c r="AH121" s="271">
        <f>LstMachines[[#This Row],[VteESM]]+Rglt_à_ESMTP</f>
        <v>43415</v>
      </c>
      <c r="AI121" s="271" t="str">
        <f xml:space="preserve"> IF(MONTH(LstMachines[[#This Row],[RgltVteESM]])&lt;10,"0","") &amp; MONTH(LstMachines[[#This Row],[RgltVteESM]]) &amp; "-" &amp; YEAR(LstMachines[[#This Row],[RgltVteESM]])</f>
        <v>11-2018</v>
      </c>
      <c r="AJ121" s="270">
        <f>MONTH(LstMachines[[#This Row],[DatePaie]])</f>
        <v>7</v>
      </c>
      <c r="AK121" s="247" t="str">
        <f>FIXED(YEAR(LstMachines[[#This Row],[DatePaie]]),0,TRUE)</f>
        <v>2018</v>
      </c>
      <c r="AL121" s="270"/>
      <c r="AM121" s="414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92"/>
      <c r="AY121" s="92"/>
      <c r="BA121" s="92"/>
      <c r="BC121" s="92"/>
      <c r="BD121" s="92"/>
      <c r="BE121" s="92"/>
    </row>
    <row r="122" spans="2:57" hidden="1">
      <c r="B122" s="104" t="s">
        <v>262</v>
      </c>
      <c r="C122" s="104" t="s">
        <v>39</v>
      </c>
      <c r="D122" s="87">
        <v>85</v>
      </c>
      <c r="E122" s="86"/>
      <c r="F122" s="87" t="s">
        <v>67</v>
      </c>
      <c r="G122" s="87" t="s">
        <v>107</v>
      </c>
      <c r="H122" s="89">
        <v>3</v>
      </c>
      <c r="I12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192</v>
      </c>
      <c r="J122" s="88">
        <v>43235</v>
      </c>
      <c r="K122" s="99" t="s">
        <v>461</v>
      </c>
      <c r="L122" s="85" t="s">
        <v>390</v>
      </c>
      <c r="M122" s="99"/>
      <c r="N122" s="90"/>
      <c r="O122" s="255">
        <f>MONTH(LstMachines[[#This Row],[Delivery]])</f>
        <v>5</v>
      </c>
      <c r="P122" s="256" t="str">
        <f>FIXED(YEAR(LstMachines[[#This Row],[Delivery]]),0,TRUE)</f>
        <v>2018</v>
      </c>
      <c r="Q122" s="73"/>
      <c r="R122" s="93"/>
      <c r="S122" s="90"/>
      <c r="T122" s="90"/>
      <c r="U122" s="90" t="s">
        <v>105</v>
      </c>
      <c r="V122" s="72"/>
      <c r="W122" s="99" t="s">
        <v>384</v>
      </c>
      <c r="X122" s="258">
        <f>LstMachines[[#This Row],[Delivery]]</f>
        <v>43235</v>
      </c>
      <c r="Y122" s="258" t="str">
        <f xml:space="preserve"> IF(MONTH(LstMachines[[#This Row],[DateLivr]])&lt;10,"0","") &amp; MONTH(LstMachines[[#This Row],[DateLivr]]) &amp;"-"&amp;YEAR(LstMachines[[#This Row],[DateLivr]])</f>
        <v>05-2018</v>
      </c>
      <c r="Z122" s="258">
        <f>LstMachines[[#This Row],[Delivery]]+Rglt_à_HCME</f>
        <v>43295</v>
      </c>
      <c r="AA122" s="258" t="str">
        <f xml:space="preserve"> IF(MONTH(LstMachines[[#This Row],[DatePaie]])&lt;10,"0","") &amp; MONTH(LstMachines[[#This Row],[DatePaie]])&amp;"-"&amp;YEAR(LstMachines[[#This Row],[DatePaie]])</f>
        <v>07-2018</v>
      </c>
      <c r="AB122" s="258">
        <f>LstMachines[[#This Row],[DateLivr]]+1</f>
        <v>43236</v>
      </c>
      <c r="AC122" s="258" t="str">
        <f xml:space="preserve"> IF(MONTH(LstMachines[[#This Row],[Distrib]])&lt;10,"0","") &amp; MONTH(LstMachines[[#This Row],[Distrib]]) &amp; "-" &amp; YEAR(LstMachines[[#This Row],[Distrib]])</f>
        <v>05-2018</v>
      </c>
      <c r="AD122" s="258">
        <f>LstMachines[[#This Row],[DateLivr]]+Délai_Vente</f>
        <v>43355</v>
      </c>
      <c r="AE122" s="258" t="str">
        <f xml:space="preserve"> IF(MONTH(LstMachines[[#This Row],[VteESM]])&lt;10,"0","") &amp; MONTH(LstMachines[[#This Row],[VteESM]]) &amp; "-" &amp; YEAR(LstMachines[[#This Row],[VteESM]])</f>
        <v>09-2018</v>
      </c>
      <c r="AF122" s="258">
        <f>LstMachines[[#This Row],[DateLivr]]+Rglt_à_ESMTP</f>
        <v>43295</v>
      </c>
      <c r="AG122" s="258" t="str">
        <f xml:space="preserve"> IF(MONTH(LstMachines[[#This Row],[RgltDistrib]])&lt;10,"0","") &amp; MONTH(LstMachines[[#This Row],[RgltDistrib]]) &amp; "-" &amp; YEAR(LstMachines[[#This Row],[RgltDistrib]])</f>
        <v>07-2018</v>
      </c>
      <c r="AH122" s="258">
        <f>LstMachines[[#This Row],[VteESM]]+Rglt_à_ESMTP</f>
        <v>43415</v>
      </c>
      <c r="AI122" s="258" t="str">
        <f xml:space="preserve"> IF(MONTH(LstMachines[[#This Row],[RgltVteESM]])&lt;10,"0","") &amp; MONTH(LstMachines[[#This Row],[RgltVteESM]]) &amp; "-" &amp; YEAR(LstMachines[[#This Row],[RgltVteESM]])</f>
        <v>11-2018</v>
      </c>
      <c r="AJ122" s="140">
        <f>MONTH(LstMachines[[#This Row],[DatePaie]])</f>
        <v>7</v>
      </c>
      <c r="AK122" s="88" t="str">
        <f>FIXED(YEAR(LstMachines[[#This Row],[DatePaie]]),0,TRUE)</f>
        <v>2018</v>
      </c>
      <c r="AL122" s="140"/>
      <c r="AM122" s="414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92"/>
      <c r="AY122" s="92"/>
      <c r="BA122" s="92"/>
      <c r="BC122" s="92"/>
      <c r="BD122" s="92"/>
      <c r="BE122" s="92"/>
    </row>
    <row r="123" spans="2:57" hidden="1">
      <c r="B123" s="194" t="s">
        <v>75</v>
      </c>
      <c r="C123" s="194" t="s">
        <v>35</v>
      </c>
      <c r="D123" s="195">
        <v>19</v>
      </c>
      <c r="E123" s="194" t="s">
        <v>76</v>
      </c>
      <c r="F123" s="204" t="s">
        <v>468</v>
      </c>
      <c r="G123" s="204" t="s">
        <v>469</v>
      </c>
      <c r="H123" s="246">
        <v>1</v>
      </c>
      <c r="I12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123" s="88">
        <v>43235</v>
      </c>
      <c r="K123" s="139" t="s">
        <v>461</v>
      </c>
      <c r="L123" s="198" t="s">
        <v>470</v>
      </c>
      <c r="M123" s="139"/>
      <c r="N123" s="197"/>
      <c r="O123" s="255">
        <f>MONTH(LstMachines[[#This Row],[Delivery]])</f>
        <v>5</v>
      </c>
      <c r="P123" s="256" t="str">
        <f>FIXED(YEAR(LstMachines[[#This Row],[Delivery]]),0,TRUE)</f>
        <v>2018</v>
      </c>
      <c r="Q123" s="205"/>
      <c r="R123" s="241"/>
      <c r="S123" s="197"/>
      <c r="T123" s="197"/>
      <c r="U123" s="197"/>
      <c r="V123" s="193"/>
      <c r="W123" s="139"/>
      <c r="X123" s="258">
        <f>LstMachines[[#This Row],[Delivery]]</f>
        <v>43235</v>
      </c>
      <c r="Y123" s="258" t="str">
        <f xml:space="preserve"> IF(MONTH(LstMachines[[#This Row],[DateLivr]])&lt;10,"0","") &amp; MONTH(LstMachines[[#This Row],[DateLivr]]) &amp;"-"&amp;YEAR(LstMachines[[#This Row],[DateLivr]])</f>
        <v>05-2018</v>
      </c>
      <c r="Z123" s="258">
        <f>LstMachines[[#This Row],[Delivery]]+Rglt_à_HCME</f>
        <v>43295</v>
      </c>
      <c r="AA123" s="258" t="str">
        <f xml:space="preserve"> IF(MONTH(LstMachines[[#This Row],[DatePaie]])&lt;10,"0","") &amp; MONTH(LstMachines[[#This Row],[DatePaie]])&amp;"-"&amp;YEAR(LstMachines[[#This Row],[DatePaie]])</f>
        <v>07-2018</v>
      </c>
      <c r="AB123" s="258">
        <f>LstMachines[[#This Row],[DateLivr]]+1</f>
        <v>43236</v>
      </c>
      <c r="AC123" s="258" t="str">
        <f xml:space="preserve"> IF(MONTH(LstMachines[[#This Row],[Distrib]])&lt;10,"0","") &amp; MONTH(LstMachines[[#This Row],[Distrib]]) &amp; "-" &amp; YEAR(LstMachines[[#This Row],[Distrib]])</f>
        <v>05-2018</v>
      </c>
      <c r="AD123" s="258">
        <f>LstMachines[[#This Row],[DateLivr]]+Délai_Vente</f>
        <v>43355</v>
      </c>
      <c r="AE123" s="258" t="str">
        <f xml:space="preserve"> IF(MONTH(LstMachines[[#This Row],[VteESM]])&lt;10,"0","") &amp; MONTH(LstMachines[[#This Row],[VteESM]]) &amp; "-" &amp; YEAR(LstMachines[[#This Row],[VteESM]])</f>
        <v>09-2018</v>
      </c>
      <c r="AF123" s="258">
        <f>LstMachines[[#This Row],[DateLivr]]+Rglt_à_ESMTP</f>
        <v>43295</v>
      </c>
      <c r="AG123" s="258" t="str">
        <f xml:space="preserve"> IF(MONTH(LstMachines[[#This Row],[RgltDistrib]])&lt;10,"0","") &amp; MONTH(LstMachines[[#This Row],[RgltDistrib]]) &amp; "-" &amp; YEAR(LstMachines[[#This Row],[RgltDistrib]])</f>
        <v>07-2018</v>
      </c>
      <c r="AH123" s="258">
        <f>LstMachines[[#This Row],[VteESM]]+Rglt_à_ESMTP</f>
        <v>43415</v>
      </c>
      <c r="AI123" s="258" t="str">
        <f xml:space="preserve"> IF(MONTH(LstMachines[[#This Row],[RgltVteESM]])&lt;10,"0","") &amp; MONTH(LstMachines[[#This Row],[RgltVteESM]]) &amp; "-" &amp; YEAR(LstMachines[[#This Row],[RgltVteESM]])</f>
        <v>11-2018</v>
      </c>
      <c r="AJ123" s="140">
        <f>MONTH(LstMachines[[#This Row],[DatePaie]])</f>
        <v>7</v>
      </c>
      <c r="AK123" s="88" t="str">
        <f>FIXED(YEAR(LstMachines[[#This Row],[DatePaie]]),0,TRUE)</f>
        <v>2018</v>
      </c>
      <c r="AL123" s="140"/>
      <c r="AM123" s="414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92"/>
      <c r="AY123" s="92"/>
      <c r="BA123" s="92"/>
      <c r="BC123" s="92"/>
      <c r="BD123" s="92"/>
      <c r="BE123" s="92"/>
    </row>
    <row r="124" spans="2:57" hidden="1">
      <c r="B124" s="104" t="s">
        <v>75</v>
      </c>
      <c r="C124" s="104" t="s">
        <v>36</v>
      </c>
      <c r="D124" s="195">
        <v>26</v>
      </c>
      <c r="E124" s="104" t="s">
        <v>361</v>
      </c>
      <c r="F124" s="204" t="s">
        <v>468</v>
      </c>
      <c r="G124" s="204" t="s">
        <v>469</v>
      </c>
      <c r="H124" s="246">
        <v>1</v>
      </c>
      <c r="I12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124" s="88">
        <v>43235</v>
      </c>
      <c r="K124" s="139" t="s">
        <v>461</v>
      </c>
      <c r="L124" s="198" t="s">
        <v>470</v>
      </c>
      <c r="M124" s="139"/>
      <c r="N124" s="197"/>
      <c r="O124" s="255">
        <f>MONTH(LstMachines[[#This Row],[Delivery]])</f>
        <v>5</v>
      </c>
      <c r="P124" s="256" t="str">
        <f>FIXED(YEAR(LstMachines[[#This Row],[Delivery]]),0,TRUE)</f>
        <v>2018</v>
      </c>
      <c r="Q124" s="205"/>
      <c r="R124" s="241"/>
      <c r="S124" s="197"/>
      <c r="T124" s="197"/>
      <c r="U124" s="197"/>
      <c r="V124" s="193"/>
      <c r="W124" s="139"/>
      <c r="X124" s="258">
        <f>LstMachines[[#This Row],[Delivery]]</f>
        <v>43235</v>
      </c>
      <c r="Y124" s="258" t="str">
        <f xml:space="preserve"> IF(MONTH(LstMachines[[#This Row],[DateLivr]])&lt;10,"0","") &amp; MONTH(LstMachines[[#This Row],[DateLivr]]) &amp;"-"&amp;YEAR(LstMachines[[#This Row],[DateLivr]])</f>
        <v>05-2018</v>
      </c>
      <c r="Z124" s="258">
        <f>LstMachines[[#This Row],[Delivery]]+Rglt_à_HCME</f>
        <v>43295</v>
      </c>
      <c r="AA124" s="258" t="str">
        <f xml:space="preserve"> IF(MONTH(LstMachines[[#This Row],[DatePaie]])&lt;10,"0","") &amp; MONTH(LstMachines[[#This Row],[DatePaie]])&amp;"-"&amp;YEAR(LstMachines[[#This Row],[DatePaie]])</f>
        <v>07-2018</v>
      </c>
      <c r="AB124" s="258">
        <f>LstMachines[[#This Row],[DateLivr]]+1</f>
        <v>43236</v>
      </c>
      <c r="AC124" s="258" t="str">
        <f xml:space="preserve"> IF(MONTH(LstMachines[[#This Row],[Distrib]])&lt;10,"0","") &amp; MONTH(LstMachines[[#This Row],[Distrib]]) &amp; "-" &amp; YEAR(LstMachines[[#This Row],[Distrib]])</f>
        <v>05-2018</v>
      </c>
      <c r="AD124" s="258">
        <f>LstMachines[[#This Row],[DateLivr]]+Délai_Vente</f>
        <v>43355</v>
      </c>
      <c r="AE124" s="258" t="str">
        <f xml:space="preserve"> IF(MONTH(LstMachines[[#This Row],[VteESM]])&lt;10,"0","") &amp; MONTH(LstMachines[[#This Row],[VteESM]]) &amp; "-" &amp; YEAR(LstMachines[[#This Row],[VteESM]])</f>
        <v>09-2018</v>
      </c>
      <c r="AF124" s="258">
        <f>LstMachines[[#This Row],[DateLivr]]+Rglt_à_ESMTP</f>
        <v>43295</v>
      </c>
      <c r="AG124" s="258" t="str">
        <f xml:space="preserve"> IF(MONTH(LstMachines[[#This Row],[RgltDistrib]])&lt;10,"0","") &amp; MONTH(LstMachines[[#This Row],[RgltDistrib]]) &amp; "-" &amp; YEAR(LstMachines[[#This Row],[RgltDistrib]])</f>
        <v>07-2018</v>
      </c>
      <c r="AH124" s="258">
        <f>LstMachines[[#This Row],[VteESM]]+Rglt_à_ESMTP</f>
        <v>43415</v>
      </c>
      <c r="AI124" s="258" t="str">
        <f xml:space="preserve"> IF(MONTH(LstMachines[[#This Row],[RgltVteESM]])&lt;10,"0","") &amp; MONTH(LstMachines[[#This Row],[RgltVteESM]]) &amp; "-" &amp; YEAR(LstMachines[[#This Row],[RgltVteESM]])</f>
        <v>11-2018</v>
      </c>
      <c r="AJ124" s="140">
        <f>MONTH(LstMachines[[#This Row],[DatePaie]])</f>
        <v>7</v>
      </c>
      <c r="AK124" s="88" t="str">
        <f>FIXED(YEAR(LstMachines[[#This Row],[DatePaie]]),0,TRUE)</f>
        <v>2018</v>
      </c>
      <c r="AL124" s="140"/>
      <c r="AM124" s="414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92"/>
      <c r="AY124" s="92"/>
      <c r="BA124" s="92"/>
      <c r="BC124" s="92"/>
      <c r="BD124" s="92"/>
      <c r="BE124" s="92"/>
    </row>
    <row r="125" spans="2:57" hidden="1">
      <c r="B125" s="194" t="s">
        <v>75</v>
      </c>
      <c r="C125" s="194" t="s">
        <v>36</v>
      </c>
      <c r="D125" s="195">
        <v>26</v>
      </c>
      <c r="E125" s="194" t="s">
        <v>355</v>
      </c>
      <c r="F125" s="204" t="s">
        <v>468</v>
      </c>
      <c r="G125" s="204" t="s">
        <v>469</v>
      </c>
      <c r="H125" s="246">
        <v>1</v>
      </c>
      <c r="I12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125" s="88">
        <v>43235</v>
      </c>
      <c r="K125" s="139" t="s">
        <v>461</v>
      </c>
      <c r="L125" s="198" t="s">
        <v>470</v>
      </c>
      <c r="M125" s="139"/>
      <c r="N125" s="197"/>
      <c r="O125" s="255">
        <f>MONTH(LstMachines[[#This Row],[Delivery]])</f>
        <v>5</v>
      </c>
      <c r="P125" s="256" t="str">
        <f>FIXED(YEAR(LstMachines[[#This Row],[Delivery]]),0,TRUE)</f>
        <v>2018</v>
      </c>
      <c r="Q125" s="205"/>
      <c r="R125" s="241"/>
      <c r="S125" s="197"/>
      <c r="T125" s="197"/>
      <c r="U125" s="197"/>
      <c r="V125" s="193"/>
      <c r="W125" s="139"/>
      <c r="X125" s="258">
        <f>LstMachines[[#This Row],[Delivery]]</f>
        <v>43235</v>
      </c>
      <c r="Y125" s="258" t="str">
        <f xml:space="preserve"> IF(MONTH(LstMachines[[#This Row],[DateLivr]])&lt;10,"0","") &amp; MONTH(LstMachines[[#This Row],[DateLivr]]) &amp;"-"&amp;YEAR(LstMachines[[#This Row],[DateLivr]])</f>
        <v>05-2018</v>
      </c>
      <c r="Z125" s="258">
        <f>LstMachines[[#This Row],[Delivery]]+Rglt_à_HCME</f>
        <v>43295</v>
      </c>
      <c r="AA125" s="258" t="str">
        <f xml:space="preserve"> IF(MONTH(LstMachines[[#This Row],[DatePaie]])&lt;10,"0","") &amp; MONTH(LstMachines[[#This Row],[DatePaie]])&amp;"-"&amp;YEAR(LstMachines[[#This Row],[DatePaie]])</f>
        <v>07-2018</v>
      </c>
      <c r="AB125" s="258">
        <f>LstMachines[[#This Row],[DateLivr]]+1</f>
        <v>43236</v>
      </c>
      <c r="AC125" s="258" t="str">
        <f xml:space="preserve"> IF(MONTH(LstMachines[[#This Row],[Distrib]])&lt;10,"0","") &amp; MONTH(LstMachines[[#This Row],[Distrib]]) &amp; "-" &amp; YEAR(LstMachines[[#This Row],[Distrib]])</f>
        <v>05-2018</v>
      </c>
      <c r="AD125" s="258">
        <f>LstMachines[[#This Row],[DateLivr]]+Délai_Vente</f>
        <v>43355</v>
      </c>
      <c r="AE125" s="258" t="str">
        <f xml:space="preserve"> IF(MONTH(LstMachines[[#This Row],[VteESM]])&lt;10,"0","") &amp; MONTH(LstMachines[[#This Row],[VteESM]]) &amp; "-" &amp; YEAR(LstMachines[[#This Row],[VteESM]])</f>
        <v>09-2018</v>
      </c>
      <c r="AF125" s="258">
        <f>LstMachines[[#This Row],[DateLivr]]+Rglt_à_ESMTP</f>
        <v>43295</v>
      </c>
      <c r="AG125" s="258" t="str">
        <f xml:space="preserve"> IF(MONTH(LstMachines[[#This Row],[RgltDistrib]])&lt;10,"0","") &amp; MONTH(LstMachines[[#This Row],[RgltDistrib]]) &amp; "-" &amp; YEAR(LstMachines[[#This Row],[RgltDistrib]])</f>
        <v>07-2018</v>
      </c>
      <c r="AH125" s="258">
        <f>LstMachines[[#This Row],[VteESM]]+Rglt_à_ESMTP</f>
        <v>43415</v>
      </c>
      <c r="AI125" s="258" t="str">
        <f xml:space="preserve"> IF(MONTH(LstMachines[[#This Row],[RgltVteESM]])&lt;10,"0","") &amp; MONTH(LstMachines[[#This Row],[RgltVteESM]]) &amp; "-" &amp; YEAR(LstMachines[[#This Row],[RgltVteESM]])</f>
        <v>11-2018</v>
      </c>
      <c r="AJ125" s="140">
        <f>MONTH(LstMachines[[#This Row],[DatePaie]])</f>
        <v>7</v>
      </c>
      <c r="AK125" s="88" t="str">
        <f>FIXED(YEAR(LstMachines[[#This Row],[DatePaie]]),0,TRUE)</f>
        <v>2018</v>
      </c>
      <c r="AL125" s="140"/>
      <c r="AM125" s="414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92"/>
      <c r="AY125" s="92"/>
      <c r="BA125" s="92"/>
      <c r="BC125" s="92"/>
      <c r="BD125" s="92"/>
      <c r="BE125" s="92"/>
    </row>
    <row r="126" spans="2:57" hidden="1">
      <c r="B126" s="194" t="s">
        <v>75</v>
      </c>
      <c r="C126" s="194" t="s">
        <v>36</v>
      </c>
      <c r="D126" s="195">
        <v>26</v>
      </c>
      <c r="E126" s="194" t="s">
        <v>355</v>
      </c>
      <c r="F126" s="204" t="s">
        <v>468</v>
      </c>
      <c r="G126" s="204" t="s">
        <v>469</v>
      </c>
      <c r="H126" s="246">
        <v>1</v>
      </c>
      <c r="I12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126" s="88">
        <v>43235</v>
      </c>
      <c r="K126" s="139" t="s">
        <v>461</v>
      </c>
      <c r="L126" s="198" t="s">
        <v>470</v>
      </c>
      <c r="M126" s="139"/>
      <c r="N126" s="197"/>
      <c r="O126" s="255">
        <f>MONTH(LstMachines[[#This Row],[Delivery]])</f>
        <v>5</v>
      </c>
      <c r="P126" s="256" t="str">
        <f>FIXED(YEAR(LstMachines[[#This Row],[Delivery]]),0,TRUE)</f>
        <v>2018</v>
      </c>
      <c r="Q126" s="205"/>
      <c r="R126" s="241"/>
      <c r="S126" s="197"/>
      <c r="T126" s="197"/>
      <c r="U126" s="197"/>
      <c r="V126" s="193"/>
      <c r="W126" s="139"/>
      <c r="X126" s="258">
        <f>LstMachines[[#This Row],[Delivery]]</f>
        <v>43235</v>
      </c>
      <c r="Y126" s="258" t="str">
        <f xml:space="preserve"> IF(MONTH(LstMachines[[#This Row],[DateLivr]])&lt;10,"0","") &amp; MONTH(LstMachines[[#This Row],[DateLivr]]) &amp;"-"&amp;YEAR(LstMachines[[#This Row],[DateLivr]])</f>
        <v>05-2018</v>
      </c>
      <c r="Z126" s="258">
        <f>LstMachines[[#This Row],[Delivery]]+Rglt_à_HCME</f>
        <v>43295</v>
      </c>
      <c r="AA126" s="258" t="str">
        <f xml:space="preserve"> IF(MONTH(LstMachines[[#This Row],[DatePaie]])&lt;10,"0","") &amp; MONTH(LstMachines[[#This Row],[DatePaie]])&amp;"-"&amp;YEAR(LstMachines[[#This Row],[DatePaie]])</f>
        <v>07-2018</v>
      </c>
      <c r="AB126" s="258">
        <f>LstMachines[[#This Row],[DateLivr]]+1</f>
        <v>43236</v>
      </c>
      <c r="AC126" s="258" t="str">
        <f xml:space="preserve"> IF(MONTH(LstMachines[[#This Row],[Distrib]])&lt;10,"0","") &amp; MONTH(LstMachines[[#This Row],[Distrib]]) &amp; "-" &amp; YEAR(LstMachines[[#This Row],[Distrib]])</f>
        <v>05-2018</v>
      </c>
      <c r="AD126" s="258">
        <f>LstMachines[[#This Row],[DateLivr]]+Délai_Vente</f>
        <v>43355</v>
      </c>
      <c r="AE126" s="258" t="str">
        <f xml:space="preserve"> IF(MONTH(LstMachines[[#This Row],[VteESM]])&lt;10,"0","") &amp; MONTH(LstMachines[[#This Row],[VteESM]]) &amp; "-" &amp; YEAR(LstMachines[[#This Row],[VteESM]])</f>
        <v>09-2018</v>
      </c>
      <c r="AF126" s="258">
        <f>LstMachines[[#This Row],[DateLivr]]+Rglt_à_ESMTP</f>
        <v>43295</v>
      </c>
      <c r="AG126" s="258" t="str">
        <f xml:space="preserve"> IF(MONTH(LstMachines[[#This Row],[RgltDistrib]])&lt;10,"0","") &amp; MONTH(LstMachines[[#This Row],[RgltDistrib]]) &amp; "-" &amp; YEAR(LstMachines[[#This Row],[RgltDistrib]])</f>
        <v>07-2018</v>
      </c>
      <c r="AH126" s="258">
        <f>LstMachines[[#This Row],[VteESM]]+Rglt_à_ESMTP</f>
        <v>43415</v>
      </c>
      <c r="AI126" s="258" t="str">
        <f xml:space="preserve"> IF(MONTH(LstMachines[[#This Row],[RgltVteESM]])&lt;10,"0","") &amp; MONTH(LstMachines[[#This Row],[RgltVteESM]]) &amp; "-" &amp; YEAR(LstMachines[[#This Row],[RgltVteESM]])</f>
        <v>11-2018</v>
      </c>
      <c r="AJ126" s="140">
        <f>MONTH(LstMachines[[#This Row],[DatePaie]])</f>
        <v>7</v>
      </c>
      <c r="AK126" s="88" t="str">
        <f>FIXED(YEAR(LstMachines[[#This Row],[DatePaie]]),0,TRUE)</f>
        <v>2018</v>
      </c>
      <c r="AL126" s="140"/>
      <c r="AM126" s="414"/>
      <c r="AN126" s="92"/>
      <c r="AO126" s="92"/>
      <c r="AP126" s="92"/>
      <c r="AQ126" s="92"/>
      <c r="AR126" s="92"/>
      <c r="AS126" s="92"/>
      <c r="AT126" s="92"/>
      <c r="AU126" s="92"/>
      <c r="AV126" s="92"/>
      <c r="AW126" s="92"/>
      <c r="AX126" s="92"/>
      <c r="AY126" s="92"/>
      <c r="BA126" s="92"/>
      <c r="BC126" s="92"/>
      <c r="BD126" s="92"/>
      <c r="BE126" s="92"/>
    </row>
    <row r="127" spans="2:57" hidden="1">
      <c r="B127" s="104" t="s">
        <v>75</v>
      </c>
      <c r="C127" s="104" t="s">
        <v>38</v>
      </c>
      <c r="D127" s="195">
        <v>65</v>
      </c>
      <c r="E127" s="86" t="s">
        <v>359</v>
      </c>
      <c r="F127" s="204" t="s">
        <v>468</v>
      </c>
      <c r="G127" s="204" t="s">
        <v>469</v>
      </c>
      <c r="H127" s="246">
        <v>1</v>
      </c>
      <c r="I12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127" s="88">
        <v>43235</v>
      </c>
      <c r="K127" s="139" t="s">
        <v>461</v>
      </c>
      <c r="L127" s="198" t="s">
        <v>470</v>
      </c>
      <c r="M127" s="139"/>
      <c r="N127" s="197"/>
      <c r="O127" s="255">
        <f>MONTH(LstMachines[[#This Row],[Delivery]])</f>
        <v>5</v>
      </c>
      <c r="P127" s="256" t="str">
        <f>FIXED(YEAR(LstMachines[[#This Row],[Delivery]]),0,TRUE)</f>
        <v>2018</v>
      </c>
      <c r="Q127" s="205"/>
      <c r="R127" s="241"/>
      <c r="S127" s="197"/>
      <c r="T127" s="197"/>
      <c r="U127" s="197"/>
      <c r="V127" s="193"/>
      <c r="W127" s="139"/>
      <c r="X127" s="258">
        <f>LstMachines[[#This Row],[Delivery]]</f>
        <v>43235</v>
      </c>
      <c r="Y127" s="258" t="str">
        <f xml:space="preserve"> IF(MONTH(LstMachines[[#This Row],[DateLivr]])&lt;10,"0","") &amp; MONTH(LstMachines[[#This Row],[DateLivr]]) &amp;"-"&amp;YEAR(LstMachines[[#This Row],[DateLivr]])</f>
        <v>05-2018</v>
      </c>
      <c r="Z127" s="258">
        <f>LstMachines[[#This Row],[Delivery]]+Rglt_à_HCME</f>
        <v>43295</v>
      </c>
      <c r="AA127" s="258" t="str">
        <f xml:space="preserve"> IF(MONTH(LstMachines[[#This Row],[DatePaie]])&lt;10,"0","") &amp; MONTH(LstMachines[[#This Row],[DatePaie]])&amp;"-"&amp;YEAR(LstMachines[[#This Row],[DatePaie]])</f>
        <v>07-2018</v>
      </c>
      <c r="AB127" s="258">
        <f>LstMachines[[#This Row],[DateLivr]]+1</f>
        <v>43236</v>
      </c>
      <c r="AC127" s="258" t="str">
        <f xml:space="preserve"> IF(MONTH(LstMachines[[#This Row],[Distrib]])&lt;10,"0","") &amp; MONTH(LstMachines[[#This Row],[Distrib]]) &amp; "-" &amp; YEAR(LstMachines[[#This Row],[Distrib]])</f>
        <v>05-2018</v>
      </c>
      <c r="AD127" s="258">
        <f>LstMachines[[#This Row],[DateLivr]]+Délai_Vente</f>
        <v>43355</v>
      </c>
      <c r="AE127" s="258" t="str">
        <f xml:space="preserve"> IF(MONTH(LstMachines[[#This Row],[VteESM]])&lt;10,"0","") &amp; MONTH(LstMachines[[#This Row],[VteESM]]) &amp; "-" &amp; YEAR(LstMachines[[#This Row],[VteESM]])</f>
        <v>09-2018</v>
      </c>
      <c r="AF127" s="258">
        <f>LstMachines[[#This Row],[DateLivr]]+Rglt_à_ESMTP</f>
        <v>43295</v>
      </c>
      <c r="AG127" s="258" t="str">
        <f xml:space="preserve"> IF(MONTH(LstMachines[[#This Row],[RgltDistrib]])&lt;10,"0","") &amp; MONTH(LstMachines[[#This Row],[RgltDistrib]]) &amp; "-" &amp; YEAR(LstMachines[[#This Row],[RgltDistrib]])</f>
        <v>07-2018</v>
      </c>
      <c r="AH127" s="258">
        <f>LstMachines[[#This Row],[VteESM]]+Rglt_à_ESMTP</f>
        <v>43415</v>
      </c>
      <c r="AI127" s="258" t="str">
        <f xml:space="preserve"> IF(MONTH(LstMachines[[#This Row],[RgltVteESM]])&lt;10,"0","") &amp; MONTH(LstMachines[[#This Row],[RgltVteESM]]) &amp; "-" &amp; YEAR(LstMachines[[#This Row],[RgltVteESM]])</f>
        <v>11-2018</v>
      </c>
      <c r="AJ127" s="140">
        <f>MONTH(LstMachines[[#This Row],[DatePaie]])</f>
        <v>7</v>
      </c>
      <c r="AK127" s="88" t="str">
        <f>FIXED(YEAR(LstMachines[[#This Row],[DatePaie]]),0,TRUE)</f>
        <v>2018</v>
      </c>
      <c r="AL127" s="140"/>
      <c r="AM127" s="414"/>
      <c r="AN127" s="92"/>
      <c r="AO127" s="92"/>
      <c r="AP127" s="92"/>
      <c r="AQ127" s="92"/>
      <c r="AR127" s="92"/>
      <c r="AS127" s="92"/>
      <c r="AT127" s="92"/>
      <c r="AU127" s="92"/>
      <c r="AV127" s="92"/>
      <c r="AW127" s="92"/>
      <c r="AX127" s="92"/>
      <c r="AY127" s="92"/>
      <c r="BA127" s="92"/>
      <c r="BC127" s="92"/>
      <c r="BD127" s="92"/>
      <c r="BE127" s="92"/>
    </row>
    <row r="128" spans="2:57" hidden="1">
      <c r="B128" s="194" t="s">
        <v>262</v>
      </c>
      <c r="C128" s="194" t="s">
        <v>44</v>
      </c>
      <c r="D128" s="195">
        <v>225</v>
      </c>
      <c r="E128" s="194" t="s">
        <v>204</v>
      </c>
      <c r="F128" s="204" t="s">
        <v>468</v>
      </c>
      <c r="G128" s="204" t="s">
        <v>469</v>
      </c>
      <c r="H128" s="246">
        <v>1</v>
      </c>
      <c r="I12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128" s="88">
        <v>43235</v>
      </c>
      <c r="K128" s="139" t="s">
        <v>461</v>
      </c>
      <c r="L128" s="198" t="s">
        <v>470</v>
      </c>
      <c r="M128" s="139"/>
      <c r="N128" s="197"/>
      <c r="O128" s="255">
        <f>MONTH(LstMachines[[#This Row],[Delivery]])</f>
        <v>5</v>
      </c>
      <c r="P128" s="256" t="str">
        <f>FIXED(YEAR(LstMachines[[#This Row],[Delivery]]),0,TRUE)</f>
        <v>2018</v>
      </c>
      <c r="Q128" s="205"/>
      <c r="R128" s="241"/>
      <c r="S128" s="197"/>
      <c r="T128" s="197"/>
      <c r="U128" s="197"/>
      <c r="V128" s="193"/>
      <c r="W128" s="139"/>
      <c r="X128" s="258">
        <f>LstMachines[[#This Row],[Delivery]]</f>
        <v>43235</v>
      </c>
      <c r="Y128" s="258" t="str">
        <f xml:space="preserve"> IF(MONTH(LstMachines[[#This Row],[DateLivr]])&lt;10,"0","") &amp; MONTH(LstMachines[[#This Row],[DateLivr]]) &amp;"-"&amp;YEAR(LstMachines[[#This Row],[DateLivr]])</f>
        <v>05-2018</v>
      </c>
      <c r="Z128" s="258">
        <f>LstMachines[[#This Row],[Delivery]]+Rglt_à_HCME</f>
        <v>43295</v>
      </c>
      <c r="AA128" s="258" t="str">
        <f xml:space="preserve"> IF(MONTH(LstMachines[[#This Row],[DatePaie]])&lt;10,"0","") &amp; MONTH(LstMachines[[#This Row],[DatePaie]])&amp;"-"&amp;YEAR(LstMachines[[#This Row],[DatePaie]])</f>
        <v>07-2018</v>
      </c>
      <c r="AB128" s="258">
        <f>LstMachines[[#This Row],[DateLivr]]+1</f>
        <v>43236</v>
      </c>
      <c r="AC128" s="258" t="str">
        <f xml:space="preserve"> IF(MONTH(LstMachines[[#This Row],[Distrib]])&lt;10,"0","") &amp; MONTH(LstMachines[[#This Row],[Distrib]]) &amp; "-" &amp; YEAR(LstMachines[[#This Row],[Distrib]])</f>
        <v>05-2018</v>
      </c>
      <c r="AD128" s="258">
        <f>LstMachines[[#This Row],[DateLivr]]+Délai_Vente</f>
        <v>43355</v>
      </c>
      <c r="AE128" s="258" t="str">
        <f xml:space="preserve"> IF(MONTH(LstMachines[[#This Row],[VteESM]])&lt;10,"0","") &amp; MONTH(LstMachines[[#This Row],[VteESM]]) &amp; "-" &amp; YEAR(LstMachines[[#This Row],[VteESM]])</f>
        <v>09-2018</v>
      </c>
      <c r="AF128" s="258">
        <f>LstMachines[[#This Row],[DateLivr]]+Rglt_à_ESMTP</f>
        <v>43295</v>
      </c>
      <c r="AG128" s="258" t="str">
        <f xml:space="preserve"> IF(MONTH(LstMachines[[#This Row],[RgltDistrib]])&lt;10,"0","") &amp; MONTH(LstMachines[[#This Row],[RgltDistrib]]) &amp; "-" &amp; YEAR(LstMachines[[#This Row],[RgltDistrib]])</f>
        <v>07-2018</v>
      </c>
      <c r="AH128" s="258">
        <f>LstMachines[[#This Row],[VteESM]]+Rglt_à_ESMTP</f>
        <v>43415</v>
      </c>
      <c r="AI128" s="258" t="str">
        <f xml:space="preserve"> IF(MONTH(LstMachines[[#This Row],[RgltVteESM]])&lt;10,"0","") &amp; MONTH(LstMachines[[#This Row],[RgltVteESM]]) &amp; "-" &amp; YEAR(LstMachines[[#This Row],[RgltVteESM]])</f>
        <v>11-2018</v>
      </c>
      <c r="AJ128" s="140">
        <f>MONTH(LstMachines[[#This Row],[DatePaie]])</f>
        <v>7</v>
      </c>
      <c r="AK128" s="88" t="str">
        <f>FIXED(YEAR(LstMachines[[#This Row],[DatePaie]]),0,TRUE)</f>
        <v>2018</v>
      </c>
      <c r="AL128" s="140"/>
      <c r="AM128" s="414"/>
      <c r="AN128" s="92"/>
      <c r="AO128" s="92"/>
      <c r="AP128" s="92"/>
      <c r="AQ128" s="92"/>
      <c r="AR128" s="92"/>
      <c r="AS128" s="92"/>
      <c r="AT128" s="92"/>
      <c r="AU128" s="92"/>
      <c r="AV128" s="92"/>
      <c r="AW128" s="92"/>
      <c r="AX128" s="92"/>
      <c r="AY128" s="92"/>
      <c r="BA128" s="92"/>
      <c r="BC128" s="92"/>
      <c r="BD128" s="92"/>
      <c r="BE128" s="92"/>
    </row>
    <row r="129" spans="2:57" hidden="1">
      <c r="B129" s="104" t="s">
        <v>262</v>
      </c>
      <c r="C129" s="104" t="s">
        <v>40</v>
      </c>
      <c r="D129" s="87">
        <v>135</v>
      </c>
      <c r="E129" s="104" t="s">
        <v>87</v>
      </c>
      <c r="F129" s="71" t="s">
        <v>100</v>
      </c>
      <c r="G129" s="71" t="s">
        <v>31</v>
      </c>
      <c r="H129" s="89">
        <v>1</v>
      </c>
      <c r="I12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129" s="88">
        <v>43235</v>
      </c>
      <c r="K129" s="99" t="s">
        <v>463</v>
      </c>
      <c r="L129" s="120" t="s">
        <v>378</v>
      </c>
      <c r="M129" s="99"/>
      <c r="N129" s="90">
        <v>43036</v>
      </c>
      <c r="O129" s="255">
        <f>MONTH(LstMachines[[#This Row],[Delivery]])</f>
        <v>5</v>
      </c>
      <c r="P129" s="256" t="str">
        <f>FIXED(YEAR(LstMachines[[#This Row],[Delivery]]),0,TRUE)</f>
        <v>2018</v>
      </c>
      <c r="Q129" s="73" t="s">
        <v>332</v>
      </c>
      <c r="R129" s="93">
        <v>108134</v>
      </c>
      <c r="S129" s="95"/>
      <c r="T129" s="71"/>
      <c r="U129" s="72" t="s">
        <v>270</v>
      </c>
      <c r="V129" s="72">
        <v>4229</v>
      </c>
      <c r="W129" s="99" t="s">
        <v>384</v>
      </c>
      <c r="X129" s="258">
        <f>LstMachines[[#This Row],[Delivery]]</f>
        <v>43235</v>
      </c>
      <c r="Y129" s="258" t="str">
        <f xml:space="preserve"> IF(MONTH(LstMachines[[#This Row],[DateLivr]])&lt;10,"0","") &amp; MONTH(LstMachines[[#This Row],[DateLivr]]) &amp;"-"&amp;YEAR(LstMachines[[#This Row],[DateLivr]])</f>
        <v>05-2018</v>
      </c>
      <c r="Z129" s="258">
        <f>LstMachines[[#This Row],[Delivery]]+Rglt_à_HCME</f>
        <v>43295</v>
      </c>
      <c r="AA129" s="258" t="str">
        <f xml:space="preserve"> IF(MONTH(LstMachines[[#This Row],[DatePaie]])&lt;10,"0","") &amp; MONTH(LstMachines[[#This Row],[DatePaie]])&amp;"-"&amp;YEAR(LstMachines[[#This Row],[DatePaie]])</f>
        <v>07-2018</v>
      </c>
      <c r="AB129" s="258">
        <f>LstMachines[[#This Row],[DateLivr]]+1</f>
        <v>43236</v>
      </c>
      <c r="AC129" s="258" t="str">
        <f xml:space="preserve"> IF(MONTH(LstMachines[[#This Row],[Distrib]])&lt;10,"0","") &amp; MONTH(LstMachines[[#This Row],[Distrib]]) &amp; "-" &amp; YEAR(LstMachines[[#This Row],[Distrib]])</f>
        <v>05-2018</v>
      </c>
      <c r="AD129" s="258">
        <f>LstMachines[[#This Row],[DateLivr]]+Délai_Vente</f>
        <v>43355</v>
      </c>
      <c r="AE129" s="258" t="str">
        <f xml:space="preserve"> IF(MONTH(LstMachines[[#This Row],[VteESM]])&lt;10,"0","") &amp; MONTH(LstMachines[[#This Row],[VteESM]]) &amp; "-" &amp; YEAR(LstMachines[[#This Row],[VteESM]])</f>
        <v>09-2018</v>
      </c>
      <c r="AF129" s="258">
        <f>LstMachines[[#This Row],[DateLivr]]+Rglt_à_ESMTP</f>
        <v>43295</v>
      </c>
      <c r="AG129" s="258" t="str">
        <f xml:space="preserve"> IF(MONTH(LstMachines[[#This Row],[RgltDistrib]])&lt;10,"0","") &amp; MONTH(LstMachines[[#This Row],[RgltDistrib]]) &amp; "-" &amp; YEAR(LstMachines[[#This Row],[RgltDistrib]])</f>
        <v>07-2018</v>
      </c>
      <c r="AH129" s="258">
        <f>LstMachines[[#This Row],[VteESM]]+Rglt_à_ESMTP</f>
        <v>43415</v>
      </c>
      <c r="AI129" s="258" t="str">
        <f xml:space="preserve"> IF(MONTH(LstMachines[[#This Row],[RgltVteESM]])&lt;10,"0","") &amp; MONTH(LstMachines[[#This Row],[RgltVteESM]]) &amp; "-" &amp; YEAR(LstMachines[[#This Row],[RgltVteESM]])</f>
        <v>11-2018</v>
      </c>
      <c r="AJ129" s="140">
        <f>MONTH(LstMachines[[#This Row],[DatePaie]])</f>
        <v>7</v>
      </c>
      <c r="AK129" s="88" t="str">
        <f>FIXED(YEAR(LstMachines[[#This Row],[DatePaie]]),0,TRUE)</f>
        <v>2018</v>
      </c>
      <c r="AL129" s="140"/>
      <c r="AM129" s="414"/>
      <c r="AN129" s="92"/>
      <c r="AO129" s="92"/>
      <c r="AP129" s="92"/>
      <c r="AQ129" s="92"/>
      <c r="AR129" s="92"/>
      <c r="AS129" s="92"/>
      <c r="AT129" s="92"/>
      <c r="AU129" s="92"/>
      <c r="AV129" s="92"/>
      <c r="AW129" s="92"/>
      <c r="AX129" s="92"/>
      <c r="AY129" s="92"/>
      <c r="BA129" s="92"/>
      <c r="BC129" s="92"/>
      <c r="BD129" s="92"/>
      <c r="BE129" s="92"/>
    </row>
    <row r="130" spans="2:57" hidden="1">
      <c r="B130" s="104" t="s">
        <v>259</v>
      </c>
      <c r="C130" s="104" t="s">
        <v>48</v>
      </c>
      <c r="D130" s="87">
        <v>180</v>
      </c>
      <c r="E130" s="86" t="s">
        <v>163</v>
      </c>
      <c r="F130" s="87" t="s">
        <v>100</v>
      </c>
      <c r="G130" s="87" t="s">
        <v>31</v>
      </c>
      <c r="H130" s="89">
        <v>1</v>
      </c>
      <c r="I13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105</v>
      </c>
      <c r="J130" s="88">
        <v>43235</v>
      </c>
      <c r="K130" s="99" t="s">
        <v>461</v>
      </c>
      <c r="L130" s="120" t="s">
        <v>378</v>
      </c>
      <c r="M130" s="99"/>
      <c r="N130" s="90"/>
      <c r="O130" s="255">
        <f>MONTH(LstMachines[[#This Row],[Delivery]])</f>
        <v>5</v>
      </c>
      <c r="P130" s="256" t="str">
        <f>FIXED(YEAR(LstMachines[[#This Row],[Delivery]]),0,TRUE)</f>
        <v>2018</v>
      </c>
      <c r="Q130" s="73"/>
      <c r="R130" s="93"/>
      <c r="S130" s="90"/>
      <c r="T130" s="90"/>
      <c r="U130" s="90" t="s">
        <v>105</v>
      </c>
      <c r="V130" s="72"/>
      <c r="W130" s="99" t="s">
        <v>384</v>
      </c>
      <c r="X130" s="258">
        <f>LstMachines[[#This Row],[Delivery]]</f>
        <v>43235</v>
      </c>
      <c r="Y130" s="258" t="str">
        <f xml:space="preserve"> IF(MONTH(LstMachines[[#This Row],[DateLivr]])&lt;10,"0","") &amp; MONTH(LstMachines[[#This Row],[DateLivr]]) &amp;"-"&amp;YEAR(LstMachines[[#This Row],[DateLivr]])</f>
        <v>05-2018</v>
      </c>
      <c r="Z130" s="258">
        <f>LstMachines[[#This Row],[Delivery]]+Rglt_à_HCME</f>
        <v>43295</v>
      </c>
      <c r="AA130" s="258" t="str">
        <f xml:space="preserve"> IF(MONTH(LstMachines[[#This Row],[DatePaie]])&lt;10,"0","") &amp; MONTH(LstMachines[[#This Row],[DatePaie]])&amp;"-"&amp;YEAR(LstMachines[[#This Row],[DatePaie]])</f>
        <v>07-2018</v>
      </c>
      <c r="AB130" s="258">
        <f>LstMachines[[#This Row],[DateLivr]]+1</f>
        <v>43236</v>
      </c>
      <c r="AC130" s="258" t="str">
        <f xml:space="preserve"> IF(MONTH(LstMachines[[#This Row],[Distrib]])&lt;10,"0","") &amp; MONTH(LstMachines[[#This Row],[Distrib]]) &amp; "-" &amp; YEAR(LstMachines[[#This Row],[Distrib]])</f>
        <v>05-2018</v>
      </c>
      <c r="AD130" s="258">
        <f>LstMachines[[#This Row],[DateLivr]]+Délai_Vente</f>
        <v>43355</v>
      </c>
      <c r="AE130" s="258" t="str">
        <f xml:space="preserve"> IF(MONTH(LstMachines[[#This Row],[VteESM]])&lt;10,"0","") &amp; MONTH(LstMachines[[#This Row],[VteESM]]) &amp; "-" &amp; YEAR(LstMachines[[#This Row],[VteESM]])</f>
        <v>09-2018</v>
      </c>
      <c r="AF130" s="258">
        <f>LstMachines[[#This Row],[DateLivr]]+Rglt_à_ESMTP</f>
        <v>43295</v>
      </c>
      <c r="AG130" s="258" t="str">
        <f xml:space="preserve"> IF(MONTH(LstMachines[[#This Row],[RgltDistrib]])&lt;10,"0","") &amp; MONTH(LstMachines[[#This Row],[RgltDistrib]]) &amp; "-" &amp; YEAR(LstMachines[[#This Row],[RgltDistrib]])</f>
        <v>07-2018</v>
      </c>
      <c r="AH130" s="258">
        <f>LstMachines[[#This Row],[VteESM]]+Rglt_à_ESMTP</f>
        <v>43415</v>
      </c>
      <c r="AI130" s="258" t="str">
        <f xml:space="preserve"> IF(MONTH(LstMachines[[#This Row],[RgltVteESM]])&lt;10,"0","") &amp; MONTH(LstMachines[[#This Row],[RgltVteESM]]) &amp; "-" &amp; YEAR(LstMachines[[#This Row],[RgltVteESM]])</f>
        <v>11-2018</v>
      </c>
      <c r="AJ130" s="140">
        <f>MONTH(LstMachines[[#This Row],[DatePaie]])</f>
        <v>7</v>
      </c>
      <c r="AK130" s="88" t="str">
        <f>FIXED(YEAR(LstMachines[[#This Row],[DatePaie]]),0,TRUE)</f>
        <v>2018</v>
      </c>
      <c r="AL130" s="140"/>
      <c r="AM130" s="414"/>
      <c r="AN130" s="92"/>
      <c r="AO130" s="92"/>
      <c r="AP130" s="92"/>
      <c r="AQ130" s="92"/>
      <c r="AR130" s="92"/>
      <c r="AS130" s="92"/>
      <c r="AT130" s="92"/>
      <c r="AU130" s="92"/>
      <c r="AV130" s="92"/>
      <c r="AW130" s="92"/>
      <c r="AX130" s="92"/>
      <c r="AY130" s="92"/>
      <c r="BA130" s="92"/>
      <c r="BC130" s="92"/>
      <c r="BD130" s="92"/>
      <c r="BE130" s="92"/>
    </row>
    <row r="131" spans="2:57" hidden="1">
      <c r="B131" s="104" t="s">
        <v>262</v>
      </c>
      <c r="C131" s="104" t="s">
        <v>42</v>
      </c>
      <c r="D131" s="87">
        <v>190</v>
      </c>
      <c r="E131" s="86" t="s">
        <v>200</v>
      </c>
      <c r="F131" s="87" t="s">
        <v>100</v>
      </c>
      <c r="G131" s="87" t="s">
        <v>31</v>
      </c>
      <c r="H131" s="89">
        <v>1</v>
      </c>
      <c r="I13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113</v>
      </c>
      <c r="J131" s="88">
        <v>43235</v>
      </c>
      <c r="K131" s="99" t="s">
        <v>461</v>
      </c>
      <c r="L131" s="120" t="s">
        <v>378</v>
      </c>
      <c r="M131" s="99"/>
      <c r="N131" s="90"/>
      <c r="O131" s="255">
        <f>MONTH(LstMachines[[#This Row],[Delivery]])</f>
        <v>5</v>
      </c>
      <c r="P131" s="256" t="str">
        <f>FIXED(YEAR(LstMachines[[#This Row],[Delivery]]),0,TRUE)</f>
        <v>2018</v>
      </c>
      <c r="Q131" s="73"/>
      <c r="R131" s="93"/>
      <c r="S131" s="90"/>
      <c r="T131" s="90"/>
      <c r="U131" s="90" t="s">
        <v>104</v>
      </c>
      <c r="V131" s="72"/>
      <c r="W131" s="99" t="s">
        <v>383</v>
      </c>
      <c r="X131" s="258">
        <f>LstMachines[[#This Row],[Delivery]]</f>
        <v>43235</v>
      </c>
      <c r="Y131" s="258" t="str">
        <f xml:space="preserve"> IF(MONTH(LstMachines[[#This Row],[DateLivr]])&lt;10,"0","") &amp; MONTH(LstMachines[[#This Row],[DateLivr]]) &amp;"-"&amp;YEAR(LstMachines[[#This Row],[DateLivr]])</f>
        <v>05-2018</v>
      </c>
      <c r="Z131" s="258">
        <f>LstMachines[[#This Row],[Delivery]]+Rglt_à_HCME</f>
        <v>43295</v>
      </c>
      <c r="AA131" s="258" t="str">
        <f xml:space="preserve"> IF(MONTH(LstMachines[[#This Row],[DatePaie]])&lt;10,"0","") &amp; MONTH(LstMachines[[#This Row],[DatePaie]])&amp;"-"&amp;YEAR(LstMachines[[#This Row],[DatePaie]])</f>
        <v>07-2018</v>
      </c>
      <c r="AB131" s="258">
        <f>LstMachines[[#This Row],[DateLivr]]+1</f>
        <v>43236</v>
      </c>
      <c r="AC131" s="258" t="str">
        <f xml:space="preserve"> IF(MONTH(LstMachines[[#This Row],[Distrib]])&lt;10,"0","") &amp; MONTH(LstMachines[[#This Row],[Distrib]]) &amp; "-" &amp; YEAR(LstMachines[[#This Row],[Distrib]])</f>
        <v>05-2018</v>
      </c>
      <c r="AD131" s="258">
        <f>LstMachines[[#This Row],[DateLivr]]+Délai_Vente</f>
        <v>43355</v>
      </c>
      <c r="AE131" s="258" t="str">
        <f xml:space="preserve"> IF(MONTH(LstMachines[[#This Row],[VteESM]])&lt;10,"0","") &amp; MONTH(LstMachines[[#This Row],[VteESM]]) &amp; "-" &amp; YEAR(LstMachines[[#This Row],[VteESM]])</f>
        <v>09-2018</v>
      </c>
      <c r="AF131" s="258">
        <f>LstMachines[[#This Row],[DateLivr]]+Rglt_à_ESMTP</f>
        <v>43295</v>
      </c>
      <c r="AG131" s="258" t="str">
        <f xml:space="preserve"> IF(MONTH(LstMachines[[#This Row],[RgltDistrib]])&lt;10,"0","") &amp; MONTH(LstMachines[[#This Row],[RgltDistrib]]) &amp; "-" &amp; YEAR(LstMachines[[#This Row],[RgltDistrib]])</f>
        <v>07-2018</v>
      </c>
      <c r="AH131" s="258">
        <f>LstMachines[[#This Row],[VteESM]]+Rglt_à_ESMTP</f>
        <v>43415</v>
      </c>
      <c r="AI131" s="258" t="str">
        <f xml:space="preserve"> IF(MONTH(LstMachines[[#This Row],[RgltVteESM]])&lt;10,"0","") &amp; MONTH(LstMachines[[#This Row],[RgltVteESM]]) &amp; "-" &amp; YEAR(LstMachines[[#This Row],[RgltVteESM]])</f>
        <v>11-2018</v>
      </c>
      <c r="AJ131" s="140">
        <f>MONTH(LstMachines[[#This Row],[DatePaie]])</f>
        <v>7</v>
      </c>
      <c r="AK131" s="88" t="str">
        <f>FIXED(YEAR(LstMachines[[#This Row],[DatePaie]]),0,TRUE)</f>
        <v>2018</v>
      </c>
      <c r="AL131" s="140"/>
      <c r="AM131" s="414"/>
      <c r="AN131" s="92"/>
      <c r="AO131" s="92"/>
      <c r="AP131" s="92"/>
      <c r="AQ131" s="92"/>
      <c r="AR131" s="92"/>
      <c r="AS131" s="92"/>
      <c r="AT131" s="92"/>
      <c r="AU131" s="92"/>
      <c r="AV131" s="92"/>
      <c r="AW131" s="92"/>
      <c r="AX131" s="92"/>
      <c r="AY131" s="92"/>
      <c r="BA131" s="92"/>
      <c r="BC131" s="92"/>
      <c r="BD131" s="92"/>
      <c r="BE131" s="92"/>
    </row>
    <row r="132" spans="2:57" hidden="1">
      <c r="B132" s="243" t="s">
        <v>262</v>
      </c>
      <c r="C132" s="243" t="s">
        <v>44</v>
      </c>
      <c r="D132" s="245">
        <v>225</v>
      </c>
      <c r="E132" s="243" t="s">
        <v>203</v>
      </c>
      <c r="F132" s="89" t="s">
        <v>66</v>
      </c>
      <c r="G132" s="87" t="s">
        <v>106</v>
      </c>
      <c r="H132" s="246">
        <v>1</v>
      </c>
      <c r="I13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132" s="247">
        <v>43235</v>
      </c>
      <c r="K132" s="248" t="s">
        <v>463</v>
      </c>
      <c r="L132" s="398" t="s">
        <v>589</v>
      </c>
      <c r="M132" s="248"/>
      <c r="N132" s="90"/>
      <c r="O132" s="255">
        <f>MONTH(LstMachines[[#This Row],[Delivery]])</f>
        <v>5</v>
      </c>
      <c r="P132" s="256" t="str">
        <f>FIXED(YEAR(LstMachines[[#This Row],[Delivery]]),0,TRUE)</f>
        <v>2018</v>
      </c>
      <c r="Q132" s="73"/>
      <c r="R132" s="93"/>
      <c r="S132" s="90"/>
      <c r="T132" s="90"/>
      <c r="U132" s="90"/>
      <c r="V132" s="72"/>
      <c r="W132" s="99"/>
      <c r="X132" s="258">
        <f>LstMachines[[#This Row],[Delivery]]</f>
        <v>43235</v>
      </c>
      <c r="Y132" s="258" t="str">
        <f xml:space="preserve"> IF(MONTH(LstMachines[[#This Row],[DateLivr]])&lt;10,"0","") &amp; MONTH(LstMachines[[#This Row],[DateLivr]]) &amp;"-"&amp;YEAR(LstMachines[[#This Row],[DateLivr]])</f>
        <v>05-2018</v>
      </c>
      <c r="Z132" s="258">
        <f>LstMachines[[#This Row],[Delivery]]+Rglt_à_HCME</f>
        <v>43295</v>
      </c>
      <c r="AA132" s="258" t="str">
        <f xml:space="preserve"> IF(MONTH(LstMachines[[#This Row],[DatePaie]])&lt;10,"0","") &amp; MONTH(LstMachines[[#This Row],[DatePaie]])&amp;"-"&amp;YEAR(LstMachines[[#This Row],[DatePaie]])</f>
        <v>07-2018</v>
      </c>
      <c r="AB132" s="258">
        <f>LstMachines[[#This Row],[DateLivr]]+1</f>
        <v>43236</v>
      </c>
      <c r="AC132" s="258" t="str">
        <f xml:space="preserve"> IF(MONTH(LstMachines[[#This Row],[Distrib]])&lt;10,"0","") &amp; MONTH(LstMachines[[#This Row],[Distrib]]) &amp; "-" &amp; YEAR(LstMachines[[#This Row],[Distrib]])</f>
        <v>05-2018</v>
      </c>
      <c r="AD132" s="258">
        <f>LstMachines[[#This Row],[DateLivr]]+Délai_Vente</f>
        <v>43355</v>
      </c>
      <c r="AE132" s="258" t="str">
        <f xml:space="preserve"> IF(MONTH(LstMachines[[#This Row],[VteESM]])&lt;10,"0","") &amp; MONTH(LstMachines[[#This Row],[VteESM]]) &amp; "-" &amp; YEAR(LstMachines[[#This Row],[VteESM]])</f>
        <v>09-2018</v>
      </c>
      <c r="AF132" s="258">
        <f>LstMachines[[#This Row],[DateLivr]]+Rglt_à_ESMTP</f>
        <v>43295</v>
      </c>
      <c r="AG132" s="258" t="str">
        <f xml:space="preserve"> IF(MONTH(LstMachines[[#This Row],[RgltDistrib]])&lt;10,"0","") &amp; MONTH(LstMachines[[#This Row],[RgltDistrib]]) &amp; "-" &amp; YEAR(LstMachines[[#This Row],[RgltDistrib]])</f>
        <v>07-2018</v>
      </c>
      <c r="AH132" s="258">
        <f>LstMachines[[#This Row],[VteESM]]+Rglt_à_ESMTP</f>
        <v>43415</v>
      </c>
      <c r="AI132" s="258" t="str">
        <f xml:space="preserve"> IF(MONTH(LstMachines[[#This Row],[RgltVteESM]])&lt;10,"0","") &amp; MONTH(LstMachines[[#This Row],[RgltVteESM]]) &amp; "-" &amp; YEAR(LstMachines[[#This Row],[RgltVteESM]])</f>
        <v>11-2018</v>
      </c>
      <c r="AJ132" s="140">
        <f>MONTH(LstMachines[[#This Row],[DatePaie]])</f>
        <v>7</v>
      </c>
      <c r="AK132" s="88" t="str">
        <f>FIXED(YEAR(LstMachines[[#This Row],[DatePaie]]),0,TRUE)</f>
        <v>2018</v>
      </c>
      <c r="AL132" s="140"/>
      <c r="AM132" s="414"/>
      <c r="AN132" s="92"/>
      <c r="AO132" s="92"/>
      <c r="AP132" s="92"/>
      <c r="AQ132" s="92"/>
      <c r="AR132" s="92"/>
      <c r="AS132" s="92"/>
      <c r="AT132" s="92"/>
      <c r="AU132" s="92"/>
      <c r="AV132" s="92"/>
      <c r="AW132" s="92"/>
      <c r="AX132" s="92"/>
      <c r="AY132" s="92"/>
      <c r="BA132" s="92"/>
      <c r="BC132" s="92"/>
      <c r="BD132" s="92"/>
      <c r="BE132" s="92"/>
    </row>
    <row r="133" spans="2:57" hidden="1">
      <c r="B133" s="243" t="s">
        <v>75</v>
      </c>
      <c r="C133" s="243" t="s">
        <v>36</v>
      </c>
      <c r="D133" s="245">
        <v>26</v>
      </c>
      <c r="E133" s="243" t="s">
        <v>361</v>
      </c>
      <c r="F133" s="89" t="s">
        <v>66</v>
      </c>
      <c r="G133" s="89" t="s">
        <v>106</v>
      </c>
      <c r="H133" s="246">
        <v>2</v>
      </c>
      <c r="I13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44</v>
      </c>
      <c r="J133" s="247">
        <v>43235</v>
      </c>
      <c r="K133" s="248" t="s">
        <v>463</v>
      </c>
      <c r="L133" s="398" t="s">
        <v>589</v>
      </c>
      <c r="M133" s="248"/>
      <c r="N133" s="249"/>
      <c r="O133" s="255">
        <f>MONTH(LstMachines[[#This Row],[Delivery]])</f>
        <v>5</v>
      </c>
      <c r="P133" s="256" t="str">
        <f>FIXED(YEAR(LstMachines[[#This Row],[Delivery]]),0,TRUE)</f>
        <v>2018</v>
      </c>
      <c r="Q133" s="250"/>
      <c r="R133" s="251"/>
      <c r="S133" s="249"/>
      <c r="T133" s="249"/>
      <c r="U133" s="249" t="s">
        <v>105</v>
      </c>
      <c r="V133" s="246"/>
      <c r="W133" s="248" t="s">
        <v>384</v>
      </c>
      <c r="X133" s="258">
        <f>LstMachines[[#This Row],[Delivery]]</f>
        <v>43235</v>
      </c>
      <c r="Y133" s="258" t="str">
        <f xml:space="preserve"> IF(MONTH(LstMachines[[#This Row],[DateLivr]])&lt;10,"0","") &amp; MONTH(LstMachines[[#This Row],[DateLivr]]) &amp;"-"&amp;YEAR(LstMachines[[#This Row],[DateLivr]])</f>
        <v>05-2018</v>
      </c>
      <c r="Z133" s="258">
        <f>LstMachines[[#This Row],[Delivery]]+Rglt_à_HCME</f>
        <v>43295</v>
      </c>
      <c r="AA133" s="258" t="str">
        <f xml:space="preserve"> IF(MONTH(LstMachines[[#This Row],[DatePaie]])&lt;10,"0","") &amp; MONTH(LstMachines[[#This Row],[DatePaie]])&amp;"-"&amp;YEAR(LstMachines[[#This Row],[DatePaie]])</f>
        <v>07-2018</v>
      </c>
      <c r="AB133" s="258">
        <f>LstMachines[[#This Row],[DateLivr]]+1</f>
        <v>43236</v>
      </c>
      <c r="AC133" s="258" t="str">
        <f xml:space="preserve"> IF(MONTH(LstMachines[[#This Row],[Distrib]])&lt;10,"0","") &amp; MONTH(LstMachines[[#This Row],[Distrib]]) &amp; "-" &amp; YEAR(LstMachines[[#This Row],[Distrib]])</f>
        <v>05-2018</v>
      </c>
      <c r="AD133" s="258">
        <f>LstMachines[[#This Row],[DateLivr]]+Délai_Vente</f>
        <v>43355</v>
      </c>
      <c r="AE133" s="258" t="str">
        <f xml:space="preserve"> IF(MONTH(LstMachines[[#This Row],[VteESM]])&lt;10,"0","") &amp; MONTH(LstMachines[[#This Row],[VteESM]]) &amp; "-" &amp; YEAR(LstMachines[[#This Row],[VteESM]])</f>
        <v>09-2018</v>
      </c>
      <c r="AF133" s="258">
        <f>LstMachines[[#This Row],[DateLivr]]+Rglt_à_ESMTP</f>
        <v>43295</v>
      </c>
      <c r="AG133" s="258" t="str">
        <f xml:space="preserve"> IF(MONTH(LstMachines[[#This Row],[RgltDistrib]])&lt;10,"0","") &amp; MONTH(LstMachines[[#This Row],[RgltDistrib]]) &amp; "-" &amp; YEAR(LstMachines[[#This Row],[RgltDistrib]])</f>
        <v>07-2018</v>
      </c>
      <c r="AH133" s="258">
        <f>LstMachines[[#This Row],[VteESM]]+Rglt_à_ESMTP</f>
        <v>43415</v>
      </c>
      <c r="AI133" s="258" t="str">
        <f xml:space="preserve"> IF(MONTH(LstMachines[[#This Row],[RgltVteESM]])&lt;10,"0","") &amp; MONTH(LstMachines[[#This Row],[RgltVteESM]]) &amp; "-" &amp; YEAR(LstMachines[[#This Row],[RgltVteESM]])</f>
        <v>11-2018</v>
      </c>
      <c r="AJ133" s="140">
        <f>MONTH(LstMachines[[#This Row],[DatePaie]])</f>
        <v>7</v>
      </c>
      <c r="AK133" s="88" t="str">
        <f>FIXED(YEAR(LstMachines[[#This Row],[DatePaie]]),0,TRUE)</f>
        <v>2018</v>
      </c>
      <c r="AL133" s="270"/>
      <c r="AM133" s="414"/>
      <c r="AN133" s="92"/>
      <c r="AO133" s="92"/>
      <c r="AP133" s="92"/>
      <c r="AQ133" s="92"/>
      <c r="AR133" s="92"/>
      <c r="AS133" s="92"/>
      <c r="AT133" s="92"/>
      <c r="AU133" s="92"/>
      <c r="AV133" s="92"/>
      <c r="AW133" s="92"/>
      <c r="AX133" s="92"/>
      <c r="AY133" s="92"/>
      <c r="BA133" s="92"/>
      <c r="BC133" s="92"/>
      <c r="BD133" s="92"/>
      <c r="BE133" s="92"/>
    </row>
    <row r="134" spans="2:57" hidden="1">
      <c r="B134" s="243" t="s">
        <v>75</v>
      </c>
      <c r="C134" s="243" t="s">
        <v>35</v>
      </c>
      <c r="D134" s="245">
        <v>19</v>
      </c>
      <c r="E134" s="243" t="s">
        <v>76</v>
      </c>
      <c r="F134" s="89" t="s">
        <v>66</v>
      </c>
      <c r="G134" s="89" t="s">
        <v>106</v>
      </c>
      <c r="H134" s="246">
        <v>1</v>
      </c>
      <c r="I13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134" s="247">
        <v>43235</v>
      </c>
      <c r="K134" s="248" t="s">
        <v>461</v>
      </c>
      <c r="L134" s="398" t="s">
        <v>589</v>
      </c>
      <c r="M134" s="248"/>
      <c r="N134" s="249"/>
      <c r="O134" s="255">
        <f>MONTH(LstMachines[[#This Row],[Delivery]])</f>
        <v>5</v>
      </c>
      <c r="P134" s="256" t="str">
        <f>FIXED(YEAR(LstMachines[[#This Row],[Delivery]]),0,TRUE)</f>
        <v>2018</v>
      </c>
      <c r="Q134" s="250"/>
      <c r="R134" s="251"/>
      <c r="S134" s="249"/>
      <c r="T134" s="249"/>
      <c r="U134" s="249" t="s">
        <v>105</v>
      </c>
      <c r="V134" s="246"/>
      <c r="W134" s="248" t="s">
        <v>384</v>
      </c>
      <c r="X134" s="258">
        <f>LstMachines[[#This Row],[Delivery]]</f>
        <v>43235</v>
      </c>
      <c r="Y134" s="258" t="str">
        <f xml:space="preserve"> IF(MONTH(LstMachines[[#This Row],[DateLivr]])&lt;10,"0","") &amp; MONTH(LstMachines[[#This Row],[DateLivr]]) &amp;"-"&amp;YEAR(LstMachines[[#This Row],[DateLivr]])</f>
        <v>05-2018</v>
      </c>
      <c r="Z134" s="258">
        <f>LstMachines[[#This Row],[Delivery]]+Rglt_à_HCME</f>
        <v>43295</v>
      </c>
      <c r="AA134" s="258" t="str">
        <f xml:space="preserve"> IF(MONTH(LstMachines[[#This Row],[DatePaie]])&lt;10,"0","") &amp; MONTH(LstMachines[[#This Row],[DatePaie]])&amp;"-"&amp;YEAR(LstMachines[[#This Row],[DatePaie]])</f>
        <v>07-2018</v>
      </c>
      <c r="AB134" s="258">
        <f>LstMachines[[#This Row],[DateLivr]]+1</f>
        <v>43236</v>
      </c>
      <c r="AC134" s="258" t="str">
        <f xml:space="preserve"> IF(MONTH(LstMachines[[#This Row],[Distrib]])&lt;10,"0","") &amp; MONTH(LstMachines[[#This Row],[Distrib]]) &amp; "-" &amp; YEAR(LstMachines[[#This Row],[Distrib]])</f>
        <v>05-2018</v>
      </c>
      <c r="AD134" s="258">
        <f>LstMachines[[#This Row],[DateLivr]]+Délai_Vente</f>
        <v>43355</v>
      </c>
      <c r="AE134" s="258" t="str">
        <f xml:space="preserve"> IF(MONTH(LstMachines[[#This Row],[VteESM]])&lt;10,"0","") &amp; MONTH(LstMachines[[#This Row],[VteESM]]) &amp; "-" &amp; YEAR(LstMachines[[#This Row],[VteESM]])</f>
        <v>09-2018</v>
      </c>
      <c r="AF134" s="258">
        <f>LstMachines[[#This Row],[DateLivr]]+Rglt_à_ESMTP</f>
        <v>43295</v>
      </c>
      <c r="AG134" s="258" t="str">
        <f xml:space="preserve"> IF(MONTH(LstMachines[[#This Row],[RgltDistrib]])&lt;10,"0","") &amp; MONTH(LstMachines[[#This Row],[RgltDistrib]]) &amp; "-" &amp; YEAR(LstMachines[[#This Row],[RgltDistrib]])</f>
        <v>07-2018</v>
      </c>
      <c r="AH134" s="258">
        <f>LstMachines[[#This Row],[VteESM]]+Rglt_à_ESMTP</f>
        <v>43415</v>
      </c>
      <c r="AI134" s="258" t="str">
        <f xml:space="preserve"> IF(MONTH(LstMachines[[#This Row],[RgltVteESM]])&lt;10,"0","") &amp; MONTH(LstMachines[[#This Row],[RgltVteESM]]) &amp; "-" &amp; YEAR(LstMachines[[#This Row],[RgltVteESM]])</f>
        <v>11-2018</v>
      </c>
      <c r="AJ134" s="140">
        <f>MONTH(LstMachines[[#This Row],[DatePaie]])</f>
        <v>7</v>
      </c>
      <c r="AK134" s="88" t="str">
        <f>FIXED(YEAR(LstMachines[[#This Row],[DatePaie]]),0,TRUE)</f>
        <v>2018</v>
      </c>
      <c r="AL134" s="270"/>
      <c r="AM134" s="414"/>
      <c r="AN134" s="92"/>
      <c r="AO134" s="92"/>
      <c r="AP134" s="92"/>
      <c r="AQ134" s="92"/>
      <c r="AR134" s="92"/>
      <c r="AS134" s="92"/>
      <c r="AT134" s="92"/>
      <c r="AU134" s="92"/>
      <c r="AV134" s="92"/>
      <c r="AW134" s="92"/>
      <c r="AX134" s="92"/>
      <c r="AY134" s="92"/>
      <c r="BA134" s="92"/>
      <c r="BC134" s="92"/>
      <c r="BD134" s="92"/>
      <c r="BE134" s="92"/>
    </row>
    <row r="135" spans="2:57" hidden="1">
      <c r="B135" s="104" t="s">
        <v>262</v>
      </c>
      <c r="C135" s="104" t="s">
        <v>43</v>
      </c>
      <c r="D135" s="87">
        <v>210</v>
      </c>
      <c r="E135" s="86"/>
      <c r="F135" s="87" t="s">
        <v>67</v>
      </c>
      <c r="G135" s="87" t="s">
        <v>107</v>
      </c>
      <c r="H135" s="89">
        <v>1</v>
      </c>
      <c r="I13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118</v>
      </c>
      <c r="J135" s="88">
        <v>43266</v>
      </c>
      <c r="K135" s="99" t="s">
        <v>461</v>
      </c>
      <c r="L135" s="85" t="s">
        <v>390</v>
      </c>
      <c r="M135" s="99"/>
      <c r="N135" s="90"/>
      <c r="O135" s="255">
        <f>MONTH(LstMachines[[#This Row],[Delivery]])</f>
        <v>6</v>
      </c>
      <c r="P135" s="256" t="str">
        <f>FIXED(YEAR(LstMachines[[#This Row],[Delivery]]),0,TRUE)</f>
        <v>2018</v>
      </c>
      <c r="Q135" s="73"/>
      <c r="R135" s="93"/>
      <c r="S135" s="90"/>
      <c r="T135" s="90"/>
      <c r="U135" s="90" t="s">
        <v>105</v>
      </c>
      <c r="V135" s="72"/>
      <c r="W135" s="99" t="s">
        <v>384</v>
      </c>
      <c r="X135" s="258">
        <f>LstMachines[[#This Row],[Delivery]]</f>
        <v>43266</v>
      </c>
      <c r="Y135" s="258" t="str">
        <f xml:space="preserve"> IF(MONTH(LstMachines[[#This Row],[DateLivr]])&lt;10,"0","") &amp; MONTH(LstMachines[[#This Row],[DateLivr]]) &amp;"-"&amp;YEAR(LstMachines[[#This Row],[DateLivr]])</f>
        <v>06-2018</v>
      </c>
      <c r="Z135" s="258">
        <f>LstMachines[[#This Row],[Delivery]]+Rglt_à_HCME</f>
        <v>43326</v>
      </c>
      <c r="AA135" s="258" t="str">
        <f xml:space="preserve"> IF(MONTH(LstMachines[[#This Row],[DatePaie]])&lt;10,"0","") &amp; MONTH(LstMachines[[#This Row],[DatePaie]])&amp;"-"&amp;YEAR(LstMachines[[#This Row],[DatePaie]])</f>
        <v>08-2018</v>
      </c>
      <c r="AB135" s="258">
        <f>LstMachines[[#This Row],[DateLivr]]+1</f>
        <v>43267</v>
      </c>
      <c r="AC135" s="258" t="str">
        <f xml:space="preserve"> IF(MONTH(LstMachines[[#This Row],[Distrib]])&lt;10,"0","") &amp; MONTH(LstMachines[[#This Row],[Distrib]]) &amp; "-" &amp; YEAR(LstMachines[[#This Row],[Distrib]])</f>
        <v>06-2018</v>
      </c>
      <c r="AD135" s="258">
        <f>LstMachines[[#This Row],[DateLivr]]+Délai_Vente</f>
        <v>43386</v>
      </c>
      <c r="AE135" s="258" t="str">
        <f xml:space="preserve"> IF(MONTH(LstMachines[[#This Row],[VteESM]])&lt;10,"0","") &amp; MONTH(LstMachines[[#This Row],[VteESM]]) &amp; "-" &amp; YEAR(LstMachines[[#This Row],[VteESM]])</f>
        <v>10-2018</v>
      </c>
      <c r="AF135" s="258">
        <f>LstMachines[[#This Row],[DateLivr]]+Rglt_à_ESMTP</f>
        <v>43326</v>
      </c>
      <c r="AG135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35" s="258">
        <f>LstMachines[[#This Row],[VteESM]]+Rglt_à_ESMTP</f>
        <v>43446</v>
      </c>
      <c r="AI135" s="258" t="str">
        <f xml:space="preserve"> IF(MONTH(LstMachines[[#This Row],[RgltVteESM]])&lt;10,"0","") &amp; MONTH(LstMachines[[#This Row],[RgltVteESM]]) &amp; "-" &amp; YEAR(LstMachines[[#This Row],[RgltVteESM]])</f>
        <v>12-2018</v>
      </c>
      <c r="AJ135" s="140">
        <f>MONTH(LstMachines[[#This Row],[DatePaie]])</f>
        <v>8</v>
      </c>
      <c r="AK135" s="88" t="str">
        <f>FIXED(YEAR(LstMachines[[#This Row],[DatePaie]]),0,TRUE)</f>
        <v>2018</v>
      </c>
      <c r="AL135" s="140"/>
      <c r="AM135" s="414"/>
      <c r="AN135" s="92"/>
      <c r="AO135" s="92"/>
      <c r="AP135" s="92"/>
      <c r="AQ135" s="92"/>
      <c r="AR135" s="92"/>
      <c r="AS135" s="92"/>
      <c r="AT135" s="92"/>
      <c r="AU135" s="92"/>
      <c r="AV135" s="92"/>
      <c r="AW135" s="92"/>
      <c r="AX135" s="92"/>
      <c r="AY135" s="92"/>
      <c r="BA135" s="92"/>
      <c r="BC135" s="92"/>
      <c r="BD135" s="92"/>
      <c r="BE135" s="92"/>
    </row>
    <row r="136" spans="2:57" hidden="1">
      <c r="B136" s="104" t="s">
        <v>75</v>
      </c>
      <c r="C136" s="104" t="s">
        <v>36</v>
      </c>
      <c r="D136" s="87">
        <v>26</v>
      </c>
      <c r="E136" s="86"/>
      <c r="F136" s="87" t="s">
        <v>67</v>
      </c>
      <c r="G136" s="87" t="s">
        <v>107</v>
      </c>
      <c r="H136" s="89">
        <v>1</v>
      </c>
      <c r="I13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136" s="88">
        <v>43266</v>
      </c>
      <c r="K136" s="99" t="s">
        <v>461</v>
      </c>
      <c r="L136" s="85" t="s">
        <v>390</v>
      </c>
      <c r="M136" s="99"/>
      <c r="N136" s="90"/>
      <c r="O136" s="255">
        <f>MONTH(LstMachines[[#This Row],[Delivery]])</f>
        <v>6</v>
      </c>
      <c r="P136" s="256" t="str">
        <f>FIXED(YEAR(LstMachines[[#This Row],[Delivery]]),0,TRUE)</f>
        <v>2018</v>
      </c>
      <c r="Q136" s="73"/>
      <c r="R136" s="93"/>
      <c r="S136" s="90"/>
      <c r="T136" s="90"/>
      <c r="U136" s="90" t="s">
        <v>105</v>
      </c>
      <c r="V136" s="72"/>
      <c r="W136" s="99" t="s">
        <v>384</v>
      </c>
      <c r="X136" s="258">
        <f>LstMachines[[#This Row],[Delivery]]</f>
        <v>43266</v>
      </c>
      <c r="Y136" s="258" t="str">
        <f xml:space="preserve"> IF(MONTH(LstMachines[[#This Row],[DateLivr]])&lt;10,"0","") &amp; MONTH(LstMachines[[#This Row],[DateLivr]]) &amp;"-"&amp;YEAR(LstMachines[[#This Row],[DateLivr]])</f>
        <v>06-2018</v>
      </c>
      <c r="Z136" s="258">
        <f>LstMachines[[#This Row],[Delivery]]+Rglt_à_HCME</f>
        <v>43326</v>
      </c>
      <c r="AA136" s="258" t="str">
        <f xml:space="preserve"> IF(MONTH(LstMachines[[#This Row],[DatePaie]])&lt;10,"0","") &amp; MONTH(LstMachines[[#This Row],[DatePaie]])&amp;"-"&amp;YEAR(LstMachines[[#This Row],[DatePaie]])</f>
        <v>08-2018</v>
      </c>
      <c r="AB136" s="258">
        <f>LstMachines[[#This Row],[DateLivr]]+1</f>
        <v>43267</v>
      </c>
      <c r="AC136" s="258" t="str">
        <f xml:space="preserve"> IF(MONTH(LstMachines[[#This Row],[Distrib]])&lt;10,"0","") &amp; MONTH(LstMachines[[#This Row],[Distrib]]) &amp; "-" &amp; YEAR(LstMachines[[#This Row],[Distrib]])</f>
        <v>06-2018</v>
      </c>
      <c r="AD136" s="258">
        <f>LstMachines[[#This Row],[DateLivr]]+Délai_Vente</f>
        <v>43386</v>
      </c>
      <c r="AE136" s="258" t="str">
        <f xml:space="preserve"> IF(MONTH(LstMachines[[#This Row],[VteESM]])&lt;10,"0","") &amp; MONTH(LstMachines[[#This Row],[VteESM]]) &amp; "-" &amp; YEAR(LstMachines[[#This Row],[VteESM]])</f>
        <v>10-2018</v>
      </c>
      <c r="AF136" s="258">
        <f>LstMachines[[#This Row],[DateLivr]]+Rglt_à_ESMTP</f>
        <v>43326</v>
      </c>
      <c r="AG136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36" s="258">
        <f>LstMachines[[#This Row],[VteESM]]+Rglt_à_ESMTP</f>
        <v>43446</v>
      </c>
      <c r="AI136" s="258" t="str">
        <f xml:space="preserve"> IF(MONTH(LstMachines[[#This Row],[RgltVteESM]])&lt;10,"0","") &amp; MONTH(LstMachines[[#This Row],[RgltVteESM]]) &amp; "-" &amp; YEAR(LstMachines[[#This Row],[RgltVteESM]])</f>
        <v>12-2018</v>
      </c>
      <c r="AJ136" s="140">
        <f>MONTH(LstMachines[[#This Row],[DatePaie]])</f>
        <v>8</v>
      </c>
      <c r="AK136" s="88" t="str">
        <f>FIXED(YEAR(LstMachines[[#This Row],[DatePaie]]),0,TRUE)</f>
        <v>2018</v>
      </c>
      <c r="AL136" s="140"/>
      <c r="AM136" s="414"/>
      <c r="AN136" s="92"/>
      <c r="AO136" s="92"/>
      <c r="AP136" s="92"/>
      <c r="AQ136" s="92"/>
      <c r="AR136" s="92"/>
      <c r="AS136" s="92"/>
      <c r="AT136" s="92"/>
      <c r="AU136" s="92"/>
      <c r="AV136" s="92"/>
      <c r="AW136" s="92"/>
      <c r="AX136" s="92"/>
      <c r="AY136" s="92"/>
      <c r="BA136" s="92"/>
      <c r="BC136" s="92"/>
      <c r="BD136" s="92"/>
      <c r="BE136" s="92"/>
    </row>
    <row r="137" spans="2:57" hidden="1">
      <c r="B137" s="104" t="s">
        <v>75</v>
      </c>
      <c r="C137" s="104" t="s">
        <v>37</v>
      </c>
      <c r="D137" s="87">
        <v>48</v>
      </c>
      <c r="E137" s="86"/>
      <c r="F137" s="87" t="s">
        <v>67</v>
      </c>
      <c r="G137" s="87" t="s">
        <v>107</v>
      </c>
      <c r="H137" s="89">
        <v>1</v>
      </c>
      <c r="I13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41</v>
      </c>
      <c r="J137" s="88">
        <v>43266</v>
      </c>
      <c r="K137" s="99" t="s">
        <v>461</v>
      </c>
      <c r="L137" s="85" t="s">
        <v>390</v>
      </c>
      <c r="M137" s="99"/>
      <c r="N137" s="90"/>
      <c r="O137" s="255">
        <f>MONTH(LstMachines[[#This Row],[Delivery]])</f>
        <v>6</v>
      </c>
      <c r="P137" s="256" t="str">
        <f>FIXED(YEAR(LstMachines[[#This Row],[Delivery]]),0,TRUE)</f>
        <v>2018</v>
      </c>
      <c r="Q137" s="73"/>
      <c r="R137" s="93"/>
      <c r="S137" s="90"/>
      <c r="T137" s="90"/>
      <c r="U137" s="90" t="s">
        <v>105</v>
      </c>
      <c r="V137" s="72"/>
      <c r="W137" s="99" t="s">
        <v>384</v>
      </c>
      <c r="X137" s="258">
        <f>LstMachines[[#This Row],[Delivery]]</f>
        <v>43266</v>
      </c>
      <c r="Y137" s="258" t="str">
        <f xml:space="preserve"> IF(MONTH(LstMachines[[#This Row],[DateLivr]])&lt;10,"0","") &amp; MONTH(LstMachines[[#This Row],[DateLivr]]) &amp;"-"&amp;YEAR(LstMachines[[#This Row],[DateLivr]])</f>
        <v>06-2018</v>
      </c>
      <c r="Z137" s="258">
        <f>LstMachines[[#This Row],[Delivery]]+Rglt_à_HCME</f>
        <v>43326</v>
      </c>
      <c r="AA137" s="258" t="str">
        <f xml:space="preserve"> IF(MONTH(LstMachines[[#This Row],[DatePaie]])&lt;10,"0","") &amp; MONTH(LstMachines[[#This Row],[DatePaie]])&amp;"-"&amp;YEAR(LstMachines[[#This Row],[DatePaie]])</f>
        <v>08-2018</v>
      </c>
      <c r="AB137" s="258">
        <f>LstMachines[[#This Row],[DateLivr]]+1</f>
        <v>43267</v>
      </c>
      <c r="AC137" s="258" t="str">
        <f xml:space="preserve"> IF(MONTH(LstMachines[[#This Row],[Distrib]])&lt;10,"0","") &amp; MONTH(LstMachines[[#This Row],[Distrib]]) &amp; "-" &amp; YEAR(LstMachines[[#This Row],[Distrib]])</f>
        <v>06-2018</v>
      </c>
      <c r="AD137" s="258">
        <f>LstMachines[[#This Row],[DateLivr]]+Délai_Vente</f>
        <v>43386</v>
      </c>
      <c r="AE137" s="258" t="str">
        <f xml:space="preserve"> IF(MONTH(LstMachines[[#This Row],[VteESM]])&lt;10,"0","") &amp; MONTH(LstMachines[[#This Row],[VteESM]]) &amp; "-" &amp; YEAR(LstMachines[[#This Row],[VteESM]])</f>
        <v>10-2018</v>
      </c>
      <c r="AF137" s="258">
        <f>LstMachines[[#This Row],[DateLivr]]+Rglt_à_ESMTP</f>
        <v>43326</v>
      </c>
      <c r="AG137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37" s="258">
        <f>LstMachines[[#This Row],[VteESM]]+Rglt_à_ESMTP</f>
        <v>43446</v>
      </c>
      <c r="AI137" s="258" t="str">
        <f xml:space="preserve"> IF(MONTH(LstMachines[[#This Row],[RgltVteESM]])&lt;10,"0","") &amp; MONTH(LstMachines[[#This Row],[RgltVteESM]]) &amp; "-" &amp; YEAR(LstMachines[[#This Row],[RgltVteESM]])</f>
        <v>12-2018</v>
      </c>
      <c r="AJ137" s="140">
        <f>MONTH(LstMachines[[#This Row],[DatePaie]])</f>
        <v>8</v>
      </c>
      <c r="AK137" s="88" t="str">
        <f>FIXED(YEAR(LstMachines[[#This Row],[DatePaie]]),0,TRUE)</f>
        <v>2018</v>
      </c>
      <c r="AL137" s="140"/>
      <c r="AM137" s="414"/>
      <c r="AN137" s="92"/>
      <c r="AO137" s="92"/>
      <c r="AP137" s="92"/>
      <c r="AQ137" s="92"/>
      <c r="AR137" s="92"/>
      <c r="AS137" s="92"/>
      <c r="AT137" s="92"/>
      <c r="AU137" s="92"/>
      <c r="AV137" s="92"/>
      <c r="AW137" s="92"/>
      <c r="AX137" s="92"/>
      <c r="AY137" s="92"/>
      <c r="BA137" s="92"/>
      <c r="BC137" s="92"/>
      <c r="BD137" s="92"/>
      <c r="BE137" s="92"/>
    </row>
    <row r="138" spans="2:57" hidden="1">
      <c r="B138" s="104" t="s">
        <v>75</v>
      </c>
      <c r="C138" s="104" t="s">
        <v>38</v>
      </c>
      <c r="D138" s="87">
        <v>65</v>
      </c>
      <c r="E138" s="86"/>
      <c r="F138" s="87" t="s">
        <v>67</v>
      </c>
      <c r="G138" s="87" t="s">
        <v>107</v>
      </c>
      <c r="H138" s="89">
        <v>2</v>
      </c>
      <c r="I13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90</v>
      </c>
      <c r="J138" s="88">
        <v>43266</v>
      </c>
      <c r="K138" s="99" t="s">
        <v>461</v>
      </c>
      <c r="L138" s="85" t="s">
        <v>390</v>
      </c>
      <c r="M138" s="99"/>
      <c r="N138" s="90"/>
      <c r="O138" s="255">
        <f>MONTH(LstMachines[[#This Row],[Delivery]])</f>
        <v>6</v>
      </c>
      <c r="P138" s="256" t="str">
        <f>FIXED(YEAR(LstMachines[[#This Row],[Delivery]]),0,TRUE)</f>
        <v>2018</v>
      </c>
      <c r="Q138" s="73"/>
      <c r="R138" s="93"/>
      <c r="S138" s="90"/>
      <c r="T138" s="90"/>
      <c r="U138" s="90" t="s">
        <v>105</v>
      </c>
      <c r="V138" s="72"/>
      <c r="W138" s="99" t="s">
        <v>384</v>
      </c>
      <c r="X138" s="258">
        <f>LstMachines[[#This Row],[Delivery]]</f>
        <v>43266</v>
      </c>
      <c r="Y138" s="258" t="str">
        <f xml:space="preserve"> IF(MONTH(LstMachines[[#This Row],[DateLivr]])&lt;10,"0","") &amp; MONTH(LstMachines[[#This Row],[DateLivr]]) &amp;"-"&amp;YEAR(LstMachines[[#This Row],[DateLivr]])</f>
        <v>06-2018</v>
      </c>
      <c r="Z138" s="258">
        <f>LstMachines[[#This Row],[Delivery]]+Rglt_à_HCME</f>
        <v>43326</v>
      </c>
      <c r="AA138" s="258" t="str">
        <f xml:space="preserve"> IF(MONTH(LstMachines[[#This Row],[DatePaie]])&lt;10,"0","") &amp; MONTH(LstMachines[[#This Row],[DatePaie]])&amp;"-"&amp;YEAR(LstMachines[[#This Row],[DatePaie]])</f>
        <v>08-2018</v>
      </c>
      <c r="AB138" s="258">
        <f>LstMachines[[#This Row],[DateLivr]]+1</f>
        <v>43267</v>
      </c>
      <c r="AC138" s="258" t="str">
        <f xml:space="preserve"> IF(MONTH(LstMachines[[#This Row],[Distrib]])&lt;10,"0","") &amp; MONTH(LstMachines[[#This Row],[Distrib]]) &amp; "-" &amp; YEAR(LstMachines[[#This Row],[Distrib]])</f>
        <v>06-2018</v>
      </c>
      <c r="AD138" s="258">
        <f>LstMachines[[#This Row],[DateLivr]]+Délai_Vente</f>
        <v>43386</v>
      </c>
      <c r="AE138" s="258" t="str">
        <f xml:space="preserve"> IF(MONTH(LstMachines[[#This Row],[VteESM]])&lt;10,"0","") &amp; MONTH(LstMachines[[#This Row],[VteESM]]) &amp; "-" &amp; YEAR(LstMachines[[#This Row],[VteESM]])</f>
        <v>10-2018</v>
      </c>
      <c r="AF138" s="258">
        <f>LstMachines[[#This Row],[DateLivr]]+Rglt_à_ESMTP</f>
        <v>43326</v>
      </c>
      <c r="AG138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38" s="258">
        <f>LstMachines[[#This Row],[VteESM]]+Rglt_à_ESMTP</f>
        <v>43446</v>
      </c>
      <c r="AI138" s="258" t="str">
        <f xml:space="preserve"> IF(MONTH(LstMachines[[#This Row],[RgltVteESM]])&lt;10,"0","") &amp; MONTH(LstMachines[[#This Row],[RgltVteESM]]) &amp; "-" &amp; YEAR(LstMachines[[#This Row],[RgltVteESM]])</f>
        <v>12-2018</v>
      </c>
      <c r="AJ138" s="140">
        <f>MONTH(LstMachines[[#This Row],[DatePaie]])</f>
        <v>8</v>
      </c>
      <c r="AK138" s="88" t="str">
        <f>FIXED(YEAR(LstMachines[[#This Row],[DatePaie]]),0,TRUE)</f>
        <v>2018</v>
      </c>
      <c r="AL138" s="140"/>
      <c r="AM138" s="414"/>
      <c r="AN138" s="92"/>
      <c r="AO138" s="92"/>
      <c r="AP138" s="92"/>
      <c r="AQ138" s="92"/>
      <c r="AR138" s="92"/>
      <c r="AS138" s="92"/>
      <c r="AT138" s="92"/>
      <c r="AU138" s="92"/>
      <c r="AV138" s="92"/>
      <c r="AW138" s="92"/>
      <c r="AX138" s="92"/>
      <c r="AY138" s="92"/>
      <c r="BA138" s="92"/>
      <c r="BC138" s="92"/>
      <c r="BD138" s="92"/>
      <c r="BE138" s="92"/>
    </row>
    <row r="139" spans="2:57" hidden="1">
      <c r="B139" s="104" t="s">
        <v>262</v>
      </c>
      <c r="C139" s="104" t="s">
        <v>40</v>
      </c>
      <c r="D139" s="87">
        <v>135</v>
      </c>
      <c r="E139" s="86"/>
      <c r="F139" s="87" t="s">
        <v>67</v>
      </c>
      <c r="G139" s="87" t="s">
        <v>107</v>
      </c>
      <c r="H139" s="89">
        <v>1</v>
      </c>
      <c r="I13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139" s="88">
        <v>43266</v>
      </c>
      <c r="K139" s="99" t="s">
        <v>461</v>
      </c>
      <c r="L139" s="85" t="s">
        <v>390</v>
      </c>
      <c r="M139" s="99"/>
      <c r="N139" s="90"/>
      <c r="O139" s="255">
        <f>MONTH(LstMachines[[#This Row],[Delivery]])</f>
        <v>6</v>
      </c>
      <c r="P139" s="256" t="str">
        <f>FIXED(YEAR(LstMachines[[#This Row],[Delivery]]),0,TRUE)</f>
        <v>2018</v>
      </c>
      <c r="Q139" s="73"/>
      <c r="R139" s="93"/>
      <c r="S139" s="90"/>
      <c r="T139" s="90"/>
      <c r="U139" s="90" t="s">
        <v>105</v>
      </c>
      <c r="V139" s="72"/>
      <c r="W139" s="99" t="s">
        <v>384</v>
      </c>
      <c r="X139" s="258">
        <f>LstMachines[[#This Row],[Delivery]]</f>
        <v>43266</v>
      </c>
      <c r="Y139" s="258" t="str">
        <f xml:space="preserve"> IF(MONTH(LstMachines[[#This Row],[DateLivr]])&lt;10,"0","") &amp; MONTH(LstMachines[[#This Row],[DateLivr]]) &amp;"-"&amp;YEAR(LstMachines[[#This Row],[DateLivr]])</f>
        <v>06-2018</v>
      </c>
      <c r="Z139" s="258">
        <f>LstMachines[[#This Row],[Delivery]]+Rglt_à_HCME</f>
        <v>43326</v>
      </c>
      <c r="AA139" s="258" t="str">
        <f xml:space="preserve"> IF(MONTH(LstMachines[[#This Row],[DatePaie]])&lt;10,"0","") &amp; MONTH(LstMachines[[#This Row],[DatePaie]])&amp;"-"&amp;YEAR(LstMachines[[#This Row],[DatePaie]])</f>
        <v>08-2018</v>
      </c>
      <c r="AB139" s="258">
        <f>LstMachines[[#This Row],[DateLivr]]+1</f>
        <v>43267</v>
      </c>
      <c r="AC139" s="258" t="str">
        <f xml:space="preserve"> IF(MONTH(LstMachines[[#This Row],[Distrib]])&lt;10,"0","") &amp; MONTH(LstMachines[[#This Row],[Distrib]]) &amp; "-" &amp; YEAR(LstMachines[[#This Row],[Distrib]])</f>
        <v>06-2018</v>
      </c>
      <c r="AD139" s="258">
        <f>LstMachines[[#This Row],[DateLivr]]+Délai_Vente</f>
        <v>43386</v>
      </c>
      <c r="AE139" s="258" t="str">
        <f xml:space="preserve"> IF(MONTH(LstMachines[[#This Row],[VteESM]])&lt;10,"0","") &amp; MONTH(LstMachines[[#This Row],[VteESM]]) &amp; "-" &amp; YEAR(LstMachines[[#This Row],[VteESM]])</f>
        <v>10-2018</v>
      </c>
      <c r="AF139" s="258">
        <f>LstMachines[[#This Row],[DateLivr]]+Rglt_à_ESMTP</f>
        <v>43326</v>
      </c>
      <c r="AG139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39" s="258">
        <f>LstMachines[[#This Row],[VteESM]]+Rglt_à_ESMTP</f>
        <v>43446</v>
      </c>
      <c r="AI139" s="258" t="str">
        <f xml:space="preserve"> IF(MONTH(LstMachines[[#This Row],[RgltVteESM]])&lt;10,"0","") &amp; MONTH(LstMachines[[#This Row],[RgltVteESM]]) &amp; "-" &amp; YEAR(LstMachines[[#This Row],[RgltVteESM]])</f>
        <v>12-2018</v>
      </c>
      <c r="AJ139" s="140">
        <f>MONTH(LstMachines[[#This Row],[DatePaie]])</f>
        <v>8</v>
      </c>
      <c r="AK139" s="88" t="str">
        <f>FIXED(YEAR(LstMachines[[#This Row],[DatePaie]]),0,TRUE)</f>
        <v>2018</v>
      </c>
      <c r="AL139" s="140"/>
      <c r="AM139" s="414"/>
      <c r="AN139" s="92"/>
      <c r="AO139" s="92"/>
      <c r="AP139" s="92"/>
      <c r="AQ139" s="92"/>
      <c r="AR139" s="92"/>
      <c r="AS139" s="92"/>
      <c r="AT139" s="92"/>
      <c r="AU139" s="92"/>
      <c r="AV139" s="92"/>
      <c r="AW139" s="92"/>
      <c r="AX139" s="92"/>
      <c r="AY139" s="92"/>
      <c r="BA139" s="92"/>
      <c r="BC139" s="92"/>
      <c r="BD139" s="92"/>
      <c r="BE139" s="92"/>
    </row>
    <row r="140" spans="2:57" hidden="1">
      <c r="B140" s="104" t="s">
        <v>262</v>
      </c>
      <c r="C140" s="104" t="s">
        <v>46</v>
      </c>
      <c r="D140" s="87">
        <v>350</v>
      </c>
      <c r="E140" s="86"/>
      <c r="F140" s="87" t="s">
        <v>67</v>
      </c>
      <c r="G140" s="87" t="s">
        <v>107</v>
      </c>
      <c r="H140" s="89">
        <v>1</v>
      </c>
      <c r="I14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188</v>
      </c>
      <c r="J140" s="88">
        <v>43266</v>
      </c>
      <c r="K140" s="99" t="s">
        <v>461</v>
      </c>
      <c r="L140" s="85" t="s">
        <v>390</v>
      </c>
      <c r="M140" s="99"/>
      <c r="N140" s="90"/>
      <c r="O140" s="255">
        <f>MONTH(LstMachines[[#This Row],[Delivery]])</f>
        <v>6</v>
      </c>
      <c r="P140" s="256" t="str">
        <f>FIXED(YEAR(LstMachines[[#This Row],[Delivery]]),0,TRUE)</f>
        <v>2018</v>
      </c>
      <c r="Q140" s="73"/>
      <c r="R140" s="93"/>
      <c r="S140" s="90"/>
      <c r="T140" s="90"/>
      <c r="U140" s="90" t="s">
        <v>105</v>
      </c>
      <c r="V140" s="72"/>
      <c r="W140" s="99" t="s">
        <v>384</v>
      </c>
      <c r="X140" s="258">
        <f>LstMachines[[#This Row],[Delivery]]</f>
        <v>43266</v>
      </c>
      <c r="Y140" s="258" t="str">
        <f xml:space="preserve"> IF(MONTH(LstMachines[[#This Row],[DateLivr]])&lt;10,"0","") &amp; MONTH(LstMachines[[#This Row],[DateLivr]]) &amp;"-"&amp;YEAR(LstMachines[[#This Row],[DateLivr]])</f>
        <v>06-2018</v>
      </c>
      <c r="Z140" s="258">
        <f>LstMachines[[#This Row],[Delivery]]+Rglt_à_HCME</f>
        <v>43326</v>
      </c>
      <c r="AA140" s="258" t="str">
        <f xml:space="preserve"> IF(MONTH(LstMachines[[#This Row],[DatePaie]])&lt;10,"0","") &amp; MONTH(LstMachines[[#This Row],[DatePaie]])&amp;"-"&amp;YEAR(LstMachines[[#This Row],[DatePaie]])</f>
        <v>08-2018</v>
      </c>
      <c r="AB140" s="258">
        <f>LstMachines[[#This Row],[DateLivr]]+1</f>
        <v>43267</v>
      </c>
      <c r="AC140" s="258" t="str">
        <f xml:space="preserve"> IF(MONTH(LstMachines[[#This Row],[Distrib]])&lt;10,"0","") &amp; MONTH(LstMachines[[#This Row],[Distrib]]) &amp; "-" &amp; YEAR(LstMachines[[#This Row],[Distrib]])</f>
        <v>06-2018</v>
      </c>
      <c r="AD140" s="258">
        <f>LstMachines[[#This Row],[DateLivr]]+Délai_Vente</f>
        <v>43386</v>
      </c>
      <c r="AE140" s="258" t="str">
        <f xml:space="preserve"> IF(MONTH(LstMachines[[#This Row],[VteESM]])&lt;10,"0","") &amp; MONTH(LstMachines[[#This Row],[VteESM]]) &amp; "-" &amp; YEAR(LstMachines[[#This Row],[VteESM]])</f>
        <v>10-2018</v>
      </c>
      <c r="AF140" s="258">
        <f>LstMachines[[#This Row],[DateLivr]]+Rglt_à_ESMTP</f>
        <v>43326</v>
      </c>
      <c r="AG140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40" s="258">
        <f>LstMachines[[#This Row],[VteESM]]+Rglt_à_ESMTP</f>
        <v>43446</v>
      </c>
      <c r="AI140" s="258" t="str">
        <f xml:space="preserve"> IF(MONTH(LstMachines[[#This Row],[RgltVteESM]])&lt;10,"0","") &amp; MONTH(LstMachines[[#This Row],[RgltVteESM]]) &amp; "-" &amp; YEAR(LstMachines[[#This Row],[RgltVteESM]])</f>
        <v>12-2018</v>
      </c>
      <c r="AJ140" s="140">
        <f>MONTH(LstMachines[[#This Row],[DatePaie]])</f>
        <v>8</v>
      </c>
      <c r="AK140" s="88" t="str">
        <f>FIXED(YEAR(LstMachines[[#This Row],[DatePaie]]),0,TRUE)</f>
        <v>2018</v>
      </c>
      <c r="AL140" s="140"/>
      <c r="AM140" s="414"/>
      <c r="AN140" s="92"/>
      <c r="AO140" s="92"/>
      <c r="AP140" s="92"/>
      <c r="AQ140" s="92"/>
      <c r="AR140" s="92"/>
      <c r="AS140" s="92"/>
      <c r="AT140" s="92"/>
      <c r="AU140" s="92"/>
      <c r="AV140" s="92"/>
      <c r="AW140" s="92"/>
      <c r="AX140" s="92"/>
      <c r="AY140" s="92"/>
      <c r="BA140" s="92"/>
      <c r="BC140" s="92"/>
      <c r="BD140" s="92"/>
      <c r="BE140" s="92"/>
    </row>
    <row r="141" spans="2:57" hidden="1">
      <c r="B141" s="194" t="s">
        <v>75</v>
      </c>
      <c r="C141" s="194" t="s">
        <v>35</v>
      </c>
      <c r="D141" s="195">
        <v>19</v>
      </c>
      <c r="E141" s="194" t="s">
        <v>76</v>
      </c>
      <c r="F141" s="204" t="s">
        <v>468</v>
      </c>
      <c r="G141" s="204" t="s">
        <v>469</v>
      </c>
      <c r="H141" s="246">
        <v>1</v>
      </c>
      <c r="I14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141" s="88">
        <v>43266</v>
      </c>
      <c r="K141" s="139" t="s">
        <v>461</v>
      </c>
      <c r="L141" s="198" t="s">
        <v>470</v>
      </c>
      <c r="M141" s="139"/>
      <c r="N141" s="197"/>
      <c r="O141" s="255">
        <f>MONTH(LstMachines[[#This Row],[Delivery]])</f>
        <v>6</v>
      </c>
      <c r="P141" s="256" t="str">
        <f>FIXED(YEAR(LstMachines[[#This Row],[Delivery]]),0,TRUE)</f>
        <v>2018</v>
      </c>
      <c r="Q141" s="205"/>
      <c r="R141" s="241"/>
      <c r="S141" s="197"/>
      <c r="T141" s="197"/>
      <c r="U141" s="197"/>
      <c r="V141" s="193"/>
      <c r="W141" s="139"/>
      <c r="X141" s="258">
        <f>LstMachines[[#This Row],[Delivery]]</f>
        <v>43266</v>
      </c>
      <c r="Y141" s="258" t="str">
        <f xml:space="preserve"> IF(MONTH(LstMachines[[#This Row],[DateLivr]])&lt;10,"0","") &amp; MONTH(LstMachines[[#This Row],[DateLivr]]) &amp;"-"&amp;YEAR(LstMachines[[#This Row],[DateLivr]])</f>
        <v>06-2018</v>
      </c>
      <c r="Z141" s="258">
        <f>LstMachines[[#This Row],[Delivery]]+Rglt_à_HCME</f>
        <v>43326</v>
      </c>
      <c r="AA141" s="258" t="str">
        <f xml:space="preserve"> IF(MONTH(LstMachines[[#This Row],[DatePaie]])&lt;10,"0","") &amp; MONTH(LstMachines[[#This Row],[DatePaie]])&amp;"-"&amp;YEAR(LstMachines[[#This Row],[DatePaie]])</f>
        <v>08-2018</v>
      </c>
      <c r="AB141" s="258">
        <f>LstMachines[[#This Row],[DateLivr]]+1</f>
        <v>43267</v>
      </c>
      <c r="AC141" s="258" t="str">
        <f xml:space="preserve"> IF(MONTH(LstMachines[[#This Row],[Distrib]])&lt;10,"0","") &amp; MONTH(LstMachines[[#This Row],[Distrib]]) &amp; "-" &amp; YEAR(LstMachines[[#This Row],[Distrib]])</f>
        <v>06-2018</v>
      </c>
      <c r="AD141" s="258">
        <f>LstMachines[[#This Row],[DateLivr]]+Délai_Vente</f>
        <v>43386</v>
      </c>
      <c r="AE141" s="258" t="str">
        <f xml:space="preserve"> IF(MONTH(LstMachines[[#This Row],[VteESM]])&lt;10,"0","") &amp; MONTH(LstMachines[[#This Row],[VteESM]]) &amp; "-" &amp; YEAR(LstMachines[[#This Row],[VteESM]])</f>
        <v>10-2018</v>
      </c>
      <c r="AF141" s="258">
        <f>LstMachines[[#This Row],[DateLivr]]+Rglt_à_ESMTP</f>
        <v>43326</v>
      </c>
      <c r="AG141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41" s="258">
        <f>LstMachines[[#This Row],[VteESM]]+Rglt_à_ESMTP</f>
        <v>43446</v>
      </c>
      <c r="AI141" s="258" t="str">
        <f xml:space="preserve"> IF(MONTH(LstMachines[[#This Row],[RgltVteESM]])&lt;10,"0","") &amp; MONTH(LstMachines[[#This Row],[RgltVteESM]]) &amp; "-" &amp; YEAR(LstMachines[[#This Row],[RgltVteESM]])</f>
        <v>12-2018</v>
      </c>
      <c r="AJ141" s="140">
        <f>MONTH(LstMachines[[#This Row],[DatePaie]])</f>
        <v>8</v>
      </c>
      <c r="AK141" s="88" t="str">
        <f>FIXED(YEAR(LstMachines[[#This Row],[DatePaie]]),0,TRUE)</f>
        <v>2018</v>
      </c>
      <c r="AL141" s="140"/>
      <c r="AM141" s="414"/>
      <c r="AN141" s="92"/>
      <c r="AO141" s="92"/>
      <c r="AP141" s="92"/>
      <c r="AQ141" s="92"/>
      <c r="AR141" s="92"/>
      <c r="AS141" s="92"/>
      <c r="AT141" s="92"/>
      <c r="AU141" s="92"/>
      <c r="AV141" s="92"/>
      <c r="AW141" s="92"/>
      <c r="AX141" s="92"/>
      <c r="AY141" s="92"/>
      <c r="BA141" s="92"/>
      <c r="BC141" s="92"/>
      <c r="BD141" s="92"/>
      <c r="BE141" s="92"/>
    </row>
    <row r="142" spans="2:57" hidden="1">
      <c r="B142" s="194" t="s">
        <v>75</v>
      </c>
      <c r="C142" s="194" t="s">
        <v>38</v>
      </c>
      <c r="D142" s="195">
        <v>65</v>
      </c>
      <c r="E142" s="104" t="s">
        <v>364</v>
      </c>
      <c r="F142" s="204" t="s">
        <v>468</v>
      </c>
      <c r="G142" s="204" t="s">
        <v>469</v>
      </c>
      <c r="H142" s="246">
        <v>1</v>
      </c>
      <c r="I14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142" s="88">
        <v>43266</v>
      </c>
      <c r="K142" s="139" t="s">
        <v>461</v>
      </c>
      <c r="L142" s="198" t="s">
        <v>470</v>
      </c>
      <c r="M142" s="139"/>
      <c r="N142" s="197"/>
      <c r="O142" s="255">
        <f>MONTH(LstMachines[[#This Row],[Delivery]])</f>
        <v>6</v>
      </c>
      <c r="P142" s="256" t="str">
        <f>FIXED(YEAR(LstMachines[[#This Row],[Delivery]]),0,TRUE)</f>
        <v>2018</v>
      </c>
      <c r="Q142" s="205"/>
      <c r="R142" s="241"/>
      <c r="S142" s="197"/>
      <c r="T142" s="197"/>
      <c r="U142" s="197"/>
      <c r="V142" s="193"/>
      <c r="W142" s="139"/>
      <c r="X142" s="258">
        <f>LstMachines[[#This Row],[Delivery]]</f>
        <v>43266</v>
      </c>
      <c r="Y142" s="258" t="str">
        <f xml:space="preserve"> IF(MONTH(LstMachines[[#This Row],[DateLivr]])&lt;10,"0","") &amp; MONTH(LstMachines[[#This Row],[DateLivr]]) &amp;"-"&amp;YEAR(LstMachines[[#This Row],[DateLivr]])</f>
        <v>06-2018</v>
      </c>
      <c r="Z142" s="258">
        <f>LstMachines[[#This Row],[Delivery]]+Rglt_à_HCME</f>
        <v>43326</v>
      </c>
      <c r="AA142" s="258" t="str">
        <f xml:space="preserve"> IF(MONTH(LstMachines[[#This Row],[DatePaie]])&lt;10,"0","") &amp; MONTH(LstMachines[[#This Row],[DatePaie]])&amp;"-"&amp;YEAR(LstMachines[[#This Row],[DatePaie]])</f>
        <v>08-2018</v>
      </c>
      <c r="AB142" s="258">
        <f>LstMachines[[#This Row],[DateLivr]]+1</f>
        <v>43267</v>
      </c>
      <c r="AC142" s="258" t="str">
        <f xml:space="preserve"> IF(MONTH(LstMachines[[#This Row],[Distrib]])&lt;10,"0","") &amp; MONTH(LstMachines[[#This Row],[Distrib]]) &amp; "-" &amp; YEAR(LstMachines[[#This Row],[Distrib]])</f>
        <v>06-2018</v>
      </c>
      <c r="AD142" s="258">
        <f>LstMachines[[#This Row],[DateLivr]]+Délai_Vente</f>
        <v>43386</v>
      </c>
      <c r="AE142" s="258" t="str">
        <f xml:space="preserve"> IF(MONTH(LstMachines[[#This Row],[VteESM]])&lt;10,"0","") &amp; MONTH(LstMachines[[#This Row],[VteESM]]) &amp; "-" &amp; YEAR(LstMachines[[#This Row],[VteESM]])</f>
        <v>10-2018</v>
      </c>
      <c r="AF142" s="258">
        <f>LstMachines[[#This Row],[DateLivr]]+Rglt_à_ESMTP</f>
        <v>43326</v>
      </c>
      <c r="AG142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42" s="258">
        <f>LstMachines[[#This Row],[VteESM]]+Rglt_à_ESMTP</f>
        <v>43446</v>
      </c>
      <c r="AI142" s="258" t="str">
        <f xml:space="preserve"> IF(MONTH(LstMachines[[#This Row],[RgltVteESM]])&lt;10,"0","") &amp; MONTH(LstMachines[[#This Row],[RgltVteESM]]) &amp; "-" &amp; YEAR(LstMachines[[#This Row],[RgltVteESM]])</f>
        <v>12-2018</v>
      </c>
      <c r="AJ142" s="140">
        <f>MONTH(LstMachines[[#This Row],[DatePaie]])</f>
        <v>8</v>
      </c>
      <c r="AK142" s="88" t="str">
        <f>FIXED(YEAR(LstMachines[[#This Row],[DatePaie]]),0,TRUE)</f>
        <v>2018</v>
      </c>
      <c r="AL142" s="140"/>
      <c r="AM142" s="414"/>
      <c r="AN142" s="92"/>
      <c r="AO142" s="92"/>
      <c r="AP142" s="92"/>
      <c r="AQ142" s="92"/>
      <c r="AR142" s="92"/>
      <c r="AS142" s="92"/>
      <c r="AT142" s="92"/>
      <c r="AU142" s="92"/>
      <c r="AV142" s="92"/>
      <c r="AW142" s="92"/>
      <c r="AX142" s="92"/>
      <c r="AY142" s="92"/>
      <c r="BA142" s="92"/>
      <c r="BC142" s="92"/>
      <c r="BD142" s="92"/>
      <c r="BE142" s="92"/>
    </row>
    <row r="143" spans="2:57" hidden="1">
      <c r="B143" s="194" t="s">
        <v>262</v>
      </c>
      <c r="C143" s="194" t="s">
        <v>40</v>
      </c>
      <c r="D143" s="195">
        <v>135</v>
      </c>
      <c r="E143" s="194" t="s">
        <v>194</v>
      </c>
      <c r="F143" s="204" t="s">
        <v>468</v>
      </c>
      <c r="G143" s="204" t="s">
        <v>469</v>
      </c>
      <c r="H143" s="246">
        <v>1</v>
      </c>
      <c r="I14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143" s="88">
        <v>43266</v>
      </c>
      <c r="K143" s="139" t="s">
        <v>461</v>
      </c>
      <c r="L143" s="198" t="s">
        <v>470</v>
      </c>
      <c r="M143" s="139"/>
      <c r="N143" s="197"/>
      <c r="O143" s="255">
        <f>MONTH(LstMachines[[#This Row],[Delivery]])</f>
        <v>6</v>
      </c>
      <c r="P143" s="256" t="str">
        <f>FIXED(YEAR(LstMachines[[#This Row],[Delivery]]),0,TRUE)</f>
        <v>2018</v>
      </c>
      <c r="Q143" s="205"/>
      <c r="R143" s="241"/>
      <c r="S143" s="197"/>
      <c r="T143" s="197"/>
      <c r="U143" s="197"/>
      <c r="V143" s="193"/>
      <c r="W143" s="139"/>
      <c r="X143" s="258">
        <f>LstMachines[[#This Row],[Delivery]]</f>
        <v>43266</v>
      </c>
      <c r="Y143" s="258" t="str">
        <f xml:space="preserve"> IF(MONTH(LstMachines[[#This Row],[DateLivr]])&lt;10,"0","") &amp; MONTH(LstMachines[[#This Row],[DateLivr]]) &amp;"-"&amp;YEAR(LstMachines[[#This Row],[DateLivr]])</f>
        <v>06-2018</v>
      </c>
      <c r="Z143" s="258">
        <f>LstMachines[[#This Row],[Delivery]]+Rglt_à_HCME</f>
        <v>43326</v>
      </c>
      <c r="AA143" s="258" t="str">
        <f xml:space="preserve"> IF(MONTH(LstMachines[[#This Row],[DatePaie]])&lt;10,"0","") &amp; MONTH(LstMachines[[#This Row],[DatePaie]])&amp;"-"&amp;YEAR(LstMachines[[#This Row],[DatePaie]])</f>
        <v>08-2018</v>
      </c>
      <c r="AB143" s="258">
        <f>LstMachines[[#This Row],[DateLivr]]+1</f>
        <v>43267</v>
      </c>
      <c r="AC143" s="258" t="str">
        <f xml:space="preserve"> IF(MONTH(LstMachines[[#This Row],[Distrib]])&lt;10,"0","") &amp; MONTH(LstMachines[[#This Row],[Distrib]]) &amp; "-" &amp; YEAR(LstMachines[[#This Row],[Distrib]])</f>
        <v>06-2018</v>
      </c>
      <c r="AD143" s="258">
        <f>LstMachines[[#This Row],[DateLivr]]+Délai_Vente</f>
        <v>43386</v>
      </c>
      <c r="AE143" s="258" t="str">
        <f xml:space="preserve"> IF(MONTH(LstMachines[[#This Row],[VteESM]])&lt;10,"0","") &amp; MONTH(LstMachines[[#This Row],[VteESM]]) &amp; "-" &amp; YEAR(LstMachines[[#This Row],[VteESM]])</f>
        <v>10-2018</v>
      </c>
      <c r="AF143" s="258">
        <f>LstMachines[[#This Row],[DateLivr]]+Rglt_à_ESMTP</f>
        <v>43326</v>
      </c>
      <c r="AG143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43" s="258">
        <f>LstMachines[[#This Row],[VteESM]]+Rglt_à_ESMTP</f>
        <v>43446</v>
      </c>
      <c r="AI143" s="258" t="str">
        <f xml:space="preserve"> IF(MONTH(LstMachines[[#This Row],[RgltVteESM]])&lt;10,"0","") &amp; MONTH(LstMachines[[#This Row],[RgltVteESM]]) &amp; "-" &amp; YEAR(LstMachines[[#This Row],[RgltVteESM]])</f>
        <v>12-2018</v>
      </c>
      <c r="AJ143" s="140">
        <f>MONTH(LstMachines[[#This Row],[DatePaie]])</f>
        <v>8</v>
      </c>
      <c r="AK143" s="88" t="str">
        <f>FIXED(YEAR(LstMachines[[#This Row],[DatePaie]]),0,TRUE)</f>
        <v>2018</v>
      </c>
      <c r="AL143" s="140"/>
      <c r="AM143" s="414"/>
      <c r="AN143" s="92"/>
      <c r="AO143" s="92"/>
      <c r="AP143" s="92"/>
      <c r="AQ143" s="92"/>
      <c r="AR143" s="92"/>
      <c r="AS143" s="92"/>
      <c r="AT143" s="92"/>
      <c r="AU143" s="92"/>
      <c r="AV143" s="92"/>
      <c r="AW143" s="92"/>
      <c r="AX143" s="92"/>
      <c r="AY143" s="92"/>
      <c r="BA143" s="92"/>
      <c r="BC143" s="92"/>
      <c r="BD143" s="92"/>
      <c r="BE143" s="92"/>
    </row>
    <row r="144" spans="2:57" hidden="1">
      <c r="B144" s="104" t="s">
        <v>262</v>
      </c>
      <c r="C144" s="104" t="s">
        <v>40</v>
      </c>
      <c r="D144" s="195">
        <v>135</v>
      </c>
      <c r="E144" s="104" t="s">
        <v>194</v>
      </c>
      <c r="F144" s="204" t="s">
        <v>468</v>
      </c>
      <c r="G144" s="204" t="s">
        <v>469</v>
      </c>
      <c r="H144" s="246">
        <v>1</v>
      </c>
      <c r="I14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144" s="88">
        <v>43266</v>
      </c>
      <c r="K144" s="139" t="s">
        <v>461</v>
      </c>
      <c r="L144" s="198" t="s">
        <v>470</v>
      </c>
      <c r="M144" s="139"/>
      <c r="N144" s="197"/>
      <c r="O144" s="255">
        <f>MONTH(LstMachines[[#This Row],[Delivery]])</f>
        <v>6</v>
      </c>
      <c r="P144" s="256" t="str">
        <f>FIXED(YEAR(LstMachines[[#This Row],[Delivery]]),0,TRUE)</f>
        <v>2018</v>
      </c>
      <c r="Q144" s="205"/>
      <c r="R144" s="241"/>
      <c r="S144" s="197"/>
      <c r="T144" s="197"/>
      <c r="U144" s="197"/>
      <c r="V144" s="193"/>
      <c r="W144" s="139"/>
      <c r="X144" s="258">
        <f>LstMachines[[#This Row],[Delivery]]</f>
        <v>43266</v>
      </c>
      <c r="Y144" s="258" t="str">
        <f xml:space="preserve"> IF(MONTH(LstMachines[[#This Row],[DateLivr]])&lt;10,"0","") &amp; MONTH(LstMachines[[#This Row],[DateLivr]]) &amp;"-"&amp;YEAR(LstMachines[[#This Row],[DateLivr]])</f>
        <v>06-2018</v>
      </c>
      <c r="Z144" s="258">
        <f>LstMachines[[#This Row],[Delivery]]+Rglt_à_HCME</f>
        <v>43326</v>
      </c>
      <c r="AA144" s="258" t="str">
        <f xml:space="preserve"> IF(MONTH(LstMachines[[#This Row],[DatePaie]])&lt;10,"0","") &amp; MONTH(LstMachines[[#This Row],[DatePaie]])&amp;"-"&amp;YEAR(LstMachines[[#This Row],[DatePaie]])</f>
        <v>08-2018</v>
      </c>
      <c r="AB144" s="258">
        <f>LstMachines[[#This Row],[DateLivr]]+1</f>
        <v>43267</v>
      </c>
      <c r="AC144" s="258" t="str">
        <f xml:space="preserve"> IF(MONTH(LstMachines[[#This Row],[Distrib]])&lt;10,"0","") &amp; MONTH(LstMachines[[#This Row],[Distrib]]) &amp; "-" &amp; YEAR(LstMachines[[#This Row],[Distrib]])</f>
        <v>06-2018</v>
      </c>
      <c r="AD144" s="258">
        <f>LstMachines[[#This Row],[DateLivr]]+Délai_Vente</f>
        <v>43386</v>
      </c>
      <c r="AE144" s="258" t="str">
        <f xml:space="preserve"> IF(MONTH(LstMachines[[#This Row],[VteESM]])&lt;10,"0","") &amp; MONTH(LstMachines[[#This Row],[VteESM]]) &amp; "-" &amp; YEAR(LstMachines[[#This Row],[VteESM]])</f>
        <v>10-2018</v>
      </c>
      <c r="AF144" s="258">
        <f>LstMachines[[#This Row],[DateLivr]]+Rglt_à_ESMTP</f>
        <v>43326</v>
      </c>
      <c r="AG144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44" s="258">
        <f>LstMachines[[#This Row],[VteESM]]+Rglt_à_ESMTP</f>
        <v>43446</v>
      </c>
      <c r="AI144" s="258" t="str">
        <f xml:space="preserve"> IF(MONTH(LstMachines[[#This Row],[RgltVteESM]])&lt;10,"0","") &amp; MONTH(LstMachines[[#This Row],[RgltVteESM]]) &amp; "-" &amp; YEAR(LstMachines[[#This Row],[RgltVteESM]])</f>
        <v>12-2018</v>
      </c>
      <c r="AJ144" s="140">
        <f>MONTH(LstMachines[[#This Row],[DatePaie]])</f>
        <v>8</v>
      </c>
      <c r="AK144" s="88" t="str">
        <f>FIXED(YEAR(LstMachines[[#This Row],[DatePaie]]),0,TRUE)</f>
        <v>2018</v>
      </c>
      <c r="AL144" s="140"/>
      <c r="AM144" s="414"/>
      <c r="AN144" s="92"/>
      <c r="AO144" s="92"/>
      <c r="AP144" s="92"/>
      <c r="AQ144" s="92"/>
      <c r="AR144" s="92"/>
      <c r="AS144" s="92"/>
      <c r="AT144" s="92"/>
      <c r="AU144" s="92"/>
      <c r="AV144" s="92"/>
      <c r="AW144" s="92"/>
      <c r="AX144" s="92"/>
      <c r="AY144" s="92"/>
      <c r="BA144" s="92"/>
      <c r="BC144" s="92"/>
      <c r="BD144" s="92"/>
      <c r="BE144" s="92"/>
    </row>
    <row r="145" spans="2:57" hidden="1">
      <c r="B145" s="104" t="s">
        <v>75</v>
      </c>
      <c r="C145" s="104" t="s">
        <v>36</v>
      </c>
      <c r="D145" s="87">
        <v>26</v>
      </c>
      <c r="E145" s="86" t="s">
        <v>361</v>
      </c>
      <c r="F145" s="87" t="s">
        <v>100</v>
      </c>
      <c r="G145" s="87" t="s">
        <v>31</v>
      </c>
      <c r="H145" s="89">
        <v>1</v>
      </c>
      <c r="I14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145" s="88">
        <v>43266</v>
      </c>
      <c r="K145" s="99" t="s">
        <v>463</v>
      </c>
      <c r="L145" s="120" t="s">
        <v>378</v>
      </c>
      <c r="M145" s="99"/>
      <c r="N145" s="90">
        <v>43054</v>
      </c>
      <c r="O145" s="255">
        <f>MONTH(LstMachines[[#This Row],[Delivery]])</f>
        <v>6</v>
      </c>
      <c r="P145" s="256" t="str">
        <f>FIXED(YEAR(LstMachines[[#This Row],[Delivery]]),0,TRUE)</f>
        <v>2018</v>
      </c>
      <c r="Q145" s="73">
        <v>17110136</v>
      </c>
      <c r="R145" s="93">
        <v>23608</v>
      </c>
      <c r="S145" s="90"/>
      <c r="T145" s="90"/>
      <c r="U145" s="90" t="s">
        <v>105</v>
      </c>
      <c r="V145" s="72">
        <v>4259</v>
      </c>
      <c r="W145" s="99" t="s">
        <v>379</v>
      </c>
      <c r="X145" s="258">
        <f>LstMachines[[#This Row],[Delivery]]</f>
        <v>43266</v>
      </c>
      <c r="Y145" s="258" t="str">
        <f xml:space="preserve"> IF(MONTH(LstMachines[[#This Row],[DateLivr]])&lt;10,"0","") &amp; MONTH(LstMachines[[#This Row],[DateLivr]]) &amp;"-"&amp;YEAR(LstMachines[[#This Row],[DateLivr]])</f>
        <v>06-2018</v>
      </c>
      <c r="Z145" s="258">
        <f>LstMachines[[#This Row],[Delivery]]+Rglt_à_HCME</f>
        <v>43326</v>
      </c>
      <c r="AA145" s="258" t="str">
        <f xml:space="preserve"> IF(MONTH(LstMachines[[#This Row],[DatePaie]])&lt;10,"0","") &amp; MONTH(LstMachines[[#This Row],[DatePaie]])&amp;"-"&amp;YEAR(LstMachines[[#This Row],[DatePaie]])</f>
        <v>08-2018</v>
      </c>
      <c r="AB145" s="258">
        <f>LstMachines[[#This Row],[DateLivr]]+1</f>
        <v>43267</v>
      </c>
      <c r="AC145" s="258" t="str">
        <f xml:space="preserve"> IF(MONTH(LstMachines[[#This Row],[Distrib]])&lt;10,"0","") &amp; MONTH(LstMachines[[#This Row],[Distrib]]) &amp; "-" &amp; YEAR(LstMachines[[#This Row],[Distrib]])</f>
        <v>06-2018</v>
      </c>
      <c r="AD145" s="258">
        <f>LstMachines[[#This Row],[DateLivr]]+Délai_Vente</f>
        <v>43386</v>
      </c>
      <c r="AE145" s="258" t="str">
        <f xml:space="preserve"> IF(MONTH(LstMachines[[#This Row],[VteESM]])&lt;10,"0","") &amp; MONTH(LstMachines[[#This Row],[VteESM]]) &amp; "-" &amp; YEAR(LstMachines[[#This Row],[VteESM]])</f>
        <v>10-2018</v>
      </c>
      <c r="AF145" s="258">
        <f>LstMachines[[#This Row],[DateLivr]]+Rglt_à_ESMTP</f>
        <v>43326</v>
      </c>
      <c r="AG145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45" s="258">
        <f>LstMachines[[#This Row],[VteESM]]+Rglt_à_ESMTP</f>
        <v>43446</v>
      </c>
      <c r="AI145" s="258" t="str">
        <f xml:space="preserve"> IF(MONTH(LstMachines[[#This Row],[RgltVteESM]])&lt;10,"0","") &amp; MONTH(LstMachines[[#This Row],[RgltVteESM]]) &amp; "-" &amp; YEAR(LstMachines[[#This Row],[RgltVteESM]])</f>
        <v>12-2018</v>
      </c>
      <c r="AJ145" s="140">
        <f>MONTH(LstMachines[[#This Row],[DatePaie]])</f>
        <v>8</v>
      </c>
      <c r="AK145" s="88" t="str">
        <f>FIXED(YEAR(LstMachines[[#This Row],[DatePaie]]),0,TRUE)</f>
        <v>2018</v>
      </c>
      <c r="AL145" s="140"/>
      <c r="AM145" s="414"/>
      <c r="AN145" s="92"/>
      <c r="AO145" s="92"/>
      <c r="AP145" s="92"/>
      <c r="AQ145" s="92"/>
      <c r="AR145" s="92"/>
      <c r="AS145" s="92"/>
      <c r="AT145" s="92"/>
      <c r="AU145" s="92"/>
      <c r="AV145" s="92"/>
      <c r="AW145" s="92"/>
      <c r="AX145" s="92"/>
      <c r="AY145" s="92"/>
      <c r="BA145" s="92"/>
      <c r="BC145" s="92"/>
      <c r="BD145" s="92"/>
      <c r="BE145" s="92"/>
    </row>
    <row r="146" spans="2:57" hidden="1">
      <c r="B146" s="104" t="s">
        <v>75</v>
      </c>
      <c r="C146" s="104" t="s">
        <v>36</v>
      </c>
      <c r="D146" s="87">
        <v>26</v>
      </c>
      <c r="E146" s="104" t="s">
        <v>361</v>
      </c>
      <c r="F146" s="71" t="s">
        <v>100</v>
      </c>
      <c r="G146" s="87" t="s">
        <v>592</v>
      </c>
      <c r="H146" s="89">
        <v>1</v>
      </c>
      <c r="I14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146" s="88">
        <v>43266</v>
      </c>
      <c r="K146" s="99" t="s">
        <v>463</v>
      </c>
      <c r="L146" s="120" t="s">
        <v>378</v>
      </c>
      <c r="M146" s="99" t="s">
        <v>287</v>
      </c>
      <c r="N146" s="90">
        <v>43036</v>
      </c>
      <c r="O146" s="255">
        <f>MONTH(LstMachines[[#This Row],[Delivery]])</f>
        <v>6</v>
      </c>
      <c r="P146" s="256" t="str">
        <f>FIXED(YEAR(LstMachines[[#This Row],[Delivery]]),0,TRUE)</f>
        <v>2018</v>
      </c>
      <c r="Q146" s="73" t="s">
        <v>351</v>
      </c>
      <c r="R146" s="93"/>
      <c r="S146" s="93"/>
      <c r="T146" s="73"/>
      <c r="U146" s="90" t="s">
        <v>105</v>
      </c>
      <c r="V146" s="72">
        <v>4242</v>
      </c>
      <c r="W146" s="100" t="s">
        <v>289</v>
      </c>
      <c r="X146" s="258">
        <f>LstMachines[[#This Row],[Delivery]]</f>
        <v>43266</v>
      </c>
      <c r="Y146" s="258" t="str">
        <f xml:space="preserve"> IF(MONTH(LstMachines[[#This Row],[DateLivr]])&lt;10,"0","") &amp; MONTH(LstMachines[[#This Row],[DateLivr]]) &amp;"-"&amp;YEAR(LstMachines[[#This Row],[DateLivr]])</f>
        <v>06-2018</v>
      </c>
      <c r="Z146" s="258">
        <f>LstMachines[[#This Row],[Delivery]]+Rglt_à_HCME</f>
        <v>43326</v>
      </c>
      <c r="AA146" s="258" t="str">
        <f xml:space="preserve"> IF(MONTH(LstMachines[[#This Row],[DatePaie]])&lt;10,"0","") &amp; MONTH(LstMachines[[#This Row],[DatePaie]])&amp;"-"&amp;YEAR(LstMachines[[#This Row],[DatePaie]])</f>
        <v>08-2018</v>
      </c>
      <c r="AB146" s="258">
        <f>LstMachines[[#This Row],[DateLivr]]+1</f>
        <v>43267</v>
      </c>
      <c r="AC146" s="258" t="str">
        <f xml:space="preserve"> IF(MONTH(LstMachines[[#This Row],[Distrib]])&lt;10,"0","") &amp; MONTH(LstMachines[[#This Row],[Distrib]]) &amp; "-" &amp; YEAR(LstMachines[[#This Row],[Distrib]])</f>
        <v>06-2018</v>
      </c>
      <c r="AD146" s="258">
        <f>LstMachines[[#This Row],[DateLivr]]+Délai_Vente</f>
        <v>43386</v>
      </c>
      <c r="AE146" s="258" t="str">
        <f xml:space="preserve"> IF(MONTH(LstMachines[[#This Row],[VteESM]])&lt;10,"0","") &amp; MONTH(LstMachines[[#This Row],[VteESM]]) &amp; "-" &amp; YEAR(LstMachines[[#This Row],[VteESM]])</f>
        <v>10-2018</v>
      </c>
      <c r="AF146" s="258">
        <f>LstMachines[[#This Row],[DateLivr]]+Rglt_à_ESMTP</f>
        <v>43326</v>
      </c>
      <c r="AG146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46" s="258">
        <f>LstMachines[[#This Row],[VteESM]]+Rglt_à_ESMTP</f>
        <v>43446</v>
      </c>
      <c r="AI146" s="258" t="str">
        <f xml:space="preserve"> IF(MONTH(LstMachines[[#This Row],[RgltVteESM]])&lt;10,"0","") &amp; MONTH(LstMachines[[#This Row],[RgltVteESM]]) &amp; "-" &amp; YEAR(LstMachines[[#This Row],[RgltVteESM]])</f>
        <v>12-2018</v>
      </c>
      <c r="AJ146" s="140">
        <f>MONTH(LstMachines[[#This Row],[DatePaie]])</f>
        <v>8</v>
      </c>
      <c r="AK146" s="88" t="str">
        <f>FIXED(YEAR(LstMachines[[#This Row],[DatePaie]]),0,TRUE)</f>
        <v>2018</v>
      </c>
      <c r="AL146" s="140"/>
      <c r="AM146" s="414"/>
      <c r="AN146" s="92"/>
      <c r="AO146" s="92"/>
      <c r="AP146" s="92"/>
      <c r="AQ146" s="92"/>
      <c r="AR146" s="92"/>
      <c r="AS146" s="92"/>
      <c r="AT146" s="92"/>
      <c r="AU146" s="92"/>
      <c r="AV146" s="92"/>
      <c r="AW146" s="92"/>
      <c r="AX146" s="92"/>
      <c r="AY146" s="92"/>
      <c r="BA146" s="92"/>
      <c r="BC146" s="92"/>
      <c r="BD146" s="92"/>
      <c r="BE146" s="92"/>
    </row>
    <row r="147" spans="2:57" hidden="1">
      <c r="B147" s="104" t="s">
        <v>262</v>
      </c>
      <c r="C147" s="104" t="s">
        <v>39</v>
      </c>
      <c r="D147" s="87">
        <v>85</v>
      </c>
      <c r="E147" s="86" t="s">
        <v>356</v>
      </c>
      <c r="F147" s="87" t="s">
        <v>100</v>
      </c>
      <c r="G147" s="71" t="s">
        <v>31</v>
      </c>
      <c r="H147" s="89">
        <v>1</v>
      </c>
      <c r="I14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147" s="88">
        <v>43266</v>
      </c>
      <c r="K147" s="99" t="s">
        <v>463</v>
      </c>
      <c r="L147" s="120" t="s">
        <v>378</v>
      </c>
      <c r="M147" s="117"/>
      <c r="N147" s="90">
        <v>42979</v>
      </c>
      <c r="O147" s="255">
        <f>MONTH(LstMachines[[#This Row],[Delivery]])</f>
        <v>6</v>
      </c>
      <c r="P147" s="256" t="str">
        <f>FIXED(YEAR(LstMachines[[#This Row],[Delivery]]),0,TRUE)</f>
        <v>2018</v>
      </c>
      <c r="Q147" s="73" t="s">
        <v>348</v>
      </c>
      <c r="R147" s="93">
        <v>59260</v>
      </c>
      <c r="S147" s="90"/>
      <c r="T147" s="90"/>
      <c r="U147" s="90" t="s">
        <v>105</v>
      </c>
      <c r="V147" s="72">
        <v>4223</v>
      </c>
      <c r="W147" s="99" t="s">
        <v>384</v>
      </c>
      <c r="X147" s="258">
        <f>LstMachines[[#This Row],[Delivery]]</f>
        <v>43266</v>
      </c>
      <c r="Y147" s="258" t="str">
        <f xml:space="preserve"> IF(MONTH(LstMachines[[#This Row],[DateLivr]])&lt;10,"0","") &amp; MONTH(LstMachines[[#This Row],[DateLivr]]) &amp;"-"&amp;YEAR(LstMachines[[#This Row],[DateLivr]])</f>
        <v>06-2018</v>
      </c>
      <c r="Z147" s="258">
        <f>LstMachines[[#This Row],[Delivery]]+Rglt_à_HCME</f>
        <v>43326</v>
      </c>
      <c r="AA147" s="258" t="str">
        <f xml:space="preserve"> IF(MONTH(LstMachines[[#This Row],[DatePaie]])&lt;10,"0","") &amp; MONTH(LstMachines[[#This Row],[DatePaie]])&amp;"-"&amp;YEAR(LstMachines[[#This Row],[DatePaie]])</f>
        <v>08-2018</v>
      </c>
      <c r="AB147" s="258">
        <f>LstMachines[[#This Row],[DateLivr]]+1</f>
        <v>43267</v>
      </c>
      <c r="AC147" s="258" t="str">
        <f xml:space="preserve"> IF(MONTH(LstMachines[[#This Row],[Distrib]])&lt;10,"0","") &amp; MONTH(LstMachines[[#This Row],[Distrib]]) &amp; "-" &amp; YEAR(LstMachines[[#This Row],[Distrib]])</f>
        <v>06-2018</v>
      </c>
      <c r="AD147" s="258">
        <f>LstMachines[[#This Row],[DateLivr]]+Délai_Vente</f>
        <v>43386</v>
      </c>
      <c r="AE147" s="258" t="str">
        <f xml:space="preserve"> IF(MONTH(LstMachines[[#This Row],[VteESM]])&lt;10,"0","") &amp; MONTH(LstMachines[[#This Row],[VteESM]]) &amp; "-" &amp; YEAR(LstMachines[[#This Row],[VteESM]])</f>
        <v>10-2018</v>
      </c>
      <c r="AF147" s="258">
        <f>LstMachines[[#This Row],[DateLivr]]+Rglt_à_ESMTP</f>
        <v>43326</v>
      </c>
      <c r="AG147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47" s="258">
        <f>LstMachines[[#This Row],[VteESM]]+Rglt_à_ESMTP</f>
        <v>43446</v>
      </c>
      <c r="AI147" s="258" t="str">
        <f xml:space="preserve"> IF(MONTH(LstMachines[[#This Row],[RgltVteESM]])&lt;10,"0","") &amp; MONTH(LstMachines[[#This Row],[RgltVteESM]]) &amp; "-" &amp; YEAR(LstMachines[[#This Row],[RgltVteESM]])</f>
        <v>12-2018</v>
      </c>
      <c r="AJ147" s="140">
        <f>MONTH(LstMachines[[#This Row],[DatePaie]])</f>
        <v>8</v>
      </c>
      <c r="AK147" s="88" t="str">
        <f>FIXED(YEAR(LstMachines[[#This Row],[DatePaie]]),0,TRUE)</f>
        <v>2018</v>
      </c>
      <c r="AL147" s="140"/>
      <c r="AM147" s="414"/>
      <c r="AN147" s="92"/>
      <c r="AO147" s="92"/>
      <c r="AP147" s="92"/>
      <c r="AQ147" s="92"/>
      <c r="AR147" s="92"/>
      <c r="AS147" s="92"/>
      <c r="AT147" s="92"/>
      <c r="AU147" s="92"/>
      <c r="AV147" s="92"/>
      <c r="AW147" s="92"/>
      <c r="AX147" s="92"/>
      <c r="AY147" s="92"/>
      <c r="BA147" s="92"/>
      <c r="BC147" s="92"/>
      <c r="BD147" s="92"/>
      <c r="BE147" s="92"/>
    </row>
    <row r="148" spans="2:57" hidden="1">
      <c r="B148" s="104" t="s">
        <v>262</v>
      </c>
      <c r="C148" s="104" t="s">
        <v>39</v>
      </c>
      <c r="D148" s="87">
        <v>85</v>
      </c>
      <c r="E148" s="86" t="s">
        <v>356</v>
      </c>
      <c r="F148" s="87" t="s">
        <v>100</v>
      </c>
      <c r="G148" s="87" t="s">
        <v>592</v>
      </c>
      <c r="H148" s="89">
        <v>1</v>
      </c>
      <c r="I14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148" s="88">
        <v>43266</v>
      </c>
      <c r="K148" s="99" t="s">
        <v>463</v>
      </c>
      <c r="L148" s="120" t="s">
        <v>564</v>
      </c>
      <c r="M148" s="99"/>
      <c r="N148" s="90"/>
      <c r="O148" s="255">
        <f>MONTH(LstMachines[[#This Row],[Delivery]])</f>
        <v>6</v>
      </c>
      <c r="P148" s="256" t="str">
        <f>FIXED(YEAR(LstMachines[[#This Row],[Delivery]]),0,TRUE)</f>
        <v>2018</v>
      </c>
      <c r="Q148" s="73" t="s">
        <v>565</v>
      </c>
      <c r="R148" s="93"/>
      <c r="S148" s="90"/>
      <c r="T148" s="90"/>
      <c r="U148" s="90" t="s">
        <v>104</v>
      </c>
      <c r="V148" s="72">
        <v>4267</v>
      </c>
      <c r="W148" s="99" t="s">
        <v>383</v>
      </c>
      <c r="X148" s="258">
        <f>LstMachines[[#This Row],[Delivery]]</f>
        <v>43266</v>
      </c>
      <c r="Y148" s="258" t="str">
        <f xml:space="preserve"> IF(MONTH(LstMachines[[#This Row],[DateLivr]])&lt;10,"0","") &amp; MONTH(LstMachines[[#This Row],[DateLivr]]) &amp;"-"&amp;YEAR(LstMachines[[#This Row],[DateLivr]])</f>
        <v>06-2018</v>
      </c>
      <c r="Z148" s="258">
        <f>LstMachines[[#This Row],[Delivery]]+Rglt_à_HCME</f>
        <v>43326</v>
      </c>
      <c r="AA148" s="258" t="str">
        <f xml:space="preserve"> IF(MONTH(LstMachines[[#This Row],[DatePaie]])&lt;10,"0","") &amp; MONTH(LstMachines[[#This Row],[DatePaie]])&amp;"-"&amp;YEAR(LstMachines[[#This Row],[DatePaie]])</f>
        <v>08-2018</v>
      </c>
      <c r="AB148" s="258">
        <f>LstMachines[[#This Row],[DateLivr]]+1</f>
        <v>43267</v>
      </c>
      <c r="AC148" s="258" t="str">
        <f xml:space="preserve"> IF(MONTH(LstMachines[[#This Row],[Distrib]])&lt;10,"0","") &amp; MONTH(LstMachines[[#This Row],[Distrib]]) &amp; "-" &amp; YEAR(LstMachines[[#This Row],[Distrib]])</f>
        <v>06-2018</v>
      </c>
      <c r="AD148" s="258">
        <f>LstMachines[[#This Row],[DateLivr]]+Délai_Vente</f>
        <v>43386</v>
      </c>
      <c r="AE148" s="258" t="str">
        <f xml:space="preserve"> IF(MONTH(LstMachines[[#This Row],[VteESM]])&lt;10,"0","") &amp; MONTH(LstMachines[[#This Row],[VteESM]]) &amp; "-" &amp; YEAR(LstMachines[[#This Row],[VteESM]])</f>
        <v>10-2018</v>
      </c>
      <c r="AF148" s="258">
        <f>LstMachines[[#This Row],[DateLivr]]+Rglt_à_ESMTP</f>
        <v>43326</v>
      </c>
      <c r="AG148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48" s="258">
        <f>LstMachines[[#This Row],[VteESM]]+Rglt_à_ESMTP</f>
        <v>43446</v>
      </c>
      <c r="AI148" s="258" t="str">
        <f xml:space="preserve"> IF(MONTH(LstMachines[[#This Row],[RgltVteESM]])&lt;10,"0","") &amp; MONTH(LstMachines[[#This Row],[RgltVteESM]]) &amp; "-" &amp; YEAR(LstMachines[[#This Row],[RgltVteESM]])</f>
        <v>12-2018</v>
      </c>
      <c r="AJ148" s="140">
        <f>MONTH(LstMachines[[#This Row],[DatePaie]])</f>
        <v>8</v>
      </c>
      <c r="AK148" s="88" t="str">
        <f>FIXED(YEAR(LstMachines[[#This Row],[DatePaie]]),0,TRUE)</f>
        <v>2018</v>
      </c>
      <c r="AL148" s="140"/>
      <c r="AM148" s="414"/>
      <c r="AN148" s="92"/>
      <c r="AO148" s="92"/>
      <c r="AP148" s="92"/>
      <c r="AQ148" s="92"/>
      <c r="AR148" s="92"/>
      <c r="AS148" s="92"/>
      <c r="AT148" s="92"/>
      <c r="AU148" s="92"/>
      <c r="AV148" s="92"/>
      <c r="AW148" s="92"/>
      <c r="AX148" s="92"/>
      <c r="AY148" s="92"/>
      <c r="BA148" s="92"/>
      <c r="BC148" s="92"/>
      <c r="BD148" s="92"/>
      <c r="BE148" s="92"/>
    </row>
    <row r="149" spans="2:57" hidden="1">
      <c r="B149" s="104" t="s">
        <v>262</v>
      </c>
      <c r="C149" s="104" t="s">
        <v>40</v>
      </c>
      <c r="D149" s="87">
        <v>135</v>
      </c>
      <c r="E149" s="104" t="s">
        <v>87</v>
      </c>
      <c r="F149" s="71" t="s">
        <v>100</v>
      </c>
      <c r="G149" s="71" t="s">
        <v>31</v>
      </c>
      <c r="H149" s="89">
        <v>1</v>
      </c>
      <c r="I14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149" s="88">
        <v>43266</v>
      </c>
      <c r="K149" s="99" t="s">
        <v>463</v>
      </c>
      <c r="L149" s="120" t="s">
        <v>378</v>
      </c>
      <c r="M149" s="99"/>
      <c r="N149" s="90">
        <v>43036</v>
      </c>
      <c r="O149" s="255">
        <f>MONTH(LstMachines[[#This Row],[Delivery]])</f>
        <v>6</v>
      </c>
      <c r="P149" s="256" t="str">
        <f>FIXED(YEAR(LstMachines[[#This Row],[Delivery]]),0,TRUE)</f>
        <v>2018</v>
      </c>
      <c r="Q149" s="73" t="s">
        <v>350</v>
      </c>
      <c r="R149" s="93">
        <v>108134</v>
      </c>
      <c r="S149" s="95"/>
      <c r="T149" s="71"/>
      <c r="U149" s="72" t="s">
        <v>270</v>
      </c>
      <c r="V149" s="72">
        <v>4226</v>
      </c>
      <c r="W149" s="99" t="s">
        <v>383</v>
      </c>
      <c r="X149" s="258">
        <f>LstMachines[[#This Row],[Delivery]]</f>
        <v>43266</v>
      </c>
      <c r="Y149" s="258" t="str">
        <f xml:space="preserve"> IF(MONTH(LstMachines[[#This Row],[DateLivr]])&lt;10,"0","") &amp; MONTH(LstMachines[[#This Row],[DateLivr]]) &amp;"-"&amp;YEAR(LstMachines[[#This Row],[DateLivr]])</f>
        <v>06-2018</v>
      </c>
      <c r="Z149" s="258">
        <f>LstMachines[[#This Row],[Delivery]]+Rglt_à_HCME</f>
        <v>43326</v>
      </c>
      <c r="AA149" s="258" t="str">
        <f xml:space="preserve"> IF(MONTH(LstMachines[[#This Row],[DatePaie]])&lt;10,"0","") &amp; MONTH(LstMachines[[#This Row],[DatePaie]])&amp;"-"&amp;YEAR(LstMachines[[#This Row],[DatePaie]])</f>
        <v>08-2018</v>
      </c>
      <c r="AB149" s="258">
        <f>LstMachines[[#This Row],[DateLivr]]+1</f>
        <v>43267</v>
      </c>
      <c r="AC149" s="258" t="str">
        <f xml:space="preserve"> IF(MONTH(LstMachines[[#This Row],[Distrib]])&lt;10,"0","") &amp; MONTH(LstMachines[[#This Row],[Distrib]]) &amp; "-" &amp; YEAR(LstMachines[[#This Row],[Distrib]])</f>
        <v>06-2018</v>
      </c>
      <c r="AD149" s="258">
        <f>LstMachines[[#This Row],[DateLivr]]+Délai_Vente</f>
        <v>43386</v>
      </c>
      <c r="AE149" s="258" t="str">
        <f xml:space="preserve"> IF(MONTH(LstMachines[[#This Row],[VteESM]])&lt;10,"0","") &amp; MONTH(LstMachines[[#This Row],[VteESM]]) &amp; "-" &amp; YEAR(LstMachines[[#This Row],[VteESM]])</f>
        <v>10-2018</v>
      </c>
      <c r="AF149" s="258">
        <f>LstMachines[[#This Row],[DateLivr]]+Rglt_à_ESMTP</f>
        <v>43326</v>
      </c>
      <c r="AG149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49" s="258">
        <f>LstMachines[[#This Row],[VteESM]]+Rglt_à_ESMTP</f>
        <v>43446</v>
      </c>
      <c r="AI149" s="258" t="str">
        <f xml:space="preserve"> IF(MONTH(LstMachines[[#This Row],[RgltVteESM]])&lt;10,"0","") &amp; MONTH(LstMachines[[#This Row],[RgltVteESM]]) &amp; "-" &amp; YEAR(LstMachines[[#This Row],[RgltVteESM]])</f>
        <v>12-2018</v>
      </c>
      <c r="AJ149" s="140">
        <f>MONTH(LstMachines[[#This Row],[DatePaie]])</f>
        <v>8</v>
      </c>
      <c r="AK149" s="88" t="str">
        <f>FIXED(YEAR(LstMachines[[#This Row],[DatePaie]]),0,TRUE)</f>
        <v>2018</v>
      </c>
      <c r="AL149" s="140"/>
      <c r="AM149" s="414"/>
      <c r="AN149" s="92"/>
      <c r="AO149" s="92"/>
      <c r="AP149" s="92"/>
      <c r="AQ149" s="92"/>
      <c r="AR149" s="92"/>
      <c r="AS149" s="92"/>
      <c r="AT149" s="92"/>
      <c r="AU149" s="92"/>
      <c r="AV149" s="92"/>
      <c r="AW149" s="92"/>
      <c r="AX149" s="92"/>
      <c r="AY149" s="92"/>
      <c r="BA149" s="92"/>
      <c r="BC149" s="92"/>
      <c r="BD149" s="92"/>
      <c r="BE149" s="92"/>
    </row>
    <row r="150" spans="2:57" hidden="1">
      <c r="B150" s="104" t="s">
        <v>263</v>
      </c>
      <c r="C150" s="104" t="s">
        <v>250</v>
      </c>
      <c r="D150" s="87">
        <v>145</v>
      </c>
      <c r="E150" s="86" t="s">
        <v>228</v>
      </c>
      <c r="F150" s="87" t="s">
        <v>100</v>
      </c>
      <c r="G150" s="87" t="s">
        <v>31</v>
      </c>
      <c r="H150" s="89">
        <v>1</v>
      </c>
      <c r="I15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115</v>
      </c>
      <c r="J150" s="88">
        <v>43266</v>
      </c>
      <c r="K150" s="99" t="s">
        <v>463</v>
      </c>
      <c r="L150" s="120" t="s">
        <v>378</v>
      </c>
      <c r="M150" s="99"/>
      <c r="N150" s="90"/>
      <c r="O150" s="255">
        <f>MONTH(LstMachines[[#This Row],[Delivery]])</f>
        <v>6</v>
      </c>
      <c r="P150" s="256" t="str">
        <f>FIXED(YEAR(LstMachines[[#This Row],[Delivery]]),0,TRUE)</f>
        <v>2018</v>
      </c>
      <c r="Q150" s="73"/>
      <c r="R150" s="93"/>
      <c r="S150" s="90"/>
      <c r="T150" s="90"/>
      <c r="U150" s="90" t="s">
        <v>105</v>
      </c>
      <c r="V150" s="72"/>
      <c r="W150" s="99" t="s">
        <v>384</v>
      </c>
      <c r="X150" s="258">
        <f>LstMachines[[#This Row],[Delivery]]</f>
        <v>43266</v>
      </c>
      <c r="Y150" s="258" t="str">
        <f xml:space="preserve"> IF(MONTH(LstMachines[[#This Row],[DateLivr]])&lt;10,"0","") &amp; MONTH(LstMachines[[#This Row],[DateLivr]]) &amp;"-"&amp;YEAR(LstMachines[[#This Row],[DateLivr]])</f>
        <v>06-2018</v>
      </c>
      <c r="Z150" s="258">
        <f>LstMachines[[#This Row],[Delivery]]+Rglt_à_HCME</f>
        <v>43326</v>
      </c>
      <c r="AA150" s="258" t="str">
        <f xml:space="preserve"> IF(MONTH(LstMachines[[#This Row],[DatePaie]])&lt;10,"0","") &amp; MONTH(LstMachines[[#This Row],[DatePaie]])&amp;"-"&amp;YEAR(LstMachines[[#This Row],[DatePaie]])</f>
        <v>08-2018</v>
      </c>
      <c r="AB150" s="258">
        <f>LstMachines[[#This Row],[DateLivr]]+1</f>
        <v>43267</v>
      </c>
      <c r="AC150" s="258" t="str">
        <f xml:space="preserve"> IF(MONTH(LstMachines[[#This Row],[Distrib]])&lt;10,"0","") &amp; MONTH(LstMachines[[#This Row],[Distrib]]) &amp; "-" &amp; YEAR(LstMachines[[#This Row],[Distrib]])</f>
        <v>06-2018</v>
      </c>
      <c r="AD150" s="258">
        <f>LstMachines[[#This Row],[DateLivr]]+Délai_Vente</f>
        <v>43386</v>
      </c>
      <c r="AE150" s="258" t="str">
        <f xml:space="preserve"> IF(MONTH(LstMachines[[#This Row],[VteESM]])&lt;10,"0","") &amp; MONTH(LstMachines[[#This Row],[VteESM]]) &amp; "-" &amp; YEAR(LstMachines[[#This Row],[VteESM]])</f>
        <v>10-2018</v>
      </c>
      <c r="AF150" s="258">
        <f>LstMachines[[#This Row],[DateLivr]]+Rglt_à_ESMTP</f>
        <v>43326</v>
      </c>
      <c r="AG150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50" s="258">
        <f>LstMachines[[#This Row],[VteESM]]+Rglt_à_ESMTP</f>
        <v>43446</v>
      </c>
      <c r="AI150" s="258" t="str">
        <f xml:space="preserve"> IF(MONTH(LstMachines[[#This Row],[RgltVteESM]])&lt;10,"0","") &amp; MONTH(LstMachines[[#This Row],[RgltVteESM]]) &amp; "-" &amp; YEAR(LstMachines[[#This Row],[RgltVteESM]])</f>
        <v>12-2018</v>
      </c>
      <c r="AJ150" s="140">
        <f>MONTH(LstMachines[[#This Row],[DatePaie]])</f>
        <v>8</v>
      </c>
      <c r="AK150" s="88" t="str">
        <f>FIXED(YEAR(LstMachines[[#This Row],[DatePaie]]),0,TRUE)</f>
        <v>2018</v>
      </c>
      <c r="AL150" s="140"/>
      <c r="AM150" s="414"/>
      <c r="AN150" s="92"/>
      <c r="AO150" s="92"/>
      <c r="AP150" s="92"/>
      <c r="AQ150" s="92"/>
      <c r="AR150" s="92"/>
      <c r="AS150" s="92"/>
      <c r="AT150" s="92"/>
      <c r="AU150" s="92"/>
      <c r="AV150" s="92"/>
      <c r="AW150" s="92"/>
      <c r="AX150" s="92"/>
      <c r="AY150" s="92"/>
      <c r="BA150" s="92"/>
      <c r="BC150" s="92"/>
      <c r="BD150" s="92"/>
      <c r="BE150" s="92"/>
    </row>
    <row r="151" spans="2:57" hidden="1">
      <c r="B151" s="104" t="s">
        <v>75</v>
      </c>
      <c r="C151" s="104" t="s">
        <v>36</v>
      </c>
      <c r="D151" s="87">
        <v>26</v>
      </c>
      <c r="E151" s="104" t="s">
        <v>361</v>
      </c>
      <c r="F151" s="87" t="s">
        <v>297</v>
      </c>
      <c r="G151" s="87" t="s">
        <v>32</v>
      </c>
      <c r="H151" s="89">
        <v>0</v>
      </c>
      <c r="I15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151" s="88">
        <v>43266</v>
      </c>
      <c r="K151" s="99" t="s">
        <v>461</v>
      </c>
      <c r="L151" s="120" t="s">
        <v>378</v>
      </c>
      <c r="M151" s="99"/>
      <c r="N151" s="90"/>
      <c r="O151" s="255">
        <f>MONTH(LstMachines[[#This Row],[Delivery]])</f>
        <v>6</v>
      </c>
      <c r="P151" s="256" t="str">
        <f>FIXED(YEAR(LstMachines[[#This Row],[Delivery]]),0,TRUE)</f>
        <v>2018</v>
      </c>
      <c r="Q151" s="73"/>
      <c r="R151" s="93"/>
      <c r="S151" s="90"/>
      <c r="T151" s="90"/>
      <c r="U151" s="90" t="s">
        <v>104</v>
      </c>
      <c r="V151" s="72"/>
      <c r="W151" s="99" t="s">
        <v>383</v>
      </c>
      <c r="X151" s="258">
        <f>LstMachines[[#This Row],[Delivery]]</f>
        <v>43266</v>
      </c>
      <c r="Y151" s="258" t="str">
        <f xml:space="preserve"> IF(MONTH(LstMachines[[#This Row],[DateLivr]])&lt;10,"0","") &amp; MONTH(LstMachines[[#This Row],[DateLivr]]) &amp;"-"&amp;YEAR(LstMachines[[#This Row],[DateLivr]])</f>
        <v>06-2018</v>
      </c>
      <c r="Z151" s="258">
        <f>LstMachines[[#This Row],[Delivery]]+Rglt_à_HCME</f>
        <v>43326</v>
      </c>
      <c r="AA151" s="258" t="str">
        <f xml:space="preserve"> IF(MONTH(LstMachines[[#This Row],[DatePaie]])&lt;10,"0","") &amp; MONTH(LstMachines[[#This Row],[DatePaie]])&amp;"-"&amp;YEAR(LstMachines[[#This Row],[DatePaie]])</f>
        <v>08-2018</v>
      </c>
      <c r="AB151" s="258">
        <f>LstMachines[[#This Row],[DateLivr]]+1</f>
        <v>43267</v>
      </c>
      <c r="AC151" s="258" t="str">
        <f xml:space="preserve"> IF(MONTH(LstMachines[[#This Row],[Distrib]])&lt;10,"0","") &amp; MONTH(LstMachines[[#This Row],[Distrib]]) &amp; "-" &amp; YEAR(LstMachines[[#This Row],[Distrib]])</f>
        <v>06-2018</v>
      </c>
      <c r="AD151" s="258">
        <f>LstMachines[[#This Row],[DateLivr]]+Délai_Vente</f>
        <v>43386</v>
      </c>
      <c r="AE151" s="258" t="str">
        <f xml:space="preserve"> IF(MONTH(LstMachines[[#This Row],[VteESM]])&lt;10,"0","") &amp; MONTH(LstMachines[[#This Row],[VteESM]]) &amp; "-" &amp; YEAR(LstMachines[[#This Row],[VteESM]])</f>
        <v>10-2018</v>
      </c>
      <c r="AF151" s="258">
        <f>LstMachines[[#This Row],[DateLivr]]+Rglt_à_ESMTP</f>
        <v>43326</v>
      </c>
      <c r="AG151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51" s="258">
        <f>LstMachines[[#This Row],[VteESM]]+Rglt_à_ESMTP</f>
        <v>43446</v>
      </c>
      <c r="AI151" s="258" t="str">
        <f xml:space="preserve"> IF(MONTH(LstMachines[[#This Row],[RgltVteESM]])&lt;10,"0","") &amp; MONTH(LstMachines[[#This Row],[RgltVteESM]]) &amp; "-" &amp; YEAR(LstMachines[[#This Row],[RgltVteESM]])</f>
        <v>12-2018</v>
      </c>
      <c r="AJ151" s="140">
        <f>MONTH(LstMachines[[#This Row],[DatePaie]])</f>
        <v>8</v>
      </c>
      <c r="AK151" s="88" t="str">
        <f>FIXED(YEAR(LstMachines[[#This Row],[DatePaie]]),0,TRUE)</f>
        <v>2018</v>
      </c>
      <c r="AL151" s="140"/>
      <c r="AM151" s="414"/>
      <c r="AN151" s="92"/>
      <c r="AO151" s="92"/>
      <c r="AP151" s="92"/>
      <c r="AQ151" s="92"/>
      <c r="AR151" s="92"/>
      <c r="AS151" s="92"/>
      <c r="AT151" s="92"/>
      <c r="AU151" s="92"/>
      <c r="AV151" s="92"/>
      <c r="AW151" s="92"/>
      <c r="AX151" s="92"/>
      <c r="AY151" s="92"/>
      <c r="BA151" s="92"/>
      <c r="BC151" s="92"/>
      <c r="BD151" s="92"/>
      <c r="BE151" s="92"/>
    </row>
    <row r="152" spans="2:57" hidden="1">
      <c r="B152" s="104" t="s">
        <v>75</v>
      </c>
      <c r="C152" s="104" t="s">
        <v>34</v>
      </c>
      <c r="D152" s="87">
        <v>10</v>
      </c>
      <c r="E152" s="86" t="s">
        <v>178</v>
      </c>
      <c r="F152" s="87" t="s">
        <v>297</v>
      </c>
      <c r="G152" s="87" t="s">
        <v>32</v>
      </c>
      <c r="H152" s="89">
        <v>1</v>
      </c>
      <c r="I15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15</v>
      </c>
      <c r="J152" s="88">
        <v>43266</v>
      </c>
      <c r="K152" s="99" t="s">
        <v>461</v>
      </c>
      <c r="L152" s="120" t="s">
        <v>378</v>
      </c>
      <c r="M152" s="99"/>
      <c r="N152" s="90"/>
      <c r="O152" s="255">
        <f>MONTH(LstMachines[[#This Row],[Delivery]])</f>
        <v>6</v>
      </c>
      <c r="P152" s="256" t="str">
        <f>FIXED(YEAR(LstMachines[[#This Row],[Delivery]]),0,TRUE)</f>
        <v>2018</v>
      </c>
      <c r="Q152" s="73"/>
      <c r="R152" s="93"/>
      <c r="S152" s="90"/>
      <c r="T152" s="90"/>
      <c r="U152" s="90" t="s">
        <v>104</v>
      </c>
      <c r="V152" s="72"/>
      <c r="W152" s="99" t="s">
        <v>383</v>
      </c>
      <c r="X152" s="258">
        <f>LstMachines[[#This Row],[Delivery]]</f>
        <v>43266</v>
      </c>
      <c r="Y152" s="258" t="str">
        <f xml:space="preserve"> IF(MONTH(LstMachines[[#This Row],[DateLivr]])&lt;10,"0","") &amp; MONTH(LstMachines[[#This Row],[DateLivr]]) &amp;"-"&amp;YEAR(LstMachines[[#This Row],[DateLivr]])</f>
        <v>06-2018</v>
      </c>
      <c r="Z152" s="258">
        <f>LstMachines[[#This Row],[Delivery]]+Rglt_à_HCME</f>
        <v>43326</v>
      </c>
      <c r="AA152" s="258" t="str">
        <f xml:space="preserve"> IF(MONTH(LstMachines[[#This Row],[DatePaie]])&lt;10,"0","") &amp; MONTH(LstMachines[[#This Row],[DatePaie]])&amp;"-"&amp;YEAR(LstMachines[[#This Row],[DatePaie]])</f>
        <v>08-2018</v>
      </c>
      <c r="AB152" s="258">
        <f>LstMachines[[#This Row],[DateLivr]]+1</f>
        <v>43267</v>
      </c>
      <c r="AC152" s="258" t="str">
        <f xml:space="preserve"> IF(MONTH(LstMachines[[#This Row],[Distrib]])&lt;10,"0","") &amp; MONTH(LstMachines[[#This Row],[Distrib]]) &amp; "-" &amp; YEAR(LstMachines[[#This Row],[Distrib]])</f>
        <v>06-2018</v>
      </c>
      <c r="AD152" s="258">
        <f>LstMachines[[#This Row],[DateLivr]]+Délai_Vente</f>
        <v>43386</v>
      </c>
      <c r="AE152" s="258" t="str">
        <f xml:space="preserve"> IF(MONTH(LstMachines[[#This Row],[VteESM]])&lt;10,"0","") &amp; MONTH(LstMachines[[#This Row],[VteESM]]) &amp; "-" &amp; YEAR(LstMachines[[#This Row],[VteESM]])</f>
        <v>10-2018</v>
      </c>
      <c r="AF152" s="258">
        <f>LstMachines[[#This Row],[DateLivr]]+Rglt_à_ESMTP</f>
        <v>43326</v>
      </c>
      <c r="AG152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52" s="258">
        <f>LstMachines[[#This Row],[VteESM]]+Rglt_à_ESMTP</f>
        <v>43446</v>
      </c>
      <c r="AI152" s="258" t="str">
        <f xml:space="preserve"> IF(MONTH(LstMachines[[#This Row],[RgltVteESM]])&lt;10,"0","") &amp; MONTH(LstMachines[[#This Row],[RgltVteESM]]) &amp; "-" &amp; YEAR(LstMachines[[#This Row],[RgltVteESM]])</f>
        <v>12-2018</v>
      </c>
      <c r="AJ152" s="140">
        <f>MONTH(LstMachines[[#This Row],[DatePaie]])</f>
        <v>8</v>
      </c>
      <c r="AK152" s="88" t="str">
        <f>FIXED(YEAR(LstMachines[[#This Row],[DatePaie]]),0,TRUE)</f>
        <v>2018</v>
      </c>
      <c r="AL152" s="140"/>
      <c r="AM152" s="414"/>
      <c r="AN152" s="92"/>
      <c r="AO152" s="92"/>
      <c r="AP152" s="92"/>
      <c r="AQ152" s="92"/>
      <c r="AR152" s="92"/>
      <c r="AS152" s="92"/>
      <c r="AT152" s="92"/>
      <c r="AU152" s="92"/>
      <c r="AV152" s="92"/>
      <c r="AW152" s="92"/>
      <c r="AX152" s="92"/>
      <c r="AY152" s="92"/>
      <c r="BA152" s="92"/>
      <c r="BC152" s="92"/>
      <c r="BD152" s="92"/>
      <c r="BE152" s="92"/>
    </row>
    <row r="153" spans="2:57" hidden="1">
      <c r="B153" s="104" t="s">
        <v>75</v>
      </c>
      <c r="C153" s="104" t="s">
        <v>35</v>
      </c>
      <c r="D153" s="87">
        <v>19</v>
      </c>
      <c r="E153" s="104" t="s">
        <v>76</v>
      </c>
      <c r="F153" s="87" t="s">
        <v>297</v>
      </c>
      <c r="G153" s="87" t="s">
        <v>32</v>
      </c>
      <c r="H153" s="89">
        <v>1</v>
      </c>
      <c r="I15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153" s="88">
        <v>43266</v>
      </c>
      <c r="K153" s="99" t="s">
        <v>461</v>
      </c>
      <c r="L153" s="120" t="s">
        <v>378</v>
      </c>
      <c r="M153" s="99"/>
      <c r="N153" s="90"/>
      <c r="O153" s="255">
        <f>MONTH(LstMachines[[#This Row],[Delivery]])</f>
        <v>6</v>
      </c>
      <c r="P153" s="256" t="str">
        <f>FIXED(YEAR(LstMachines[[#This Row],[Delivery]]),0,TRUE)</f>
        <v>2018</v>
      </c>
      <c r="Q153" s="73"/>
      <c r="R153" s="93"/>
      <c r="S153" s="90"/>
      <c r="T153" s="90"/>
      <c r="U153" s="90" t="s">
        <v>104</v>
      </c>
      <c r="V153" s="72"/>
      <c r="W153" s="99" t="s">
        <v>383</v>
      </c>
      <c r="X153" s="258">
        <f>LstMachines[[#This Row],[Delivery]]</f>
        <v>43266</v>
      </c>
      <c r="Y153" s="258" t="str">
        <f xml:space="preserve"> IF(MONTH(LstMachines[[#This Row],[DateLivr]])&lt;10,"0","") &amp; MONTH(LstMachines[[#This Row],[DateLivr]]) &amp;"-"&amp;YEAR(LstMachines[[#This Row],[DateLivr]])</f>
        <v>06-2018</v>
      </c>
      <c r="Z153" s="258">
        <f>LstMachines[[#This Row],[Delivery]]+Rglt_à_HCME</f>
        <v>43326</v>
      </c>
      <c r="AA153" s="258" t="str">
        <f xml:space="preserve"> IF(MONTH(LstMachines[[#This Row],[DatePaie]])&lt;10,"0","") &amp; MONTH(LstMachines[[#This Row],[DatePaie]])&amp;"-"&amp;YEAR(LstMachines[[#This Row],[DatePaie]])</f>
        <v>08-2018</v>
      </c>
      <c r="AB153" s="258">
        <f>LstMachines[[#This Row],[DateLivr]]+1</f>
        <v>43267</v>
      </c>
      <c r="AC153" s="258" t="str">
        <f xml:space="preserve"> IF(MONTH(LstMachines[[#This Row],[Distrib]])&lt;10,"0","") &amp; MONTH(LstMachines[[#This Row],[Distrib]]) &amp; "-" &amp; YEAR(LstMachines[[#This Row],[Distrib]])</f>
        <v>06-2018</v>
      </c>
      <c r="AD153" s="258">
        <f>LstMachines[[#This Row],[DateLivr]]+Délai_Vente</f>
        <v>43386</v>
      </c>
      <c r="AE153" s="258" t="str">
        <f xml:space="preserve"> IF(MONTH(LstMachines[[#This Row],[VteESM]])&lt;10,"0","") &amp; MONTH(LstMachines[[#This Row],[VteESM]]) &amp; "-" &amp; YEAR(LstMachines[[#This Row],[VteESM]])</f>
        <v>10-2018</v>
      </c>
      <c r="AF153" s="258">
        <f>LstMachines[[#This Row],[DateLivr]]+Rglt_à_ESMTP</f>
        <v>43326</v>
      </c>
      <c r="AG153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53" s="258">
        <f>LstMachines[[#This Row],[VteESM]]+Rglt_à_ESMTP</f>
        <v>43446</v>
      </c>
      <c r="AI153" s="258" t="str">
        <f xml:space="preserve"> IF(MONTH(LstMachines[[#This Row],[RgltVteESM]])&lt;10,"0","") &amp; MONTH(LstMachines[[#This Row],[RgltVteESM]]) &amp; "-" &amp; YEAR(LstMachines[[#This Row],[RgltVteESM]])</f>
        <v>12-2018</v>
      </c>
      <c r="AJ153" s="140">
        <f>MONTH(LstMachines[[#This Row],[DatePaie]])</f>
        <v>8</v>
      </c>
      <c r="AK153" s="88" t="str">
        <f>FIXED(YEAR(LstMachines[[#This Row],[DatePaie]]),0,TRUE)</f>
        <v>2018</v>
      </c>
      <c r="AL153" s="140"/>
      <c r="AM153" s="414"/>
      <c r="AN153" s="92"/>
      <c r="AO153" s="92"/>
      <c r="AP153" s="92"/>
      <c r="AQ153" s="92"/>
      <c r="AR153" s="92"/>
      <c r="AS153" s="92"/>
      <c r="AT153" s="92"/>
      <c r="AU153" s="92"/>
      <c r="AV153" s="92"/>
      <c r="AW153" s="92"/>
      <c r="AX153" s="92"/>
      <c r="AY153" s="92"/>
      <c r="BA153" s="92"/>
      <c r="BC153" s="92"/>
      <c r="BD153" s="92"/>
      <c r="BE153" s="92"/>
    </row>
    <row r="154" spans="2:57" hidden="1">
      <c r="B154" s="104" t="s">
        <v>75</v>
      </c>
      <c r="C154" s="104" t="s">
        <v>34</v>
      </c>
      <c r="D154" s="87">
        <v>10</v>
      </c>
      <c r="E154" s="86" t="s">
        <v>178</v>
      </c>
      <c r="F154" s="87" t="s">
        <v>100</v>
      </c>
      <c r="G154" s="87" t="s">
        <v>31</v>
      </c>
      <c r="H154" s="89">
        <v>1</v>
      </c>
      <c r="I15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15</v>
      </c>
      <c r="J154" s="88">
        <v>43266</v>
      </c>
      <c r="K154" s="99" t="s">
        <v>461</v>
      </c>
      <c r="L154" s="120" t="s">
        <v>378</v>
      </c>
      <c r="M154" s="99"/>
      <c r="N154" s="90"/>
      <c r="O154" s="255">
        <f>MONTH(LstMachines[[#This Row],[Delivery]])</f>
        <v>6</v>
      </c>
      <c r="P154" s="256" t="str">
        <f>FIXED(YEAR(LstMachines[[#This Row],[Delivery]]),0,TRUE)</f>
        <v>2018</v>
      </c>
      <c r="Q154" s="73"/>
      <c r="R154" s="93"/>
      <c r="S154" s="90"/>
      <c r="T154" s="90"/>
      <c r="U154" s="90" t="s">
        <v>105</v>
      </c>
      <c r="V154" s="72"/>
      <c r="W154" s="99" t="s">
        <v>384</v>
      </c>
      <c r="X154" s="258">
        <f>LstMachines[[#This Row],[Delivery]]</f>
        <v>43266</v>
      </c>
      <c r="Y154" s="258" t="str">
        <f xml:space="preserve"> IF(MONTH(LstMachines[[#This Row],[DateLivr]])&lt;10,"0","") &amp; MONTH(LstMachines[[#This Row],[DateLivr]]) &amp;"-"&amp;YEAR(LstMachines[[#This Row],[DateLivr]])</f>
        <v>06-2018</v>
      </c>
      <c r="Z154" s="258">
        <f>LstMachines[[#This Row],[Delivery]]+Rglt_à_HCME</f>
        <v>43326</v>
      </c>
      <c r="AA154" s="258" t="str">
        <f xml:space="preserve"> IF(MONTH(LstMachines[[#This Row],[DatePaie]])&lt;10,"0","") &amp; MONTH(LstMachines[[#This Row],[DatePaie]])&amp;"-"&amp;YEAR(LstMachines[[#This Row],[DatePaie]])</f>
        <v>08-2018</v>
      </c>
      <c r="AB154" s="258">
        <f>LstMachines[[#This Row],[DateLivr]]+1</f>
        <v>43267</v>
      </c>
      <c r="AC154" s="258" t="str">
        <f xml:space="preserve"> IF(MONTH(LstMachines[[#This Row],[Distrib]])&lt;10,"0","") &amp; MONTH(LstMachines[[#This Row],[Distrib]]) &amp; "-" &amp; YEAR(LstMachines[[#This Row],[Distrib]])</f>
        <v>06-2018</v>
      </c>
      <c r="AD154" s="258">
        <f>LstMachines[[#This Row],[DateLivr]]+Délai_Vente</f>
        <v>43386</v>
      </c>
      <c r="AE154" s="258" t="str">
        <f xml:space="preserve"> IF(MONTH(LstMachines[[#This Row],[VteESM]])&lt;10,"0","") &amp; MONTH(LstMachines[[#This Row],[VteESM]]) &amp; "-" &amp; YEAR(LstMachines[[#This Row],[VteESM]])</f>
        <v>10-2018</v>
      </c>
      <c r="AF154" s="258">
        <f>LstMachines[[#This Row],[DateLivr]]+Rglt_à_ESMTP</f>
        <v>43326</v>
      </c>
      <c r="AG154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54" s="258">
        <f>LstMachines[[#This Row],[VteESM]]+Rglt_à_ESMTP</f>
        <v>43446</v>
      </c>
      <c r="AI154" s="258" t="str">
        <f xml:space="preserve"> IF(MONTH(LstMachines[[#This Row],[RgltVteESM]])&lt;10,"0","") &amp; MONTH(LstMachines[[#This Row],[RgltVteESM]]) &amp; "-" &amp; YEAR(LstMachines[[#This Row],[RgltVteESM]])</f>
        <v>12-2018</v>
      </c>
      <c r="AJ154" s="140">
        <f>MONTH(LstMachines[[#This Row],[DatePaie]])</f>
        <v>8</v>
      </c>
      <c r="AK154" s="88" t="str">
        <f>FIXED(YEAR(LstMachines[[#This Row],[DatePaie]]),0,TRUE)</f>
        <v>2018</v>
      </c>
      <c r="AL154" s="140"/>
      <c r="AM154" s="414"/>
      <c r="AN154" s="92"/>
      <c r="AO154" s="92"/>
      <c r="AP154" s="92"/>
      <c r="AQ154" s="92"/>
      <c r="AR154" s="92"/>
      <c r="AS154" s="92"/>
      <c r="AT154" s="92"/>
      <c r="AU154" s="92"/>
      <c r="AV154" s="92"/>
      <c r="AW154" s="92"/>
      <c r="AX154" s="92"/>
      <c r="AY154" s="92"/>
      <c r="BA154" s="92"/>
      <c r="BC154" s="92"/>
      <c r="BD154" s="92"/>
      <c r="BE154" s="92"/>
    </row>
    <row r="155" spans="2:57" hidden="1">
      <c r="B155" s="104" t="s">
        <v>75</v>
      </c>
      <c r="C155" s="104" t="s">
        <v>36</v>
      </c>
      <c r="D155" s="87">
        <v>26</v>
      </c>
      <c r="E155" s="86" t="s">
        <v>355</v>
      </c>
      <c r="F155" s="87" t="s">
        <v>100</v>
      </c>
      <c r="G155" s="87" t="s">
        <v>31</v>
      </c>
      <c r="H155" s="89">
        <v>3</v>
      </c>
      <c r="I15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66</v>
      </c>
      <c r="J155" s="88">
        <v>43266</v>
      </c>
      <c r="K155" s="99" t="s">
        <v>461</v>
      </c>
      <c r="L155" s="120" t="s">
        <v>378</v>
      </c>
      <c r="M155" s="99"/>
      <c r="N155" s="90"/>
      <c r="O155" s="255">
        <f>MONTH(LstMachines[[#This Row],[Delivery]])</f>
        <v>6</v>
      </c>
      <c r="P155" s="256" t="str">
        <f>FIXED(YEAR(LstMachines[[#This Row],[Delivery]]),0,TRUE)</f>
        <v>2018</v>
      </c>
      <c r="Q155" s="73"/>
      <c r="R155" s="93"/>
      <c r="S155" s="90"/>
      <c r="T155" s="90"/>
      <c r="U155" s="90" t="s">
        <v>105</v>
      </c>
      <c r="V155" s="72"/>
      <c r="W155" s="99" t="s">
        <v>384</v>
      </c>
      <c r="X155" s="258">
        <f>LstMachines[[#This Row],[Delivery]]</f>
        <v>43266</v>
      </c>
      <c r="Y155" s="258" t="str">
        <f xml:space="preserve"> IF(MONTH(LstMachines[[#This Row],[DateLivr]])&lt;10,"0","") &amp; MONTH(LstMachines[[#This Row],[DateLivr]]) &amp;"-"&amp;YEAR(LstMachines[[#This Row],[DateLivr]])</f>
        <v>06-2018</v>
      </c>
      <c r="Z155" s="258">
        <f>LstMachines[[#This Row],[Delivery]]+Rglt_à_HCME</f>
        <v>43326</v>
      </c>
      <c r="AA155" s="258" t="str">
        <f xml:space="preserve"> IF(MONTH(LstMachines[[#This Row],[DatePaie]])&lt;10,"0","") &amp; MONTH(LstMachines[[#This Row],[DatePaie]])&amp;"-"&amp;YEAR(LstMachines[[#This Row],[DatePaie]])</f>
        <v>08-2018</v>
      </c>
      <c r="AB155" s="258">
        <f>LstMachines[[#This Row],[DateLivr]]+1</f>
        <v>43267</v>
      </c>
      <c r="AC155" s="258" t="str">
        <f xml:space="preserve"> IF(MONTH(LstMachines[[#This Row],[Distrib]])&lt;10,"0","") &amp; MONTH(LstMachines[[#This Row],[Distrib]]) &amp; "-" &amp; YEAR(LstMachines[[#This Row],[Distrib]])</f>
        <v>06-2018</v>
      </c>
      <c r="AD155" s="258">
        <f>LstMachines[[#This Row],[DateLivr]]+Délai_Vente</f>
        <v>43386</v>
      </c>
      <c r="AE155" s="258" t="str">
        <f xml:space="preserve"> IF(MONTH(LstMachines[[#This Row],[VteESM]])&lt;10,"0","") &amp; MONTH(LstMachines[[#This Row],[VteESM]]) &amp; "-" &amp; YEAR(LstMachines[[#This Row],[VteESM]])</f>
        <v>10-2018</v>
      </c>
      <c r="AF155" s="258">
        <f>LstMachines[[#This Row],[DateLivr]]+Rglt_à_ESMTP</f>
        <v>43326</v>
      </c>
      <c r="AG155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55" s="258">
        <f>LstMachines[[#This Row],[VteESM]]+Rglt_à_ESMTP</f>
        <v>43446</v>
      </c>
      <c r="AI155" s="258" t="str">
        <f xml:space="preserve"> IF(MONTH(LstMachines[[#This Row],[RgltVteESM]])&lt;10,"0","") &amp; MONTH(LstMachines[[#This Row],[RgltVteESM]]) &amp; "-" &amp; YEAR(LstMachines[[#This Row],[RgltVteESM]])</f>
        <v>12-2018</v>
      </c>
      <c r="AJ155" s="140">
        <f>MONTH(LstMachines[[#This Row],[DatePaie]])</f>
        <v>8</v>
      </c>
      <c r="AK155" s="88" t="str">
        <f>FIXED(YEAR(LstMachines[[#This Row],[DatePaie]]),0,TRUE)</f>
        <v>2018</v>
      </c>
      <c r="AL155" s="140"/>
      <c r="AM155" s="414"/>
      <c r="AN155" s="92"/>
      <c r="AO155" s="92"/>
      <c r="AP155" s="92"/>
      <c r="AQ155" s="92"/>
      <c r="AR155" s="92"/>
      <c r="AS155" s="92"/>
      <c r="AT155" s="92"/>
      <c r="AU155" s="92"/>
      <c r="AV155" s="92"/>
      <c r="AW155" s="92"/>
      <c r="AX155" s="92"/>
      <c r="AY155" s="92"/>
      <c r="BA155" s="92"/>
      <c r="BC155" s="92"/>
      <c r="BD155" s="92"/>
      <c r="BE155" s="92"/>
    </row>
    <row r="156" spans="2:57" hidden="1">
      <c r="B156" s="104" t="s">
        <v>75</v>
      </c>
      <c r="C156" s="104" t="s">
        <v>38</v>
      </c>
      <c r="D156" s="87">
        <v>65</v>
      </c>
      <c r="E156" s="104" t="s">
        <v>364</v>
      </c>
      <c r="F156" s="87" t="s">
        <v>100</v>
      </c>
      <c r="G156" s="87" t="s">
        <v>31</v>
      </c>
      <c r="H156" s="89">
        <v>2</v>
      </c>
      <c r="I15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90</v>
      </c>
      <c r="J156" s="88">
        <v>43266</v>
      </c>
      <c r="K156" s="99" t="s">
        <v>461</v>
      </c>
      <c r="L156" s="120" t="s">
        <v>378</v>
      </c>
      <c r="M156" s="99"/>
      <c r="N156" s="90"/>
      <c r="O156" s="255">
        <f>MONTH(LstMachines[[#This Row],[Delivery]])</f>
        <v>6</v>
      </c>
      <c r="P156" s="256" t="str">
        <f>FIXED(YEAR(LstMachines[[#This Row],[Delivery]]),0,TRUE)</f>
        <v>2018</v>
      </c>
      <c r="Q156" s="73"/>
      <c r="R156" s="93"/>
      <c r="S156" s="90"/>
      <c r="T156" s="90"/>
      <c r="U156" s="90" t="s">
        <v>104</v>
      </c>
      <c r="V156" s="72"/>
      <c r="W156" s="99" t="s">
        <v>383</v>
      </c>
      <c r="X156" s="258">
        <f>LstMachines[[#This Row],[Delivery]]</f>
        <v>43266</v>
      </c>
      <c r="Y156" s="258" t="str">
        <f xml:space="preserve"> IF(MONTH(LstMachines[[#This Row],[DateLivr]])&lt;10,"0","") &amp; MONTH(LstMachines[[#This Row],[DateLivr]]) &amp;"-"&amp;YEAR(LstMachines[[#This Row],[DateLivr]])</f>
        <v>06-2018</v>
      </c>
      <c r="Z156" s="258">
        <f>LstMachines[[#This Row],[Delivery]]+Rglt_à_HCME</f>
        <v>43326</v>
      </c>
      <c r="AA156" s="258" t="str">
        <f xml:space="preserve"> IF(MONTH(LstMachines[[#This Row],[DatePaie]])&lt;10,"0","") &amp; MONTH(LstMachines[[#This Row],[DatePaie]])&amp;"-"&amp;YEAR(LstMachines[[#This Row],[DatePaie]])</f>
        <v>08-2018</v>
      </c>
      <c r="AB156" s="258">
        <f>LstMachines[[#This Row],[DateLivr]]+1</f>
        <v>43267</v>
      </c>
      <c r="AC156" s="258" t="str">
        <f xml:space="preserve"> IF(MONTH(LstMachines[[#This Row],[Distrib]])&lt;10,"0","") &amp; MONTH(LstMachines[[#This Row],[Distrib]]) &amp; "-" &amp; YEAR(LstMachines[[#This Row],[Distrib]])</f>
        <v>06-2018</v>
      </c>
      <c r="AD156" s="258">
        <f>LstMachines[[#This Row],[DateLivr]]+Délai_Vente</f>
        <v>43386</v>
      </c>
      <c r="AE156" s="258" t="str">
        <f xml:space="preserve"> IF(MONTH(LstMachines[[#This Row],[VteESM]])&lt;10,"0","") &amp; MONTH(LstMachines[[#This Row],[VteESM]]) &amp; "-" &amp; YEAR(LstMachines[[#This Row],[VteESM]])</f>
        <v>10-2018</v>
      </c>
      <c r="AF156" s="258">
        <f>LstMachines[[#This Row],[DateLivr]]+Rglt_à_ESMTP</f>
        <v>43326</v>
      </c>
      <c r="AG156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56" s="258">
        <f>LstMachines[[#This Row],[VteESM]]+Rglt_à_ESMTP</f>
        <v>43446</v>
      </c>
      <c r="AI156" s="258" t="str">
        <f xml:space="preserve"> IF(MONTH(LstMachines[[#This Row],[RgltVteESM]])&lt;10,"0","") &amp; MONTH(LstMachines[[#This Row],[RgltVteESM]]) &amp; "-" &amp; YEAR(LstMachines[[#This Row],[RgltVteESM]])</f>
        <v>12-2018</v>
      </c>
      <c r="AJ156" s="140">
        <f>MONTH(LstMachines[[#This Row],[DatePaie]])</f>
        <v>8</v>
      </c>
      <c r="AK156" s="88" t="str">
        <f>FIXED(YEAR(LstMachines[[#This Row],[DatePaie]]),0,TRUE)</f>
        <v>2018</v>
      </c>
      <c r="AL156" s="140"/>
      <c r="AM156" s="414"/>
      <c r="AN156" s="92"/>
      <c r="AO156" s="92"/>
      <c r="AP156" s="92"/>
      <c r="AQ156" s="92"/>
      <c r="AR156" s="92"/>
      <c r="AS156" s="92"/>
      <c r="AT156" s="92"/>
      <c r="AU156" s="92"/>
      <c r="AV156" s="92"/>
      <c r="AW156" s="92"/>
      <c r="AX156" s="92"/>
      <c r="AY156" s="92"/>
      <c r="BA156" s="92"/>
      <c r="BC156" s="92"/>
      <c r="BD156" s="92"/>
      <c r="BE156" s="92"/>
    </row>
    <row r="157" spans="2:57" hidden="1">
      <c r="B157" s="104" t="s">
        <v>262</v>
      </c>
      <c r="C157" s="104" t="s">
        <v>45</v>
      </c>
      <c r="D157" s="87">
        <v>300</v>
      </c>
      <c r="E157" s="86" t="s">
        <v>216</v>
      </c>
      <c r="F157" s="87" t="s">
        <v>100</v>
      </c>
      <c r="G157" s="87" t="s">
        <v>31</v>
      </c>
      <c r="H157" s="89">
        <v>1</v>
      </c>
      <c r="I15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168</v>
      </c>
      <c r="J157" s="88">
        <v>43266</v>
      </c>
      <c r="K157" s="99" t="s">
        <v>461</v>
      </c>
      <c r="L157" s="120" t="s">
        <v>378</v>
      </c>
      <c r="M157" s="99"/>
      <c r="N157" s="90"/>
      <c r="O157" s="255">
        <f>MONTH(LstMachines[[#This Row],[Delivery]])</f>
        <v>6</v>
      </c>
      <c r="P157" s="256" t="str">
        <f>FIXED(YEAR(LstMachines[[#This Row],[Delivery]]),0,TRUE)</f>
        <v>2018</v>
      </c>
      <c r="Q157" s="73"/>
      <c r="R157" s="93"/>
      <c r="S157" s="90"/>
      <c r="T157" s="90"/>
      <c r="U157" s="90"/>
      <c r="V157" s="72"/>
      <c r="W157" s="99"/>
      <c r="X157" s="258">
        <f>LstMachines[[#This Row],[Delivery]]</f>
        <v>43266</v>
      </c>
      <c r="Y157" s="258" t="str">
        <f xml:space="preserve"> IF(MONTH(LstMachines[[#This Row],[DateLivr]])&lt;10,"0","") &amp; MONTH(LstMachines[[#This Row],[DateLivr]]) &amp;"-"&amp;YEAR(LstMachines[[#This Row],[DateLivr]])</f>
        <v>06-2018</v>
      </c>
      <c r="Z157" s="258">
        <f>LstMachines[[#This Row],[Delivery]]+Rglt_à_HCME</f>
        <v>43326</v>
      </c>
      <c r="AA157" s="258" t="str">
        <f xml:space="preserve"> IF(MONTH(LstMachines[[#This Row],[DatePaie]])&lt;10,"0","") &amp; MONTH(LstMachines[[#This Row],[DatePaie]])&amp;"-"&amp;YEAR(LstMachines[[#This Row],[DatePaie]])</f>
        <v>08-2018</v>
      </c>
      <c r="AB157" s="258">
        <f>LstMachines[[#This Row],[DateLivr]]+1</f>
        <v>43267</v>
      </c>
      <c r="AC157" s="258" t="str">
        <f xml:space="preserve"> IF(MONTH(LstMachines[[#This Row],[Distrib]])&lt;10,"0","") &amp; MONTH(LstMachines[[#This Row],[Distrib]]) &amp; "-" &amp; YEAR(LstMachines[[#This Row],[Distrib]])</f>
        <v>06-2018</v>
      </c>
      <c r="AD157" s="258">
        <f>LstMachines[[#This Row],[DateLivr]]+Délai_Vente</f>
        <v>43386</v>
      </c>
      <c r="AE157" s="258" t="str">
        <f xml:space="preserve"> IF(MONTH(LstMachines[[#This Row],[VteESM]])&lt;10,"0","") &amp; MONTH(LstMachines[[#This Row],[VteESM]]) &amp; "-" &amp; YEAR(LstMachines[[#This Row],[VteESM]])</f>
        <v>10-2018</v>
      </c>
      <c r="AF157" s="258">
        <f>LstMachines[[#This Row],[DateLivr]]+Rglt_à_ESMTP</f>
        <v>43326</v>
      </c>
      <c r="AG157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57" s="258">
        <f>LstMachines[[#This Row],[VteESM]]+Rglt_à_ESMTP</f>
        <v>43446</v>
      </c>
      <c r="AI157" s="258" t="str">
        <f xml:space="preserve"> IF(MONTH(LstMachines[[#This Row],[RgltVteESM]])&lt;10,"0","") &amp; MONTH(LstMachines[[#This Row],[RgltVteESM]]) &amp; "-" &amp; YEAR(LstMachines[[#This Row],[RgltVteESM]])</f>
        <v>12-2018</v>
      </c>
      <c r="AJ157" s="140">
        <f>MONTH(LstMachines[[#This Row],[DatePaie]])</f>
        <v>8</v>
      </c>
      <c r="AK157" s="88" t="str">
        <f>FIXED(YEAR(LstMachines[[#This Row],[DatePaie]]),0,TRUE)</f>
        <v>2018</v>
      </c>
      <c r="AL157" s="140"/>
      <c r="AM157" s="414"/>
      <c r="AN157" s="92"/>
      <c r="AO157" s="92"/>
      <c r="AP157" s="92"/>
      <c r="AQ157" s="92"/>
      <c r="AR157" s="92"/>
      <c r="AS157" s="92"/>
      <c r="AT157" s="92"/>
      <c r="AU157" s="92"/>
      <c r="AV157" s="92"/>
      <c r="AW157" s="92"/>
      <c r="AX157" s="92"/>
      <c r="AY157" s="92"/>
      <c r="BA157" s="92"/>
      <c r="BC157" s="92"/>
      <c r="BD157" s="92"/>
      <c r="BE157" s="92"/>
    </row>
    <row r="158" spans="2:57" hidden="1">
      <c r="B158" s="104" t="s">
        <v>259</v>
      </c>
      <c r="C158" s="104" t="s">
        <v>49</v>
      </c>
      <c r="D158" s="87">
        <v>310</v>
      </c>
      <c r="E158" s="86" t="s">
        <v>177</v>
      </c>
      <c r="F158" s="87" t="s">
        <v>100</v>
      </c>
      <c r="G158" s="87" t="s">
        <v>31</v>
      </c>
      <c r="H158" s="89">
        <v>1</v>
      </c>
      <c r="I15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180</v>
      </c>
      <c r="J158" s="88">
        <v>43266</v>
      </c>
      <c r="K158" s="99" t="s">
        <v>461</v>
      </c>
      <c r="L158" s="120" t="s">
        <v>378</v>
      </c>
      <c r="M158" s="99"/>
      <c r="N158" s="90"/>
      <c r="O158" s="255">
        <f>MONTH(LstMachines[[#This Row],[Delivery]])</f>
        <v>6</v>
      </c>
      <c r="P158" s="256" t="str">
        <f>FIXED(YEAR(LstMachines[[#This Row],[Delivery]]),0,TRUE)</f>
        <v>2018</v>
      </c>
      <c r="Q158" s="73"/>
      <c r="R158" s="93"/>
      <c r="S158" s="90"/>
      <c r="T158" s="90"/>
      <c r="U158" s="90" t="s">
        <v>105</v>
      </c>
      <c r="V158" s="72"/>
      <c r="W158" s="99" t="s">
        <v>384</v>
      </c>
      <c r="X158" s="258">
        <f>LstMachines[[#This Row],[Delivery]]</f>
        <v>43266</v>
      </c>
      <c r="Y158" s="258" t="str">
        <f xml:space="preserve"> IF(MONTH(LstMachines[[#This Row],[DateLivr]])&lt;10,"0","") &amp; MONTH(LstMachines[[#This Row],[DateLivr]]) &amp;"-"&amp;YEAR(LstMachines[[#This Row],[DateLivr]])</f>
        <v>06-2018</v>
      </c>
      <c r="Z158" s="258">
        <f>LstMachines[[#This Row],[Delivery]]+Rglt_à_HCME</f>
        <v>43326</v>
      </c>
      <c r="AA158" s="258" t="str">
        <f xml:space="preserve"> IF(MONTH(LstMachines[[#This Row],[DatePaie]])&lt;10,"0","") &amp; MONTH(LstMachines[[#This Row],[DatePaie]])&amp;"-"&amp;YEAR(LstMachines[[#This Row],[DatePaie]])</f>
        <v>08-2018</v>
      </c>
      <c r="AB158" s="258">
        <f>LstMachines[[#This Row],[DateLivr]]+1</f>
        <v>43267</v>
      </c>
      <c r="AC158" s="258" t="str">
        <f xml:space="preserve"> IF(MONTH(LstMachines[[#This Row],[Distrib]])&lt;10,"0","") &amp; MONTH(LstMachines[[#This Row],[Distrib]]) &amp; "-" &amp; YEAR(LstMachines[[#This Row],[Distrib]])</f>
        <v>06-2018</v>
      </c>
      <c r="AD158" s="258">
        <f>LstMachines[[#This Row],[DateLivr]]+Délai_Vente</f>
        <v>43386</v>
      </c>
      <c r="AE158" s="258" t="str">
        <f xml:space="preserve"> IF(MONTH(LstMachines[[#This Row],[VteESM]])&lt;10,"0","") &amp; MONTH(LstMachines[[#This Row],[VteESM]]) &amp; "-" &amp; YEAR(LstMachines[[#This Row],[VteESM]])</f>
        <v>10-2018</v>
      </c>
      <c r="AF158" s="258">
        <f>LstMachines[[#This Row],[DateLivr]]+Rglt_à_ESMTP</f>
        <v>43326</v>
      </c>
      <c r="AG158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58" s="258">
        <f>LstMachines[[#This Row],[VteESM]]+Rglt_à_ESMTP</f>
        <v>43446</v>
      </c>
      <c r="AI158" s="258" t="str">
        <f xml:space="preserve"> IF(MONTH(LstMachines[[#This Row],[RgltVteESM]])&lt;10,"0","") &amp; MONTH(LstMachines[[#This Row],[RgltVteESM]]) &amp; "-" &amp; YEAR(LstMachines[[#This Row],[RgltVteESM]])</f>
        <v>12-2018</v>
      </c>
      <c r="AJ158" s="140">
        <f>MONTH(LstMachines[[#This Row],[DatePaie]])</f>
        <v>8</v>
      </c>
      <c r="AK158" s="88" t="str">
        <f>FIXED(YEAR(LstMachines[[#This Row],[DatePaie]]),0,TRUE)</f>
        <v>2018</v>
      </c>
      <c r="AL158" s="140"/>
      <c r="AM158" s="414"/>
      <c r="AN158" s="92"/>
      <c r="AO158" s="92"/>
      <c r="AP158" s="92"/>
      <c r="AQ158" s="92"/>
      <c r="AR158" s="92"/>
      <c r="AS158" s="92"/>
      <c r="AT158" s="92"/>
      <c r="AU158" s="92"/>
      <c r="AV158" s="92"/>
      <c r="AW158" s="92"/>
      <c r="AX158" s="92"/>
      <c r="AY158" s="92"/>
      <c r="BA158" s="92"/>
      <c r="BC158" s="92"/>
      <c r="BD158" s="92"/>
      <c r="BE158" s="92"/>
    </row>
    <row r="159" spans="2:57" hidden="1">
      <c r="B159" s="104" t="s">
        <v>259</v>
      </c>
      <c r="C159" s="104" t="s">
        <v>49</v>
      </c>
      <c r="D159" s="87">
        <v>310</v>
      </c>
      <c r="E159" s="86" t="s">
        <v>177</v>
      </c>
      <c r="F159" s="87" t="s">
        <v>100</v>
      </c>
      <c r="G159" s="87" t="s">
        <v>592</v>
      </c>
      <c r="H159" s="89">
        <v>0</v>
      </c>
      <c r="I15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159" s="88">
        <v>43266</v>
      </c>
      <c r="K159" s="99" t="s">
        <v>461</v>
      </c>
      <c r="L159" s="120" t="s">
        <v>378</v>
      </c>
      <c r="M159" s="99"/>
      <c r="N159" s="90"/>
      <c r="O159" s="255">
        <f>MONTH(LstMachines[[#This Row],[Delivery]])</f>
        <v>6</v>
      </c>
      <c r="P159" s="256" t="str">
        <f>FIXED(YEAR(LstMachines[[#This Row],[Delivery]]),0,TRUE)</f>
        <v>2018</v>
      </c>
      <c r="Q159" s="73"/>
      <c r="R159" s="93"/>
      <c r="S159" s="90"/>
      <c r="T159" s="90"/>
      <c r="U159" s="90" t="s">
        <v>104</v>
      </c>
      <c r="V159" s="72"/>
      <c r="W159" s="99" t="s">
        <v>383</v>
      </c>
      <c r="X159" s="258">
        <f>LstMachines[[#This Row],[Delivery]]</f>
        <v>43266</v>
      </c>
      <c r="Y159" s="258" t="str">
        <f xml:space="preserve"> IF(MONTH(LstMachines[[#This Row],[DateLivr]])&lt;10,"0","") &amp; MONTH(LstMachines[[#This Row],[DateLivr]]) &amp;"-"&amp;YEAR(LstMachines[[#This Row],[DateLivr]])</f>
        <v>06-2018</v>
      </c>
      <c r="Z159" s="258">
        <f>LstMachines[[#This Row],[Delivery]]+Rglt_à_HCME</f>
        <v>43326</v>
      </c>
      <c r="AA159" s="258" t="str">
        <f xml:space="preserve"> IF(MONTH(LstMachines[[#This Row],[DatePaie]])&lt;10,"0","") &amp; MONTH(LstMachines[[#This Row],[DatePaie]])&amp;"-"&amp;YEAR(LstMachines[[#This Row],[DatePaie]])</f>
        <v>08-2018</v>
      </c>
      <c r="AB159" s="258">
        <f>LstMachines[[#This Row],[DateLivr]]+1</f>
        <v>43267</v>
      </c>
      <c r="AC159" s="258" t="str">
        <f xml:space="preserve"> IF(MONTH(LstMachines[[#This Row],[Distrib]])&lt;10,"0","") &amp; MONTH(LstMachines[[#This Row],[Distrib]]) &amp; "-" &amp; YEAR(LstMachines[[#This Row],[Distrib]])</f>
        <v>06-2018</v>
      </c>
      <c r="AD159" s="258">
        <f>LstMachines[[#This Row],[DateLivr]]+Délai_Vente</f>
        <v>43386</v>
      </c>
      <c r="AE159" s="258" t="str">
        <f xml:space="preserve"> IF(MONTH(LstMachines[[#This Row],[VteESM]])&lt;10,"0","") &amp; MONTH(LstMachines[[#This Row],[VteESM]]) &amp; "-" &amp; YEAR(LstMachines[[#This Row],[VteESM]])</f>
        <v>10-2018</v>
      </c>
      <c r="AF159" s="258">
        <f>LstMachines[[#This Row],[DateLivr]]+Rglt_à_ESMTP</f>
        <v>43326</v>
      </c>
      <c r="AG159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59" s="258">
        <f>LstMachines[[#This Row],[VteESM]]+Rglt_à_ESMTP</f>
        <v>43446</v>
      </c>
      <c r="AI159" s="258" t="str">
        <f xml:space="preserve"> IF(MONTH(LstMachines[[#This Row],[RgltVteESM]])&lt;10,"0","") &amp; MONTH(LstMachines[[#This Row],[RgltVteESM]]) &amp; "-" &amp; YEAR(LstMachines[[#This Row],[RgltVteESM]])</f>
        <v>12-2018</v>
      </c>
      <c r="AJ159" s="140">
        <f>MONTH(LstMachines[[#This Row],[DatePaie]])</f>
        <v>8</v>
      </c>
      <c r="AK159" s="88" t="str">
        <f>FIXED(YEAR(LstMachines[[#This Row],[DatePaie]]),0,TRUE)</f>
        <v>2018</v>
      </c>
      <c r="AL159" s="140"/>
      <c r="AM159" s="414"/>
      <c r="AN159" s="92"/>
      <c r="AO159" s="92"/>
      <c r="AP159" s="92"/>
      <c r="AQ159" s="92"/>
      <c r="AR159" s="92"/>
      <c r="AS159" s="92"/>
      <c r="AT159" s="92"/>
      <c r="AU159" s="92"/>
      <c r="AV159" s="92"/>
      <c r="AW159" s="92"/>
      <c r="AX159" s="92"/>
      <c r="AY159" s="92"/>
      <c r="BA159" s="92"/>
      <c r="BC159" s="92"/>
      <c r="BD159" s="92"/>
      <c r="BE159" s="92"/>
    </row>
    <row r="160" spans="2:57" hidden="1">
      <c r="B160" s="104" t="s">
        <v>75</v>
      </c>
      <c r="C160" s="104" t="s">
        <v>34</v>
      </c>
      <c r="D160" s="87">
        <v>10</v>
      </c>
      <c r="E160" s="86" t="s">
        <v>178</v>
      </c>
      <c r="F160" s="87" t="s">
        <v>100</v>
      </c>
      <c r="G160" s="87" t="s">
        <v>592</v>
      </c>
      <c r="H160" s="89">
        <v>1</v>
      </c>
      <c r="I16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15</v>
      </c>
      <c r="J160" s="88">
        <v>43266</v>
      </c>
      <c r="K160" s="99" t="s">
        <v>461</v>
      </c>
      <c r="L160" s="120" t="s">
        <v>378</v>
      </c>
      <c r="M160" s="99"/>
      <c r="N160" s="90"/>
      <c r="O160" s="255">
        <f>MONTH(LstMachines[[#This Row],[Delivery]])</f>
        <v>6</v>
      </c>
      <c r="P160" s="256" t="str">
        <f>FIXED(YEAR(LstMachines[[#This Row],[Delivery]]),0,TRUE)</f>
        <v>2018</v>
      </c>
      <c r="Q160" s="73"/>
      <c r="R160" s="93"/>
      <c r="S160" s="90"/>
      <c r="T160" s="90"/>
      <c r="U160" s="90" t="s">
        <v>104</v>
      </c>
      <c r="V160" s="72"/>
      <c r="W160" s="99" t="s">
        <v>383</v>
      </c>
      <c r="X160" s="258">
        <f>LstMachines[[#This Row],[Delivery]]</f>
        <v>43266</v>
      </c>
      <c r="Y160" s="258" t="str">
        <f xml:space="preserve"> IF(MONTH(LstMachines[[#This Row],[DateLivr]])&lt;10,"0","") &amp; MONTH(LstMachines[[#This Row],[DateLivr]]) &amp;"-"&amp;YEAR(LstMachines[[#This Row],[DateLivr]])</f>
        <v>06-2018</v>
      </c>
      <c r="Z160" s="258">
        <f>LstMachines[[#This Row],[Delivery]]+Rglt_à_HCME</f>
        <v>43326</v>
      </c>
      <c r="AA160" s="258" t="str">
        <f xml:space="preserve"> IF(MONTH(LstMachines[[#This Row],[DatePaie]])&lt;10,"0","") &amp; MONTH(LstMachines[[#This Row],[DatePaie]])&amp;"-"&amp;YEAR(LstMachines[[#This Row],[DatePaie]])</f>
        <v>08-2018</v>
      </c>
      <c r="AB160" s="258">
        <f>LstMachines[[#This Row],[DateLivr]]+1</f>
        <v>43267</v>
      </c>
      <c r="AC160" s="258" t="str">
        <f xml:space="preserve"> IF(MONTH(LstMachines[[#This Row],[Distrib]])&lt;10,"0","") &amp; MONTH(LstMachines[[#This Row],[Distrib]]) &amp; "-" &amp; YEAR(LstMachines[[#This Row],[Distrib]])</f>
        <v>06-2018</v>
      </c>
      <c r="AD160" s="258">
        <f>LstMachines[[#This Row],[DateLivr]]+Délai_Vente</f>
        <v>43386</v>
      </c>
      <c r="AE160" s="258" t="str">
        <f xml:space="preserve"> IF(MONTH(LstMachines[[#This Row],[VteESM]])&lt;10,"0","") &amp; MONTH(LstMachines[[#This Row],[VteESM]]) &amp; "-" &amp; YEAR(LstMachines[[#This Row],[VteESM]])</f>
        <v>10-2018</v>
      </c>
      <c r="AF160" s="258">
        <f>LstMachines[[#This Row],[DateLivr]]+Rglt_à_ESMTP</f>
        <v>43326</v>
      </c>
      <c r="AG160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60" s="258">
        <f>LstMachines[[#This Row],[VteESM]]+Rglt_à_ESMTP</f>
        <v>43446</v>
      </c>
      <c r="AI160" s="258" t="str">
        <f xml:space="preserve"> IF(MONTH(LstMachines[[#This Row],[RgltVteESM]])&lt;10,"0","") &amp; MONTH(LstMachines[[#This Row],[RgltVteESM]]) &amp; "-" &amp; YEAR(LstMachines[[#This Row],[RgltVteESM]])</f>
        <v>12-2018</v>
      </c>
      <c r="AJ160" s="140">
        <f>MONTH(LstMachines[[#This Row],[DatePaie]])</f>
        <v>8</v>
      </c>
      <c r="AK160" s="88" t="str">
        <f>FIXED(YEAR(LstMachines[[#This Row],[DatePaie]]),0,TRUE)</f>
        <v>2018</v>
      </c>
      <c r="AL160" s="140"/>
      <c r="AM160" s="414"/>
      <c r="AN160" s="92"/>
      <c r="AO160" s="92"/>
      <c r="AP160" s="92"/>
      <c r="AQ160" s="92"/>
      <c r="AR160" s="92"/>
      <c r="AS160" s="92"/>
      <c r="AT160" s="92"/>
      <c r="AU160" s="92"/>
      <c r="AV160" s="92"/>
      <c r="AW160" s="92"/>
      <c r="AX160" s="92"/>
      <c r="AY160" s="92"/>
      <c r="BA160" s="92"/>
      <c r="BC160" s="92"/>
      <c r="BD160" s="92"/>
      <c r="BE160" s="92"/>
    </row>
    <row r="161" spans="2:57" hidden="1">
      <c r="B161" s="104" t="s">
        <v>262</v>
      </c>
      <c r="C161" s="104" t="s">
        <v>44</v>
      </c>
      <c r="D161" s="87">
        <v>225</v>
      </c>
      <c r="E161" s="104" t="s">
        <v>205</v>
      </c>
      <c r="F161" s="87" t="s">
        <v>100</v>
      </c>
      <c r="G161" s="87" t="s">
        <v>592</v>
      </c>
      <c r="H161" s="89">
        <v>1</v>
      </c>
      <c r="I16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161" s="88">
        <v>43266</v>
      </c>
      <c r="K161" s="99" t="s">
        <v>461</v>
      </c>
      <c r="L161" s="120" t="s">
        <v>378</v>
      </c>
      <c r="M161" s="99"/>
      <c r="N161" s="90"/>
      <c r="O161" s="255">
        <f>MONTH(LstMachines[[#This Row],[Delivery]])</f>
        <v>6</v>
      </c>
      <c r="P161" s="256" t="str">
        <f>FIXED(YEAR(LstMachines[[#This Row],[Delivery]]),0,TRUE)</f>
        <v>2018</v>
      </c>
      <c r="Q161" s="73"/>
      <c r="R161" s="93"/>
      <c r="S161" s="90"/>
      <c r="T161" s="90"/>
      <c r="U161" s="90" t="s">
        <v>104</v>
      </c>
      <c r="V161" s="72"/>
      <c r="W161" s="99" t="s">
        <v>383</v>
      </c>
      <c r="X161" s="258">
        <f>LstMachines[[#This Row],[Delivery]]</f>
        <v>43266</v>
      </c>
      <c r="Y161" s="258" t="str">
        <f xml:space="preserve"> IF(MONTH(LstMachines[[#This Row],[DateLivr]])&lt;10,"0","") &amp; MONTH(LstMachines[[#This Row],[DateLivr]]) &amp;"-"&amp;YEAR(LstMachines[[#This Row],[DateLivr]])</f>
        <v>06-2018</v>
      </c>
      <c r="Z161" s="258">
        <f>LstMachines[[#This Row],[Delivery]]+Rglt_à_HCME</f>
        <v>43326</v>
      </c>
      <c r="AA161" s="258" t="str">
        <f xml:space="preserve"> IF(MONTH(LstMachines[[#This Row],[DatePaie]])&lt;10,"0","") &amp; MONTH(LstMachines[[#This Row],[DatePaie]])&amp;"-"&amp;YEAR(LstMachines[[#This Row],[DatePaie]])</f>
        <v>08-2018</v>
      </c>
      <c r="AB161" s="258">
        <f>LstMachines[[#This Row],[DateLivr]]+1</f>
        <v>43267</v>
      </c>
      <c r="AC161" s="258" t="str">
        <f xml:space="preserve"> IF(MONTH(LstMachines[[#This Row],[Distrib]])&lt;10,"0","") &amp; MONTH(LstMachines[[#This Row],[Distrib]]) &amp; "-" &amp; YEAR(LstMachines[[#This Row],[Distrib]])</f>
        <v>06-2018</v>
      </c>
      <c r="AD161" s="258">
        <f>LstMachines[[#This Row],[DateLivr]]+Délai_Vente</f>
        <v>43386</v>
      </c>
      <c r="AE161" s="258" t="str">
        <f xml:space="preserve"> IF(MONTH(LstMachines[[#This Row],[VteESM]])&lt;10,"0","") &amp; MONTH(LstMachines[[#This Row],[VteESM]]) &amp; "-" &amp; YEAR(LstMachines[[#This Row],[VteESM]])</f>
        <v>10-2018</v>
      </c>
      <c r="AF161" s="258">
        <f>LstMachines[[#This Row],[DateLivr]]+Rglt_à_ESMTP</f>
        <v>43326</v>
      </c>
      <c r="AG161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61" s="258">
        <f>LstMachines[[#This Row],[VteESM]]+Rglt_à_ESMTP</f>
        <v>43446</v>
      </c>
      <c r="AI161" s="258" t="str">
        <f xml:space="preserve"> IF(MONTH(LstMachines[[#This Row],[RgltVteESM]])&lt;10,"0","") &amp; MONTH(LstMachines[[#This Row],[RgltVteESM]]) &amp; "-" &amp; YEAR(LstMachines[[#This Row],[RgltVteESM]])</f>
        <v>12-2018</v>
      </c>
      <c r="AJ161" s="140">
        <f>MONTH(LstMachines[[#This Row],[DatePaie]])</f>
        <v>8</v>
      </c>
      <c r="AK161" s="88" t="str">
        <f>FIXED(YEAR(LstMachines[[#This Row],[DatePaie]]),0,TRUE)</f>
        <v>2018</v>
      </c>
      <c r="AL161" s="140"/>
      <c r="AM161" s="414"/>
      <c r="AN161" s="92"/>
      <c r="AO161" s="92"/>
      <c r="AP161" s="92"/>
      <c r="AQ161" s="92"/>
      <c r="AR161" s="92"/>
      <c r="AS161" s="92"/>
      <c r="AT161" s="92"/>
      <c r="AU161" s="92"/>
      <c r="AV161" s="92"/>
      <c r="AW161" s="92"/>
      <c r="AX161" s="92"/>
      <c r="AY161" s="92"/>
      <c r="BA161" s="92"/>
      <c r="BC161" s="92"/>
      <c r="BD161" s="92"/>
      <c r="BE161" s="92"/>
    </row>
    <row r="162" spans="2:57" hidden="1">
      <c r="B162" s="243" t="s">
        <v>262</v>
      </c>
      <c r="C162" s="243" t="s">
        <v>44</v>
      </c>
      <c r="D162" s="245">
        <v>225</v>
      </c>
      <c r="E162" s="243" t="s">
        <v>205</v>
      </c>
      <c r="F162" s="89" t="s">
        <v>66</v>
      </c>
      <c r="G162" s="87" t="s">
        <v>106</v>
      </c>
      <c r="H162" s="246">
        <v>1</v>
      </c>
      <c r="I16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162" s="247">
        <v>43266</v>
      </c>
      <c r="K162" s="248" t="s">
        <v>463</v>
      </c>
      <c r="L162" s="398" t="s">
        <v>589</v>
      </c>
      <c r="M162" s="248"/>
      <c r="N162" s="249"/>
      <c r="O162" s="255">
        <f>MONTH(LstMachines[[#This Row],[Delivery]])</f>
        <v>6</v>
      </c>
      <c r="P162" s="256" t="str">
        <f>FIXED(YEAR(LstMachines[[#This Row],[Delivery]]),0,TRUE)</f>
        <v>2018</v>
      </c>
      <c r="Q162" s="250"/>
      <c r="R162" s="251"/>
      <c r="S162" s="249"/>
      <c r="T162" s="249"/>
      <c r="U162" s="249" t="s">
        <v>105</v>
      </c>
      <c r="V162" s="246"/>
      <c r="W162" s="248" t="s">
        <v>384</v>
      </c>
      <c r="X162" s="258">
        <f>LstMachines[[#This Row],[Delivery]]</f>
        <v>43266</v>
      </c>
      <c r="Y162" s="258" t="str">
        <f xml:space="preserve"> IF(MONTH(LstMachines[[#This Row],[DateLivr]])&lt;10,"0","") &amp; MONTH(LstMachines[[#This Row],[DateLivr]]) &amp;"-"&amp;YEAR(LstMachines[[#This Row],[DateLivr]])</f>
        <v>06-2018</v>
      </c>
      <c r="Z162" s="258">
        <f>LstMachines[[#This Row],[Delivery]]+Rglt_à_HCME</f>
        <v>43326</v>
      </c>
      <c r="AA162" s="258" t="str">
        <f xml:space="preserve"> IF(MONTH(LstMachines[[#This Row],[DatePaie]])&lt;10,"0","") &amp; MONTH(LstMachines[[#This Row],[DatePaie]])&amp;"-"&amp;YEAR(LstMachines[[#This Row],[DatePaie]])</f>
        <v>08-2018</v>
      </c>
      <c r="AB162" s="258">
        <f>LstMachines[[#This Row],[DateLivr]]+1</f>
        <v>43267</v>
      </c>
      <c r="AC162" s="258" t="str">
        <f xml:space="preserve"> IF(MONTH(LstMachines[[#This Row],[Distrib]])&lt;10,"0","") &amp; MONTH(LstMachines[[#This Row],[Distrib]]) &amp; "-" &amp; YEAR(LstMachines[[#This Row],[Distrib]])</f>
        <v>06-2018</v>
      </c>
      <c r="AD162" s="258">
        <f>LstMachines[[#This Row],[DateLivr]]+Délai_Vente</f>
        <v>43386</v>
      </c>
      <c r="AE162" s="258" t="str">
        <f xml:space="preserve"> IF(MONTH(LstMachines[[#This Row],[VteESM]])&lt;10,"0","") &amp; MONTH(LstMachines[[#This Row],[VteESM]]) &amp; "-" &amp; YEAR(LstMachines[[#This Row],[VteESM]])</f>
        <v>10-2018</v>
      </c>
      <c r="AF162" s="258">
        <f>LstMachines[[#This Row],[DateLivr]]+Rglt_à_ESMTP</f>
        <v>43326</v>
      </c>
      <c r="AG162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62" s="258">
        <f>LstMachines[[#This Row],[VteESM]]+Rglt_à_ESMTP</f>
        <v>43446</v>
      </c>
      <c r="AI162" s="258" t="str">
        <f xml:space="preserve"> IF(MONTH(LstMachines[[#This Row],[RgltVteESM]])&lt;10,"0","") &amp; MONTH(LstMachines[[#This Row],[RgltVteESM]]) &amp; "-" &amp; YEAR(LstMachines[[#This Row],[RgltVteESM]])</f>
        <v>12-2018</v>
      </c>
      <c r="AJ162" s="140">
        <f>MONTH(LstMachines[[#This Row],[DatePaie]])</f>
        <v>8</v>
      </c>
      <c r="AK162" s="88" t="str">
        <f>FIXED(YEAR(LstMachines[[#This Row],[DatePaie]]),0,TRUE)</f>
        <v>2018</v>
      </c>
      <c r="AL162" s="270"/>
      <c r="AM162" s="414"/>
      <c r="AN162" s="92"/>
      <c r="AO162" s="92"/>
      <c r="AP162" s="92"/>
      <c r="AQ162" s="92"/>
      <c r="AR162" s="92"/>
      <c r="AS162" s="92"/>
      <c r="AT162" s="92"/>
      <c r="AU162" s="92"/>
      <c r="AV162" s="92"/>
      <c r="AW162" s="92"/>
      <c r="AX162" s="92"/>
      <c r="AY162" s="92"/>
      <c r="BA162" s="92"/>
      <c r="BC162" s="92"/>
      <c r="BD162" s="92"/>
      <c r="BE162" s="92"/>
    </row>
    <row r="163" spans="2:57" hidden="1">
      <c r="B163" s="243" t="s">
        <v>262</v>
      </c>
      <c r="C163" s="243" t="s">
        <v>44</v>
      </c>
      <c r="D163" s="245">
        <v>225</v>
      </c>
      <c r="E163" s="243" t="s">
        <v>205</v>
      </c>
      <c r="F163" s="89" t="s">
        <v>66</v>
      </c>
      <c r="G163" s="87" t="s">
        <v>106</v>
      </c>
      <c r="H163" s="246">
        <v>1</v>
      </c>
      <c r="I16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163" s="247">
        <v>43266</v>
      </c>
      <c r="K163" s="248" t="s">
        <v>463</v>
      </c>
      <c r="L163" s="398" t="s">
        <v>589</v>
      </c>
      <c r="M163" s="248"/>
      <c r="N163" s="90"/>
      <c r="O163" s="255">
        <f>MONTH(LstMachines[[#This Row],[Delivery]])</f>
        <v>6</v>
      </c>
      <c r="P163" s="256" t="str">
        <f>FIXED(YEAR(LstMachines[[#This Row],[Delivery]]),0,TRUE)</f>
        <v>2018</v>
      </c>
      <c r="Q163" s="73"/>
      <c r="R163" s="93"/>
      <c r="S163" s="90"/>
      <c r="T163" s="90"/>
      <c r="U163" s="90"/>
      <c r="V163" s="72"/>
      <c r="W163" s="99"/>
      <c r="X163" s="258">
        <f>LstMachines[[#This Row],[Delivery]]</f>
        <v>43266</v>
      </c>
      <c r="Y163" s="258" t="str">
        <f xml:space="preserve"> IF(MONTH(LstMachines[[#This Row],[DateLivr]])&lt;10,"0","") &amp; MONTH(LstMachines[[#This Row],[DateLivr]]) &amp;"-"&amp;YEAR(LstMachines[[#This Row],[DateLivr]])</f>
        <v>06-2018</v>
      </c>
      <c r="Z163" s="258">
        <f>LstMachines[[#This Row],[Delivery]]+Rglt_à_HCME</f>
        <v>43326</v>
      </c>
      <c r="AA163" s="258" t="str">
        <f xml:space="preserve"> IF(MONTH(LstMachines[[#This Row],[DatePaie]])&lt;10,"0","") &amp; MONTH(LstMachines[[#This Row],[DatePaie]])&amp;"-"&amp;YEAR(LstMachines[[#This Row],[DatePaie]])</f>
        <v>08-2018</v>
      </c>
      <c r="AB163" s="258">
        <f>LstMachines[[#This Row],[DateLivr]]+1</f>
        <v>43267</v>
      </c>
      <c r="AC163" s="258" t="str">
        <f xml:space="preserve"> IF(MONTH(LstMachines[[#This Row],[Distrib]])&lt;10,"0","") &amp; MONTH(LstMachines[[#This Row],[Distrib]]) &amp; "-" &amp; YEAR(LstMachines[[#This Row],[Distrib]])</f>
        <v>06-2018</v>
      </c>
      <c r="AD163" s="258">
        <f>LstMachines[[#This Row],[DateLivr]]+Délai_Vente</f>
        <v>43386</v>
      </c>
      <c r="AE163" s="258" t="str">
        <f xml:space="preserve"> IF(MONTH(LstMachines[[#This Row],[VteESM]])&lt;10,"0","") &amp; MONTH(LstMachines[[#This Row],[VteESM]]) &amp; "-" &amp; YEAR(LstMachines[[#This Row],[VteESM]])</f>
        <v>10-2018</v>
      </c>
      <c r="AF163" s="258">
        <f>LstMachines[[#This Row],[DateLivr]]+Rglt_à_ESMTP</f>
        <v>43326</v>
      </c>
      <c r="AG163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63" s="258">
        <f>LstMachines[[#This Row],[VteESM]]+Rglt_à_ESMTP</f>
        <v>43446</v>
      </c>
      <c r="AI163" s="258" t="str">
        <f xml:space="preserve"> IF(MONTH(LstMachines[[#This Row],[RgltVteESM]])&lt;10,"0","") &amp; MONTH(LstMachines[[#This Row],[RgltVteESM]]) &amp; "-" &amp; YEAR(LstMachines[[#This Row],[RgltVteESM]])</f>
        <v>12-2018</v>
      </c>
      <c r="AJ163" s="140">
        <f>MONTH(LstMachines[[#This Row],[DatePaie]])</f>
        <v>8</v>
      </c>
      <c r="AK163" s="88" t="str">
        <f>FIXED(YEAR(LstMachines[[#This Row],[DatePaie]]),0,TRUE)</f>
        <v>2018</v>
      </c>
      <c r="AL163" s="140"/>
      <c r="AM163" s="414"/>
      <c r="AN163" s="92"/>
      <c r="AO163" s="92"/>
      <c r="AP163" s="92"/>
      <c r="AQ163" s="92"/>
      <c r="AR163" s="92"/>
      <c r="AS163" s="92"/>
      <c r="AT163" s="92"/>
      <c r="AU163" s="92"/>
      <c r="AV163" s="92"/>
      <c r="AW163" s="92"/>
      <c r="AX163" s="92"/>
      <c r="AY163" s="92"/>
      <c r="BA163" s="92"/>
      <c r="BC163" s="92"/>
      <c r="BD163" s="92"/>
      <c r="BE163" s="92"/>
    </row>
    <row r="164" spans="2:57" hidden="1">
      <c r="B164" s="243" t="s">
        <v>75</v>
      </c>
      <c r="C164" s="243" t="s">
        <v>69</v>
      </c>
      <c r="D164" s="245">
        <v>55</v>
      </c>
      <c r="E164" s="243" t="s">
        <v>426</v>
      </c>
      <c r="F164" s="89" t="s">
        <v>66</v>
      </c>
      <c r="G164" s="89" t="s">
        <v>106</v>
      </c>
      <c r="H164" s="246">
        <v>1</v>
      </c>
      <c r="I16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43</v>
      </c>
      <c r="J164" s="247">
        <v>43266</v>
      </c>
      <c r="K164" s="248" t="s">
        <v>461</v>
      </c>
      <c r="L164" s="398" t="s">
        <v>589</v>
      </c>
      <c r="M164" s="248"/>
      <c r="N164" s="249"/>
      <c r="O164" s="255">
        <f>MONTH(LstMachines[[#This Row],[Delivery]])</f>
        <v>6</v>
      </c>
      <c r="P164" s="256" t="str">
        <f>FIXED(YEAR(LstMachines[[#This Row],[Delivery]]),0,TRUE)</f>
        <v>2018</v>
      </c>
      <c r="Q164" s="250"/>
      <c r="R164" s="251"/>
      <c r="S164" s="249"/>
      <c r="T164" s="249"/>
      <c r="U164" s="249" t="s">
        <v>105</v>
      </c>
      <c r="V164" s="246"/>
      <c r="W164" s="248" t="s">
        <v>384</v>
      </c>
      <c r="X164" s="258">
        <f>LstMachines[[#This Row],[Delivery]]</f>
        <v>43266</v>
      </c>
      <c r="Y164" s="258" t="str">
        <f xml:space="preserve"> IF(MONTH(LstMachines[[#This Row],[DateLivr]])&lt;10,"0","") &amp; MONTH(LstMachines[[#This Row],[DateLivr]]) &amp;"-"&amp;YEAR(LstMachines[[#This Row],[DateLivr]])</f>
        <v>06-2018</v>
      </c>
      <c r="Z164" s="258">
        <f>LstMachines[[#This Row],[Delivery]]+Rglt_à_HCME</f>
        <v>43326</v>
      </c>
      <c r="AA164" s="258" t="str">
        <f xml:space="preserve"> IF(MONTH(LstMachines[[#This Row],[DatePaie]])&lt;10,"0","") &amp; MONTH(LstMachines[[#This Row],[DatePaie]])&amp;"-"&amp;YEAR(LstMachines[[#This Row],[DatePaie]])</f>
        <v>08-2018</v>
      </c>
      <c r="AB164" s="258">
        <f>LstMachines[[#This Row],[DateLivr]]+1</f>
        <v>43267</v>
      </c>
      <c r="AC164" s="258" t="str">
        <f xml:space="preserve"> IF(MONTH(LstMachines[[#This Row],[Distrib]])&lt;10,"0","") &amp; MONTH(LstMachines[[#This Row],[Distrib]]) &amp; "-" &amp; YEAR(LstMachines[[#This Row],[Distrib]])</f>
        <v>06-2018</v>
      </c>
      <c r="AD164" s="258">
        <f>LstMachines[[#This Row],[DateLivr]]+Délai_Vente</f>
        <v>43386</v>
      </c>
      <c r="AE164" s="258" t="str">
        <f xml:space="preserve"> IF(MONTH(LstMachines[[#This Row],[VteESM]])&lt;10,"0","") &amp; MONTH(LstMachines[[#This Row],[VteESM]]) &amp; "-" &amp; YEAR(LstMachines[[#This Row],[VteESM]])</f>
        <v>10-2018</v>
      </c>
      <c r="AF164" s="258">
        <f>LstMachines[[#This Row],[DateLivr]]+Rglt_à_ESMTP</f>
        <v>43326</v>
      </c>
      <c r="AG164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64" s="258">
        <f>LstMachines[[#This Row],[VteESM]]+Rglt_à_ESMTP</f>
        <v>43446</v>
      </c>
      <c r="AI164" s="258" t="str">
        <f xml:space="preserve"> IF(MONTH(LstMachines[[#This Row],[RgltVteESM]])&lt;10,"0","") &amp; MONTH(LstMachines[[#This Row],[RgltVteESM]]) &amp; "-" &amp; YEAR(LstMachines[[#This Row],[RgltVteESM]])</f>
        <v>12-2018</v>
      </c>
      <c r="AJ164" s="140">
        <f>MONTH(LstMachines[[#This Row],[DatePaie]])</f>
        <v>8</v>
      </c>
      <c r="AK164" s="88" t="str">
        <f>FIXED(YEAR(LstMachines[[#This Row],[DatePaie]]),0,TRUE)</f>
        <v>2018</v>
      </c>
      <c r="AL164" s="270"/>
      <c r="AM164" s="414"/>
      <c r="AN164" s="92"/>
      <c r="AO164" s="92"/>
      <c r="AP164" s="92"/>
      <c r="AQ164" s="92"/>
      <c r="AR164" s="92"/>
      <c r="AS164" s="92"/>
      <c r="AT164" s="92"/>
      <c r="AU164" s="92"/>
      <c r="AV164" s="92"/>
      <c r="AW164" s="92"/>
      <c r="AX164" s="92"/>
      <c r="AY164" s="92"/>
      <c r="BA164" s="92"/>
      <c r="BC164" s="92"/>
      <c r="BD164" s="92"/>
      <c r="BE164" s="92"/>
    </row>
    <row r="165" spans="2:57" hidden="1">
      <c r="B165" s="243" t="s">
        <v>75</v>
      </c>
      <c r="C165" s="243" t="s">
        <v>37</v>
      </c>
      <c r="D165" s="245">
        <v>48</v>
      </c>
      <c r="E165" s="243" t="s">
        <v>363</v>
      </c>
      <c r="F165" s="89" t="s">
        <v>66</v>
      </c>
      <c r="G165" s="89" t="s">
        <v>106</v>
      </c>
      <c r="H165" s="246">
        <v>1</v>
      </c>
      <c r="I16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41</v>
      </c>
      <c r="J165" s="247">
        <v>43266</v>
      </c>
      <c r="K165" s="248" t="s">
        <v>461</v>
      </c>
      <c r="L165" s="398" t="s">
        <v>589</v>
      </c>
      <c r="M165" s="248"/>
      <c r="N165" s="249"/>
      <c r="O165" s="255">
        <f>MONTH(LstMachines[[#This Row],[Delivery]])</f>
        <v>6</v>
      </c>
      <c r="P165" s="256" t="str">
        <f>FIXED(YEAR(LstMachines[[#This Row],[Delivery]]),0,TRUE)</f>
        <v>2018</v>
      </c>
      <c r="Q165" s="250"/>
      <c r="R165" s="251"/>
      <c r="S165" s="249"/>
      <c r="T165" s="249"/>
      <c r="U165" s="249" t="s">
        <v>105</v>
      </c>
      <c r="V165" s="246"/>
      <c r="W165" s="248" t="s">
        <v>384</v>
      </c>
      <c r="X165" s="258">
        <f>LstMachines[[#This Row],[Delivery]]</f>
        <v>43266</v>
      </c>
      <c r="Y165" s="258" t="str">
        <f xml:space="preserve"> IF(MONTH(LstMachines[[#This Row],[DateLivr]])&lt;10,"0","") &amp; MONTH(LstMachines[[#This Row],[DateLivr]]) &amp;"-"&amp;YEAR(LstMachines[[#This Row],[DateLivr]])</f>
        <v>06-2018</v>
      </c>
      <c r="Z165" s="258">
        <f>LstMachines[[#This Row],[Delivery]]+Rglt_à_HCME</f>
        <v>43326</v>
      </c>
      <c r="AA165" s="258" t="str">
        <f xml:space="preserve"> IF(MONTH(LstMachines[[#This Row],[DatePaie]])&lt;10,"0","") &amp; MONTH(LstMachines[[#This Row],[DatePaie]])&amp;"-"&amp;YEAR(LstMachines[[#This Row],[DatePaie]])</f>
        <v>08-2018</v>
      </c>
      <c r="AB165" s="258">
        <f>LstMachines[[#This Row],[DateLivr]]+1</f>
        <v>43267</v>
      </c>
      <c r="AC165" s="258" t="str">
        <f xml:space="preserve"> IF(MONTH(LstMachines[[#This Row],[Distrib]])&lt;10,"0","") &amp; MONTH(LstMachines[[#This Row],[Distrib]]) &amp; "-" &amp; YEAR(LstMachines[[#This Row],[Distrib]])</f>
        <v>06-2018</v>
      </c>
      <c r="AD165" s="258">
        <f>LstMachines[[#This Row],[DateLivr]]+Délai_Vente</f>
        <v>43386</v>
      </c>
      <c r="AE165" s="258" t="str">
        <f xml:space="preserve"> IF(MONTH(LstMachines[[#This Row],[VteESM]])&lt;10,"0","") &amp; MONTH(LstMachines[[#This Row],[VteESM]]) &amp; "-" &amp; YEAR(LstMachines[[#This Row],[VteESM]])</f>
        <v>10-2018</v>
      </c>
      <c r="AF165" s="258">
        <f>LstMachines[[#This Row],[DateLivr]]+Rglt_à_ESMTP</f>
        <v>43326</v>
      </c>
      <c r="AG165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65" s="258">
        <f>LstMachines[[#This Row],[VteESM]]+Rglt_à_ESMTP</f>
        <v>43446</v>
      </c>
      <c r="AI165" s="258" t="str">
        <f xml:space="preserve"> IF(MONTH(LstMachines[[#This Row],[RgltVteESM]])&lt;10,"0","") &amp; MONTH(LstMachines[[#This Row],[RgltVteESM]]) &amp; "-" &amp; YEAR(LstMachines[[#This Row],[RgltVteESM]])</f>
        <v>12-2018</v>
      </c>
      <c r="AJ165" s="140">
        <f>MONTH(LstMachines[[#This Row],[DatePaie]])</f>
        <v>8</v>
      </c>
      <c r="AK165" s="88" t="str">
        <f>FIXED(YEAR(LstMachines[[#This Row],[DatePaie]]),0,TRUE)</f>
        <v>2018</v>
      </c>
      <c r="AL165" s="270"/>
      <c r="AM165" s="414"/>
      <c r="AN165" s="92"/>
      <c r="AO165" s="92"/>
      <c r="AP165" s="92"/>
      <c r="AQ165" s="92"/>
      <c r="AR165" s="92"/>
      <c r="AS165" s="92"/>
      <c r="AT165" s="92"/>
      <c r="AU165" s="92"/>
      <c r="AV165" s="92"/>
      <c r="AW165" s="92"/>
      <c r="AX165" s="92"/>
      <c r="AY165" s="92"/>
      <c r="BA165" s="92"/>
      <c r="BC165" s="92"/>
      <c r="BD165" s="92"/>
      <c r="BE165" s="92"/>
    </row>
    <row r="166" spans="2:57" hidden="1">
      <c r="B166" s="243" t="s">
        <v>75</v>
      </c>
      <c r="C166" s="243" t="s">
        <v>35</v>
      </c>
      <c r="D166" s="245">
        <v>19</v>
      </c>
      <c r="E166" s="243" t="s">
        <v>76</v>
      </c>
      <c r="F166" s="89" t="s">
        <v>66</v>
      </c>
      <c r="G166" s="89" t="s">
        <v>106</v>
      </c>
      <c r="H166" s="246">
        <v>1</v>
      </c>
      <c r="I16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166" s="247">
        <v>43266</v>
      </c>
      <c r="K166" s="248" t="s">
        <v>461</v>
      </c>
      <c r="L166" s="398" t="s">
        <v>589</v>
      </c>
      <c r="M166" s="248"/>
      <c r="N166" s="249"/>
      <c r="O166" s="255">
        <f>MONTH(LstMachines[[#This Row],[Delivery]])</f>
        <v>6</v>
      </c>
      <c r="P166" s="256" t="str">
        <f>FIXED(YEAR(LstMachines[[#This Row],[Delivery]]),0,TRUE)</f>
        <v>2018</v>
      </c>
      <c r="Q166" s="250"/>
      <c r="R166" s="251"/>
      <c r="S166" s="249"/>
      <c r="T166" s="249"/>
      <c r="U166" s="249" t="s">
        <v>105</v>
      </c>
      <c r="V166" s="246"/>
      <c r="W166" s="248" t="s">
        <v>384</v>
      </c>
      <c r="X166" s="258">
        <f>LstMachines[[#This Row],[Delivery]]</f>
        <v>43266</v>
      </c>
      <c r="Y166" s="258" t="str">
        <f xml:space="preserve"> IF(MONTH(LstMachines[[#This Row],[DateLivr]])&lt;10,"0","") &amp; MONTH(LstMachines[[#This Row],[DateLivr]]) &amp;"-"&amp;YEAR(LstMachines[[#This Row],[DateLivr]])</f>
        <v>06-2018</v>
      </c>
      <c r="Z166" s="258">
        <f>LstMachines[[#This Row],[Delivery]]+Rglt_à_HCME</f>
        <v>43326</v>
      </c>
      <c r="AA166" s="258" t="str">
        <f xml:space="preserve"> IF(MONTH(LstMachines[[#This Row],[DatePaie]])&lt;10,"0","") &amp; MONTH(LstMachines[[#This Row],[DatePaie]])&amp;"-"&amp;YEAR(LstMachines[[#This Row],[DatePaie]])</f>
        <v>08-2018</v>
      </c>
      <c r="AB166" s="258">
        <f>LstMachines[[#This Row],[DateLivr]]+1</f>
        <v>43267</v>
      </c>
      <c r="AC166" s="258" t="str">
        <f xml:space="preserve"> IF(MONTH(LstMachines[[#This Row],[Distrib]])&lt;10,"0","") &amp; MONTH(LstMachines[[#This Row],[Distrib]]) &amp; "-" &amp; YEAR(LstMachines[[#This Row],[Distrib]])</f>
        <v>06-2018</v>
      </c>
      <c r="AD166" s="258">
        <f>LstMachines[[#This Row],[DateLivr]]+Délai_Vente</f>
        <v>43386</v>
      </c>
      <c r="AE166" s="258" t="str">
        <f xml:space="preserve"> IF(MONTH(LstMachines[[#This Row],[VteESM]])&lt;10,"0","") &amp; MONTH(LstMachines[[#This Row],[VteESM]]) &amp; "-" &amp; YEAR(LstMachines[[#This Row],[VteESM]])</f>
        <v>10-2018</v>
      </c>
      <c r="AF166" s="258">
        <f>LstMachines[[#This Row],[DateLivr]]+Rglt_à_ESMTP</f>
        <v>43326</v>
      </c>
      <c r="AG166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66" s="258">
        <f>LstMachines[[#This Row],[VteESM]]+Rglt_à_ESMTP</f>
        <v>43446</v>
      </c>
      <c r="AI166" s="258" t="str">
        <f xml:space="preserve"> IF(MONTH(LstMachines[[#This Row],[RgltVteESM]])&lt;10,"0","") &amp; MONTH(LstMachines[[#This Row],[RgltVteESM]]) &amp; "-" &amp; YEAR(LstMachines[[#This Row],[RgltVteESM]])</f>
        <v>12-2018</v>
      </c>
      <c r="AJ166" s="140">
        <f>MONTH(LstMachines[[#This Row],[DatePaie]])</f>
        <v>8</v>
      </c>
      <c r="AK166" s="88" t="str">
        <f>FIXED(YEAR(LstMachines[[#This Row],[DatePaie]]),0,TRUE)</f>
        <v>2018</v>
      </c>
      <c r="AL166" s="270"/>
      <c r="AM166" s="414"/>
      <c r="AN166" s="92"/>
      <c r="AO166" s="92"/>
      <c r="AP166" s="92"/>
      <c r="AQ166" s="92"/>
      <c r="AR166" s="92"/>
      <c r="AS166" s="92"/>
      <c r="AT166" s="92"/>
      <c r="AU166" s="92"/>
      <c r="AV166" s="92"/>
      <c r="AW166" s="92"/>
      <c r="AX166" s="92"/>
      <c r="AY166" s="92"/>
      <c r="BA166" s="92"/>
      <c r="BC166" s="92"/>
      <c r="BD166" s="92"/>
      <c r="BE166" s="92"/>
    </row>
    <row r="167" spans="2:57" hidden="1">
      <c r="B167" s="243" t="s">
        <v>262</v>
      </c>
      <c r="C167" s="243" t="s">
        <v>43</v>
      </c>
      <c r="D167" s="245">
        <v>210</v>
      </c>
      <c r="E167" s="104" t="s">
        <v>89</v>
      </c>
      <c r="F167" s="89" t="s">
        <v>468</v>
      </c>
      <c r="G167" s="89" t="s">
        <v>469</v>
      </c>
      <c r="H167" s="246">
        <v>1</v>
      </c>
      <c r="I16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118</v>
      </c>
      <c r="J167" s="88">
        <v>43282</v>
      </c>
      <c r="K167" s="248" t="s">
        <v>461</v>
      </c>
      <c r="L167" s="244" t="s">
        <v>470</v>
      </c>
      <c r="M167" s="248"/>
      <c r="N167" s="249"/>
      <c r="O167" s="255">
        <f>MONTH(LstMachines[[#This Row],[Delivery]])</f>
        <v>7</v>
      </c>
      <c r="P167" s="256" t="str">
        <f>FIXED(YEAR(LstMachines[[#This Row],[Delivery]]),0,TRUE)</f>
        <v>2018</v>
      </c>
      <c r="Q167" s="250"/>
      <c r="R167" s="251"/>
      <c r="S167" s="249"/>
      <c r="T167" s="249"/>
      <c r="U167" s="249"/>
      <c r="V167" s="246"/>
      <c r="W167" s="248"/>
      <c r="X167" s="258">
        <f>LstMachines[[#This Row],[Delivery]]</f>
        <v>43282</v>
      </c>
      <c r="Y167" s="258" t="str">
        <f xml:space="preserve"> IF(MONTH(LstMachines[[#This Row],[DateLivr]])&lt;10,"0","") &amp; MONTH(LstMachines[[#This Row],[DateLivr]]) &amp;"-"&amp;YEAR(LstMachines[[#This Row],[DateLivr]])</f>
        <v>07-2018</v>
      </c>
      <c r="Z167" s="258">
        <f>LstMachines[[#This Row],[Delivery]]+Rglt_à_HCME</f>
        <v>43342</v>
      </c>
      <c r="AA167" s="258" t="str">
        <f xml:space="preserve"> IF(MONTH(LstMachines[[#This Row],[DatePaie]])&lt;10,"0","") &amp; MONTH(LstMachines[[#This Row],[DatePaie]])&amp;"-"&amp;YEAR(LstMachines[[#This Row],[DatePaie]])</f>
        <v>08-2018</v>
      </c>
      <c r="AB167" s="258">
        <f>LstMachines[[#This Row],[DateLivr]]+1</f>
        <v>43283</v>
      </c>
      <c r="AC167" s="258" t="str">
        <f xml:space="preserve"> IF(MONTH(LstMachines[[#This Row],[Distrib]])&lt;10,"0","") &amp; MONTH(LstMachines[[#This Row],[Distrib]]) &amp; "-" &amp; YEAR(LstMachines[[#This Row],[Distrib]])</f>
        <v>07-2018</v>
      </c>
      <c r="AD167" s="258">
        <f>LstMachines[[#This Row],[DateLivr]]+Délai_Vente</f>
        <v>43402</v>
      </c>
      <c r="AE167" s="258" t="str">
        <f xml:space="preserve"> IF(MONTH(LstMachines[[#This Row],[VteESM]])&lt;10,"0","") &amp; MONTH(LstMachines[[#This Row],[VteESM]]) &amp; "-" &amp; YEAR(LstMachines[[#This Row],[VteESM]])</f>
        <v>10-2018</v>
      </c>
      <c r="AF167" s="258">
        <f>LstMachines[[#This Row],[DateLivr]]+Rglt_à_ESMTP</f>
        <v>43342</v>
      </c>
      <c r="AG167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167" s="258">
        <f>LstMachines[[#This Row],[VteESM]]+Rglt_à_ESMTP</f>
        <v>43462</v>
      </c>
      <c r="AI167" s="258" t="str">
        <f xml:space="preserve"> IF(MONTH(LstMachines[[#This Row],[RgltVteESM]])&lt;10,"0","") &amp; MONTH(LstMachines[[#This Row],[RgltVteESM]]) &amp; "-" &amp; YEAR(LstMachines[[#This Row],[RgltVteESM]])</f>
        <v>12-2018</v>
      </c>
      <c r="AJ167" s="140">
        <f>MONTH(LstMachines[[#This Row],[DatePaie]])</f>
        <v>8</v>
      </c>
      <c r="AK167" s="88" t="str">
        <f>FIXED(YEAR(LstMachines[[#This Row],[DatePaie]]),0,TRUE)</f>
        <v>2018</v>
      </c>
      <c r="AL167" s="140"/>
      <c r="AM167" s="414"/>
      <c r="AN167" s="92"/>
      <c r="AO167" s="92"/>
      <c r="AP167" s="92"/>
      <c r="AQ167" s="92"/>
      <c r="AR167" s="92"/>
      <c r="AS167" s="92"/>
      <c r="AT167" s="92"/>
      <c r="AU167" s="92"/>
      <c r="AV167" s="92"/>
      <c r="AW167" s="92"/>
      <c r="AX167" s="92"/>
      <c r="AY167" s="92"/>
      <c r="BA167" s="92"/>
      <c r="BC167" s="92"/>
      <c r="BD167" s="92"/>
      <c r="BE167" s="92"/>
    </row>
    <row r="168" spans="2:57" hidden="1">
      <c r="B168" s="243" t="s">
        <v>75</v>
      </c>
      <c r="C168" s="243" t="s">
        <v>36</v>
      </c>
      <c r="D168" s="245">
        <v>26</v>
      </c>
      <c r="E168" s="86"/>
      <c r="F168" s="89" t="s">
        <v>67</v>
      </c>
      <c r="G168" s="87" t="s">
        <v>107</v>
      </c>
      <c r="H168" s="89">
        <v>1</v>
      </c>
      <c r="I168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168" s="88">
        <v>43296</v>
      </c>
      <c r="K168" s="99" t="s">
        <v>461</v>
      </c>
      <c r="L168" s="244" t="s">
        <v>390</v>
      </c>
      <c r="M168" s="248"/>
      <c r="N168" s="249"/>
      <c r="O168" s="270">
        <f>MONTH(LstMachines[[#This Row],[Delivery]])</f>
        <v>7</v>
      </c>
      <c r="P168" s="247" t="str">
        <f>FIXED(YEAR(LstMachines[[#This Row],[Delivery]]),0,TRUE)</f>
        <v>2018</v>
      </c>
      <c r="Q168" s="250"/>
      <c r="R168" s="251"/>
      <c r="S168" s="249"/>
      <c r="T168" s="249"/>
      <c r="U168" s="249" t="s">
        <v>105</v>
      </c>
      <c r="V168" s="246"/>
      <c r="W168" s="248" t="s">
        <v>384</v>
      </c>
      <c r="X168" s="249">
        <f>LstMachines[[#This Row],[Delivery]]</f>
        <v>43296</v>
      </c>
      <c r="Y168" s="271" t="str">
        <f xml:space="preserve"> IF(MONTH(LstMachines[[#This Row],[DateLivr]])&lt;10,"0","") &amp; MONTH(LstMachines[[#This Row],[DateLivr]]) &amp;"-"&amp;YEAR(LstMachines[[#This Row],[DateLivr]])</f>
        <v>07-2018</v>
      </c>
      <c r="Z168" s="247">
        <f>LstMachines[[#This Row],[Delivery]]+Rglt_à_HCME</f>
        <v>43356</v>
      </c>
      <c r="AA168" s="271" t="str">
        <f xml:space="preserve"> IF(MONTH(LstMachines[[#This Row],[DatePaie]])&lt;10,"0","") &amp; MONTH(LstMachines[[#This Row],[DatePaie]])&amp;"-"&amp;YEAR(LstMachines[[#This Row],[DatePaie]])</f>
        <v>09-2018</v>
      </c>
      <c r="AB168" s="271">
        <f>LstMachines[[#This Row],[DateLivr]]+1</f>
        <v>43297</v>
      </c>
      <c r="AC168" s="271" t="str">
        <f xml:space="preserve"> IF(MONTH(LstMachines[[#This Row],[Distrib]])&lt;10,"0","") &amp; MONTH(LstMachines[[#This Row],[Distrib]]) &amp; "-" &amp; YEAR(LstMachines[[#This Row],[Distrib]])</f>
        <v>07-2018</v>
      </c>
      <c r="AD168" s="271">
        <f>LstMachines[[#This Row],[DateLivr]]+Délai_Vente</f>
        <v>43416</v>
      </c>
      <c r="AE168" s="271" t="str">
        <f xml:space="preserve"> IF(MONTH(LstMachines[[#This Row],[VteESM]])&lt;10,"0","") &amp; MONTH(LstMachines[[#This Row],[VteESM]]) &amp; "-" &amp; YEAR(LstMachines[[#This Row],[VteESM]])</f>
        <v>11-2018</v>
      </c>
      <c r="AF168" s="271">
        <f>LstMachines[[#This Row],[DateLivr]]+Rglt_à_ESMTP</f>
        <v>43356</v>
      </c>
      <c r="AG168" s="271" t="str">
        <f xml:space="preserve"> IF(MONTH(LstMachines[[#This Row],[RgltDistrib]])&lt;10,"0","") &amp; MONTH(LstMachines[[#This Row],[RgltDistrib]]) &amp; "-" &amp; YEAR(LstMachines[[#This Row],[RgltDistrib]])</f>
        <v>09-2018</v>
      </c>
      <c r="AH168" s="271">
        <f>LstMachines[[#This Row],[VteESM]]+Rglt_à_ESMTP</f>
        <v>43476</v>
      </c>
      <c r="AI168" s="271" t="str">
        <f xml:space="preserve"> IF(MONTH(LstMachines[[#This Row],[RgltVteESM]])&lt;10,"0","") &amp; MONTH(LstMachines[[#This Row],[RgltVteESM]]) &amp; "-" &amp; YEAR(LstMachines[[#This Row],[RgltVteESM]])</f>
        <v>01-2019</v>
      </c>
      <c r="AJ168" s="270">
        <f>MONTH(LstMachines[[#This Row],[DatePaie]])</f>
        <v>9</v>
      </c>
      <c r="AK168" s="247" t="str">
        <f>FIXED(YEAR(LstMachines[[#This Row],[DatePaie]]),0,TRUE)</f>
        <v>2018</v>
      </c>
      <c r="AL168" s="270"/>
      <c r="AM168" s="414"/>
      <c r="AN168" s="92"/>
      <c r="AO168" s="92"/>
      <c r="AP168" s="92"/>
      <c r="AQ168" s="92"/>
      <c r="AR168" s="92"/>
      <c r="AS168" s="92"/>
      <c r="AT168" s="92"/>
      <c r="AU168" s="92"/>
      <c r="AV168" s="92"/>
      <c r="AW168" s="92"/>
      <c r="AX168" s="92"/>
      <c r="AY168" s="92"/>
      <c r="BA168" s="92"/>
      <c r="BC168" s="92"/>
      <c r="BD168" s="92"/>
      <c r="BE168" s="92"/>
    </row>
    <row r="169" spans="2:57" hidden="1">
      <c r="B169" s="104" t="s">
        <v>75</v>
      </c>
      <c r="C169" s="104" t="s">
        <v>69</v>
      </c>
      <c r="D169" s="87">
        <v>55</v>
      </c>
      <c r="E169" s="86"/>
      <c r="F169" s="87" t="s">
        <v>67</v>
      </c>
      <c r="G169" s="87" t="s">
        <v>107</v>
      </c>
      <c r="H169" s="89">
        <v>1</v>
      </c>
      <c r="I16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43</v>
      </c>
      <c r="J169" s="88">
        <v>43296</v>
      </c>
      <c r="K169" s="99" t="s">
        <v>461</v>
      </c>
      <c r="L169" s="85" t="s">
        <v>390</v>
      </c>
      <c r="M169" s="99"/>
      <c r="N169" s="90"/>
      <c r="O169" s="255">
        <f>MONTH(LstMachines[[#This Row],[Delivery]])</f>
        <v>7</v>
      </c>
      <c r="P169" s="256" t="str">
        <f>FIXED(YEAR(LstMachines[[#This Row],[Delivery]]),0,TRUE)</f>
        <v>2018</v>
      </c>
      <c r="Q169" s="73"/>
      <c r="R169" s="93"/>
      <c r="S169" s="90"/>
      <c r="T169" s="90"/>
      <c r="U169" s="90" t="s">
        <v>105</v>
      </c>
      <c r="V169" s="72"/>
      <c r="W169" s="99" t="s">
        <v>384</v>
      </c>
      <c r="X169" s="258">
        <f>LstMachines[[#This Row],[Delivery]]</f>
        <v>43296</v>
      </c>
      <c r="Y169" s="258" t="str">
        <f xml:space="preserve"> IF(MONTH(LstMachines[[#This Row],[DateLivr]])&lt;10,"0","") &amp; MONTH(LstMachines[[#This Row],[DateLivr]]) &amp;"-"&amp;YEAR(LstMachines[[#This Row],[DateLivr]])</f>
        <v>07-2018</v>
      </c>
      <c r="Z169" s="258">
        <f>LstMachines[[#This Row],[Delivery]]+Rglt_à_HCME</f>
        <v>43356</v>
      </c>
      <c r="AA169" s="258" t="str">
        <f xml:space="preserve"> IF(MONTH(LstMachines[[#This Row],[DatePaie]])&lt;10,"0","") &amp; MONTH(LstMachines[[#This Row],[DatePaie]])&amp;"-"&amp;YEAR(LstMachines[[#This Row],[DatePaie]])</f>
        <v>09-2018</v>
      </c>
      <c r="AB169" s="258">
        <f>LstMachines[[#This Row],[DateLivr]]+1</f>
        <v>43297</v>
      </c>
      <c r="AC169" s="258" t="str">
        <f xml:space="preserve"> IF(MONTH(LstMachines[[#This Row],[Distrib]])&lt;10,"0","") &amp; MONTH(LstMachines[[#This Row],[Distrib]]) &amp; "-" &amp; YEAR(LstMachines[[#This Row],[Distrib]])</f>
        <v>07-2018</v>
      </c>
      <c r="AD169" s="258">
        <f>LstMachines[[#This Row],[DateLivr]]+Délai_Vente</f>
        <v>43416</v>
      </c>
      <c r="AE169" s="258" t="str">
        <f xml:space="preserve"> IF(MONTH(LstMachines[[#This Row],[VteESM]])&lt;10,"0","") &amp; MONTH(LstMachines[[#This Row],[VteESM]]) &amp; "-" &amp; YEAR(LstMachines[[#This Row],[VteESM]])</f>
        <v>11-2018</v>
      </c>
      <c r="AF169" s="258">
        <f>LstMachines[[#This Row],[DateLivr]]+Rglt_à_ESMTP</f>
        <v>43356</v>
      </c>
      <c r="AG169" s="258" t="str">
        <f xml:space="preserve"> IF(MONTH(LstMachines[[#This Row],[RgltDistrib]])&lt;10,"0","") &amp; MONTH(LstMachines[[#This Row],[RgltDistrib]]) &amp; "-" &amp; YEAR(LstMachines[[#This Row],[RgltDistrib]])</f>
        <v>09-2018</v>
      </c>
      <c r="AH169" s="258">
        <f>LstMachines[[#This Row],[VteESM]]+Rglt_à_ESMTP</f>
        <v>43476</v>
      </c>
      <c r="AI169" s="258" t="str">
        <f xml:space="preserve"> IF(MONTH(LstMachines[[#This Row],[RgltVteESM]])&lt;10,"0","") &amp; MONTH(LstMachines[[#This Row],[RgltVteESM]]) &amp; "-" &amp; YEAR(LstMachines[[#This Row],[RgltVteESM]])</f>
        <v>01-2019</v>
      </c>
      <c r="AJ169" s="140">
        <f>MONTH(LstMachines[[#This Row],[DatePaie]])</f>
        <v>9</v>
      </c>
      <c r="AK169" s="88" t="str">
        <f>FIXED(YEAR(LstMachines[[#This Row],[DatePaie]]),0,TRUE)</f>
        <v>2018</v>
      </c>
      <c r="AL169" s="140"/>
      <c r="AM169" s="414"/>
      <c r="AN169" s="92"/>
      <c r="AO169" s="92"/>
      <c r="AP169" s="92"/>
      <c r="AQ169" s="92"/>
      <c r="AR169" s="92"/>
      <c r="AS169" s="92"/>
      <c r="AT169" s="92"/>
      <c r="AU169" s="92"/>
      <c r="AV169" s="92"/>
      <c r="AW169" s="92"/>
      <c r="AX169" s="92"/>
      <c r="AY169" s="92"/>
      <c r="BA169" s="92"/>
      <c r="BC169" s="92"/>
      <c r="BD169" s="92"/>
      <c r="BE169" s="92"/>
    </row>
    <row r="170" spans="2:57" hidden="1">
      <c r="B170" s="104" t="s">
        <v>262</v>
      </c>
      <c r="C170" s="104" t="s">
        <v>47</v>
      </c>
      <c r="D170" s="87">
        <v>490</v>
      </c>
      <c r="E170" s="86"/>
      <c r="F170" s="87" t="s">
        <v>67</v>
      </c>
      <c r="G170" s="87" t="s">
        <v>107</v>
      </c>
      <c r="H170" s="89">
        <v>1</v>
      </c>
      <c r="I17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260</v>
      </c>
      <c r="J170" s="88">
        <v>43296</v>
      </c>
      <c r="K170" s="99" t="s">
        <v>461</v>
      </c>
      <c r="L170" s="85" t="s">
        <v>390</v>
      </c>
      <c r="M170" s="99"/>
      <c r="N170" s="90"/>
      <c r="O170" s="255">
        <f>MONTH(LstMachines[[#This Row],[Delivery]])</f>
        <v>7</v>
      </c>
      <c r="P170" s="256" t="str">
        <f>FIXED(YEAR(LstMachines[[#This Row],[Delivery]]),0,TRUE)</f>
        <v>2018</v>
      </c>
      <c r="Q170" s="73"/>
      <c r="R170" s="93"/>
      <c r="S170" s="90"/>
      <c r="T170" s="90"/>
      <c r="U170" s="90" t="s">
        <v>105</v>
      </c>
      <c r="V170" s="72"/>
      <c r="W170" s="99" t="s">
        <v>384</v>
      </c>
      <c r="X170" s="258">
        <f>LstMachines[[#This Row],[Delivery]]</f>
        <v>43296</v>
      </c>
      <c r="Y170" s="258" t="str">
        <f xml:space="preserve"> IF(MONTH(LstMachines[[#This Row],[DateLivr]])&lt;10,"0","") &amp; MONTH(LstMachines[[#This Row],[DateLivr]]) &amp;"-"&amp;YEAR(LstMachines[[#This Row],[DateLivr]])</f>
        <v>07-2018</v>
      </c>
      <c r="Z170" s="258">
        <f>LstMachines[[#This Row],[Delivery]]+Rglt_à_HCME</f>
        <v>43356</v>
      </c>
      <c r="AA170" s="258" t="str">
        <f xml:space="preserve"> IF(MONTH(LstMachines[[#This Row],[DatePaie]])&lt;10,"0","") &amp; MONTH(LstMachines[[#This Row],[DatePaie]])&amp;"-"&amp;YEAR(LstMachines[[#This Row],[DatePaie]])</f>
        <v>09-2018</v>
      </c>
      <c r="AB170" s="258">
        <f>LstMachines[[#This Row],[DateLivr]]+1</f>
        <v>43297</v>
      </c>
      <c r="AC170" s="258" t="str">
        <f xml:space="preserve"> IF(MONTH(LstMachines[[#This Row],[Distrib]])&lt;10,"0","") &amp; MONTH(LstMachines[[#This Row],[Distrib]]) &amp; "-" &amp; YEAR(LstMachines[[#This Row],[Distrib]])</f>
        <v>07-2018</v>
      </c>
      <c r="AD170" s="258">
        <f>LstMachines[[#This Row],[DateLivr]]+Délai_Vente</f>
        <v>43416</v>
      </c>
      <c r="AE170" s="258" t="str">
        <f xml:space="preserve"> IF(MONTH(LstMachines[[#This Row],[VteESM]])&lt;10,"0","") &amp; MONTH(LstMachines[[#This Row],[VteESM]]) &amp; "-" &amp; YEAR(LstMachines[[#This Row],[VteESM]])</f>
        <v>11-2018</v>
      </c>
      <c r="AF170" s="258">
        <f>LstMachines[[#This Row],[DateLivr]]+Rglt_à_ESMTP</f>
        <v>43356</v>
      </c>
      <c r="AG170" s="258" t="str">
        <f xml:space="preserve"> IF(MONTH(LstMachines[[#This Row],[RgltDistrib]])&lt;10,"0","") &amp; MONTH(LstMachines[[#This Row],[RgltDistrib]]) &amp; "-" &amp; YEAR(LstMachines[[#This Row],[RgltDistrib]])</f>
        <v>09-2018</v>
      </c>
      <c r="AH170" s="258">
        <f>LstMachines[[#This Row],[VteESM]]+Rglt_à_ESMTP</f>
        <v>43476</v>
      </c>
      <c r="AI170" s="258" t="str">
        <f xml:space="preserve"> IF(MONTH(LstMachines[[#This Row],[RgltVteESM]])&lt;10,"0","") &amp; MONTH(LstMachines[[#This Row],[RgltVteESM]]) &amp; "-" &amp; YEAR(LstMachines[[#This Row],[RgltVteESM]])</f>
        <v>01-2019</v>
      </c>
      <c r="AJ170" s="140">
        <f>MONTH(LstMachines[[#This Row],[DatePaie]])</f>
        <v>9</v>
      </c>
      <c r="AK170" s="88" t="str">
        <f>FIXED(YEAR(LstMachines[[#This Row],[DatePaie]]),0,TRUE)</f>
        <v>2018</v>
      </c>
      <c r="AL170" s="140"/>
      <c r="AM170" s="414"/>
      <c r="AN170" s="92"/>
      <c r="AO170" s="92"/>
      <c r="AP170" s="92"/>
      <c r="AQ170" s="92"/>
      <c r="AR170" s="92"/>
      <c r="AS170" s="92"/>
      <c r="AT170" s="92"/>
      <c r="AU170" s="92"/>
      <c r="AV170" s="92"/>
      <c r="AW170" s="92"/>
      <c r="AX170" s="92"/>
      <c r="AY170" s="92"/>
      <c r="BA170" s="92"/>
      <c r="BC170" s="92"/>
      <c r="BD170" s="92"/>
      <c r="BE170" s="92"/>
    </row>
    <row r="171" spans="2:57" hidden="1">
      <c r="B171" s="194" t="s">
        <v>75</v>
      </c>
      <c r="C171" s="194" t="s">
        <v>35</v>
      </c>
      <c r="D171" s="195">
        <v>19</v>
      </c>
      <c r="E171" s="194" t="s">
        <v>76</v>
      </c>
      <c r="F171" s="204" t="s">
        <v>468</v>
      </c>
      <c r="G171" s="204" t="s">
        <v>469</v>
      </c>
      <c r="H171" s="246">
        <v>1</v>
      </c>
      <c r="I17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171" s="88">
        <v>43296</v>
      </c>
      <c r="K171" s="139" t="s">
        <v>461</v>
      </c>
      <c r="L171" s="198" t="s">
        <v>470</v>
      </c>
      <c r="M171" s="139"/>
      <c r="N171" s="197"/>
      <c r="O171" s="255">
        <f>MONTH(LstMachines[[#This Row],[Delivery]])</f>
        <v>7</v>
      </c>
      <c r="P171" s="256" t="str">
        <f>FIXED(YEAR(LstMachines[[#This Row],[Delivery]]),0,TRUE)</f>
        <v>2018</v>
      </c>
      <c r="Q171" s="205"/>
      <c r="R171" s="241"/>
      <c r="S171" s="197"/>
      <c r="T171" s="197"/>
      <c r="U171" s="197"/>
      <c r="V171" s="193"/>
      <c r="W171" s="139"/>
      <c r="X171" s="258">
        <f>LstMachines[[#This Row],[Delivery]]</f>
        <v>43296</v>
      </c>
      <c r="Y171" s="258" t="str">
        <f xml:space="preserve"> IF(MONTH(LstMachines[[#This Row],[DateLivr]])&lt;10,"0","") &amp; MONTH(LstMachines[[#This Row],[DateLivr]]) &amp;"-"&amp;YEAR(LstMachines[[#This Row],[DateLivr]])</f>
        <v>07-2018</v>
      </c>
      <c r="Z171" s="258">
        <f>LstMachines[[#This Row],[Delivery]]+Rglt_à_HCME</f>
        <v>43356</v>
      </c>
      <c r="AA171" s="258" t="str">
        <f xml:space="preserve"> IF(MONTH(LstMachines[[#This Row],[DatePaie]])&lt;10,"0","") &amp; MONTH(LstMachines[[#This Row],[DatePaie]])&amp;"-"&amp;YEAR(LstMachines[[#This Row],[DatePaie]])</f>
        <v>09-2018</v>
      </c>
      <c r="AB171" s="258">
        <f>LstMachines[[#This Row],[DateLivr]]+1</f>
        <v>43297</v>
      </c>
      <c r="AC171" s="258" t="str">
        <f xml:space="preserve"> IF(MONTH(LstMachines[[#This Row],[Distrib]])&lt;10,"0","") &amp; MONTH(LstMachines[[#This Row],[Distrib]]) &amp; "-" &amp; YEAR(LstMachines[[#This Row],[Distrib]])</f>
        <v>07-2018</v>
      </c>
      <c r="AD171" s="258">
        <f>LstMachines[[#This Row],[DateLivr]]+Délai_Vente</f>
        <v>43416</v>
      </c>
      <c r="AE171" s="258" t="str">
        <f xml:space="preserve"> IF(MONTH(LstMachines[[#This Row],[VteESM]])&lt;10,"0","") &amp; MONTH(LstMachines[[#This Row],[VteESM]]) &amp; "-" &amp; YEAR(LstMachines[[#This Row],[VteESM]])</f>
        <v>11-2018</v>
      </c>
      <c r="AF171" s="258">
        <f>LstMachines[[#This Row],[DateLivr]]+Rglt_à_ESMTP</f>
        <v>43356</v>
      </c>
      <c r="AG171" s="258" t="str">
        <f xml:space="preserve"> IF(MONTH(LstMachines[[#This Row],[RgltDistrib]])&lt;10,"0","") &amp; MONTH(LstMachines[[#This Row],[RgltDistrib]]) &amp; "-" &amp; YEAR(LstMachines[[#This Row],[RgltDistrib]])</f>
        <v>09-2018</v>
      </c>
      <c r="AH171" s="258">
        <f>LstMachines[[#This Row],[VteESM]]+Rglt_à_ESMTP</f>
        <v>43476</v>
      </c>
      <c r="AI171" s="258" t="str">
        <f xml:space="preserve"> IF(MONTH(LstMachines[[#This Row],[RgltVteESM]])&lt;10,"0","") &amp; MONTH(LstMachines[[#This Row],[RgltVteESM]]) &amp; "-" &amp; YEAR(LstMachines[[#This Row],[RgltVteESM]])</f>
        <v>01-2019</v>
      </c>
      <c r="AJ171" s="140">
        <f>MONTH(LstMachines[[#This Row],[DatePaie]])</f>
        <v>9</v>
      </c>
      <c r="AK171" s="88" t="str">
        <f>FIXED(YEAR(LstMachines[[#This Row],[DatePaie]]),0,TRUE)</f>
        <v>2018</v>
      </c>
      <c r="AL171" s="140"/>
      <c r="AM171" s="414"/>
      <c r="AN171" s="92"/>
      <c r="AO171" s="92"/>
      <c r="AP171" s="92"/>
      <c r="AQ171" s="92"/>
      <c r="AR171" s="92"/>
      <c r="AS171" s="92"/>
      <c r="AT171" s="92"/>
      <c r="AU171" s="92"/>
      <c r="AV171" s="92"/>
      <c r="AW171" s="92"/>
      <c r="AX171" s="92"/>
      <c r="AY171" s="92"/>
      <c r="BA171" s="92"/>
      <c r="BC171" s="92"/>
      <c r="BD171" s="92"/>
      <c r="BE171" s="92"/>
    </row>
    <row r="172" spans="2:57" hidden="1">
      <c r="B172" s="194" t="s">
        <v>75</v>
      </c>
      <c r="C172" s="194" t="s">
        <v>36</v>
      </c>
      <c r="D172" s="195">
        <v>26</v>
      </c>
      <c r="E172" s="194" t="s">
        <v>355</v>
      </c>
      <c r="F172" s="204" t="s">
        <v>468</v>
      </c>
      <c r="G172" s="204" t="s">
        <v>469</v>
      </c>
      <c r="H172" s="246">
        <v>1</v>
      </c>
      <c r="I17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172" s="88">
        <v>43296</v>
      </c>
      <c r="K172" s="139" t="s">
        <v>461</v>
      </c>
      <c r="L172" s="198" t="s">
        <v>470</v>
      </c>
      <c r="M172" s="139"/>
      <c r="N172" s="197"/>
      <c r="O172" s="255">
        <f>MONTH(LstMachines[[#This Row],[Delivery]])</f>
        <v>7</v>
      </c>
      <c r="P172" s="256" t="str">
        <f>FIXED(YEAR(LstMachines[[#This Row],[Delivery]]),0,TRUE)</f>
        <v>2018</v>
      </c>
      <c r="Q172" s="205"/>
      <c r="R172" s="241"/>
      <c r="S172" s="197"/>
      <c r="T172" s="197"/>
      <c r="U172" s="197"/>
      <c r="V172" s="193"/>
      <c r="W172" s="139"/>
      <c r="X172" s="258">
        <f>LstMachines[[#This Row],[Delivery]]</f>
        <v>43296</v>
      </c>
      <c r="Y172" s="258" t="str">
        <f xml:space="preserve"> IF(MONTH(LstMachines[[#This Row],[DateLivr]])&lt;10,"0","") &amp; MONTH(LstMachines[[#This Row],[DateLivr]]) &amp;"-"&amp;YEAR(LstMachines[[#This Row],[DateLivr]])</f>
        <v>07-2018</v>
      </c>
      <c r="Z172" s="258">
        <f>LstMachines[[#This Row],[Delivery]]+Rglt_à_HCME</f>
        <v>43356</v>
      </c>
      <c r="AA172" s="258" t="str">
        <f xml:space="preserve"> IF(MONTH(LstMachines[[#This Row],[DatePaie]])&lt;10,"0","") &amp; MONTH(LstMachines[[#This Row],[DatePaie]])&amp;"-"&amp;YEAR(LstMachines[[#This Row],[DatePaie]])</f>
        <v>09-2018</v>
      </c>
      <c r="AB172" s="258">
        <f>LstMachines[[#This Row],[DateLivr]]+1</f>
        <v>43297</v>
      </c>
      <c r="AC172" s="258" t="str">
        <f xml:space="preserve"> IF(MONTH(LstMachines[[#This Row],[Distrib]])&lt;10,"0","") &amp; MONTH(LstMachines[[#This Row],[Distrib]]) &amp; "-" &amp; YEAR(LstMachines[[#This Row],[Distrib]])</f>
        <v>07-2018</v>
      </c>
      <c r="AD172" s="258">
        <f>LstMachines[[#This Row],[DateLivr]]+Délai_Vente</f>
        <v>43416</v>
      </c>
      <c r="AE172" s="258" t="str">
        <f xml:space="preserve"> IF(MONTH(LstMachines[[#This Row],[VteESM]])&lt;10,"0","") &amp; MONTH(LstMachines[[#This Row],[VteESM]]) &amp; "-" &amp; YEAR(LstMachines[[#This Row],[VteESM]])</f>
        <v>11-2018</v>
      </c>
      <c r="AF172" s="258">
        <f>LstMachines[[#This Row],[DateLivr]]+Rglt_à_ESMTP</f>
        <v>43356</v>
      </c>
      <c r="AG172" s="258" t="str">
        <f xml:space="preserve"> IF(MONTH(LstMachines[[#This Row],[RgltDistrib]])&lt;10,"0","") &amp; MONTH(LstMachines[[#This Row],[RgltDistrib]]) &amp; "-" &amp; YEAR(LstMachines[[#This Row],[RgltDistrib]])</f>
        <v>09-2018</v>
      </c>
      <c r="AH172" s="258">
        <f>LstMachines[[#This Row],[VteESM]]+Rglt_à_ESMTP</f>
        <v>43476</v>
      </c>
      <c r="AI172" s="258" t="str">
        <f xml:space="preserve"> IF(MONTH(LstMachines[[#This Row],[RgltVteESM]])&lt;10,"0","") &amp; MONTH(LstMachines[[#This Row],[RgltVteESM]]) &amp; "-" &amp; YEAR(LstMachines[[#This Row],[RgltVteESM]])</f>
        <v>01-2019</v>
      </c>
      <c r="AJ172" s="140">
        <f>MONTH(LstMachines[[#This Row],[DatePaie]])</f>
        <v>9</v>
      </c>
      <c r="AK172" s="88" t="str">
        <f>FIXED(YEAR(LstMachines[[#This Row],[DatePaie]]),0,TRUE)</f>
        <v>2018</v>
      </c>
      <c r="AL172" s="140"/>
      <c r="AM172" s="414"/>
      <c r="AN172" s="92"/>
      <c r="AO172" s="92"/>
      <c r="AP172" s="92"/>
      <c r="AQ172" s="92"/>
      <c r="AR172" s="92"/>
      <c r="AS172" s="92"/>
      <c r="AT172" s="92"/>
      <c r="AU172" s="92"/>
      <c r="AV172" s="92"/>
      <c r="AW172" s="92"/>
      <c r="AX172" s="92"/>
      <c r="AY172" s="92"/>
      <c r="BA172" s="92"/>
      <c r="BC172" s="92"/>
      <c r="BD172" s="92"/>
      <c r="BE172" s="92"/>
    </row>
    <row r="173" spans="2:57" hidden="1">
      <c r="B173" s="194" t="s">
        <v>75</v>
      </c>
      <c r="C173" s="194" t="s">
        <v>38</v>
      </c>
      <c r="D173" s="195">
        <v>65</v>
      </c>
      <c r="E173" s="104" t="s">
        <v>364</v>
      </c>
      <c r="F173" s="204" t="s">
        <v>468</v>
      </c>
      <c r="G173" s="204" t="s">
        <v>469</v>
      </c>
      <c r="H173" s="246">
        <v>1</v>
      </c>
      <c r="I17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173" s="88">
        <v>43296</v>
      </c>
      <c r="K173" s="139" t="s">
        <v>461</v>
      </c>
      <c r="L173" s="198" t="s">
        <v>470</v>
      </c>
      <c r="M173" s="139"/>
      <c r="N173" s="197"/>
      <c r="O173" s="255">
        <f>MONTH(LstMachines[[#This Row],[Delivery]])</f>
        <v>7</v>
      </c>
      <c r="P173" s="256" t="str">
        <f>FIXED(YEAR(LstMachines[[#This Row],[Delivery]]),0,TRUE)</f>
        <v>2018</v>
      </c>
      <c r="Q173" s="205"/>
      <c r="R173" s="241"/>
      <c r="S173" s="197"/>
      <c r="T173" s="197"/>
      <c r="U173" s="197"/>
      <c r="V173" s="193"/>
      <c r="W173" s="139"/>
      <c r="X173" s="258">
        <f>LstMachines[[#This Row],[Delivery]]</f>
        <v>43296</v>
      </c>
      <c r="Y173" s="258" t="str">
        <f xml:space="preserve"> IF(MONTH(LstMachines[[#This Row],[DateLivr]])&lt;10,"0","") &amp; MONTH(LstMachines[[#This Row],[DateLivr]]) &amp;"-"&amp;YEAR(LstMachines[[#This Row],[DateLivr]])</f>
        <v>07-2018</v>
      </c>
      <c r="Z173" s="258">
        <f>LstMachines[[#This Row],[Delivery]]+Rglt_à_HCME</f>
        <v>43356</v>
      </c>
      <c r="AA173" s="258" t="str">
        <f xml:space="preserve"> IF(MONTH(LstMachines[[#This Row],[DatePaie]])&lt;10,"0","") &amp; MONTH(LstMachines[[#This Row],[DatePaie]])&amp;"-"&amp;YEAR(LstMachines[[#This Row],[DatePaie]])</f>
        <v>09-2018</v>
      </c>
      <c r="AB173" s="258">
        <f>LstMachines[[#This Row],[DateLivr]]+1</f>
        <v>43297</v>
      </c>
      <c r="AC173" s="258" t="str">
        <f xml:space="preserve"> IF(MONTH(LstMachines[[#This Row],[Distrib]])&lt;10,"0","") &amp; MONTH(LstMachines[[#This Row],[Distrib]]) &amp; "-" &amp; YEAR(LstMachines[[#This Row],[Distrib]])</f>
        <v>07-2018</v>
      </c>
      <c r="AD173" s="258">
        <f>LstMachines[[#This Row],[DateLivr]]+Délai_Vente</f>
        <v>43416</v>
      </c>
      <c r="AE173" s="258" t="str">
        <f xml:space="preserve"> IF(MONTH(LstMachines[[#This Row],[VteESM]])&lt;10,"0","") &amp; MONTH(LstMachines[[#This Row],[VteESM]]) &amp; "-" &amp; YEAR(LstMachines[[#This Row],[VteESM]])</f>
        <v>11-2018</v>
      </c>
      <c r="AF173" s="258">
        <f>LstMachines[[#This Row],[DateLivr]]+Rglt_à_ESMTP</f>
        <v>43356</v>
      </c>
      <c r="AG173" s="258" t="str">
        <f xml:space="preserve"> IF(MONTH(LstMachines[[#This Row],[RgltDistrib]])&lt;10,"0","") &amp; MONTH(LstMachines[[#This Row],[RgltDistrib]]) &amp; "-" &amp; YEAR(LstMachines[[#This Row],[RgltDistrib]])</f>
        <v>09-2018</v>
      </c>
      <c r="AH173" s="258">
        <f>LstMachines[[#This Row],[VteESM]]+Rglt_à_ESMTP</f>
        <v>43476</v>
      </c>
      <c r="AI173" s="258" t="str">
        <f xml:space="preserve"> IF(MONTH(LstMachines[[#This Row],[RgltVteESM]])&lt;10,"0","") &amp; MONTH(LstMachines[[#This Row],[RgltVteESM]]) &amp; "-" &amp; YEAR(LstMachines[[#This Row],[RgltVteESM]])</f>
        <v>01-2019</v>
      </c>
      <c r="AJ173" s="140">
        <f>MONTH(LstMachines[[#This Row],[DatePaie]])</f>
        <v>9</v>
      </c>
      <c r="AK173" s="88" t="str">
        <f>FIXED(YEAR(LstMachines[[#This Row],[DatePaie]]),0,TRUE)</f>
        <v>2018</v>
      </c>
      <c r="AL173" s="140"/>
      <c r="AM173" s="414"/>
      <c r="AN173" s="92"/>
      <c r="AO173" s="92"/>
      <c r="AP173" s="92"/>
      <c r="AQ173" s="92"/>
      <c r="AR173" s="92"/>
      <c r="AS173" s="92"/>
      <c r="AT173" s="92"/>
      <c r="AU173" s="92"/>
      <c r="AV173" s="92"/>
      <c r="AW173" s="92"/>
      <c r="AX173" s="92"/>
      <c r="AY173" s="92"/>
      <c r="BA173" s="92"/>
      <c r="BC173" s="92"/>
      <c r="BD173" s="92"/>
      <c r="BE173" s="92"/>
    </row>
    <row r="174" spans="2:57" hidden="1">
      <c r="B174" s="194" t="s">
        <v>262</v>
      </c>
      <c r="C174" s="194" t="s">
        <v>39</v>
      </c>
      <c r="D174" s="195">
        <v>85</v>
      </c>
      <c r="E174" s="194" t="s">
        <v>356</v>
      </c>
      <c r="F174" s="204" t="s">
        <v>468</v>
      </c>
      <c r="G174" s="204" t="s">
        <v>469</v>
      </c>
      <c r="H174" s="246">
        <v>1</v>
      </c>
      <c r="I17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174" s="88">
        <v>43296</v>
      </c>
      <c r="K174" s="139" t="s">
        <v>461</v>
      </c>
      <c r="L174" s="198" t="s">
        <v>470</v>
      </c>
      <c r="M174" s="139"/>
      <c r="N174" s="197"/>
      <c r="O174" s="255">
        <f>MONTH(LstMachines[[#This Row],[Delivery]])</f>
        <v>7</v>
      </c>
      <c r="P174" s="256" t="str">
        <f>FIXED(YEAR(LstMachines[[#This Row],[Delivery]]),0,TRUE)</f>
        <v>2018</v>
      </c>
      <c r="Q174" s="205"/>
      <c r="R174" s="241"/>
      <c r="S174" s="197"/>
      <c r="T174" s="197"/>
      <c r="U174" s="197"/>
      <c r="V174" s="193"/>
      <c r="W174" s="139"/>
      <c r="X174" s="258">
        <f>LstMachines[[#This Row],[Delivery]]</f>
        <v>43296</v>
      </c>
      <c r="Y174" s="258" t="str">
        <f xml:space="preserve"> IF(MONTH(LstMachines[[#This Row],[DateLivr]])&lt;10,"0","") &amp; MONTH(LstMachines[[#This Row],[DateLivr]]) &amp;"-"&amp;YEAR(LstMachines[[#This Row],[DateLivr]])</f>
        <v>07-2018</v>
      </c>
      <c r="Z174" s="258">
        <f>LstMachines[[#This Row],[Delivery]]+Rglt_à_HCME</f>
        <v>43356</v>
      </c>
      <c r="AA174" s="258" t="str">
        <f xml:space="preserve"> IF(MONTH(LstMachines[[#This Row],[DatePaie]])&lt;10,"0","") &amp; MONTH(LstMachines[[#This Row],[DatePaie]])&amp;"-"&amp;YEAR(LstMachines[[#This Row],[DatePaie]])</f>
        <v>09-2018</v>
      </c>
      <c r="AB174" s="258">
        <f>LstMachines[[#This Row],[DateLivr]]+1</f>
        <v>43297</v>
      </c>
      <c r="AC174" s="258" t="str">
        <f xml:space="preserve"> IF(MONTH(LstMachines[[#This Row],[Distrib]])&lt;10,"0","") &amp; MONTH(LstMachines[[#This Row],[Distrib]]) &amp; "-" &amp; YEAR(LstMachines[[#This Row],[Distrib]])</f>
        <v>07-2018</v>
      </c>
      <c r="AD174" s="258">
        <f>LstMachines[[#This Row],[DateLivr]]+Délai_Vente</f>
        <v>43416</v>
      </c>
      <c r="AE174" s="258" t="str">
        <f xml:space="preserve"> IF(MONTH(LstMachines[[#This Row],[VteESM]])&lt;10,"0","") &amp; MONTH(LstMachines[[#This Row],[VteESM]]) &amp; "-" &amp; YEAR(LstMachines[[#This Row],[VteESM]])</f>
        <v>11-2018</v>
      </c>
      <c r="AF174" s="258">
        <f>LstMachines[[#This Row],[DateLivr]]+Rglt_à_ESMTP</f>
        <v>43356</v>
      </c>
      <c r="AG174" s="258" t="str">
        <f xml:space="preserve"> IF(MONTH(LstMachines[[#This Row],[RgltDistrib]])&lt;10,"0","") &amp; MONTH(LstMachines[[#This Row],[RgltDistrib]]) &amp; "-" &amp; YEAR(LstMachines[[#This Row],[RgltDistrib]])</f>
        <v>09-2018</v>
      </c>
      <c r="AH174" s="258">
        <f>LstMachines[[#This Row],[VteESM]]+Rglt_à_ESMTP</f>
        <v>43476</v>
      </c>
      <c r="AI174" s="258" t="str">
        <f xml:space="preserve"> IF(MONTH(LstMachines[[#This Row],[RgltVteESM]])&lt;10,"0","") &amp; MONTH(LstMachines[[#This Row],[RgltVteESM]]) &amp; "-" &amp; YEAR(LstMachines[[#This Row],[RgltVteESM]])</f>
        <v>01-2019</v>
      </c>
      <c r="AJ174" s="140">
        <f>MONTH(LstMachines[[#This Row],[DatePaie]])</f>
        <v>9</v>
      </c>
      <c r="AK174" s="88" t="str">
        <f>FIXED(YEAR(LstMachines[[#This Row],[DatePaie]]),0,TRUE)</f>
        <v>2018</v>
      </c>
      <c r="AL174" s="140"/>
      <c r="AM174" s="414"/>
      <c r="AN174" s="92"/>
      <c r="AO174" s="92"/>
      <c r="AP174" s="92"/>
      <c r="AQ174" s="92"/>
      <c r="AR174" s="92"/>
      <c r="AS174" s="92"/>
      <c r="AT174" s="92"/>
      <c r="AU174" s="92"/>
      <c r="AV174" s="92"/>
      <c r="AW174" s="92"/>
      <c r="AX174" s="92"/>
      <c r="AY174" s="92"/>
      <c r="BA174" s="92"/>
      <c r="BC174" s="92"/>
      <c r="BD174" s="92"/>
      <c r="BE174" s="92"/>
    </row>
    <row r="175" spans="2:57" hidden="1">
      <c r="B175" s="194" t="s">
        <v>262</v>
      </c>
      <c r="C175" s="194" t="s">
        <v>39</v>
      </c>
      <c r="D175" s="195">
        <v>85</v>
      </c>
      <c r="E175" s="194" t="s">
        <v>356</v>
      </c>
      <c r="F175" s="204" t="s">
        <v>468</v>
      </c>
      <c r="G175" s="204" t="s">
        <v>469</v>
      </c>
      <c r="H175" s="246">
        <v>1</v>
      </c>
      <c r="I17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175" s="88">
        <v>43296</v>
      </c>
      <c r="K175" s="139" t="s">
        <v>461</v>
      </c>
      <c r="L175" s="198" t="s">
        <v>470</v>
      </c>
      <c r="M175" s="139"/>
      <c r="N175" s="197"/>
      <c r="O175" s="255">
        <f>MONTH(LstMachines[[#This Row],[Delivery]])</f>
        <v>7</v>
      </c>
      <c r="P175" s="256" t="str">
        <f>FIXED(YEAR(LstMachines[[#This Row],[Delivery]]),0,TRUE)</f>
        <v>2018</v>
      </c>
      <c r="Q175" s="205"/>
      <c r="R175" s="241"/>
      <c r="S175" s="197"/>
      <c r="T175" s="197"/>
      <c r="U175" s="197"/>
      <c r="V175" s="193"/>
      <c r="W175" s="139"/>
      <c r="X175" s="258">
        <f>LstMachines[[#This Row],[Delivery]]</f>
        <v>43296</v>
      </c>
      <c r="Y175" s="258" t="str">
        <f xml:space="preserve"> IF(MONTH(LstMachines[[#This Row],[DateLivr]])&lt;10,"0","") &amp; MONTH(LstMachines[[#This Row],[DateLivr]]) &amp;"-"&amp;YEAR(LstMachines[[#This Row],[DateLivr]])</f>
        <v>07-2018</v>
      </c>
      <c r="Z175" s="258">
        <f>LstMachines[[#This Row],[Delivery]]+Rglt_à_HCME</f>
        <v>43356</v>
      </c>
      <c r="AA175" s="258" t="str">
        <f xml:space="preserve"> IF(MONTH(LstMachines[[#This Row],[DatePaie]])&lt;10,"0","") &amp; MONTH(LstMachines[[#This Row],[DatePaie]])&amp;"-"&amp;YEAR(LstMachines[[#This Row],[DatePaie]])</f>
        <v>09-2018</v>
      </c>
      <c r="AB175" s="258">
        <f>LstMachines[[#This Row],[DateLivr]]+1</f>
        <v>43297</v>
      </c>
      <c r="AC175" s="258" t="str">
        <f xml:space="preserve"> IF(MONTH(LstMachines[[#This Row],[Distrib]])&lt;10,"0","") &amp; MONTH(LstMachines[[#This Row],[Distrib]]) &amp; "-" &amp; YEAR(LstMachines[[#This Row],[Distrib]])</f>
        <v>07-2018</v>
      </c>
      <c r="AD175" s="258">
        <f>LstMachines[[#This Row],[DateLivr]]+Délai_Vente</f>
        <v>43416</v>
      </c>
      <c r="AE175" s="258" t="str">
        <f xml:space="preserve"> IF(MONTH(LstMachines[[#This Row],[VteESM]])&lt;10,"0","") &amp; MONTH(LstMachines[[#This Row],[VteESM]]) &amp; "-" &amp; YEAR(LstMachines[[#This Row],[VteESM]])</f>
        <v>11-2018</v>
      </c>
      <c r="AF175" s="258">
        <f>LstMachines[[#This Row],[DateLivr]]+Rglt_à_ESMTP</f>
        <v>43356</v>
      </c>
      <c r="AG175" s="258" t="str">
        <f xml:space="preserve"> IF(MONTH(LstMachines[[#This Row],[RgltDistrib]])&lt;10,"0","") &amp; MONTH(LstMachines[[#This Row],[RgltDistrib]]) &amp; "-" &amp; YEAR(LstMachines[[#This Row],[RgltDistrib]])</f>
        <v>09-2018</v>
      </c>
      <c r="AH175" s="258">
        <f>LstMachines[[#This Row],[VteESM]]+Rglt_à_ESMTP</f>
        <v>43476</v>
      </c>
      <c r="AI175" s="258" t="str">
        <f xml:space="preserve"> IF(MONTH(LstMachines[[#This Row],[RgltVteESM]])&lt;10,"0","") &amp; MONTH(LstMachines[[#This Row],[RgltVteESM]]) &amp; "-" &amp; YEAR(LstMachines[[#This Row],[RgltVteESM]])</f>
        <v>01-2019</v>
      </c>
      <c r="AJ175" s="140">
        <f>MONTH(LstMachines[[#This Row],[DatePaie]])</f>
        <v>9</v>
      </c>
      <c r="AK175" s="88" t="str">
        <f>FIXED(YEAR(LstMachines[[#This Row],[DatePaie]]),0,TRUE)</f>
        <v>2018</v>
      </c>
      <c r="AL175" s="140"/>
      <c r="AM175" s="414"/>
      <c r="AN175" s="92"/>
      <c r="AO175" s="92"/>
      <c r="AP175" s="92"/>
      <c r="AQ175" s="92"/>
      <c r="AR175" s="92"/>
      <c r="AS175" s="92"/>
      <c r="AT175" s="92"/>
      <c r="AU175" s="92"/>
      <c r="AV175" s="92"/>
      <c r="AW175" s="92"/>
      <c r="AX175" s="92"/>
      <c r="AY175" s="92"/>
      <c r="BA175" s="92"/>
      <c r="BC175" s="92"/>
      <c r="BD175" s="92"/>
      <c r="BE175" s="92"/>
    </row>
    <row r="176" spans="2:57" hidden="1">
      <c r="B176" s="194" t="s">
        <v>262</v>
      </c>
      <c r="C176" s="194" t="s">
        <v>44</v>
      </c>
      <c r="D176" s="195">
        <v>225</v>
      </c>
      <c r="E176" s="194" t="s">
        <v>204</v>
      </c>
      <c r="F176" s="204" t="s">
        <v>468</v>
      </c>
      <c r="G176" s="204" t="s">
        <v>469</v>
      </c>
      <c r="H176" s="246">
        <v>1</v>
      </c>
      <c r="I17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176" s="88">
        <v>43296</v>
      </c>
      <c r="K176" s="139" t="s">
        <v>461</v>
      </c>
      <c r="L176" s="198" t="s">
        <v>470</v>
      </c>
      <c r="M176" s="139"/>
      <c r="N176" s="197"/>
      <c r="O176" s="255">
        <f>MONTH(LstMachines[[#This Row],[Delivery]])</f>
        <v>7</v>
      </c>
      <c r="P176" s="256" t="str">
        <f>FIXED(YEAR(LstMachines[[#This Row],[Delivery]]),0,TRUE)</f>
        <v>2018</v>
      </c>
      <c r="Q176" s="205"/>
      <c r="R176" s="241"/>
      <c r="S176" s="197"/>
      <c r="T176" s="197"/>
      <c r="U176" s="197"/>
      <c r="V176" s="193"/>
      <c r="W176" s="139"/>
      <c r="X176" s="258">
        <f>LstMachines[[#This Row],[Delivery]]</f>
        <v>43296</v>
      </c>
      <c r="Y176" s="258" t="str">
        <f xml:space="preserve"> IF(MONTH(LstMachines[[#This Row],[DateLivr]])&lt;10,"0","") &amp; MONTH(LstMachines[[#This Row],[DateLivr]]) &amp;"-"&amp;YEAR(LstMachines[[#This Row],[DateLivr]])</f>
        <v>07-2018</v>
      </c>
      <c r="Z176" s="258">
        <f>LstMachines[[#This Row],[Delivery]]+Rglt_à_HCME</f>
        <v>43356</v>
      </c>
      <c r="AA176" s="258" t="str">
        <f xml:space="preserve"> IF(MONTH(LstMachines[[#This Row],[DatePaie]])&lt;10,"0","") &amp; MONTH(LstMachines[[#This Row],[DatePaie]])&amp;"-"&amp;YEAR(LstMachines[[#This Row],[DatePaie]])</f>
        <v>09-2018</v>
      </c>
      <c r="AB176" s="258">
        <f>LstMachines[[#This Row],[DateLivr]]+1</f>
        <v>43297</v>
      </c>
      <c r="AC176" s="258" t="str">
        <f xml:space="preserve"> IF(MONTH(LstMachines[[#This Row],[Distrib]])&lt;10,"0","") &amp; MONTH(LstMachines[[#This Row],[Distrib]]) &amp; "-" &amp; YEAR(LstMachines[[#This Row],[Distrib]])</f>
        <v>07-2018</v>
      </c>
      <c r="AD176" s="258">
        <f>LstMachines[[#This Row],[DateLivr]]+Délai_Vente</f>
        <v>43416</v>
      </c>
      <c r="AE176" s="258" t="str">
        <f xml:space="preserve"> IF(MONTH(LstMachines[[#This Row],[VteESM]])&lt;10,"0","") &amp; MONTH(LstMachines[[#This Row],[VteESM]]) &amp; "-" &amp; YEAR(LstMachines[[#This Row],[VteESM]])</f>
        <v>11-2018</v>
      </c>
      <c r="AF176" s="258">
        <f>LstMachines[[#This Row],[DateLivr]]+Rglt_à_ESMTP</f>
        <v>43356</v>
      </c>
      <c r="AG176" s="258" t="str">
        <f xml:space="preserve"> IF(MONTH(LstMachines[[#This Row],[RgltDistrib]])&lt;10,"0","") &amp; MONTH(LstMachines[[#This Row],[RgltDistrib]]) &amp; "-" &amp; YEAR(LstMachines[[#This Row],[RgltDistrib]])</f>
        <v>09-2018</v>
      </c>
      <c r="AH176" s="258">
        <f>LstMachines[[#This Row],[VteESM]]+Rglt_à_ESMTP</f>
        <v>43476</v>
      </c>
      <c r="AI176" s="258" t="str">
        <f xml:space="preserve"> IF(MONTH(LstMachines[[#This Row],[RgltVteESM]])&lt;10,"0","") &amp; MONTH(LstMachines[[#This Row],[RgltVteESM]]) &amp; "-" &amp; YEAR(LstMachines[[#This Row],[RgltVteESM]])</f>
        <v>01-2019</v>
      </c>
      <c r="AJ176" s="140">
        <f>MONTH(LstMachines[[#This Row],[DatePaie]])</f>
        <v>9</v>
      </c>
      <c r="AK176" s="88" t="str">
        <f>FIXED(YEAR(LstMachines[[#This Row],[DatePaie]]),0,TRUE)</f>
        <v>2018</v>
      </c>
      <c r="AL176" s="140"/>
      <c r="AM176" s="414"/>
      <c r="AN176" s="92"/>
      <c r="AO176" s="92"/>
      <c r="AP176" s="92"/>
      <c r="AQ176" s="92"/>
      <c r="AR176" s="92"/>
      <c r="AS176" s="92"/>
      <c r="AT176" s="92"/>
      <c r="AU176" s="92"/>
      <c r="AV176" s="92"/>
      <c r="AW176" s="92"/>
      <c r="AX176" s="92"/>
      <c r="AY176" s="92"/>
      <c r="BA176" s="92"/>
      <c r="BC176" s="92"/>
      <c r="BD176" s="92"/>
      <c r="BE176" s="92"/>
    </row>
    <row r="177" spans="2:57" hidden="1">
      <c r="B177" s="243" t="s">
        <v>75</v>
      </c>
      <c r="C177" s="243" t="s">
        <v>69</v>
      </c>
      <c r="D177" s="245">
        <v>55</v>
      </c>
      <c r="E177" s="243" t="s">
        <v>426</v>
      </c>
      <c r="F177" s="89" t="s">
        <v>580</v>
      </c>
      <c r="G177" s="89" t="s">
        <v>581</v>
      </c>
      <c r="H177" s="246">
        <v>1</v>
      </c>
      <c r="I177" s="246">
        <v>43</v>
      </c>
      <c r="J177" s="88">
        <v>43296</v>
      </c>
      <c r="K177" s="248" t="s">
        <v>463</v>
      </c>
      <c r="L177" s="120" t="s">
        <v>582</v>
      </c>
      <c r="M177" s="248"/>
      <c r="N177" s="249"/>
      <c r="O177" s="270">
        <f>MONTH(LstMachines[[#This Row],[Delivery]])</f>
        <v>7</v>
      </c>
      <c r="P177" s="247" t="str">
        <f>FIXED(YEAR(LstMachines[[#This Row],[Delivery]]),0,TRUE)</f>
        <v>2018</v>
      </c>
      <c r="Q177" s="250"/>
      <c r="R177" s="251"/>
      <c r="S177" s="249"/>
      <c r="T177" s="249"/>
      <c r="U177" s="249"/>
      <c r="V177" s="246"/>
      <c r="W177" s="99" t="s">
        <v>384</v>
      </c>
      <c r="X177" s="249">
        <f>LstMachines[[#This Row],[Delivery]]</f>
        <v>43296</v>
      </c>
      <c r="Y177" s="271" t="str">
        <f xml:space="preserve"> IF(MONTH(LstMachines[[#This Row],[DateLivr]])&lt;10,"0","") &amp; MONTH(LstMachines[[#This Row],[DateLivr]]) &amp;"-"&amp;YEAR(LstMachines[[#This Row],[DateLivr]])</f>
        <v>07-2018</v>
      </c>
      <c r="Z177" s="247">
        <f>LstMachines[[#This Row],[Delivery]]+Rglt_à_HCME</f>
        <v>43356</v>
      </c>
      <c r="AA177" s="271" t="str">
        <f xml:space="preserve"> IF(MONTH(LstMachines[[#This Row],[DatePaie]])&lt;10,"0","") &amp; MONTH(LstMachines[[#This Row],[DatePaie]])&amp;"-"&amp;YEAR(LstMachines[[#This Row],[DatePaie]])</f>
        <v>09-2018</v>
      </c>
      <c r="AB177" s="271">
        <f>LstMachines[[#This Row],[DateLivr]]+1</f>
        <v>43297</v>
      </c>
      <c r="AC177" s="271" t="str">
        <f xml:space="preserve"> IF(MONTH(LstMachines[[#This Row],[Distrib]])&lt;10,"0","") &amp; MONTH(LstMachines[[#This Row],[Distrib]]) &amp; "-" &amp; YEAR(LstMachines[[#This Row],[Distrib]])</f>
        <v>07-2018</v>
      </c>
      <c r="AD177" s="271">
        <f>LstMachines[[#This Row],[DateLivr]]+Délai_Vente</f>
        <v>43416</v>
      </c>
      <c r="AE177" s="271" t="str">
        <f xml:space="preserve"> IF(MONTH(LstMachines[[#This Row],[VteESM]])&lt;10,"0","") &amp; MONTH(LstMachines[[#This Row],[VteESM]]) &amp; "-" &amp; YEAR(LstMachines[[#This Row],[VteESM]])</f>
        <v>11-2018</v>
      </c>
      <c r="AF177" s="271">
        <f>LstMachines[[#This Row],[DateLivr]]+Rglt_à_ESMTP</f>
        <v>43356</v>
      </c>
      <c r="AG177" s="271" t="str">
        <f xml:space="preserve"> IF(MONTH(LstMachines[[#This Row],[RgltDistrib]])&lt;10,"0","") &amp; MONTH(LstMachines[[#This Row],[RgltDistrib]]) &amp; "-" &amp; YEAR(LstMachines[[#This Row],[RgltDistrib]])</f>
        <v>09-2018</v>
      </c>
      <c r="AH177" s="271">
        <f>LstMachines[[#This Row],[VteESM]]+Rglt_à_ESMTP</f>
        <v>43476</v>
      </c>
      <c r="AI177" s="271" t="str">
        <f xml:space="preserve"> IF(MONTH(LstMachines[[#This Row],[RgltVteESM]])&lt;10,"0","") &amp; MONTH(LstMachines[[#This Row],[RgltVteESM]]) &amp; "-" &amp; YEAR(LstMachines[[#This Row],[RgltVteESM]])</f>
        <v>01-2019</v>
      </c>
      <c r="AJ177" s="270">
        <f>MONTH(LstMachines[[#This Row],[DatePaie]])</f>
        <v>9</v>
      </c>
      <c r="AK177" s="247" t="str">
        <f>FIXED(YEAR(LstMachines[[#This Row],[DatePaie]]),0,TRUE)</f>
        <v>2018</v>
      </c>
      <c r="AL177" s="270"/>
      <c r="AM177" s="414"/>
      <c r="AN177" s="92"/>
      <c r="AO177" s="92"/>
      <c r="AP177" s="92"/>
      <c r="AQ177" s="92"/>
      <c r="AR177" s="92"/>
      <c r="AS177" s="92"/>
      <c r="AT177" s="92"/>
      <c r="AU177" s="92"/>
      <c r="AV177" s="92"/>
      <c r="AW177" s="92"/>
      <c r="AX177" s="92"/>
      <c r="AY177" s="92"/>
      <c r="BA177" s="92"/>
      <c r="BC177" s="92"/>
      <c r="BD177" s="92"/>
      <c r="BE177" s="92"/>
    </row>
    <row r="178" spans="2:57" hidden="1">
      <c r="B178" s="243" t="s">
        <v>75</v>
      </c>
      <c r="C178" s="243" t="s">
        <v>36</v>
      </c>
      <c r="D178" s="245">
        <v>26</v>
      </c>
      <c r="E178" s="243" t="s">
        <v>361</v>
      </c>
      <c r="F178" s="89" t="s">
        <v>580</v>
      </c>
      <c r="G178" s="89" t="s">
        <v>581</v>
      </c>
      <c r="H178" s="246">
        <v>1</v>
      </c>
      <c r="I178" s="246">
        <v>23</v>
      </c>
      <c r="J178" s="88">
        <v>43296</v>
      </c>
      <c r="K178" s="248" t="s">
        <v>463</v>
      </c>
      <c r="L178" s="120" t="s">
        <v>582</v>
      </c>
      <c r="M178" s="248"/>
      <c r="N178" s="249"/>
      <c r="O178" s="270">
        <f>MONTH(LstMachines[[#This Row],[Delivery]])</f>
        <v>7</v>
      </c>
      <c r="P178" s="247" t="str">
        <f>FIXED(YEAR(LstMachines[[#This Row],[Delivery]]),0,TRUE)</f>
        <v>2018</v>
      </c>
      <c r="Q178" s="250"/>
      <c r="R178" s="251"/>
      <c r="S178" s="249"/>
      <c r="T178" s="249"/>
      <c r="U178" s="249"/>
      <c r="V178" s="246"/>
      <c r="W178" s="99" t="s">
        <v>384</v>
      </c>
      <c r="X178" s="249">
        <f>LstMachines[[#This Row],[Delivery]]</f>
        <v>43296</v>
      </c>
      <c r="Y178" s="271" t="str">
        <f xml:space="preserve"> IF(MONTH(LstMachines[[#This Row],[DateLivr]])&lt;10,"0","") &amp; MONTH(LstMachines[[#This Row],[DateLivr]]) &amp;"-"&amp;YEAR(LstMachines[[#This Row],[DateLivr]])</f>
        <v>07-2018</v>
      </c>
      <c r="Z178" s="247">
        <f>LstMachines[[#This Row],[Delivery]]+Rglt_à_HCME</f>
        <v>43356</v>
      </c>
      <c r="AA178" s="271" t="str">
        <f xml:space="preserve"> IF(MONTH(LstMachines[[#This Row],[DatePaie]])&lt;10,"0","") &amp; MONTH(LstMachines[[#This Row],[DatePaie]])&amp;"-"&amp;YEAR(LstMachines[[#This Row],[DatePaie]])</f>
        <v>09-2018</v>
      </c>
      <c r="AB178" s="271">
        <f>LstMachines[[#This Row],[DateLivr]]+1</f>
        <v>43297</v>
      </c>
      <c r="AC178" s="271" t="str">
        <f xml:space="preserve"> IF(MONTH(LstMachines[[#This Row],[Distrib]])&lt;10,"0","") &amp; MONTH(LstMachines[[#This Row],[Distrib]]) &amp; "-" &amp; YEAR(LstMachines[[#This Row],[Distrib]])</f>
        <v>07-2018</v>
      </c>
      <c r="AD178" s="271">
        <f>LstMachines[[#This Row],[DateLivr]]+Délai_Vente</f>
        <v>43416</v>
      </c>
      <c r="AE178" s="271" t="str">
        <f xml:space="preserve"> IF(MONTH(LstMachines[[#This Row],[VteESM]])&lt;10,"0","") &amp; MONTH(LstMachines[[#This Row],[VteESM]]) &amp; "-" &amp; YEAR(LstMachines[[#This Row],[VteESM]])</f>
        <v>11-2018</v>
      </c>
      <c r="AF178" s="271">
        <f>LstMachines[[#This Row],[DateLivr]]+Rglt_à_ESMTP</f>
        <v>43356</v>
      </c>
      <c r="AG178" s="271" t="str">
        <f xml:space="preserve"> IF(MONTH(LstMachines[[#This Row],[RgltDistrib]])&lt;10,"0","") &amp; MONTH(LstMachines[[#This Row],[RgltDistrib]]) &amp; "-" &amp; YEAR(LstMachines[[#This Row],[RgltDistrib]])</f>
        <v>09-2018</v>
      </c>
      <c r="AH178" s="271">
        <f>LstMachines[[#This Row],[VteESM]]+Rglt_à_ESMTP</f>
        <v>43476</v>
      </c>
      <c r="AI178" s="271" t="str">
        <f xml:space="preserve"> IF(MONTH(LstMachines[[#This Row],[RgltVteESM]])&lt;10,"0","") &amp; MONTH(LstMachines[[#This Row],[RgltVteESM]]) &amp; "-" &amp; YEAR(LstMachines[[#This Row],[RgltVteESM]])</f>
        <v>01-2019</v>
      </c>
      <c r="AJ178" s="270">
        <f>MONTH(LstMachines[[#This Row],[DatePaie]])</f>
        <v>9</v>
      </c>
      <c r="AK178" s="247" t="str">
        <f>FIXED(YEAR(LstMachines[[#This Row],[DatePaie]]),0,TRUE)</f>
        <v>2018</v>
      </c>
      <c r="AL178" s="270"/>
      <c r="AM178" s="414"/>
      <c r="AN178" s="92"/>
      <c r="AO178" s="92"/>
      <c r="AP178" s="92"/>
      <c r="AQ178" s="92"/>
      <c r="AR178" s="92"/>
      <c r="AS178" s="92"/>
      <c r="AT178" s="92"/>
      <c r="AU178" s="92"/>
      <c r="AV178" s="92"/>
      <c r="AW178" s="92"/>
      <c r="AX178" s="92"/>
      <c r="AY178" s="92"/>
      <c r="BA178" s="92"/>
      <c r="BC178" s="92"/>
      <c r="BD178" s="92"/>
      <c r="BE178" s="92"/>
    </row>
    <row r="179" spans="2:57" hidden="1">
      <c r="B179" s="104" t="s">
        <v>75</v>
      </c>
      <c r="C179" s="104" t="s">
        <v>36</v>
      </c>
      <c r="D179" s="87">
        <v>26</v>
      </c>
      <c r="E179" s="86" t="s">
        <v>361</v>
      </c>
      <c r="F179" s="87" t="s">
        <v>100</v>
      </c>
      <c r="G179" s="87" t="s">
        <v>31</v>
      </c>
      <c r="H179" s="89">
        <v>1</v>
      </c>
      <c r="I17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179" s="88">
        <v>43296</v>
      </c>
      <c r="K179" s="99" t="s">
        <v>463</v>
      </c>
      <c r="L179" s="120" t="s">
        <v>378</v>
      </c>
      <c r="M179" s="99"/>
      <c r="N179" s="90">
        <v>43054</v>
      </c>
      <c r="O179" s="255">
        <f>MONTH(LstMachines[[#This Row],[Delivery]])</f>
        <v>7</v>
      </c>
      <c r="P179" s="256" t="str">
        <f>FIXED(YEAR(LstMachines[[#This Row],[Delivery]]),0,TRUE)</f>
        <v>2018</v>
      </c>
      <c r="Q179" s="73" t="s">
        <v>381</v>
      </c>
      <c r="R179" s="93">
        <v>23608</v>
      </c>
      <c r="S179" s="90"/>
      <c r="T179" s="90"/>
      <c r="U179" s="90" t="s">
        <v>105</v>
      </c>
      <c r="V179" s="72">
        <v>4260</v>
      </c>
      <c r="W179" s="99" t="s">
        <v>384</v>
      </c>
      <c r="X179" s="258">
        <f>LstMachines[[#This Row],[Delivery]]</f>
        <v>43296</v>
      </c>
      <c r="Y179" s="258" t="str">
        <f xml:space="preserve"> IF(MONTH(LstMachines[[#This Row],[DateLivr]])&lt;10,"0","") &amp; MONTH(LstMachines[[#This Row],[DateLivr]]) &amp;"-"&amp;YEAR(LstMachines[[#This Row],[DateLivr]])</f>
        <v>07-2018</v>
      </c>
      <c r="Z179" s="258">
        <f>LstMachines[[#This Row],[Delivery]]+Rglt_à_HCME</f>
        <v>43356</v>
      </c>
      <c r="AA179" s="258" t="str">
        <f xml:space="preserve"> IF(MONTH(LstMachines[[#This Row],[DatePaie]])&lt;10,"0","") &amp; MONTH(LstMachines[[#This Row],[DatePaie]])&amp;"-"&amp;YEAR(LstMachines[[#This Row],[DatePaie]])</f>
        <v>09-2018</v>
      </c>
      <c r="AB179" s="258">
        <f>LstMachines[[#This Row],[DateLivr]]+1</f>
        <v>43297</v>
      </c>
      <c r="AC179" s="258" t="str">
        <f xml:space="preserve"> IF(MONTH(LstMachines[[#This Row],[Distrib]])&lt;10,"0","") &amp; MONTH(LstMachines[[#This Row],[Distrib]]) &amp; "-" &amp; YEAR(LstMachines[[#This Row],[Distrib]])</f>
        <v>07-2018</v>
      </c>
      <c r="AD179" s="258">
        <f>LstMachines[[#This Row],[DateLivr]]+Délai_Vente</f>
        <v>43416</v>
      </c>
      <c r="AE179" s="258" t="str">
        <f xml:space="preserve"> IF(MONTH(LstMachines[[#This Row],[VteESM]])&lt;10,"0","") &amp; MONTH(LstMachines[[#This Row],[VteESM]]) &amp; "-" &amp; YEAR(LstMachines[[#This Row],[VteESM]])</f>
        <v>11-2018</v>
      </c>
      <c r="AF179" s="258">
        <f>LstMachines[[#This Row],[DateLivr]]+Rglt_à_ESMTP</f>
        <v>43356</v>
      </c>
      <c r="AG179" s="258" t="str">
        <f xml:space="preserve"> IF(MONTH(LstMachines[[#This Row],[RgltDistrib]])&lt;10,"0","") &amp; MONTH(LstMachines[[#This Row],[RgltDistrib]]) &amp; "-" &amp; YEAR(LstMachines[[#This Row],[RgltDistrib]])</f>
        <v>09-2018</v>
      </c>
      <c r="AH179" s="258">
        <f>LstMachines[[#This Row],[VteESM]]+Rglt_à_ESMTP</f>
        <v>43476</v>
      </c>
      <c r="AI179" s="258" t="str">
        <f xml:space="preserve"> IF(MONTH(LstMachines[[#This Row],[RgltVteESM]])&lt;10,"0","") &amp; MONTH(LstMachines[[#This Row],[RgltVteESM]]) &amp; "-" &amp; YEAR(LstMachines[[#This Row],[RgltVteESM]])</f>
        <v>01-2019</v>
      </c>
      <c r="AJ179" s="140">
        <f>MONTH(LstMachines[[#This Row],[DatePaie]])</f>
        <v>9</v>
      </c>
      <c r="AK179" s="88" t="str">
        <f>FIXED(YEAR(LstMachines[[#This Row],[DatePaie]]),0,TRUE)</f>
        <v>2018</v>
      </c>
      <c r="AL179" s="140"/>
      <c r="AM179" s="414"/>
      <c r="AN179" s="92"/>
      <c r="AO179" s="92"/>
      <c r="AP179" s="92"/>
      <c r="AQ179" s="92"/>
      <c r="AR179" s="92"/>
      <c r="AS179" s="92"/>
      <c r="AT179" s="92"/>
      <c r="AU179" s="92"/>
      <c r="AV179" s="92"/>
      <c r="AW179" s="92"/>
      <c r="AX179" s="92"/>
      <c r="AY179" s="92"/>
      <c r="BA179" s="92"/>
      <c r="BC179" s="92"/>
      <c r="BD179" s="92"/>
      <c r="BE179" s="92"/>
    </row>
    <row r="180" spans="2:57" hidden="1">
      <c r="B180" s="104" t="s">
        <v>259</v>
      </c>
      <c r="C180" s="104" t="s">
        <v>373</v>
      </c>
      <c r="D180" s="87">
        <v>75</v>
      </c>
      <c r="E180" s="104" t="s">
        <v>374</v>
      </c>
      <c r="F180" s="71" t="s">
        <v>100</v>
      </c>
      <c r="G180" s="71" t="s">
        <v>31</v>
      </c>
      <c r="H180" s="89">
        <v>1</v>
      </c>
      <c r="I18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180" s="88">
        <v>43296</v>
      </c>
      <c r="K180" s="99" t="s">
        <v>463</v>
      </c>
      <c r="L180" s="120" t="s">
        <v>378</v>
      </c>
      <c r="M180" s="99"/>
      <c r="N180" s="90">
        <v>43067</v>
      </c>
      <c r="O180" s="255">
        <f>MONTH(LstMachines[[#This Row],[Delivery]])</f>
        <v>7</v>
      </c>
      <c r="P180" s="256" t="str">
        <f>FIXED(YEAR(LstMachines[[#This Row],[Delivery]]),0,TRUE)</f>
        <v>2018</v>
      </c>
      <c r="Q180" s="73" t="s">
        <v>352</v>
      </c>
      <c r="R180" s="93">
        <v>38070</v>
      </c>
      <c r="S180" s="95"/>
      <c r="T180" s="71"/>
      <c r="U180" s="72" t="s">
        <v>270</v>
      </c>
      <c r="V180" s="72">
        <v>4246</v>
      </c>
      <c r="W180" s="99" t="s">
        <v>384</v>
      </c>
      <c r="X180" s="258">
        <f>LstMachines[[#This Row],[Delivery]]</f>
        <v>43296</v>
      </c>
      <c r="Y180" s="258" t="str">
        <f xml:space="preserve"> IF(MONTH(LstMachines[[#This Row],[DateLivr]])&lt;10,"0","") &amp; MONTH(LstMachines[[#This Row],[DateLivr]]) &amp;"-"&amp;YEAR(LstMachines[[#This Row],[DateLivr]])</f>
        <v>07-2018</v>
      </c>
      <c r="Z180" s="258">
        <f>LstMachines[[#This Row],[Delivery]]+Rglt_à_HCME</f>
        <v>43356</v>
      </c>
      <c r="AA180" s="258" t="str">
        <f xml:space="preserve"> IF(MONTH(LstMachines[[#This Row],[DatePaie]])&lt;10,"0","") &amp; MONTH(LstMachines[[#This Row],[DatePaie]])&amp;"-"&amp;YEAR(LstMachines[[#This Row],[DatePaie]])</f>
        <v>09-2018</v>
      </c>
      <c r="AB180" s="258">
        <f>LstMachines[[#This Row],[DateLivr]]+1</f>
        <v>43297</v>
      </c>
      <c r="AC180" s="258" t="str">
        <f xml:space="preserve"> IF(MONTH(LstMachines[[#This Row],[Distrib]])&lt;10,"0","") &amp; MONTH(LstMachines[[#This Row],[Distrib]]) &amp; "-" &amp; YEAR(LstMachines[[#This Row],[Distrib]])</f>
        <v>07-2018</v>
      </c>
      <c r="AD180" s="258">
        <f>LstMachines[[#This Row],[DateLivr]]+Délai_Vente</f>
        <v>43416</v>
      </c>
      <c r="AE180" s="258" t="str">
        <f xml:space="preserve"> IF(MONTH(LstMachines[[#This Row],[VteESM]])&lt;10,"0","") &amp; MONTH(LstMachines[[#This Row],[VteESM]]) &amp; "-" &amp; YEAR(LstMachines[[#This Row],[VteESM]])</f>
        <v>11-2018</v>
      </c>
      <c r="AF180" s="258">
        <f>LstMachines[[#This Row],[DateLivr]]+Rglt_à_ESMTP</f>
        <v>43356</v>
      </c>
      <c r="AG180" s="258" t="str">
        <f xml:space="preserve"> IF(MONTH(LstMachines[[#This Row],[RgltDistrib]])&lt;10,"0","") &amp; MONTH(LstMachines[[#This Row],[RgltDistrib]]) &amp; "-" &amp; YEAR(LstMachines[[#This Row],[RgltDistrib]])</f>
        <v>09-2018</v>
      </c>
      <c r="AH180" s="258">
        <f>LstMachines[[#This Row],[VteESM]]+Rglt_à_ESMTP</f>
        <v>43476</v>
      </c>
      <c r="AI180" s="258" t="str">
        <f xml:space="preserve"> IF(MONTH(LstMachines[[#This Row],[RgltVteESM]])&lt;10,"0","") &amp; MONTH(LstMachines[[#This Row],[RgltVteESM]]) &amp; "-" &amp; YEAR(LstMachines[[#This Row],[RgltVteESM]])</f>
        <v>01-2019</v>
      </c>
      <c r="AJ180" s="140">
        <f>MONTH(LstMachines[[#This Row],[DatePaie]])</f>
        <v>9</v>
      </c>
      <c r="AK180" s="88" t="str">
        <f>FIXED(YEAR(LstMachines[[#This Row],[DatePaie]]),0,TRUE)</f>
        <v>2018</v>
      </c>
      <c r="AL180" s="140"/>
      <c r="AM180" s="414"/>
      <c r="AN180" s="92"/>
      <c r="AO180" s="92"/>
      <c r="AP180" s="92"/>
      <c r="AQ180" s="92"/>
      <c r="AR180" s="92"/>
      <c r="AS180" s="92"/>
      <c r="AT180" s="92"/>
      <c r="AU180" s="92"/>
      <c r="AV180" s="92"/>
      <c r="AW180" s="92"/>
      <c r="AX180" s="92"/>
      <c r="AY180" s="92"/>
      <c r="BA180" s="92"/>
      <c r="BC180" s="92"/>
      <c r="BD180" s="92"/>
      <c r="BE180" s="92"/>
    </row>
    <row r="181" spans="2:57" hidden="1">
      <c r="B181" s="104" t="s">
        <v>262</v>
      </c>
      <c r="C181" s="104" t="s">
        <v>39</v>
      </c>
      <c r="D181" s="87">
        <v>85</v>
      </c>
      <c r="E181" s="86" t="s">
        <v>356</v>
      </c>
      <c r="F181" s="87" t="s">
        <v>100</v>
      </c>
      <c r="G181" s="87" t="s">
        <v>31</v>
      </c>
      <c r="H181" s="89">
        <v>2</v>
      </c>
      <c r="I18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181" s="88">
        <v>43296</v>
      </c>
      <c r="K181" s="99" t="s">
        <v>463</v>
      </c>
      <c r="L181" s="120" t="s">
        <v>564</v>
      </c>
      <c r="M181" s="99"/>
      <c r="N181" s="90"/>
      <c r="O181" s="255">
        <f>MONTH(LstMachines[[#This Row],[Delivery]])</f>
        <v>7</v>
      </c>
      <c r="P181" s="256" t="str">
        <f>FIXED(YEAR(LstMachines[[#This Row],[Delivery]]),0,TRUE)</f>
        <v>2018</v>
      </c>
      <c r="Q181" s="73" t="s">
        <v>566</v>
      </c>
      <c r="R181" s="93"/>
      <c r="S181" s="90"/>
      <c r="T181" s="90"/>
      <c r="U181" s="90" t="s">
        <v>104</v>
      </c>
      <c r="V181" s="72">
        <v>4268</v>
      </c>
      <c r="W181" s="99" t="s">
        <v>383</v>
      </c>
      <c r="X181" s="258">
        <f>LstMachines[[#This Row],[Delivery]]</f>
        <v>43296</v>
      </c>
      <c r="Y181" s="258" t="str">
        <f xml:space="preserve"> IF(MONTH(LstMachines[[#This Row],[DateLivr]])&lt;10,"0","") &amp; MONTH(LstMachines[[#This Row],[DateLivr]]) &amp;"-"&amp;YEAR(LstMachines[[#This Row],[DateLivr]])</f>
        <v>07-2018</v>
      </c>
      <c r="Z181" s="258">
        <f>LstMachines[[#This Row],[Delivery]]+Rglt_à_HCME</f>
        <v>43356</v>
      </c>
      <c r="AA181" s="258" t="str">
        <f xml:space="preserve"> IF(MONTH(LstMachines[[#This Row],[DatePaie]])&lt;10,"0","") &amp; MONTH(LstMachines[[#This Row],[DatePaie]])&amp;"-"&amp;YEAR(LstMachines[[#This Row],[DatePaie]])</f>
        <v>09-2018</v>
      </c>
      <c r="AB181" s="258">
        <f>LstMachines[[#This Row],[DateLivr]]+1</f>
        <v>43297</v>
      </c>
      <c r="AC181" s="258" t="str">
        <f xml:space="preserve"> IF(MONTH(LstMachines[[#This Row],[Distrib]])&lt;10,"0","") &amp; MONTH(LstMachines[[#This Row],[Distrib]]) &amp; "-" &amp; YEAR(LstMachines[[#This Row],[Distrib]])</f>
        <v>07-2018</v>
      </c>
      <c r="AD181" s="258">
        <f>LstMachines[[#This Row],[DateLivr]]+Délai_Vente</f>
        <v>43416</v>
      </c>
      <c r="AE181" s="258" t="str">
        <f xml:space="preserve"> IF(MONTH(LstMachines[[#This Row],[VteESM]])&lt;10,"0","") &amp; MONTH(LstMachines[[#This Row],[VteESM]]) &amp; "-" &amp; YEAR(LstMachines[[#This Row],[VteESM]])</f>
        <v>11-2018</v>
      </c>
      <c r="AF181" s="258">
        <f>LstMachines[[#This Row],[DateLivr]]+Rglt_à_ESMTP</f>
        <v>43356</v>
      </c>
      <c r="AG181" s="258" t="str">
        <f xml:space="preserve"> IF(MONTH(LstMachines[[#This Row],[RgltDistrib]])&lt;10,"0","") &amp; MONTH(LstMachines[[#This Row],[RgltDistrib]]) &amp; "-" &amp; YEAR(LstMachines[[#This Row],[RgltDistrib]])</f>
        <v>09-2018</v>
      </c>
      <c r="AH181" s="258">
        <f>LstMachines[[#This Row],[VteESM]]+Rglt_à_ESMTP</f>
        <v>43476</v>
      </c>
      <c r="AI181" s="258" t="str">
        <f xml:space="preserve"> IF(MONTH(LstMachines[[#This Row],[RgltVteESM]])&lt;10,"0","") &amp; MONTH(LstMachines[[#This Row],[RgltVteESM]]) &amp; "-" &amp; YEAR(LstMachines[[#This Row],[RgltVteESM]])</f>
        <v>01-2019</v>
      </c>
      <c r="AJ181" s="140">
        <f>MONTH(LstMachines[[#This Row],[DatePaie]])</f>
        <v>9</v>
      </c>
      <c r="AK181" s="88" t="str">
        <f>FIXED(YEAR(LstMachines[[#This Row],[DatePaie]]),0,TRUE)</f>
        <v>2018</v>
      </c>
      <c r="AL181" s="140"/>
      <c r="AM181" s="414"/>
      <c r="AN181" s="92"/>
      <c r="AO181" s="92"/>
      <c r="AP181" s="92"/>
      <c r="AQ181" s="92"/>
      <c r="AR181" s="92"/>
      <c r="AS181" s="92"/>
      <c r="AT181" s="92"/>
      <c r="AU181" s="92"/>
      <c r="AV181" s="92"/>
      <c r="AW181" s="92"/>
      <c r="AX181" s="92"/>
      <c r="AY181" s="92"/>
      <c r="BA181" s="92"/>
      <c r="BC181" s="92"/>
      <c r="BD181" s="92"/>
      <c r="BE181" s="92"/>
    </row>
    <row r="182" spans="2:57" hidden="1">
      <c r="B182" s="104" t="s">
        <v>262</v>
      </c>
      <c r="C182" s="104" t="s">
        <v>40</v>
      </c>
      <c r="D182" s="87">
        <v>135</v>
      </c>
      <c r="E182" s="104" t="s">
        <v>87</v>
      </c>
      <c r="F182" s="87" t="s">
        <v>297</v>
      </c>
      <c r="G182" s="87" t="s">
        <v>32</v>
      </c>
      <c r="H182" s="89">
        <v>1</v>
      </c>
      <c r="I18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182" s="88">
        <v>43296</v>
      </c>
      <c r="K182" s="99" t="s">
        <v>461</v>
      </c>
      <c r="L182" s="120" t="s">
        <v>378</v>
      </c>
      <c r="M182" s="99"/>
      <c r="N182" s="90"/>
      <c r="O182" s="255">
        <f>MONTH(LstMachines[[#This Row],[Delivery]])</f>
        <v>7</v>
      </c>
      <c r="P182" s="256" t="str">
        <f>FIXED(YEAR(LstMachines[[#This Row],[Delivery]]),0,TRUE)</f>
        <v>2018</v>
      </c>
      <c r="Q182" s="73"/>
      <c r="R182" s="93"/>
      <c r="S182" s="90"/>
      <c r="T182" s="90"/>
      <c r="U182" s="90" t="s">
        <v>104</v>
      </c>
      <c r="V182" s="72"/>
      <c r="W182" s="99" t="s">
        <v>383</v>
      </c>
      <c r="X182" s="258">
        <f>LstMachines[[#This Row],[Delivery]]</f>
        <v>43296</v>
      </c>
      <c r="Y182" s="258" t="str">
        <f xml:space="preserve"> IF(MONTH(LstMachines[[#This Row],[DateLivr]])&lt;10,"0","") &amp; MONTH(LstMachines[[#This Row],[DateLivr]]) &amp;"-"&amp;YEAR(LstMachines[[#This Row],[DateLivr]])</f>
        <v>07-2018</v>
      </c>
      <c r="Z182" s="258">
        <f>LstMachines[[#This Row],[Delivery]]+Rglt_à_HCME</f>
        <v>43356</v>
      </c>
      <c r="AA182" s="258" t="str">
        <f xml:space="preserve"> IF(MONTH(LstMachines[[#This Row],[DatePaie]])&lt;10,"0","") &amp; MONTH(LstMachines[[#This Row],[DatePaie]])&amp;"-"&amp;YEAR(LstMachines[[#This Row],[DatePaie]])</f>
        <v>09-2018</v>
      </c>
      <c r="AB182" s="258">
        <f>LstMachines[[#This Row],[DateLivr]]+1</f>
        <v>43297</v>
      </c>
      <c r="AC182" s="258" t="str">
        <f xml:space="preserve"> IF(MONTH(LstMachines[[#This Row],[Distrib]])&lt;10,"0","") &amp; MONTH(LstMachines[[#This Row],[Distrib]]) &amp; "-" &amp; YEAR(LstMachines[[#This Row],[Distrib]])</f>
        <v>07-2018</v>
      </c>
      <c r="AD182" s="258">
        <f>LstMachines[[#This Row],[DateLivr]]+Délai_Vente</f>
        <v>43416</v>
      </c>
      <c r="AE182" s="258" t="str">
        <f xml:space="preserve"> IF(MONTH(LstMachines[[#This Row],[VteESM]])&lt;10,"0","") &amp; MONTH(LstMachines[[#This Row],[VteESM]]) &amp; "-" &amp; YEAR(LstMachines[[#This Row],[VteESM]])</f>
        <v>11-2018</v>
      </c>
      <c r="AF182" s="258">
        <f>LstMachines[[#This Row],[DateLivr]]+Rglt_à_ESMTP</f>
        <v>43356</v>
      </c>
      <c r="AG182" s="258" t="str">
        <f xml:space="preserve"> IF(MONTH(LstMachines[[#This Row],[RgltDistrib]])&lt;10,"0","") &amp; MONTH(LstMachines[[#This Row],[RgltDistrib]]) &amp; "-" &amp; YEAR(LstMachines[[#This Row],[RgltDistrib]])</f>
        <v>09-2018</v>
      </c>
      <c r="AH182" s="258">
        <f>LstMachines[[#This Row],[VteESM]]+Rglt_à_ESMTP</f>
        <v>43476</v>
      </c>
      <c r="AI182" s="258" t="str">
        <f xml:space="preserve"> IF(MONTH(LstMachines[[#This Row],[RgltVteESM]])&lt;10,"0","") &amp; MONTH(LstMachines[[#This Row],[RgltVteESM]]) &amp; "-" &amp; YEAR(LstMachines[[#This Row],[RgltVteESM]])</f>
        <v>01-2019</v>
      </c>
      <c r="AJ182" s="140">
        <f>MONTH(LstMachines[[#This Row],[DatePaie]])</f>
        <v>9</v>
      </c>
      <c r="AK182" s="88" t="str">
        <f>FIXED(YEAR(LstMachines[[#This Row],[DatePaie]]),0,TRUE)</f>
        <v>2018</v>
      </c>
      <c r="AL182" s="140"/>
      <c r="AM182" s="414"/>
      <c r="AN182" s="92"/>
      <c r="AO182" s="92"/>
      <c r="AP182" s="92"/>
      <c r="AQ182" s="92"/>
      <c r="AR182" s="92"/>
      <c r="AS182" s="92"/>
      <c r="AT182" s="92"/>
      <c r="AU182" s="92"/>
      <c r="AV182" s="92"/>
      <c r="AW182" s="92"/>
      <c r="AX182" s="92"/>
      <c r="AY182" s="92"/>
      <c r="BA182" s="92"/>
      <c r="BC182" s="92"/>
      <c r="BD182" s="92"/>
      <c r="BE182" s="92"/>
    </row>
    <row r="183" spans="2:57" hidden="1">
      <c r="B183" s="104" t="s">
        <v>75</v>
      </c>
      <c r="C183" s="104" t="s">
        <v>35</v>
      </c>
      <c r="D183" s="87">
        <v>19</v>
      </c>
      <c r="E183" s="104" t="s">
        <v>76</v>
      </c>
      <c r="F183" s="87" t="s">
        <v>100</v>
      </c>
      <c r="G183" s="87" t="s">
        <v>31</v>
      </c>
      <c r="H183" s="89">
        <v>1</v>
      </c>
      <c r="I18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183" s="88">
        <v>43296</v>
      </c>
      <c r="K183" s="99" t="s">
        <v>461</v>
      </c>
      <c r="L183" s="120" t="s">
        <v>378</v>
      </c>
      <c r="M183" s="99"/>
      <c r="N183" s="90"/>
      <c r="O183" s="255">
        <f>MONTH(LstMachines[[#This Row],[Delivery]])</f>
        <v>7</v>
      </c>
      <c r="P183" s="256" t="str">
        <f>FIXED(YEAR(LstMachines[[#This Row],[Delivery]]),0,TRUE)</f>
        <v>2018</v>
      </c>
      <c r="Q183" s="73"/>
      <c r="R183" s="93"/>
      <c r="S183" s="90"/>
      <c r="T183" s="90"/>
      <c r="U183" s="90" t="s">
        <v>104</v>
      </c>
      <c r="V183" s="72"/>
      <c r="W183" s="99" t="s">
        <v>383</v>
      </c>
      <c r="X183" s="258">
        <f>LstMachines[[#This Row],[Delivery]]</f>
        <v>43296</v>
      </c>
      <c r="Y183" s="258" t="str">
        <f xml:space="preserve"> IF(MONTH(LstMachines[[#This Row],[DateLivr]])&lt;10,"0","") &amp; MONTH(LstMachines[[#This Row],[DateLivr]]) &amp;"-"&amp;YEAR(LstMachines[[#This Row],[DateLivr]])</f>
        <v>07-2018</v>
      </c>
      <c r="Z183" s="258">
        <f>LstMachines[[#This Row],[Delivery]]+Rglt_à_HCME</f>
        <v>43356</v>
      </c>
      <c r="AA183" s="258" t="str">
        <f xml:space="preserve"> IF(MONTH(LstMachines[[#This Row],[DatePaie]])&lt;10,"0","") &amp; MONTH(LstMachines[[#This Row],[DatePaie]])&amp;"-"&amp;YEAR(LstMachines[[#This Row],[DatePaie]])</f>
        <v>09-2018</v>
      </c>
      <c r="AB183" s="258">
        <f>LstMachines[[#This Row],[DateLivr]]+1</f>
        <v>43297</v>
      </c>
      <c r="AC183" s="258" t="str">
        <f xml:space="preserve"> IF(MONTH(LstMachines[[#This Row],[Distrib]])&lt;10,"0","") &amp; MONTH(LstMachines[[#This Row],[Distrib]]) &amp; "-" &amp; YEAR(LstMachines[[#This Row],[Distrib]])</f>
        <v>07-2018</v>
      </c>
      <c r="AD183" s="258">
        <f>LstMachines[[#This Row],[DateLivr]]+Délai_Vente</f>
        <v>43416</v>
      </c>
      <c r="AE183" s="258" t="str">
        <f xml:space="preserve"> IF(MONTH(LstMachines[[#This Row],[VteESM]])&lt;10,"0","") &amp; MONTH(LstMachines[[#This Row],[VteESM]]) &amp; "-" &amp; YEAR(LstMachines[[#This Row],[VteESM]])</f>
        <v>11-2018</v>
      </c>
      <c r="AF183" s="258">
        <f>LstMachines[[#This Row],[DateLivr]]+Rglt_à_ESMTP</f>
        <v>43356</v>
      </c>
      <c r="AG183" s="258" t="str">
        <f xml:space="preserve"> IF(MONTH(LstMachines[[#This Row],[RgltDistrib]])&lt;10,"0","") &amp; MONTH(LstMachines[[#This Row],[RgltDistrib]]) &amp; "-" &amp; YEAR(LstMachines[[#This Row],[RgltDistrib]])</f>
        <v>09-2018</v>
      </c>
      <c r="AH183" s="258">
        <f>LstMachines[[#This Row],[VteESM]]+Rglt_à_ESMTP</f>
        <v>43476</v>
      </c>
      <c r="AI183" s="258" t="str">
        <f xml:space="preserve"> IF(MONTH(LstMachines[[#This Row],[RgltVteESM]])&lt;10,"0","") &amp; MONTH(LstMachines[[#This Row],[RgltVteESM]]) &amp; "-" &amp; YEAR(LstMachines[[#This Row],[RgltVteESM]])</f>
        <v>01-2019</v>
      </c>
      <c r="AJ183" s="140">
        <f>MONTH(LstMachines[[#This Row],[DatePaie]])</f>
        <v>9</v>
      </c>
      <c r="AK183" s="88" t="str">
        <f>FIXED(YEAR(LstMachines[[#This Row],[DatePaie]]),0,TRUE)</f>
        <v>2018</v>
      </c>
      <c r="AL183" s="140"/>
      <c r="AM183" s="414"/>
      <c r="AN183" s="92"/>
      <c r="AO183" s="92"/>
      <c r="AP183" s="92"/>
      <c r="AQ183" s="92"/>
      <c r="AR183" s="92"/>
      <c r="AS183" s="92"/>
      <c r="AT183" s="92"/>
      <c r="AU183" s="92"/>
      <c r="AV183" s="92"/>
      <c r="AW183" s="92"/>
      <c r="AX183" s="92"/>
      <c r="AY183" s="92"/>
      <c r="BA183" s="92"/>
      <c r="BC183" s="92"/>
      <c r="BD183" s="92"/>
      <c r="BE183" s="92"/>
    </row>
    <row r="184" spans="2:57" hidden="1">
      <c r="B184" s="104" t="s">
        <v>75</v>
      </c>
      <c r="C184" s="104" t="s">
        <v>68</v>
      </c>
      <c r="D184" s="87">
        <v>33</v>
      </c>
      <c r="E184" s="104" t="s">
        <v>362</v>
      </c>
      <c r="F184" s="71" t="s">
        <v>100</v>
      </c>
      <c r="G184" s="71" t="s">
        <v>31</v>
      </c>
      <c r="H184" s="89">
        <v>1</v>
      </c>
      <c r="I18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32</v>
      </c>
      <c r="J184" s="88">
        <v>43296</v>
      </c>
      <c r="K184" s="99" t="s">
        <v>461</v>
      </c>
      <c r="L184" s="120" t="s">
        <v>378</v>
      </c>
      <c r="M184" s="99"/>
      <c r="N184" s="90"/>
      <c r="O184" s="255">
        <f>MONTH(LstMachines[[#This Row],[Delivery]])</f>
        <v>7</v>
      </c>
      <c r="P184" s="256" t="str">
        <f>FIXED(YEAR(LstMachines[[#This Row],[Delivery]]),0,TRUE)</f>
        <v>2018</v>
      </c>
      <c r="Q184" s="73"/>
      <c r="R184" s="93"/>
      <c r="S184" s="95"/>
      <c r="T184" s="71"/>
      <c r="U184" s="72"/>
      <c r="V184" s="72"/>
      <c r="W184" s="100"/>
      <c r="X184" s="258">
        <f>LstMachines[[#This Row],[Delivery]]</f>
        <v>43296</v>
      </c>
      <c r="Y184" s="258" t="str">
        <f xml:space="preserve"> IF(MONTH(LstMachines[[#This Row],[DateLivr]])&lt;10,"0","") &amp; MONTH(LstMachines[[#This Row],[DateLivr]]) &amp;"-"&amp;YEAR(LstMachines[[#This Row],[DateLivr]])</f>
        <v>07-2018</v>
      </c>
      <c r="Z184" s="258">
        <f>LstMachines[[#This Row],[Delivery]]+Rglt_à_HCME</f>
        <v>43356</v>
      </c>
      <c r="AA184" s="258" t="str">
        <f xml:space="preserve"> IF(MONTH(LstMachines[[#This Row],[DatePaie]])&lt;10,"0","") &amp; MONTH(LstMachines[[#This Row],[DatePaie]])&amp;"-"&amp;YEAR(LstMachines[[#This Row],[DatePaie]])</f>
        <v>09-2018</v>
      </c>
      <c r="AB184" s="258">
        <f>LstMachines[[#This Row],[DateLivr]]+1</f>
        <v>43297</v>
      </c>
      <c r="AC184" s="258" t="str">
        <f xml:space="preserve"> IF(MONTH(LstMachines[[#This Row],[Distrib]])&lt;10,"0","") &amp; MONTH(LstMachines[[#This Row],[Distrib]]) &amp; "-" &amp; YEAR(LstMachines[[#This Row],[Distrib]])</f>
        <v>07-2018</v>
      </c>
      <c r="AD184" s="258">
        <f>LstMachines[[#This Row],[DateLivr]]+Délai_Vente</f>
        <v>43416</v>
      </c>
      <c r="AE184" s="258" t="str">
        <f xml:space="preserve"> IF(MONTH(LstMachines[[#This Row],[VteESM]])&lt;10,"0","") &amp; MONTH(LstMachines[[#This Row],[VteESM]]) &amp; "-" &amp; YEAR(LstMachines[[#This Row],[VteESM]])</f>
        <v>11-2018</v>
      </c>
      <c r="AF184" s="258">
        <f>LstMachines[[#This Row],[DateLivr]]+Rglt_à_ESMTP</f>
        <v>43356</v>
      </c>
      <c r="AG184" s="258" t="str">
        <f xml:space="preserve"> IF(MONTH(LstMachines[[#This Row],[RgltDistrib]])&lt;10,"0","") &amp; MONTH(LstMachines[[#This Row],[RgltDistrib]]) &amp; "-" &amp; YEAR(LstMachines[[#This Row],[RgltDistrib]])</f>
        <v>09-2018</v>
      </c>
      <c r="AH184" s="258">
        <f>LstMachines[[#This Row],[VteESM]]+Rglt_à_ESMTP</f>
        <v>43476</v>
      </c>
      <c r="AI184" s="258" t="str">
        <f xml:space="preserve"> IF(MONTH(LstMachines[[#This Row],[RgltVteESM]])&lt;10,"0","") &amp; MONTH(LstMachines[[#This Row],[RgltVteESM]]) &amp; "-" &amp; YEAR(LstMachines[[#This Row],[RgltVteESM]])</f>
        <v>01-2019</v>
      </c>
      <c r="AJ184" s="140">
        <f>MONTH(LstMachines[[#This Row],[DatePaie]])</f>
        <v>9</v>
      </c>
      <c r="AK184" s="88" t="str">
        <f>FIXED(YEAR(LstMachines[[#This Row],[DatePaie]]),0,TRUE)</f>
        <v>2018</v>
      </c>
      <c r="AL184" s="140"/>
      <c r="AM184" s="414"/>
      <c r="AN184" s="92"/>
      <c r="AO184" s="92"/>
      <c r="AP184" s="92"/>
      <c r="AQ184" s="92"/>
      <c r="AR184" s="92"/>
      <c r="AS184" s="92"/>
      <c r="AT184" s="92"/>
      <c r="AU184" s="92"/>
      <c r="AV184" s="92"/>
      <c r="AW184" s="92"/>
      <c r="AX184" s="92"/>
      <c r="AY184" s="92"/>
      <c r="BA184" s="92"/>
      <c r="BC184" s="92"/>
      <c r="BD184" s="92"/>
      <c r="BE184" s="92"/>
    </row>
    <row r="185" spans="2:57" hidden="1">
      <c r="B185" s="104" t="s">
        <v>262</v>
      </c>
      <c r="C185" s="104" t="s">
        <v>41</v>
      </c>
      <c r="D185" s="87">
        <v>160</v>
      </c>
      <c r="E185" s="104" t="s">
        <v>197</v>
      </c>
      <c r="F185" s="87" t="s">
        <v>100</v>
      </c>
      <c r="G185" s="87" t="s">
        <v>31</v>
      </c>
      <c r="H185" s="89">
        <v>1</v>
      </c>
      <c r="I18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110</v>
      </c>
      <c r="J185" s="88">
        <v>43296</v>
      </c>
      <c r="K185" s="99" t="s">
        <v>461</v>
      </c>
      <c r="L185" s="120" t="s">
        <v>378</v>
      </c>
      <c r="M185" s="99"/>
      <c r="N185" s="90"/>
      <c r="O185" s="255">
        <f>MONTH(LstMachines[[#This Row],[Delivery]])</f>
        <v>7</v>
      </c>
      <c r="P185" s="256" t="str">
        <f>FIXED(YEAR(LstMachines[[#This Row],[Delivery]]),0,TRUE)</f>
        <v>2018</v>
      </c>
      <c r="Q185" s="73"/>
      <c r="R185" s="93"/>
      <c r="S185" s="90"/>
      <c r="T185" s="90"/>
      <c r="U185" s="90" t="s">
        <v>104</v>
      </c>
      <c r="V185" s="72"/>
      <c r="W185" s="99" t="s">
        <v>383</v>
      </c>
      <c r="X185" s="258">
        <f>LstMachines[[#This Row],[Delivery]]</f>
        <v>43296</v>
      </c>
      <c r="Y185" s="258" t="str">
        <f xml:space="preserve"> IF(MONTH(LstMachines[[#This Row],[DateLivr]])&lt;10,"0","") &amp; MONTH(LstMachines[[#This Row],[DateLivr]]) &amp;"-"&amp;YEAR(LstMachines[[#This Row],[DateLivr]])</f>
        <v>07-2018</v>
      </c>
      <c r="Z185" s="258">
        <f>LstMachines[[#This Row],[Delivery]]+Rglt_à_HCME</f>
        <v>43356</v>
      </c>
      <c r="AA185" s="258" t="str">
        <f xml:space="preserve"> IF(MONTH(LstMachines[[#This Row],[DatePaie]])&lt;10,"0","") &amp; MONTH(LstMachines[[#This Row],[DatePaie]])&amp;"-"&amp;YEAR(LstMachines[[#This Row],[DatePaie]])</f>
        <v>09-2018</v>
      </c>
      <c r="AB185" s="258">
        <f>LstMachines[[#This Row],[DateLivr]]+1</f>
        <v>43297</v>
      </c>
      <c r="AC185" s="258" t="str">
        <f xml:space="preserve"> IF(MONTH(LstMachines[[#This Row],[Distrib]])&lt;10,"0","") &amp; MONTH(LstMachines[[#This Row],[Distrib]]) &amp; "-" &amp; YEAR(LstMachines[[#This Row],[Distrib]])</f>
        <v>07-2018</v>
      </c>
      <c r="AD185" s="258">
        <f>LstMachines[[#This Row],[DateLivr]]+Délai_Vente</f>
        <v>43416</v>
      </c>
      <c r="AE185" s="258" t="str">
        <f xml:space="preserve"> IF(MONTH(LstMachines[[#This Row],[VteESM]])&lt;10,"0","") &amp; MONTH(LstMachines[[#This Row],[VteESM]]) &amp; "-" &amp; YEAR(LstMachines[[#This Row],[VteESM]])</f>
        <v>11-2018</v>
      </c>
      <c r="AF185" s="258">
        <f>LstMachines[[#This Row],[DateLivr]]+Rglt_à_ESMTP</f>
        <v>43356</v>
      </c>
      <c r="AG185" s="258" t="str">
        <f xml:space="preserve"> IF(MONTH(LstMachines[[#This Row],[RgltDistrib]])&lt;10,"0","") &amp; MONTH(LstMachines[[#This Row],[RgltDistrib]]) &amp; "-" &amp; YEAR(LstMachines[[#This Row],[RgltDistrib]])</f>
        <v>09-2018</v>
      </c>
      <c r="AH185" s="258">
        <f>LstMachines[[#This Row],[VteESM]]+Rglt_à_ESMTP</f>
        <v>43476</v>
      </c>
      <c r="AI185" s="258" t="str">
        <f xml:space="preserve"> IF(MONTH(LstMachines[[#This Row],[RgltVteESM]])&lt;10,"0","") &amp; MONTH(LstMachines[[#This Row],[RgltVteESM]]) &amp; "-" &amp; YEAR(LstMachines[[#This Row],[RgltVteESM]])</f>
        <v>01-2019</v>
      </c>
      <c r="AJ185" s="140">
        <f>MONTH(LstMachines[[#This Row],[DatePaie]])</f>
        <v>9</v>
      </c>
      <c r="AK185" s="88" t="str">
        <f>FIXED(YEAR(LstMachines[[#This Row],[DatePaie]]),0,TRUE)</f>
        <v>2018</v>
      </c>
      <c r="AL185" s="140"/>
      <c r="AM185" s="414"/>
      <c r="AN185" s="92"/>
      <c r="AO185" s="92"/>
      <c r="AP185" s="92"/>
      <c r="AQ185" s="92"/>
      <c r="AR185" s="92"/>
      <c r="AS185" s="92"/>
      <c r="AT185" s="92"/>
      <c r="AU185" s="92"/>
      <c r="AV185" s="92"/>
      <c r="AW185" s="92"/>
      <c r="AX185" s="92"/>
      <c r="AY185" s="92"/>
      <c r="BA185" s="92"/>
      <c r="BC185" s="92"/>
      <c r="BD185" s="92"/>
      <c r="BE185" s="92"/>
    </row>
    <row r="186" spans="2:57" hidden="1">
      <c r="B186" s="104" t="s">
        <v>263</v>
      </c>
      <c r="C186" s="368" t="s">
        <v>250</v>
      </c>
      <c r="D186" s="369">
        <v>145</v>
      </c>
      <c r="E186" s="368" t="s">
        <v>228</v>
      </c>
      <c r="F186" s="370" t="s">
        <v>100</v>
      </c>
      <c r="G186" s="370" t="s">
        <v>31</v>
      </c>
      <c r="H186" s="371">
        <v>1</v>
      </c>
      <c r="I186" s="371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115</v>
      </c>
      <c r="J186" s="88">
        <v>43296</v>
      </c>
      <c r="K186" s="373" t="s">
        <v>461</v>
      </c>
      <c r="L186" s="374" t="s">
        <v>378</v>
      </c>
      <c r="M186" s="373"/>
      <c r="N186" s="375"/>
      <c r="O186" s="376">
        <f>MONTH(LstMachines[[#This Row],[Delivery]])</f>
        <v>7</v>
      </c>
      <c r="P186" s="372" t="str">
        <f>FIXED(YEAR(LstMachines[[#This Row],[Delivery]]),0,TRUE)</f>
        <v>2018</v>
      </c>
      <c r="Q186" s="377"/>
      <c r="R186" s="378"/>
      <c r="S186" s="375"/>
      <c r="T186" s="375"/>
      <c r="U186" s="375"/>
      <c r="V186" s="371"/>
      <c r="W186" s="373"/>
      <c r="X186" s="375">
        <f>LstMachines[[#This Row],[Delivery]]</f>
        <v>43296</v>
      </c>
      <c r="Y186" s="379" t="str">
        <f xml:space="preserve"> IF(MONTH(LstMachines[[#This Row],[DateLivr]])&lt;10,"0","") &amp; MONTH(LstMachines[[#This Row],[DateLivr]]) &amp;"-"&amp;YEAR(LstMachines[[#This Row],[DateLivr]])</f>
        <v>07-2018</v>
      </c>
      <c r="Z186" s="372">
        <f>LstMachines[[#This Row],[Delivery]]+Rglt_à_HCME</f>
        <v>43356</v>
      </c>
      <c r="AA186" s="379" t="str">
        <f xml:space="preserve"> IF(MONTH(LstMachines[[#This Row],[DatePaie]])&lt;10,"0","") &amp; MONTH(LstMachines[[#This Row],[DatePaie]])&amp;"-"&amp;YEAR(LstMachines[[#This Row],[DatePaie]])</f>
        <v>09-2018</v>
      </c>
      <c r="AB186" s="379">
        <f>LstMachines[[#This Row],[DateLivr]]+1</f>
        <v>43297</v>
      </c>
      <c r="AC186" s="379" t="str">
        <f xml:space="preserve"> IF(MONTH(LstMachines[[#This Row],[Distrib]])&lt;10,"0","") &amp; MONTH(LstMachines[[#This Row],[Distrib]]) &amp; "-" &amp; YEAR(LstMachines[[#This Row],[Distrib]])</f>
        <v>07-2018</v>
      </c>
      <c r="AD186" s="379">
        <f>LstMachines[[#This Row],[DateLivr]]+Délai_Vente</f>
        <v>43416</v>
      </c>
      <c r="AE186" s="379" t="str">
        <f xml:space="preserve"> IF(MONTH(LstMachines[[#This Row],[VteESM]])&lt;10,"0","") &amp; MONTH(LstMachines[[#This Row],[VteESM]]) &amp; "-" &amp; YEAR(LstMachines[[#This Row],[VteESM]])</f>
        <v>11-2018</v>
      </c>
      <c r="AF186" s="379">
        <f>LstMachines[[#This Row],[DateLivr]]+Rglt_à_ESMTP</f>
        <v>43356</v>
      </c>
      <c r="AG186" s="379" t="str">
        <f xml:space="preserve"> IF(MONTH(LstMachines[[#This Row],[RgltDistrib]])&lt;10,"0","") &amp; MONTH(LstMachines[[#This Row],[RgltDistrib]]) &amp; "-" &amp; YEAR(LstMachines[[#This Row],[RgltDistrib]])</f>
        <v>09-2018</v>
      </c>
      <c r="AH186" s="379">
        <f>LstMachines[[#This Row],[VteESM]]+Rglt_à_ESMTP</f>
        <v>43476</v>
      </c>
      <c r="AI186" s="379" t="str">
        <f xml:space="preserve"> IF(MONTH(LstMachines[[#This Row],[RgltVteESM]])&lt;10,"0","") &amp; MONTH(LstMachines[[#This Row],[RgltVteESM]]) &amp; "-" &amp; YEAR(LstMachines[[#This Row],[RgltVteESM]])</f>
        <v>01-2019</v>
      </c>
      <c r="AJ186" s="376">
        <f>MONTH(LstMachines[[#This Row],[DatePaie]])</f>
        <v>9</v>
      </c>
      <c r="AK186" s="372" t="str">
        <f>FIXED(YEAR(LstMachines[[#This Row],[DatePaie]]),0,TRUE)</f>
        <v>2018</v>
      </c>
      <c r="AL186" s="376"/>
      <c r="AM186" s="414"/>
      <c r="AN186" s="92"/>
      <c r="AO186" s="92"/>
      <c r="AP186" s="92"/>
      <c r="AQ186" s="92"/>
      <c r="AR186" s="92"/>
      <c r="AS186" s="92"/>
      <c r="AT186" s="92"/>
      <c r="AU186" s="92"/>
      <c r="AV186" s="92"/>
      <c r="AW186" s="92"/>
      <c r="AX186" s="92"/>
      <c r="AY186" s="92"/>
      <c r="BA186" s="92"/>
      <c r="BC186" s="92"/>
      <c r="BD186" s="92"/>
      <c r="BE186" s="92"/>
    </row>
    <row r="187" spans="2:57" hidden="1">
      <c r="B187" s="104" t="s">
        <v>259</v>
      </c>
      <c r="C187" s="104" t="s">
        <v>49</v>
      </c>
      <c r="D187" s="87">
        <v>310</v>
      </c>
      <c r="E187" s="86" t="s">
        <v>177</v>
      </c>
      <c r="F187" s="87" t="s">
        <v>100</v>
      </c>
      <c r="G187" s="87" t="s">
        <v>31</v>
      </c>
      <c r="H187" s="89">
        <v>1</v>
      </c>
      <c r="I18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180</v>
      </c>
      <c r="J187" s="88">
        <v>43296</v>
      </c>
      <c r="K187" s="99" t="s">
        <v>461</v>
      </c>
      <c r="L187" s="120" t="s">
        <v>378</v>
      </c>
      <c r="M187" s="99"/>
      <c r="N187" s="90"/>
      <c r="O187" s="255">
        <f>MONTH(LstMachines[[#This Row],[Delivery]])</f>
        <v>7</v>
      </c>
      <c r="P187" s="256" t="str">
        <f>FIXED(YEAR(LstMachines[[#This Row],[Delivery]]),0,TRUE)</f>
        <v>2018</v>
      </c>
      <c r="Q187" s="73"/>
      <c r="R187" s="93"/>
      <c r="S187" s="90"/>
      <c r="T187" s="90"/>
      <c r="U187" s="90" t="s">
        <v>105</v>
      </c>
      <c r="V187" s="72"/>
      <c r="W187" s="99" t="s">
        <v>384</v>
      </c>
      <c r="X187" s="258">
        <f>LstMachines[[#This Row],[Delivery]]</f>
        <v>43296</v>
      </c>
      <c r="Y187" s="258" t="str">
        <f xml:space="preserve"> IF(MONTH(LstMachines[[#This Row],[DateLivr]])&lt;10,"0","") &amp; MONTH(LstMachines[[#This Row],[DateLivr]]) &amp;"-"&amp;YEAR(LstMachines[[#This Row],[DateLivr]])</f>
        <v>07-2018</v>
      </c>
      <c r="Z187" s="258">
        <f>LstMachines[[#This Row],[Delivery]]+Rglt_à_HCME</f>
        <v>43356</v>
      </c>
      <c r="AA187" s="258" t="str">
        <f xml:space="preserve"> IF(MONTH(LstMachines[[#This Row],[DatePaie]])&lt;10,"0","") &amp; MONTH(LstMachines[[#This Row],[DatePaie]])&amp;"-"&amp;YEAR(LstMachines[[#This Row],[DatePaie]])</f>
        <v>09-2018</v>
      </c>
      <c r="AB187" s="258">
        <f>LstMachines[[#This Row],[DateLivr]]+1</f>
        <v>43297</v>
      </c>
      <c r="AC187" s="258" t="str">
        <f xml:space="preserve"> IF(MONTH(LstMachines[[#This Row],[Distrib]])&lt;10,"0","") &amp; MONTH(LstMachines[[#This Row],[Distrib]]) &amp; "-" &amp; YEAR(LstMachines[[#This Row],[Distrib]])</f>
        <v>07-2018</v>
      </c>
      <c r="AD187" s="258">
        <f>LstMachines[[#This Row],[DateLivr]]+Délai_Vente</f>
        <v>43416</v>
      </c>
      <c r="AE187" s="258" t="str">
        <f xml:space="preserve"> IF(MONTH(LstMachines[[#This Row],[VteESM]])&lt;10,"0","") &amp; MONTH(LstMachines[[#This Row],[VteESM]]) &amp; "-" &amp; YEAR(LstMachines[[#This Row],[VteESM]])</f>
        <v>11-2018</v>
      </c>
      <c r="AF187" s="258">
        <f>LstMachines[[#This Row],[DateLivr]]+Rglt_à_ESMTP</f>
        <v>43356</v>
      </c>
      <c r="AG187" s="258" t="str">
        <f xml:space="preserve"> IF(MONTH(LstMachines[[#This Row],[RgltDistrib]])&lt;10,"0","") &amp; MONTH(LstMachines[[#This Row],[RgltDistrib]]) &amp; "-" &amp; YEAR(LstMachines[[#This Row],[RgltDistrib]])</f>
        <v>09-2018</v>
      </c>
      <c r="AH187" s="258">
        <f>LstMachines[[#This Row],[VteESM]]+Rglt_à_ESMTP</f>
        <v>43476</v>
      </c>
      <c r="AI187" s="258" t="str">
        <f xml:space="preserve"> IF(MONTH(LstMachines[[#This Row],[RgltVteESM]])&lt;10,"0","") &amp; MONTH(LstMachines[[#This Row],[RgltVteESM]]) &amp; "-" &amp; YEAR(LstMachines[[#This Row],[RgltVteESM]])</f>
        <v>01-2019</v>
      </c>
      <c r="AJ187" s="140">
        <f>MONTH(LstMachines[[#This Row],[DatePaie]])</f>
        <v>9</v>
      </c>
      <c r="AK187" s="88" t="str">
        <f>FIXED(YEAR(LstMachines[[#This Row],[DatePaie]]),0,TRUE)</f>
        <v>2018</v>
      </c>
      <c r="AL187" s="140"/>
      <c r="AM187" s="414"/>
      <c r="AN187" s="92"/>
      <c r="AO187" s="92"/>
      <c r="AP187" s="92"/>
      <c r="AQ187" s="92"/>
      <c r="AR187" s="92"/>
      <c r="AS187" s="92"/>
      <c r="AT187" s="92"/>
      <c r="AU187" s="92"/>
      <c r="AV187" s="92"/>
      <c r="AW187" s="92"/>
      <c r="AX187" s="92"/>
      <c r="AY187" s="92"/>
      <c r="BA187" s="92"/>
      <c r="BC187" s="92"/>
      <c r="BD187" s="92"/>
      <c r="BE187" s="92"/>
    </row>
    <row r="188" spans="2:57" hidden="1">
      <c r="B188" s="104" t="s">
        <v>262</v>
      </c>
      <c r="C188" s="104" t="s">
        <v>47</v>
      </c>
      <c r="D188" s="87">
        <v>490</v>
      </c>
      <c r="E188" s="86" t="s">
        <v>360</v>
      </c>
      <c r="F188" s="87" t="s">
        <v>100</v>
      </c>
      <c r="G188" s="87" t="s">
        <v>31</v>
      </c>
      <c r="H188" s="89">
        <v>1</v>
      </c>
      <c r="I18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260</v>
      </c>
      <c r="J188" s="88">
        <v>43296</v>
      </c>
      <c r="K188" s="99" t="s">
        <v>461</v>
      </c>
      <c r="L188" s="120" t="s">
        <v>378</v>
      </c>
      <c r="M188" s="99"/>
      <c r="N188" s="90"/>
      <c r="O188" s="255">
        <f>MONTH(LstMachines[[#This Row],[Delivery]])</f>
        <v>7</v>
      </c>
      <c r="P188" s="256" t="str">
        <f>FIXED(YEAR(LstMachines[[#This Row],[Delivery]]),0,TRUE)</f>
        <v>2018</v>
      </c>
      <c r="Q188" s="73"/>
      <c r="R188" s="93"/>
      <c r="S188" s="90"/>
      <c r="T188" s="90"/>
      <c r="U188" s="90" t="s">
        <v>105</v>
      </c>
      <c r="V188" s="72"/>
      <c r="W188" s="99" t="s">
        <v>384</v>
      </c>
      <c r="X188" s="258">
        <f>LstMachines[[#This Row],[Delivery]]</f>
        <v>43296</v>
      </c>
      <c r="Y188" s="258" t="str">
        <f xml:space="preserve"> IF(MONTH(LstMachines[[#This Row],[DateLivr]])&lt;10,"0","") &amp; MONTH(LstMachines[[#This Row],[DateLivr]]) &amp;"-"&amp;YEAR(LstMachines[[#This Row],[DateLivr]])</f>
        <v>07-2018</v>
      </c>
      <c r="Z188" s="258">
        <f>LstMachines[[#This Row],[Delivery]]+Rglt_à_HCME</f>
        <v>43356</v>
      </c>
      <c r="AA188" s="258" t="str">
        <f xml:space="preserve"> IF(MONTH(LstMachines[[#This Row],[DatePaie]])&lt;10,"0","") &amp; MONTH(LstMachines[[#This Row],[DatePaie]])&amp;"-"&amp;YEAR(LstMachines[[#This Row],[DatePaie]])</f>
        <v>09-2018</v>
      </c>
      <c r="AB188" s="258">
        <f>LstMachines[[#This Row],[DateLivr]]+1</f>
        <v>43297</v>
      </c>
      <c r="AC188" s="258" t="str">
        <f xml:space="preserve"> IF(MONTH(LstMachines[[#This Row],[Distrib]])&lt;10,"0","") &amp; MONTH(LstMachines[[#This Row],[Distrib]]) &amp; "-" &amp; YEAR(LstMachines[[#This Row],[Distrib]])</f>
        <v>07-2018</v>
      </c>
      <c r="AD188" s="258">
        <f>LstMachines[[#This Row],[DateLivr]]+Délai_Vente</f>
        <v>43416</v>
      </c>
      <c r="AE188" s="258" t="str">
        <f xml:space="preserve"> IF(MONTH(LstMachines[[#This Row],[VteESM]])&lt;10,"0","") &amp; MONTH(LstMachines[[#This Row],[VteESM]]) &amp; "-" &amp; YEAR(LstMachines[[#This Row],[VteESM]])</f>
        <v>11-2018</v>
      </c>
      <c r="AF188" s="258">
        <f>LstMachines[[#This Row],[DateLivr]]+Rglt_à_ESMTP</f>
        <v>43356</v>
      </c>
      <c r="AG188" s="258" t="str">
        <f xml:space="preserve"> IF(MONTH(LstMachines[[#This Row],[RgltDistrib]])&lt;10,"0","") &amp; MONTH(LstMachines[[#This Row],[RgltDistrib]]) &amp; "-" &amp; YEAR(LstMachines[[#This Row],[RgltDistrib]])</f>
        <v>09-2018</v>
      </c>
      <c r="AH188" s="258">
        <f>LstMachines[[#This Row],[VteESM]]+Rglt_à_ESMTP</f>
        <v>43476</v>
      </c>
      <c r="AI188" s="258" t="str">
        <f xml:space="preserve"> IF(MONTH(LstMachines[[#This Row],[RgltVteESM]])&lt;10,"0","") &amp; MONTH(LstMachines[[#This Row],[RgltVteESM]]) &amp; "-" &amp; YEAR(LstMachines[[#This Row],[RgltVteESM]])</f>
        <v>01-2019</v>
      </c>
      <c r="AJ188" s="140">
        <f>MONTH(LstMachines[[#This Row],[DatePaie]])</f>
        <v>9</v>
      </c>
      <c r="AK188" s="88" t="str">
        <f>FIXED(YEAR(LstMachines[[#This Row],[DatePaie]]),0,TRUE)</f>
        <v>2018</v>
      </c>
      <c r="AL188" s="140"/>
      <c r="AM188" s="414"/>
      <c r="AN188" s="92"/>
      <c r="AO188" s="92"/>
      <c r="AP188" s="92"/>
      <c r="AQ188" s="92"/>
      <c r="AR188" s="92"/>
      <c r="AS188" s="92"/>
      <c r="AT188" s="92"/>
      <c r="AU188" s="92"/>
      <c r="AV188" s="92"/>
      <c r="AW188" s="92"/>
      <c r="AX188" s="92"/>
      <c r="AY188" s="92"/>
      <c r="BA188" s="92"/>
      <c r="BC188" s="92"/>
      <c r="BD188" s="92"/>
      <c r="BE188" s="92"/>
    </row>
    <row r="189" spans="2:57" hidden="1">
      <c r="B189" s="243" t="s">
        <v>262</v>
      </c>
      <c r="C189" s="243" t="s">
        <v>40</v>
      </c>
      <c r="D189" s="245">
        <v>135</v>
      </c>
      <c r="E189" s="452" t="s">
        <v>205</v>
      </c>
      <c r="F189" s="89" t="s">
        <v>66</v>
      </c>
      <c r="G189" s="87" t="s">
        <v>106</v>
      </c>
      <c r="H189" s="246">
        <v>1</v>
      </c>
      <c r="I18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189" s="247">
        <v>43753</v>
      </c>
      <c r="K189" s="248" t="s">
        <v>463</v>
      </c>
      <c r="L189" s="398" t="s">
        <v>589</v>
      </c>
      <c r="M189" s="248" t="s">
        <v>599</v>
      </c>
      <c r="N189" s="249"/>
      <c r="O189" s="255">
        <f>MONTH(LstMachines[[#This Row],[Delivery]])</f>
        <v>10</v>
      </c>
      <c r="P189" s="256" t="str">
        <f>FIXED(YEAR(LstMachines[[#This Row],[Delivery]]),0,TRUE)</f>
        <v>2019</v>
      </c>
      <c r="Q189" s="250"/>
      <c r="R189" s="251"/>
      <c r="S189" s="249"/>
      <c r="T189" s="249"/>
      <c r="U189" s="249" t="s">
        <v>105</v>
      </c>
      <c r="V189" s="246"/>
      <c r="W189" s="248" t="s">
        <v>384</v>
      </c>
      <c r="X189" s="258">
        <f>LstMachines[[#This Row],[Delivery]]</f>
        <v>43753</v>
      </c>
      <c r="Y189" s="258" t="str">
        <f xml:space="preserve"> IF(MONTH(LstMachines[[#This Row],[DateLivr]])&lt;10,"0","") &amp; MONTH(LstMachines[[#This Row],[DateLivr]]) &amp;"-"&amp;YEAR(LstMachines[[#This Row],[DateLivr]])</f>
        <v>10-2019</v>
      </c>
      <c r="Z189" s="258">
        <f>LstMachines[[#This Row],[Delivery]]+Rglt_à_HCME</f>
        <v>43813</v>
      </c>
      <c r="AA189" s="258" t="str">
        <f xml:space="preserve"> IF(MONTH(LstMachines[[#This Row],[DatePaie]])&lt;10,"0","") &amp; MONTH(LstMachines[[#This Row],[DatePaie]])&amp;"-"&amp;YEAR(LstMachines[[#This Row],[DatePaie]])</f>
        <v>12-2019</v>
      </c>
      <c r="AB189" s="258">
        <f>LstMachines[[#This Row],[DateLivr]]+1</f>
        <v>43754</v>
      </c>
      <c r="AC189" s="258" t="str">
        <f xml:space="preserve"> IF(MONTH(LstMachines[[#This Row],[Distrib]])&lt;10,"0","") &amp; MONTH(LstMachines[[#This Row],[Distrib]]) &amp; "-" &amp; YEAR(LstMachines[[#This Row],[Distrib]])</f>
        <v>10-2019</v>
      </c>
      <c r="AD189" s="258">
        <f>LstMachines[[#This Row],[DateLivr]]+Délai_Vente</f>
        <v>43873</v>
      </c>
      <c r="AE189" s="258" t="str">
        <f xml:space="preserve"> IF(MONTH(LstMachines[[#This Row],[VteESM]])&lt;10,"0","") &amp; MONTH(LstMachines[[#This Row],[VteESM]]) &amp; "-" &amp; YEAR(LstMachines[[#This Row],[VteESM]])</f>
        <v>02-2020</v>
      </c>
      <c r="AF189" s="258">
        <f>LstMachines[[#This Row],[DateLivr]]+Rglt_à_ESMTP</f>
        <v>43813</v>
      </c>
      <c r="AG189" s="258" t="str">
        <f xml:space="preserve"> IF(MONTH(LstMachines[[#This Row],[RgltDistrib]])&lt;10,"0","") &amp; MONTH(LstMachines[[#This Row],[RgltDistrib]]) &amp; "-" &amp; YEAR(LstMachines[[#This Row],[RgltDistrib]])</f>
        <v>12-2019</v>
      </c>
      <c r="AH189" s="258">
        <f>LstMachines[[#This Row],[VteESM]]+Rglt_à_ESMTP</f>
        <v>43933</v>
      </c>
      <c r="AI189" s="258" t="str">
        <f xml:space="preserve"> IF(MONTH(LstMachines[[#This Row],[RgltVteESM]])&lt;10,"0","") &amp; MONTH(LstMachines[[#This Row],[RgltVteESM]]) &amp; "-" &amp; YEAR(LstMachines[[#This Row],[RgltVteESM]])</f>
        <v>04-2020</v>
      </c>
      <c r="AJ189" s="140">
        <f>MONTH(LstMachines[[#This Row],[DatePaie]])</f>
        <v>12</v>
      </c>
      <c r="AK189" s="88" t="str">
        <f>FIXED(YEAR(LstMachines[[#This Row],[DatePaie]]),0,TRUE)</f>
        <v>2019</v>
      </c>
      <c r="AL189" s="270"/>
      <c r="AM189" s="414"/>
      <c r="AN189" s="92"/>
      <c r="AO189" s="92"/>
      <c r="AP189" s="92"/>
      <c r="AQ189" s="92"/>
      <c r="AR189" s="92"/>
      <c r="AS189" s="92"/>
      <c r="AT189" s="92"/>
      <c r="AU189" s="92"/>
      <c r="AV189" s="92"/>
      <c r="AW189" s="92"/>
      <c r="AX189" s="92"/>
      <c r="AY189" s="92"/>
      <c r="BA189" s="92"/>
      <c r="BC189" s="92"/>
      <c r="BD189" s="92"/>
      <c r="BE189" s="92"/>
    </row>
    <row r="190" spans="2:57" hidden="1">
      <c r="B190" s="243" t="s">
        <v>262</v>
      </c>
      <c r="C190" s="243" t="s">
        <v>40</v>
      </c>
      <c r="D190" s="245">
        <v>135</v>
      </c>
      <c r="E190" s="243" t="s">
        <v>218</v>
      </c>
      <c r="F190" s="89" t="s">
        <v>66</v>
      </c>
      <c r="G190" s="87" t="s">
        <v>106</v>
      </c>
      <c r="H190" s="246">
        <v>2</v>
      </c>
      <c r="I19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204</v>
      </c>
      <c r="J190" s="247">
        <v>43296</v>
      </c>
      <c r="K190" s="248" t="s">
        <v>461</v>
      </c>
      <c r="L190" s="398" t="s">
        <v>589</v>
      </c>
      <c r="M190" s="248"/>
      <c r="N190" s="249"/>
      <c r="O190" s="255">
        <f>MONTH(LstMachines[[#This Row],[Delivery]])</f>
        <v>7</v>
      </c>
      <c r="P190" s="256" t="str">
        <f>FIXED(YEAR(LstMachines[[#This Row],[Delivery]]),0,TRUE)</f>
        <v>2018</v>
      </c>
      <c r="Q190" s="250"/>
      <c r="R190" s="251"/>
      <c r="S190" s="249"/>
      <c r="T190" s="249"/>
      <c r="U190" s="249" t="s">
        <v>105</v>
      </c>
      <c r="V190" s="246"/>
      <c r="W190" s="248" t="s">
        <v>384</v>
      </c>
      <c r="X190" s="258">
        <f>LstMachines[[#This Row],[Delivery]]</f>
        <v>43296</v>
      </c>
      <c r="Y190" s="258" t="str">
        <f xml:space="preserve"> IF(MONTH(LstMachines[[#This Row],[DateLivr]])&lt;10,"0","") &amp; MONTH(LstMachines[[#This Row],[DateLivr]]) &amp;"-"&amp;YEAR(LstMachines[[#This Row],[DateLivr]])</f>
        <v>07-2018</v>
      </c>
      <c r="Z190" s="258">
        <f>LstMachines[[#This Row],[Delivery]]+Rglt_à_HCME</f>
        <v>43356</v>
      </c>
      <c r="AA190" s="258" t="str">
        <f xml:space="preserve"> IF(MONTH(LstMachines[[#This Row],[DatePaie]])&lt;10,"0","") &amp; MONTH(LstMachines[[#This Row],[DatePaie]])&amp;"-"&amp;YEAR(LstMachines[[#This Row],[DatePaie]])</f>
        <v>09-2018</v>
      </c>
      <c r="AB190" s="258">
        <f>LstMachines[[#This Row],[DateLivr]]+1</f>
        <v>43297</v>
      </c>
      <c r="AC190" s="258" t="str">
        <f xml:space="preserve"> IF(MONTH(LstMachines[[#This Row],[Distrib]])&lt;10,"0","") &amp; MONTH(LstMachines[[#This Row],[Distrib]]) &amp; "-" &amp; YEAR(LstMachines[[#This Row],[Distrib]])</f>
        <v>07-2018</v>
      </c>
      <c r="AD190" s="258">
        <f>LstMachines[[#This Row],[DateLivr]]+Délai_Vente</f>
        <v>43416</v>
      </c>
      <c r="AE190" s="258" t="str">
        <f xml:space="preserve"> IF(MONTH(LstMachines[[#This Row],[VteESM]])&lt;10,"0","") &amp; MONTH(LstMachines[[#This Row],[VteESM]]) &amp; "-" &amp; YEAR(LstMachines[[#This Row],[VteESM]])</f>
        <v>11-2018</v>
      </c>
      <c r="AF190" s="258">
        <f>LstMachines[[#This Row],[DateLivr]]+Rglt_à_ESMTP</f>
        <v>43356</v>
      </c>
      <c r="AG190" s="258" t="str">
        <f xml:space="preserve"> IF(MONTH(LstMachines[[#This Row],[RgltDistrib]])&lt;10,"0","") &amp; MONTH(LstMachines[[#This Row],[RgltDistrib]]) &amp; "-" &amp; YEAR(LstMachines[[#This Row],[RgltDistrib]])</f>
        <v>09-2018</v>
      </c>
      <c r="AH190" s="258">
        <f>LstMachines[[#This Row],[VteESM]]+Rglt_à_ESMTP</f>
        <v>43476</v>
      </c>
      <c r="AI190" s="258" t="str">
        <f xml:space="preserve"> IF(MONTH(LstMachines[[#This Row],[RgltVteESM]])&lt;10,"0","") &amp; MONTH(LstMachines[[#This Row],[RgltVteESM]]) &amp; "-" &amp; YEAR(LstMachines[[#This Row],[RgltVteESM]])</f>
        <v>01-2019</v>
      </c>
      <c r="AJ190" s="140">
        <f>MONTH(LstMachines[[#This Row],[DatePaie]])</f>
        <v>9</v>
      </c>
      <c r="AK190" s="88" t="str">
        <f>FIXED(YEAR(LstMachines[[#This Row],[DatePaie]]),0,TRUE)</f>
        <v>2018</v>
      </c>
      <c r="AL190" s="270"/>
      <c r="AM190" s="414"/>
      <c r="AN190" s="92"/>
      <c r="AO190" s="92"/>
      <c r="AP190" s="92"/>
      <c r="AQ190" s="92"/>
      <c r="AR190" s="92"/>
      <c r="AS190" s="92"/>
      <c r="AT190" s="92"/>
      <c r="AU190" s="92"/>
      <c r="AV190" s="92"/>
      <c r="AW190" s="92"/>
      <c r="AX190" s="92"/>
      <c r="AY190" s="92"/>
      <c r="BA190" s="92"/>
      <c r="BC190" s="92"/>
      <c r="BD190" s="92"/>
      <c r="BE190" s="92"/>
    </row>
    <row r="191" spans="2:57" hidden="1">
      <c r="B191" s="243" t="s">
        <v>75</v>
      </c>
      <c r="C191" s="243" t="s">
        <v>69</v>
      </c>
      <c r="D191" s="245">
        <v>55</v>
      </c>
      <c r="E191" s="243" t="s">
        <v>426</v>
      </c>
      <c r="F191" s="89" t="s">
        <v>66</v>
      </c>
      <c r="G191" s="89" t="s">
        <v>106</v>
      </c>
      <c r="H191" s="246">
        <v>2</v>
      </c>
      <c r="I19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86</v>
      </c>
      <c r="J191" s="247">
        <v>43296</v>
      </c>
      <c r="K191" s="248" t="s">
        <v>461</v>
      </c>
      <c r="L191" s="398" t="s">
        <v>589</v>
      </c>
      <c r="M191" s="248"/>
      <c r="N191" s="249"/>
      <c r="O191" s="255">
        <f>MONTH(LstMachines[[#This Row],[Delivery]])</f>
        <v>7</v>
      </c>
      <c r="P191" s="256" t="str">
        <f>FIXED(YEAR(LstMachines[[#This Row],[Delivery]]),0,TRUE)</f>
        <v>2018</v>
      </c>
      <c r="Q191" s="250"/>
      <c r="R191" s="251"/>
      <c r="S191" s="249"/>
      <c r="T191" s="249"/>
      <c r="U191" s="249" t="s">
        <v>105</v>
      </c>
      <c r="V191" s="246"/>
      <c r="W191" s="248" t="s">
        <v>384</v>
      </c>
      <c r="X191" s="258">
        <f>LstMachines[[#This Row],[Delivery]]</f>
        <v>43296</v>
      </c>
      <c r="Y191" s="258" t="str">
        <f xml:space="preserve"> IF(MONTH(LstMachines[[#This Row],[DateLivr]])&lt;10,"0","") &amp; MONTH(LstMachines[[#This Row],[DateLivr]]) &amp;"-"&amp;YEAR(LstMachines[[#This Row],[DateLivr]])</f>
        <v>07-2018</v>
      </c>
      <c r="Z191" s="258">
        <f>LstMachines[[#This Row],[Delivery]]+Rglt_à_HCME</f>
        <v>43356</v>
      </c>
      <c r="AA191" s="258" t="str">
        <f xml:space="preserve"> IF(MONTH(LstMachines[[#This Row],[DatePaie]])&lt;10,"0","") &amp; MONTH(LstMachines[[#This Row],[DatePaie]])&amp;"-"&amp;YEAR(LstMachines[[#This Row],[DatePaie]])</f>
        <v>09-2018</v>
      </c>
      <c r="AB191" s="258">
        <f>LstMachines[[#This Row],[DateLivr]]+1</f>
        <v>43297</v>
      </c>
      <c r="AC191" s="258" t="str">
        <f xml:space="preserve"> IF(MONTH(LstMachines[[#This Row],[Distrib]])&lt;10,"0","") &amp; MONTH(LstMachines[[#This Row],[Distrib]]) &amp; "-" &amp; YEAR(LstMachines[[#This Row],[Distrib]])</f>
        <v>07-2018</v>
      </c>
      <c r="AD191" s="258">
        <f>LstMachines[[#This Row],[DateLivr]]+Délai_Vente</f>
        <v>43416</v>
      </c>
      <c r="AE191" s="258" t="str">
        <f xml:space="preserve"> IF(MONTH(LstMachines[[#This Row],[VteESM]])&lt;10,"0","") &amp; MONTH(LstMachines[[#This Row],[VteESM]]) &amp; "-" &amp; YEAR(LstMachines[[#This Row],[VteESM]])</f>
        <v>11-2018</v>
      </c>
      <c r="AF191" s="258">
        <f>LstMachines[[#This Row],[DateLivr]]+Rglt_à_ESMTP</f>
        <v>43356</v>
      </c>
      <c r="AG191" s="258" t="str">
        <f xml:space="preserve"> IF(MONTH(LstMachines[[#This Row],[RgltDistrib]])&lt;10,"0","") &amp; MONTH(LstMachines[[#This Row],[RgltDistrib]]) &amp; "-" &amp; YEAR(LstMachines[[#This Row],[RgltDistrib]])</f>
        <v>09-2018</v>
      </c>
      <c r="AH191" s="258">
        <f>LstMachines[[#This Row],[VteESM]]+Rglt_à_ESMTP</f>
        <v>43476</v>
      </c>
      <c r="AI191" s="258" t="str">
        <f xml:space="preserve"> IF(MONTH(LstMachines[[#This Row],[RgltVteESM]])&lt;10,"0","") &amp; MONTH(LstMachines[[#This Row],[RgltVteESM]]) &amp; "-" &amp; YEAR(LstMachines[[#This Row],[RgltVteESM]])</f>
        <v>01-2019</v>
      </c>
      <c r="AJ191" s="140">
        <f>MONTH(LstMachines[[#This Row],[DatePaie]])</f>
        <v>9</v>
      </c>
      <c r="AK191" s="88" t="str">
        <f>FIXED(YEAR(LstMachines[[#This Row],[DatePaie]]),0,TRUE)</f>
        <v>2018</v>
      </c>
      <c r="AL191" s="270"/>
      <c r="AM191" s="414"/>
      <c r="AN191" s="92"/>
      <c r="AO191" s="92"/>
      <c r="AP191" s="92"/>
      <c r="AQ191" s="92"/>
      <c r="AR191" s="92"/>
      <c r="AS191" s="92"/>
      <c r="AT191" s="92"/>
      <c r="AU191" s="92"/>
      <c r="AV191" s="92"/>
      <c r="AW191" s="92"/>
      <c r="AX191" s="92"/>
      <c r="AY191" s="92"/>
      <c r="BA191" s="92"/>
      <c r="BC191" s="92"/>
      <c r="BD191" s="92"/>
      <c r="BE191" s="92"/>
    </row>
    <row r="192" spans="2:57" hidden="1">
      <c r="B192" s="243" t="s">
        <v>75</v>
      </c>
      <c r="C192" s="243" t="s">
        <v>35</v>
      </c>
      <c r="D192" s="245">
        <v>19</v>
      </c>
      <c r="E192" s="243" t="s">
        <v>180</v>
      </c>
      <c r="F192" s="89" t="s">
        <v>66</v>
      </c>
      <c r="G192" s="89" t="s">
        <v>106</v>
      </c>
      <c r="H192" s="246">
        <v>1</v>
      </c>
      <c r="I19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192" s="247">
        <v>43358</v>
      </c>
      <c r="K192" s="248" t="s">
        <v>461</v>
      </c>
      <c r="L192" s="398" t="s">
        <v>589</v>
      </c>
      <c r="M192" s="248"/>
      <c r="N192" s="249"/>
      <c r="O192" s="255">
        <f>MONTH(LstMachines[[#This Row],[Delivery]])</f>
        <v>9</v>
      </c>
      <c r="P192" s="256" t="str">
        <f>FIXED(YEAR(LstMachines[[#This Row],[Delivery]]),0,TRUE)</f>
        <v>2018</v>
      </c>
      <c r="Q192" s="250"/>
      <c r="R192" s="251"/>
      <c r="S192" s="249"/>
      <c r="T192" s="249"/>
      <c r="U192" s="249" t="s">
        <v>105</v>
      </c>
      <c r="V192" s="246"/>
      <c r="W192" s="248" t="s">
        <v>384</v>
      </c>
      <c r="X192" s="258">
        <f>LstMachines[[#This Row],[Delivery]]</f>
        <v>43358</v>
      </c>
      <c r="Y192" s="258" t="str">
        <f xml:space="preserve"> IF(MONTH(LstMachines[[#This Row],[DateLivr]])&lt;10,"0","") &amp; MONTH(LstMachines[[#This Row],[DateLivr]]) &amp;"-"&amp;YEAR(LstMachines[[#This Row],[DateLivr]])</f>
        <v>09-2018</v>
      </c>
      <c r="Z192" s="258">
        <f>LstMachines[[#This Row],[Delivery]]+Rglt_à_HCME</f>
        <v>43418</v>
      </c>
      <c r="AA192" s="258" t="str">
        <f xml:space="preserve"> IF(MONTH(LstMachines[[#This Row],[DatePaie]])&lt;10,"0","") &amp; MONTH(LstMachines[[#This Row],[DatePaie]])&amp;"-"&amp;YEAR(LstMachines[[#This Row],[DatePaie]])</f>
        <v>11-2018</v>
      </c>
      <c r="AB192" s="258">
        <f>LstMachines[[#This Row],[DateLivr]]+1</f>
        <v>43359</v>
      </c>
      <c r="AC192" s="258" t="str">
        <f xml:space="preserve"> IF(MONTH(LstMachines[[#This Row],[Distrib]])&lt;10,"0","") &amp; MONTH(LstMachines[[#This Row],[Distrib]]) &amp; "-" &amp; YEAR(LstMachines[[#This Row],[Distrib]])</f>
        <v>09-2018</v>
      </c>
      <c r="AD192" s="258">
        <f>LstMachines[[#This Row],[DateLivr]]+Délai_Vente</f>
        <v>43478</v>
      </c>
      <c r="AE192" s="258" t="str">
        <f xml:space="preserve"> IF(MONTH(LstMachines[[#This Row],[VteESM]])&lt;10,"0","") &amp; MONTH(LstMachines[[#This Row],[VteESM]]) &amp; "-" &amp; YEAR(LstMachines[[#This Row],[VteESM]])</f>
        <v>01-2019</v>
      </c>
      <c r="AF192" s="258">
        <f>LstMachines[[#This Row],[DateLivr]]+Rglt_à_ESMTP</f>
        <v>43418</v>
      </c>
      <c r="AG192" s="258" t="str">
        <f xml:space="preserve"> IF(MONTH(LstMachines[[#This Row],[RgltDistrib]])&lt;10,"0","") &amp; MONTH(LstMachines[[#This Row],[RgltDistrib]]) &amp; "-" &amp; YEAR(LstMachines[[#This Row],[RgltDistrib]])</f>
        <v>11-2018</v>
      </c>
      <c r="AH192" s="258">
        <f>LstMachines[[#This Row],[VteESM]]+Rglt_à_ESMTP</f>
        <v>43538</v>
      </c>
      <c r="AI192" s="258" t="str">
        <f xml:space="preserve"> IF(MONTH(LstMachines[[#This Row],[RgltVteESM]])&lt;10,"0","") &amp; MONTH(LstMachines[[#This Row],[RgltVteESM]]) &amp; "-" &amp; YEAR(LstMachines[[#This Row],[RgltVteESM]])</f>
        <v>03-2019</v>
      </c>
      <c r="AJ192" s="140">
        <f>MONTH(LstMachines[[#This Row],[DatePaie]])</f>
        <v>11</v>
      </c>
      <c r="AK192" s="88" t="str">
        <f>FIXED(YEAR(LstMachines[[#This Row],[DatePaie]]),0,TRUE)</f>
        <v>2018</v>
      </c>
      <c r="AL192" s="270"/>
      <c r="AM192" s="416"/>
      <c r="AN192" s="92"/>
      <c r="AO192" s="92"/>
      <c r="AP192" s="92"/>
      <c r="AQ192" s="92"/>
      <c r="AR192" s="92"/>
      <c r="AS192" s="92"/>
      <c r="AT192" s="92"/>
      <c r="AU192" s="92"/>
      <c r="AV192" s="92"/>
      <c r="AW192" s="92"/>
      <c r="AX192" s="92"/>
      <c r="AY192" s="92"/>
      <c r="BA192" s="92"/>
      <c r="BC192" s="92"/>
      <c r="BD192" s="92"/>
      <c r="BE192" s="92"/>
    </row>
    <row r="193" spans="2:57" hidden="1">
      <c r="B193" s="243" t="s">
        <v>75</v>
      </c>
      <c r="C193" s="243" t="s">
        <v>69</v>
      </c>
      <c r="D193" s="245">
        <v>55</v>
      </c>
      <c r="E193" s="243" t="s">
        <v>426</v>
      </c>
      <c r="F193" s="89" t="s">
        <v>66</v>
      </c>
      <c r="G193" s="89" t="s">
        <v>106</v>
      </c>
      <c r="H193" s="246">
        <v>1</v>
      </c>
      <c r="I19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43</v>
      </c>
      <c r="J193" s="247">
        <v>43358</v>
      </c>
      <c r="K193" s="248" t="s">
        <v>461</v>
      </c>
      <c r="L193" s="398" t="s">
        <v>589</v>
      </c>
      <c r="M193" s="248"/>
      <c r="N193" s="249"/>
      <c r="O193" s="255">
        <f>MONTH(LstMachines[[#This Row],[Delivery]])</f>
        <v>9</v>
      </c>
      <c r="P193" s="256" t="str">
        <f>FIXED(YEAR(LstMachines[[#This Row],[Delivery]]),0,TRUE)</f>
        <v>2018</v>
      </c>
      <c r="Q193" s="250"/>
      <c r="R193" s="251"/>
      <c r="S193" s="249"/>
      <c r="T193" s="249"/>
      <c r="U193" s="249" t="s">
        <v>105</v>
      </c>
      <c r="V193" s="246"/>
      <c r="W193" s="248" t="s">
        <v>384</v>
      </c>
      <c r="X193" s="258">
        <f>LstMachines[[#This Row],[Delivery]]</f>
        <v>43358</v>
      </c>
      <c r="Y193" s="258" t="str">
        <f xml:space="preserve"> IF(MONTH(LstMachines[[#This Row],[DateLivr]])&lt;10,"0","") &amp; MONTH(LstMachines[[#This Row],[DateLivr]]) &amp;"-"&amp;YEAR(LstMachines[[#This Row],[DateLivr]])</f>
        <v>09-2018</v>
      </c>
      <c r="Z193" s="258">
        <f>LstMachines[[#This Row],[Delivery]]+Rglt_à_HCME</f>
        <v>43418</v>
      </c>
      <c r="AA193" s="258" t="str">
        <f xml:space="preserve"> IF(MONTH(LstMachines[[#This Row],[DatePaie]])&lt;10,"0","") &amp; MONTH(LstMachines[[#This Row],[DatePaie]])&amp;"-"&amp;YEAR(LstMachines[[#This Row],[DatePaie]])</f>
        <v>11-2018</v>
      </c>
      <c r="AB193" s="258">
        <f>LstMachines[[#This Row],[DateLivr]]+1</f>
        <v>43359</v>
      </c>
      <c r="AC193" s="258" t="str">
        <f xml:space="preserve"> IF(MONTH(LstMachines[[#This Row],[Distrib]])&lt;10,"0","") &amp; MONTH(LstMachines[[#This Row],[Distrib]]) &amp; "-" &amp; YEAR(LstMachines[[#This Row],[Distrib]])</f>
        <v>09-2018</v>
      </c>
      <c r="AD193" s="258">
        <f>LstMachines[[#This Row],[DateLivr]]+Délai_Vente</f>
        <v>43478</v>
      </c>
      <c r="AE193" s="258" t="str">
        <f xml:space="preserve"> IF(MONTH(LstMachines[[#This Row],[VteESM]])&lt;10,"0","") &amp; MONTH(LstMachines[[#This Row],[VteESM]]) &amp; "-" &amp; YEAR(LstMachines[[#This Row],[VteESM]])</f>
        <v>01-2019</v>
      </c>
      <c r="AF193" s="258">
        <f>LstMachines[[#This Row],[DateLivr]]+Rglt_à_ESMTP</f>
        <v>43418</v>
      </c>
      <c r="AG193" s="258" t="str">
        <f xml:space="preserve"> IF(MONTH(LstMachines[[#This Row],[RgltDistrib]])&lt;10,"0","") &amp; MONTH(LstMachines[[#This Row],[RgltDistrib]]) &amp; "-" &amp; YEAR(LstMachines[[#This Row],[RgltDistrib]])</f>
        <v>11-2018</v>
      </c>
      <c r="AH193" s="258">
        <f>LstMachines[[#This Row],[VteESM]]+Rglt_à_ESMTP</f>
        <v>43538</v>
      </c>
      <c r="AI193" s="258" t="str">
        <f xml:space="preserve"> IF(MONTH(LstMachines[[#This Row],[RgltVteESM]])&lt;10,"0","") &amp; MONTH(LstMachines[[#This Row],[RgltVteESM]]) &amp; "-" &amp; YEAR(LstMachines[[#This Row],[RgltVteESM]])</f>
        <v>03-2019</v>
      </c>
      <c r="AJ193" s="140">
        <f>MONTH(LstMachines[[#This Row],[DatePaie]])</f>
        <v>11</v>
      </c>
      <c r="AK193" s="88" t="str">
        <f>FIXED(YEAR(LstMachines[[#This Row],[DatePaie]]),0,TRUE)</f>
        <v>2018</v>
      </c>
      <c r="AL193" s="270"/>
      <c r="AM193" s="414"/>
      <c r="AN193" s="92"/>
      <c r="AO193" s="92"/>
      <c r="AP193" s="92"/>
      <c r="AQ193" s="92"/>
      <c r="AR193" s="92"/>
      <c r="AS193" s="92"/>
      <c r="AT193" s="92"/>
      <c r="AU193" s="92"/>
      <c r="AV193" s="92"/>
      <c r="AW193" s="92"/>
      <c r="AX193" s="92"/>
      <c r="AY193" s="92"/>
      <c r="BA193" s="92"/>
      <c r="BC193" s="92"/>
      <c r="BD193" s="92"/>
      <c r="BE193" s="92"/>
    </row>
    <row r="194" spans="2:57" hidden="1">
      <c r="B194" s="243" t="s">
        <v>75</v>
      </c>
      <c r="C194" s="243" t="s">
        <v>69</v>
      </c>
      <c r="D194" s="245">
        <v>55</v>
      </c>
      <c r="E194" s="243" t="s">
        <v>364</v>
      </c>
      <c r="F194" s="89" t="s">
        <v>66</v>
      </c>
      <c r="G194" s="89" t="s">
        <v>106</v>
      </c>
      <c r="H194" s="246">
        <v>1</v>
      </c>
      <c r="I19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43</v>
      </c>
      <c r="J194" s="247">
        <v>43358</v>
      </c>
      <c r="K194" s="248" t="s">
        <v>461</v>
      </c>
      <c r="L194" s="398" t="s">
        <v>589</v>
      </c>
      <c r="M194" s="248"/>
      <c r="N194" s="249"/>
      <c r="O194" s="255">
        <f>MONTH(LstMachines[[#This Row],[Delivery]])</f>
        <v>9</v>
      </c>
      <c r="P194" s="256" t="str">
        <f>FIXED(YEAR(LstMachines[[#This Row],[Delivery]]),0,TRUE)</f>
        <v>2018</v>
      </c>
      <c r="Q194" s="250"/>
      <c r="R194" s="251"/>
      <c r="S194" s="249"/>
      <c r="T194" s="249"/>
      <c r="U194" s="249" t="s">
        <v>105</v>
      </c>
      <c r="V194" s="246"/>
      <c r="W194" s="248" t="s">
        <v>384</v>
      </c>
      <c r="X194" s="258">
        <f>LstMachines[[#This Row],[Delivery]]</f>
        <v>43358</v>
      </c>
      <c r="Y194" s="258" t="str">
        <f xml:space="preserve"> IF(MONTH(LstMachines[[#This Row],[DateLivr]])&lt;10,"0","") &amp; MONTH(LstMachines[[#This Row],[DateLivr]]) &amp;"-"&amp;YEAR(LstMachines[[#This Row],[DateLivr]])</f>
        <v>09-2018</v>
      </c>
      <c r="Z194" s="258">
        <f>LstMachines[[#This Row],[Delivery]]+Rglt_à_HCME</f>
        <v>43418</v>
      </c>
      <c r="AA194" s="258" t="str">
        <f xml:space="preserve"> IF(MONTH(LstMachines[[#This Row],[DatePaie]])&lt;10,"0","") &amp; MONTH(LstMachines[[#This Row],[DatePaie]])&amp;"-"&amp;YEAR(LstMachines[[#This Row],[DatePaie]])</f>
        <v>11-2018</v>
      </c>
      <c r="AB194" s="258">
        <f>LstMachines[[#This Row],[DateLivr]]+1</f>
        <v>43359</v>
      </c>
      <c r="AC194" s="258" t="str">
        <f xml:space="preserve"> IF(MONTH(LstMachines[[#This Row],[Distrib]])&lt;10,"0","") &amp; MONTH(LstMachines[[#This Row],[Distrib]]) &amp; "-" &amp; YEAR(LstMachines[[#This Row],[Distrib]])</f>
        <v>09-2018</v>
      </c>
      <c r="AD194" s="258">
        <f>LstMachines[[#This Row],[DateLivr]]+Délai_Vente</f>
        <v>43478</v>
      </c>
      <c r="AE194" s="258" t="str">
        <f xml:space="preserve"> IF(MONTH(LstMachines[[#This Row],[VteESM]])&lt;10,"0","") &amp; MONTH(LstMachines[[#This Row],[VteESM]]) &amp; "-" &amp; YEAR(LstMachines[[#This Row],[VteESM]])</f>
        <v>01-2019</v>
      </c>
      <c r="AF194" s="258">
        <f>LstMachines[[#This Row],[DateLivr]]+Rglt_à_ESMTP</f>
        <v>43418</v>
      </c>
      <c r="AG194" s="258" t="str">
        <f xml:space="preserve"> IF(MONTH(LstMachines[[#This Row],[RgltDistrib]])&lt;10,"0","") &amp; MONTH(LstMachines[[#This Row],[RgltDistrib]]) &amp; "-" &amp; YEAR(LstMachines[[#This Row],[RgltDistrib]])</f>
        <v>11-2018</v>
      </c>
      <c r="AH194" s="258">
        <f>LstMachines[[#This Row],[VteESM]]+Rglt_à_ESMTP</f>
        <v>43538</v>
      </c>
      <c r="AI194" s="258" t="str">
        <f xml:space="preserve"> IF(MONTH(LstMachines[[#This Row],[RgltVteESM]])&lt;10,"0","") &amp; MONTH(LstMachines[[#This Row],[RgltVteESM]]) &amp; "-" &amp; YEAR(LstMachines[[#This Row],[RgltVteESM]])</f>
        <v>03-2019</v>
      </c>
      <c r="AJ194" s="140">
        <f>MONTH(LstMachines[[#This Row],[DatePaie]])</f>
        <v>11</v>
      </c>
      <c r="AK194" s="88" t="str">
        <f>FIXED(YEAR(LstMachines[[#This Row],[DatePaie]]),0,TRUE)</f>
        <v>2018</v>
      </c>
      <c r="AL194" s="270"/>
      <c r="AM194" s="414"/>
      <c r="AN194" s="92"/>
      <c r="AO194" s="92"/>
      <c r="AP194" s="92"/>
      <c r="AQ194" s="92"/>
      <c r="AR194" s="92"/>
      <c r="AS194" s="92"/>
      <c r="AT194" s="92"/>
      <c r="AU194" s="92"/>
      <c r="AV194" s="92"/>
      <c r="AW194" s="92"/>
      <c r="AX194" s="92"/>
      <c r="AY194" s="92"/>
      <c r="BA194" s="92"/>
      <c r="BC194" s="92"/>
      <c r="BD194" s="92"/>
      <c r="BE194" s="92"/>
    </row>
    <row r="195" spans="2:57" hidden="1">
      <c r="B195" s="243" t="s">
        <v>262</v>
      </c>
      <c r="C195" s="243" t="s">
        <v>40</v>
      </c>
      <c r="D195" s="245">
        <v>135</v>
      </c>
      <c r="E195" s="243" t="s">
        <v>200</v>
      </c>
      <c r="F195" s="89" t="s">
        <v>66</v>
      </c>
      <c r="G195" s="87" t="s">
        <v>106</v>
      </c>
      <c r="H195" s="246">
        <v>1</v>
      </c>
      <c r="I19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195" s="247">
        <v>43388</v>
      </c>
      <c r="K195" s="248" t="s">
        <v>461</v>
      </c>
      <c r="L195" s="398" t="s">
        <v>589</v>
      </c>
      <c r="M195" s="248"/>
      <c r="N195" s="249"/>
      <c r="O195" s="255">
        <f>MONTH(LstMachines[[#This Row],[Delivery]])</f>
        <v>10</v>
      </c>
      <c r="P195" s="256" t="str">
        <f>FIXED(YEAR(LstMachines[[#This Row],[Delivery]]),0,TRUE)</f>
        <v>2018</v>
      </c>
      <c r="Q195" s="250"/>
      <c r="R195" s="251"/>
      <c r="S195" s="249"/>
      <c r="T195" s="249"/>
      <c r="U195" s="249" t="s">
        <v>105</v>
      </c>
      <c r="V195" s="246"/>
      <c r="W195" s="248" t="s">
        <v>384</v>
      </c>
      <c r="X195" s="258">
        <f>LstMachines[[#This Row],[Delivery]]</f>
        <v>43388</v>
      </c>
      <c r="Y195" s="258" t="str">
        <f xml:space="preserve"> IF(MONTH(LstMachines[[#This Row],[DateLivr]])&lt;10,"0","") &amp; MONTH(LstMachines[[#This Row],[DateLivr]]) &amp;"-"&amp;YEAR(LstMachines[[#This Row],[DateLivr]])</f>
        <v>10-2018</v>
      </c>
      <c r="Z195" s="258">
        <f>LstMachines[[#This Row],[Delivery]]+Rglt_à_HCME</f>
        <v>43448</v>
      </c>
      <c r="AA195" s="258" t="str">
        <f xml:space="preserve"> IF(MONTH(LstMachines[[#This Row],[DatePaie]])&lt;10,"0","") &amp; MONTH(LstMachines[[#This Row],[DatePaie]])&amp;"-"&amp;YEAR(LstMachines[[#This Row],[DatePaie]])</f>
        <v>12-2018</v>
      </c>
      <c r="AB195" s="258">
        <f>LstMachines[[#This Row],[DateLivr]]+1</f>
        <v>43389</v>
      </c>
      <c r="AC195" s="258" t="str">
        <f xml:space="preserve"> IF(MONTH(LstMachines[[#This Row],[Distrib]])&lt;10,"0","") &amp; MONTH(LstMachines[[#This Row],[Distrib]]) &amp; "-" &amp; YEAR(LstMachines[[#This Row],[Distrib]])</f>
        <v>10-2018</v>
      </c>
      <c r="AD195" s="258">
        <f>LstMachines[[#This Row],[DateLivr]]+Délai_Vente</f>
        <v>43508</v>
      </c>
      <c r="AE195" s="258" t="str">
        <f xml:space="preserve"> IF(MONTH(LstMachines[[#This Row],[VteESM]])&lt;10,"0","") &amp; MONTH(LstMachines[[#This Row],[VteESM]]) &amp; "-" &amp; YEAR(LstMachines[[#This Row],[VteESM]])</f>
        <v>02-2019</v>
      </c>
      <c r="AF195" s="258">
        <f>LstMachines[[#This Row],[DateLivr]]+Rglt_à_ESMTP</f>
        <v>43448</v>
      </c>
      <c r="AG195" s="258" t="str">
        <f xml:space="preserve"> IF(MONTH(LstMachines[[#This Row],[RgltDistrib]])&lt;10,"0","") &amp; MONTH(LstMachines[[#This Row],[RgltDistrib]]) &amp; "-" &amp; YEAR(LstMachines[[#This Row],[RgltDistrib]])</f>
        <v>12-2018</v>
      </c>
      <c r="AH195" s="258">
        <f>LstMachines[[#This Row],[VteESM]]+Rglt_à_ESMTP</f>
        <v>43568</v>
      </c>
      <c r="AI195" s="258" t="str">
        <f xml:space="preserve"> IF(MONTH(LstMachines[[#This Row],[RgltVteESM]])&lt;10,"0","") &amp; MONTH(LstMachines[[#This Row],[RgltVteESM]]) &amp; "-" &amp; YEAR(LstMachines[[#This Row],[RgltVteESM]])</f>
        <v>04-2019</v>
      </c>
      <c r="AJ195" s="140">
        <f>MONTH(LstMachines[[#This Row],[DatePaie]])</f>
        <v>12</v>
      </c>
      <c r="AK195" s="88" t="str">
        <f>FIXED(YEAR(LstMachines[[#This Row],[DatePaie]]),0,TRUE)</f>
        <v>2018</v>
      </c>
      <c r="AL195" s="270"/>
      <c r="AM195" s="416"/>
      <c r="AN195" s="92"/>
      <c r="AO195" s="92"/>
      <c r="AP195" s="92"/>
      <c r="AQ195" s="92"/>
      <c r="AR195" s="92"/>
      <c r="AS195" s="92"/>
      <c r="AT195" s="92"/>
      <c r="AU195" s="92"/>
      <c r="AV195" s="92"/>
      <c r="AW195" s="92"/>
      <c r="AX195" s="92"/>
      <c r="AY195" s="92"/>
      <c r="BA195" s="92"/>
      <c r="BC195" s="92"/>
      <c r="BD195" s="92"/>
      <c r="BE195" s="92"/>
    </row>
    <row r="196" spans="2:57" hidden="1">
      <c r="B196" s="243" t="s">
        <v>262</v>
      </c>
      <c r="C196" s="243" t="s">
        <v>40</v>
      </c>
      <c r="D196" s="245">
        <v>135</v>
      </c>
      <c r="E196" s="243" t="s">
        <v>200</v>
      </c>
      <c r="F196" s="89" t="s">
        <v>66</v>
      </c>
      <c r="G196" s="87" t="s">
        <v>106</v>
      </c>
      <c r="H196" s="246">
        <v>1</v>
      </c>
      <c r="I19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196" s="247">
        <v>43388</v>
      </c>
      <c r="K196" s="248" t="s">
        <v>461</v>
      </c>
      <c r="L196" s="398" t="s">
        <v>589</v>
      </c>
      <c r="M196" s="248"/>
      <c r="N196" s="249"/>
      <c r="O196" s="255">
        <f>MONTH(LstMachines[[#This Row],[Delivery]])</f>
        <v>10</v>
      </c>
      <c r="P196" s="256" t="str">
        <f>FIXED(YEAR(LstMachines[[#This Row],[Delivery]]),0,TRUE)</f>
        <v>2018</v>
      </c>
      <c r="Q196" s="250"/>
      <c r="R196" s="251"/>
      <c r="S196" s="249"/>
      <c r="T196" s="249"/>
      <c r="U196" s="249" t="s">
        <v>105</v>
      </c>
      <c r="V196" s="246"/>
      <c r="W196" s="248" t="s">
        <v>384</v>
      </c>
      <c r="X196" s="258">
        <f>LstMachines[[#This Row],[Delivery]]</f>
        <v>43388</v>
      </c>
      <c r="Y196" s="258" t="str">
        <f xml:space="preserve"> IF(MONTH(LstMachines[[#This Row],[DateLivr]])&lt;10,"0","") &amp; MONTH(LstMachines[[#This Row],[DateLivr]]) &amp;"-"&amp;YEAR(LstMachines[[#This Row],[DateLivr]])</f>
        <v>10-2018</v>
      </c>
      <c r="Z196" s="258">
        <f>LstMachines[[#This Row],[Delivery]]+Rglt_à_HCME</f>
        <v>43448</v>
      </c>
      <c r="AA196" s="258" t="str">
        <f xml:space="preserve"> IF(MONTH(LstMachines[[#This Row],[DatePaie]])&lt;10,"0","") &amp; MONTH(LstMachines[[#This Row],[DatePaie]])&amp;"-"&amp;YEAR(LstMachines[[#This Row],[DatePaie]])</f>
        <v>12-2018</v>
      </c>
      <c r="AB196" s="258">
        <f>LstMachines[[#This Row],[DateLivr]]+1</f>
        <v>43389</v>
      </c>
      <c r="AC196" s="258" t="str">
        <f xml:space="preserve"> IF(MONTH(LstMachines[[#This Row],[Distrib]])&lt;10,"0","") &amp; MONTH(LstMachines[[#This Row],[Distrib]]) &amp; "-" &amp; YEAR(LstMachines[[#This Row],[Distrib]])</f>
        <v>10-2018</v>
      </c>
      <c r="AD196" s="258">
        <f>LstMachines[[#This Row],[DateLivr]]+Délai_Vente</f>
        <v>43508</v>
      </c>
      <c r="AE196" s="258" t="str">
        <f xml:space="preserve"> IF(MONTH(LstMachines[[#This Row],[VteESM]])&lt;10,"0","") &amp; MONTH(LstMachines[[#This Row],[VteESM]]) &amp; "-" &amp; YEAR(LstMachines[[#This Row],[VteESM]])</f>
        <v>02-2019</v>
      </c>
      <c r="AF196" s="258">
        <f>LstMachines[[#This Row],[DateLivr]]+Rglt_à_ESMTP</f>
        <v>43448</v>
      </c>
      <c r="AG196" s="258" t="str">
        <f xml:space="preserve"> IF(MONTH(LstMachines[[#This Row],[RgltDistrib]])&lt;10,"0","") &amp; MONTH(LstMachines[[#This Row],[RgltDistrib]]) &amp; "-" &amp; YEAR(LstMachines[[#This Row],[RgltDistrib]])</f>
        <v>12-2018</v>
      </c>
      <c r="AH196" s="258">
        <f>LstMachines[[#This Row],[VteESM]]+Rglt_à_ESMTP</f>
        <v>43568</v>
      </c>
      <c r="AI196" s="258" t="str">
        <f xml:space="preserve"> IF(MONTH(LstMachines[[#This Row],[RgltVteESM]])&lt;10,"0","") &amp; MONTH(LstMachines[[#This Row],[RgltVteESM]]) &amp; "-" &amp; YEAR(LstMachines[[#This Row],[RgltVteESM]])</f>
        <v>04-2019</v>
      </c>
      <c r="AJ196" s="140">
        <f>MONTH(LstMachines[[#This Row],[DatePaie]])</f>
        <v>12</v>
      </c>
      <c r="AK196" s="88" t="str">
        <f>FIXED(YEAR(LstMachines[[#This Row],[DatePaie]]),0,TRUE)</f>
        <v>2018</v>
      </c>
      <c r="AL196" s="270"/>
      <c r="AM196" s="416"/>
      <c r="AN196" s="92"/>
      <c r="AO196" s="92"/>
      <c r="AP196" s="92"/>
      <c r="AQ196" s="92"/>
      <c r="AR196" s="92"/>
      <c r="AS196" s="92"/>
      <c r="AT196" s="92"/>
      <c r="AU196" s="92"/>
      <c r="AV196" s="92"/>
      <c r="AW196" s="92"/>
      <c r="AX196" s="92"/>
      <c r="AY196" s="92"/>
      <c r="BA196" s="92"/>
      <c r="BC196" s="92"/>
      <c r="BD196" s="92"/>
      <c r="BE196" s="92"/>
    </row>
    <row r="197" spans="2:57" hidden="1">
      <c r="B197" s="243" t="s">
        <v>262</v>
      </c>
      <c r="C197" s="243" t="s">
        <v>40</v>
      </c>
      <c r="D197" s="245">
        <v>135</v>
      </c>
      <c r="E197" s="452" t="s">
        <v>205</v>
      </c>
      <c r="F197" s="89" t="s">
        <v>66</v>
      </c>
      <c r="G197" s="87" t="s">
        <v>106</v>
      </c>
      <c r="H197" s="246">
        <v>2</v>
      </c>
      <c r="I19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204</v>
      </c>
      <c r="J197" s="247">
        <v>43661</v>
      </c>
      <c r="K197" s="248" t="s">
        <v>463</v>
      </c>
      <c r="L197" s="398" t="s">
        <v>589</v>
      </c>
      <c r="M197" s="248" t="s">
        <v>599</v>
      </c>
      <c r="N197" s="249"/>
      <c r="O197" s="255">
        <f>MONTH(LstMachines[[#This Row],[Delivery]])</f>
        <v>7</v>
      </c>
      <c r="P197" s="256" t="str">
        <f>FIXED(YEAR(LstMachines[[#This Row],[Delivery]]),0,TRUE)</f>
        <v>2019</v>
      </c>
      <c r="Q197" s="250"/>
      <c r="R197" s="251"/>
      <c r="S197" s="249"/>
      <c r="T197" s="249"/>
      <c r="U197" s="249" t="s">
        <v>105</v>
      </c>
      <c r="V197" s="246"/>
      <c r="W197" s="248" t="s">
        <v>384</v>
      </c>
      <c r="X197" s="258">
        <f>LstMachines[[#This Row],[Delivery]]</f>
        <v>43661</v>
      </c>
      <c r="Y197" s="258" t="str">
        <f xml:space="preserve"> IF(MONTH(LstMachines[[#This Row],[DateLivr]])&lt;10,"0","") &amp; MONTH(LstMachines[[#This Row],[DateLivr]]) &amp;"-"&amp;YEAR(LstMachines[[#This Row],[DateLivr]])</f>
        <v>07-2019</v>
      </c>
      <c r="Z197" s="258">
        <f>LstMachines[[#This Row],[Delivery]]+Rglt_à_HCME</f>
        <v>43721</v>
      </c>
      <c r="AA197" s="258" t="str">
        <f xml:space="preserve"> IF(MONTH(LstMachines[[#This Row],[DatePaie]])&lt;10,"0","") &amp; MONTH(LstMachines[[#This Row],[DatePaie]])&amp;"-"&amp;YEAR(LstMachines[[#This Row],[DatePaie]])</f>
        <v>09-2019</v>
      </c>
      <c r="AB197" s="258">
        <f>LstMachines[[#This Row],[DateLivr]]+1</f>
        <v>43662</v>
      </c>
      <c r="AC197" s="258" t="str">
        <f xml:space="preserve"> IF(MONTH(LstMachines[[#This Row],[Distrib]])&lt;10,"0","") &amp; MONTH(LstMachines[[#This Row],[Distrib]]) &amp; "-" &amp; YEAR(LstMachines[[#This Row],[Distrib]])</f>
        <v>07-2019</v>
      </c>
      <c r="AD197" s="258">
        <f>LstMachines[[#This Row],[DateLivr]]+Délai_Vente</f>
        <v>43781</v>
      </c>
      <c r="AE197" s="258" t="str">
        <f xml:space="preserve"> IF(MONTH(LstMachines[[#This Row],[VteESM]])&lt;10,"0","") &amp; MONTH(LstMachines[[#This Row],[VteESM]]) &amp; "-" &amp; YEAR(LstMachines[[#This Row],[VteESM]])</f>
        <v>11-2019</v>
      </c>
      <c r="AF197" s="258">
        <f>LstMachines[[#This Row],[DateLivr]]+Rglt_à_ESMTP</f>
        <v>43721</v>
      </c>
      <c r="AG197" s="258" t="str">
        <f xml:space="preserve"> IF(MONTH(LstMachines[[#This Row],[RgltDistrib]])&lt;10,"0","") &amp; MONTH(LstMachines[[#This Row],[RgltDistrib]]) &amp; "-" &amp; YEAR(LstMachines[[#This Row],[RgltDistrib]])</f>
        <v>09-2019</v>
      </c>
      <c r="AH197" s="258">
        <f>LstMachines[[#This Row],[VteESM]]+Rglt_à_ESMTP</f>
        <v>43841</v>
      </c>
      <c r="AI197" s="258" t="str">
        <f xml:space="preserve"> IF(MONTH(LstMachines[[#This Row],[RgltVteESM]])&lt;10,"0","") &amp; MONTH(LstMachines[[#This Row],[RgltVteESM]]) &amp; "-" &amp; YEAR(LstMachines[[#This Row],[RgltVteESM]])</f>
        <v>01-2020</v>
      </c>
      <c r="AJ197" s="140">
        <f>MONTH(LstMachines[[#This Row],[DatePaie]])</f>
        <v>9</v>
      </c>
      <c r="AK197" s="88" t="str">
        <f>FIXED(YEAR(LstMachines[[#This Row],[DatePaie]]),0,TRUE)</f>
        <v>2019</v>
      </c>
      <c r="AL197" s="270"/>
      <c r="AM197" s="414"/>
      <c r="AN197" s="92"/>
      <c r="AO197" s="92"/>
      <c r="AP197" s="92"/>
      <c r="AQ197" s="92"/>
      <c r="AR197" s="92"/>
      <c r="AS197" s="92"/>
      <c r="AT197" s="92"/>
      <c r="AU197" s="92"/>
      <c r="AV197" s="92"/>
      <c r="AW197" s="92"/>
      <c r="AX197" s="92"/>
      <c r="AY197" s="92"/>
      <c r="BA197" s="92"/>
      <c r="BC197" s="92"/>
      <c r="BD197" s="92"/>
      <c r="BE197" s="92"/>
    </row>
    <row r="198" spans="2:57" hidden="1">
      <c r="B198" s="243" t="s">
        <v>262</v>
      </c>
      <c r="C198" s="243" t="s">
        <v>40</v>
      </c>
      <c r="D198" s="245">
        <v>135</v>
      </c>
      <c r="E198" s="243" t="s">
        <v>360</v>
      </c>
      <c r="F198" s="89" t="s">
        <v>66</v>
      </c>
      <c r="G198" s="87" t="s">
        <v>106</v>
      </c>
      <c r="H198" s="246">
        <v>1</v>
      </c>
      <c r="I19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198" s="247">
        <v>43388</v>
      </c>
      <c r="K198" s="248" t="s">
        <v>461</v>
      </c>
      <c r="L198" s="398" t="s">
        <v>589</v>
      </c>
      <c r="M198" s="248"/>
      <c r="N198" s="249"/>
      <c r="O198" s="255">
        <f>MONTH(LstMachines[[#This Row],[Delivery]])</f>
        <v>10</v>
      </c>
      <c r="P198" s="256" t="str">
        <f>FIXED(YEAR(LstMachines[[#This Row],[Delivery]]),0,TRUE)</f>
        <v>2018</v>
      </c>
      <c r="Q198" s="250"/>
      <c r="R198" s="251"/>
      <c r="S198" s="249"/>
      <c r="T198" s="249"/>
      <c r="U198" s="249" t="s">
        <v>105</v>
      </c>
      <c r="V198" s="246"/>
      <c r="W198" s="248" t="s">
        <v>384</v>
      </c>
      <c r="X198" s="258">
        <f>LstMachines[[#This Row],[Delivery]]</f>
        <v>43388</v>
      </c>
      <c r="Y198" s="258" t="str">
        <f xml:space="preserve"> IF(MONTH(LstMachines[[#This Row],[DateLivr]])&lt;10,"0","") &amp; MONTH(LstMachines[[#This Row],[DateLivr]]) &amp;"-"&amp;YEAR(LstMachines[[#This Row],[DateLivr]])</f>
        <v>10-2018</v>
      </c>
      <c r="Z198" s="258">
        <f>LstMachines[[#This Row],[Delivery]]+Rglt_à_HCME</f>
        <v>43448</v>
      </c>
      <c r="AA198" s="258" t="str">
        <f xml:space="preserve"> IF(MONTH(LstMachines[[#This Row],[DatePaie]])&lt;10,"0","") &amp; MONTH(LstMachines[[#This Row],[DatePaie]])&amp;"-"&amp;YEAR(LstMachines[[#This Row],[DatePaie]])</f>
        <v>12-2018</v>
      </c>
      <c r="AB198" s="258">
        <f>LstMachines[[#This Row],[DateLivr]]+1</f>
        <v>43389</v>
      </c>
      <c r="AC198" s="258" t="str">
        <f xml:space="preserve"> IF(MONTH(LstMachines[[#This Row],[Distrib]])&lt;10,"0","") &amp; MONTH(LstMachines[[#This Row],[Distrib]]) &amp; "-" &amp; YEAR(LstMachines[[#This Row],[Distrib]])</f>
        <v>10-2018</v>
      </c>
      <c r="AD198" s="258">
        <f>LstMachines[[#This Row],[DateLivr]]+Délai_Vente</f>
        <v>43508</v>
      </c>
      <c r="AE198" s="258" t="str">
        <f xml:space="preserve"> IF(MONTH(LstMachines[[#This Row],[VteESM]])&lt;10,"0","") &amp; MONTH(LstMachines[[#This Row],[VteESM]]) &amp; "-" &amp; YEAR(LstMachines[[#This Row],[VteESM]])</f>
        <v>02-2019</v>
      </c>
      <c r="AF198" s="258">
        <f>LstMachines[[#This Row],[DateLivr]]+Rglt_à_ESMTP</f>
        <v>43448</v>
      </c>
      <c r="AG198" s="258" t="str">
        <f xml:space="preserve"> IF(MONTH(LstMachines[[#This Row],[RgltDistrib]])&lt;10,"0","") &amp; MONTH(LstMachines[[#This Row],[RgltDistrib]]) &amp; "-" &amp; YEAR(LstMachines[[#This Row],[RgltDistrib]])</f>
        <v>12-2018</v>
      </c>
      <c r="AH198" s="258">
        <f>LstMachines[[#This Row],[VteESM]]+Rglt_à_ESMTP</f>
        <v>43568</v>
      </c>
      <c r="AI198" s="258" t="str">
        <f xml:space="preserve"> IF(MONTH(LstMachines[[#This Row],[RgltVteESM]])&lt;10,"0","") &amp; MONTH(LstMachines[[#This Row],[RgltVteESM]]) &amp; "-" &amp; YEAR(LstMachines[[#This Row],[RgltVteESM]])</f>
        <v>04-2019</v>
      </c>
      <c r="AJ198" s="140">
        <f>MONTH(LstMachines[[#This Row],[DatePaie]])</f>
        <v>12</v>
      </c>
      <c r="AK198" s="88" t="str">
        <f>FIXED(YEAR(LstMachines[[#This Row],[DatePaie]]),0,TRUE)</f>
        <v>2018</v>
      </c>
      <c r="AL198" s="270"/>
      <c r="AM198" s="414"/>
      <c r="AN198" s="92"/>
      <c r="AO198" s="92"/>
      <c r="AP198" s="92"/>
      <c r="AQ198" s="92"/>
      <c r="AR198" s="92"/>
      <c r="AS198" s="92"/>
      <c r="AT198" s="92"/>
      <c r="AU198" s="92"/>
      <c r="AV198" s="92"/>
      <c r="AW198" s="92"/>
      <c r="AX198" s="92"/>
      <c r="AY198" s="92"/>
      <c r="BA198" s="92"/>
      <c r="BC198" s="92"/>
      <c r="BD198" s="92"/>
      <c r="BE198" s="92"/>
    </row>
    <row r="199" spans="2:57" hidden="1">
      <c r="B199" s="243" t="s">
        <v>75</v>
      </c>
      <c r="C199" s="243" t="s">
        <v>69</v>
      </c>
      <c r="D199" s="245">
        <v>55</v>
      </c>
      <c r="E199" s="243" t="s">
        <v>426</v>
      </c>
      <c r="F199" s="89" t="s">
        <v>66</v>
      </c>
      <c r="G199" s="89" t="s">
        <v>106</v>
      </c>
      <c r="H199" s="246">
        <v>2</v>
      </c>
      <c r="I19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86</v>
      </c>
      <c r="J199" s="247">
        <v>43388</v>
      </c>
      <c r="K199" s="248" t="s">
        <v>461</v>
      </c>
      <c r="L199" s="398" t="s">
        <v>589</v>
      </c>
      <c r="M199" s="248"/>
      <c r="N199" s="249"/>
      <c r="O199" s="255">
        <f>MONTH(LstMachines[[#This Row],[Delivery]])</f>
        <v>10</v>
      </c>
      <c r="P199" s="256" t="str">
        <f>FIXED(YEAR(LstMachines[[#This Row],[Delivery]]),0,TRUE)</f>
        <v>2018</v>
      </c>
      <c r="Q199" s="250"/>
      <c r="R199" s="251"/>
      <c r="S199" s="249"/>
      <c r="T199" s="249"/>
      <c r="U199" s="249" t="s">
        <v>105</v>
      </c>
      <c r="V199" s="246"/>
      <c r="W199" s="248" t="s">
        <v>384</v>
      </c>
      <c r="X199" s="258">
        <f>LstMachines[[#This Row],[Delivery]]</f>
        <v>43388</v>
      </c>
      <c r="Y199" s="258" t="str">
        <f xml:space="preserve"> IF(MONTH(LstMachines[[#This Row],[DateLivr]])&lt;10,"0","") &amp; MONTH(LstMachines[[#This Row],[DateLivr]]) &amp;"-"&amp;YEAR(LstMachines[[#This Row],[DateLivr]])</f>
        <v>10-2018</v>
      </c>
      <c r="Z199" s="258">
        <f>LstMachines[[#This Row],[Delivery]]+Rglt_à_HCME</f>
        <v>43448</v>
      </c>
      <c r="AA199" s="258" t="str">
        <f xml:space="preserve"> IF(MONTH(LstMachines[[#This Row],[DatePaie]])&lt;10,"0","") &amp; MONTH(LstMachines[[#This Row],[DatePaie]])&amp;"-"&amp;YEAR(LstMachines[[#This Row],[DatePaie]])</f>
        <v>12-2018</v>
      </c>
      <c r="AB199" s="258">
        <f>LstMachines[[#This Row],[DateLivr]]+1</f>
        <v>43389</v>
      </c>
      <c r="AC199" s="258" t="str">
        <f xml:space="preserve"> IF(MONTH(LstMachines[[#This Row],[Distrib]])&lt;10,"0","") &amp; MONTH(LstMachines[[#This Row],[Distrib]]) &amp; "-" &amp; YEAR(LstMachines[[#This Row],[Distrib]])</f>
        <v>10-2018</v>
      </c>
      <c r="AD199" s="258">
        <f>LstMachines[[#This Row],[DateLivr]]+Délai_Vente</f>
        <v>43508</v>
      </c>
      <c r="AE199" s="258" t="str">
        <f xml:space="preserve"> IF(MONTH(LstMachines[[#This Row],[VteESM]])&lt;10,"0","") &amp; MONTH(LstMachines[[#This Row],[VteESM]]) &amp; "-" &amp; YEAR(LstMachines[[#This Row],[VteESM]])</f>
        <v>02-2019</v>
      </c>
      <c r="AF199" s="258">
        <f>LstMachines[[#This Row],[DateLivr]]+Rglt_à_ESMTP</f>
        <v>43448</v>
      </c>
      <c r="AG199" s="258" t="str">
        <f xml:space="preserve"> IF(MONTH(LstMachines[[#This Row],[RgltDistrib]])&lt;10,"0","") &amp; MONTH(LstMachines[[#This Row],[RgltDistrib]]) &amp; "-" &amp; YEAR(LstMachines[[#This Row],[RgltDistrib]])</f>
        <v>12-2018</v>
      </c>
      <c r="AH199" s="258">
        <f>LstMachines[[#This Row],[VteESM]]+Rglt_à_ESMTP</f>
        <v>43568</v>
      </c>
      <c r="AI199" s="258" t="str">
        <f xml:space="preserve"> IF(MONTH(LstMachines[[#This Row],[RgltVteESM]])&lt;10,"0","") &amp; MONTH(LstMachines[[#This Row],[RgltVteESM]]) &amp; "-" &amp; YEAR(LstMachines[[#This Row],[RgltVteESM]])</f>
        <v>04-2019</v>
      </c>
      <c r="AJ199" s="140">
        <f>MONTH(LstMachines[[#This Row],[DatePaie]])</f>
        <v>12</v>
      </c>
      <c r="AK199" s="88" t="str">
        <f>FIXED(YEAR(LstMachines[[#This Row],[DatePaie]]),0,TRUE)</f>
        <v>2018</v>
      </c>
      <c r="AL199" s="270"/>
      <c r="AM199" s="414"/>
      <c r="AN199" s="92"/>
      <c r="AO199" s="92"/>
      <c r="AP199" s="92"/>
      <c r="AQ199" s="92"/>
      <c r="AR199" s="92"/>
      <c r="AS199" s="92"/>
      <c r="AT199" s="92"/>
      <c r="AU199" s="92"/>
      <c r="AV199" s="92"/>
      <c r="AW199" s="92"/>
      <c r="AX199" s="92"/>
      <c r="AY199" s="92"/>
      <c r="BA199" s="92"/>
      <c r="BC199" s="92"/>
      <c r="BD199" s="92"/>
      <c r="BE199" s="92"/>
    </row>
    <row r="200" spans="2:57">
      <c r="B200" s="243" t="s">
        <v>259</v>
      </c>
      <c r="C200" s="243" t="s">
        <v>48</v>
      </c>
      <c r="D200" s="245">
        <v>180</v>
      </c>
      <c r="E200" s="452" t="s">
        <v>163</v>
      </c>
      <c r="F200" s="89" t="s">
        <v>66</v>
      </c>
      <c r="G200" s="89" t="s">
        <v>106</v>
      </c>
      <c r="H200" s="246">
        <v>1</v>
      </c>
      <c r="I20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105</v>
      </c>
      <c r="J200" s="247">
        <v>43480</v>
      </c>
      <c r="K200" s="248" t="s">
        <v>461</v>
      </c>
      <c r="L200" s="398" t="s">
        <v>589</v>
      </c>
      <c r="M200" s="248"/>
      <c r="N200" s="249"/>
      <c r="O200" s="255">
        <f>MONTH(LstMachines[[#This Row],[Delivery]])</f>
        <v>1</v>
      </c>
      <c r="P200" s="256" t="str">
        <f>FIXED(YEAR(LstMachines[[#This Row],[Delivery]]),0,TRUE)</f>
        <v>2019</v>
      </c>
      <c r="Q200" s="250"/>
      <c r="R200" s="251"/>
      <c r="S200" s="249"/>
      <c r="T200" s="249"/>
      <c r="U200" s="249" t="s">
        <v>105</v>
      </c>
      <c r="V200" s="246"/>
      <c r="W200" s="248" t="s">
        <v>384</v>
      </c>
      <c r="X200" s="258">
        <f>LstMachines[[#This Row],[Delivery]]</f>
        <v>43480</v>
      </c>
      <c r="Y200" s="258" t="str">
        <f xml:space="preserve"> IF(MONTH(LstMachines[[#This Row],[DateLivr]])&lt;10,"0","") &amp; MONTH(LstMachines[[#This Row],[DateLivr]]) &amp;"-"&amp;YEAR(LstMachines[[#This Row],[DateLivr]])</f>
        <v>01-2019</v>
      </c>
      <c r="Z200" s="258">
        <f>LstMachines[[#This Row],[Delivery]]+Rglt_à_HCME</f>
        <v>43540</v>
      </c>
      <c r="AA200" s="258" t="str">
        <f xml:space="preserve"> IF(MONTH(LstMachines[[#This Row],[DatePaie]])&lt;10,"0","") &amp; MONTH(LstMachines[[#This Row],[DatePaie]])&amp;"-"&amp;YEAR(LstMachines[[#This Row],[DatePaie]])</f>
        <v>03-2019</v>
      </c>
      <c r="AB200" s="258">
        <f>LstMachines[[#This Row],[DateLivr]]+1</f>
        <v>43481</v>
      </c>
      <c r="AC200" s="258" t="str">
        <f xml:space="preserve"> IF(MONTH(LstMachines[[#This Row],[Distrib]])&lt;10,"0","") &amp; MONTH(LstMachines[[#This Row],[Distrib]]) &amp; "-" &amp; YEAR(LstMachines[[#This Row],[Distrib]])</f>
        <v>01-2019</v>
      </c>
      <c r="AD200" s="258">
        <f>LstMachines[[#This Row],[DateLivr]]+Délai_Vente</f>
        <v>43600</v>
      </c>
      <c r="AE200" s="258" t="str">
        <f xml:space="preserve"> IF(MONTH(LstMachines[[#This Row],[VteESM]])&lt;10,"0","") &amp; MONTH(LstMachines[[#This Row],[VteESM]]) &amp; "-" &amp; YEAR(LstMachines[[#This Row],[VteESM]])</f>
        <v>05-2019</v>
      </c>
      <c r="AF200" s="258">
        <f>LstMachines[[#This Row],[DateLivr]]+Rglt_à_ESMTP</f>
        <v>43540</v>
      </c>
      <c r="AG200" s="258" t="str">
        <f xml:space="preserve"> IF(MONTH(LstMachines[[#This Row],[RgltDistrib]])&lt;10,"0","") &amp; MONTH(LstMachines[[#This Row],[RgltDistrib]]) &amp; "-" &amp; YEAR(LstMachines[[#This Row],[RgltDistrib]])</f>
        <v>03-2019</v>
      </c>
      <c r="AH200" s="258">
        <f>LstMachines[[#This Row],[VteESM]]+Rglt_à_ESMTP</f>
        <v>43660</v>
      </c>
      <c r="AI200" s="258" t="str">
        <f xml:space="preserve"> IF(MONTH(LstMachines[[#This Row],[RgltVteESM]])&lt;10,"0","") &amp; MONTH(LstMachines[[#This Row],[RgltVteESM]]) &amp; "-" &amp; YEAR(LstMachines[[#This Row],[RgltVteESM]])</f>
        <v>07-2019</v>
      </c>
      <c r="AJ200" s="140">
        <f>MONTH(LstMachines[[#This Row],[DatePaie]])</f>
        <v>3</v>
      </c>
      <c r="AK200" s="88" t="str">
        <f>FIXED(YEAR(LstMachines[[#This Row],[DatePaie]]),0,TRUE)</f>
        <v>2019</v>
      </c>
      <c r="AL200" s="270"/>
      <c r="AM200" s="414"/>
      <c r="AN200" s="92"/>
      <c r="AO200" s="92"/>
      <c r="AP200" s="92"/>
      <c r="AQ200" s="92"/>
      <c r="AR200" s="92"/>
      <c r="AS200" s="92"/>
      <c r="AT200" s="92"/>
      <c r="AU200" s="92"/>
      <c r="AV200" s="92"/>
      <c r="AW200" s="92"/>
      <c r="AX200" s="92"/>
      <c r="AY200" s="92"/>
      <c r="BA200" s="92"/>
      <c r="BC200" s="92"/>
      <c r="BD200" s="92"/>
      <c r="BE200" s="92"/>
    </row>
    <row r="201" spans="2:57">
      <c r="B201" s="243" t="s">
        <v>75</v>
      </c>
      <c r="C201" s="243" t="s">
        <v>36</v>
      </c>
      <c r="D201" s="245">
        <v>26</v>
      </c>
      <c r="E201" s="452" t="s">
        <v>361</v>
      </c>
      <c r="F201" s="89" t="s">
        <v>66</v>
      </c>
      <c r="G201" s="89" t="s">
        <v>106</v>
      </c>
      <c r="H201" s="246">
        <v>3</v>
      </c>
      <c r="I20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66</v>
      </c>
      <c r="J201" s="247">
        <v>43480</v>
      </c>
      <c r="K201" s="248" t="s">
        <v>461</v>
      </c>
      <c r="L201" s="398" t="s">
        <v>589</v>
      </c>
      <c r="M201" s="248"/>
      <c r="N201" s="249"/>
      <c r="O201" s="255">
        <f>MONTH(LstMachines[[#This Row],[Delivery]])</f>
        <v>1</v>
      </c>
      <c r="P201" s="256" t="str">
        <f>FIXED(YEAR(LstMachines[[#This Row],[Delivery]]),0,TRUE)</f>
        <v>2019</v>
      </c>
      <c r="Q201" s="250"/>
      <c r="R201" s="251"/>
      <c r="S201" s="249"/>
      <c r="T201" s="249"/>
      <c r="U201" s="249" t="s">
        <v>105</v>
      </c>
      <c r="V201" s="246"/>
      <c r="W201" s="248" t="s">
        <v>384</v>
      </c>
      <c r="X201" s="258">
        <f>LstMachines[[#This Row],[Delivery]]</f>
        <v>43480</v>
      </c>
      <c r="Y201" s="258" t="str">
        <f xml:space="preserve"> IF(MONTH(LstMachines[[#This Row],[DateLivr]])&lt;10,"0","") &amp; MONTH(LstMachines[[#This Row],[DateLivr]]) &amp;"-"&amp;YEAR(LstMachines[[#This Row],[DateLivr]])</f>
        <v>01-2019</v>
      </c>
      <c r="Z201" s="258">
        <f>LstMachines[[#This Row],[Delivery]]+Rglt_à_HCME</f>
        <v>43540</v>
      </c>
      <c r="AA201" s="258" t="str">
        <f xml:space="preserve"> IF(MONTH(LstMachines[[#This Row],[DatePaie]])&lt;10,"0","") &amp; MONTH(LstMachines[[#This Row],[DatePaie]])&amp;"-"&amp;YEAR(LstMachines[[#This Row],[DatePaie]])</f>
        <v>03-2019</v>
      </c>
      <c r="AB201" s="258">
        <f>LstMachines[[#This Row],[DateLivr]]+1</f>
        <v>43481</v>
      </c>
      <c r="AC201" s="258" t="str">
        <f xml:space="preserve"> IF(MONTH(LstMachines[[#This Row],[Distrib]])&lt;10,"0","") &amp; MONTH(LstMachines[[#This Row],[Distrib]]) &amp; "-" &amp; YEAR(LstMachines[[#This Row],[Distrib]])</f>
        <v>01-2019</v>
      </c>
      <c r="AD201" s="258">
        <f>LstMachines[[#This Row],[DateLivr]]+Délai_Vente</f>
        <v>43600</v>
      </c>
      <c r="AE201" s="258" t="str">
        <f xml:space="preserve"> IF(MONTH(LstMachines[[#This Row],[VteESM]])&lt;10,"0","") &amp; MONTH(LstMachines[[#This Row],[VteESM]]) &amp; "-" &amp; YEAR(LstMachines[[#This Row],[VteESM]])</f>
        <v>05-2019</v>
      </c>
      <c r="AF201" s="258">
        <f>LstMachines[[#This Row],[DateLivr]]+Rglt_à_ESMTP</f>
        <v>43540</v>
      </c>
      <c r="AG201" s="258" t="str">
        <f xml:space="preserve"> IF(MONTH(LstMachines[[#This Row],[RgltDistrib]])&lt;10,"0","") &amp; MONTH(LstMachines[[#This Row],[RgltDistrib]]) &amp; "-" &amp; YEAR(LstMachines[[#This Row],[RgltDistrib]])</f>
        <v>03-2019</v>
      </c>
      <c r="AH201" s="258">
        <f>LstMachines[[#This Row],[VteESM]]+Rglt_à_ESMTP</f>
        <v>43660</v>
      </c>
      <c r="AI201" s="258" t="str">
        <f xml:space="preserve"> IF(MONTH(LstMachines[[#This Row],[RgltVteESM]])&lt;10,"0","") &amp; MONTH(LstMachines[[#This Row],[RgltVteESM]]) &amp; "-" &amp; YEAR(LstMachines[[#This Row],[RgltVteESM]])</f>
        <v>07-2019</v>
      </c>
      <c r="AJ201" s="140">
        <f>MONTH(LstMachines[[#This Row],[DatePaie]])</f>
        <v>3</v>
      </c>
      <c r="AK201" s="88" t="str">
        <f>FIXED(YEAR(LstMachines[[#This Row],[DatePaie]]),0,TRUE)</f>
        <v>2019</v>
      </c>
      <c r="AL201" s="270"/>
      <c r="AM201" s="414"/>
      <c r="AN201" s="92"/>
      <c r="AO201" s="92"/>
      <c r="AP201" s="92"/>
      <c r="AQ201" s="92"/>
      <c r="AR201" s="92"/>
      <c r="AS201" s="92"/>
      <c r="AT201" s="92"/>
      <c r="AU201" s="92"/>
      <c r="AV201" s="92"/>
      <c r="AW201" s="92"/>
      <c r="AX201" s="92"/>
      <c r="AY201" s="92"/>
      <c r="BA201" s="92"/>
      <c r="BC201" s="92"/>
      <c r="BD201" s="92"/>
      <c r="BE201" s="92"/>
    </row>
    <row r="202" spans="2:57">
      <c r="B202" s="243" t="s">
        <v>262</v>
      </c>
      <c r="C202" s="243" t="s">
        <v>40</v>
      </c>
      <c r="D202" s="245">
        <v>135</v>
      </c>
      <c r="E202" s="452" t="s">
        <v>87</v>
      </c>
      <c r="F202" s="89" t="s">
        <v>66</v>
      </c>
      <c r="G202" s="87" t="s">
        <v>106</v>
      </c>
      <c r="H202" s="246">
        <v>1</v>
      </c>
      <c r="I20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02" s="247">
        <v>43511</v>
      </c>
      <c r="K202" s="248" t="s">
        <v>461</v>
      </c>
      <c r="L202" s="398" t="s">
        <v>589</v>
      </c>
      <c r="M202" s="248"/>
      <c r="N202" s="249"/>
      <c r="O202" s="255">
        <f>MONTH(LstMachines[[#This Row],[Delivery]])</f>
        <v>2</v>
      </c>
      <c r="P202" s="256" t="str">
        <f>FIXED(YEAR(LstMachines[[#This Row],[Delivery]]),0,TRUE)</f>
        <v>2019</v>
      </c>
      <c r="Q202" s="250"/>
      <c r="R202" s="251"/>
      <c r="S202" s="249"/>
      <c r="T202" s="249"/>
      <c r="U202" s="249" t="s">
        <v>105</v>
      </c>
      <c r="V202" s="246"/>
      <c r="W202" s="248" t="s">
        <v>384</v>
      </c>
      <c r="X202" s="258">
        <f>LstMachines[[#This Row],[Delivery]]</f>
        <v>43511</v>
      </c>
      <c r="Y202" s="258" t="str">
        <f xml:space="preserve"> IF(MONTH(LstMachines[[#This Row],[DateLivr]])&lt;10,"0","") &amp; MONTH(LstMachines[[#This Row],[DateLivr]]) &amp;"-"&amp;YEAR(LstMachines[[#This Row],[DateLivr]])</f>
        <v>02-2019</v>
      </c>
      <c r="Z202" s="258">
        <f>LstMachines[[#This Row],[Delivery]]+Rglt_à_HCME</f>
        <v>43571</v>
      </c>
      <c r="AA202" s="258" t="str">
        <f xml:space="preserve"> IF(MONTH(LstMachines[[#This Row],[DatePaie]])&lt;10,"0","") &amp; MONTH(LstMachines[[#This Row],[DatePaie]])&amp;"-"&amp;YEAR(LstMachines[[#This Row],[DatePaie]])</f>
        <v>04-2019</v>
      </c>
      <c r="AB202" s="258">
        <f>LstMachines[[#This Row],[DateLivr]]+1</f>
        <v>43512</v>
      </c>
      <c r="AC202" s="258" t="str">
        <f xml:space="preserve"> IF(MONTH(LstMachines[[#This Row],[Distrib]])&lt;10,"0","") &amp; MONTH(LstMachines[[#This Row],[Distrib]]) &amp; "-" &amp; YEAR(LstMachines[[#This Row],[Distrib]])</f>
        <v>02-2019</v>
      </c>
      <c r="AD202" s="258">
        <f>LstMachines[[#This Row],[DateLivr]]+Délai_Vente</f>
        <v>43631</v>
      </c>
      <c r="AE202" s="258" t="str">
        <f xml:space="preserve"> IF(MONTH(LstMachines[[#This Row],[VteESM]])&lt;10,"0","") &amp; MONTH(LstMachines[[#This Row],[VteESM]]) &amp; "-" &amp; YEAR(LstMachines[[#This Row],[VteESM]])</f>
        <v>06-2019</v>
      </c>
      <c r="AF202" s="258">
        <f>LstMachines[[#This Row],[DateLivr]]+Rglt_à_ESMTP</f>
        <v>43571</v>
      </c>
      <c r="AG202" s="258" t="str">
        <f xml:space="preserve"> IF(MONTH(LstMachines[[#This Row],[RgltDistrib]])&lt;10,"0","") &amp; MONTH(LstMachines[[#This Row],[RgltDistrib]]) &amp; "-" &amp; YEAR(LstMachines[[#This Row],[RgltDistrib]])</f>
        <v>04-2019</v>
      </c>
      <c r="AH202" s="258">
        <f>LstMachines[[#This Row],[VteESM]]+Rglt_à_ESMTP</f>
        <v>43691</v>
      </c>
      <c r="AI202" s="258" t="str">
        <f xml:space="preserve"> IF(MONTH(LstMachines[[#This Row],[RgltVteESM]])&lt;10,"0","") &amp; MONTH(LstMachines[[#This Row],[RgltVteESM]]) &amp; "-" &amp; YEAR(LstMachines[[#This Row],[RgltVteESM]])</f>
        <v>08-2019</v>
      </c>
      <c r="AJ202" s="140">
        <f>MONTH(LstMachines[[#This Row],[DatePaie]])</f>
        <v>4</v>
      </c>
      <c r="AK202" s="88" t="str">
        <f>FIXED(YEAR(LstMachines[[#This Row],[DatePaie]]),0,TRUE)</f>
        <v>2019</v>
      </c>
      <c r="AL202" s="270"/>
      <c r="AM202" s="414"/>
      <c r="AN202" s="92"/>
      <c r="AO202" s="92"/>
      <c r="AP202" s="92"/>
      <c r="AQ202" s="92"/>
      <c r="AR202" s="92"/>
      <c r="AS202" s="92"/>
      <c r="AT202" s="92"/>
      <c r="AU202" s="92"/>
      <c r="AV202" s="92"/>
      <c r="AW202" s="92"/>
      <c r="AX202" s="92"/>
      <c r="AY202" s="92"/>
      <c r="BA202" s="92"/>
      <c r="BC202" s="92"/>
      <c r="BD202" s="92"/>
      <c r="BE202" s="92"/>
    </row>
    <row r="203" spans="2:57" hidden="1">
      <c r="B203" s="243" t="s">
        <v>262</v>
      </c>
      <c r="C203" s="243" t="s">
        <v>40</v>
      </c>
      <c r="D203" s="245">
        <v>135</v>
      </c>
      <c r="E203" s="243" t="s">
        <v>215</v>
      </c>
      <c r="F203" s="89" t="s">
        <v>66</v>
      </c>
      <c r="G203" s="87" t="s">
        <v>106</v>
      </c>
      <c r="H203" s="246">
        <v>1</v>
      </c>
      <c r="I20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03" s="247">
        <v>43631</v>
      </c>
      <c r="K203" s="248" t="s">
        <v>463</v>
      </c>
      <c r="L203" s="398" t="s">
        <v>589</v>
      </c>
      <c r="M203" s="248" t="s">
        <v>598</v>
      </c>
      <c r="N203" s="249"/>
      <c r="O203" s="255">
        <f>MONTH(LstMachines[[#This Row],[Delivery]])</f>
        <v>6</v>
      </c>
      <c r="P203" s="256" t="str">
        <f>FIXED(YEAR(LstMachines[[#This Row],[Delivery]]),0,TRUE)</f>
        <v>2019</v>
      </c>
      <c r="Q203" s="250"/>
      <c r="R203" s="251"/>
      <c r="S203" s="249"/>
      <c r="T203" s="249"/>
      <c r="U203" s="249" t="s">
        <v>105</v>
      </c>
      <c r="V203" s="246"/>
      <c r="W203" s="248" t="s">
        <v>384</v>
      </c>
      <c r="X203" s="258">
        <f>LstMachines[[#This Row],[Delivery]]</f>
        <v>43631</v>
      </c>
      <c r="Y203" s="258" t="str">
        <f xml:space="preserve"> IF(MONTH(LstMachines[[#This Row],[DateLivr]])&lt;10,"0","") &amp; MONTH(LstMachines[[#This Row],[DateLivr]]) &amp;"-"&amp;YEAR(LstMachines[[#This Row],[DateLivr]])</f>
        <v>06-2019</v>
      </c>
      <c r="Z203" s="258">
        <f>LstMachines[[#This Row],[Delivery]]+Rglt_à_HCME</f>
        <v>43691</v>
      </c>
      <c r="AA203" s="258" t="str">
        <f xml:space="preserve"> IF(MONTH(LstMachines[[#This Row],[DatePaie]])&lt;10,"0","") &amp; MONTH(LstMachines[[#This Row],[DatePaie]])&amp;"-"&amp;YEAR(LstMachines[[#This Row],[DatePaie]])</f>
        <v>08-2019</v>
      </c>
      <c r="AB203" s="258">
        <f>LstMachines[[#This Row],[DateLivr]]+1</f>
        <v>43632</v>
      </c>
      <c r="AC203" s="258" t="str">
        <f xml:space="preserve"> IF(MONTH(LstMachines[[#This Row],[Distrib]])&lt;10,"0","") &amp; MONTH(LstMachines[[#This Row],[Distrib]]) &amp; "-" &amp; YEAR(LstMachines[[#This Row],[Distrib]])</f>
        <v>06-2019</v>
      </c>
      <c r="AD203" s="258">
        <f>LstMachines[[#This Row],[DateLivr]]+Délai_Vente</f>
        <v>43751</v>
      </c>
      <c r="AE203" s="258" t="str">
        <f xml:space="preserve"> IF(MONTH(LstMachines[[#This Row],[VteESM]])&lt;10,"0","") &amp; MONTH(LstMachines[[#This Row],[VteESM]]) &amp; "-" &amp; YEAR(LstMachines[[#This Row],[VteESM]])</f>
        <v>10-2019</v>
      </c>
      <c r="AF203" s="258">
        <f>LstMachines[[#This Row],[DateLivr]]+Rglt_à_ESMTP</f>
        <v>43691</v>
      </c>
      <c r="AG203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203" s="258">
        <f>LstMachines[[#This Row],[VteESM]]+Rglt_à_ESMTP</f>
        <v>43811</v>
      </c>
      <c r="AI203" s="258" t="str">
        <f xml:space="preserve"> IF(MONTH(LstMachines[[#This Row],[RgltVteESM]])&lt;10,"0","") &amp; MONTH(LstMachines[[#This Row],[RgltVteESM]]) &amp; "-" &amp; YEAR(LstMachines[[#This Row],[RgltVteESM]])</f>
        <v>12-2019</v>
      </c>
      <c r="AJ203" s="140">
        <f>MONTH(LstMachines[[#This Row],[DatePaie]])</f>
        <v>8</v>
      </c>
      <c r="AK203" s="88" t="str">
        <f>FIXED(YEAR(LstMachines[[#This Row],[DatePaie]]),0,TRUE)</f>
        <v>2019</v>
      </c>
      <c r="AL203" s="270"/>
      <c r="AM203" s="414"/>
      <c r="AN203" s="92"/>
      <c r="AO203" s="92"/>
      <c r="AP203" s="92"/>
      <c r="AQ203" s="92"/>
      <c r="AR203" s="92"/>
      <c r="AS203" s="92"/>
      <c r="AT203" s="92"/>
      <c r="AU203" s="92"/>
      <c r="AV203" s="92"/>
      <c r="AW203" s="92"/>
      <c r="AX203" s="92"/>
      <c r="AY203" s="92"/>
      <c r="BA203" s="92"/>
      <c r="BC203" s="92"/>
      <c r="BD203" s="92"/>
      <c r="BE203" s="92"/>
    </row>
    <row r="204" spans="2:57">
      <c r="B204" s="243" t="s">
        <v>75</v>
      </c>
      <c r="C204" s="243" t="s">
        <v>35</v>
      </c>
      <c r="D204" s="245">
        <v>19</v>
      </c>
      <c r="E204" s="452" t="s">
        <v>76</v>
      </c>
      <c r="F204" s="89" t="s">
        <v>66</v>
      </c>
      <c r="G204" s="89" t="s">
        <v>106</v>
      </c>
      <c r="H204" s="246">
        <v>2</v>
      </c>
      <c r="I20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36</v>
      </c>
      <c r="J204" s="247">
        <v>43511</v>
      </c>
      <c r="K204" s="248" t="s">
        <v>461</v>
      </c>
      <c r="L204" s="398" t="s">
        <v>589</v>
      </c>
      <c r="M204" s="248"/>
      <c r="N204" s="249"/>
      <c r="O204" s="255">
        <f>MONTH(LstMachines[[#This Row],[Delivery]])</f>
        <v>2</v>
      </c>
      <c r="P204" s="256" t="str">
        <f>FIXED(YEAR(LstMachines[[#This Row],[Delivery]]),0,TRUE)</f>
        <v>2019</v>
      </c>
      <c r="Q204" s="250"/>
      <c r="R204" s="251"/>
      <c r="S204" s="249"/>
      <c r="T204" s="249"/>
      <c r="U204" s="249" t="s">
        <v>105</v>
      </c>
      <c r="V204" s="246"/>
      <c r="W204" s="248" t="s">
        <v>384</v>
      </c>
      <c r="X204" s="258">
        <f>LstMachines[[#This Row],[Delivery]]</f>
        <v>43511</v>
      </c>
      <c r="Y204" s="258" t="str">
        <f xml:space="preserve"> IF(MONTH(LstMachines[[#This Row],[DateLivr]])&lt;10,"0","") &amp; MONTH(LstMachines[[#This Row],[DateLivr]]) &amp;"-"&amp;YEAR(LstMachines[[#This Row],[DateLivr]])</f>
        <v>02-2019</v>
      </c>
      <c r="Z204" s="258">
        <f>LstMachines[[#This Row],[Delivery]]+Rglt_à_HCME</f>
        <v>43571</v>
      </c>
      <c r="AA204" s="258" t="str">
        <f xml:space="preserve"> IF(MONTH(LstMachines[[#This Row],[DatePaie]])&lt;10,"0","") &amp; MONTH(LstMachines[[#This Row],[DatePaie]])&amp;"-"&amp;YEAR(LstMachines[[#This Row],[DatePaie]])</f>
        <v>04-2019</v>
      </c>
      <c r="AB204" s="258">
        <f>LstMachines[[#This Row],[DateLivr]]+1</f>
        <v>43512</v>
      </c>
      <c r="AC204" s="258" t="str">
        <f xml:space="preserve"> IF(MONTH(LstMachines[[#This Row],[Distrib]])&lt;10,"0","") &amp; MONTH(LstMachines[[#This Row],[Distrib]]) &amp; "-" &amp; YEAR(LstMachines[[#This Row],[Distrib]])</f>
        <v>02-2019</v>
      </c>
      <c r="AD204" s="258">
        <f>LstMachines[[#This Row],[DateLivr]]+Délai_Vente</f>
        <v>43631</v>
      </c>
      <c r="AE204" s="258" t="str">
        <f xml:space="preserve"> IF(MONTH(LstMachines[[#This Row],[VteESM]])&lt;10,"0","") &amp; MONTH(LstMachines[[#This Row],[VteESM]]) &amp; "-" &amp; YEAR(LstMachines[[#This Row],[VteESM]])</f>
        <v>06-2019</v>
      </c>
      <c r="AF204" s="258">
        <f>LstMachines[[#This Row],[DateLivr]]+Rglt_à_ESMTP</f>
        <v>43571</v>
      </c>
      <c r="AG204" s="258" t="str">
        <f xml:space="preserve"> IF(MONTH(LstMachines[[#This Row],[RgltDistrib]])&lt;10,"0","") &amp; MONTH(LstMachines[[#This Row],[RgltDistrib]]) &amp; "-" &amp; YEAR(LstMachines[[#This Row],[RgltDistrib]])</f>
        <v>04-2019</v>
      </c>
      <c r="AH204" s="258">
        <f>LstMachines[[#This Row],[VteESM]]+Rglt_à_ESMTP</f>
        <v>43691</v>
      </c>
      <c r="AI204" s="258" t="str">
        <f xml:space="preserve"> IF(MONTH(LstMachines[[#This Row],[RgltVteESM]])&lt;10,"0","") &amp; MONTH(LstMachines[[#This Row],[RgltVteESM]]) &amp; "-" &amp; YEAR(LstMachines[[#This Row],[RgltVteESM]])</f>
        <v>08-2019</v>
      </c>
      <c r="AJ204" s="140">
        <f>MONTH(LstMachines[[#This Row],[DatePaie]])</f>
        <v>4</v>
      </c>
      <c r="AK204" s="88" t="str">
        <f>FIXED(YEAR(LstMachines[[#This Row],[DatePaie]]),0,TRUE)</f>
        <v>2019</v>
      </c>
      <c r="AL204" s="270"/>
      <c r="AM204" s="414"/>
      <c r="AN204" s="92"/>
      <c r="AO204" s="92"/>
      <c r="AP204" s="92"/>
      <c r="AQ204" s="92"/>
      <c r="AR204" s="92"/>
      <c r="AS204" s="92"/>
      <c r="AT204" s="92"/>
      <c r="AU204" s="92"/>
      <c r="AV204" s="92"/>
      <c r="AW204" s="92"/>
      <c r="AX204" s="92"/>
      <c r="AY204" s="92"/>
      <c r="BA204" s="92"/>
      <c r="BC204" s="92"/>
      <c r="BD204" s="92"/>
      <c r="BE204" s="92"/>
    </row>
    <row r="205" spans="2:57">
      <c r="B205" s="243" t="s">
        <v>75</v>
      </c>
      <c r="C205" s="243" t="s">
        <v>36</v>
      </c>
      <c r="D205" s="245">
        <v>26</v>
      </c>
      <c r="E205" s="452" t="s">
        <v>361</v>
      </c>
      <c r="F205" s="89" t="s">
        <v>66</v>
      </c>
      <c r="G205" s="89" t="s">
        <v>106</v>
      </c>
      <c r="H205" s="246">
        <v>3</v>
      </c>
      <c r="I20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66</v>
      </c>
      <c r="J205" s="247">
        <v>43511</v>
      </c>
      <c r="K205" s="248" t="s">
        <v>461</v>
      </c>
      <c r="L205" s="398" t="s">
        <v>589</v>
      </c>
      <c r="M205" s="248"/>
      <c r="N205" s="249"/>
      <c r="O205" s="255">
        <f>MONTH(LstMachines[[#This Row],[Delivery]])</f>
        <v>2</v>
      </c>
      <c r="P205" s="256" t="str">
        <f>FIXED(YEAR(LstMachines[[#This Row],[Delivery]]),0,TRUE)</f>
        <v>2019</v>
      </c>
      <c r="Q205" s="250"/>
      <c r="R205" s="251"/>
      <c r="S205" s="249"/>
      <c r="T205" s="249"/>
      <c r="U205" s="249" t="s">
        <v>105</v>
      </c>
      <c r="V205" s="246"/>
      <c r="W205" s="248" t="s">
        <v>384</v>
      </c>
      <c r="X205" s="258">
        <f>LstMachines[[#This Row],[Delivery]]</f>
        <v>43511</v>
      </c>
      <c r="Y205" s="258" t="str">
        <f xml:space="preserve"> IF(MONTH(LstMachines[[#This Row],[DateLivr]])&lt;10,"0","") &amp; MONTH(LstMachines[[#This Row],[DateLivr]]) &amp;"-"&amp;YEAR(LstMachines[[#This Row],[DateLivr]])</f>
        <v>02-2019</v>
      </c>
      <c r="Z205" s="258">
        <f>LstMachines[[#This Row],[Delivery]]+Rglt_à_HCME</f>
        <v>43571</v>
      </c>
      <c r="AA205" s="258" t="str">
        <f xml:space="preserve"> IF(MONTH(LstMachines[[#This Row],[DatePaie]])&lt;10,"0","") &amp; MONTH(LstMachines[[#This Row],[DatePaie]])&amp;"-"&amp;YEAR(LstMachines[[#This Row],[DatePaie]])</f>
        <v>04-2019</v>
      </c>
      <c r="AB205" s="258">
        <f>LstMachines[[#This Row],[DateLivr]]+1</f>
        <v>43512</v>
      </c>
      <c r="AC205" s="258" t="str">
        <f xml:space="preserve"> IF(MONTH(LstMachines[[#This Row],[Distrib]])&lt;10,"0","") &amp; MONTH(LstMachines[[#This Row],[Distrib]]) &amp; "-" &amp; YEAR(LstMachines[[#This Row],[Distrib]])</f>
        <v>02-2019</v>
      </c>
      <c r="AD205" s="258">
        <f>LstMachines[[#This Row],[DateLivr]]+Délai_Vente</f>
        <v>43631</v>
      </c>
      <c r="AE205" s="258" t="str">
        <f xml:space="preserve"> IF(MONTH(LstMachines[[#This Row],[VteESM]])&lt;10,"0","") &amp; MONTH(LstMachines[[#This Row],[VteESM]]) &amp; "-" &amp; YEAR(LstMachines[[#This Row],[VteESM]])</f>
        <v>06-2019</v>
      </c>
      <c r="AF205" s="258">
        <f>LstMachines[[#This Row],[DateLivr]]+Rglt_à_ESMTP</f>
        <v>43571</v>
      </c>
      <c r="AG205" s="258" t="str">
        <f xml:space="preserve"> IF(MONTH(LstMachines[[#This Row],[RgltDistrib]])&lt;10,"0","") &amp; MONTH(LstMachines[[#This Row],[RgltDistrib]]) &amp; "-" &amp; YEAR(LstMachines[[#This Row],[RgltDistrib]])</f>
        <v>04-2019</v>
      </c>
      <c r="AH205" s="258">
        <f>LstMachines[[#This Row],[VteESM]]+Rglt_à_ESMTP</f>
        <v>43691</v>
      </c>
      <c r="AI205" s="258" t="str">
        <f xml:space="preserve"> IF(MONTH(LstMachines[[#This Row],[RgltVteESM]])&lt;10,"0","") &amp; MONTH(LstMachines[[#This Row],[RgltVteESM]]) &amp; "-" &amp; YEAR(LstMachines[[#This Row],[RgltVteESM]])</f>
        <v>08-2019</v>
      </c>
      <c r="AJ205" s="140">
        <f>MONTH(LstMachines[[#This Row],[DatePaie]])</f>
        <v>4</v>
      </c>
      <c r="AK205" s="88" t="str">
        <f>FIXED(YEAR(LstMachines[[#This Row],[DatePaie]]),0,TRUE)</f>
        <v>2019</v>
      </c>
      <c r="AL205" s="270"/>
      <c r="AM205" s="414"/>
      <c r="AN205" s="92"/>
      <c r="AO205" s="92"/>
      <c r="AP205" s="92"/>
      <c r="AQ205" s="92"/>
      <c r="AR205" s="92"/>
      <c r="AS205" s="92"/>
      <c r="AT205" s="92"/>
      <c r="AU205" s="92"/>
      <c r="AV205" s="92"/>
      <c r="AW205" s="92"/>
      <c r="AX205" s="92"/>
      <c r="AY205" s="92"/>
      <c r="BA205" s="92"/>
      <c r="BC205" s="92"/>
      <c r="BD205" s="92"/>
      <c r="BE205" s="92"/>
    </row>
    <row r="206" spans="2:57">
      <c r="B206" s="243" t="s">
        <v>259</v>
      </c>
      <c r="C206" s="243" t="s">
        <v>49</v>
      </c>
      <c r="D206" s="245">
        <v>310</v>
      </c>
      <c r="E206" s="452" t="s">
        <v>177</v>
      </c>
      <c r="F206" s="89" t="s">
        <v>66</v>
      </c>
      <c r="G206" s="89" t="s">
        <v>106</v>
      </c>
      <c r="H206" s="246">
        <v>1</v>
      </c>
      <c r="I20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180</v>
      </c>
      <c r="J206" s="247">
        <v>43539</v>
      </c>
      <c r="K206" s="248" t="s">
        <v>461</v>
      </c>
      <c r="L206" s="398" t="s">
        <v>589</v>
      </c>
      <c r="M206" s="248"/>
      <c r="N206" s="249"/>
      <c r="O206" s="255">
        <f>MONTH(LstMachines[[#This Row],[Delivery]])</f>
        <v>3</v>
      </c>
      <c r="P206" s="256" t="str">
        <f>FIXED(YEAR(LstMachines[[#This Row],[Delivery]]),0,TRUE)</f>
        <v>2019</v>
      </c>
      <c r="Q206" s="250"/>
      <c r="R206" s="251"/>
      <c r="S206" s="249"/>
      <c r="T206" s="249"/>
      <c r="U206" s="249" t="s">
        <v>105</v>
      </c>
      <c r="V206" s="246"/>
      <c r="W206" s="248" t="s">
        <v>384</v>
      </c>
      <c r="X206" s="258">
        <f>LstMachines[[#This Row],[Delivery]]</f>
        <v>43539</v>
      </c>
      <c r="Y206" s="258" t="str">
        <f xml:space="preserve"> IF(MONTH(LstMachines[[#This Row],[DateLivr]])&lt;10,"0","") &amp; MONTH(LstMachines[[#This Row],[DateLivr]]) &amp;"-"&amp;YEAR(LstMachines[[#This Row],[DateLivr]])</f>
        <v>03-2019</v>
      </c>
      <c r="Z206" s="258">
        <f>LstMachines[[#This Row],[Delivery]]+Rglt_à_HCME</f>
        <v>43599</v>
      </c>
      <c r="AA206" s="258" t="str">
        <f xml:space="preserve"> IF(MONTH(LstMachines[[#This Row],[DatePaie]])&lt;10,"0","") &amp; MONTH(LstMachines[[#This Row],[DatePaie]])&amp;"-"&amp;YEAR(LstMachines[[#This Row],[DatePaie]])</f>
        <v>05-2019</v>
      </c>
      <c r="AB206" s="258">
        <f>LstMachines[[#This Row],[DateLivr]]+1</f>
        <v>43540</v>
      </c>
      <c r="AC206" s="258" t="str">
        <f xml:space="preserve"> IF(MONTH(LstMachines[[#This Row],[Distrib]])&lt;10,"0","") &amp; MONTH(LstMachines[[#This Row],[Distrib]]) &amp; "-" &amp; YEAR(LstMachines[[#This Row],[Distrib]])</f>
        <v>03-2019</v>
      </c>
      <c r="AD206" s="258">
        <f>LstMachines[[#This Row],[DateLivr]]+Délai_Vente</f>
        <v>43659</v>
      </c>
      <c r="AE206" s="258" t="str">
        <f xml:space="preserve"> IF(MONTH(LstMachines[[#This Row],[VteESM]])&lt;10,"0","") &amp; MONTH(LstMachines[[#This Row],[VteESM]]) &amp; "-" &amp; YEAR(LstMachines[[#This Row],[VteESM]])</f>
        <v>07-2019</v>
      </c>
      <c r="AF206" s="258">
        <f>LstMachines[[#This Row],[DateLivr]]+Rglt_à_ESMTP</f>
        <v>43599</v>
      </c>
      <c r="AG206" s="258" t="str">
        <f xml:space="preserve"> IF(MONTH(LstMachines[[#This Row],[RgltDistrib]])&lt;10,"0","") &amp; MONTH(LstMachines[[#This Row],[RgltDistrib]]) &amp; "-" &amp; YEAR(LstMachines[[#This Row],[RgltDistrib]])</f>
        <v>05-2019</v>
      </c>
      <c r="AH206" s="258">
        <f>LstMachines[[#This Row],[VteESM]]+Rglt_à_ESMTP</f>
        <v>43719</v>
      </c>
      <c r="AI206" s="258" t="str">
        <f xml:space="preserve"> IF(MONTH(LstMachines[[#This Row],[RgltVteESM]])&lt;10,"0","") &amp; MONTH(LstMachines[[#This Row],[RgltVteESM]]) &amp; "-" &amp; YEAR(LstMachines[[#This Row],[RgltVteESM]])</f>
        <v>09-2019</v>
      </c>
      <c r="AJ206" s="140">
        <f>MONTH(LstMachines[[#This Row],[DatePaie]])</f>
        <v>5</v>
      </c>
      <c r="AK206" s="88" t="str">
        <f>FIXED(YEAR(LstMachines[[#This Row],[DatePaie]]),0,TRUE)</f>
        <v>2019</v>
      </c>
      <c r="AL206" s="270"/>
      <c r="AM206" s="414"/>
      <c r="AN206" s="92"/>
      <c r="AO206" s="92"/>
      <c r="AP206" s="92"/>
      <c r="AQ206" s="92"/>
      <c r="AR206" s="92"/>
      <c r="AS206" s="92"/>
      <c r="AT206" s="92"/>
      <c r="AU206" s="92"/>
      <c r="AV206" s="92"/>
      <c r="AW206" s="92"/>
      <c r="AX206" s="92"/>
      <c r="AY206" s="92"/>
      <c r="BA206" s="92"/>
      <c r="BC206" s="92"/>
      <c r="BD206" s="92"/>
      <c r="BE206" s="92"/>
    </row>
    <row r="207" spans="2:57" hidden="1">
      <c r="B207" s="243" t="s">
        <v>262</v>
      </c>
      <c r="C207" s="243" t="s">
        <v>40</v>
      </c>
      <c r="D207" s="245">
        <v>135</v>
      </c>
      <c r="E207" s="243" t="s">
        <v>203</v>
      </c>
      <c r="F207" s="89" t="s">
        <v>66</v>
      </c>
      <c r="G207" s="87" t="s">
        <v>106</v>
      </c>
      <c r="H207" s="246">
        <v>1</v>
      </c>
      <c r="I20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07" s="247">
        <v>43600</v>
      </c>
      <c r="K207" s="248" t="s">
        <v>463</v>
      </c>
      <c r="L207" s="398" t="s">
        <v>589</v>
      </c>
      <c r="M207" s="248"/>
      <c r="N207" s="249"/>
      <c r="O207" s="255">
        <f>MONTH(LstMachines[[#This Row],[Delivery]])</f>
        <v>5</v>
      </c>
      <c r="P207" s="256" t="str">
        <f>FIXED(YEAR(LstMachines[[#This Row],[Delivery]]),0,TRUE)</f>
        <v>2019</v>
      </c>
      <c r="Q207" s="250"/>
      <c r="R207" s="251"/>
      <c r="S207" s="249"/>
      <c r="T207" s="249"/>
      <c r="U207" s="249" t="s">
        <v>105</v>
      </c>
      <c r="V207" s="246"/>
      <c r="W207" s="248" t="s">
        <v>384</v>
      </c>
      <c r="X207" s="258">
        <f>LstMachines[[#This Row],[Delivery]]</f>
        <v>43600</v>
      </c>
      <c r="Y207" s="258" t="str">
        <f xml:space="preserve"> IF(MONTH(LstMachines[[#This Row],[DateLivr]])&lt;10,"0","") &amp; MONTH(LstMachines[[#This Row],[DateLivr]]) &amp;"-"&amp;YEAR(LstMachines[[#This Row],[DateLivr]])</f>
        <v>05-2019</v>
      </c>
      <c r="Z207" s="258">
        <f>LstMachines[[#This Row],[Delivery]]+Rglt_à_HCME</f>
        <v>43660</v>
      </c>
      <c r="AA207" s="258" t="str">
        <f xml:space="preserve"> IF(MONTH(LstMachines[[#This Row],[DatePaie]])&lt;10,"0","") &amp; MONTH(LstMachines[[#This Row],[DatePaie]])&amp;"-"&amp;YEAR(LstMachines[[#This Row],[DatePaie]])</f>
        <v>07-2019</v>
      </c>
      <c r="AB207" s="258">
        <f>LstMachines[[#This Row],[DateLivr]]+1</f>
        <v>43601</v>
      </c>
      <c r="AC207" s="258" t="str">
        <f xml:space="preserve"> IF(MONTH(LstMachines[[#This Row],[Distrib]])&lt;10,"0","") &amp; MONTH(LstMachines[[#This Row],[Distrib]]) &amp; "-" &amp; YEAR(LstMachines[[#This Row],[Distrib]])</f>
        <v>05-2019</v>
      </c>
      <c r="AD207" s="258">
        <f>LstMachines[[#This Row],[DateLivr]]+Délai_Vente</f>
        <v>43720</v>
      </c>
      <c r="AE207" s="258" t="str">
        <f xml:space="preserve"> IF(MONTH(LstMachines[[#This Row],[VteESM]])&lt;10,"0","") &amp; MONTH(LstMachines[[#This Row],[VteESM]]) &amp; "-" &amp; YEAR(LstMachines[[#This Row],[VteESM]])</f>
        <v>09-2019</v>
      </c>
      <c r="AF207" s="258">
        <f>LstMachines[[#This Row],[DateLivr]]+Rglt_à_ESMTP</f>
        <v>43660</v>
      </c>
      <c r="AG207" s="258" t="str">
        <f xml:space="preserve"> IF(MONTH(LstMachines[[#This Row],[RgltDistrib]])&lt;10,"0","") &amp; MONTH(LstMachines[[#This Row],[RgltDistrib]]) &amp; "-" &amp; YEAR(LstMachines[[#This Row],[RgltDistrib]])</f>
        <v>07-2019</v>
      </c>
      <c r="AH207" s="258">
        <f>LstMachines[[#This Row],[VteESM]]+Rglt_à_ESMTP</f>
        <v>43780</v>
      </c>
      <c r="AI207" s="258" t="str">
        <f xml:space="preserve"> IF(MONTH(LstMachines[[#This Row],[RgltVteESM]])&lt;10,"0","") &amp; MONTH(LstMachines[[#This Row],[RgltVteESM]]) &amp; "-" &amp; YEAR(LstMachines[[#This Row],[RgltVteESM]])</f>
        <v>11-2019</v>
      </c>
      <c r="AJ207" s="140">
        <f>MONTH(LstMachines[[#This Row],[DatePaie]])</f>
        <v>7</v>
      </c>
      <c r="AK207" s="88" t="str">
        <f>FIXED(YEAR(LstMachines[[#This Row],[DatePaie]]),0,TRUE)</f>
        <v>2019</v>
      </c>
      <c r="AL207" s="270"/>
      <c r="AM207" s="414"/>
      <c r="AN207" s="92"/>
      <c r="AO207" s="92"/>
      <c r="AP207" s="92"/>
      <c r="AQ207" s="92"/>
      <c r="AR207" s="92"/>
      <c r="AS207" s="92"/>
      <c r="AT207" s="92"/>
      <c r="AU207" s="92"/>
      <c r="AV207" s="92"/>
      <c r="AW207" s="92"/>
      <c r="AX207" s="92"/>
      <c r="AY207" s="92"/>
      <c r="BA207" s="92"/>
      <c r="BC207" s="92"/>
      <c r="BD207" s="92"/>
      <c r="BE207" s="92"/>
    </row>
    <row r="208" spans="2:57">
      <c r="B208" s="243" t="s">
        <v>262</v>
      </c>
      <c r="C208" s="243" t="s">
        <v>40</v>
      </c>
      <c r="D208" s="245">
        <v>135</v>
      </c>
      <c r="E208" s="452" t="s">
        <v>194</v>
      </c>
      <c r="F208" s="89" t="s">
        <v>66</v>
      </c>
      <c r="G208" s="87" t="s">
        <v>106</v>
      </c>
      <c r="H208" s="246">
        <v>1</v>
      </c>
      <c r="I20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08" s="247">
        <v>43539</v>
      </c>
      <c r="K208" s="248" t="s">
        <v>461</v>
      </c>
      <c r="L208" s="398" t="s">
        <v>589</v>
      </c>
      <c r="M208" s="248"/>
      <c r="N208" s="249"/>
      <c r="O208" s="255">
        <f>MONTH(LstMachines[[#This Row],[Delivery]])</f>
        <v>3</v>
      </c>
      <c r="P208" s="256" t="str">
        <f>FIXED(YEAR(LstMachines[[#This Row],[Delivery]]),0,TRUE)</f>
        <v>2019</v>
      </c>
      <c r="Q208" s="250"/>
      <c r="R208" s="251"/>
      <c r="S208" s="249"/>
      <c r="T208" s="249"/>
      <c r="U208" s="249" t="s">
        <v>105</v>
      </c>
      <c r="V208" s="246"/>
      <c r="W208" s="248" t="s">
        <v>384</v>
      </c>
      <c r="X208" s="258">
        <f>LstMachines[[#This Row],[Delivery]]</f>
        <v>43539</v>
      </c>
      <c r="Y208" s="258" t="str">
        <f xml:space="preserve"> IF(MONTH(LstMachines[[#This Row],[DateLivr]])&lt;10,"0","") &amp; MONTH(LstMachines[[#This Row],[DateLivr]]) &amp;"-"&amp;YEAR(LstMachines[[#This Row],[DateLivr]])</f>
        <v>03-2019</v>
      </c>
      <c r="Z208" s="258">
        <f>LstMachines[[#This Row],[Delivery]]+Rglt_à_HCME</f>
        <v>43599</v>
      </c>
      <c r="AA208" s="258" t="str">
        <f xml:space="preserve"> IF(MONTH(LstMachines[[#This Row],[DatePaie]])&lt;10,"0","") &amp; MONTH(LstMachines[[#This Row],[DatePaie]])&amp;"-"&amp;YEAR(LstMachines[[#This Row],[DatePaie]])</f>
        <v>05-2019</v>
      </c>
      <c r="AB208" s="258">
        <f>LstMachines[[#This Row],[DateLivr]]+1</f>
        <v>43540</v>
      </c>
      <c r="AC208" s="258" t="str">
        <f xml:space="preserve"> IF(MONTH(LstMachines[[#This Row],[Distrib]])&lt;10,"0","") &amp; MONTH(LstMachines[[#This Row],[Distrib]]) &amp; "-" &amp; YEAR(LstMachines[[#This Row],[Distrib]])</f>
        <v>03-2019</v>
      </c>
      <c r="AD208" s="258">
        <f>LstMachines[[#This Row],[DateLivr]]+Délai_Vente</f>
        <v>43659</v>
      </c>
      <c r="AE208" s="258" t="str">
        <f xml:space="preserve"> IF(MONTH(LstMachines[[#This Row],[VteESM]])&lt;10,"0","") &amp; MONTH(LstMachines[[#This Row],[VteESM]]) &amp; "-" &amp; YEAR(LstMachines[[#This Row],[VteESM]])</f>
        <v>07-2019</v>
      </c>
      <c r="AF208" s="258">
        <f>LstMachines[[#This Row],[DateLivr]]+Rglt_à_ESMTP</f>
        <v>43599</v>
      </c>
      <c r="AG208" s="258" t="str">
        <f xml:space="preserve"> IF(MONTH(LstMachines[[#This Row],[RgltDistrib]])&lt;10,"0","") &amp; MONTH(LstMachines[[#This Row],[RgltDistrib]]) &amp; "-" &amp; YEAR(LstMachines[[#This Row],[RgltDistrib]])</f>
        <v>05-2019</v>
      </c>
      <c r="AH208" s="258">
        <f>LstMachines[[#This Row],[VteESM]]+Rglt_à_ESMTP</f>
        <v>43719</v>
      </c>
      <c r="AI208" s="258" t="str">
        <f xml:space="preserve"> IF(MONTH(LstMachines[[#This Row],[RgltVteESM]])&lt;10,"0","") &amp; MONTH(LstMachines[[#This Row],[RgltVteESM]]) &amp; "-" &amp; YEAR(LstMachines[[#This Row],[RgltVteESM]])</f>
        <v>09-2019</v>
      </c>
      <c r="AJ208" s="140">
        <f>MONTH(LstMachines[[#This Row],[DatePaie]])</f>
        <v>5</v>
      </c>
      <c r="AK208" s="88" t="str">
        <f>FIXED(YEAR(LstMachines[[#This Row],[DatePaie]]),0,TRUE)</f>
        <v>2019</v>
      </c>
      <c r="AL208" s="270"/>
      <c r="AM208" s="414"/>
      <c r="AN208" s="92"/>
      <c r="AO208" s="92"/>
      <c r="AP208" s="92"/>
      <c r="AQ208" s="92"/>
      <c r="AR208" s="92"/>
      <c r="AS208" s="92"/>
      <c r="AT208" s="92"/>
      <c r="AU208" s="92"/>
      <c r="AV208" s="92"/>
      <c r="AW208" s="92"/>
      <c r="AX208" s="92"/>
      <c r="AY208" s="92"/>
      <c r="BA208" s="92"/>
      <c r="BC208" s="92"/>
      <c r="BD208" s="92"/>
      <c r="BE208" s="92"/>
    </row>
    <row r="209" spans="2:57">
      <c r="B209" s="243" t="s">
        <v>262</v>
      </c>
      <c r="C209" s="243" t="s">
        <v>40</v>
      </c>
      <c r="D209" s="245">
        <v>135</v>
      </c>
      <c r="E209" s="452" t="s">
        <v>603</v>
      </c>
      <c r="F209" s="89" t="s">
        <v>66</v>
      </c>
      <c r="G209" s="87" t="s">
        <v>106</v>
      </c>
      <c r="H209" s="246">
        <v>1</v>
      </c>
      <c r="I20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09" s="247">
        <v>43539</v>
      </c>
      <c r="K209" s="248" t="s">
        <v>461</v>
      </c>
      <c r="L209" s="398" t="s">
        <v>589</v>
      </c>
      <c r="M209" s="248"/>
      <c r="N209" s="249"/>
      <c r="O209" s="255">
        <f>MONTH(LstMachines[[#This Row],[Delivery]])</f>
        <v>3</v>
      </c>
      <c r="P209" s="256" t="str">
        <f>FIXED(YEAR(LstMachines[[#This Row],[Delivery]]),0,TRUE)</f>
        <v>2019</v>
      </c>
      <c r="Q209" s="250"/>
      <c r="R209" s="251"/>
      <c r="S209" s="249"/>
      <c r="T209" s="249"/>
      <c r="U209" s="249" t="s">
        <v>105</v>
      </c>
      <c r="V209" s="246"/>
      <c r="W209" s="248" t="s">
        <v>384</v>
      </c>
      <c r="X209" s="258">
        <f>LstMachines[[#This Row],[Delivery]]</f>
        <v>43539</v>
      </c>
      <c r="Y209" s="258" t="str">
        <f xml:space="preserve"> IF(MONTH(LstMachines[[#This Row],[DateLivr]])&lt;10,"0","") &amp; MONTH(LstMachines[[#This Row],[DateLivr]]) &amp;"-"&amp;YEAR(LstMachines[[#This Row],[DateLivr]])</f>
        <v>03-2019</v>
      </c>
      <c r="Z209" s="258">
        <f>LstMachines[[#This Row],[Delivery]]+Rglt_à_HCME</f>
        <v>43599</v>
      </c>
      <c r="AA209" s="258" t="str">
        <f xml:space="preserve"> IF(MONTH(LstMachines[[#This Row],[DatePaie]])&lt;10,"0","") &amp; MONTH(LstMachines[[#This Row],[DatePaie]])&amp;"-"&amp;YEAR(LstMachines[[#This Row],[DatePaie]])</f>
        <v>05-2019</v>
      </c>
      <c r="AB209" s="258">
        <f>LstMachines[[#This Row],[DateLivr]]+1</f>
        <v>43540</v>
      </c>
      <c r="AC209" s="258" t="str">
        <f xml:space="preserve"> IF(MONTH(LstMachines[[#This Row],[Distrib]])&lt;10,"0","") &amp; MONTH(LstMachines[[#This Row],[Distrib]]) &amp; "-" &amp; YEAR(LstMachines[[#This Row],[Distrib]])</f>
        <v>03-2019</v>
      </c>
      <c r="AD209" s="258">
        <f>LstMachines[[#This Row],[DateLivr]]+Délai_Vente</f>
        <v>43659</v>
      </c>
      <c r="AE209" s="258" t="str">
        <f xml:space="preserve"> IF(MONTH(LstMachines[[#This Row],[VteESM]])&lt;10,"0","") &amp; MONTH(LstMachines[[#This Row],[VteESM]]) &amp; "-" &amp; YEAR(LstMachines[[#This Row],[VteESM]])</f>
        <v>07-2019</v>
      </c>
      <c r="AF209" s="258">
        <f>LstMachines[[#This Row],[DateLivr]]+Rglt_à_ESMTP</f>
        <v>43599</v>
      </c>
      <c r="AG209" s="258" t="str">
        <f xml:space="preserve"> IF(MONTH(LstMachines[[#This Row],[RgltDistrib]])&lt;10,"0","") &amp; MONTH(LstMachines[[#This Row],[RgltDistrib]]) &amp; "-" &amp; YEAR(LstMachines[[#This Row],[RgltDistrib]])</f>
        <v>05-2019</v>
      </c>
      <c r="AH209" s="258">
        <f>LstMachines[[#This Row],[VteESM]]+Rglt_à_ESMTP</f>
        <v>43719</v>
      </c>
      <c r="AI209" s="258" t="str">
        <f xml:space="preserve"> IF(MONTH(LstMachines[[#This Row],[RgltVteESM]])&lt;10,"0","") &amp; MONTH(LstMachines[[#This Row],[RgltVteESM]]) &amp; "-" &amp; YEAR(LstMachines[[#This Row],[RgltVteESM]])</f>
        <v>09-2019</v>
      </c>
      <c r="AJ209" s="140">
        <f>MONTH(LstMachines[[#This Row],[DatePaie]])</f>
        <v>5</v>
      </c>
      <c r="AK209" s="88" t="str">
        <f>FIXED(YEAR(LstMachines[[#This Row],[DatePaie]]),0,TRUE)</f>
        <v>2019</v>
      </c>
      <c r="AL209" s="270"/>
      <c r="AM209" s="414"/>
      <c r="AN209" s="92"/>
      <c r="AO209" s="92"/>
      <c r="AP209" s="92"/>
      <c r="AQ209" s="92"/>
      <c r="AR209" s="92"/>
      <c r="AS209" s="92"/>
      <c r="AT209" s="92"/>
      <c r="AU209" s="92"/>
      <c r="AV209" s="92"/>
      <c r="AW209" s="92"/>
      <c r="AX209" s="92"/>
      <c r="AY209" s="92"/>
      <c r="BA209" s="92"/>
      <c r="BC209" s="92"/>
      <c r="BD209" s="92"/>
      <c r="BE209" s="92"/>
    </row>
    <row r="210" spans="2:57" hidden="1">
      <c r="B210" s="243" t="s">
        <v>262</v>
      </c>
      <c r="C210" s="243" t="s">
        <v>40</v>
      </c>
      <c r="D210" s="245">
        <v>135</v>
      </c>
      <c r="E210" s="243" t="s">
        <v>205</v>
      </c>
      <c r="F210" s="89" t="s">
        <v>66</v>
      </c>
      <c r="G210" s="87" t="s">
        <v>106</v>
      </c>
      <c r="H210" s="246">
        <v>1</v>
      </c>
      <c r="I21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10" s="247">
        <v>43570</v>
      </c>
      <c r="K210" s="248" t="s">
        <v>463</v>
      </c>
      <c r="L210" s="398" t="s">
        <v>589</v>
      </c>
      <c r="M210" s="248" t="s">
        <v>599</v>
      </c>
      <c r="N210" s="249"/>
      <c r="O210" s="255">
        <f>MONTH(LstMachines[[#This Row],[Delivery]])</f>
        <v>4</v>
      </c>
      <c r="P210" s="256" t="str">
        <f>FIXED(YEAR(LstMachines[[#This Row],[Delivery]]),0,TRUE)</f>
        <v>2019</v>
      </c>
      <c r="Q210" s="250"/>
      <c r="R210" s="251"/>
      <c r="S210" s="249"/>
      <c r="T210" s="249"/>
      <c r="U210" s="249" t="s">
        <v>105</v>
      </c>
      <c r="V210" s="246"/>
      <c r="W210" s="248" t="s">
        <v>384</v>
      </c>
      <c r="X210" s="258">
        <f>LstMachines[[#This Row],[Delivery]]</f>
        <v>43570</v>
      </c>
      <c r="Y210" s="258" t="str">
        <f xml:space="preserve"> IF(MONTH(LstMachines[[#This Row],[DateLivr]])&lt;10,"0","") &amp; MONTH(LstMachines[[#This Row],[DateLivr]]) &amp;"-"&amp;YEAR(LstMachines[[#This Row],[DateLivr]])</f>
        <v>04-2019</v>
      </c>
      <c r="Z210" s="258">
        <f>LstMachines[[#This Row],[Delivery]]+Rglt_à_HCME</f>
        <v>43630</v>
      </c>
      <c r="AA210" s="258" t="str">
        <f xml:space="preserve"> IF(MONTH(LstMachines[[#This Row],[DatePaie]])&lt;10,"0","") &amp; MONTH(LstMachines[[#This Row],[DatePaie]])&amp;"-"&amp;YEAR(LstMachines[[#This Row],[DatePaie]])</f>
        <v>06-2019</v>
      </c>
      <c r="AB210" s="258">
        <f>LstMachines[[#This Row],[DateLivr]]+1</f>
        <v>43571</v>
      </c>
      <c r="AC210" s="258" t="str">
        <f xml:space="preserve"> IF(MONTH(LstMachines[[#This Row],[Distrib]])&lt;10,"0","") &amp; MONTH(LstMachines[[#This Row],[Distrib]]) &amp; "-" &amp; YEAR(LstMachines[[#This Row],[Distrib]])</f>
        <v>04-2019</v>
      </c>
      <c r="AD210" s="258">
        <f>LstMachines[[#This Row],[DateLivr]]+Délai_Vente</f>
        <v>43690</v>
      </c>
      <c r="AE210" s="258" t="str">
        <f xml:space="preserve"> IF(MONTH(LstMachines[[#This Row],[VteESM]])&lt;10,"0","") &amp; MONTH(LstMachines[[#This Row],[VteESM]]) &amp; "-" &amp; YEAR(LstMachines[[#This Row],[VteESM]])</f>
        <v>08-2019</v>
      </c>
      <c r="AF210" s="258">
        <f>LstMachines[[#This Row],[DateLivr]]+Rglt_à_ESMTP</f>
        <v>43630</v>
      </c>
      <c r="AG210" s="258" t="str">
        <f xml:space="preserve"> IF(MONTH(LstMachines[[#This Row],[RgltDistrib]])&lt;10,"0","") &amp; MONTH(LstMachines[[#This Row],[RgltDistrib]]) &amp; "-" &amp; YEAR(LstMachines[[#This Row],[RgltDistrib]])</f>
        <v>06-2019</v>
      </c>
      <c r="AH210" s="258">
        <f>LstMachines[[#This Row],[VteESM]]+Rglt_à_ESMTP</f>
        <v>43750</v>
      </c>
      <c r="AI210" s="258" t="str">
        <f xml:space="preserve"> IF(MONTH(LstMachines[[#This Row],[RgltVteESM]])&lt;10,"0","") &amp; MONTH(LstMachines[[#This Row],[RgltVteESM]]) &amp; "-" &amp; YEAR(LstMachines[[#This Row],[RgltVteESM]])</f>
        <v>10-2019</v>
      </c>
      <c r="AJ210" s="140">
        <f>MONTH(LstMachines[[#This Row],[DatePaie]])</f>
        <v>6</v>
      </c>
      <c r="AK210" s="88" t="str">
        <f>FIXED(YEAR(LstMachines[[#This Row],[DatePaie]]),0,TRUE)</f>
        <v>2019</v>
      </c>
      <c r="AL210" s="270"/>
      <c r="AM210" s="414"/>
      <c r="AN210" s="92"/>
      <c r="AO210" s="92"/>
      <c r="AP210" s="92"/>
      <c r="AQ210" s="92"/>
      <c r="AR210" s="92"/>
      <c r="AS210" s="92"/>
      <c r="AT210" s="92"/>
      <c r="AU210" s="92"/>
      <c r="AV210" s="92"/>
      <c r="AW210" s="92"/>
      <c r="AX210" s="92"/>
      <c r="AY210" s="92"/>
      <c r="BA210" s="92"/>
      <c r="BC210" s="92"/>
      <c r="BD210" s="92"/>
      <c r="BE210" s="92"/>
    </row>
    <row r="211" spans="2:57">
      <c r="B211" s="243" t="s">
        <v>262</v>
      </c>
      <c r="C211" s="243" t="s">
        <v>40</v>
      </c>
      <c r="D211" s="245">
        <v>135</v>
      </c>
      <c r="E211" s="452" t="s">
        <v>201</v>
      </c>
      <c r="F211" s="89" t="s">
        <v>66</v>
      </c>
      <c r="G211" s="87" t="s">
        <v>106</v>
      </c>
      <c r="H211" s="246">
        <v>1</v>
      </c>
      <c r="I21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11" s="247">
        <v>43539</v>
      </c>
      <c r="K211" s="248" t="s">
        <v>461</v>
      </c>
      <c r="L211" s="398" t="s">
        <v>589</v>
      </c>
      <c r="M211" s="248"/>
      <c r="N211" s="249"/>
      <c r="O211" s="255">
        <f>MONTH(LstMachines[[#This Row],[Delivery]])</f>
        <v>3</v>
      </c>
      <c r="P211" s="256" t="str">
        <f>FIXED(YEAR(LstMachines[[#This Row],[Delivery]]),0,TRUE)</f>
        <v>2019</v>
      </c>
      <c r="Q211" s="250"/>
      <c r="R211" s="251"/>
      <c r="S211" s="249"/>
      <c r="T211" s="249"/>
      <c r="U211" s="249" t="s">
        <v>105</v>
      </c>
      <c r="V211" s="246"/>
      <c r="W211" s="248" t="s">
        <v>384</v>
      </c>
      <c r="X211" s="258">
        <f>LstMachines[[#This Row],[Delivery]]</f>
        <v>43539</v>
      </c>
      <c r="Y211" s="258" t="str">
        <f xml:space="preserve"> IF(MONTH(LstMachines[[#This Row],[DateLivr]])&lt;10,"0","") &amp; MONTH(LstMachines[[#This Row],[DateLivr]]) &amp;"-"&amp;YEAR(LstMachines[[#This Row],[DateLivr]])</f>
        <v>03-2019</v>
      </c>
      <c r="Z211" s="258">
        <f>LstMachines[[#This Row],[Delivery]]+Rglt_à_HCME</f>
        <v>43599</v>
      </c>
      <c r="AA211" s="258" t="str">
        <f xml:space="preserve"> IF(MONTH(LstMachines[[#This Row],[DatePaie]])&lt;10,"0","") &amp; MONTH(LstMachines[[#This Row],[DatePaie]])&amp;"-"&amp;YEAR(LstMachines[[#This Row],[DatePaie]])</f>
        <v>05-2019</v>
      </c>
      <c r="AB211" s="258">
        <f>LstMachines[[#This Row],[DateLivr]]+1</f>
        <v>43540</v>
      </c>
      <c r="AC211" s="258" t="str">
        <f xml:space="preserve"> IF(MONTH(LstMachines[[#This Row],[Distrib]])&lt;10,"0","") &amp; MONTH(LstMachines[[#This Row],[Distrib]]) &amp; "-" &amp; YEAR(LstMachines[[#This Row],[Distrib]])</f>
        <v>03-2019</v>
      </c>
      <c r="AD211" s="258">
        <f>LstMachines[[#This Row],[DateLivr]]+Délai_Vente</f>
        <v>43659</v>
      </c>
      <c r="AE211" s="258" t="str">
        <f xml:space="preserve"> IF(MONTH(LstMachines[[#This Row],[VteESM]])&lt;10,"0","") &amp; MONTH(LstMachines[[#This Row],[VteESM]]) &amp; "-" &amp; YEAR(LstMachines[[#This Row],[VteESM]])</f>
        <v>07-2019</v>
      </c>
      <c r="AF211" s="258">
        <f>LstMachines[[#This Row],[DateLivr]]+Rglt_à_ESMTP</f>
        <v>43599</v>
      </c>
      <c r="AG211" s="258" t="str">
        <f xml:space="preserve"> IF(MONTH(LstMachines[[#This Row],[RgltDistrib]])&lt;10,"0","") &amp; MONTH(LstMachines[[#This Row],[RgltDistrib]]) &amp; "-" &amp; YEAR(LstMachines[[#This Row],[RgltDistrib]])</f>
        <v>05-2019</v>
      </c>
      <c r="AH211" s="258">
        <f>LstMachines[[#This Row],[VteESM]]+Rglt_à_ESMTP</f>
        <v>43719</v>
      </c>
      <c r="AI211" s="258" t="str">
        <f xml:space="preserve"> IF(MONTH(LstMachines[[#This Row],[RgltVteESM]])&lt;10,"0","") &amp; MONTH(LstMachines[[#This Row],[RgltVteESM]]) &amp; "-" &amp; YEAR(LstMachines[[#This Row],[RgltVteESM]])</f>
        <v>09-2019</v>
      </c>
      <c r="AJ211" s="140">
        <f>MONTH(LstMachines[[#This Row],[DatePaie]])</f>
        <v>5</v>
      </c>
      <c r="AK211" s="88" t="str">
        <f>FIXED(YEAR(LstMachines[[#This Row],[DatePaie]]),0,TRUE)</f>
        <v>2019</v>
      </c>
      <c r="AL211" s="270"/>
      <c r="AM211" s="416"/>
      <c r="AN211" s="92"/>
      <c r="AO211" s="92"/>
      <c r="AP211" s="92"/>
      <c r="AQ211" s="92"/>
      <c r="AR211" s="92"/>
      <c r="AS211" s="92"/>
      <c r="AT211" s="92"/>
      <c r="AU211" s="92"/>
      <c r="AV211" s="92"/>
      <c r="AW211" s="92"/>
      <c r="AX211" s="92"/>
      <c r="AY211" s="92"/>
      <c r="BA211" s="92"/>
      <c r="BC211" s="92"/>
      <c r="BD211" s="92"/>
      <c r="BE211" s="92"/>
    </row>
    <row r="212" spans="2:57">
      <c r="B212" s="243" t="s">
        <v>262</v>
      </c>
      <c r="C212" s="243" t="s">
        <v>40</v>
      </c>
      <c r="D212" s="245">
        <v>135</v>
      </c>
      <c r="E212" s="452" t="s">
        <v>211</v>
      </c>
      <c r="F212" s="89" t="s">
        <v>66</v>
      </c>
      <c r="G212" s="87" t="s">
        <v>106</v>
      </c>
      <c r="H212" s="246">
        <v>1</v>
      </c>
      <c r="I21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12" s="247">
        <v>43539</v>
      </c>
      <c r="K212" s="248" t="s">
        <v>461</v>
      </c>
      <c r="L212" s="398" t="s">
        <v>589</v>
      </c>
      <c r="M212" s="248"/>
      <c r="N212" s="249"/>
      <c r="O212" s="255">
        <f>MONTH(LstMachines[[#This Row],[Delivery]])</f>
        <v>3</v>
      </c>
      <c r="P212" s="256" t="str">
        <f>FIXED(YEAR(LstMachines[[#This Row],[Delivery]]),0,TRUE)</f>
        <v>2019</v>
      </c>
      <c r="Q212" s="250"/>
      <c r="R212" s="251"/>
      <c r="S212" s="249"/>
      <c r="T212" s="249"/>
      <c r="U212" s="249" t="s">
        <v>105</v>
      </c>
      <c r="V212" s="246"/>
      <c r="W212" s="248" t="s">
        <v>384</v>
      </c>
      <c r="X212" s="258">
        <f>LstMachines[[#This Row],[Delivery]]</f>
        <v>43539</v>
      </c>
      <c r="Y212" s="258" t="str">
        <f xml:space="preserve"> IF(MONTH(LstMachines[[#This Row],[DateLivr]])&lt;10,"0","") &amp; MONTH(LstMachines[[#This Row],[DateLivr]]) &amp;"-"&amp;YEAR(LstMachines[[#This Row],[DateLivr]])</f>
        <v>03-2019</v>
      </c>
      <c r="Z212" s="258">
        <f>LstMachines[[#This Row],[Delivery]]+Rglt_à_HCME</f>
        <v>43599</v>
      </c>
      <c r="AA212" s="258" t="str">
        <f xml:space="preserve"> IF(MONTH(LstMachines[[#This Row],[DatePaie]])&lt;10,"0","") &amp; MONTH(LstMachines[[#This Row],[DatePaie]])&amp;"-"&amp;YEAR(LstMachines[[#This Row],[DatePaie]])</f>
        <v>05-2019</v>
      </c>
      <c r="AB212" s="258">
        <f>LstMachines[[#This Row],[DateLivr]]+1</f>
        <v>43540</v>
      </c>
      <c r="AC212" s="258" t="str">
        <f xml:space="preserve"> IF(MONTH(LstMachines[[#This Row],[Distrib]])&lt;10,"0","") &amp; MONTH(LstMachines[[#This Row],[Distrib]]) &amp; "-" &amp; YEAR(LstMachines[[#This Row],[Distrib]])</f>
        <v>03-2019</v>
      </c>
      <c r="AD212" s="258">
        <f>LstMachines[[#This Row],[DateLivr]]+Délai_Vente</f>
        <v>43659</v>
      </c>
      <c r="AE212" s="258" t="str">
        <f xml:space="preserve"> IF(MONTH(LstMachines[[#This Row],[VteESM]])&lt;10,"0","") &amp; MONTH(LstMachines[[#This Row],[VteESM]]) &amp; "-" &amp; YEAR(LstMachines[[#This Row],[VteESM]])</f>
        <v>07-2019</v>
      </c>
      <c r="AF212" s="258">
        <f>LstMachines[[#This Row],[DateLivr]]+Rglt_à_ESMTP</f>
        <v>43599</v>
      </c>
      <c r="AG212" s="258" t="str">
        <f xml:space="preserve"> IF(MONTH(LstMachines[[#This Row],[RgltDistrib]])&lt;10,"0","") &amp; MONTH(LstMachines[[#This Row],[RgltDistrib]]) &amp; "-" &amp; YEAR(LstMachines[[#This Row],[RgltDistrib]])</f>
        <v>05-2019</v>
      </c>
      <c r="AH212" s="258">
        <f>LstMachines[[#This Row],[VteESM]]+Rglt_à_ESMTP</f>
        <v>43719</v>
      </c>
      <c r="AI212" s="258" t="str">
        <f xml:space="preserve"> IF(MONTH(LstMachines[[#This Row],[RgltVteESM]])&lt;10,"0","") &amp; MONTH(LstMachines[[#This Row],[RgltVteESM]]) &amp; "-" &amp; YEAR(LstMachines[[#This Row],[RgltVteESM]])</f>
        <v>09-2019</v>
      </c>
      <c r="AJ212" s="140">
        <f>MONTH(LstMachines[[#This Row],[DatePaie]])</f>
        <v>5</v>
      </c>
      <c r="AK212" s="88" t="str">
        <f>FIXED(YEAR(LstMachines[[#This Row],[DatePaie]]),0,TRUE)</f>
        <v>2019</v>
      </c>
      <c r="AL212" s="270"/>
      <c r="AM212" s="414"/>
      <c r="AN212" s="92"/>
      <c r="AO212" s="92"/>
      <c r="AP212" s="92"/>
      <c r="AQ212" s="92"/>
      <c r="AR212" s="92"/>
      <c r="AS212" s="92"/>
      <c r="AT212" s="92"/>
      <c r="AU212" s="92"/>
      <c r="AV212" s="92"/>
      <c r="AW212" s="92"/>
      <c r="AX212" s="92"/>
      <c r="AY212" s="92"/>
      <c r="BA212" s="92"/>
      <c r="BC212" s="92"/>
      <c r="BD212" s="92"/>
      <c r="BE212" s="92"/>
    </row>
    <row r="213" spans="2:57">
      <c r="B213" s="243" t="s">
        <v>75</v>
      </c>
      <c r="C213" s="243" t="s">
        <v>36</v>
      </c>
      <c r="D213" s="245">
        <v>26</v>
      </c>
      <c r="E213" s="452" t="s">
        <v>355</v>
      </c>
      <c r="F213" s="89" t="s">
        <v>66</v>
      </c>
      <c r="G213" s="89" t="s">
        <v>106</v>
      </c>
      <c r="H213" s="246">
        <v>3</v>
      </c>
      <c r="I21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66</v>
      </c>
      <c r="J213" s="247">
        <v>43539</v>
      </c>
      <c r="K213" s="248" t="s">
        <v>461</v>
      </c>
      <c r="L213" s="398" t="s">
        <v>589</v>
      </c>
      <c r="M213" s="248"/>
      <c r="N213" s="249"/>
      <c r="O213" s="255">
        <f>MONTH(LstMachines[[#This Row],[Delivery]])</f>
        <v>3</v>
      </c>
      <c r="P213" s="256" t="str">
        <f>FIXED(YEAR(LstMachines[[#This Row],[Delivery]]),0,TRUE)</f>
        <v>2019</v>
      </c>
      <c r="Q213" s="250"/>
      <c r="R213" s="251"/>
      <c r="S213" s="249"/>
      <c r="T213" s="249"/>
      <c r="U213" s="249" t="s">
        <v>105</v>
      </c>
      <c r="V213" s="246"/>
      <c r="W213" s="248" t="s">
        <v>384</v>
      </c>
      <c r="X213" s="258">
        <f>LstMachines[[#This Row],[Delivery]]</f>
        <v>43539</v>
      </c>
      <c r="Y213" s="258" t="str">
        <f xml:space="preserve"> IF(MONTH(LstMachines[[#This Row],[DateLivr]])&lt;10,"0","") &amp; MONTH(LstMachines[[#This Row],[DateLivr]]) &amp;"-"&amp;YEAR(LstMachines[[#This Row],[DateLivr]])</f>
        <v>03-2019</v>
      </c>
      <c r="Z213" s="258">
        <f>LstMachines[[#This Row],[Delivery]]+Rglt_à_HCME</f>
        <v>43599</v>
      </c>
      <c r="AA213" s="258" t="str">
        <f xml:space="preserve"> IF(MONTH(LstMachines[[#This Row],[DatePaie]])&lt;10,"0","") &amp; MONTH(LstMachines[[#This Row],[DatePaie]])&amp;"-"&amp;YEAR(LstMachines[[#This Row],[DatePaie]])</f>
        <v>05-2019</v>
      </c>
      <c r="AB213" s="258">
        <f>LstMachines[[#This Row],[DateLivr]]+1</f>
        <v>43540</v>
      </c>
      <c r="AC213" s="258" t="str">
        <f xml:space="preserve"> IF(MONTH(LstMachines[[#This Row],[Distrib]])&lt;10,"0","") &amp; MONTH(LstMachines[[#This Row],[Distrib]]) &amp; "-" &amp; YEAR(LstMachines[[#This Row],[Distrib]])</f>
        <v>03-2019</v>
      </c>
      <c r="AD213" s="258">
        <f>LstMachines[[#This Row],[DateLivr]]+Délai_Vente</f>
        <v>43659</v>
      </c>
      <c r="AE213" s="258" t="str">
        <f xml:space="preserve"> IF(MONTH(LstMachines[[#This Row],[VteESM]])&lt;10,"0","") &amp; MONTH(LstMachines[[#This Row],[VteESM]]) &amp; "-" &amp; YEAR(LstMachines[[#This Row],[VteESM]])</f>
        <v>07-2019</v>
      </c>
      <c r="AF213" s="258">
        <f>LstMachines[[#This Row],[DateLivr]]+Rglt_à_ESMTP</f>
        <v>43599</v>
      </c>
      <c r="AG213" s="258" t="str">
        <f xml:space="preserve"> IF(MONTH(LstMachines[[#This Row],[RgltDistrib]])&lt;10,"0","") &amp; MONTH(LstMachines[[#This Row],[RgltDistrib]]) &amp; "-" &amp; YEAR(LstMachines[[#This Row],[RgltDistrib]])</f>
        <v>05-2019</v>
      </c>
      <c r="AH213" s="258">
        <f>LstMachines[[#This Row],[VteESM]]+Rglt_à_ESMTP</f>
        <v>43719</v>
      </c>
      <c r="AI213" s="258" t="str">
        <f xml:space="preserve"> IF(MONTH(LstMachines[[#This Row],[RgltVteESM]])&lt;10,"0","") &amp; MONTH(LstMachines[[#This Row],[RgltVteESM]]) &amp; "-" &amp; YEAR(LstMachines[[#This Row],[RgltVteESM]])</f>
        <v>09-2019</v>
      </c>
      <c r="AJ213" s="140">
        <f>MONTH(LstMachines[[#This Row],[DatePaie]])</f>
        <v>5</v>
      </c>
      <c r="AK213" s="88" t="str">
        <f>FIXED(YEAR(LstMachines[[#This Row],[DatePaie]]),0,TRUE)</f>
        <v>2019</v>
      </c>
      <c r="AL213" s="270"/>
      <c r="AM213" s="414"/>
      <c r="AN213" s="92"/>
      <c r="AO213" s="92"/>
      <c r="AP213" s="92"/>
      <c r="AQ213" s="92"/>
      <c r="AR213" s="92"/>
      <c r="AS213" s="92"/>
      <c r="AT213" s="92"/>
      <c r="AU213" s="92"/>
      <c r="AV213" s="92"/>
      <c r="AW213" s="92"/>
      <c r="AX213" s="92"/>
      <c r="AY213" s="92"/>
      <c r="BA213" s="92"/>
      <c r="BC213" s="92"/>
      <c r="BD213" s="92"/>
      <c r="BE213" s="92"/>
    </row>
    <row r="214" spans="2:57">
      <c r="B214" s="243" t="s">
        <v>75</v>
      </c>
      <c r="C214" s="243" t="s">
        <v>36</v>
      </c>
      <c r="D214" s="245">
        <v>26</v>
      </c>
      <c r="E214" s="452" t="s">
        <v>362</v>
      </c>
      <c r="F214" s="89" t="s">
        <v>66</v>
      </c>
      <c r="G214" s="89" t="s">
        <v>106</v>
      </c>
      <c r="H214" s="246">
        <v>2</v>
      </c>
      <c r="I21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44</v>
      </c>
      <c r="J214" s="247">
        <v>43539</v>
      </c>
      <c r="K214" s="248" t="s">
        <v>461</v>
      </c>
      <c r="L214" s="398" t="s">
        <v>589</v>
      </c>
      <c r="M214" s="248"/>
      <c r="N214" s="249"/>
      <c r="O214" s="255">
        <f>MONTH(LstMachines[[#This Row],[Delivery]])</f>
        <v>3</v>
      </c>
      <c r="P214" s="256" t="str">
        <f>FIXED(YEAR(LstMachines[[#This Row],[Delivery]]),0,TRUE)</f>
        <v>2019</v>
      </c>
      <c r="Q214" s="250"/>
      <c r="R214" s="251"/>
      <c r="S214" s="249"/>
      <c r="T214" s="249"/>
      <c r="U214" s="249" t="s">
        <v>105</v>
      </c>
      <c r="V214" s="246"/>
      <c r="W214" s="248" t="s">
        <v>384</v>
      </c>
      <c r="X214" s="258">
        <f>LstMachines[[#This Row],[Delivery]]</f>
        <v>43539</v>
      </c>
      <c r="Y214" s="258" t="str">
        <f xml:space="preserve"> IF(MONTH(LstMachines[[#This Row],[DateLivr]])&lt;10,"0","") &amp; MONTH(LstMachines[[#This Row],[DateLivr]]) &amp;"-"&amp;YEAR(LstMachines[[#This Row],[DateLivr]])</f>
        <v>03-2019</v>
      </c>
      <c r="Z214" s="258">
        <f>LstMachines[[#This Row],[Delivery]]+Rglt_à_HCME</f>
        <v>43599</v>
      </c>
      <c r="AA214" s="258" t="str">
        <f xml:space="preserve"> IF(MONTH(LstMachines[[#This Row],[DatePaie]])&lt;10,"0","") &amp; MONTH(LstMachines[[#This Row],[DatePaie]])&amp;"-"&amp;YEAR(LstMachines[[#This Row],[DatePaie]])</f>
        <v>05-2019</v>
      </c>
      <c r="AB214" s="258">
        <f>LstMachines[[#This Row],[DateLivr]]+1</f>
        <v>43540</v>
      </c>
      <c r="AC214" s="258" t="str">
        <f xml:space="preserve"> IF(MONTH(LstMachines[[#This Row],[Distrib]])&lt;10,"0","") &amp; MONTH(LstMachines[[#This Row],[Distrib]]) &amp; "-" &amp; YEAR(LstMachines[[#This Row],[Distrib]])</f>
        <v>03-2019</v>
      </c>
      <c r="AD214" s="258">
        <f>LstMachines[[#This Row],[DateLivr]]+Délai_Vente</f>
        <v>43659</v>
      </c>
      <c r="AE214" s="258" t="str">
        <f xml:space="preserve"> IF(MONTH(LstMachines[[#This Row],[VteESM]])&lt;10,"0","") &amp; MONTH(LstMachines[[#This Row],[VteESM]]) &amp; "-" &amp; YEAR(LstMachines[[#This Row],[VteESM]])</f>
        <v>07-2019</v>
      </c>
      <c r="AF214" s="258">
        <f>LstMachines[[#This Row],[DateLivr]]+Rglt_à_ESMTP</f>
        <v>43599</v>
      </c>
      <c r="AG214" s="258" t="str">
        <f xml:space="preserve"> IF(MONTH(LstMachines[[#This Row],[RgltDistrib]])&lt;10,"0","") &amp; MONTH(LstMachines[[#This Row],[RgltDistrib]]) &amp; "-" &amp; YEAR(LstMachines[[#This Row],[RgltDistrib]])</f>
        <v>05-2019</v>
      </c>
      <c r="AH214" s="258">
        <f>LstMachines[[#This Row],[VteESM]]+Rglt_à_ESMTP</f>
        <v>43719</v>
      </c>
      <c r="AI214" s="258" t="str">
        <f xml:space="preserve"> IF(MONTH(LstMachines[[#This Row],[RgltVteESM]])&lt;10,"0","") &amp; MONTH(LstMachines[[#This Row],[RgltVteESM]]) &amp; "-" &amp; YEAR(LstMachines[[#This Row],[RgltVteESM]])</f>
        <v>09-2019</v>
      </c>
      <c r="AJ214" s="140">
        <f>MONTH(LstMachines[[#This Row],[DatePaie]])</f>
        <v>5</v>
      </c>
      <c r="AK214" s="88" t="str">
        <f>FIXED(YEAR(LstMachines[[#This Row],[DatePaie]]),0,TRUE)</f>
        <v>2019</v>
      </c>
      <c r="AL214" s="270"/>
      <c r="AM214" s="414"/>
      <c r="AN214" s="92"/>
      <c r="AO214" s="92"/>
      <c r="AP214" s="92"/>
      <c r="AQ214" s="92"/>
      <c r="AR214" s="92"/>
      <c r="AS214" s="92"/>
      <c r="AT214" s="92"/>
      <c r="AU214" s="92"/>
      <c r="AV214" s="92"/>
      <c r="AW214" s="92"/>
      <c r="AX214" s="92"/>
      <c r="AY214" s="92"/>
      <c r="BA214" s="92"/>
      <c r="BC214" s="92"/>
      <c r="BD214" s="92"/>
      <c r="BE214" s="92"/>
    </row>
    <row r="215" spans="2:57">
      <c r="B215" s="243" t="s">
        <v>75</v>
      </c>
      <c r="C215" s="243" t="s">
        <v>37</v>
      </c>
      <c r="D215" s="245">
        <v>48</v>
      </c>
      <c r="E215" s="452" t="s">
        <v>363</v>
      </c>
      <c r="F215" s="89" t="s">
        <v>66</v>
      </c>
      <c r="G215" s="89" t="s">
        <v>106</v>
      </c>
      <c r="H215" s="246">
        <v>2</v>
      </c>
      <c r="I21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82</v>
      </c>
      <c r="J215" s="247">
        <v>43539</v>
      </c>
      <c r="K215" s="248" t="s">
        <v>461</v>
      </c>
      <c r="L215" s="398" t="s">
        <v>589</v>
      </c>
      <c r="M215" s="248"/>
      <c r="N215" s="249"/>
      <c r="O215" s="255">
        <f>MONTH(LstMachines[[#This Row],[Delivery]])</f>
        <v>3</v>
      </c>
      <c r="P215" s="256" t="str">
        <f>FIXED(YEAR(LstMachines[[#This Row],[Delivery]]),0,TRUE)</f>
        <v>2019</v>
      </c>
      <c r="Q215" s="250"/>
      <c r="R215" s="251"/>
      <c r="S215" s="249"/>
      <c r="T215" s="249"/>
      <c r="U215" s="249" t="s">
        <v>105</v>
      </c>
      <c r="V215" s="246"/>
      <c r="W215" s="248" t="s">
        <v>384</v>
      </c>
      <c r="X215" s="258">
        <f>LstMachines[[#This Row],[Delivery]]</f>
        <v>43539</v>
      </c>
      <c r="Y215" s="258" t="str">
        <f xml:space="preserve"> IF(MONTH(LstMachines[[#This Row],[DateLivr]])&lt;10,"0","") &amp; MONTH(LstMachines[[#This Row],[DateLivr]]) &amp;"-"&amp;YEAR(LstMachines[[#This Row],[DateLivr]])</f>
        <v>03-2019</v>
      </c>
      <c r="Z215" s="258">
        <f>LstMachines[[#This Row],[Delivery]]+Rglt_à_HCME</f>
        <v>43599</v>
      </c>
      <c r="AA215" s="258" t="str">
        <f xml:space="preserve"> IF(MONTH(LstMachines[[#This Row],[DatePaie]])&lt;10,"0","") &amp; MONTH(LstMachines[[#This Row],[DatePaie]])&amp;"-"&amp;YEAR(LstMachines[[#This Row],[DatePaie]])</f>
        <v>05-2019</v>
      </c>
      <c r="AB215" s="258">
        <f>LstMachines[[#This Row],[DateLivr]]+1</f>
        <v>43540</v>
      </c>
      <c r="AC215" s="258" t="str">
        <f xml:space="preserve"> IF(MONTH(LstMachines[[#This Row],[Distrib]])&lt;10,"0","") &amp; MONTH(LstMachines[[#This Row],[Distrib]]) &amp; "-" &amp; YEAR(LstMachines[[#This Row],[Distrib]])</f>
        <v>03-2019</v>
      </c>
      <c r="AD215" s="258">
        <f>LstMachines[[#This Row],[DateLivr]]+Délai_Vente</f>
        <v>43659</v>
      </c>
      <c r="AE215" s="258" t="str">
        <f xml:space="preserve"> IF(MONTH(LstMachines[[#This Row],[VteESM]])&lt;10,"0","") &amp; MONTH(LstMachines[[#This Row],[VteESM]]) &amp; "-" &amp; YEAR(LstMachines[[#This Row],[VteESM]])</f>
        <v>07-2019</v>
      </c>
      <c r="AF215" s="258">
        <f>LstMachines[[#This Row],[DateLivr]]+Rglt_à_ESMTP</f>
        <v>43599</v>
      </c>
      <c r="AG215" s="258" t="str">
        <f xml:space="preserve"> IF(MONTH(LstMachines[[#This Row],[RgltDistrib]])&lt;10,"0","") &amp; MONTH(LstMachines[[#This Row],[RgltDistrib]]) &amp; "-" &amp; YEAR(LstMachines[[#This Row],[RgltDistrib]])</f>
        <v>05-2019</v>
      </c>
      <c r="AH215" s="258">
        <f>LstMachines[[#This Row],[VteESM]]+Rglt_à_ESMTP</f>
        <v>43719</v>
      </c>
      <c r="AI215" s="258" t="str">
        <f xml:space="preserve"> IF(MONTH(LstMachines[[#This Row],[RgltVteESM]])&lt;10,"0","") &amp; MONTH(LstMachines[[#This Row],[RgltVteESM]]) &amp; "-" &amp; YEAR(LstMachines[[#This Row],[RgltVteESM]])</f>
        <v>09-2019</v>
      </c>
      <c r="AJ215" s="140">
        <f>MONTH(LstMachines[[#This Row],[DatePaie]])</f>
        <v>5</v>
      </c>
      <c r="AK215" s="88" t="str">
        <f>FIXED(YEAR(LstMachines[[#This Row],[DatePaie]]),0,TRUE)</f>
        <v>2019</v>
      </c>
      <c r="AL215" s="270"/>
      <c r="AM215" s="416"/>
      <c r="AN215" s="92"/>
      <c r="AO215" s="92"/>
      <c r="AP215" s="92"/>
      <c r="AQ215" s="92"/>
      <c r="AR215" s="92"/>
      <c r="AS215" s="92"/>
      <c r="AT215" s="92"/>
      <c r="AU215" s="92"/>
      <c r="AV215" s="92"/>
      <c r="AW215" s="92"/>
      <c r="AX215" s="92"/>
      <c r="AY215" s="92"/>
      <c r="BA215" s="92"/>
      <c r="BC215" s="92"/>
      <c r="BD215" s="92"/>
      <c r="BE215" s="92"/>
    </row>
    <row r="216" spans="2:57">
      <c r="B216" s="243" t="s">
        <v>75</v>
      </c>
      <c r="C216" s="243" t="s">
        <v>35</v>
      </c>
      <c r="D216" s="245">
        <v>19</v>
      </c>
      <c r="E216" s="452" t="s">
        <v>76</v>
      </c>
      <c r="F216" s="89" t="s">
        <v>66</v>
      </c>
      <c r="G216" s="89" t="s">
        <v>106</v>
      </c>
      <c r="H216" s="246">
        <v>1</v>
      </c>
      <c r="I21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216" s="247">
        <v>43570</v>
      </c>
      <c r="K216" s="248" t="s">
        <v>461</v>
      </c>
      <c r="L216" s="398" t="s">
        <v>589</v>
      </c>
      <c r="M216" s="248"/>
      <c r="N216" s="249"/>
      <c r="O216" s="255">
        <f>MONTH(LstMachines[[#This Row],[Delivery]])</f>
        <v>4</v>
      </c>
      <c r="P216" s="256" t="str">
        <f>FIXED(YEAR(LstMachines[[#This Row],[Delivery]]),0,TRUE)</f>
        <v>2019</v>
      </c>
      <c r="Q216" s="250"/>
      <c r="R216" s="251"/>
      <c r="S216" s="249"/>
      <c r="T216" s="249"/>
      <c r="U216" s="249" t="s">
        <v>105</v>
      </c>
      <c r="V216" s="246"/>
      <c r="W216" s="248" t="s">
        <v>384</v>
      </c>
      <c r="X216" s="258">
        <f>LstMachines[[#This Row],[Delivery]]</f>
        <v>43570</v>
      </c>
      <c r="Y216" s="258" t="str">
        <f xml:space="preserve"> IF(MONTH(LstMachines[[#This Row],[DateLivr]])&lt;10,"0","") &amp; MONTH(LstMachines[[#This Row],[DateLivr]]) &amp;"-"&amp;YEAR(LstMachines[[#This Row],[DateLivr]])</f>
        <v>04-2019</v>
      </c>
      <c r="Z216" s="258">
        <f>LstMachines[[#This Row],[Delivery]]+Rglt_à_HCME</f>
        <v>43630</v>
      </c>
      <c r="AA216" s="258" t="str">
        <f xml:space="preserve"> IF(MONTH(LstMachines[[#This Row],[DatePaie]])&lt;10,"0","") &amp; MONTH(LstMachines[[#This Row],[DatePaie]])&amp;"-"&amp;YEAR(LstMachines[[#This Row],[DatePaie]])</f>
        <v>06-2019</v>
      </c>
      <c r="AB216" s="258">
        <f>LstMachines[[#This Row],[DateLivr]]+1</f>
        <v>43571</v>
      </c>
      <c r="AC216" s="258" t="str">
        <f xml:space="preserve"> IF(MONTH(LstMachines[[#This Row],[Distrib]])&lt;10,"0","") &amp; MONTH(LstMachines[[#This Row],[Distrib]]) &amp; "-" &amp; YEAR(LstMachines[[#This Row],[Distrib]])</f>
        <v>04-2019</v>
      </c>
      <c r="AD216" s="258">
        <f>LstMachines[[#This Row],[DateLivr]]+Délai_Vente</f>
        <v>43690</v>
      </c>
      <c r="AE216" s="258" t="str">
        <f xml:space="preserve"> IF(MONTH(LstMachines[[#This Row],[VteESM]])&lt;10,"0","") &amp; MONTH(LstMachines[[#This Row],[VteESM]]) &amp; "-" &amp; YEAR(LstMachines[[#This Row],[VteESM]])</f>
        <v>08-2019</v>
      </c>
      <c r="AF216" s="258">
        <f>LstMachines[[#This Row],[DateLivr]]+Rglt_à_ESMTP</f>
        <v>43630</v>
      </c>
      <c r="AG216" s="258" t="str">
        <f xml:space="preserve"> IF(MONTH(LstMachines[[#This Row],[RgltDistrib]])&lt;10,"0","") &amp; MONTH(LstMachines[[#This Row],[RgltDistrib]]) &amp; "-" &amp; YEAR(LstMachines[[#This Row],[RgltDistrib]])</f>
        <v>06-2019</v>
      </c>
      <c r="AH216" s="258">
        <f>LstMachines[[#This Row],[VteESM]]+Rglt_à_ESMTP</f>
        <v>43750</v>
      </c>
      <c r="AI216" s="258" t="str">
        <f xml:space="preserve"> IF(MONTH(LstMachines[[#This Row],[RgltVteESM]])&lt;10,"0","") &amp; MONTH(LstMachines[[#This Row],[RgltVteESM]]) &amp; "-" &amp; YEAR(LstMachines[[#This Row],[RgltVteESM]])</f>
        <v>10-2019</v>
      </c>
      <c r="AJ216" s="140">
        <f>MONTH(LstMachines[[#This Row],[DatePaie]])</f>
        <v>6</v>
      </c>
      <c r="AK216" s="88" t="str">
        <f>FIXED(YEAR(LstMachines[[#This Row],[DatePaie]]),0,TRUE)</f>
        <v>2019</v>
      </c>
      <c r="AL216" s="270"/>
      <c r="AM216" s="414"/>
      <c r="AN216" s="92"/>
      <c r="AO216" s="92"/>
      <c r="AP216" s="92"/>
      <c r="AQ216" s="92"/>
      <c r="AR216" s="92"/>
      <c r="AS216" s="92"/>
      <c r="AT216" s="92"/>
      <c r="AU216" s="92"/>
      <c r="AV216" s="92"/>
      <c r="AW216" s="92"/>
      <c r="AX216" s="92"/>
      <c r="AY216" s="92"/>
      <c r="BA216" s="92"/>
      <c r="BC216" s="92"/>
      <c r="BD216" s="92"/>
      <c r="BE216" s="92"/>
    </row>
    <row r="217" spans="2:57">
      <c r="B217" s="243" t="s">
        <v>75</v>
      </c>
      <c r="C217" s="243" t="s">
        <v>36</v>
      </c>
      <c r="D217" s="245">
        <v>26</v>
      </c>
      <c r="E217" s="452" t="s">
        <v>361</v>
      </c>
      <c r="F217" s="89" t="s">
        <v>66</v>
      </c>
      <c r="G217" s="89" t="s">
        <v>106</v>
      </c>
      <c r="H217" s="246">
        <v>3</v>
      </c>
      <c r="I21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66</v>
      </c>
      <c r="J217" s="247">
        <v>43570</v>
      </c>
      <c r="K217" s="248" t="s">
        <v>461</v>
      </c>
      <c r="L217" s="398" t="s">
        <v>589</v>
      </c>
      <c r="M217" s="248"/>
      <c r="N217" s="249"/>
      <c r="O217" s="255">
        <f>MONTH(LstMachines[[#This Row],[Delivery]])</f>
        <v>4</v>
      </c>
      <c r="P217" s="256" t="str">
        <f>FIXED(YEAR(LstMachines[[#This Row],[Delivery]]),0,TRUE)</f>
        <v>2019</v>
      </c>
      <c r="Q217" s="250"/>
      <c r="R217" s="251"/>
      <c r="S217" s="249"/>
      <c r="T217" s="249"/>
      <c r="U217" s="249" t="s">
        <v>105</v>
      </c>
      <c r="V217" s="246"/>
      <c r="W217" s="248" t="s">
        <v>384</v>
      </c>
      <c r="X217" s="258">
        <f>LstMachines[[#This Row],[Delivery]]</f>
        <v>43570</v>
      </c>
      <c r="Y217" s="258" t="str">
        <f xml:space="preserve"> IF(MONTH(LstMachines[[#This Row],[DateLivr]])&lt;10,"0","") &amp; MONTH(LstMachines[[#This Row],[DateLivr]]) &amp;"-"&amp;YEAR(LstMachines[[#This Row],[DateLivr]])</f>
        <v>04-2019</v>
      </c>
      <c r="Z217" s="258">
        <f>LstMachines[[#This Row],[Delivery]]+Rglt_à_HCME</f>
        <v>43630</v>
      </c>
      <c r="AA217" s="258" t="str">
        <f xml:space="preserve"> IF(MONTH(LstMachines[[#This Row],[DatePaie]])&lt;10,"0","") &amp; MONTH(LstMachines[[#This Row],[DatePaie]])&amp;"-"&amp;YEAR(LstMachines[[#This Row],[DatePaie]])</f>
        <v>06-2019</v>
      </c>
      <c r="AB217" s="258">
        <f>LstMachines[[#This Row],[DateLivr]]+1</f>
        <v>43571</v>
      </c>
      <c r="AC217" s="258" t="str">
        <f xml:space="preserve"> IF(MONTH(LstMachines[[#This Row],[Distrib]])&lt;10,"0","") &amp; MONTH(LstMachines[[#This Row],[Distrib]]) &amp; "-" &amp; YEAR(LstMachines[[#This Row],[Distrib]])</f>
        <v>04-2019</v>
      </c>
      <c r="AD217" s="258">
        <f>LstMachines[[#This Row],[DateLivr]]+Délai_Vente</f>
        <v>43690</v>
      </c>
      <c r="AE217" s="258" t="str">
        <f xml:space="preserve"> IF(MONTH(LstMachines[[#This Row],[VteESM]])&lt;10,"0","") &amp; MONTH(LstMachines[[#This Row],[VteESM]]) &amp; "-" &amp; YEAR(LstMachines[[#This Row],[VteESM]])</f>
        <v>08-2019</v>
      </c>
      <c r="AF217" s="258">
        <f>LstMachines[[#This Row],[DateLivr]]+Rglt_à_ESMTP</f>
        <v>43630</v>
      </c>
      <c r="AG217" s="258" t="str">
        <f xml:space="preserve"> IF(MONTH(LstMachines[[#This Row],[RgltDistrib]])&lt;10,"0","") &amp; MONTH(LstMachines[[#This Row],[RgltDistrib]]) &amp; "-" &amp; YEAR(LstMachines[[#This Row],[RgltDistrib]])</f>
        <v>06-2019</v>
      </c>
      <c r="AH217" s="258">
        <f>LstMachines[[#This Row],[VteESM]]+Rglt_à_ESMTP</f>
        <v>43750</v>
      </c>
      <c r="AI217" s="258" t="str">
        <f xml:space="preserve"> IF(MONTH(LstMachines[[#This Row],[RgltVteESM]])&lt;10,"0","") &amp; MONTH(LstMachines[[#This Row],[RgltVteESM]]) &amp; "-" &amp; YEAR(LstMachines[[#This Row],[RgltVteESM]])</f>
        <v>10-2019</v>
      </c>
      <c r="AJ217" s="140">
        <f>MONTH(LstMachines[[#This Row],[DatePaie]])</f>
        <v>6</v>
      </c>
      <c r="AK217" s="88" t="str">
        <f>FIXED(YEAR(LstMachines[[#This Row],[DatePaie]]),0,TRUE)</f>
        <v>2019</v>
      </c>
      <c r="AL217" s="270"/>
      <c r="AM217" s="414"/>
      <c r="AN217" s="92"/>
      <c r="AO217" s="92"/>
      <c r="AP217" s="92"/>
      <c r="AQ217" s="92"/>
      <c r="AR217" s="92"/>
      <c r="AS217" s="92"/>
      <c r="AT217" s="92"/>
      <c r="AU217" s="92"/>
      <c r="AV217" s="92"/>
      <c r="AW217" s="92"/>
      <c r="AX217" s="92"/>
      <c r="AY217" s="92"/>
      <c r="BA217" s="92"/>
      <c r="BC217" s="92"/>
      <c r="BD217" s="92"/>
      <c r="BE217" s="92"/>
    </row>
    <row r="218" spans="2:57">
      <c r="B218" s="243" t="s">
        <v>262</v>
      </c>
      <c r="C218" s="243" t="s">
        <v>40</v>
      </c>
      <c r="D218" s="245">
        <v>135</v>
      </c>
      <c r="E218" s="452" t="s">
        <v>214</v>
      </c>
      <c r="F218" s="89" t="s">
        <v>66</v>
      </c>
      <c r="G218" s="87" t="s">
        <v>106</v>
      </c>
      <c r="H218" s="246">
        <v>1</v>
      </c>
      <c r="I21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18" s="247">
        <v>43570</v>
      </c>
      <c r="K218" s="248" t="s">
        <v>461</v>
      </c>
      <c r="L218" s="398" t="s">
        <v>589</v>
      </c>
      <c r="M218" s="248"/>
      <c r="N218" s="249"/>
      <c r="O218" s="255">
        <f>MONTH(LstMachines[[#This Row],[Delivery]])</f>
        <v>4</v>
      </c>
      <c r="P218" s="256" t="str">
        <f>FIXED(YEAR(LstMachines[[#This Row],[Delivery]]),0,TRUE)</f>
        <v>2019</v>
      </c>
      <c r="Q218" s="250"/>
      <c r="R218" s="251"/>
      <c r="S218" s="249"/>
      <c r="T218" s="249"/>
      <c r="U218" s="249" t="s">
        <v>105</v>
      </c>
      <c r="V218" s="246"/>
      <c r="W218" s="248" t="s">
        <v>384</v>
      </c>
      <c r="X218" s="258">
        <f>LstMachines[[#This Row],[Delivery]]</f>
        <v>43570</v>
      </c>
      <c r="Y218" s="258" t="str">
        <f xml:space="preserve"> IF(MONTH(LstMachines[[#This Row],[DateLivr]])&lt;10,"0","") &amp; MONTH(LstMachines[[#This Row],[DateLivr]]) &amp;"-"&amp;YEAR(LstMachines[[#This Row],[DateLivr]])</f>
        <v>04-2019</v>
      </c>
      <c r="Z218" s="258">
        <f>LstMachines[[#This Row],[Delivery]]+Rglt_à_HCME</f>
        <v>43630</v>
      </c>
      <c r="AA218" s="258" t="str">
        <f xml:space="preserve"> IF(MONTH(LstMachines[[#This Row],[DatePaie]])&lt;10,"0","") &amp; MONTH(LstMachines[[#This Row],[DatePaie]])&amp;"-"&amp;YEAR(LstMachines[[#This Row],[DatePaie]])</f>
        <v>06-2019</v>
      </c>
      <c r="AB218" s="258">
        <f>LstMachines[[#This Row],[DateLivr]]+1</f>
        <v>43571</v>
      </c>
      <c r="AC218" s="258" t="str">
        <f xml:space="preserve"> IF(MONTH(LstMachines[[#This Row],[Distrib]])&lt;10,"0","") &amp; MONTH(LstMachines[[#This Row],[Distrib]]) &amp; "-" &amp; YEAR(LstMachines[[#This Row],[Distrib]])</f>
        <v>04-2019</v>
      </c>
      <c r="AD218" s="258">
        <f>LstMachines[[#This Row],[DateLivr]]+Délai_Vente</f>
        <v>43690</v>
      </c>
      <c r="AE218" s="258" t="str">
        <f xml:space="preserve"> IF(MONTH(LstMachines[[#This Row],[VteESM]])&lt;10,"0","") &amp; MONTH(LstMachines[[#This Row],[VteESM]]) &amp; "-" &amp; YEAR(LstMachines[[#This Row],[VteESM]])</f>
        <v>08-2019</v>
      </c>
      <c r="AF218" s="258">
        <f>LstMachines[[#This Row],[DateLivr]]+Rglt_à_ESMTP</f>
        <v>43630</v>
      </c>
      <c r="AG218" s="258" t="str">
        <f xml:space="preserve"> IF(MONTH(LstMachines[[#This Row],[RgltDistrib]])&lt;10,"0","") &amp; MONTH(LstMachines[[#This Row],[RgltDistrib]]) &amp; "-" &amp; YEAR(LstMachines[[#This Row],[RgltDistrib]])</f>
        <v>06-2019</v>
      </c>
      <c r="AH218" s="258">
        <f>LstMachines[[#This Row],[VteESM]]+Rglt_à_ESMTP</f>
        <v>43750</v>
      </c>
      <c r="AI218" s="258" t="str">
        <f xml:space="preserve"> IF(MONTH(LstMachines[[#This Row],[RgltVteESM]])&lt;10,"0","") &amp; MONTH(LstMachines[[#This Row],[RgltVteESM]]) &amp; "-" &amp; YEAR(LstMachines[[#This Row],[RgltVteESM]])</f>
        <v>10-2019</v>
      </c>
      <c r="AJ218" s="140">
        <f>MONTH(LstMachines[[#This Row],[DatePaie]])</f>
        <v>6</v>
      </c>
      <c r="AK218" s="88" t="str">
        <f>FIXED(YEAR(LstMachines[[#This Row],[DatePaie]]),0,TRUE)</f>
        <v>2019</v>
      </c>
      <c r="AL218" s="270"/>
      <c r="AM218" s="414"/>
      <c r="AN218" s="92"/>
      <c r="AO218" s="92"/>
      <c r="AP218" s="92"/>
      <c r="AQ218" s="92"/>
      <c r="AR218" s="92"/>
      <c r="AS218" s="92"/>
      <c r="AT218" s="92"/>
      <c r="AU218" s="92"/>
      <c r="AV218" s="92"/>
      <c r="AW218" s="92"/>
      <c r="AX218" s="92"/>
      <c r="AY218" s="92"/>
      <c r="BA218" s="92"/>
      <c r="BC218" s="92"/>
      <c r="BD218" s="92"/>
      <c r="BE218" s="92"/>
    </row>
    <row r="219" spans="2:57" hidden="1">
      <c r="B219" s="243" t="s">
        <v>262</v>
      </c>
      <c r="C219" s="243" t="s">
        <v>40</v>
      </c>
      <c r="D219" s="245">
        <v>135</v>
      </c>
      <c r="E219" s="243" t="s">
        <v>89</v>
      </c>
      <c r="F219" s="89" t="s">
        <v>66</v>
      </c>
      <c r="G219" s="87" t="s">
        <v>106</v>
      </c>
      <c r="H219" s="246">
        <v>1</v>
      </c>
      <c r="I21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19" s="247">
        <v>43539</v>
      </c>
      <c r="K219" s="248" t="s">
        <v>463</v>
      </c>
      <c r="L219" s="398" t="s">
        <v>589</v>
      </c>
      <c r="M219" s="248" t="s">
        <v>599</v>
      </c>
      <c r="N219" s="249"/>
      <c r="O219" s="255">
        <f>MONTH(LstMachines[[#This Row],[Delivery]])</f>
        <v>3</v>
      </c>
      <c r="P219" s="256" t="str">
        <f>FIXED(YEAR(LstMachines[[#This Row],[Delivery]]),0,TRUE)</f>
        <v>2019</v>
      </c>
      <c r="Q219" s="250"/>
      <c r="R219" s="251"/>
      <c r="S219" s="249"/>
      <c r="T219" s="249"/>
      <c r="U219" s="249" t="s">
        <v>105</v>
      </c>
      <c r="V219" s="246"/>
      <c r="W219" s="248" t="s">
        <v>384</v>
      </c>
      <c r="X219" s="258">
        <f>LstMachines[[#This Row],[Delivery]]</f>
        <v>43539</v>
      </c>
      <c r="Y219" s="258" t="str">
        <f xml:space="preserve"> IF(MONTH(LstMachines[[#This Row],[DateLivr]])&lt;10,"0","") &amp; MONTH(LstMachines[[#This Row],[DateLivr]]) &amp;"-"&amp;YEAR(LstMachines[[#This Row],[DateLivr]])</f>
        <v>03-2019</v>
      </c>
      <c r="Z219" s="258">
        <f>LstMachines[[#This Row],[Delivery]]+Rglt_à_HCME</f>
        <v>43599</v>
      </c>
      <c r="AA219" s="258" t="str">
        <f xml:space="preserve"> IF(MONTH(LstMachines[[#This Row],[DatePaie]])&lt;10,"0","") &amp; MONTH(LstMachines[[#This Row],[DatePaie]])&amp;"-"&amp;YEAR(LstMachines[[#This Row],[DatePaie]])</f>
        <v>05-2019</v>
      </c>
      <c r="AB219" s="258">
        <f>LstMachines[[#This Row],[DateLivr]]+1</f>
        <v>43540</v>
      </c>
      <c r="AC219" s="258" t="str">
        <f xml:space="preserve"> IF(MONTH(LstMachines[[#This Row],[Distrib]])&lt;10,"0","") &amp; MONTH(LstMachines[[#This Row],[Distrib]]) &amp; "-" &amp; YEAR(LstMachines[[#This Row],[Distrib]])</f>
        <v>03-2019</v>
      </c>
      <c r="AD219" s="258">
        <f>LstMachines[[#This Row],[DateLivr]]+Délai_Vente</f>
        <v>43659</v>
      </c>
      <c r="AE219" s="258" t="str">
        <f xml:space="preserve"> IF(MONTH(LstMachines[[#This Row],[VteESM]])&lt;10,"0","") &amp; MONTH(LstMachines[[#This Row],[VteESM]]) &amp; "-" &amp; YEAR(LstMachines[[#This Row],[VteESM]])</f>
        <v>07-2019</v>
      </c>
      <c r="AF219" s="258">
        <f>LstMachines[[#This Row],[DateLivr]]+Rglt_à_ESMTP</f>
        <v>43599</v>
      </c>
      <c r="AG219" s="258" t="str">
        <f xml:space="preserve"> IF(MONTH(LstMachines[[#This Row],[RgltDistrib]])&lt;10,"0","") &amp; MONTH(LstMachines[[#This Row],[RgltDistrib]]) &amp; "-" &amp; YEAR(LstMachines[[#This Row],[RgltDistrib]])</f>
        <v>05-2019</v>
      </c>
      <c r="AH219" s="258">
        <f>LstMachines[[#This Row],[VteESM]]+Rglt_à_ESMTP</f>
        <v>43719</v>
      </c>
      <c r="AI219" s="258" t="str">
        <f xml:space="preserve"> IF(MONTH(LstMachines[[#This Row],[RgltVteESM]])&lt;10,"0","") &amp; MONTH(LstMachines[[#This Row],[RgltVteESM]]) &amp; "-" &amp; YEAR(LstMachines[[#This Row],[RgltVteESM]])</f>
        <v>09-2019</v>
      </c>
      <c r="AJ219" s="140">
        <f>MONTH(LstMachines[[#This Row],[DatePaie]])</f>
        <v>5</v>
      </c>
      <c r="AK219" s="88" t="str">
        <f>FIXED(YEAR(LstMachines[[#This Row],[DatePaie]]),0,TRUE)</f>
        <v>2019</v>
      </c>
      <c r="AL219" s="270"/>
      <c r="AM219" s="414"/>
      <c r="AN219" s="92"/>
      <c r="AO219" s="92"/>
      <c r="AP219" s="92"/>
      <c r="AQ219" s="92"/>
      <c r="AR219" s="92"/>
      <c r="AS219" s="92"/>
      <c r="AT219" s="92"/>
      <c r="AU219" s="92"/>
      <c r="AV219" s="92"/>
      <c r="AW219" s="92"/>
      <c r="AX219" s="92"/>
      <c r="AY219" s="92"/>
      <c r="BA219" s="92"/>
      <c r="BC219" s="92"/>
      <c r="BD219" s="92"/>
      <c r="BE219" s="92"/>
    </row>
    <row r="220" spans="2:57">
      <c r="B220" s="243" t="s">
        <v>262</v>
      </c>
      <c r="C220" s="243" t="s">
        <v>40</v>
      </c>
      <c r="D220" s="245">
        <v>135</v>
      </c>
      <c r="E220" s="452" t="s">
        <v>360</v>
      </c>
      <c r="F220" s="89" t="s">
        <v>66</v>
      </c>
      <c r="G220" s="87" t="s">
        <v>106</v>
      </c>
      <c r="H220" s="246">
        <v>1</v>
      </c>
      <c r="I22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20" s="247">
        <v>43570</v>
      </c>
      <c r="K220" s="248" t="s">
        <v>461</v>
      </c>
      <c r="L220" s="398" t="s">
        <v>589</v>
      </c>
      <c r="M220" s="248"/>
      <c r="N220" s="249"/>
      <c r="O220" s="255">
        <f>MONTH(LstMachines[[#This Row],[Delivery]])</f>
        <v>4</v>
      </c>
      <c r="P220" s="256" t="str">
        <f>FIXED(YEAR(LstMachines[[#This Row],[Delivery]]),0,TRUE)</f>
        <v>2019</v>
      </c>
      <c r="Q220" s="250"/>
      <c r="R220" s="251"/>
      <c r="S220" s="249"/>
      <c r="T220" s="249"/>
      <c r="U220" s="249" t="s">
        <v>105</v>
      </c>
      <c r="V220" s="246"/>
      <c r="W220" s="248" t="s">
        <v>384</v>
      </c>
      <c r="X220" s="258">
        <f>LstMachines[[#This Row],[Delivery]]</f>
        <v>43570</v>
      </c>
      <c r="Y220" s="258" t="str">
        <f xml:space="preserve"> IF(MONTH(LstMachines[[#This Row],[DateLivr]])&lt;10,"0","") &amp; MONTH(LstMachines[[#This Row],[DateLivr]]) &amp;"-"&amp;YEAR(LstMachines[[#This Row],[DateLivr]])</f>
        <v>04-2019</v>
      </c>
      <c r="Z220" s="258">
        <f>LstMachines[[#This Row],[Delivery]]+Rglt_à_HCME</f>
        <v>43630</v>
      </c>
      <c r="AA220" s="258" t="str">
        <f xml:space="preserve"> IF(MONTH(LstMachines[[#This Row],[DatePaie]])&lt;10,"0","") &amp; MONTH(LstMachines[[#This Row],[DatePaie]])&amp;"-"&amp;YEAR(LstMachines[[#This Row],[DatePaie]])</f>
        <v>06-2019</v>
      </c>
      <c r="AB220" s="258">
        <f>LstMachines[[#This Row],[DateLivr]]+1</f>
        <v>43571</v>
      </c>
      <c r="AC220" s="258" t="str">
        <f xml:space="preserve"> IF(MONTH(LstMachines[[#This Row],[Distrib]])&lt;10,"0","") &amp; MONTH(LstMachines[[#This Row],[Distrib]]) &amp; "-" &amp; YEAR(LstMachines[[#This Row],[Distrib]])</f>
        <v>04-2019</v>
      </c>
      <c r="AD220" s="258">
        <f>LstMachines[[#This Row],[DateLivr]]+Délai_Vente</f>
        <v>43690</v>
      </c>
      <c r="AE220" s="258" t="str">
        <f xml:space="preserve"> IF(MONTH(LstMachines[[#This Row],[VteESM]])&lt;10,"0","") &amp; MONTH(LstMachines[[#This Row],[VteESM]]) &amp; "-" &amp; YEAR(LstMachines[[#This Row],[VteESM]])</f>
        <v>08-2019</v>
      </c>
      <c r="AF220" s="258">
        <f>LstMachines[[#This Row],[DateLivr]]+Rglt_à_ESMTP</f>
        <v>43630</v>
      </c>
      <c r="AG220" s="258" t="str">
        <f xml:space="preserve"> IF(MONTH(LstMachines[[#This Row],[RgltDistrib]])&lt;10,"0","") &amp; MONTH(LstMachines[[#This Row],[RgltDistrib]]) &amp; "-" &amp; YEAR(LstMachines[[#This Row],[RgltDistrib]])</f>
        <v>06-2019</v>
      </c>
      <c r="AH220" s="258">
        <f>LstMachines[[#This Row],[VteESM]]+Rglt_à_ESMTP</f>
        <v>43750</v>
      </c>
      <c r="AI220" s="258" t="str">
        <f xml:space="preserve"> IF(MONTH(LstMachines[[#This Row],[RgltVteESM]])&lt;10,"0","") &amp; MONTH(LstMachines[[#This Row],[RgltVteESM]]) &amp; "-" &amp; YEAR(LstMachines[[#This Row],[RgltVteESM]])</f>
        <v>10-2019</v>
      </c>
      <c r="AJ220" s="140">
        <f>MONTH(LstMachines[[#This Row],[DatePaie]])</f>
        <v>6</v>
      </c>
      <c r="AK220" s="88" t="str">
        <f>FIXED(YEAR(LstMachines[[#This Row],[DatePaie]]),0,TRUE)</f>
        <v>2019</v>
      </c>
      <c r="AL220" s="270"/>
      <c r="AM220" s="414"/>
      <c r="AN220" s="92"/>
      <c r="AO220" s="92"/>
      <c r="AP220" s="92"/>
      <c r="AQ220" s="92"/>
      <c r="AR220" s="92"/>
      <c r="AS220" s="92"/>
      <c r="AT220" s="92"/>
      <c r="AU220" s="92"/>
      <c r="AV220" s="92"/>
      <c r="AW220" s="92"/>
      <c r="AX220" s="92"/>
      <c r="AY220" s="92"/>
      <c r="BA220" s="92"/>
      <c r="BC220" s="92"/>
      <c r="BD220" s="92"/>
      <c r="BE220" s="92"/>
    </row>
    <row r="221" spans="2:57">
      <c r="B221" s="243" t="s">
        <v>75</v>
      </c>
      <c r="C221" s="243" t="s">
        <v>69</v>
      </c>
      <c r="D221" s="245">
        <v>55</v>
      </c>
      <c r="E221" s="452" t="s">
        <v>364</v>
      </c>
      <c r="F221" s="89" t="s">
        <v>66</v>
      </c>
      <c r="G221" s="89" t="s">
        <v>106</v>
      </c>
      <c r="H221" s="246">
        <v>1</v>
      </c>
      <c r="I22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43</v>
      </c>
      <c r="J221" s="247">
        <v>43570</v>
      </c>
      <c r="K221" s="248" t="s">
        <v>461</v>
      </c>
      <c r="L221" s="398" t="s">
        <v>589</v>
      </c>
      <c r="M221" s="248"/>
      <c r="N221" s="249"/>
      <c r="O221" s="255">
        <f>MONTH(LstMachines[[#This Row],[Delivery]])</f>
        <v>4</v>
      </c>
      <c r="P221" s="256" t="str">
        <f>FIXED(YEAR(LstMachines[[#This Row],[Delivery]]),0,TRUE)</f>
        <v>2019</v>
      </c>
      <c r="Q221" s="250"/>
      <c r="R221" s="251"/>
      <c r="S221" s="249"/>
      <c r="T221" s="249"/>
      <c r="U221" s="249" t="s">
        <v>105</v>
      </c>
      <c r="V221" s="246"/>
      <c r="W221" s="248" t="s">
        <v>384</v>
      </c>
      <c r="X221" s="258">
        <f>LstMachines[[#This Row],[Delivery]]</f>
        <v>43570</v>
      </c>
      <c r="Y221" s="258" t="str">
        <f xml:space="preserve"> IF(MONTH(LstMachines[[#This Row],[DateLivr]])&lt;10,"0","") &amp; MONTH(LstMachines[[#This Row],[DateLivr]]) &amp;"-"&amp;YEAR(LstMachines[[#This Row],[DateLivr]])</f>
        <v>04-2019</v>
      </c>
      <c r="Z221" s="258">
        <f>LstMachines[[#This Row],[Delivery]]+Rglt_à_HCME</f>
        <v>43630</v>
      </c>
      <c r="AA221" s="258" t="str">
        <f xml:space="preserve"> IF(MONTH(LstMachines[[#This Row],[DatePaie]])&lt;10,"0","") &amp; MONTH(LstMachines[[#This Row],[DatePaie]])&amp;"-"&amp;YEAR(LstMachines[[#This Row],[DatePaie]])</f>
        <v>06-2019</v>
      </c>
      <c r="AB221" s="258">
        <f>LstMachines[[#This Row],[DateLivr]]+1</f>
        <v>43571</v>
      </c>
      <c r="AC221" s="258" t="str">
        <f xml:space="preserve"> IF(MONTH(LstMachines[[#This Row],[Distrib]])&lt;10,"0","") &amp; MONTH(LstMachines[[#This Row],[Distrib]]) &amp; "-" &amp; YEAR(LstMachines[[#This Row],[Distrib]])</f>
        <v>04-2019</v>
      </c>
      <c r="AD221" s="258">
        <f>LstMachines[[#This Row],[DateLivr]]+Délai_Vente</f>
        <v>43690</v>
      </c>
      <c r="AE221" s="258" t="str">
        <f xml:space="preserve"> IF(MONTH(LstMachines[[#This Row],[VteESM]])&lt;10,"0","") &amp; MONTH(LstMachines[[#This Row],[VteESM]]) &amp; "-" &amp; YEAR(LstMachines[[#This Row],[VteESM]])</f>
        <v>08-2019</v>
      </c>
      <c r="AF221" s="258">
        <f>LstMachines[[#This Row],[DateLivr]]+Rglt_à_ESMTP</f>
        <v>43630</v>
      </c>
      <c r="AG221" s="258" t="str">
        <f xml:space="preserve"> IF(MONTH(LstMachines[[#This Row],[RgltDistrib]])&lt;10,"0","") &amp; MONTH(LstMachines[[#This Row],[RgltDistrib]]) &amp; "-" &amp; YEAR(LstMachines[[#This Row],[RgltDistrib]])</f>
        <v>06-2019</v>
      </c>
      <c r="AH221" s="258">
        <f>LstMachines[[#This Row],[VteESM]]+Rglt_à_ESMTP</f>
        <v>43750</v>
      </c>
      <c r="AI221" s="258" t="str">
        <f xml:space="preserve"> IF(MONTH(LstMachines[[#This Row],[RgltVteESM]])&lt;10,"0","") &amp; MONTH(LstMachines[[#This Row],[RgltVteESM]]) &amp; "-" &amp; YEAR(LstMachines[[#This Row],[RgltVteESM]])</f>
        <v>10-2019</v>
      </c>
      <c r="AJ221" s="140">
        <f>MONTH(LstMachines[[#This Row],[DatePaie]])</f>
        <v>6</v>
      </c>
      <c r="AK221" s="88" t="str">
        <f>FIXED(YEAR(LstMachines[[#This Row],[DatePaie]]),0,TRUE)</f>
        <v>2019</v>
      </c>
      <c r="AL221" s="270"/>
      <c r="AM221" s="414"/>
      <c r="AN221" s="92"/>
      <c r="AO221" s="92"/>
      <c r="AP221" s="92"/>
      <c r="AQ221" s="92"/>
      <c r="AR221" s="92"/>
      <c r="AS221" s="92"/>
      <c r="AT221" s="92"/>
      <c r="AU221" s="92"/>
      <c r="AV221" s="92"/>
      <c r="AW221" s="92"/>
      <c r="AX221" s="92"/>
      <c r="AY221" s="92"/>
      <c r="BA221" s="92"/>
      <c r="BC221" s="92"/>
      <c r="BD221" s="92"/>
      <c r="BE221" s="92"/>
    </row>
    <row r="222" spans="2:57">
      <c r="B222" s="243" t="s">
        <v>75</v>
      </c>
      <c r="C222" s="243" t="s">
        <v>36</v>
      </c>
      <c r="D222" s="245">
        <v>26</v>
      </c>
      <c r="E222" s="452" t="s">
        <v>355</v>
      </c>
      <c r="F222" s="89" t="s">
        <v>66</v>
      </c>
      <c r="G222" s="89" t="s">
        <v>106</v>
      </c>
      <c r="H222" s="246">
        <v>4</v>
      </c>
      <c r="I22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88</v>
      </c>
      <c r="J222" s="247">
        <v>43600</v>
      </c>
      <c r="K222" s="248" t="s">
        <v>461</v>
      </c>
      <c r="L222" s="398" t="s">
        <v>589</v>
      </c>
      <c r="M222" s="248"/>
      <c r="N222" s="249"/>
      <c r="O222" s="255">
        <f>MONTH(LstMachines[[#This Row],[Delivery]])</f>
        <v>5</v>
      </c>
      <c r="P222" s="256" t="str">
        <f>FIXED(YEAR(LstMachines[[#This Row],[Delivery]]),0,TRUE)</f>
        <v>2019</v>
      </c>
      <c r="Q222" s="250"/>
      <c r="R222" s="251"/>
      <c r="S222" s="249"/>
      <c r="T222" s="249"/>
      <c r="U222" s="249" t="s">
        <v>105</v>
      </c>
      <c r="V222" s="246"/>
      <c r="W222" s="248" t="s">
        <v>384</v>
      </c>
      <c r="X222" s="258">
        <f>LstMachines[[#This Row],[Delivery]]</f>
        <v>43600</v>
      </c>
      <c r="Y222" s="258" t="str">
        <f xml:space="preserve"> IF(MONTH(LstMachines[[#This Row],[DateLivr]])&lt;10,"0","") &amp; MONTH(LstMachines[[#This Row],[DateLivr]]) &amp;"-"&amp;YEAR(LstMachines[[#This Row],[DateLivr]])</f>
        <v>05-2019</v>
      </c>
      <c r="Z222" s="258">
        <f>LstMachines[[#This Row],[Delivery]]+Rglt_à_HCME</f>
        <v>43660</v>
      </c>
      <c r="AA222" s="258" t="str">
        <f xml:space="preserve"> IF(MONTH(LstMachines[[#This Row],[DatePaie]])&lt;10,"0","") &amp; MONTH(LstMachines[[#This Row],[DatePaie]])&amp;"-"&amp;YEAR(LstMachines[[#This Row],[DatePaie]])</f>
        <v>07-2019</v>
      </c>
      <c r="AB222" s="258">
        <f>LstMachines[[#This Row],[DateLivr]]+1</f>
        <v>43601</v>
      </c>
      <c r="AC222" s="258" t="str">
        <f xml:space="preserve"> IF(MONTH(LstMachines[[#This Row],[Distrib]])&lt;10,"0","") &amp; MONTH(LstMachines[[#This Row],[Distrib]]) &amp; "-" &amp; YEAR(LstMachines[[#This Row],[Distrib]])</f>
        <v>05-2019</v>
      </c>
      <c r="AD222" s="258">
        <f>LstMachines[[#This Row],[DateLivr]]+Délai_Vente</f>
        <v>43720</v>
      </c>
      <c r="AE222" s="258" t="str">
        <f xml:space="preserve"> IF(MONTH(LstMachines[[#This Row],[VteESM]])&lt;10,"0","") &amp; MONTH(LstMachines[[#This Row],[VteESM]]) &amp; "-" &amp; YEAR(LstMachines[[#This Row],[VteESM]])</f>
        <v>09-2019</v>
      </c>
      <c r="AF222" s="258">
        <f>LstMachines[[#This Row],[DateLivr]]+Rglt_à_ESMTP</f>
        <v>43660</v>
      </c>
      <c r="AG222" s="258" t="str">
        <f xml:space="preserve"> IF(MONTH(LstMachines[[#This Row],[RgltDistrib]])&lt;10,"0","") &amp; MONTH(LstMachines[[#This Row],[RgltDistrib]]) &amp; "-" &amp; YEAR(LstMachines[[#This Row],[RgltDistrib]])</f>
        <v>07-2019</v>
      </c>
      <c r="AH222" s="258">
        <f>LstMachines[[#This Row],[VteESM]]+Rglt_à_ESMTP</f>
        <v>43780</v>
      </c>
      <c r="AI222" s="258" t="str">
        <f xml:space="preserve"> IF(MONTH(LstMachines[[#This Row],[RgltVteESM]])&lt;10,"0","") &amp; MONTH(LstMachines[[#This Row],[RgltVteESM]]) &amp; "-" &amp; YEAR(LstMachines[[#This Row],[RgltVteESM]])</f>
        <v>11-2019</v>
      </c>
      <c r="AJ222" s="140">
        <f>MONTH(LstMachines[[#This Row],[DatePaie]])</f>
        <v>7</v>
      </c>
      <c r="AK222" s="88" t="str">
        <f>FIXED(YEAR(LstMachines[[#This Row],[DatePaie]]),0,TRUE)</f>
        <v>2019</v>
      </c>
      <c r="AL222" s="270"/>
      <c r="AM222" s="414"/>
      <c r="AN222" s="92"/>
      <c r="AO222" s="92"/>
      <c r="AP222" s="92"/>
      <c r="AQ222" s="92"/>
      <c r="AR222" s="92"/>
      <c r="AS222" s="92"/>
      <c r="AT222" s="92"/>
      <c r="AU222" s="92"/>
      <c r="AV222" s="92"/>
      <c r="AW222" s="92"/>
      <c r="AX222" s="92"/>
      <c r="AY222" s="92"/>
      <c r="BA222" s="92"/>
      <c r="BC222" s="92"/>
      <c r="BD222" s="92"/>
      <c r="BE222" s="92"/>
    </row>
    <row r="223" spans="2:57" hidden="1">
      <c r="B223" s="243" t="s">
        <v>262</v>
      </c>
      <c r="C223" s="243" t="s">
        <v>40</v>
      </c>
      <c r="D223" s="245">
        <v>135</v>
      </c>
      <c r="E223" s="243" t="s">
        <v>214</v>
      </c>
      <c r="F223" s="89" t="s">
        <v>66</v>
      </c>
      <c r="G223" s="87" t="s">
        <v>106</v>
      </c>
      <c r="H223" s="246">
        <v>1</v>
      </c>
      <c r="I22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23" s="247">
        <v>43539</v>
      </c>
      <c r="K223" s="248" t="s">
        <v>463</v>
      </c>
      <c r="L223" s="398" t="s">
        <v>589</v>
      </c>
      <c r="M223" s="248" t="s">
        <v>598</v>
      </c>
      <c r="N223" s="249"/>
      <c r="O223" s="255">
        <f>MONTH(LstMachines[[#This Row],[Delivery]])</f>
        <v>3</v>
      </c>
      <c r="P223" s="256" t="str">
        <f>FIXED(YEAR(LstMachines[[#This Row],[Delivery]]),0,TRUE)</f>
        <v>2019</v>
      </c>
      <c r="Q223" s="250"/>
      <c r="R223" s="251"/>
      <c r="S223" s="249"/>
      <c r="T223" s="249"/>
      <c r="U223" s="249" t="s">
        <v>105</v>
      </c>
      <c r="V223" s="246"/>
      <c r="W223" s="248" t="s">
        <v>384</v>
      </c>
      <c r="X223" s="258">
        <f>LstMachines[[#This Row],[Delivery]]</f>
        <v>43539</v>
      </c>
      <c r="Y223" s="258" t="str">
        <f xml:space="preserve"> IF(MONTH(LstMachines[[#This Row],[DateLivr]])&lt;10,"0","") &amp; MONTH(LstMachines[[#This Row],[DateLivr]]) &amp;"-"&amp;YEAR(LstMachines[[#This Row],[DateLivr]])</f>
        <v>03-2019</v>
      </c>
      <c r="Z223" s="258">
        <f>LstMachines[[#This Row],[Delivery]]+Rglt_à_HCME</f>
        <v>43599</v>
      </c>
      <c r="AA223" s="258" t="str">
        <f xml:space="preserve"> IF(MONTH(LstMachines[[#This Row],[DatePaie]])&lt;10,"0","") &amp; MONTH(LstMachines[[#This Row],[DatePaie]])&amp;"-"&amp;YEAR(LstMachines[[#This Row],[DatePaie]])</f>
        <v>05-2019</v>
      </c>
      <c r="AB223" s="258">
        <f>LstMachines[[#This Row],[DateLivr]]+1</f>
        <v>43540</v>
      </c>
      <c r="AC223" s="258" t="str">
        <f xml:space="preserve"> IF(MONTH(LstMachines[[#This Row],[Distrib]])&lt;10,"0","") &amp; MONTH(LstMachines[[#This Row],[Distrib]]) &amp; "-" &amp; YEAR(LstMachines[[#This Row],[Distrib]])</f>
        <v>03-2019</v>
      </c>
      <c r="AD223" s="258">
        <f>LstMachines[[#This Row],[DateLivr]]+Délai_Vente</f>
        <v>43659</v>
      </c>
      <c r="AE223" s="258" t="str">
        <f xml:space="preserve"> IF(MONTH(LstMachines[[#This Row],[VteESM]])&lt;10,"0","") &amp; MONTH(LstMachines[[#This Row],[VteESM]]) &amp; "-" &amp; YEAR(LstMachines[[#This Row],[VteESM]])</f>
        <v>07-2019</v>
      </c>
      <c r="AF223" s="258">
        <f>LstMachines[[#This Row],[DateLivr]]+Rglt_à_ESMTP</f>
        <v>43599</v>
      </c>
      <c r="AG223" s="258" t="str">
        <f xml:space="preserve"> IF(MONTH(LstMachines[[#This Row],[RgltDistrib]])&lt;10,"0","") &amp; MONTH(LstMachines[[#This Row],[RgltDistrib]]) &amp; "-" &amp; YEAR(LstMachines[[#This Row],[RgltDistrib]])</f>
        <v>05-2019</v>
      </c>
      <c r="AH223" s="258">
        <f>LstMachines[[#This Row],[VteESM]]+Rglt_à_ESMTP</f>
        <v>43719</v>
      </c>
      <c r="AI223" s="258" t="str">
        <f xml:space="preserve"> IF(MONTH(LstMachines[[#This Row],[RgltVteESM]])&lt;10,"0","") &amp; MONTH(LstMachines[[#This Row],[RgltVteESM]]) &amp; "-" &amp; YEAR(LstMachines[[#This Row],[RgltVteESM]])</f>
        <v>09-2019</v>
      </c>
      <c r="AJ223" s="140">
        <f>MONTH(LstMachines[[#This Row],[DatePaie]])</f>
        <v>5</v>
      </c>
      <c r="AK223" s="88" t="str">
        <f>FIXED(YEAR(LstMachines[[#This Row],[DatePaie]]),0,TRUE)</f>
        <v>2019</v>
      </c>
      <c r="AL223" s="270"/>
      <c r="AM223" s="416">
        <v>43374</v>
      </c>
      <c r="AN223" s="92"/>
      <c r="AO223" s="92"/>
      <c r="AP223" s="92"/>
      <c r="AQ223" s="92"/>
      <c r="AR223" s="92"/>
      <c r="AS223" s="92"/>
      <c r="AT223" s="92"/>
      <c r="AU223" s="92"/>
      <c r="AV223" s="92"/>
      <c r="AW223" s="92"/>
      <c r="AX223" s="92"/>
      <c r="AY223" s="92"/>
      <c r="BA223" s="92"/>
      <c r="BC223" s="92"/>
      <c r="BD223" s="92"/>
      <c r="BE223" s="92"/>
    </row>
    <row r="224" spans="2:57">
      <c r="B224" s="243" t="s">
        <v>262</v>
      </c>
      <c r="C224" s="243" t="s">
        <v>40</v>
      </c>
      <c r="D224" s="245">
        <v>135</v>
      </c>
      <c r="E224" s="452" t="s">
        <v>87</v>
      </c>
      <c r="F224" s="89" t="s">
        <v>66</v>
      </c>
      <c r="G224" s="87" t="s">
        <v>106</v>
      </c>
      <c r="H224" s="246">
        <v>1</v>
      </c>
      <c r="I22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24" s="247">
        <v>43631</v>
      </c>
      <c r="K224" s="248" t="s">
        <v>461</v>
      </c>
      <c r="L224" s="398" t="s">
        <v>589</v>
      </c>
      <c r="M224" s="248"/>
      <c r="N224" s="249"/>
      <c r="O224" s="255">
        <f>MONTH(LstMachines[[#This Row],[Delivery]])</f>
        <v>6</v>
      </c>
      <c r="P224" s="256" t="str">
        <f>FIXED(YEAR(LstMachines[[#This Row],[Delivery]]),0,TRUE)</f>
        <v>2019</v>
      </c>
      <c r="Q224" s="250"/>
      <c r="R224" s="251"/>
      <c r="S224" s="249"/>
      <c r="T224" s="249"/>
      <c r="U224" s="249" t="s">
        <v>105</v>
      </c>
      <c r="V224" s="246"/>
      <c r="W224" s="248" t="s">
        <v>384</v>
      </c>
      <c r="X224" s="258">
        <f>LstMachines[[#This Row],[Delivery]]</f>
        <v>43631</v>
      </c>
      <c r="Y224" s="258" t="str">
        <f xml:space="preserve"> IF(MONTH(LstMachines[[#This Row],[DateLivr]])&lt;10,"0","") &amp; MONTH(LstMachines[[#This Row],[DateLivr]]) &amp;"-"&amp;YEAR(LstMachines[[#This Row],[DateLivr]])</f>
        <v>06-2019</v>
      </c>
      <c r="Z224" s="258">
        <f>LstMachines[[#This Row],[Delivery]]+Rglt_à_HCME</f>
        <v>43691</v>
      </c>
      <c r="AA224" s="258" t="str">
        <f xml:space="preserve"> IF(MONTH(LstMachines[[#This Row],[DatePaie]])&lt;10,"0","") &amp; MONTH(LstMachines[[#This Row],[DatePaie]])&amp;"-"&amp;YEAR(LstMachines[[#This Row],[DatePaie]])</f>
        <v>08-2019</v>
      </c>
      <c r="AB224" s="258">
        <f>LstMachines[[#This Row],[DateLivr]]+1</f>
        <v>43632</v>
      </c>
      <c r="AC224" s="258" t="str">
        <f xml:space="preserve"> IF(MONTH(LstMachines[[#This Row],[Distrib]])&lt;10,"0","") &amp; MONTH(LstMachines[[#This Row],[Distrib]]) &amp; "-" &amp; YEAR(LstMachines[[#This Row],[Distrib]])</f>
        <v>06-2019</v>
      </c>
      <c r="AD224" s="258">
        <f>LstMachines[[#This Row],[DateLivr]]+Délai_Vente</f>
        <v>43751</v>
      </c>
      <c r="AE224" s="258" t="str">
        <f xml:space="preserve"> IF(MONTH(LstMachines[[#This Row],[VteESM]])&lt;10,"0","") &amp; MONTH(LstMachines[[#This Row],[VteESM]]) &amp; "-" &amp; YEAR(LstMachines[[#This Row],[VteESM]])</f>
        <v>10-2019</v>
      </c>
      <c r="AF224" s="258">
        <f>LstMachines[[#This Row],[DateLivr]]+Rglt_à_ESMTP</f>
        <v>43691</v>
      </c>
      <c r="AG224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224" s="258">
        <f>LstMachines[[#This Row],[VteESM]]+Rglt_à_ESMTP</f>
        <v>43811</v>
      </c>
      <c r="AI224" s="258" t="str">
        <f xml:space="preserve"> IF(MONTH(LstMachines[[#This Row],[RgltVteESM]])&lt;10,"0","") &amp; MONTH(LstMachines[[#This Row],[RgltVteESM]]) &amp; "-" &amp; YEAR(LstMachines[[#This Row],[RgltVteESM]])</f>
        <v>12-2019</v>
      </c>
      <c r="AJ224" s="140">
        <f>MONTH(LstMachines[[#This Row],[DatePaie]])</f>
        <v>8</v>
      </c>
      <c r="AK224" s="88" t="str">
        <f>FIXED(YEAR(LstMachines[[#This Row],[DatePaie]]),0,TRUE)</f>
        <v>2019</v>
      </c>
      <c r="AL224" s="270"/>
      <c r="AM224" s="414"/>
      <c r="AN224" s="92"/>
      <c r="AO224" s="92"/>
      <c r="AP224" s="92"/>
      <c r="AQ224" s="92"/>
      <c r="AR224" s="92"/>
      <c r="AS224" s="92"/>
      <c r="AT224" s="92"/>
      <c r="AU224" s="92"/>
      <c r="AV224" s="92"/>
      <c r="AW224" s="92"/>
      <c r="AX224" s="92"/>
      <c r="AY224" s="92"/>
      <c r="BA224" s="92"/>
      <c r="BC224" s="92"/>
      <c r="BD224" s="92"/>
      <c r="BE224" s="92"/>
    </row>
    <row r="225" spans="2:57" hidden="1">
      <c r="B225" s="243" t="s">
        <v>262</v>
      </c>
      <c r="C225" s="243" t="s">
        <v>39</v>
      </c>
      <c r="D225" s="245">
        <v>85</v>
      </c>
      <c r="E225" s="243" t="s">
        <v>356</v>
      </c>
      <c r="F225" s="89" t="s">
        <v>66</v>
      </c>
      <c r="G225" s="87" t="s">
        <v>106</v>
      </c>
      <c r="H225" s="246">
        <v>1</v>
      </c>
      <c r="I22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225" s="247">
        <v>43539</v>
      </c>
      <c r="K225" s="248" t="s">
        <v>463</v>
      </c>
      <c r="L225" s="398" t="s">
        <v>589</v>
      </c>
      <c r="M225" s="248" t="s">
        <v>598</v>
      </c>
      <c r="N225" s="249"/>
      <c r="O225" s="255">
        <f>MONTH(LstMachines[[#This Row],[Delivery]])</f>
        <v>3</v>
      </c>
      <c r="P225" s="256" t="str">
        <f>FIXED(YEAR(LstMachines[[#This Row],[Delivery]]),0,TRUE)</f>
        <v>2019</v>
      </c>
      <c r="Q225" s="250"/>
      <c r="R225" s="251"/>
      <c r="S225" s="249"/>
      <c r="T225" s="249"/>
      <c r="U225" s="249" t="s">
        <v>105</v>
      </c>
      <c r="V225" s="246"/>
      <c r="W225" s="248" t="s">
        <v>384</v>
      </c>
      <c r="X225" s="258">
        <f>LstMachines[[#This Row],[Delivery]]</f>
        <v>43539</v>
      </c>
      <c r="Y225" s="258" t="str">
        <f xml:space="preserve"> IF(MONTH(LstMachines[[#This Row],[DateLivr]])&lt;10,"0","") &amp; MONTH(LstMachines[[#This Row],[DateLivr]]) &amp;"-"&amp;YEAR(LstMachines[[#This Row],[DateLivr]])</f>
        <v>03-2019</v>
      </c>
      <c r="Z225" s="258">
        <f>LstMachines[[#This Row],[Delivery]]+Rglt_à_HCME</f>
        <v>43599</v>
      </c>
      <c r="AA225" s="258" t="str">
        <f xml:space="preserve"> IF(MONTH(LstMachines[[#This Row],[DatePaie]])&lt;10,"0","") &amp; MONTH(LstMachines[[#This Row],[DatePaie]])&amp;"-"&amp;YEAR(LstMachines[[#This Row],[DatePaie]])</f>
        <v>05-2019</v>
      </c>
      <c r="AB225" s="258">
        <f>LstMachines[[#This Row],[DateLivr]]+1</f>
        <v>43540</v>
      </c>
      <c r="AC225" s="258" t="str">
        <f xml:space="preserve"> IF(MONTH(LstMachines[[#This Row],[Distrib]])&lt;10,"0","") &amp; MONTH(LstMachines[[#This Row],[Distrib]]) &amp; "-" &amp; YEAR(LstMachines[[#This Row],[Distrib]])</f>
        <v>03-2019</v>
      </c>
      <c r="AD225" s="258">
        <f>LstMachines[[#This Row],[DateLivr]]+Délai_Vente</f>
        <v>43659</v>
      </c>
      <c r="AE225" s="258" t="str">
        <f xml:space="preserve"> IF(MONTH(LstMachines[[#This Row],[VteESM]])&lt;10,"0","") &amp; MONTH(LstMachines[[#This Row],[VteESM]]) &amp; "-" &amp; YEAR(LstMachines[[#This Row],[VteESM]])</f>
        <v>07-2019</v>
      </c>
      <c r="AF225" s="258">
        <f>LstMachines[[#This Row],[DateLivr]]+Rglt_à_ESMTP</f>
        <v>43599</v>
      </c>
      <c r="AG225" s="258" t="str">
        <f xml:space="preserve"> IF(MONTH(LstMachines[[#This Row],[RgltDistrib]])&lt;10,"0","") &amp; MONTH(LstMachines[[#This Row],[RgltDistrib]]) &amp; "-" &amp; YEAR(LstMachines[[#This Row],[RgltDistrib]])</f>
        <v>05-2019</v>
      </c>
      <c r="AH225" s="258">
        <f>LstMachines[[#This Row],[VteESM]]+Rglt_à_ESMTP</f>
        <v>43719</v>
      </c>
      <c r="AI225" s="258" t="str">
        <f xml:space="preserve"> IF(MONTH(LstMachines[[#This Row],[RgltVteESM]])&lt;10,"0","") &amp; MONTH(LstMachines[[#This Row],[RgltVteESM]]) &amp; "-" &amp; YEAR(LstMachines[[#This Row],[RgltVteESM]])</f>
        <v>09-2019</v>
      </c>
      <c r="AJ225" s="140">
        <f>MONTH(LstMachines[[#This Row],[DatePaie]])</f>
        <v>5</v>
      </c>
      <c r="AK225" s="88" t="str">
        <f>FIXED(YEAR(LstMachines[[#This Row],[DatePaie]]),0,TRUE)</f>
        <v>2019</v>
      </c>
      <c r="AL225" s="270"/>
      <c r="AM225" s="414"/>
      <c r="AN225" s="92"/>
      <c r="AO225" s="92"/>
      <c r="AP225" s="92"/>
      <c r="AQ225" s="92"/>
      <c r="AR225" s="92"/>
      <c r="AS225" s="92"/>
      <c r="AT225" s="92"/>
      <c r="AU225" s="92"/>
      <c r="AV225" s="92"/>
      <c r="AW225" s="92"/>
      <c r="AX225" s="92"/>
      <c r="AY225" s="92"/>
      <c r="BA225" s="92"/>
      <c r="BC225" s="92"/>
      <c r="BD225" s="92"/>
      <c r="BE225" s="92"/>
    </row>
    <row r="226" spans="2:57">
      <c r="B226" s="243" t="s">
        <v>75</v>
      </c>
      <c r="C226" s="243" t="s">
        <v>35</v>
      </c>
      <c r="D226" s="245">
        <v>19</v>
      </c>
      <c r="E226" s="452" t="s">
        <v>76</v>
      </c>
      <c r="F226" s="89" t="s">
        <v>66</v>
      </c>
      <c r="G226" s="89" t="s">
        <v>106</v>
      </c>
      <c r="H226" s="246">
        <v>2</v>
      </c>
      <c r="I22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36</v>
      </c>
      <c r="J226" s="247">
        <v>43631</v>
      </c>
      <c r="K226" s="248" t="s">
        <v>461</v>
      </c>
      <c r="L226" s="398" t="s">
        <v>589</v>
      </c>
      <c r="M226" s="248"/>
      <c r="N226" s="249"/>
      <c r="O226" s="255">
        <f>MONTH(LstMachines[[#This Row],[Delivery]])</f>
        <v>6</v>
      </c>
      <c r="P226" s="256" t="str">
        <f>FIXED(YEAR(LstMachines[[#This Row],[Delivery]]),0,TRUE)</f>
        <v>2019</v>
      </c>
      <c r="Q226" s="250"/>
      <c r="R226" s="251"/>
      <c r="S226" s="249"/>
      <c r="T226" s="249"/>
      <c r="U226" s="249" t="s">
        <v>105</v>
      </c>
      <c r="V226" s="246"/>
      <c r="W226" s="248" t="s">
        <v>384</v>
      </c>
      <c r="X226" s="258">
        <f>LstMachines[[#This Row],[Delivery]]</f>
        <v>43631</v>
      </c>
      <c r="Y226" s="258" t="str">
        <f xml:space="preserve"> IF(MONTH(LstMachines[[#This Row],[DateLivr]])&lt;10,"0","") &amp; MONTH(LstMachines[[#This Row],[DateLivr]]) &amp;"-"&amp;YEAR(LstMachines[[#This Row],[DateLivr]])</f>
        <v>06-2019</v>
      </c>
      <c r="Z226" s="258">
        <f>LstMachines[[#This Row],[Delivery]]+Rglt_à_HCME</f>
        <v>43691</v>
      </c>
      <c r="AA226" s="258" t="str">
        <f xml:space="preserve"> IF(MONTH(LstMachines[[#This Row],[DatePaie]])&lt;10,"0","") &amp; MONTH(LstMachines[[#This Row],[DatePaie]])&amp;"-"&amp;YEAR(LstMachines[[#This Row],[DatePaie]])</f>
        <v>08-2019</v>
      </c>
      <c r="AB226" s="258">
        <f>LstMachines[[#This Row],[DateLivr]]+1</f>
        <v>43632</v>
      </c>
      <c r="AC226" s="258" t="str">
        <f xml:space="preserve"> IF(MONTH(LstMachines[[#This Row],[Distrib]])&lt;10,"0","") &amp; MONTH(LstMachines[[#This Row],[Distrib]]) &amp; "-" &amp; YEAR(LstMachines[[#This Row],[Distrib]])</f>
        <v>06-2019</v>
      </c>
      <c r="AD226" s="258">
        <f>LstMachines[[#This Row],[DateLivr]]+Délai_Vente</f>
        <v>43751</v>
      </c>
      <c r="AE226" s="258" t="str">
        <f xml:space="preserve"> IF(MONTH(LstMachines[[#This Row],[VteESM]])&lt;10,"0","") &amp; MONTH(LstMachines[[#This Row],[VteESM]]) &amp; "-" &amp; YEAR(LstMachines[[#This Row],[VteESM]])</f>
        <v>10-2019</v>
      </c>
      <c r="AF226" s="258">
        <f>LstMachines[[#This Row],[DateLivr]]+Rglt_à_ESMTP</f>
        <v>43691</v>
      </c>
      <c r="AG226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226" s="258">
        <f>LstMachines[[#This Row],[VteESM]]+Rglt_à_ESMTP</f>
        <v>43811</v>
      </c>
      <c r="AI226" s="258" t="str">
        <f xml:space="preserve"> IF(MONTH(LstMachines[[#This Row],[RgltVteESM]])&lt;10,"0","") &amp; MONTH(LstMachines[[#This Row],[RgltVteESM]]) &amp; "-" &amp; YEAR(LstMachines[[#This Row],[RgltVteESM]])</f>
        <v>12-2019</v>
      </c>
      <c r="AJ226" s="140">
        <f>MONTH(LstMachines[[#This Row],[DatePaie]])</f>
        <v>8</v>
      </c>
      <c r="AK226" s="88" t="str">
        <f>FIXED(YEAR(LstMachines[[#This Row],[DatePaie]]),0,TRUE)</f>
        <v>2019</v>
      </c>
      <c r="AL226" s="270"/>
      <c r="AM226" s="414"/>
      <c r="AN226" s="92"/>
      <c r="AO226" s="92"/>
      <c r="AP226" s="92"/>
      <c r="AQ226" s="92"/>
      <c r="AR226" s="92"/>
      <c r="AS226" s="92"/>
      <c r="AT226" s="92"/>
      <c r="AU226" s="92"/>
      <c r="AV226" s="92"/>
      <c r="AW226" s="92"/>
      <c r="AX226" s="92"/>
      <c r="AY226" s="92"/>
      <c r="BA226" s="92"/>
      <c r="BC226" s="92"/>
      <c r="BD226" s="92"/>
      <c r="BE226" s="92"/>
    </row>
    <row r="227" spans="2:57">
      <c r="B227" s="243" t="s">
        <v>75</v>
      </c>
      <c r="C227" s="243" t="s">
        <v>36</v>
      </c>
      <c r="D227" s="245">
        <v>26</v>
      </c>
      <c r="E227" s="452" t="s">
        <v>361</v>
      </c>
      <c r="F227" s="89" t="s">
        <v>66</v>
      </c>
      <c r="G227" s="89" t="s">
        <v>106</v>
      </c>
      <c r="H227" s="246">
        <v>3</v>
      </c>
      <c r="I22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66</v>
      </c>
      <c r="J227" s="247">
        <v>43631</v>
      </c>
      <c r="K227" s="248" t="s">
        <v>461</v>
      </c>
      <c r="L227" s="398" t="s">
        <v>589</v>
      </c>
      <c r="M227" s="248"/>
      <c r="N227" s="249"/>
      <c r="O227" s="255">
        <f>MONTH(LstMachines[[#This Row],[Delivery]])</f>
        <v>6</v>
      </c>
      <c r="P227" s="256" t="str">
        <f>FIXED(YEAR(LstMachines[[#This Row],[Delivery]]),0,TRUE)</f>
        <v>2019</v>
      </c>
      <c r="Q227" s="250"/>
      <c r="R227" s="251"/>
      <c r="S227" s="249"/>
      <c r="T227" s="249"/>
      <c r="U227" s="249" t="s">
        <v>105</v>
      </c>
      <c r="V227" s="246"/>
      <c r="W227" s="248" t="s">
        <v>384</v>
      </c>
      <c r="X227" s="258">
        <f>LstMachines[[#This Row],[Delivery]]</f>
        <v>43631</v>
      </c>
      <c r="Y227" s="258" t="str">
        <f xml:space="preserve"> IF(MONTH(LstMachines[[#This Row],[DateLivr]])&lt;10,"0","") &amp; MONTH(LstMachines[[#This Row],[DateLivr]]) &amp;"-"&amp;YEAR(LstMachines[[#This Row],[DateLivr]])</f>
        <v>06-2019</v>
      </c>
      <c r="Z227" s="258">
        <f>LstMachines[[#This Row],[Delivery]]+Rglt_à_HCME</f>
        <v>43691</v>
      </c>
      <c r="AA227" s="258" t="str">
        <f xml:space="preserve"> IF(MONTH(LstMachines[[#This Row],[DatePaie]])&lt;10,"0","") &amp; MONTH(LstMachines[[#This Row],[DatePaie]])&amp;"-"&amp;YEAR(LstMachines[[#This Row],[DatePaie]])</f>
        <v>08-2019</v>
      </c>
      <c r="AB227" s="258">
        <f>LstMachines[[#This Row],[DateLivr]]+1</f>
        <v>43632</v>
      </c>
      <c r="AC227" s="258" t="str">
        <f xml:space="preserve"> IF(MONTH(LstMachines[[#This Row],[Distrib]])&lt;10,"0","") &amp; MONTH(LstMachines[[#This Row],[Distrib]]) &amp; "-" &amp; YEAR(LstMachines[[#This Row],[Distrib]])</f>
        <v>06-2019</v>
      </c>
      <c r="AD227" s="258">
        <f>LstMachines[[#This Row],[DateLivr]]+Délai_Vente</f>
        <v>43751</v>
      </c>
      <c r="AE227" s="258" t="str">
        <f xml:space="preserve"> IF(MONTH(LstMachines[[#This Row],[VteESM]])&lt;10,"0","") &amp; MONTH(LstMachines[[#This Row],[VteESM]]) &amp; "-" &amp; YEAR(LstMachines[[#This Row],[VteESM]])</f>
        <v>10-2019</v>
      </c>
      <c r="AF227" s="258">
        <f>LstMachines[[#This Row],[DateLivr]]+Rglt_à_ESMTP</f>
        <v>43691</v>
      </c>
      <c r="AG227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227" s="258">
        <f>LstMachines[[#This Row],[VteESM]]+Rglt_à_ESMTP</f>
        <v>43811</v>
      </c>
      <c r="AI227" s="258" t="str">
        <f xml:space="preserve"> IF(MONTH(LstMachines[[#This Row],[RgltVteESM]])&lt;10,"0","") &amp; MONTH(LstMachines[[#This Row],[RgltVteESM]]) &amp; "-" &amp; YEAR(LstMachines[[#This Row],[RgltVteESM]])</f>
        <v>12-2019</v>
      </c>
      <c r="AJ227" s="140">
        <f>MONTH(LstMachines[[#This Row],[DatePaie]])</f>
        <v>8</v>
      </c>
      <c r="AK227" s="88" t="str">
        <f>FIXED(YEAR(LstMachines[[#This Row],[DatePaie]]),0,TRUE)</f>
        <v>2019</v>
      </c>
      <c r="AL227" s="270"/>
      <c r="AM227" s="414"/>
      <c r="AN227" s="92"/>
      <c r="AO227" s="92"/>
      <c r="AP227" s="92"/>
      <c r="AQ227" s="92"/>
      <c r="AR227" s="92"/>
      <c r="AS227" s="92"/>
      <c r="AT227" s="92"/>
      <c r="AU227" s="92"/>
      <c r="AV227" s="92"/>
      <c r="AW227" s="92"/>
      <c r="AX227" s="92"/>
      <c r="AY227" s="92"/>
      <c r="BA227" s="92"/>
      <c r="BC227" s="92"/>
      <c r="BD227" s="92"/>
      <c r="BE227" s="92"/>
    </row>
    <row r="228" spans="2:57" hidden="1">
      <c r="B228" s="243" t="s">
        <v>262</v>
      </c>
      <c r="C228" s="243" t="s">
        <v>40</v>
      </c>
      <c r="D228" s="245">
        <v>135</v>
      </c>
      <c r="E228" s="243" t="s">
        <v>89</v>
      </c>
      <c r="F228" s="89" t="s">
        <v>66</v>
      </c>
      <c r="G228" s="87" t="s">
        <v>106</v>
      </c>
      <c r="H228" s="246">
        <v>2</v>
      </c>
      <c r="I22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204</v>
      </c>
      <c r="J228" s="247">
        <v>43511</v>
      </c>
      <c r="K228" s="248" t="s">
        <v>463</v>
      </c>
      <c r="L228" s="398" t="s">
        <v>589</v>
      </c>
      <c r="M228" s="248" t="s">
        <v>599</v>
      </c>
      <c r="N228" s="249"/>
      <c r="O228" s="255">
        <f>MONTH(LstMachines[[#This Row],[Delivery]])</f>
        <v>2</v>
      </c>
      <c r="P228" s="256" t="str">
        <f>FIXED(YEAR(LstMachines[[#This Row],[Delivery]]),0,TRUE)</f>
        <v>2019</v>
      </c>
      <c r="Q228" s="250"/>
      <c r="R228" s="251"/>
      <c r="S228" s="249"/>
      <c r="T228" s="249"/>
      <c r="U228" s="249" t="s">
        <v>105</v>
      </c>
      <c r="V228" s="246"/>
      <c r="W228" s="248" t="s">
        <v>384</v>
      </c>
      <c r="X228" s="258">
        <f>LstMachines[[#This Row],[Delivery]]</f>
        <v>43511</v>
      </c>
      <c r="Y228" s="258" t="str">
        <f xml:space="preserve"> IF(MONTH(LstMachines[[#This Row],[DateLivr]])&lt;10,"0","") &amp; MONTH(LstMachines[[#This Row],[DateLivr]]) &amp;"-"&amp;YEAR(LstMachines[[#This Row],[DateLivr]])</f>
        <v>02-2019</v>
      </c>
      <c r="Z228" s="258">
        <f>LstMachines[[#This Row],[Delivery]]+Rglt_à_HCME</f>
        <v>43571</v>
      </c>
      <c r="AA228" s="258" t="str">
        <f xml:space="preserve"> IF(MONTH(LstMachines[[#This Row],[DatePaie]])&lt;10,"0","") &amp; MONTH(LstMachines[[#This Row],[DatePaie]])&amp;"-"&amp;YEAR(LstMachines[[#This Row],[DatePaie]])</f>
        <v>04-2019</v>
      </c>
      <c r="AB228" s="258">
        <f>LstMachines[[#This Row],[DateLivr]]+1</f>
        <v>43512</v>
      </c>
      <c r="AC228" s="258" t="str">
        <f xml:space="preserve"> IF(MONTH(LstMachines[[#This Row],[Distrib]])&lt;10,"0","") &amp; MONTH(LstMachines[[#This Row],[Distrib]]) &amp; "-" &amp; YEAR(LstMachines[[#This Row],[Distrib]])</f>
        <v>02-2019</v>
      </c>
      <c r="AD228" s="258">
        <f>LstMachines[[#This Row],[DateLivr]]+Délai_Vente</f>
        <v>43631</v>
      </c>
      <c r="AE228" s="258" t="str">
        <f xml:space="preserve"> IF(MONTH(LstMachines[[#This Row],[VteESM]])&lt;10,"0","") &amp; MONTH(LstMachines[[#This Row],[VteESM]]) &amp; "-" &amp; YEAR(LstMachines[[#This Row],[VteESM]])</f>
        <v>06-2019</v>
      </c>
      <c r="AF228" s="258">
        <f>LstMachines[[#This Row],[DateLivr]]+Rglt_à_ESMTP</f>
        <v>43571</v>
      </c>
      <c r="AG228" s="258" t="str">
        <f xml:space="preserve"> IF(MONTH(LstMachines[[#This Row],[RgltDistrib]])&lt;10,"0","") &amp; MONTH(LstMachines[[#This Row],[RgltDistrib]]) &amp; "-" &amp; YEAR(LstMachines[[#This Row],[RgltDistrib]])</f>
        <v>04-2019</v>
      </c>
      <c r="AH228" s="258">
        <f>LstMachines[[#This Row],[VteESM]]+Rglt_à_ESMTP</f>
        <v>43691</v>
      </c>
      <c r="AI228" s="258" t="str">
        <f xml:space="preserve"> IF(MONTH(LstMachines[[#This Row],[RgltVteESM]])&lt;10,"0","") &amp; MONTH(LstMachines[[#This Row],[RgltVteESM]]) &amp; "-" &amp; YEAR(LstMachines[[#This Row],[RgltVteESM]])</f>
        <v>08-2019</v>
      </c>
      <c r="AJ228" s="140">
        <f>MONTH(LstMachines[[#This Row],[DatePaie]])</f>
        <v>4</v>
      </c>
      <c r="AK228" s="88" t="str">
        <f>FIXED(YEAR(LstMachines[[#This Row],[DatePaie]]),0,TRUE)</f>
        <v>2019</v>
      </c>
      <c r="AL228" s="270"/>
      <c r="AM228" s="414"/>
      <c r="AN228" s="92"/>
      <c r="AO228" s="92"/>
      <c r="AP228" s="92"/>
      <c r="AQ228" s="92"/>
      <c r="AR228" s="92"/>
      <c r="AS228" s="92"/>
      <c r="AT228" s="92"/>
      <c r="AU228" s="92"/>
      <c r="AV228" s="92"/>
      <c r="AW228" s="92"/>
      <c r="AX228" s="92"/>
      <c r="AY228" s="92"/>
      <c r="BA228" s="92"/>
      <c r="BC228" s="92"/>
      <c r="BD228" s="92"/>
      <c r="BE228" s="92"/>
    </row>
    <row r="229" spans="2:57" hidden="1">
      <c r="B229" s="243" t="s">
        <v>262</v>
      </c>
      <c r="C229" s="243" t="s">
        <v>40</v>
      </c>
      <c r="D229" s="245">
        <v>135</v>
      </c>
      <c r="E229" s="243" t="s">
        <v>205</v>
      </c>
      <c r="F229" s="89" t="s">
        <v>66</v>
      </c>
      <c r="G229" s="87" t="s">
        <v>106</v>
      </c>
      <c r="H229" s="246">
        <v>1</v>
      </c>
      <c r="I22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29" s="247">
        <v>43511</v>
      </c>
      <c r="K229" s="248" t="s">
        <v>463</v>
      </c>
      <c r="L229" s="398" t="s">
        <v>589</v>
      </c>
      <c r="M229" s="248" t="s">
        <v>599</v>
      </c>
      <c r="N229" s="249"/>
      <c r="O229" s="255">
        <f>MONTH(LstMachines[[#This Row],[Delivery]])</f>
        <v>2</v>
      </c>
      <c r="P229" s="256" t="str">
        <f>FIXED(YEAR(LstMachines[[#This Row],[Delivery]]),0,TRUE)</f>
        <v>2019</v>
      </c>
      <c r="Q229" s="250"/>
      <c r="R229" s="251"/>
      <c r="S229" s="249"/>
      <c r="T229" s="249"/>
      <c r="U229" s="249" t="s">
        <v>105</v>
      </c>
      <c r="V229" s="246"/>
      <c r="W229" s="248" t="s">
        <v>384</v>
      </c>
      <c r="X229" s="258">
        <f>LstMachines[[#This Row],[Delivery]]</f>
        <v>43511</v>
      </c>
      <c r="Y229" s="258" t="str">
        <f xml:space="preserve"> IF(MONTH(LstMachines[[#This Row],[DateLivr]])&lt;10,"0","") &amp; MONTH(LstMachines[[#This Row],[DateLivr]]) &amp;"-"&amp;YEAR(LstMachines[[#This Row],[DateLivr]])</f>
        <v>02-2019</v>
      </c>
      <c r="Z229" s="258">
        <f>LstMachines[[#This Row],[Delivery]]+Rglt_à_HCME</f>
        <v>43571</v>
      </c>
      <c r="AA229" s="258" t="str">
        <f xml:space="preserve"> IF(MONTH(LstMachines[[#This Row],[DatePaie]])&lt;10,"0","") &amp; MONTH(LstMachines[[#This Row],[DatePaie]])&amp;"-"&amp;YEAR(LstMachines[[#This Row],[DatePaie]])</f>
        <v>04-2019</v>
      </c>
      <c r="AB229" s="258">
        <f>LstMachines[[#This Row],[DateLivr]]+1</f>
        <v>43512</v>
      </c>
      <c r="AC229" s="258" t="str">
        <f xml:space="preserve"> IF(MONTH(LstMachines[[#This Row],[Distrib]])&lt;10,"0","") &amp; MONTH(LstMachines[[#This Row],[Distrib]]) &amp; "-" &amp; YEAR(LstMachines[[#This Row],[Distrib]])</f>
        <v>02-2019</v>
      </c>
      <c r="AD229" s="258">
        <f>LstMachines[[#This Row],[DateLivr]]+Délai_Vente</f>
        <v>43631</v>
      </c>
      <c r="AE229" s="258" t="str">
        <f xml:space="preserve"> IF(MONTH(LstMachines[[#This Row],[VteESM]])&lt;10,"0","") &amp; MONTH(LstMachines[[#This Row],[VteESM]]) &amp; "-" &amp; YEAR(LstMachines[[#This Row],[VteESM]])</f>
        <v>06-2019</v>
      </c>
      <c r="AF229" s="258">
        <f>LstMachines[[#This Row],[DateLivr]]+Rglt_à_ESMTP</f>
        <v>43571</v>
      </c>
      <c r="AG229" s="258" t="str">
        <f xml:space="preserve"> IF(MONTH(LstMachines[[#This Row],[RgltDistrib]])&lt;10,"0","") &amp; MONTH(LstMachines[[#This Row],[RgltDistrib]]) &amp; "-" &amp; YEAR(LstMachines[[#This Row],[RgltDistrib]])</f>
        <v>04-2019</v>
      </c>
      <c r="AH229" s="258">
        <f>LstMachines[[#This Row],[VteESM]]+Rglt_à_ESMTP</f>
        <v>43691</v>
      </c>
      <c r="AI229" s="258" t="str">
        <f xml:space="preserve"> IF(MONTH(LstMachines[[#This Row],[RgltVteESM]])&lt;10,"0","") &amp; MONTH(LstMachines[[#This Row],[RgltVteESM]]) &amp; "-" &amp; YEAR(LstMachines[[#This Row],[RgltVteESM]])</f>
        <v>08-2019</v>
      </c>
      <c r="AJ229" s="140">
        <f>MONTH(LstMachines[[#This Row],[DatePaie]])</f>
        <v>4</v>
      </c>
      <c r="AK229" s="88" t="str">
        <f>FIXED(YEAR(LstMachines[[#This Row],[DatePaie]]),0,TRUE)</f>
        <v>2019</v>
      </c>
      <c r="AL229" s="270"/>
      <c r="AM229" s="414"/>
      <c r="AN229" s="92"/>
      <c r="AO229" s="92"/>
      <c r="AP229" s="92"/>
      <c r="AQ229" s="92"/>
      <c r="AR229" s="92"/>
      <c r="AS229" s="92"/>
      <c r="AT229" s="92"/>
      <c r="AU229" s="92"/>
      <c r="AV229" s="92"/>
      <c r="AW229" s="92"/>
      <c r="AX229" s="92"/>
      <c r="AY229" s="92"/>
      <c r="BA229" s="92"/>
      <c r="BC229" s="92"/>
      <c r="BD229" s="92"/>
      <c r="BE229" s="92"/>
    </row>
    <row r="230" spans="2:57">
      <c r="B230" s="243" t="s">
        <v>75</v>
      </c>
      <c r="C230" s="243" t="s">
        <v>36</v>
      </c>
      <c r="D230" s="245">
        <v>26</v>
      </c>
      <c r="E230" s="452" t="s">
        <v>362</v>
      </c>
      <c r="F230" s="89" t="s">
        <v>66</v>
      </c>
      <c r="G230" s="89" t="s">
        <v>106</v>
      </c>
      <c r="H230" s="246">
        <v>2</v>
      </c>
      <c r="I23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44</v>
      </c>
      <c r="J230" s="247">
        <v>43631</v>
      </c>
      <c r="K230" s="248" t="s">
        <v>461</v>
      </c>
      <c r="L230" s="398" t="s">
        <v>589</v>
      </c>
      <c r="M230" s="248"/>
      <c r="N230" s="249"/>
      <c r="O230" s="255">
        <f>MONTH(LstMachines[[#This Row],[Delivery]])</f>
        <v>6</v>
      </c>
      <c r="P230" s="256" t="str">
        <f>FIXED(YEAR(LstMachines[[#This Row],[Delivery]]),0,TRUE)</f>
        <v>2019</v>
      </c>
      <c r="Q230" s="250"/>
      <c r="R230" s="251"/>
      <c r="S230" s="249"/>
      <c r="T230" s="249"/>
      <c r="U230" s="249" t="s">
        <v>105</v>
      </c>
      <c r="V230" s="246"/>
      <c r="W230" s="248" t="s">
        <v>384</v>
      </c>
      <c r="X230" s="258">
        <f>LstMachines[[#This Row],[Delivery]]</f>
        <v>43631</v>
      </c>
      <c r="Y230" s="258" t="str">
        <f xml:space="preserve"> IF(MONTH(LstMachines[[#This Row],[DateLivr]])&lt;10,"0","") &amp; MONTH(LstMachines[[#This Row],[DateLivr]]) &amp;"-"&amp;YEAR(LstMachines[[#This Row],[DateLivr]])</f>
        <v>06-2019</v>
      </c>
      <c r="Z230" s="258">
        <f>LstMachines[[#This Row],[Delivery]]+Rglt_à_HCME</f>
        <v>43691</v>
      </c>
      <c r="AA230" s="258" t="str">
        <f xml:space="preserve"> IF(MONTH(LstMachines[[#This Row],[DatePaie]])&lt;10,"0","") &amp; MONTH(LstMachines[[#This Row],[DatePaie]])&amp;"-"&amp;YEAR(LstMachines[[#This Row],[DatePaie]])</f>
        <v>08-2019</v>
      </c>
      <c r="AB230" s="258">
        <f>LstMachines[[#This Row],[DateLivr]]+1</f>
        <v>43632</v>
      </c>
      <c r="AC230" s="258" t="str">
        <f xml:space="preserve"> IF(MONTH(LstMachines[[#This Row],[Distrib]])&lt;10,"0","") &amp; MONTH(LstMachines[[#This Row],[Distrib]]) &amp; "-" &amp; YEAR(LstMachines[[#This Row],[Distrib]])</f>
        <v>06-2019</v>
      </c>
      <c r="AD230" s="258">
        <f>LstMachines[[#This Row],[DateLivr]]+Délai_Vente</f>
        <v>43751</v>
      </c>
      <c r="AE230" s="258" t="str">
        <f xml:space="preserve"> IF(MONTH(LstMachines[[#This Row],[VteESM]])&lt;10,"0","") &amp; MONTH(LstMachines[[#This Row],[VteESM]]) &amp; "-" &amp; YEAR(LstMachines[[#This Row],[VteESM]])</f>
        <v>10-2019</v>
      </c>
      <c r="AF230" s="258">
        <f>LstMachines[[#This Row],[DateLivr]]+Rglt_à_ESMTP</f>
        <v>43691</v>
      </c>
      <c r="AG230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230" s="258">
        <f>LstMachines[[#This Row],[VteESM]]+Rglt_à_ESMTP</f>
        <v>43811</v>
      </c>
      <c r="AI230" s="258" t="str">
        <f xml:space="preserve"> IF(MONTH(LstMachines[[#This Row],[RgltVteESM]])&lt;10,"0","") &amp; MONTH(LstMachines[[#This Row],[RgltVteESM]]) &amp; "-" &amp; YEAR(LstMachines[[#This Row],[RgltVteESM]])</f>
        <v>12-2019</v>
      </c>
      <c r="AJ230" s="140">
        <f>MONTH(LstMachines[[#This Row],[DatePaie]])</f>
        <v>8</v>
      </c>
      <c r="AK230" s="88" t="str">
        <f>FIXED(YEAR(LstMachines[[#This Row],[DatePaie]]),0,TRUE)</f>
        <v>2019</v>
      </c>
      <c r="AL230" s="270"/>
      <c r="AM230" s="414"/>
      <c r="AN230" s="92"/>
      <c r="AO230" s="92"/>
      <c r="AP230" s="92"/>
      <c r="AQ230" s="92"/>
      <c r="AR230" s="92"/>
      <c r="AS230" s="92"/>
      <c r="AT230" s="92"/>
      <c r="AU230" s="92"/>
      <c r="AV230" s="92"/>
      <c r="AW230" s="92"/>
      <c r="AX230" s="92"/>
      <c r="AY230" s="92"/>
      <c r="BA230" s="92"/>
      <c r="BC230" s="92"/>
      <c r="BD230" s="92"/>
      <c r="BE230" s="92"/>
    </row>
    <row r="231" spans="2:57" hidden="1">
      <c r="B231" s="243" t="s">
        <v>262</v>
      </c>
      <c r="C231" s="243" t="s">
        <v>40</v>
      </c>
      <c r="D231" s="245">
        <v>135</v>
      </c>
      <c r="E231" s="243" t="s">
        <v>216</v>
      </c>
      <c r="F231" s="89" t="s">
        <v>66</v>
      </c>
      <c r="G231" s="87" t="s">
        <v>106</v>
      </c>
      <c r="H231" s="246">
        <v>1</v>
      </c>
      <c r="I23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31" s="247">
        <v>43511</v>
      </c>
      <c r="K231" s="248" t="s">
        <v>463</v>
      </c>
      <c r="L231" s="398" t="s">
        <v>589</v>
      </c>
      <c r="M231" s="248" t="s">
        <v>598</v>
      </c>
      <c r="N231" s="249"/>
      <c r="O231" s="255">
        <f>MONTH(LstMachines[[#This Row],[Delivery]])</f>
        <v>2</v>
      </c>
      <c r="P231" s="256" t="str">
        <f>FIXED(YEAR(LstMachines[[#This Row],[Delivery]]),0,TRUE)</f>
        <v>2019</v>
      </c>
      <c r="Q231" s="250"/>
      <c r="R231" s="251"/>
      <c r="S231" s="249"/>
      <c r="T231" s="249"/>
      <c r="U231" s="249" t="s">
        <v>105</v>
      </c>
      <c r="V231" s="246"/>
      <c r="W231" s="248" t="s">
        <v>384</v>
      </c>
      <c r="X231" s="258">
        <f>LstMachines[[#This Row],[Delivery]]</f>
        <v>43511</v>
      </c>
      <c r="Y231" s="258" t="str">
        <f xml:space="preserve"> IF(MONTH(LstMachines[[#This Row],[DateLivr]])&lt;10,"0","") &amp; MONTH(LstMachines[[#This Row],[DateLivr]]) &amp;"-"&amp;YEAR(LstMachines[[#This Row],[DateLivr]])</f>
        <v>02-2019</v>
      </c>
      <c r="Z231" s="258">
        <f>LstMachines[[#This Row],[Delivery]]+Rglt_à_HCME</f>
        <v>43571</v>
      </c>
      <c r="AA231" s="258" t="str">
        <f xml:space="preserve"> IF(MONTH(LstMachines[[#This Row],[DatePaie]])&lt;10,"0","") &amp; MONTH(LstMachines[[#This Row],[DatePaie]])&amp;"-"&amp;YEAR(LstMachines[[#This Row],[DatePaie]])</f>
        <v>04-2019</v>
      </c>
      <c r="AB231" s="258">
        <f>LstMachines[[#This Row],[DateLivr]]+1</f>
        <v>43512</v>
      </c>
      <c r="AC231" s="258" t="str">
        <f xml:space="preserve"> IF(MONTH(LstMachines[[#This Row],[Distrib]])&lt;10,"0","") &amp; MONTH(LstMachines[[#This Row],[Distrib]]) &amp; "-" &amp; YEAR(LstMachines[[#This Row],[Distrib]])</f>
        <v>02-2019</v>
      </c>
      <c r="AD231" s="258">
        <f>LstMachines[[#This Row],[DateLivr]]+Délai_Vente</f>
        <v>43631</v>
      </c>
      <c r="AE231" s="258" t="str">
        <f xml:space="preserve"> IF(MONTH(LstMachines[[#This Row],[VteESM]])&lt;10,"0","") &amp; MONTH(LstMachines[[#This Row],[VteESM]]) &amp; "-" &amp; YEAR(LstMachines[[#This Row],[VteESM]])</f>
        <v>06-2019</v>
      </c>
      <c r="AF231" s="258">
        <f>LstMachines[[#This Row],[DateLivr]]+Rglt_à_ESMTP</f>
        <v>43571</v>
      </c>
      <c r="AG231" s="258" t="str">
        <f xml:space="preserve"> IF(MONTH(LstMachines[[#This Row],[RgltDistrib]])&lt;10,"0","") &amp; MONTH(LstMachines[[#This Row],[RgltDistrib]]) &amp; "-" &amp; YEAR(LstMachines[[#This Row],[RgltDistrib]])</f>
        <v>04-2019</v>
      </c>
      <c r="AH231" s="258">
        <f>LstMachines[[#This Row],[VteESM]]+Rglt_à_ESMTP</f>
        <v>43691</v>
      </c>
      <c r="AI231" s="258" t="str">
        <f xml:space="preserve"> IF(MONTH(LstMachines[[#This Row],[RgltVteESM]])&lt;10,"0","") &amp; MONTH(LstMachines[[#This Row],[RgltVteESM]]) &amp; "-" &amp; YEAR(LstMachines[[#This Row],[RgltVteESM]])</f>
        <v>08-2019</v>
      </c>
      <c r="AJ231" s="140">
        <f>MONTH(LstMachines[[#This Row],[DatePaie]])</f>
        <v>4</v>
      </c>
      <c r="AK231" s="88" t="str">
        <f>FIXED(YEAR(LstMachines[[#This Row],[DatePaie]]),0,TRUE)</f>
        <v>2019</v>
      </c>
      <c r="AL231" s="270"/>
      <c r="AM231" s="414"/>
      <c r="AN231" s="92"/>
      <c r="AO231" s="92"/>
      <c r="AP231" s="92"/>
      <c r="AQ231" s="92"/>
      <c r="AR231" s="92"/>
      <c r="AS231" s="92"/>
      <c r="AT231" s="92"/>
      <c r="AU231" s="92"/>
      <c r="AV231" s="92"/>
      <c r="AW231" s="92"/>
      <c r="AX231" s="92"/>
      <c r="AY231" s="92"/>
      <c r="BA231" s="92"/>
      <c r="BC231" s="92"/>
      <c r="BD231" s="92"/>
      <c r="BE231" s="92"/>
    </row>
    <row r="232" spans="2:57" hidden="1">
      <c r="B232" s="243" t="s">
        <v>262</v>
      </c>
      <c r="C232" s="243" t="s">
        <v>39</v>
      </c>
      <c r="D232" s="245">
        <v>85</v>
      </c>
      <c r="E232" s="243" t="s">
        <v>356</v>
      </c>
      <c r="F232" s="89" t="s">
        <v>66</v>
      </c>
      <c r="G232" s="87" t="s">
        <v>106</v>
      </c>
      <c r="H232" s="246">
        <v>2</v>
      </c>
      <c r="I23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232" s="247">
        <v>43511</v>
      </c>
      <c r="K232" s="248" t="s">
        <v>463</v>
      </c>
      <c r="L232" s="398" t="s">
        <v>589</v>
      </c>
      <c r="M232" s="248" t="s">
        <v>598</v>
      </c>
      <c r="N232" s="249"/>
      <c r="O232" s="255">
        <f>MONTH(LstMachines[[#This Row],[Delivery]])</f>
        <v>2</v>
      </c>
      <c r="P232" s="256" t="str">
        <f>FIXED(YEAR(LstMachines[[#This Row],[Delivery]]),0,TRUE)</f>
        <v>2019</v>
      </c>
      <c r="Q232" s="250"/>
      <c r="R232" s="251"/>
      <c r="S232" s="249"/>
      <c r="T232" s="249"/>
      <c r="U232" s="249" t="s">
        <v>105</v>
      </c>
      <c r="V232" s="246"/>
      <c r="W232" s="248" t="s">
        <v>384</v>
      </c>
      <c r="X232" s="258">
        <f>LstMachines[[#This Row],[Delivery]]</f>
        <v>43511</v>
      </c>
      <c r="Y232" s="258" t="str">
        <f xml:space="preserve"> IF(MONTH(LstMachines[[#This Row],[DateLivr]])&lt;10,"0","") &amp; MONTH(LstMachines[[#This Row],[DateLivr]]) &amp;"-"&amp;YEAR(LstMachines[[#This Row],[DateLivr]])</f>
        <v>02-2019</v>
      </c>
      <c r="Z232" s="258">
        <f>LstMachines[[#This Row],[Delivery]]+Rglt_à_HCME</f>
        <v>43571</v>
      </c>
      <c r="AA232" s="258" t="str">
        <f xml:space="preserve"> IF(MONTH(LstMachines[[#This Row],[DatePaie]])&lt;10,"0","") &amp; MONTH(LstMachines[[#This Row],[DatePaie]])&amp;"-"&amp;YEAR(LstMachines[[#This Row],[DatePaie]])</f>
        <v>04-2019</v>
      </c>
      <c r="AB232" s="258">
        <f>LstMachines[[#This Row],[DateLivr]]+1</f>
        <v>43512</v>
      </c>
      <c r="AC232" s="258" t="str">
        <f xml:space="preserve"> IF(MONTH(LstMachines[[#This Row],[Distrib]])&lt;10,"0","") &amp; MONTH(LstMachines[[#This Row],[Distrib]]) &amp; "-" &amp; YEAR(LstMachines[[#This Row],[Distrib]])</f>
        <v>02-2019</v>
      </c>
      <c r="AD232" s="258">
        <f>LstMachines[[#This Row],[DateLivr]]+Délai_Vente</f>
        <v>43631</v>
      </c>
      <c r="AE232" s="258" t="str">
        <f xml:space="preserve"> IF(MONTH(LstMachines[[#This Row],[VteESM]])&lt;10,"0","") &amp; MONTH(LstMachines[[#This Row],[VteESM]]) &amp; "-" &amp; YEAR(LstMachines[[#This Row],[VteESM]])</f>
        <v>06-2019</v>
      </c>
      <c r="AF232" s="258">
        <f>LstMachines[[#This Row],[DateLivr]]+Rglt_à_ESMTP</f>
        <v>43571</v>
      </c>
      <c r="AG232" s="258" t="str">
        <f xml:space="preserve"> IF(MONTH(LstMachines[[#This Row],[RgltDistrib]])&lt;10,"0","") &amp; MONTH(LstMachines[[#This Row],[RgltDistrib]]) &amp; "-" &amp; YEAR(LstMachines[[#This Row],[RgltDistrib]])</f>
        <v>04-2019</v>
      </c>
      <c r="AH232" s="258">
        <f>LstMachines[[#This Row],[VteESM]]+Rglt_à_ESMTP</f>
        <v>43691</v>
      </c>
      <c r="AI232" s="258" t="str">
        <f xml:space="preserve"> IF(MONTH(LstMachines[[#This Row],[RgltVteESM]])&lt;10,"0","") &amp; MONTH(LstMachines[[#This Row],[RgltVteESM]]) &amp; "-" &amp; YEAR(LstMachines[[#This Row],[RgltVteESM]])</f>
        <v>08-2019</v>
      </c>
      <c r="AJ232" s="140">
        <f>MONTH(LstMachines[[#This Row],[DatePaie]])</f>
        <v>4</v>
      </c>
      <c r="AK232" s="88" t="str">
        <f>FIXED(YEAR(LstMachines[[#This Row],[DatePaie]]),0,TRUE)</f>
        <v>2019</v>
      </c>
      <c r="AL232" s="270"/>
      <c r="AM232" s="414"/>
      <c r="AN232" s="92"/>
      <c r="AO232" s="92"/>
      <c r="AP232" s="92"/>
      <c r="AQ232" s="92"/>
      <c r="AR232" s="92"/>
      <c r="AS232" s="92"/>
      <c r="AT232" s="92"/>
      <c r="AU232" s="92"/>
      <c r="AV232" s="92"/>
      <c r="AW232" s="92"/>
      <c r="AX232" s="92"/>
      <c r="AY232" s="92"/>
      <c r="BA232" s="92"/>
      <c r="BC232" s="92"/>
      <c r="BD232" s="92"/>
      <c r="BE232" s="92"/>
    </row>
    <row r="233" spans="2:57">
      <c r="B233" s="243" t="s">
        <v>75</v>
      </c>
      <c r="C233" s="243" t="s">
        <v>37</v>
      </c>
      <c r="D233" s="245">
        <v>48</v>
      </c>
      <c r="E233" s="452" t="s">
        <v>363</v>
      </c>
      <c r="F233" s="89" t="s">
        <v>66</v>
      </c>
      <c r="G233" s="89" t="s">
        <v>106</v>
      </c>
      <c r="H233" s="246">
        <v>2</v>
      </c>
      <c r="I23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82</v>
      </c>
      <c r="J233" s="247">
        <v>43631</v>
      </c>
      <c r="K233" s="248" t="s">
        <v>461</v>
      </c>
      <c r="L233" s="398" t="s">
        <v>589</v>
      </c>
      <c r="M233" s="248"/>
      <c r="N233" s="249"/>
      <c r="O233" s="255">
        <f>MONTH(LstMachines[[#This Row],[Delivery]])</f>
        <v>6</v>
      </c>
      <c r="P233" s="256" t="str">
        <f>FIXED(YEAR(LstMachines[[#This Row],[Delivery]]),0,TRUE)</f>
        <v>2019</v>
      </c>
      <c r="Q233" s="250"/>
      <c r="R233" s="251"/>
      <c r="S233" s="249"/>
      <c r="T233" s="249"/>
      <c r="U233" s="249" t="s">
        <v>105</v>
      </c>
      <c r="V233" s="246"/>
      <c r="W233" s="248" t="s">
        <v>384</v>
      </c>
      <c r="X233" s="258">
        <f>LstMachines[[#This Row],[Delivery]]</f>
        <v>43631</v>
      </c>
      <c r="Y233" s="258" t="str">
        <f xml:space="preserve"> IF(MONTH(LstMachines[[#This Row],[DateLivr]])&lt;10,"0","") &amp; MONTH(LstMachines[[#This Row],[DateLivr]]) &amp;"-"&amp;YEAR(LstMachines[[#This Row],[DateLivr]])</f>
        <v>06-2019</v>
      </c>
      <c r="Z233" s="258">
        <f>LstMachines[[#This Row],[Delivery]]+Rglt_à_HCME</f>
        <v>43691</v>
      </c>
      <c r="AA233" s="258" t="str">
        <f xml:space="preserve"> IF(MONTH(LstMachines[[#This Row],[DatePaie]])&lt;10,"0","") &amp; MONTH(LstMachines[[#This Row],[DatePaie]])&amp;"-"&amp;YEAR(LstMachines[[#This Row],[DatePaie]])</f>
        <v>08-2019</v>
      </c>
      <c r="AB233" s="258">
        <f>LstMachines[[#This Row],[DateLivr]]+1</f>
        <v>43632</v>
      </c>
      <c r="AC233" s="258" t="str">
        <f xml:space="preserve"> IF(MONTH(LstMachines[[#This Row],[Distrib]])&lt;10,"0","") &amp; MONTH(LstMachines[[#This Row],[Distrib]]) &amp; "-" &amp; YEAR(LstMachines[[#This Row],[Distrib]])</f>
        <v>06-2019</v>
      </c>
      <c r="AD233" s="258">
        <f>LstMachines[[#This Row],[DateLivr]]+Délai_Vente</f>
        <v>43751</v>
      </c>
      <c r="AE233" s="258" t="str">
        <f xml:space="preserve"> IF(MONTH(LstMachines[[#This Row],[VteESM]])&lt;10,"0","") &amp; MONTH(LstMachines[[#This Row],[VteESM]]) &amp; "-" &amp; YEAR(LstMachines[[#This Row],[VteESM]])</f>
        <v>10-2019</v>
      </c>
      <c r="AF233" s="258">
        <f>LstMachines[[#This Row],[DateLivr]]+Rglt_à_ESMTP</f>
        <v>43691</v>
      </c>
      <c r="AG233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233" s="258">
        <f>LstMachines[[#This Row],[VteESM]]+Rglt_à_ESMTP</f>
        <v>43811</v>
      </c>
      <c r="AI233" s="258" t="str">
        <f xml:space="preserve"> IF(MONTH(LstMachines[[#This Row],[RgltVteESM]])&lt;10,"0","") &amp; MONTH(LstMachines[[#This Row],[RgltVteESM]]) &amp; "-" &amp; YEAR(LstMachines[[#This Row],[RgltVteESM]])</f>
        <v>12-2019</v>
      </c>
      <c r="AJ233" s="140">
        <f>MONTH(LstMachines[[#This Row],[DatePaie]])</f>
        <v>8</v>
      </c>
      <c r="AK233" s="88" t="str">
        <f>FIXED(YEAR(LstMachines[[#This Row],[DatePaie]]),0,TRUE)</f>
        <v>2019</v>
      </c>
      <c r="AL233" s="270"/>
      <c r="AM233" s="416"/>
      <c r="AN233" s="92"/>
      <c r="AO233" s="92"/>
      <c r="AP233" s="92"/>
      <c r="AQ233" s="92"/>
      <c r="AR233" s="92"/>
      <c r="AS233" s="92"/>
      <c r="AT233" s="92"/>
      <c r="AU233" s="92"/>
      <c r="AV233" s="92"/>
      <c r="AW233" s="92"/>
      <c r="AX233" s="92"/>
      <c r="AY233" s="92"/>
      <c r="BA233" s="92"/>
      <c r="BC233" s="92"/>
      <c r="BD233" s="92"/>
      <c r="BE233" s="92"/>
    </row>
    <row r="234" spans="2:57">
      <c r="B234" s="243" t="s">
        <v>262</v>
      </c>
      <c r="C234" s="243" t="s">
        <v>39</v>
      </c>
      <c r="D234" s="245">
        <v>85</v>
      </c>
      <c r="E234" s="452" t="s">
        <v>356</v>
      </c>
      <c r="F234" s="89" t="s">
        <v>66</v>
      </c>
      <c r="G234" s="87" t="s">
        <v>106</v>
      </c>
      <c r="H234" s="246">
        <v>2</v>
      </c>
      <c r="I23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234" s="247">
        <v>43631</v>
      </c>
      <c r="K234" s="248" t="s">
        <v>461</v>
      </c>
      <c r="L234" s="398" t="s">
        <v>589</v>
      </c>
      <c r="M234" s="248"/>
      <c r="N234" s="249"/>
      <c r="O234" s="255">
        <f>MONTH(LstMachines[[#This Row],[Delivery]])</f>
        <v>6</v>
      </c>
      <c r="P234" s="256" t="str">
        <f>FIXED(YEAR(LstMachines[[#This Row],[Delivery]]),0,TRUE)</f>
        <v>2019</v>
      </c>
      <c r="Q234" s="250"/>
      <c r="R234" s="251"/>
      <c r="S234" s="249"/>
      <c r="T234" s="249"/>
      <c r="U234" s="249" t="s">
        <v>105</v>
      </c>
      <c r="V234" s="246"/>
      <c r="W234" s="248" t="s">
        <v>384</v>
      </c>
      <c r="X234" s="258">
        <f>LstMachines[[#This Row],[Delivery]]</f>
        <v>43631</v>
      </c>
      <c r="Y234" s="258" t="str">
        <f xml:space="preserve"> IF(MONTH(LstMachines[[#This Row],[DateLivr]])&lt;10,"0","") &amp; MONTH(LstMachines[[#This Row],[DateLivr]]) &amp;"-"&amp;YEAR(LstMachines[[#This Row],[DateLivr]])</f>
        <v>06-2019</v>
      </c>
      <c r="Z234" s="258">
        <f>LstMachines[[#This Row],[Delivery]]+Rglt_à_HCME</f>
        <v>43691</v>
      </c>
      <c r="AA234" s="258" t="str">
        <f xml:space="preserve"> IF(MONTH(LstMachines[[#This Row],[DatePaie]])&lt;10,"0","") &amp; MONTH(LstMachines[[#This Row],[DatePaie]])&amp;"-"&amp;YEAR(LstMachines[[#This Row],[DatePaie]])</f>
        <v>08-2019</v>
      </c>
      <c r="AB234" s="258">
        <f>LstMachines[[#This Row],[DateLivr]]+1</f>
        <v>43632</v>
      </c>
      <c r="AC234" s="258" t="str">
        <f xml:space="preserve"> IF(MONTH(LstMachines[[#This Row],[Distrib]])&lt;10,"0","") &amp; MONTH(LstMachines[[#This Row],[Distrib]]) &amp; "-" &amp; YEAR(LstMachines[[#This Row],[Distrib]])</f>
        <v>06-2019</v>
      </c>
      <c r="AD234" s="258">
        <f>LstMachines[[#This Row],[DateLivr]]+Délai_Vente</f>
        <v>43751</v>
      </c>
      <c r="AE234" s="258" t="str">
        <f xml:space="preserve"> IF(MONTH(LstMachines[[#This Row],[VteESM]])&lt;10,"0","") &amp; MONTH(LstMachines[[#This Row],[VteESM]]) &amp; "-" &amp; YEAR(LstMachines[[#This Row],[VteESM]])</f>
        <v>10-2019</v>
      </c>
      <c r="AF234" s="258">
        <f>LstMachines[[#This Row],[DateLivr]]+Rglt_à_ESMTP</f>
        <v>43691</v>
      </c>
      <c r="AG234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234" s="258">
        <f>LstMachines[[#This Row],[VteESM]]+Rglt_à_ESMTP</f>
        <v>43811</v>
      </c>
      <c r="AI234" s="258" t="str">
        <f xml:space="preserve"> IF(MONTH(LstMachines[[#This Row],[RgltVteESM]])&lt;10,"0","") &amp; MONTH(LstMachines[[#This Row],[RgltVteESM]]) &amp; "-" &amp; YEAR(LstMachines[[#This Row],[RgltVteESM]])</f>
        <v>12-2019</v>
      </c>
      <c r="AJ234" s="140">
        <f>MONTH(LstMachines[[#This Row],[DatePaie]])</f>
        <v>8</v>
      </c>
      <c r="AK234" s="88" t="str">
        <f>FIXED(YEAR(LstMachines[[#This Row],[DatePaie]]),0,TRUE)</f>
        <v>2019</v>
      </c>
      <c r="AL234" s="270"/>
      <c r="AM234" s="414"/>
      <c r="AN234" s="92"/>
      <c r="AO234" s="92"/>
      <c r="AP234" s="92"/>
      <c r="AQ234" s="92"/>
      <c r="AR234" s="92"/>
      <c r="AS234" s="92"/>
      <c r="AT234" s="92"/>
      <c r="AU234" s="92"/>
      <c r="AV234" s="92"/>
      <c r="AW234" s="92"/>
      <c r="AX234" s="92"/>
      <c r="AY234" s="92"/>
      <c r="BA234" s="92"/>
      <c r="BC234" s="92"/>
      <c r="BD234" s="92"/>
      <c r="BE234" s="92"/>
    </row>
    <row r="235" spans="2:57" hidden="1">
      <c r="B235" s="243" t="s">
        <v>75</v>
      </c>
      <c r="C235" s="243" t="s">
        <v>36</v>
      </c>
      <c r="D235" s="245">
        <v>26</v>
      </c>
      <c r="E235" s="243" t="s">
        <v>355</v>
      </c>
      <c r="F235" s="89" t="s">
        <v>66</v>
      </c>
      <c r="G235" s="89" t="s">
        <v>106</v>
      </c>
      <c r="H235" s="246">
        <v>1</v>
      </c>
      <c r="I23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235" s="247">
        <v>43480</v>
      </c>
      <c r="K235" s="248" t="s">
        <v>463</v>
      </c>
      <c r="L235" s="398" t="s">
        <v>589</v>
      </c>
      <c r="M235" s="248" t="s">
        <v>598</v>
      </c>
      <c r="N235" s="249"/>
      <c r="O235" s="255">
        <f>MONTH(LstMachines[[#This Row],[Delivery]])</f>
        <v>1</v>
      </c>
      <c r="P235" s="256" t="str">
        <f>FIXED(YEAR(LstMachines[[#This Row],[Delivery]]),0,TRUE)</f>
        <v>2019</v>
      </c>
      <c r="Q235" s="250"/>
      <c r="R235" s="251"/>
      <c r="S235" s="249"/>
      <c r="T235" s="249"/>
      <c r="U235" s="249" t="s">
        <v>105</v>
      </c>
      <c r="V235" s="246"/>
      <c r="W235" s="248" t="s">
        <v>384</v>
      </c>
      <c r="X235" s="258">
        <f>LstMachines[[#This Row],[Delivery]]</f>
        <v>43480</v>
      </c>
      <c r="Y235" s="258" t="str">
        <f xml:space="preserve"> IF(MONTH(LstMachines[[#This Row],[DateLivr]])&lt;10,"0","") &amp; MONTH(LstMachines[[#This Row],[DateLivr]]) &amp;"-"&amp;YEAR(LstMachines[[#This Row],[DateLivr]])</f>
        <v>01-2019</v>
      </c>
      <c r="Z235" s="258">
        <f>LstMachines[[#This Row],[Delivery]]+Rglt_à_HCME</f>
        <v>43540</v>
      </c>
      <c r="AA235" s="258" t="str">
        <f xml:space="preserve"> IF(MONTH(LstMachines[[#This Row],[DatePaie]])&lt;10,"0","") &amp; MONTH(LstMachines[[#This Row],[DatePaie]])&amp;"-"&amp;YEAR(LstMachines[[#This Row],[DatePaie]])</f>
        <v>03-2019</v>
      </c>
      <c r="AB235" s="258">
        <f>LstMachines[[#This Row],[DateLivr]]+1</f>
        <v>43481</v>
      </c>
      <c r="AC235" s="258" t="str">
        <f xml:space="preserve"> IF(MONTH(LstMachines[[#This Row],[Distrib]])&lt;10,"0","") &amp; MONTH(LstMachines[[#This Row],[Distrib]]) &amp; "-" &amp; YEAR(LstMachines[[#This Row],[Distrib]])</f>
        <v>01-2019</v>
      </c>
      <c r="AD235" s="258">
        <f>LstMachines[[#This Row],[DateLivr]]+Délai_Vente</f>
        <v>43600</v>
      </c>
      <c r="AE235" s="258" t="str">
        <f xml:space="preserve"> IF(MONTH(LstMachines[[#This Row],[VteESM]])&lt;10,"0","") &amp; MONTH(LstMachines[[#This Row],[VteESM]]) &amp; "-" &amp; YEAR(LstMachines[[#This Row],[VteESM]])</f>
        <v>05-2019</v>
      </c>
      <c r="AF235" s="258">
        <f>LstMachines[[#This Row],[DateLivr]]+Rglt_à_ESMTP</f>
        <v>43540</v>
      </c>
      <c r="AG235" s="258" t="str">
        <f xml:space="preserve"> IF(MONTH(LstMachines[[#This Row],[RgltDistrib]])&lt;10,"0","") &amp; MONTH(LstMachines[[#This Row],[RgltDistrib]]) &amp; "-" &amp; YEAR(LstMachines[[#This Row],[RgltDistrib]])</f>
        <v>03-2019</v>
      </c>
      <c r="AH235" s="258">
        <f>LstMachines[[#This Row],[VteESM]]+Rglt_à_ESMTP</f>
        <v>43660</v>
      </c>
      <c r="AI235" s="258" t="str">
        <f xml:space="preserve"> IF(MONTH(LstMachines[[#This Row],[RgltVteESM]])&lt;10,"0","") &amp; MONTH(LstMachines[[#This Row],[RgltVteESM]]) &amp; "-" &amp; YEAR(LstMachines[[#This Row],[RgltVteESM]])</f>
        <v>07-2019</v>
      </c>
      <c r="AJ235" s="140">
        <f>MONTH(LstMachines[[#This Row],[DatePaie]])</f>
        <v>3</v>
      </c>
      <c r="AK235" s="88" t="str">
        <f>FIXED(YEAR(LstMachines[[#This Row],[DatePaie]]),0,TRUE)</f>
        <v>2019</v>
      </c>
      <c r="AL235" s="270"/>
      <c r="AM235" s="414"/>
      <c r="AN235" s="92"/>
      <c r="AO235" s="92"/>
      <c r="AP235" s="92"/>
      <c r="AQ235" s="92"/>
      <c r="AR235" s="92"/>
      <c r="AS235" s="92"/>
      <c r="AT235" s="92"/>
      <c r="AU235" s="92"/>
      <c r="AV235" s="92"/>
      <c r="AW235" s="92"/>
      <c r="AX235" s="92"/>
      <c r="AY235" s="92"/>
      <c r="BA235" s="92"/>
      <c r="BC235" s="92"/>
      <c r="BD235" s="92"/>
      <c r="BE235" s="92"/>
    </row>
    <row r="236" spans="2:57" hidden="1">
      <c r="B236" s="243" t="s">
        <v>262</v>
      </c>
      <c r="C236" s="243" t="s">
        <v>39</v>
      </c>
      <c r="D236" s="245">
        <v>85</v>
      </c>
      <c r="E236" s="243" t="s">
        <v>356</v>
      </c>
      <c r="F236" s="89" t="s">
        <v>66</v>
      </c>
      <c r="G236" s="87" t="s">
        <v>106</v>
      </c>
      <c r="H236" s="246">
        <v>2</v>
      </c>
      <c r="I23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236" s="247">
        <v>43480</v>
      </c>
      <c r="K236" s="248" t="s">
        <v>463</v>
      </c>
      <c r="L236" s="398" t="s">
        <v>589</v>
      </c>
      <c r="M236" s="248" t="s">
        <v>598</v>
      </c>
      <c r="N236" s="249"/>
      <c r="O236" s="255">
        <f>MONTH(LstMachines[[#This Row],[Delivery]])</f>
        <v>1</v>
      </c>
      <c r="P236" s="256" t="str">
        <f>FIXED(YEAR(LstMachines[[#This Row],[Delivery]]),0,TRUE)</f>
        <v>2019</v>
      </c>
      <c r="Q236" s="250"/>
      <c r="R236" s="251"/>
      <c r="S236" s="249"/>
      <c r="T236" s="249"/>
      <c r="U236" s="249" t="s">
        <v>105</v>
      </c>
      <c r="V236" s="246"/>
      <c r="W236" s="248" t="s">
        <v>384</v>
      </c>
      <c r="X236" s="258">
        <f>LstMachines[[#This Row],[Delivery]]</f>
        <v>43480</v>
      </c>
      <c r="Y236" s="258" t="str">
        <f xml:space="preserve"> IF(MONTH(LstMachines[[#This Row],[DateLivr]])&lt;10,"0","") &amp; MONTH(LstMachines[[#This Row],[DateLivr]]) &amp;"-"&amp;YEAR(LstMachines[[#This Row],[DateLivr]])</f>
        <v>01-2019</v>
      </c>
      <c r="Z236" s="258">
        <f>LstMachines[[#This Row],[Delivery]]+Rglt_à_HCME</f>
        <v>43540</v>
      </c>
      <c r="AA236" s="258" t="str">
        <f xml:space="preserve"> IF(MONTH(LstMachines[[#This Row],[DatePaie]])&lt;10,"0","") &amp; MONTH(LstMachines[[#This Row],[DatePaie]])&amp;"-"&amp;YEAR(LstMachines[[#This Row],[DatePaie]])</f>
        <v>03-2019</v>
      </c>
      <c r="AB236" s="258">
        <f>LstMachines[[#This Row],[DateLivr]]+1</f>
        <v>43481</v>
      </c>
      <c r="AC236" s="258" t="str">
        <f xml:space="preserve"> IF(MONTH(LstMachines[[#This Row],[Distrib]])&lt;10,"0","") &amp; MONTH(LstMachines[[#This Row],[Distrib]]) &amp; "-" &amp; YEAR(LstMachines[[#This Row],[Distrib]])</f>
        <v>01-2019</v>
      </c>
      <c r="AD236" s="258">
        <f>LstMachines[[#This Row],[DateLivr]]+Délai_Vente</f>
        <v>43600</v>
      </c>
      <c r="AE236" s="258" t="str">
        <f xml:space="preserve"> IF(MONTH(LstMachines[[#This Row],[VteESM]])&lt;10,"0","") &amp; MONTH(LstMachines[[#This Row],[VteESM]]) &amp; "-" &amp; YEAR(LstMachines[[#This Row],[VteESM]])</f>
        <v>05-2019</v>
      </c>
      <c r="AF236" s="258">
        <f>LstMachines[[#This Row],[DateLivr]]+Rglt_à_ESMTP</f>
        <v>43540</v>
      </c>
      <c r="AG236" s="258" t="str">
        <f xml:space="preserve"> IF(MONTH(LstMachines[[#This Row],[RgltDistrib]])&lt;10,"0","") &amp; MONTH(LstMachines[[#This Row],[RgltDistrib]]) &amp; "-" &amp; YEAR(LstMachines[[#This Row],[RgltDistrib]])</f>
        <v>03-2019</v>
      </c>
      <c r="AH236" s="258">
        <f>LstMachines[[#This Row],[VteESM]]+Rglt_à_ESMTP</f>
        <v>43660</v>
      </c>
      <c r="AI236" s="258" t="str">
        <f xml:space="preserve"> IF(MONTH(LstMachines[[#This Row],[RgltVteESM]])&lt;10,"0","") &amp; MONTH(LstMachines[[#This Row],[RgltVteESM]]) &amp; "-" &amp; YEAR(LstMachines[[#This Row],[RgltVteESM]])</f>
        <v>07-2019</v>
      </c>
      <c r="AJ236" s="140">
        <f>MONTH(LstMachines[[#This Row],[DatePaie]])</f>
        <v>3</v>
      </c>
      <c r="AK236" s="88" t="str">
        <f>FIXED(YEAR(LstMachines[[#This Row],[DatePaie]]),0,TRUE)</f>
        <v>2019</v>
      </c>
      <c r="AL236" s="270"/>
      <c r="AM236" s="414"/>
      <c r="AN236" s="92"/>
      <c r="AO236" s="92"/>
      <c r="AP236" s="92"/>
      <c r="AQ236" s="92"/>
      <c r="AR236" s="92"/>
      <c r="AS236" s="92"/>
      <c r="AT236" s="92"/>
      <c r="AU236" s="92"/>
      <c r="AV236" s="92"/>
      <c r="AW236" s="92"/>
      <c r="AX236" s="92"/>
      <c r="AY236" s="92"/>
      <c r="BA236" s="92"/>
      <c r="BC236" s="92"/>
      <c r="BD236" s="92"/>
      <c r="BE236" s="92"/>
    </row>
    <row r="237" spans="2:57" hidden="1">
      <c r="B237" s="243" t="s">
        <v>259</v>
      </c>
      <c r="C237" s="243" t="s">
        <v>48</v>
      </c>
      <c r="D237" s="245">
        <v>75</v>
      </c>
      <c r="E237" s="243" t="s">
        <v>374</v>
      </c>
      <c r="F237" s="89" t="s">
        <v>66</v>
      </c>
      <c r="G237" s="89" t="s">
        <v>106</v>
      </c>
      <c r="H237" s="246">
        <v>1</v>
      </c>
      <c r="I23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105</v>
      </c>
      <c r="J237" s="247">
        <v>43466</v>
      </c>
      <c r="K237" s="248" t="s">
        <v>463</v>
      </c>
      <c r="L237" s="398" t="s">
        <v>589</v>
      </c>
      <c r="M237" s="248" t="s">
        <v>599</v>
      </c>
      <c r="N237" s="249"/>
      <c r="O237" s="255">
        <f>MONTH(LstMachines[[#This Row],[Delivery]])</f>
        <v>1</v>
      </c>
      <c r="P237" s="256" t="str">
        <f>FIXED(YEAR(LstMachines[[#This Row],[Delivery]]),0,TRUE)</f>
        <v>2019</v>
      </c>
      <c r="Q237" s="250"/>
      <c r="R237" s="251"/>
      <c r="S237" s="249"/>
      <c r="T237" s="249"/>
      <c r="U237" s="249" t="s">
        <v>105</v>
      </c>
      <c r="V237" s="246"/>
      <c r="W237" s="248" t="s">
        <v>384</v>
      </c>
      <c r="X237" s="258">
        <f>LstMachines[[#This Row],[Delivery]]</f>
        <v>43466</v>
      </c>
      <c r="Y237" s="258" t="str">
        <f xml:space="preserve"> IF(MONTH(LstMachines[[#This Row],[DateLivr]])&lt;10,"0","") &amp; MONTH(LstMachines[[#This Row],[DateLivr]]) &amp;"-"&amp;YEAR(LstMachines[[#This Row],[DateLivr]])</f>
        <v>01-2019</v>
      </c>
      <c r="Z237" s="258">
        <f>LstMachines[[#This Row],[Delivery]]+Rglt_à_HCME</f>
        <v>43526</v>
      </c>
      <c r="AA237" s="258" t="str">
        <f xml:space="preserve"> IF(MONTH(LstMachines[[#This Row],[DatePaie]])&lt;10,"0","") &amp; MONTH(LstMachines[[#This Row],[DatePaie]])&amp;"-"&amp;YEAR(LstMachines[[#This Row],[DatePaie]])</f>
        <v>03-2019</v>
      </c>
      <c r="AB237" s="258">
        <f>LstMachines[[#This Row],[DateLivr]]+1</f>
        <v>43467</v>
      </c>
      <c r="AC237" s="258" t="str">
        <f xml:space="preserve"> IF(MONTH(LstMachines[[#This Row],[Distrib]])&lt;10,"0","") &amp; MONTH(LstMachines[[#This Row],[Distrib]]) &amp; "-" &amp; YEAR(LstMachines[[#This Row],[Distrib]])</f>
        <v>01-2019</v>
      </c>
      <c r="AD237" s="258">
        <f>LstMachines[[#This Row],[DateLivr]]+Délai_Vente</f>
        <v>43586</v>
      </c>
      <c r="AE237" s="258" t="str">
        <f xml:space="preserve"> IF(MONTH(LstMachines[[#This Row],[VteESM]])&lt;10,"0","") &amp; MONTH(LstMachines[[#This Row],[VteESM]]) &amp; "-" &amp; YEAR(LstMachines[[#This Row],[VteESM]])</f>
        <v>05-2019</v>
      </c>
      <c r="AF237" s="258">
        <f>LstMachines[[#This Row],[DateLivr]]+Rglt_à_ESMTP</f>
        <v>43526</v>
      </c>
      <c r="AG237" s="258" t="str">
        <f xml:space="preserve"> IF(MONTH(LstMachines[[#This Row],[RgltDistrib]])&lt;10,"0","") &amp; MONTH(LstMachines[[#This Row],[RgltDistrib]]) &amp; "-" &amp; YEAR(LstMachines[[#This Row],[RgltDistrib]])</f>
        <v>03-2019</v>
      </c>
      <c r="AH237" s="258">
        <f>LstMachines[[#This Row],[VteESM]]+Rglt_à_ESMTP</f>
        <v>43646</v>
      </c>
      <c r="AI237" s="258" t="str">
        <f xml:space="preserve"> IF(MONTH(LstMachines[[#This Row],[RgltVteESM]])&lt;10,"0","") &amp; MONTH(LstMachines[[#This Row],[RgltVteESM]]) &amp; "-" &amp; YEAR(LstMachines[[#This Row],[RgltVteESM]])</f>
        <v>06-2019</v>
      </c>
      <c r="AJ237" s="140">
        <f>MONTH(LstMachines[[#This Row],[DatePaie]])</f>
        <v>3</v>
      </c>
      <c r="AK237" s="88" t="str">
        <f>FIXED(YEAR(LstMachines[[#This Row],[DatePaie]]),0,TRUE)</f>
        <v>2019</v>
      </c>
      <c r="AL237" s="270"/>
      <c r="AM237" s="416">
        <v>43466</v>
      </c>
      <c r="AN237" s="92"/>
      <c r="AO237" s="92"/>
      <c r="AP237" s="92"/>
      <c r="AQ237" s="92"/>
      <c r="AR237" s="92"/>
      <c r="AS237" s="92"/>
      <c r="AT237" s="92"/>
      <c r="AU237" s="92"/>
      <c r="AV237" s="92"/>
      <c r="AW237" s="92"/>
      <c r="AX237" s="92"/>
      <c r="AY237" s="92"/>
      <c r="BA237" s="92"/>
      <c r="BC237" s="92"/>
      <c r="BD237" s="92"/>
      <c r="BE237" s="92"/>
    </row>
    <row r="238" spans="2:57" hidden="1">
      <c r="B238" s="243" t="s">
        <v>259</v>
      </c>
      <c r="C238" s="243" t="s">
        <v>48</v>
      </c>
      <c r="D238" s="245">
        <v>220</v>
      </c>
      <c r="E238" s="243" t="s">
        <v>171</v>
      </c>
      <c r="F238" s="89" t="s">
        <v>66</v>
      </c>
      <c r="G238" s="89" t="s">
        <v>106</v>
      </c>
      <c r="H238" s="246">
        <v>1</v>
      </c>
      <c r="I23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105</v>
      </c>
      <c r="J238" s="247">
        <v>43449</v>
      </c>
      <c r="K238" s="248" t="s">
        <v>463</v>
      </c>
      <c r="L238" s="398" t="s">
        <v>589</v>
      </c>
      <c r="M238" s="248" t="s">
        <v>598</v>
      </c>
      <c r="N238" s="249"/>
      <c r="O238" s="255">
        <f>MONTH(LstMachines[[#This Row],[Delivery]])</f>
        <v>12</v>
      </c>
      <c r="P238" s="256" t="str">
        <f>FIXED(YEAR(LstMachines[[#This Row],[Delivery]]),0,TRUE)</f>
        <v>2018</v>
      </c>
      <c r="Q238" s="250"/>
      <c r="R238" s="251"/>
      <c r="S238" s="249"/>
      <c r="T238" s="249"/>
      <c r="U238" s="249" t="s">
        <v>105</v>
      </c>
      <c r="V238" s="246"/>
      <c r="W238" s="248" t="s">
        <v>384</v>
      </c>
      <c r="X238" s="258">
        <f>LstMachines[[#This Row],[Delivery]]</f>
        <v>43449</v>
      </c>
      <c r="Y238" s="258" t="str">
        <f xml:space="preserve"> IF(MONTH(LstMachines[[#This Row],[DateLivr]])&lt;10,"0","") &amp; MONTH(LstMachines[[#This Row],[DateLivr]]) &amp;"-"&amp;YEAR(LstMachines[[#This Row],[DateLivr]])</f>
        <v>12-2018</v>
      </c>
      <c r="Z238" s="258">
        <f>LstMachines[[#This Row],[Delivery]]+Rglt_à_HCME</f>
        <v>43509</v>
      </c>
      <c r="AA238" s="258" t="str">
        <f xml:space="preserve"> IF(MONTH(LstMachines[[#This Row],[DatePaie]])&lt;10,"0","") &amp; MONTH(LstMachines[[#This Row],[DatePaie]])&amp;"-"&amp;YEAR(LstMachines[[#This Row],[DatePaie]])</f>
        <v>02-2019</v>
      </c>
      <c r="AB238" s="258">
        <f>LstMachines[[#This Row],[DateLivr]]+1</f>
        <v>43450</v>
      </c>
      <c r="AC238" s="258" t="str">
        <f xml:space="preserve"> IF(MONTH(LstMachines[[#This Row],[Distrib]])&lt;10,"0","") &amp; MONTH(LstMachines[[#This Row],[Distrib]]) &amp; "-" &amp; YEAR(LstMachines[[#This Row],[Distrib]])</f>
        <v>12-2018</v>
      </c>
      <c r="AD238" s="258">
        <f>LstMachines[[#This Row],[DateLivr]]+Délai_Vente</f>
        <v>43569</v>
      </c>
      <c r="AE238" s="258" t="str">
        <f xml:space="preserve"> IF(MONTH(LstMachines[[#This Row],[VteESM]])&lt;10,"0","") &amp; MONTH(LstMachines[[#This Row],[VteESM]]) &amp; "-" &amp; YEAR(LstMachines[[#This Row],[VteESM]])</f>
        <v>04-2019</v>
      </c>
      <c r="AF238" s="258">
        <f>LstMachines[[#This Row],[DateLivr]]+Rglt_à_ESMTP</f>
        <v>43509</v>
      </c>
      <c r="AG238" s="258" t="str">
        <f xml:space="preserve"> IF(MONTH(LstMachines[[#This Row],[RgltDistrib]])&lt;10,"0","") &amp; MONTH(LstMachines[[#This Row],[RgltDistrib]]) &amp; "-" &amp; YEAR(LstMachines[[#This Row],[RgltDistrib]])</f>
        <v>02-2019</v>
      </c>
      <c r="AH238" s="258">
        <f>LstMachines[[#This Row],[VteESM]]+Rglt_à_ESMTP</f>
        <v>43629</v>
      </c>
      <c r="AI238" s="258" t="str">
        <f xml:space="preserve"> IF(MONTH(LstMachines[[#This Row],[RgltVteESM]])&lt;10,"0","") &amp; MONTH(LstMachines[[#This Row],[RgltVteESM]]) &amp; "-" &amp; YEAR(LstMachines[[#This Row],[RgltVteESM]])</f>
        <v>06-2019</v>
      </c>
      <c r="AJ238" s="140">
        <f>MONTH(LstMachines[[#This Row],[DatePaie]])</f>
        <v>2</v>
      </c>
      <c r="AK238" s="88" t="str">
        <f>FIXED(YEAR(LstMachines[[#This Row],[DatePaie]]),0,TRUE)</f>
        <v>2019</v>
      </c>
      <c r="AL238" s="270"/>
      <c r="AM238" s="416">
        <v>43466</v>
      </c>
      <c r="AN238" s="92"/>
      <c r="AO238" s="92"/>
      <c r="AP238" s="92"/>
      <c r="AQ238" s="92"/>
      <c r="AR238" s="92"/>
      <c r="AS238" s="92"/>
      <c r="AT238" s="92"/>
      <c r="AU238" s="92"/>
      <c r="AV238" s="92"/>
      <c r="AW238" s="92"/>
      <c r="AX238" s="92"/>
      <c r="AY238" s="92"/>
      <c r="BA238" s="92"/>
      <c r="BC238" s="92"/>
      <c r="BD238" s="92"/>
      <c r="BE238" s="92"/>
    </row>
    <row r="239" spans="2:57" hidden="1">
      <c r="B239" s="243" t="s">
        <v>262</v>
      </c>
      <c r="C239" s="243" t="s">
        <v>40</v>
      </c>
      <c r="D239" s="245">
        <v>135</v>
      </c>
      <c r="E239" s="243" t="s">
        <v>203</v>
      </c>
      <c r="F239" s="89" t="s">
        <v>66</v>
      </c>
      <c r="G239" s="87" t="s">
        <v>106</v>
      </c>
      <c r="H239" s="246">
        <v>1</v>
      </c>
      <c r="I23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39" s="247">
        <v>43449</v>
      </c>
      <c r="K239" s="248" t="s">
        <v>463</v>
      </c>
      <c r="L239" s="398" t="s">
        <v>589</v>
      </c>
      <c r="M239" s="248" t="s">
        <v>598</v>
      </c>
      <c r="N239" s="249"/>
      <c r="O239" s="255">
        <f>MONTH(LstMachines[[#This Row],[Delivery]])</f>
        <v>12</v>
      </c>
      <c r="P239" s="256" t="str">
        <f>FIXED(YEAR(LstMachines[[#This Row],[Delivery]]),0,TRUE)</f>
        <v>2018</v>
      </c>
      <c r="Q239" s="250"/>
      <c r="R239" s="251"/>
      <c r="S239" s="249"/>
      <c r="T239" s="249"/>
      <c r="U239" s="249" t="s">
        <v>105</v>
      </c>
      <c r="V239" s="246"/>
      <c r="W239" s="248" t="s">
        <v>384</v>
      </c>
      <c r="X239" s="258">
        <f>LstMachines[[#This Row],[Delivery]]</f>
        <v>43449</v>
      </c>
      <c r="Y239" s="258" t="str">
        <f xml:space="preserve"> IF(MONTH(LstMachines[[#This Row],[DateLivr]])&lt;10,"0","") &amp; MONTH(LstMachines[[#This Row],[DateLivr]]) &amp;"-"&amp;YEAR(LstMachines[[#This Row],[DateLivr]])</f>
        <v>12-2018</v>
      </c>
      <c r="Z239" s="258">
        <f>LstMachines[[#This Row],[Delivery]]+Rglt_à_HCME</f>
        <v>43509</v>
      </c>
      <c r="AA239" s="258" t="str">
        <f xml:space="preserve"> IF(MONTH(LstMachines[[#This Row],[DatePaie]])&lt;10,"0","") &amp; MONTH(LstMachines[[#This Row],[DatePaie]])&amp;"-"&amp;YEAR(LstMachines[[#This Row],[DatePaie]])</f>
        <v>02-2019</v>
      </c>
      <c r="AB239" s="258">
        <f>LstMachines[[#This Row],[DateLivr]]+1</f>
        <v>43450</v>
      </c>
      <c r="AC239" s="258" t="str">
        <f xml:space="preserve"> IF(MONTH(LstMachines[[#This Row],[Distrib]])&lt;10,"0","") &amp; MONTH(LstMachines[[#This Row],[Distrib]]) &amp; "-" &amp; YEAR(LstMachines[[#This Row],[Distrib]])</f>
        <v>12-2018</v>
      </c>
      <c r="AD239" s="258">
        <f>LstMachines[[#This Row],[DateLivr]]+Délai_Vente</f>
        <v>43569</v>
      </c>
      <c r="AE239" s="258" t="str">
        <f xml:space="preserve"> IF(MONTH(LstMachines[[#This Row],[VteESM]])&lt;10,"0","") &amp; MONTH(LstMachines[[#This Row],[VteESM]]) &amp; "-" &amp; YEAR(LstMachines[[#This Row],[VteESM]])</f>
        <v>04-2019</v>
      </c>
      <c r="AF239" s="258">
        <f>LstMachines[[#This Row],[DateLivr]]+Rglt_à_ESMTP</f>
        <v>43509</v>
      </c>
      <c r="AG239" s="258" t="str">
        <f xml:space="preserve"> IF(MONTH(LstMachines[[#This Row],[RgltDistrib]])&lt;10,"0","") &amp; MONTH(LstMachines[[#This Row],[RgltDistrib]]) &amp; "-" &amp; YEAR(LstMachines[[#This Row],[RgltDistrib]])</f>
        <v>02-2019</v>
      </c>
      <c r="AH239" s="258">
        <f>LstMachines[[#This Row],[VteESM]]+Rglt_à_ESMTP</f>
        <v>43629</v>
      </c>
      <c r="AI239" s="258" t="str">
        <f xml:space="preserve"> IF(MONTH(LstMachines[[#This Row],[RgltVteESM]])&lt;10,"0","") &amp; MONTH(LstMachines[[#This Row],[RgltVteESM]]) &amp; "-" &amp; YEAR(LstMachines[[#This Row],[RgltVteESM]])</f>
        <v>06-2019</v>
      </c>
      <c r="AJ239" s="140">
        <f>MONTH(LstMachines[[#This Row],[DatePaie]])</f>
        <v>2</v>
      </c>
      <c r="AK239" s="88" t="str">
        <f>FIXED(YEAR(LstMachines[[#This Row],[DatePaie]]),0,TRUE)</f>
        <v>2019</v>
      </c>
      <c r="AL239" s="270"/>
      <c r="AM239" s="416">
        <v>43374</v>
      </c>
      <c r="AN239" s="92"/>
      <c r="AO239" s="92"/>
      <c r="AP239" s="92"/>
      <c r="AQ239" s="92"/>
      <c r="AR239" s="92"/>
      <c r="AS239" s="92"/>
      <c r="AT239" s="92"/>
      <c r="AU239" s="92"/>
      <c r="AV239" s="92"/>
      <c r="AW239" s="92"/>
      <c r="AX239" s="92"/>
      <c r="AY239" s="92"/>
      <c r="BA239" s="92"/>
      <c r="BC239" s="92"/>
      <c r="BD239" s="92"/>
      <c r="BE239" s="92"/>
    </row>
    <row r="240" spans="2:57" hidden="1">
      <c r="B240" s="243" t="s">
        <v>75</v>
      </c>
      <c r="C240" s="243" t="s">
        <v>36</v>
      </c>
      <c r="D240" s="245">
        <v>26</v>
      </c>
      <c r="E240" s="243" t="s">
        <v>355</v>
      </c>
      <c r="F240" s="89" t="s">
        <v>66</v>
      </c>
      <c r="G240" s="89" t="s">
        <v>106</v>
      </c>
      <c r="H240" s="246">
        <v>4</v>
      </c>
      <c r="I24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88</v>
      </c>
      <c r="J240" s="247">
        <v>43449</v>
      </c>
      <c r="K240" s="248" t="s">
        <v>463</v>
      </c>
      <c r="L240" s="398" t="s">
        <v>589</v>
      </c>
      <c r="M240" s="248" t="s">
        <v>598</v>
      </c>
      <c r="N240" s="249"/>
      <c r="O240" s="255">
        <f>MONTH(LstMachines[[#This Row],[Delivery]])</f>
        <v>12</v>
      </c>
      <c r="P240" s="256" t="str">
        <f>FIXED(YEAR(LstMachines[[#This Row],[Delivery]]),0,TRUE)</f>
        <v>2018</v>
      </c>
      <c r="Q240" s="250"/>
      <c r="R240" s="251"/>
      <c r="S240" s="249"/>
      <c r="T240" s="249"/>
      <c r="U240" s="249" t="s">
        <v>105</v>
      </c>
      <c r="V240" s="246"/>
      <c r="W240" s="248" t="s">
        <v>384</v>
      </c>
      <c r="X240" s="258">
        <f>LstMachines[[#This Row],[Delivery]]</f>
        <v>43449</v>
      </c>
      <c r="Y240" s="258" t="str">
        <f xml:space="preserve"> IF(MONTH(LstMachines[[#This Row],[DateLivr]])&lt;10,"0","") &amp; MONTH(LstMachines[[#This Row],[DateLivr]]) &amp;"-"&amp;YEAR(LstMachines[[#This Row],[DateLivr]])</f>
        <v>12-2018</v>
      </c>
      <c r="Z240" s="258">
        <f>LstMachines[[#This Row],[Delivery]]+Rglt_à_HCME</f>
        <v>43509</v>
      </c>
      <c r="AA240" s="258" t="str">
        <f xml:space="preserve"> IF(MONTH(LstMachines[[#This Row],[DatePaie]])&lt;10,"0","") &amp; MONTH(LstMachines[[#This Row],[DatePaie]])&amp;"-"&amp;YEAR(LstMachines[[#This Row],[DatePaie]])</f>
        <v>02-2019</v>
      </c>
      <c r="AB240" s="258">
        <f>LstMachines[[#This Row],[DateLivr]]+1</f>
        <v>43450</v>
      </c>
      <c r="AC240" s="258" t="str">
        <f xml:space="preserve"> IF(MONTH(LstMachines[[#This Row],[Distrib]])&lt;10,"0","") &amp; MONTH(LstMachines[[#This Row],[Distrib]]) &amp; "-" &amp; YEAR(LstMachines[[#This Row],[Distrib]])</f>
        <v>12-2018</v>
      </c>
      <c r="AD240" s="258">
        <f>LstMachines[[#This Row],[DateLivr]]+Délai_Vente</f>
        <v>43569</v>
      </c>
      <c r="AE240" s="258" t="str">
        <f xml:space="preserve"> IF(MONTH(LstMachines[[#This Row],[VteESM]])&lt;10,"0","") &amp; MONTH(LstMachines[[#This Row],[VteESM]]) &amp; "-" &amp; YEAR(LstMachines[[#This Row],[VteESM]])</f>
        <v>04-2019</v>
      </c>
      <c r="AF240" s="258">
        <f>LstMachines[[#This Row],[DateLivr]]+Rglt_à_ESMTP</f>
        <v>43509</v>
      </c>
      <c r="AG240" s="258" t="str">
        <f xml:space="preserve"> IF(MONTH(LstMachines[[#This Row],[RgltDistrib]])&lt;10,"0","") &amp; MONTH(LstMachines[[#This Row],[RgltDistrib]]) &amp; "-" &amp; YEAR(LstMachines[[#This Row],[RgltDistrib]])</f>
        <v>02-2019</v>
      </c>
      <c r="AH240" s="258">
        <f>LstMachines[[#This Row],[VteESM]]+Rglt_à_ESMTP</f>
        <v>43629</v>
      </c>
      <c r="AI240" s="258" t="str">
        <f xml:space="preserve"> IF(MONTH(LstMachines[[#This Row],[RgltVteESM]])&lt;10,"0","") &amp; MONTH(LstMachines[[#This Row],[RgltVteESM]]) &amp; "-" &amp; YEAR(LstMachines[[#This Row],[RgltVteESM]])</f>
        <v>06-2019</v>
      </c>
      <c r="AJ240" s="140">
        <f>MONTH(LstMachines[[#This Row],[DatePaie]])</f>
        <v>2</v>
      </c>
      <c r="AK240" s="88" t="str">
        <f>FIXED(YEAR(LstMachines[[#This Row],[DatePaie]]),0,TRUE)</f>
        <v>2019</v>
      </c>
      <c r="AL240" s="270"/>
      <c r="AM240" s="414" t="s">
        <v>602</v>
      </c>
      <c r="AN240" s="92"/>
      <c r="AO240" s="92"/>
      <c r="AP240" s="92"/>
      <c r="AQ240" s="92"/>
      <c r="AR240" s="92"/>
      <c r="AS240" s="92"/>
      <c r="AT240" s="92"/>
      <c r="AU240" s="92"/>
      <c r="AV240" s="92"/>
      <c r="AW240" s="92"/>
      <c r="AX240" s="92"/>
      <c r="AY240" s="92"/>
      <c r="BA240" s="92"/>
      <c r="BC240" s="92"/>
      <c r="BD240" s="92"/>
      <c r="BE240" s="92"/>
    </row>
    <row r="241" spans="2:57" hidden="1">
      <c r="B241" s="243" t="s">
        <v>75</v>
      </c>
      <c r="C241" s="243" t="s">
        <v>37</v>
      </c>
      <c r="D241" s="245">
        <v>48</v>
      </c>
      <c r="E241" s="243" t="s">
        <v>363</v>
      </c>
      <c r="F241" s="89" t="s">
        <v>66</v>
      </c>
      <c r="G241" s="89" t="s">
        <v>106</v>
      </c>
      <c r="H241" s="246">
        <v>2</v>
      </c>
      <c r="I24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82</v>
      </c>
      <c r="J241" s="247">
        <v>43449</v>
      </c>
      <c r="K241" s="248" t="s">
        <v>463</v>
      </c>
      <c r="L241" s="398" t="s">
        <v>589</v>
      </c>
      <c r="M241" s="248" t="s">
        <v>598</v>
      </c>
      <c r="N241" s="249"/>
      <c r="O241" s="255">
        <f>MONTH(LstMachines[[#This Row],[Delivery]])</f>
        <v>12</v>
      </c>
      <c r="P241" s="256" t="str">
        <f>FIXED(YEAR(LstMachines[[#This Row],[Delivery]]),0,TRUE)</f>
        <v>2018</v>
      </c>
      <c r="Q241" s="250"/>
      <c r="R241" s="251"/>
      <c r="S241" s="249"/>
      <c r="T241" s="249"/>
      <c r="U241" s="249" t="s">
        <v>105</v>
      </c>
      <c r="V241" s="246"/>
      <c r="W241" s="248" t="s">
        <v>384</v>
      </c>
      <c r="X241" s="258">
        <f>LstMachines[[#This Row],[Delivery]]</f>
        <v>43449</v>
      </c>
      <c r="Y241" s="258" t="str">
        <f xml:space="preserve"> IF(MONTH(LstMachines[[#This Row],[DateLivr]])&lt;10,"0","") &amp; MONTH(LstMachines[[#This Row],[DateLivr]]) &amp;"-"&amp;YEAR(LstMachines[[#This Row],[DateLivr]])</f>
        <v>12-2018</v>
      </c>
      <c r="Z241" s="258">
        <f>LstMachines[[#This Row],[Delivery]]+Rglt_à_HCME</f>
        <v>43509</v>
      </c>
      <c r="AA241" s="258" t="str">
        <f xml:space="preserve"> IF(MONTH(LstMachines[[#This Row],[DatePaie]])&lt;10,"0","") &amp; MONTH(LstMachines[[#This Row],[DatePaie]])&amp;"-"&amp;YEAR(LstMachines[[#This Row],[DatePaie]])</f>
        <v>02-2019</v>
      </c>
      <c r="AB241" s="258">
        <f>LstMachines[[#This Row],[DateLivr]]+1</f>
        <v>43450</v>
      </c>
      <c r="AC241" s="258" t="str">
        <f xml:space="preserve"> IF(MONTH(LstMachines[[#This Row],[Distrib]])&lt;10,"0","") &amp; MONTH(LstMachines[[#This Row],[Distrib]]) &amp; "-" &amp; YEAR(LstMachines[[#This Row],[Distrib]])</f>
        <v>12-2018</v>
      </c>
      <c r="AD241" s="258">
        <f>LstMachines[[#This Row],[DateLivr]]+Délai_Vente</f>
        <v>43569</v>
      </c>
      <c r="AE241" s="258" t="str">
        <f xml:space="preserve"> IF(MONTH(LstMachines[[#This Row],[VteESM]])&lt;10,"0","") &amp; MONTH(LstMachines[[#This Row],[VteESM]]) &amp; "-" &amp; YEAR(LstMachines[[#This Row],[VteESM]])</f>
        <v>04-2019</v>
      </c>
      <c r="AF241" s="258">
        <f>LstMachines[[#This Row],[DateLivr]]+Rglt_à_ESMTP</f>
        <v>43509</v>
      </c>
      <c r="AG241" s="258" t="str">
        <f xml:space="preserve"> IF(MONTH(LstMachines[[#This Row],[RgltDistrib]])&lt;10,"0","") &amp; MONTH(LstMachines[[#This Row],[RgltDistrib]]) &amp; "-" &amp; YEAR(LstMachines[[#This Row],[RgltDistrib]])</f>
        <v>02-2019</v>
      </c>
      <c r="AH241" s="258">
        <f>LstMachines[[#This Row],[VteESM]]+Rglt_à_ESMTP</f>
        <v>43629</v>
      </c>
      <c r="AI241" s="258" t="str">
        <f xml:space="preserve"> IF(MONTH(LstMachines[[#This Row],[RgltVteESM]])&lt;10,"0","") &amp; MONTH(LstMachines[[#This Row],[RgltVteESM]]) &amp; "-" &amp; YEAR(LstMachines[[#This Row],[RgltVteESM]])</f>
        <v>06-2019</v>
      </c>
      <c r="AJ241" s="140">
        <f>MONTH(LstMachines[[#This Row],[DatePaie]])</f>
        <v>2</v>
      </c>
      <c r="AK241" s="88" t="str">
        <f>FIXED(YEAR(LstMachines[[#This Row],[DatePaie]]),0,TRUE)</f>
        <v>2019</v>
      </c>
      <c r="AL241" s="270"/>
      <c r="AM241" s="416">
        <v>43405</v>
      </c>
      <c r="AN241" s="92"/>
      <c r="AO241" s="92"/>
      <c r="AP241" s="92"/>
      <c r="AQ241" s="92"/>
      <c r="AR241" s="92"/>
      <c r="AS241" s="92"/>
      <c r="AT241" s="92"/>
      <c r="AU241" s="92"/>
      <c r="AV241" s="92"/>
      <c r="AW241" s="92"/>
      <c r="AX241" s="92"/>
      <c r="AY241" s="92"/>
      <c r="BA241" s="92"/>
      <c r="BC241" s="92"/>
      <c r="BD241" s="92"/>
      <c r="BE241" s="92"/>
    </row>
    <row r="242" spans="2:57" hidden="1">
      <c r="B242" s="243" t="s">
        <v>262</v>
      </c>
      <c r="C242" s="243" t="s">
        <v>39</v>
      </c>
      <c r="D242" s="245">
        <v>85</v>
      </c>
      <c r="E242" s="243" t="s">
        <v>356</v>
      </c>
      <c r="F242" s="89" t="s">
        <v>66</v>
      </c>
      <c r="G242" s="87" t="s">
        <v>106</v>
      </c>
      <c r="H242" s="246">
        <v>1</v>
      </c>
      <c r="I24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242" s="247">
        <v>43449</v>
      </c>
      <c r="K242" s="248" t="s">
        <v>463</v>
      </c>
      <c r="L242" s="398" t="s">
        <v>589</v>
      </c>
      <c r="M242" s="248" t="s">
        <v>598</v>
      </c>
      <c r="N242" s="249"/>
      <c r="O242" s="255">
        <f>MONTH(LstMachines[[#This Row],[Delivery]])</f>
        <v>12</v>
      </c>
      <c r="P242" s="256" t="str">
        <f>FIXED(YEAR(LstMachines[[#This Row],[Delivery]]),0,TRUE)</f>
        <v>2018</v>
      </c>
      <c r="Q242" s="250"/>
      <c r="R242" s="251"/>
      <c r="S242" s="249"/>
      <c r="T242" s="249"/>
      <c r="U242" s="249" t="s">
        <v>105</v>
      </c>
      <c r="V242" s="246"/>
      <c r="W242" s="248" t="s">
        <v>384</v>
      </c>
      <c r="X242" s="258">
        <f>LstMachines[[#This Row],[Delivery]]</f>
        <v>43449</v>
      </c>
      <c r="Y242" s="258" t="str">
        <f xml:space="preserve"> IF(MONTH(LstMachines[[#This Row],[DateLivr]])&lt;10,"0","") &amp; MONTH(LstMachines[[#This Row],[DateLivr]]) &amp;"-"&amp;YEAR(LstMachines[[#This Row],[DateLivr]])</f>
        <v>12-2018</v>
      </c>
      <c r="Z242" s="258">
        <f>LstMachines[[#This Row],[Delivery]]+Rglt_à_HCME</f>
        <v>43509</v>
      </c>
      <c r="AA242" s="258" t="str">
        <f xml:space="preserve"> IF(MONTH(LstMachines[[#This Row],[DatePaie]])&lt;10,"0","") &amp; MONTH(LstMachines[[#This Row],[DatePaie]])&amp;"-"&amp;YEAR(LstMachines[[#This Row],[DatePaie]])</f>
        <v>02-2019</v>
      </c>
      <c r="AB242" s="258">
        <f>LstMachines[[#This Row],[DateLivr]]+1</f>
        <v>43450</v>
      </c>
      <c r="AC242" s="258" t="str">
        <f xml:space="preserve"> IF(MONTH(LstMachines[[#This Row],[Distrib]])&lt;10,"0","") &amp; MONTH(LstMachines[[#This Row],[Distrib]]) &amp; "-" &amp; YEAR(LstMachines[[#This Row],[Distrib]])</f>
        <v>12-2018</v>
      </c>
      <c r="AD242" s="258">
        <f>LstMachines[[#This Row],[DateLivr]]+Délai_Vente</f>
        <v>43569</v>
      </c>
      <c r="AE242" s="258" t="str">
        <f xml:space="preserve"> IF(MONTH(LstMachines[[#This Row],[VteESM]])&lt;10,"0","") &amp; MONTH(LstMachines[[#This Row],[VteESM]]) &amp; "-" &amp; YEAR(LstMachines[[#This Row],[VteESM]])</f>
        <v>04-2019</v>
      </c>
      <c r="AF242" s="258">
        <f>LstMachines[[#This Row],[DateLivr]]+Rglt_à_ESMTP</f>
        <v>43509</v>
      </c>
      <c r="AG242" s="258" t="str">
        <f xml:space="preserve"> IF(MONTH(LstMachines[[#This Row],[RgltDistrib]])&lt;10,"0","") &amp; MONTH(LstMachines[[#This Row],[RgltDistrib]]) &amp; "-" &amp; YEAR(LstMachines[[#This Row],[RgltDistrib]])</f>
        <v>02-2019</v>
      </c>
      <c r="AH242" s="258">
        <f>LstMachines[[#This Row],[VteESM]]+Rglt_à_ESMTP</f>
        <v>43629</v>
      </c>
      <c r="AI242" s="258" t="str">
        <f xml:space="preserve"> IF(MONTH(LstMachines[[#This Row],[RgltVteESM]])&lt;10,"0","") &amp; MONTH(LstMachines[[#This Row],[RgltVteESM]]) &amp; "-" &amp; YEAR(LstMachines[[#This Row],[RgltVteESM]])</f>
        <v>06-2019</v>
      </c>
      <c r="AJ242" s="140">
        <f>MONTH(LstMachines[[#This Row],[DatePaie]])</f>
        <v>2</v>
      </c>
      <c r="AK242" s="88" t="str">
        <f>FIXED(YEAR(LstMachines[[#This Row],[DatePaie]]),0,TRUE)</f>
        <v>2019</v>
      </c>
      <c r="AL242" s="270"/>
      <c r="AM242" s="416">
        <v>43405</v>
      </c>
      <c r="AN242" s="92"/>
      <c r="AO242" s="92"/>
      <c r="AP242" s="92"/>
      <c r="AQ242" s="92"/>
      <c r="AR242" s="92"/>
      <c r="AS242" s="92"/>
      <c r="AT242" s="92"/>
      <c r="AU242" s="92"/>
      <c r="AV242" s="92"/>
      <c r="AW242" s="92"/>
      <c r="AX242" s="92"/>
      <c r="AY242" s="92"/>
      <c r="BA242" s="92"/>
      <c r="BC242" s="92"/>
      <c r="BD242" s="92"/>
      <c r="BE242" s="92"/>
    </row>
    <row r="243" spans="2:57" hidden="1">
      <c r="B243" s="243" t="s">
        <v>75</v>
      </c>
      <c r="C243" s="243" t="s">
        <v>36</v>
      </c>
      <c r="D243" s="245">
        <v>26</v>
      </c>
      <c r="E243" s="243" t="s">
        <v>355</v>
      </c>
      <c r="F243" s="89" t="s">
        <v>66</v>
      </c>
      <c r="G243" s="89" t="s">
        <v>106</v>
      </c>
      <c r="H243" s="246">
        <v>2</v>
      </c>
      <c r="I24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44</v>
      </c>
      <c r="J243" s="247">
        <v>43419</v>
      </c>
      <c r="K243" s="248" t="s">
        <v>463</v>
      </c>
      <c r="L243" s="398" t="s">
        <v>589</v>
      </c>
      <c r="M243" s="248" t="s">
        <v>598</v>
      </c>
      <c r="N243" s="249"/>
      <c r="O243" s="255">
        <f>MONTH(LstMachines[[#This Row],[Delivery]])</f>
        <v>11</v>
      </c>
      <c r="P243" s="256" t="str">
        <f>FIXED(YEAR(LstMachines[[#This Row],[Delivery]]),0,TRUE)</f>
        <v>2018</v>
      </c>
      <c r="Q243" s="250"/>
      <c r="R243" s="251"/>
      <c r="S243" s="249"/>
      <c r="T243" s="249"/>
      <c r="U243" s="249" t="s">
        <v>105</v>
      </c>
      <c r="V243" s="246"/>
      <c r="W243" s="248" t="s">
        <v>384</v>
      </c>
      <c r="X243" s="258">
        <f>LstMachines[[#This Row],[Delivery]]</f>
        <v>43419</v>
      </c>
      <c r="Y243" s="258" t="str">
        <f xml:space="preserve"> IF(MONTH(LstMachines[[#This Row],[DateLivr]])&lt;10,"0","") &amp; MONTH(LstMachines[[#This Row],[DateLivr]]) &amp;"-"&amp;YEAR(LstMachines[[#This Row],[DateLivr]])</f>
        <v>11-2018</v>
      </c>
      <c r="Z243" s="258">
        <f>LstMachines[[#This Row],[Delivery]]+Rglt_à_HCME</f>
        <v>43479</v>
      </c>
      <c r="AA243" s="258" t="str">
        <f xml:space="preserve"> IF(MONTH(LstMachines[[#This Row],[DatePaie]])&lt;10,"0","") &amp; MONTH(LstMachines[[#This Row],[DatePaie]])&amp;"-"&amp;YEAR(LstMachines[[#This Row],[DatePaie]])</f>
        <v>01-2019</v>
      </c>
      <c r="AB243" s="258">
        <f>LstMachines[[#This Row],[DateLivr]]+1</f>
        <v>43420</v>
      </c>
      <c r="AC243" s="258" t="str">
        <f xml:space="preserve"> IF(MONTH(LstMachines[[#This Row],[Distrib]])&lt;10,"0","") &amp; MONTH(LstMachines[[#This Row],[Distrib]]) &amp; "-" &amp; YEAR(LstMachines[[#This Row],[Distrib]])</f>
        <v>11-2018</v>
      </c>
      <c r="AD243" s="258">
        <f>LstMachines[[#This Row],[DateLivr]]+Délai_Vente</f>
        <v>43539</v>
      </c>
      <c r="AE243" s="258" t="str">
        <f xml:space="preserve"> IF(MONTH(LstMachines[[#This Row],[VteESM]])&lt;10,"0","") &amp; MONTH(LstMachines[[#This Row],[VteESM]]) &amp; "-" &amp; YEAR(LstMachines[[#This Row],[VteESM]])</f>
        <v>03-2019</v>
      </c>
      <c r="AF243" s="258">
        <f>LstMachines[[#This Row],[DateLivr]]+Rglt_à_ESMTP</f>
        <v>43479</v>
      </c>
      <c r="AG243" s="258" t="str">
        <f xml:space="preserve"> IF(MONTH(LstMachines[[#This Row],[RgltDistrib]])&lt;10,"0","") &amp; MONTH(LstMachines[[#This Row],[RgltDistrib]]) &amp; "-" &amp; YEAR(LstMachines[[#This Row],[RgltDistrib]])</f>
        <v>01-2019</v>
      </c>
      <c r="AH243" s="258">
        <f>LstMachines[[#This Row],[VteESM]]+Rglt_à_ESMTP</f>
        <v>43599</v>
      </c>
      <c r="AI243" s="258" t="str">
        <f xml:space="preserve"> IF(MONTH(LstMachines[[#This Row],[RgltVteESM]])&lt;10,"0","") &amp; MONTH(LstMachines[[#This Row],[RgltVteESM]]) &amp; "-" &amp; YEAR(LstMachines[[#This Row],[RgltVteESM]])</f>
        <v>05-2019</v>
      </c>
      <c r="AJ243" s="140">
        <f>MONTH(LstMachines[[#This Row],[DatePaie]])</f>
        <v>1</v>
      </c>
      <c r="AK243" s="88" t="str">
        <f>FIXED(YEAR(LstMachines[[#This Row],[DatePaie]]),0,TRUE)</f>
        <v>2019</v>
      </c>
      <c r="AL243" s="270"/>
      <c r="AM243" s="414"/>
      <c r="AN243" s="92"/>
      <c r="AO243" s="92"/>
      <c r="AP243" s="92"/>
      <c r="AQ243" s="92"/>
      <c r="AR243" s="92"/>
      <c r="AS243" s="92"/>
      <c r="AT243" s="92"/>
      <c r="AU243" s="92"/>
      <c r="AV243" s="92"/>
      <c r="AW243" s="92"/>
      <c r="AX243" s="92"/>
      <c r="AY243" s="92"/>
      <c r="BA243" s="92"/>
      <c r="BC243" s="92"/>
      <c r="BD243" s="92"/>
      <c r="BE243" s="92"/>
    </row>
    <row r="244" spans="2:57" hidden="1">
      <c r="B244" s="243" t="s">
        <v>262</v>
      </c>
      <c r="C244" s="243" t="s">
        <v>40</v>
      </c>
      <c r="D244" s="245">
        <v>135</v>
      </c>
      <c r="E244" s="243" t="s">
        <v>218</v>
      </c>
      <c r="F244" s="89" t="s">
        <v>66</v>
      </c>
      <c r="G244" s="87" t="s">
        <v>106</v>
      </c>
      <c r="H244" s="246">
        <v>1</v>
      </c>
      <c r="I24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44" s="247">
        <v>43419</v>
      </c>
      <c r="K244" s="248" t="s">
        <v>463</v>
      </c>
      <c r="L244" s="398" t="s">
        <v>589</v>
      </c>
      <c r="M244" s="248" t="s">
        <v>598</v>
      </c>
      <c r="N244" s="249"/>
      <c r="O244" s="255">
        <f>MONTH(LstMachines[[#This Row],[Delivery]])</f>
        <v>11</v>
      </c>
      <c r="P244" s="256" t="str">
        <f>FIXED(YEAR(LstMachines[[#This Row],[Delivery]]),0,TRUE)</f>
        <v>2018</v>
      </c>
      <c r="Q244" s="250"/>
      <c r="R244" s="251"/>
      <c r="S244" s="249"/>
      <c r="T244" s="249"/>
      <c r="U244" s="249" t="s">
        <v>105</v>
      </c>
      <c r="V244" s="246"/>
      <c r="W244" s="248" t="s">
        <v>384</v>
      </c>
      <c r="X244" s="258">
        <f>LstMachines[[#This Row],[Delivery]]</f>
        <v>43419</v>
      </c>
      <c r="Y244" s="258" t="str">
        <f xml:space="preserve"> IF(MONTH(LstMachines[[#This Row],[DateLivr]])&lt;10,"0","") &amp; MONTH(LstMachines[[#This Row],[DateLivr]]) &amp;"-"&amp;YEAR(LstMachines[[#This Row],[DateLivr]])</f>
        <v>11-2018</v>
      </c>
      <c r="Z244" s="258">
        <f>LstMachines[[#This Row],[Delivery]]+Rglt_à_HCME</f>
        <v>43479</v>
      </c>
      <c r="AA244" s="258" t="str">
        <f xml:space="preserve"> IF(MONTH(LstMachines[[#This Row],[DatePaie]])&lt;10,"0","") &amp; MONTH(LstMachines[[#This Row],[DatePaie]])&amp;"-"&amp;YEAR(LstMachines[[#This Row],[DatePaie]])</f>
        <v>01-2019</v>
      </c>
      <c r="AB244" s="258">
        <f>LstMachines[[#This Row],[DateLivr]]+1</f>
        <v>43420</v>
      </c>
      <c r="AC244" s="258" t="str">
        <f xml:space="preserve"> IF(MONTH(LstMachines[[#This Row],[Distrib]])&lt;10,"0","") &amp; MONTH(LstMachines[[#This Row],[Distrib]]) &amp; "-" &amp; YEAR(LstMachines[[#This Row],[Distrib]])</f>
        <v>11-2018</v>
      </c>
      <c r="AD244" s="258">
        <f>LstMachines[[#This Row],[DateLivr]]+Délai_Vente</f>
        <v>43539</v>
      </c>
      <c r="AE244" s="258" t="str">
        <f xml:space="preserve"> IF(MONTH(LstMachines[[#This Row],[VteESM]])&lt;10,"0","") &amp; MONTH(LstMachines[[#This Row],[VteESM]]) &amp; "-" &amp; YEAR(LstMachines[[#This Row],[VteESM]])</f>
        <v>03-2019</v>
      </c>
      <c r="AF244" s="258">
        <f>LstMachines[[#This Row],[DateLivr]]+Rglt_à_ESMTP</f>
        <v>43479</v>
      </c>
      <c r="AG244" s="258" t="str">
        <f xml:space="preserve"> IF(MONTH(LstMachines[[#This Row],[RgltDistrib]])&lt;10,"0","") &amp; MONTH(LstMachines[[#This Row],[RgltDistrib]]) &amp; "-" &amp; YEAR(LstMachines[[#This Row],[RgltDistrib]])</f>
        <v>01-2019</v>
      </c>
      <c r="AH244" s="258">
        <f>LstMachines[[#This Row],[VteESM]]+Rglt_à_ESMTP</f>
        <v>43599</v>
      </c>
      <c r="AI244" s="258" t="str">
        <f xml:space="preserve"> IF(MONTH(LstMachines[[#This Row],[RgltVteESM]])&lt;10,"0","") &amp; MONTH(LstMachines[[#This Row],[RgltVteESM]]) &amp; "-" &amp; YEAR(LstMachines[[#This Row],[RgltVteESM]])</f>
        <v>05-2019</v>
      </c>
      <c r="AJ244" s="140">
        <f>MONTH(LstMachines[[#This Row],[DatePaie]])</f>
        <v>1</v>
      </c>
      <c r="AK244" s="88" t="str">
        <f>FIXED(YEAR(LstMachines[[#This Row],[DatePaie]]),0,TRUE)</f>
        <v>2019</v>
      </c>
      <c r="AL244" s="270"/>
      <c r="AM244" s="414"/>
      <c r="AN244" s="92"/>
      <c r="AO244" s="92"/>
      <c r="AP244" s="92"/>
      <c r="AQ244" s="92"/>
      <c r="AR244" s="92"/>
      <c r="AS244" s="92"/>
      <c r="AT244" s="92"/>
      <c r="AU244" s="92"/>
      <c r="AV244" s="92"/>
      <c r="AW244" s="92"/>
      <c r="AX244" s="92"/>
      <c r="AY244" s="92"/>
      <c r="BA244" s="92"/>
      <c r="BC244" s="92"/>
      <c r="BD244" s="92"/>
      <c r="BE244" s="92"/>
    </row>
    <row r="245" spans="2:57" hidden="1">
      <c r="B245" s="243" t="s">
        <v>75</v>
      </c>
      <c r="C245" s="243" t="s">
        <v>37</v>
      </c>
      <c r="D245" s="245">
        <v>48</v>
      </c>
      <c r="E245" s="243" t="s">
        <v>363</v>
      </c>
      <c r="F245" s="89" t="s">
        <v>66</v>
      </c>
      <c r="G245" s="89" t="s">
        <v>106</v>
      </c>
      <c r="H245" s="246">
        <v>1</v>
      </c>
      <c r="I24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41</v>
      </c>
      <c r="J245" s="247">
        <v>43419</v>
      </c>
      <c r="K245" s="248" t="s">
        <v>463</v>
      </c>
      <c r="L245" s="398" t="s">
        <v>589</v>
      </c>
      <c r="M245" s="248" t="s">
        <v>598</v>
      </c>
      <c r="N245" s="249"/>
      <c r="O245" s="255">
        <f>MONTH(LstMachines[[#This Row],[Delivery]])</f>
        <v>11</v>
      </c>
      <c r="P245" s="256" t="str">
        <f>FIXED(YEAR(LstMachines[[#This Row],[Delivery]]),0,TRUE)</f>
        <v>2018</v>
      </c>
      <c r="Q245" s="250"/>
      <c r="R245" s="251"/>
      <c r="S245" s="249"/>
      <c r="T245" s="249"/>
      <c r="U245" s="249" t="s">
        <v>105</v>
      </c>
      <c r="V245" s="246"/>
      <c r="W245" s="248" t="s">
        <v>384</v>
      </c>
      <c r="X245" s="258">
        <f>LstMachines[[#This Row],[Delivery]]</f>
        <v>43419</v>
      </c>
      <c r="Y245" s="258" t="str">
        <f xml:space="preserve"> IF(MONTH(LstMachines[[#This Row],[DateLivr]])&lt;10,"0","") &amp; MONTH(LstMachines[[#This Row],[DateLivr]]) &amp;"-"&amp;YEAR(LstMachines[[#This Row],[DateLivr]])</f>
        <v>11-2018</v>
      </c>
      <c r="Z245" s="258">
        <f>LstMachines[[#This Row],[Delivery]]+Rglt_à_HCME</f>
        <v>43479</v>
      </c>
      <c r="AA245" s="258" t="str">
        <f xml:space="preserve"> IF(MONTH(LstMachines[[#This Row],[DatePaie]])&lt;10,"0","") &amp; MONTH(LstMachines[[#This Row],[DatePaie]])&amp;"-"&amp;YEAR(LstMachines[[#This Row],[DatePaie]])</f>
        <v>01-2019</v>
      </c>
      <c r="AB245" s="258">
        <f>LstMachines[[#This Row],[DateLivr]]+1</f>
        <v>43420</v>
      </c>
      <c r="AC245" s="258" t="str">
        <f xml:space="preserve"> IF(MONTH(LstMachines[[#This Row],[Distrib]])&lt;10,"0","") &amp; MONTH(LstMachines[[#This Row],[Distrib]]) &amp; "-" &amp; YEAR(LstMachines[[#This Row],[Distrib]])</f>
        <v>11-2018</v>
      </c>
      <c r="AD245" s="258">
        <f>LstMachines[[#This Row],[DateLivr]]+Délai_Vente</f>
        <v>43539</v>
      </c>
      <c r="AE245" s="258" t="str">
        <f xml:space="preserve"> IF(MONTH(LstMachines[[#This Row],[VteESM]])&lt;10,"0","") &amp; MONTH(LstMachines[[#This Row],[VteESM]]) &amp; "-" &amp; YEAR(LstMachines[[#This Row],[VteESM]])</f>
        <v>03-2019</v>
      </c>
      <c r="AF245" s="258">
        <f>LstMachines[[#This Row],[DateLivr]]+Rglt_à_ESMTP</f>
        <v>43479</v>
      </c>
      <c r="AG245" s="258" t="str">
        <f xml:space="preserve"> IF(MONTH(LstMachines[[#This Row],[RgltDistrib]])&lt;10,"0","") &amp; MONTH(LstMachines[[#This Row],[RgltDistrib]]) &amp; "-" &amp; YEAR(LstMachines[[#This Row],[RgltDistrib]])</f>
        <v>01-2019</v>
      </c>
      <c r="AH245" s="258">
        <f>LstMachines[[#This Row],[VteESM]]+Rglt_à_ESMTP</f>
        <v>43599</v>
      </c>
      <c r="AI245" s="258" t="str">
        <f xml:space="preserve"> IF(MONTH(LstMachines[[#This Row],[RgltVteESM]])&lt;10,"0","") &amp; MONTH(LstMachines[[#This Row],[RgltVteESM]]) &amp; "-" &amp; YEAR(LstMachines[[#This Row],[RgltVteESM]])</f>
        <v>05-2019</v>
      </c>
      <c r="AJ245" s="140">
        <f>MONTH(LstMachines[[#This Row],[DatePaie]])</f>
        <v>1</v>
      </c>
      <c r="AK245" s="88" t="str">
        <f>FIXED(YEAR(LstMachines[[#This Row],[DatePaie]]),0,TRUE)</f>
        <v>2019</v>
      </c>
      <c r="AL245" s="270"/>
      <c r="AM245" s="414"/>
      <c r="AN245" s="92"/>
      <c r="AO245" s="92"/>
      <c r="AP245" s="92"/>
      <c r="AQ245" s="92"/>
      <c r="AR245" s="92"/>
      <c r="AS245" s="92"/>
      <c r="AT245" s="92"/>
      <c r="AU245" s="92"/>
      <c r="AV245" s="92"/>
      <c r="AW245" s="92"/>
      <c r="AX245" s="92"/>
      <c r="AY245" s="92"/>
      <c r="BA245" s="92"/>
      <c r="BC245" s="92"/>
      <c r="BD245" s="92"/>
      <c r="BE245" s="92"/>
    </row>
    <row r="246" spans="2:57" hidden="1">
      <c r="B246" s="243" t="s">
        <v>263</v>
      </c>
      <c r="C246" s="243" t="s">
        <v>40</v>
      </c>
      <c r="D246" s="245">
        <v>135</v>
      </c>
      <c r="E246" s="243" t="s">
        <v>228</v>
      </c>
      <c r="F246" s="89" t="s">
        <v>66</v>
      </c>
      <c r="G246" s="87" t="s">
        <v>106</v>
      </c>
      <c r="H246" s="246">
        <v>1</v>
      </c>
      <c r="I24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46" s="247">
        <v>43405</v>
      </c>
      <c r="K246" s="248" t="s">
        <v>463</v>
      </c>
      <c r="L246" s="398" t="s">
        <v>589</v>
      </c>
      <c r="M246" s="248" t="s">
        <v>598</v>
      </c>
      <c r="N246" s="249"/>
      <c r="O246" s="255">
        <f>MONTH(LstMachines[[#This Row],[Delivery]])</f>
        <v>11</v>
      </c>
      <c r="P246" s="256" t="str">
        <f>FIXED(YEAR(LstMachines[[#This Row],[Delivery]]),0,TRUE)</f>
        <v>2018</v>
      </c>
      <c r="Q246" s="250"/>
      <c r="R246" s="251"/>
      <c r="S246" s="249"/>
      <c r="T246" s="249"/>
      <c r="U246" s="249" t="s">
        <v>105</v>
      </c>
      <c r="V246" s="246"/>
      <c r="W246" s="248" t="s">
        <v>384</v>
      </c>
      <c r="X246" s="258">
        <f>LstMachines[[#This Row],[Delivery]]</f>
        <v>43405</v>
      </c>
      <c r="Y246" s="258" t="str">
        <f xml:space="preserve"> IF(MONTH(LstMachines[[#This Row],[DateLivr]])&lt;10,"0","") &amp; MONTH(LstMachines[[#This Row],[DateLivr]]) &amp;"-"&amp;YEAR(LstMachines[[#This Row],[DateLivr]])</f>
        <v>11-2018</v>
      </c>
      <c r="Z246" s="258">
        <f>LstMachines[[#This Row],[Delivery]]+Rglt_à_HCME</f>
        <v>43465</v>
      </c>
      <c r="AA246" s="258" t="str">
        <f xml:space="preserve"> IF(MONTH(LstMachines[[#This Row],[DatePaie]])&lt;10,"0","") &amp; MONTH(LstMachines[[#This Row],[DatePaie]])&amp;"-"&amp;YEAR(LstMachines[[#This Row],[DatePaie]])</f>
        <v>12-2018</v>
      </c>
      <c r="AB246" s="258">
        <f>LstMachines[[#This Row],[DateLivr]]+1</f>
        <v>43406</v>
      </c>
      <c r="AC246" s="258" t="str">
        <f xml:space="preserve"> IF(MONTH(LstMachines[[#This Row],[Distrib]])&lt;10,"0","") &amp; MONTH(LstMachines[[#This Row],[Distrib]]) &amp; "-" &amp; YEAR(LstMachines[[#This Row],[Distrib]])</f>
        <v>11-2018</v>
      </c>
      <c r="AD246" s="258">
        <f>LstMachines[[#This Row],[DateLivr]]+Délai_Vente</f>
        <v>43525</v>
      </c>
      <c r="AE246" s="258" t="str">
        <f xml:space="preserve"> IF(MONTH(LstMachines[[#This Row],[VteESM]])&lt;10,"0","") &amp; MONTH(LstMachines[[#This Row],[VteESM]]) &amp; "-" &amp; YEAR(LstMachines[[#This Row],[VteESM]])</f>
        <v>03-2019</v>
      </c>
      <c r="AF246" s="258">
        <f>LstMachines[[#This Row],[DateLivr]]+Rglt_à_ESMTP</f>
        <v>43465</v>
      </c>
      <c r="AG246" s="258" t="str">
        <f xml:space="preserve"> IF(MONTH(LstMachines[[#This Row],[RgltDistrib]])&lt;10,"0","") &amp; MONTH(LstMachines[[#This Row],[RgltDistrib]]) &amp; "-" &amp; YEAR(LstMachines[[#This Row],[RgltDistrib]])</f>
        <v>12-2018</v>
      </c>
      <c r="AH246" s="258">
        <f>LstMachines[[#This Row],[VteESM]]+Rglt_à_ESMTP</f>
        <v>43585</v>
      </c>
      <c r="AI246" s="258" t="str">
        <f xml:space="preserve"> IF(MONTH(LstMachines[[#This Row],[RgltVteESM]])&lt;10,"0","") &amp; MONTH(LstMachines[[#This Row],[RgltVteESM]]) &amp; "-" &amp; YEAR(LstMachines[[#This Row],[RgltVteESM]])</f>
        <v>04-2019</v>
      </c>
      <c r="AJ246" s="140">
        <f>MONTH(LstMachines[[#This Row],[DatePaie]])</f>
        <v>12</v>
      </c>
      <c r="AK246" s="88" t="str">
        <f>FIXED(YEAR(LstMachines[[#This Row],[DatePaie]]),0,TRUE)</f>
        <v>2018</v>
      </c>
      <c r="AL246" s="270"/>
      <c r="AM246" s="414"/>
      <c r="AN246" s="92"/>
      <c r="AO246" s="92"/>
      <c r="AP246" s="92"/>
      <c r="AQ246" s="92"/>
      <c r="AR246" s="92"/>
      <c r="AS246" s="92"/>
      <c r="AT246" s="92"/>
      <c r="AU246" s="92"/>
      <c r="AV246" s="92"/>
      <c r="AW246" s="92"/>
      <c r="AX246" s="92"/>
      <c r="AY246" s="92"/>
      <c r="BA246" s="92"/>
      <c r="BC246" s="92"/>
      <c r="BD246" s="92"/>
      <c r="BE246" s="92"/>
    </row>
    <row r="247" spans="2:57" hidden="1">
      <c r="B247" s="243" t="s">
        <v>75</v>
      </c>
      <c r="C247" s="243" t="s">
        <v>36</v>
      </c>
      <c r="D247" s="245">
        <v>26</v>
      </c>
      <c r="E247" s="243" t="s">
        <v>361</v>
      </c>
      <c r="F247" s="89" t="s">
        <v>66</v>
      </c>
      <c r="G247" s="89" t="s">
        <v>106</v>
      </c>
      <c r="H247" s="246">
        <v>2</v>
      </c>
      <c r="I24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44</v>
      </c>
      <c r="J247" s="247">
        <v>43266</v>
      </c>
      <c r="K247" s="248" t="s">
        <v>463</v>
      </c>
      <c r="L247" s="398" t="s">
        <v>589</v>
      </c>
      <c r="M247" s="248" t="s">
        <v>598</v>
      </c>
      <c r="N247" s="249"/>
      <c r="O247" s="255">
        <f>MONTH(LstMachines[[#This Row],[Delivery]])</f>
        <v>6</v>
      </c>
      <c r="P247" s="256" t="str">
        <f>FIXED(YEAR(LstMachines[[#This Row],[Delivery]]),0,TRUE)</f>
        <v>2018</v>
      </c>
      <c r="Q247" s="250"/>
      <c r="R247" s="251"/>
      <c r="S247" s="249"/>
      <c r="T247" s="249"/>
      <c r="U247" s="249" t="s">
        <v>105</v>
      </c>
      <c r="V247" s="246"/>
      <c r="W247" s="248" t="s">
        <v>384</v>
      </c>
      <c r="X247" s="258">
        <f>LstMachines[[#This Row],[Delivery]]</f>
        <v>43266</v>
      </c>
      <c r="Y247" s="258" t="str">
        <f xml:space="preserve"> IF(MONTH(LstMachines[[#This Row],[DateLivr]])&lt;10,"0","") &amp; MONTH(LstMachines[[#This Row],[DateLivr]]) &amp;"-"&amp;YEAR(LstMachines[[#This Row],[DateLivr]])</f>
        <v>06-2018</v>
      </c>
      <c r="Z247" s="258">
        <f>LstMachines[[#This Row],[Delivery]]+Rglt_à_HCME</f>
        <v>43326</v>
      </c>
      <c r="AA247" s="258" t="str">
        <f xml:space="preserve"> IF(MONTH(LstMachines[[#This Row],[DatePaie]])&lt;10,"0","") &amp; MONTH(LstMachines[[#This Row],[DatePaie]])&amp;"-"&amp;YEAR(LstMachines[[#This Row],[DatePaie]])</f>
        <v>08-2018</v>
      </c>
      <c r="AB247" s="258">
        <f>LstMachines[[#This Row],[DateLivr]]+1</f>
        <v>43267</v>
      </c>
      <c r="AC247" s="258" t="str">
        <f xml:space="preserve"> IF(MONTH(LstMachines[[#This Row],[Distrib]])&lt;10,"0","") &amp; MONTH(LstMachines[[#This Row],[Distrib]]) &amp; "-" &amp; YEAR(LstMachines[[#This Row],[Distrib]])</f>
        <v>06-2018</v>
      </c>
      <c r="AD247" s="258">
        <f>LstMachines[[#This Row],[DateLivr]]+Délai_Vente</f>
        <v>43386</v>
      </c>
      <c r="AE247" s="258" t="str">
        <f xml:space="preserve"> IF(MONTH(LstMachines[[#This Row],[VteESM]])&lt;10,"0","") &amp; MONTH(LstMachines[[#This Row],[VteESM]]) &amp; "-" &amp; YEAR(LstMachines[[#This Row],[VteESM]])</f>
        <v>10-2018</v>
      </c>
      <c r="AF247" s="258">
        <f>LstMachines[[#This Row],[DateLivr]]+Rglt_à_ESMTP</f>
        <v>43326</v>
      </c>
      <c r="AG247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247" s="258">
        <f>LstMachines[[#This Row],[VteESM]]+Rglt_à_ESMTP</f>
        <v>43446</v>
      </c>
      <c r="AI247" s="258" t="str">
        <f xml:space="preserve"> IF(MONTH(LstMachines[[#This Row],[RgltVteESM]])&lt;10,"0","") &amp; MONTH(LstMachines[[#This Row],[RgltVteESM]]) &amp; "-" &amp; YEAR(LstMachines[[#This Row],[RgltVteESM]])</f>
        <v>12-2018</v>
      </c>
      <c r="AJ247" s="140">
        <f>MONTH(LstMachines[[#This Row],[DatePaie]])</f>
        <v>8</v>
      </c>
      <c r="AK247" s="88" t="str">
        <f>FIXED(YEAR(LstMachines[[#This Row],[DatePaie]]),0,TRUE)</f>
        <v>2018</v>
      </c>
      <c r="AL247" s="270"/>
      <c r="AM247" s="414"/>
      <c r="AN247" s="92"/>
      <c r="AO247" s="92"/>
      <c r="AP247" s="92"/>
      <c r="AQ247" s="92"/>
      <c r="AR247" s="92"/>
      <c r="AS247" s="92"/>
      <c r="AT247" s="92"/>
      <c r="AU247" s="92"/>
      <c r="AV247" s="92"/>
      <c r="AW247" s="92"/>
      <c r="AX247" s="92"/>
      <c r="AY247" s="92"/>
      <c r="BA247" s="92"/>
      <c r="BC247" s="92"/>
      <c r="BD247" s="92"/>
      <c r="BE247" s="92"/>
    </row>
    <row r="248" spans="2:57" hidden="1">
      <c r="B248" s="243" t="s">
        <v>263</v>
      </c>
      <c r="C248" s="243" t="s">
        <v>40</v>
      </c>
      <c r="D248" s="245">
        <v>135</v>
      </c>
      <c r="E248" s="243" t="s">
        <v>228</v>
      </c>
      <c r="F248" s="89" t="s">
        <v>66</v>
      </c>
      <c r="G248" s="87" t="s">
        <v>106</v>
      </c>
      <c r="H248" s="246">
        <v>1</v>
      </c>
      <c r="I24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48" s="247">
        <v>43405</v>
      </c>
      <c r="K248" s="248" t="s">
        <v>463</v>
      </c>
      <c r="L248" s="398" t="s">
        <v>589</v>
      </c>
      <c r="M248" s="248" t="s">
        <v>598</v>
      </c>
      <c r="N248" s="249"/>
      <c r="O248" s="255">
        <f>MONTH(LstMachines[[#This Row],[Delivery]])</f>
        <v>11</v>
      </c>
      <c r="P248" s="256" t="str">
        <f>FIXED(YEAR(LstMachines[[#This Row],[Delivery]]),0,TRUE)</f>
        <v>2018</v>
      </c>
      <c r="Q248" s="250"/>
      <c r="R248" s="251"/>
      <c r="S248" s="249"/>
      <c r="T248" s="249"/>
      <c r="U248" s="249" t="s">
        <v>105</v>
      </c>
      <c r="V248" s="246"/>
      <c r="W248" s="248" t="s">
        <v>384</v>
      </c>
      <c r="X248" s="258">
        <f>LstMachines[[#This Row],[Delivery]]</f>
        <v>43405</v>
      </c>
      <c r="Y248" s="258" t="str">
        <f xml:space="preserve"> IF(MONTH(LstMachines[[#This Row],[DateLivr]])&lt;10,"0","") &amp; MONTH(LstMachines[[#This Row],[DateLivr]]) &amp;"-"&amp;YEAR(LstMachines[[#This Row],[DateLivr]])</f>
        <v>11-2018</v>
      </c>
      <c r="Z248" s="258">
        <f>LstMachines[[#This Row],[Delivery]]+Rglt_à_HCME</f>
        <v>43465</v>
      </c>
      <c r="AA248" s="258" t="str">
        <f xml:space="preserve"> IF(MONTH(LstMachines[[#This Row],[DatePaie]])&lt;10,"0","") &amp; MONTH(LstMachines[[#This Row],[DatePaie]])&amp;"-"&amp;YEAR(LstMachines[[#This Row],[DatePaie]])</f>
        <v>12-2018</v>
      </c>
      <c r="AB248" s="258">
        <f>LstMachines[[#This Row],[DateLivr]]+1</f>
        <v>43406</v>
      </c>
      <c r="AC248" s="258" t="str">
        <f xml:space="preserve"> IF(MONTH(LstMachines[[#This Row],[Distrib]])&lt;10,"0","") &amp; MONTH(LstMachines[[#This Row],[Distrib]]) &amp; "-" &amp; YEAR(LstMachines[[#This Row],[Distrib]])</f>
        <v>11-2018</v>
      </c>
      <c r="AD248" s="258">
        <f>LstMachines[[#This Row],[DateLivr]]+Délai_Vente</f>
        <v>43525</v>
      </c>
      <c r="AE248" s="258" t="str">
        <f xml:space="preserve"> IF(MONTH(LstMachines[[#This Row],[VteESM]])&lt;10,"0","") &amp; MONTH(LstMachines[[#This Row],[VteESM]]) &amp; "-" &amp; YEAR(LstMachines[[#This Row],[VteESM]])</f>
        <v>03-2019</v>
      </c>
      <c r="AF248" s="258">
        <f>LstMachines[[#This Row],[DateLivr]]+Rglt_à_ESMTP</f>
        <v>43465</v>
      </c>
      <c r="AG248" s="258" t="str">
        <f xml:space="preserve"> IF(MONTH(LstMachines[[#This Row],[RgltDistrib]])&lt;10,"0","") &amp; MONTH(LstMachines[[#This Row],[RgltDistrib]]) &amp; "-" &amp; YEAR(LstMachines[[#This Row],[RgltDistrib]])</f>
        <v>12-2018</v>
      </c>
      <c r="AH248" s="258">
        <f>LstMachines[[#This Row],[VteESM]]+Rglt_à_ESMTP</f>
        <v>43585</v>
      </c>
      <c r="AI248" s="258" t="str">
        <f xml:space="preserve"> IF(MONTH(LstMachines[[#This Row],[RgltVteESM]])&lt;10,"0","") &amp; MONTH(LstMachines[[#This Row],[RgltVteESM]]) &amp; "-" &amp; YEAR(LstMachines[[#This Row],[RgltVteESM]])</f>
        <v>04-2019</v>
      </c>
      <c r="AJ248" s="140">
        <f>MONTH(LstMachines[[#This Row],[DatePaie]])</f>
        <v>12</v>
      </c>
      <c r="AK248" s="88" t="str">
        <f>FIXED(YEAR(LstMachines[[#This Row],[DatePaie]]),0,TRUE)</f>
        <v>2018</v>
      </c>
      <c r="AL248" s="270"/>
      <c r="AM248" s="416">
        <v>43344</v>
      </c>
      <c r="AN248" s="92"/>
      <c r="AO248" s="92"/>
      <c r="AP248" s="92"/>
      <c r="AQ248" s="92"/>
      <c r="AR248" s="92"/>
      <c r="AS248" s="92"/>
      <c r="AT248" s="92"/>
      <c r="AU248" s="92"/>
      <c r="AV248" s="92"/>
      <c r="AW248" s="92"/>
      <c r="AX248" s="92"/>
      <c r="AY248" s="92"/>
      <c r="BA248" s="92"/>
      <c r="BC248" s="92"/>
      <c r="BD248" s="92"/>
      <c r="BE248" s="92"/>
    </row>
    <row r="249" spans="2:57" hidden="1">
      <c r="B249" s="243" t="s">
        <v>263</v>
      </c>
      <c r="C249" s="243" t="s">
        <v>40</v>
      </c>
      <c r="D249" s="245">
        <v>135</v>
      </c>
      <c r="E249" s="243" t="s">
        <v>228</v>
      </c>
      <c r="F249" s="89" t="s">
        <v>66</v>
      </c>
      <c r="G249" s="87" t="s">
        <v>106</v>
      </c>
      <c r="H249" s="246">
        <v>1</v>
      </c>
      <c r="I24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49" s="247">
        <v>43405</v>
      </c>
      <c r="K249" s="248" t="s">
        <v>463</v>
      </c>
      <c r="L249" s="398" t="s">
        <v>589</v>
      </c>
      <c r="M249" s="248" t="s">
        <v>598</v>
      </c>
      <c r="N249" s="249"/>
      <c r="O249" s="255">
        <f>MONTH(LstMachines[[#This Row],[Delivery]])</f>
        <v>11</v>
      </c>
      <c r="P249" s="256" t="str">
        <f>FIXED(YEAR(LstMachines[[#This Row],[Delivery]]),0,TRUE)</f>
        <v>2018</v>
      </c>
      <c r="Q249" s="250"/>
      <c r="R249" s="251"/>
      <c r="S249" s="249"/>
      <c r="T249" s="249"/>
      <c r="U249" s="249" t="s">
        <v>105</v>
      </c>
      <c r="V249" s="246"/>
      <c r="W249" s="248" t="s">
        <v>384</v>
      </c>
      <c r="X249" s="258">
        <f>LstMachines[[#This Row],[Delivery]]</f>
        <v>43405</v>
      </c>
      <c r="Y249" s="258" t="str">
        <f xml:space="preserve"> IF(MONTH(LstMachines[[#This Row],[DateLivr]])&lt;10,"0","") &amp; MONTH(LstMachines[[#This Row],[DateLivr]]) &amp;"-"&amp;YEAR(LstMachines[[#This Row],[DateLivr]])</f>
        <v>11-2018</v>
      </c>
      <c r="Z249" s="258">
        <f>LstMachines[[#This Row],[Delivery]]+Rglt_à_HCME</f>
        <v>43465</v>
      </c>
      <c r="AA249" s="258" t="str">
        <f xml:space="preserve"> IF(MONTH(LstMachines[[#This Row],[DatePaie]])&lt;10,"0","") &amp; MONTH(LstMachines[[#This Row],[DatePaie]])&amp;"-"&amp;YEAR(LstMachines[[#This Row],[DatePaie]])</f>
        <v>12-2018</v>
      </c>
      <c r="AB249" s="258">
        <f>LstMachines[[#This Row],[DateLivr]]+1</f>
        <v>43406</v>
      </c>
      <c r="AC249" s="258" t="str">
        <f xml:space="preserve"> IF(MONTH(LstMachines[[#This Row],[Distrib]])&lt;10,"0","") &amp; MONTH(LstMachines[[#This Row],[Distrib]]) &amp; "-" &amp; YEAR(LstMachines[[#This Row],[Distrib]])</f>
        <v>11-2018</v>
      </c>
      <c r="AD249" s="258">
        <f>LstMachines[[#This Row],[DateLivr]]+Délai_Vente</f>
        <v>43525</v>
      </c>
      <c r="AE249" s="258" t="str">
        <f xml:space="preserve"> IF(MONTH(LstMachines[[#This Row],[VteESM]])&lt;10,"0","") &amp; MONTH(LstMachines[[#This Row],[VteESM]]) &amp; "-" &amp; YEAR(LstMachines[[#This Row],[VteESM]])</f>
        <v>03-2019</v>
      </c>
      <c r="AF249" s="258">
        <f>LstMachines[[#This Row],[DateLivr]]+Rglt_à_ESMTP</f>
        <v>43465</v>
      </c>
      <c r="AG249" s="258" t="str">
        <f xml:space="preserve"> IF(MONTH(LstMachines[[#This Row],[RgltDistrib]])&lt;10,"0","") &amp; MONTH(LstMachines[[#This Row],[RgltDistrib]]) &amp; "-" &amp; YEAR(LstMachines[[#This Row],[RgltDistrib]])</f>
        <v>12-2018</v>
      </c>
      <c r="AH249" s="258">
        <f>LstMachines[[#This Row],[VteESM]]+Rglt_à_ESMTP</f>
        <v>43585</v>
      </c>
      <c r="AI249" s="258" t="str">
        <f xml:space="preserve"> IF(MONTH(LstMachines[[#This Row],[RgltVteESM]])&lt;10,"0","") &amp; MONTH(LstMachines[[#This Row],[RgltVteESM]]) &amp; "-" &amp; YEAR(LstMachines[[#This Row],[RgltVteESM]])</f>
        <v>04-2019</v>
      </c>
      <c r="AJ249" s="140">
        <f>MONTH(LstMachines[[#This Row],[DatePaie]])</f>
        <v>12</v>
      </c>
      <c r="AK249" s="88" t="str">
        <f>FIXED(YEAR(LstMachines[[#This Row],[DatePaie]]),0,TRUE)</f>
        <v>2018</v>
      </c>
      <c r="AL249" s="270"/>
      <c r="AM249" s="416">
        <v>43525</v>
      </c>
      <c r="AN249" s="92"/>
      <c r="AO249" s="92"/>
      <c r="AP249" s="92"/>
      <c r="AQ249" s="92"/>
      <c r="AR249" s="92"/>
      <c r="AS249" s="92"/>
      <c r="AT249" s="92"/>
      <c r="AU249" s="92"/>
      <c r="AV249" s="92"/>
      <c r="AW249" s="92"/>
      <c r="AX249" s="92"/>
      <c r="AY249" s="92"/>
      <c r="BA249" s="92"/>
      <c r="BC249" s="92"/>
      <c r="BD249" s="92"/>
      <c r="BE249" s="92"/>
    </row>
    <row r="250" spans="2:57" hidden="1">
      <c r="B250" s="243" t="s">
        <v>75</v>
      </c>
      <c r="C250" s="243" t="s">
        <v>36</v>
      </c>
      <c r="D250" s="245">
        <v>26</v>
      </c>
      <c r="E250" s="243" t="s">
        <v>355</v>
      </c>
      <c r="F250" s="89" t="s">
        <v>66</v>
      </c>
      <c r="G250" s="89" t="s">
        <v>106</v>
      </c>
      <c r="H250" s="246">
        <v>2</v>
      </c>
      <c r="I25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44</v>
      </c>
      <c r="J250" s="247">
        <v>43266</v>
      </c>
      <c r="K250" s="248" t="s">
        <v>463</v>
      </c>
      <c r="L250" s="398" t="s">
        <v>589</v>
      </c>
      <c r="M250" s="248" t="s">
        <v>598</v>
      </c>
      <c r="N250" s="249"/>
      <c r="O250" s="255">
        <f>MONTH(LstMachines[[#This Row],[Delivery]])</f>
        <v>6</v>
      </c>
      <c r="P250" s="256" t="str">
        <f>FIXED(YEAR(LstMachines[[#This Row],[Delivery]]),0,TRUE)</f>
        <v>2018</v>
      </c>
      <c r="Q250" s="250"/>
      <c r="R250" s="251"/>
      <c r="S250" s="249"/>
      <c r="T250" s="249"/>
      <c r="U250" s="249" t="s">
        <v>105</v>
      </c>
      <c r="V250" s="246"/>
      <c r="W250" s="248" t="s">
        <v>384</v>
      </c>
      <c r="X250" s="258">
        <f>LstMachines[[#This Row],[Delivery]]</f>
        <v>43266</v>
      </c>
      <c r="Y250" s="258" t="str">
        <f xml:space="preserve"> IF(MONTH(LstMachines[[#This Row],[DateLivr]])&lt;10,"0","") &amp; MONTH(LstMachines[[#This Row],[DateLivr]]) &amp;"-"&amp;YEAR(LstMachines[[#This Row],[DateLivr]])</f>
        <v>06-2018</v>
      </c>
      <c r="Z250" s="258">
        <f>LstMachines[[#This Row],[Delivery]]+Rglt_à_HCME</f>
        <v>43326</v>
      </c>
      <c r="AA250" s="258" t="str">
        <f xml:space="preserve"> IF(MONTH(LstMachines[[#This Row],[DatePaie]])&lt;10,"0","") &amp; MONTH(LstMachines[[#This Row],[DatePaie]])&amp;"-"&amp;YEAR(LstMachines[[#This Row],[DatePaie]])</f>
        <v>08-2018</v>
      </c>
      <c r="AB250" s="258">
        <f>LstMachines[[#This Row],[DateLivr]]+1</f>
        <v>43267</v>
      </c>
      <c r="AC250" s="258" t="str">
        <f xml:space="preserve"> IF(MONTH(LstMachines[[#This Row],[Distrib]])&lt;10,"0","") &amp; MONTH(LstMachines[[#This Row],[Distrib]]) &amp; "-" &amp; YEAR(LstMachines[[#This Row],[Distrib]])</f>
        <v>06-2018</v>
      </c>
      <c r="AD250" s="258">
        <f>LstMachines[[#This Row],[DateLivr]]+Délai_Vente</f>
        <v>43386</v>
      </c>
      <c r="AE250" s="258" t="str">
        <f xml:space="preserve"> IF(MONTH(LstMachines[[#This Row],[VteESM]])&lt;10,"0","") &amp; MONTH(LstMachines[[#This Row],[VteESM]]) &amp; "-" &amp; YEAR(LstMachines[[#This Row],[VteESM]])</f>
        <v>10-2018</v>
      </c>
      <c r="AF250" s="258">
        <f>LstMachines[[#This Row],[DateLivr]]+Rglt_à_ESMTP</f>
        <v>43326</v>
      </c>
      <c r="AG250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250" s="258">
        <f>LstMachines[[#This Row],[VteESM]]+Rglt_à_ESMTP</f>
        <v>43446</v>
      </c>
      <c r="AI250" s="258" t="str">
        <f xml:space="preserve"> IF(MONTH(LstMachines[[#This Row],[RgltVteESM]])&lt;10,"0","") &amp; MONTH(LstMachines[[#This Row],[RgltVteESM]]) &amp; "-" &amp; YEAR(LstMachines[[#This Row],[RgltVteESM]])</f>
        <v>12-2018</v>
      </c>
      <c r="AJ250" s="140">
        <f>MONTH(LstMachines[[#This Row],[DatePaie]])</f>
        <v>8</v>
      </c>
      <c r="AK250" s="88" t="str">
        <f>FIXED(YEAR(LstMachines[[#This Row],[DatePaie]]),0,TRUE)</f>
        <v>2018</v>
      </c>
      <c r="AL250" s="270"/>
      <c r="AM250" s="414"/>
      <c r="AN250" s="92"/>
      <c r="AO250" s="92"/>
      <c r="AP250" s="92"/>
      <c r="AQ250" s="92"/>
      <c r="AR250" s="92"/>
      <c r="AS250" s="92"/>
      <c r="AT250" s="92"/>
      <c r="AU250" s="92"/>
      <c r="AV250" s="92"/>
      <c r="AW250" s="92"/>
      <c r="AX250" s="92"/>
      <c r="AY250" s="92"/>
      <c r="BA250" s="92"/>
      <c r="BC250" s="92"/>
      <c r="BD250" s="92"/>
      <c r="BE250" s="92"/>
    </row>
    <row r="251" spans="2:57" hidden="1">
      <c r="B251" s="243" t="s">
        <v>262</v>
      </c>
      <c r="C251" s="243" t="s">
        <v>40</v>
      </c>
      <c r="D251" s="245">
        <v>135</v>
      </c>
      <c r="E251" s="243" t="s">
        <v>87</v>
      </c>
      <c r="F251" s="89" t="s">
        <v>66</v>
      </c>
      <c r="G251" s="87" t="s">
        <v>106</v>
      </c>
      <c r="H251" s="246">
        <v>1</v>
      </c>
      <c r="I25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51" s="247">
        <v>43388</v>
      </c>
      <c r="K251" s="248" t="s">
        <v>463</v>
      </c>
      <c r="L251" s="398" t="s">
        <v>589</v>
      </c>
      <c r="M251" s="248" t="s">
        <v>599</v>
      </c>
      <c r="N251" s="249"/>
      <c r="O251" s="255">
        <f>MONTH(LstMachines[[#This Row],[Delivery]])</f>
        <v>10</v>
      </c>
      <c r="P251" s="256" t="str">
        <f>FIXED(YEAR(LstMachines[[#This Row],[Delivery]]),0,TRUE)</f>
        <v>2018</v>
      </c>
      <c r="Q251" s="250"/>
      <c r="R251" s="251"/>
      <c r="S251" s="249"/>
      <c r="T251" s="249"/>
      <c r="U251" s="249" t="s">
        <v>105</v>
      </c>
      <c r="V251" s="246"/>
      <c r="W251" s="248" t="s">
        <v>384</v>
      </c>
      <c r="X251" s="258">
        <f>LstMachines[[#This Row],[Delivery]]</f>
        <v>43388</v>
      </c>
      <c r="Y251" s="258" t="str">
        <f xml:space="preserve"> IF(MONTH(LstMachines[[#This Row],[DateLivr]])&lt;10,"0","") &amp; MONTH(LstMachines[[#This Row],[DateLivr]]) &amp;"-"&amp;YEAR(LstMachines[[#This Row],[DateLivr]])</f>
        <v>10-2018</v>
      </c>
      <c r="Z251" s="258">
        <f>LstMachines[[#This Row],[Delivery]]+Rglt_à_HCME</f>
        <v>43448</v>
      </c>
      <c r="AA251" s="258" t="str">
        <f xml:space="preserve"> IF(MONTH(LstMachines[[#This Row],[DatePaie]])&lt;10,"0","") &amp; MONTH(LstMachines[[#This Row],[DatePaie]])&amp;"-"&amp;YEAR(LstMachines[[#This Row],[DatePaie]])</f>
        <v>12-2018</v>
      </c>
      <c r="AB251" s="258">
        <f>LstMachines[[#This Row],[DateLivr]]+1</f>
        <v>43389</v>
      </c>
      <c r="AC251" s="258" t="str">
        <f xml:space="preserve"> IF(MONTH(LstMachines[[#This Row],[Distrib]])&lt;10,"0","") &amp; MONTH(LstMachines[[#This Row],[Distrib]]) &amp; "-" &amp; YEAR(LstMachines[[#This Row],[Distrib]])</f>
        <v>10-2018</v>
      </c>
      <c r="AD251" s="258">
        <f>LstMachines[[#This Row],[DateLivr]]+Délai_Vente</f>
        <v>43508</v>
      </c>
      <c r="AE251" s="258" t="str">
        <f xml:space="preserve"> IF(MONTH(LstMachines[[#This Row],[VteESM]])&lt;10,"0","") &amp; MONTH(LstMachines[[#This Row],[VteESM]]) &amp; "-" &amp; YEAR(LstMachines[[#This Row],[VteESM]])</f>
        <v>02-2019</v>
      </c>
      <c r="AF251" s="258">
        <f>LstMachines[[#This Row],[DateLivr]]+Rglt_à_ESMTP</f>
        <v>43448</v>
      </c>
      <c r="AG251" s="258" t="str">
        <f xml:space="preserve"> IF(MONTH(LstMachines[[#This Row],[RgltDistrib]])&lt;10,"0","") &amp; MONTH(LstMachines[[#This Row],[RgltDistrib]]) &amp; "-" &amp; YEAR(LstMachines[[#This Row],[RgltDistrib]])</f>
        <v>12-2018</v>
      </c>
      <c r="AH251" s="258">
        <f>LstMachines[[#This Row],[VteESM]]+Rglt_à_ESMTP</f>
        <v>43568</v>
      </c>
      <c r="AI251" s="258" t="str">
        <f xml:space="preserve"> IF(MONTH(LstMachines[[#This Row],[RgltVteESM]])&lt;10,"0","") &amp; MONTH(LstMachines[[#This Row],[RgltVteESM]]) &amp; "-" &amp; YEAR(LstMachines[[#This Row],[RgltVteESM]])</f>
        <v>04-2019</v>
      </c>
      <c r="AJ251" s="140">
        <f>MONTH(LstMachines[[#This Row],[DatePaie]])</f>
        <v>12</v>
      </c>
      <c r="AK251" s="88" t="str">
        <f>FIXED(YEAR(LstMachines[[#This Row],[DatePaie]]),0,TRUE)</f>
        <v>2018</v>
      </c>
      <c r="AL251" s="270"/>
      <c r="AM251" s="416">
        <v>43374</v>
      </c>
      <c r="AN251" s="92"/>
      <c r="AO251" s="92"/>
      <c r="AP251" s="92"/>
      <c r="AQ251" s="92"/>
      <c r="AR251" s="92"/>
      <c r="AS251" s="92"/>
      <c r="AT251" s="92"/>
      <c r="AU251" s="92"/>
      <c r="AV251" s="92"/>
      <c r="AW251" s="92"/>
      <c r="AX251" s="92"/>
      <c r="AY251" s="92"/>
      <c r="BA251" s="92"/>
      <c r="BC251" s="92"/>
      <c r="BD251" s="92"/>
      <c r="BE251" s="92"/>
    </row>
    <row r="252" spans="2:57" hidden="1">
      <c r="B252" s="243" t="s">
        <v>75</v>
      </c>
      <c r="C252" s="243" t="s">
        <v>35</v>
      </c>
      <c r="D252" s="245">
        <v>19</v>
      </c>
      <c r="E252" s="243" t="s">
        <v>76</v>
      </c>
      <c r="F252" s="89" t="s">
        <v>66</v>
      </c>
      <c r="G252" s="89" t="s">
        <v>106</v>
      </c>
      <c r="H252" s="246">
        <v>2</v>
      </c>
      <c r="I25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36</v>
      </c>
      <c r="J252" s="247">
        <v>43388</v>
      </c>
      <c r="K252" s="248" t="s">
        <v>463</v>
      </c>
      <c r="L252" s="398" t="s">
        <v>589</v>
      </c>
      <c r="M252" s="248" t="s">
        <v>598</v>
      </c>
      <c r="N252" s="249"/>
      <c r="O252" s="255">
        <f>MONTH(LstMachines[[#This Row],[Delivery]])</f>
        <v>10</v>
      </c>
      <c r="P252" s="256" t="str">
        <f>FIXED(YEAR(LstMachines[[#This Row],[Delivery]]),0,TRUE)</f>
        <v>2018</v>
      </c>
      <c r="Q252" s="250"/>
      <c r="R252" s="251"/>
      <c r="S252" s="249"/>
      <c r="T252" s="249"/>
      <c r="U252" s="249" t="s">
        <v>105</v>
      </c>
      <c r="V252" s="246"/>
      <c r="W252" s="248" t="s">
        <v>384</v>
      </c>
      <c r="X252" s="258">
        <f>LstMachines[[#This Row],[Delivery]]</f>
        <v>43388</v>
      </c>
      <c r="Y252" s="258" t="str">
        <f xml:space="preserve"> IF(MONTH(LstMachines[[#This Row],[DateLivr]])&lt;10,"0","") &amp; MONTH(LstMachines[[#This Row],[DateLivr]]) &amp;"-"&amp;YEAR(LstMachines[[#This Row],[DateLivr]])</f>
        <v>10-2018</v>
      </c>
      <c r="Z252" s="258">
        <f>LstMachines[[#This Row],[Delivery]]+Rglt_à_HCME</f>
        <v>43448</v>
      </c>
      <c r="AA252" s="258" t="str">
        <f xml:space="preserve"> IF(MONTH(LstMachines[[#This Row],[DatePaie]])&lt;10,"0","") &amp; MONTH(LstMachines[[#This Row],[DatePaie]])&amp;"-"&amp;YEAR(LstMachines[[#This Row],[DatePaie]])</f>
        <v>12-2018</v>
      </c>
      <c r="AB252" s="258">
        <f>LstMachines[[#This Row],[DateLivr]]+1</f>
        <v>43389</v>
      </c>
      <c r="AC252" s="258" t="str">
        <f xml:space="preserve"> IF(MONTH(LstMachines[[#This Row],[Distrib]])&lt;10,"0","") &amp; MONTH(LstMachines[[#This Row],[Distrib]]) &amp; "-" &amp; YEAR(LstMachines[[#This Row],[Distrib]])</f>
        <v>10-2018</v>
      </c>
      <c r="AD252" s="258">
        <f>LstMachines[[#This Row],[DateLivr]]+Délai_Vente</f>
        <v>43508</v>
      </c>
      <c r="AE252" s="258" t="str">
        <f xml:space="preserve"> IF(MONTH(LstMachines[[#This Row],[VteESM]])&lt;10,"0","") &amp; MONTH(LstMachines[[#This Row],[VteESM]]) &amp; "-" &amp; YEAR(LstMachines[[#This Row],[VteESM]])</f>
        <v>02-2019</v>
      </c>
      <c r="AF252" s="258">
        <f>LstMachines[[#This Row],[DateLivr]]+Rglt_à_ESMTP</f>
        <v>43448</v>
      </c>
      <c r="AG252" s="258" t="str">
        <f xml:space="preserve"> IF(MONTH(LstMachines[[#This Row],[RgltDistrib]])&lt;10,"0","") &amp; MONTH(LstMachines[[#This Row],[RgltDistrib]]) &amp; "-" &amp; YEAR(LstMachines[[#This Row],[RgltDistrib]])</f>
        <v>12-2018</v>
      </c>
      <c r="AH252" s="258">
        <f>LstMachines[[#This Row],[VteESM]]+Rglt_à_ESMTP</f>
        <v>43568</v>
      </c>
      <c r="AI252" s="258" t="str">
        <f xml:space="preserve"> IF(MONTH(LstMachines[[#This Row],[RgltVteESM]])&lt;10,"0","") &amp; MONTH(LstMachines[[#This Row],[RgltVteESM]]) &amp; "-" &amp; YEAR(LstMachines[[#This Row],[RgltVteESM]])</f>
        <v>04-2019</v>
      </c>
      <c r="AJ252" s="140">
        <f>MONTH(LstMachines[[#This Row],[DatePaie]])</f>
        <v>12</v>
      </c>
      <c r="AK252" s="88" t="str">
        <f>FIXED(YEAR(LstMachines[[#This Row],[DatePaie]]),0,TRUE)</f>
        <v>2018</v>
      </c>
      <c r="AL252" s="270"/>
      <c r="AM252" s="414"/>
      <c r="AN252" s="92"/>
      <c r="AO252" s="92"/>
      <c r="AP252" s="92"/>
      <c r="AQ252" s="92"/>
      <c r="AR252" s="92"/>
      <c r="AS252" s="92"/>
      <c r="AT252" s="92"/>
      <c r="AU252" s="92"/>
      <c r="AV252" s="92"/>
      <c r="AW252" s="92"/>
      <c r="AX252" s="92"/>
      <c r="AY252" s="92"/>
      <c r="BA252" s="92"/>
      <c r="BC252" s="92"/>
      <c r="BD252" s="92"/>
      <c r="BE252" s="92"/>
    </row>
    <row r="253" spans="2:57">
      <c r="B253" s="243" t="s">
        <v>262</v>
      </c>
      <c r="C253" s="243" t="s">
        <v>39</v>
      </c>
      <c r="D253" s="245">
        <v>85</v>
      </c>
      <c r="E253" s="452" t="s">
        <v>356</v>
      </c>
      <c r="F253" s="89" t="s">
        <v>66</v>
      </c>
      <c r="G253" s="87" t="s">
        <v>106</v>
      </c>
      <c r="H253" s="246">
        <v>2</v>
      </c>
      <c r="I25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253" s="247">
        <v>43631</v>
      </c>
      <c r="K253" s="248" t="s">
        <v>461</v>
      </c>
      <c r="L253" s="398" t="s">
        <v>589</v>
      </c>
      <c r="M253" s="248"/>
      <c r="N253" s="249"/>
      <c r="O253" s="255">
        <f>MONTH(LstMachines[[#This Row],[Delivery]])</f>
        <v>6</v>
      </c>
      <c r="P253" s="256" t="str">
        <f>FIXED(YEAR(LstMachines[[#This Row],[Delivery]]),0,TRUE)</f>
        <v>2019</v>
      </c>
      <c r="Q253" s="250"/>
      <c r="R253" s="251"/>
      <c r="S253" s="249"/>
      <c r="T253" s="249"/>
      <c r="U253" s="249" t="s">
        <v>105</v>
      </c>
      <c r="V253" s="246"/>
      <c r="W253" s="248" t="s">
        <v>384</v>
      </c>
      <c r="X253" s="258">
        <f>LstMachines[[#This Row],[Delivery]]</f>
        <v>43631</v>
      </c>
      <c r="Y253" s="258" t="str">
        <f xml:space="preserve"> IF(MONTH(LstMachines[[#This Row],[DateLivr]])&lt;10,"0","") &amp; MONTH(LstMachines[[#This Row],[DateLivr]]) &amp;"-"&amp;YEAR(LstMachines[[#This Row],[DateLivr]])</f>
        <v>06-2019</v>
      </c>
      <c r="Z253" s="258">
        <f>LstMachines[[#This Row],[Delivery]]+Rglt_à_HCME</f>
        <v>43691</v>
      </c>
      <c r="AA253" s="258" t="str">
        <f xml:space="preserve"> IF(MONTH(LstMachines[[#This Row],[DatePaie]])&lt;10,"0","") &amp; MONTH(LstMachines[[#This Row],[DatePaie]])&amp;"-"&amp;YEAR(LstMachines[[#This Row],[DatePaie]])</f>
        <v>08-2019</v>
      </c>
      <c r="AB253" s="258">
        <f>LstMachines[[#This Row],[DateLivr]]+1</f>
        <v>43632</v>
      </c>
      <c r="AC253" s="258" t="str">
        <f xml:space="preserve"> IF(MONTH(LstMachines[[#This Row],[Distrib]])&lt;10,"0","") &amp; MONTH(LstMachines[[#This Row],[Distrib]]) &amp; "-" &amp; YEAR(LstMachines[[#This Row],[Distrib]])</f>
        <v>06-2019</v>
      </c>
      <c r="AD253" s="258">
        <f>LstMachines[[#This Row],[DateLivr]]+Délai_Vente</f>
        <v>43751</v>
      </c>
      <c r="AE253" s="258" t="str">
        <f xml:space="preserve"> IF(MONTH(LstMachines[[#This Row],[VteESM]])&lt;10,"0","") &amp; MONTH(LstMachines[[#This Row],[VteESM]]) &amp; "-" &amp; YEAR(LstMachines[[#This Row],[VteESM]])</f>
        <v>10-2019</v>
      </c>
      <c r="AF253" s="258">
        <f>LstMachines[[#This Row],[DateLivr]]+Rglt_à_ESMTP</f>
        <v>43691</v>
      </c>
      <c r="AG253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253" s="258">
        <f>LstMachines[[#This Row],[VteESM]]+Rglt_à_ESMTP</f>
        <v>43811</v>
      </c>
      <c r="AI253" s="258" t="str">
        <f xml:space="preserve"> IF(MONTH(LstMachines[[#This Row],[RgltVteESM]])&lt;10,"0","") &amp; MONTH(LstMachines[[#This Row],[RgltVteESM]]) &amp; "-" &amp; YEAR(LstMachines[[#This Row],[RgltVteESM]])</f>
        <v>12-2019</v>
      </c>
      <c r="AJ253" s="140">
        <f>MONTH(LstMachines[[#This Row],[DatePaie]])</f>
        <v>8</v>
      </c>
      <c r="AK253" s="88" t="str">
        <f>FIXED(YEAR(LstMachines[[#This Row],[DatePaie]]),0,TRUE)</f>
        <v>2019</v>
      </c>
      <c r="AL253" s="270"/>
      <c r="AM253" s="414"/>
      <c r="AN253" s="92"/>
      <c r="AO253" s="92"/>
      <c r="AP253" s="92"/>
      <c r="AQ253" s="92"/>
      <c r="AR253" s="92"/>
      <c r="AS253" s="92"/>
      <c r="AT253" s="92"/>
      <c r="AU253" s="92"/>
      <c r="AV253" s="92"/>
      <c r="AW253" s="92"/>
      <c r="AX253" s="92"/>
      <c r="AY253" s="92"/>
      <c r="BA253" s="92"/>
      <c r="BC253" s="92"/>
      <c r="BD253" s="92"/>
      <c r="BE253" s="92"/>
    </row>
    <row r="254" spans="2:57">
      <c r="B254" s="243" t="s">
        <v>75</v>
      </c>
      <c r="C254" s="243" t="s">
        <v>36</v>
      </c>
      <c r="D254" s="245">
        <v>26</v>
      </c>
      <c r="E254" s="452" t="s">
        <v>355</v>
      </c>
      <c r="F254" s="89" t="s">
        <v>66</v>
      </c>
      <c r="G254" s="89" t="s">
        <v>106</v>
      </c>
      <c r="H254" s="246">
        <v>3</v>
      </c>
      <c r="I25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66</v>
      </c>
      <c r="J254" s="247">
        <v>43661</v>
      </c>
      <c r="K254" s="248" t="s">
        <v>461</v>
      </c>
      <c r="L254" s="398" t="s">
        <v>589</v>
      </c>
      <c r="M254" s="248"/>
      <c r="N254" s="249"/>
      <c r="O254" s="255">
        <f>MONTH(LstMachines[[#This Row],[Delivery]])</f>
        <v>7</v>
      </c>
      <c r="P254" s="256" t="str">
        <f>FIXED(YEAR(LstMachines[[#This Row],[Delivery]]),0,TRUE)</f>
        <v>2019</v>
      </c>
      <c r="Q254" s="250"/>
      <c r="R254" s="251"/>
      <c r="S254" s="249"/>
      <c r="T254" s="249"/>
      <c r="U254" s="249" t="s">
        <v>105</v>
      </c>
      <c r="V254" s="246"/>
      <c r="W254" s="248" t="s">
        <v>384</v>
      </c>
      <c r="X254" s="258">
        <f>LstMachines[[#This Row],[Delivery]]</f>
        <v>43661</v>
      </c>
      <c r="Y254" s="258" t="str">
        <f xml:space="preserve"> IF(MONTH(LstMachines[[#This Row],[DateLivr]])&lt;10,"0","") &amp; MONTH(LstMachines[[#This Row],[DateLivr]]) &amp;"-"&amp;YEAR(LstMachines[[#This Row],[DateLivr]])</f>
        <v>07-2019</v>
      </c>
      <c r="Z254" s="258">
        <f>LstMachines[[#This Row],[Delivery]]+Rglt_à_HCME</f>
        <v>43721</v>
      </c>
      <c r="AA254" s="258" t="str">
        <f xml:space="preserve"> IF(MONTH(LstMachines[[#This Row],[DatePaie]])&lt;10,"0","") &amp; MONTH(LstMachines[[#This Row],[DatePaie]])&amp;"-"&amp;YEAR(LstMachines[[#This Row],[DatePaie]])</f>
        <v>09-2019</v>
      </c>
      <c r="AB254" s="258">
        <f>LstMachines[[#This Row],[DateLivr]]+1</f>
        <v>43662</v>
      </c>
      <c r="AC254" s="258" t="str">
        <f xml:space="preserve"> IF(MONTH(LstMachines[[#This Row],[Distrib]])&lt;10,"0","") &amp; MONTH(LstMachines[[#This Row],[Distrib]]) &amp; "-" &amp; YEAR(LstMachines[[#This Row],[Distrib]])</f>
        <v>07-2019</v>
      </c>
      <c r="AD254" s="258">
        <f>LstMachines[[#This Row],[DateLivr]]+Délai_Vente</f>
        <v>43781</v>
      </c>
      <c r="AE254" s="258" t="str">
        <f xml:space="preserve"> IF(MONTH(LstMachines[[#This Row],[VteESM]])&lt;10,"0","") &amp; MONTH(LstMachines[[#This Row],[VteESM]]) &amp; "-" &amp; YEAR(LstMachines[[#This Row],[VteESM]])</f>
        <v>11-2019</v>
      </c>
      <c r="AF254" s="258">
        <f>LstMachines[[#This Row],[DateLivr]]+Rglt_à_ESMTP</f>
        <v>43721</v>
      </c>
      <c r="AG254" s="258" t="str">
        <f xml:space="preserve"> IF(MONTH(LstMachines[[#This Row],[RgltDistrib]])&lt;10,"0","") &amp; MONTH(LstMachines[[#This Row],[RgltDistrib]]) &amp; "-" &amp; YEAR(LstMachines[[#This Row],[RgltDistrib]])</f>
        <v>09-2019</v>
      </c>
      <c r="AH254" s="258">
        <f>LstMachines[[#This Row],[VteESM]]+Rglt_à_ESMTP</f>
        <v>43841</v>
      </c>
      <c r="AI254" s="258" t="str">
        <f xml:space="preserve"> IF(MONTH(LstMachines[[#This Row],[RgltVteESM]])&lt;10,"0","") &amp; MONTH(LstMachines[[#This Row],[RgltVteESM]]) &amp; "-" &amp; YEAR(LstMachines[[#This Row],[RgltVteESM]])</f>
        <v>01-2020</v>
      </c>
      <c r="AJ254" s="140">
        <f>MONTH(LstMachines[[#This Row],[DatePaie]])</f>
        <v>9</v>
      </c>
      <c r="AK254" s="88" t="str">
        <f>FIXED(YEAR(LstMachines[[#This Row],[DatePaie]]),0,TRUE)</f>
        <v>2019</v>
      </c>
      <c r="AL254" s="270"/>
      <c r="AM254" s="414"/>
      <c r="AN254" s="92"/>
      <c r="AO254" s="92"/>
      <c r="AP254" s="92"/>
      <c r="AQ254" s="92"/>
      <c r="AR254" s="92"/>
      <c r="AS254" s="92"/>
      <c r="AT254" s="92"/>
      <c r="AU254" s="92"/>
      <c r="AV254" s="92"/>
      <c r="AW254" s="92"/>
      <c r="AX254" s="92"/>
      <c r="AY254" s="92"/>
      <c r="BA254" s="92"/>
      <c r="BC254" s="92"/>
      <c r="BD254" s="92"/>
      <c r="BE254" s="92"/>
    </row>
    <row r="255" spans="2:57" hidden="1">
      <c r="B255" s="243" t="s">
        <v>262</v>
      </c>
      <c r="C255" s="243" t="s">
        <v>40</v>
      </c>
      <c r="D255" s="245">
        <v>135</v>
      </c>
      <c r="E255" s="243" t="s">
        <v>89</v>
      </c>
      <c r="F255" s="89" t="s">
        <v>66</v>
      </c>
      <c r="G255" s="87" t="s">
        <v>106</v>
      </c>
      <c r="H255" s="246">
        <v>2</v>
      </c>
      <c r="I25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204</v>
      </c>
      <c r="J255" s="247">
        <v>43388</v>
      </c>
      <c r="K255" s="248" t="s">
        <v>463</v>
      </c>
      <c r="L255" s="398" t="s">
        <v>589</v>
      </c>
      <c r="M255" s="248" t="s">
        <v>599</v>
      </c>
      <c r="N255" s="249"/>
      <c r="O255" s="255">
        <f>MONTH(LstMachines[[#This Row],[Delivery]])</f>
        <v>10</v>
      </c>
      <c r="P255" s="256" t="str">
        <f>FIXED(YEAR(LstMachines[[#This Row],[Delivery]]),0,TRUE)</f>
        <v>2018</v>
      </c>
      <c r="Q255" s="250"/>
      <c r="R255" s="251"/>
      <c r="S255" s="249"/>
      <c r="T255" s="249"/>
      <c r="U255" s="249" t="s">
        <v>105</v>
      </c>
      <c r="V255" s="246"/>
      <c r="W255" s="248" t="s">
        <v>384</v>
      </c>
      <c r="X255" s="258">
        <f>LstMachines[[#This Row],[Delivery]]</f>
        <v>43388</v>
      </c>
      <c r="Y255" s="258" t="str">
        <f xml:space="preserve"> IF(MONTH(LstMachines[[#This Row],[DateLivr]])&lt;10,"0","") &amp; MONTH(LstMachines[[#This Row],[DateLivr]]) &amp;"-"&amp;YEAR(LstMachines[[#This Row],[DateLivr]])</f>
        <v>10-2018</v>
      </c>
      <c r="Z255" s="258">
        <f>LstMachines[[#This Row],[Delivery]]+Rglt_à_HCME</f>
        <v>43448</v>
      </c>
      <c r="AA255" s="258" t="str">
        <f xml:space="preserve"> IF(MONTH(LstMachines[[#This Row],[DatePaie]])&lt;10,"0","") &amp; MONTH(LstMachines[[#This Row],[DatePaie]])&amp;"-"&amp;YEAR(LstMachines[[#This Row],[DatePaie]])</f>
        <v>12-2018</v>
      </c>
      <c r="AB255" s="258">
        <f>LstMachines[[#This Row],[DateLivr]]+1</f>
        <v>43389</v>
      </c>
      <c r="AC255" s="258" t="str">
        <f xml:space="preserve"> IF(MONTH(LstMachines[[#This Row],[Distrib]])&lt;10,"0","") &amp; MONTH(LstMachines[[#This Row],[Distrib]]) &amp; "-" &amp; YEAR(LstMachines[[#This Row],[Distrib]])</f>
        <v>10-2018</v>
      </c>
      <c r="AD255" s="258">
        <f>LstMachines[[#This Row],[DateLivr]]+Délai_Vente</f>
        <v>43508</v>
      </c>
      <c r="AE255" s="258" t="str">
        <f xml:space="preserve"> IF(MONTH(LstMachines[[#This Row],[VteESM]])&lt;10,"0","") &amp; MONTH(LstMachines[[#This Row],[VteESM]]) &amp; "-" &amp; YEAR(LstMachines[[#This Row],[VteESM]])</f>
        <v>02-2019</v>
      </c>
      <c r="AF255" s="258">
        <f>LstMachines[[#This Row],[DateLivr]]+Rglt_à_ESMTP</f>
        <v>43448</v>
      </c>
      <c r="AG255" s="258" t="str">
        <f xml:space="preserve"> IF(MONTH(LstMachines[[#This Row],[RgltDistrib]])&lt;10,"0","") &amp; MONTH(LstMachines[[#This Row],[RgltDistrib]]) &amp; "-" &amp; YEAR(LstMachines[[#This Row],[RgltDistrib]])</f>
        <v>12-2018</v>
      </c>
      <c r="AH255" s="258">
        <f>LstMachines[[#This Row],[VteESM]]+Rglt_à_ESMTP</f>
        <v>43568</v>
      </c>
      <c r="AI255" s="258" t="str">
        <f xml:space="preserve"> IF(MONTH(LstMachines[[#This Row],[RgltVteESM]])&lt;10,"0","") &amp; MONTH(LstMachines[[#This Row],[RgltVteESM]]) &amp; "-" &amp; YEAR(LstMachines[[#This Row],[RgltVteESM]])</f>
        <v>04-2019</v>
      </c>
      <c r="AJ255" s="140">
        <f>MONTH(LstMachines[[#This Row],[DatePaie]])</f>
        <v>12</v>
      </c>
      <c r="AK255" s="88" t="str">
        <f>FIXED(YEAR(LstMachines[[#This Row],[DatePaie]]),0,TRUE)</f>
        <v>2018</v>
      </c>
      <c r="AL255" s="270"/>
      <c r="AM255" s="416">
        <v>43374</v>
      </c>
      <c r="AN255" s="92"/>
      <c r="AO255" s="92"/>
      <c r="AP255" s="92"/>
      <c r="AQ255" s="92"/>
      <c r="AR255" s="92"/>
      <c r="AS255" s="92"/>
      <c r="AT255" s="92"/>
      <c r="AU255" s="92"/>
      <c r="AV255" s="92"/>
      <c r="AW255" s="92"/>
      <c r="AX255" s="92"/>
      <c r="AY255" s="92"/>
      <c r="BA255" s="92"/>
      <c r="BC255" s="92"/>
      <c r="BD255" s="92"/>
      <c r="BE255" s="92"/>
    </row>
    <row r="256" spans="2:57" hidden="1">
      <c r="B256" s="243" t="s">
        <v>262</v>
      </c>
      <c r="C256" s="243" t="s">
        <v>40</v>
      </c>
      <c r="D256" s="245">
        <v>135</v>
      </c>
      <c r="E256" s="243" t="s">
        <v>205</v>
      </c>
      <c r="F256" s="89" t="s">
        <v>66</v>
      </c>
      <c r="G256" s="87" t="s">
        <v>106</v>
      </c>
      <c r="H256" s="246">
        <v>1</v>
      </c>
      <c r="I25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56" s="247">
        <v>43388</v>
      </c>
      <c r="K256" s="248" t="s">
        <v>463</v>
      </c>
      <c r="L256" s="398" t="s">
        <v>589</v>
      </c>
      <c r="M256" s="248" t="s">
        <v>598</v>
      </c>
      <c r="N256" s="249"/>
      <c r="O256" s="255">
        <f>MONTH(LstMachines[[#This Row],[Delivery]])</f>
        <v>10</v>
      </c>
      <c r="P256" s="256" t="str">
        <f>FIXED(YEAR(LstMachines[[#This Row],[Delivery]]),0,TRUE)</f>
        <v>2018</v>
      </c>
      <c r="Q256" s="250"/>
      <c r="R256" s="251"/>
      <c r="S256" s="249"/>
      <c r="T256" s="249"/>
      <c r="U256" s="249" t="s">
        <v>105</v>
      </c>
      <c r="V256" s="246"/>
      <c r="W256" s="248" t="s">
        <v>384</v>
      </c>
      <c r="X256" s="258">
        <f>LstMachines[[#This Row],[Delivery]]</f>
        <v>43388</v>
      </c>
      <c r="Y256" s="258" t="str">
        <f xml:space="preserve"> IF(MONTH(LstMachines[[#This Row],[DateLivr]])&lt;10,"0","") &amp; MONTH(LstMachines[[#This Row],[DateLivr]]) &amp;"-"&amp;YEAR(LstMachines[[#This Row],[DateLivr]])</f>
        <v>10-2018</v>
      </c>
      <c r="Z256" s="258">
        <f>LstMachines[[#This Row],[Delivery]]+Rglt_à_HCME</f>
        <v>43448</v>
      </c>
      <c r="AA256" s="258" t="str">
        <f xml:space="preserve"> IF(MONTH(LstMachines[[#This Row],[DatePaie]])&lt;10,"0","") &amp; MONTH(LstMachines[[#This Row],[DatePaie]])&amp;"-"&amp;YEAR(LstMachines[[#This Row],[DatePaie]])</f>
        <v>12-2018</v>
      </c>
      <c r="AB256" s="258">
        <f>LstMachines[[#This Row],[DateLivr]]+1</f>
        <v>43389</v>
      </c>
      <c r="AC256" s="258" t="str">
        <f xml:space="preserve"> IF(MONTH(LstMachines[[#This Row],[Distrib]])&lt;10,"0","") &amp; MONTH(LstMachines[[#This Row],[Distrib]]) &amp; "-" &amp; YEAR(LstMachines[[#This Row],[Distrib]])</f>
        <v>10-2018</v>
      </c>
      <c r="AD256" s="258">
        <f>LstMachines[[#This Row],[DateLivr]]+Délai_Vente</f>
        <v>43508</v>
      </c>
      <c r="AE256" s="258" t="str">
        <f xml:space="preserve"> IF(MONTH(LstMachines[[#This Row],[VteESM]])&lt;10,"0","") &amp; MONTH(LstMachines[[#This Row],[VteESM]]) &amp; "-" &amp; YEAR(LstMachines[[#This Row],[VteESM]])</f>
        <v>02-2019</v>
      </c>
      <c r="AF256" s="258">
        <f>LstMachines[[#This Row],[DateLivr]]+Rglt_à_ESMTP</f>
        <v>43448</v>
      </c>
      <c r="AG256" s="258" t="str">
        <f xml:space="preserve"> IF(MONTH(LstMachines[[#This Row],[RgltDistrib]])&lt;10,"0","") &amp; MONTH(LstMachines[[#This Row],[RgltDistrib]]) &amp; "-" &amp; YEAR(LstMachines[[#This Row],[RgltDistrib]])</f>
        <v>12-2018</v>
      </c>
      <c r="AH256" s="258">
        <f>LstMachines[[#This Row],[VteESM]]+Rglt_à_ESMTP</f>
        <v>43568</v>
      </c>
      <c r="AI256" s="258" t="str">
        <f xml:space="preserve"> IF(MONTH(LstMachines[[#This Row],[RgltVteESM]])&lt;10,"0","") &amp; MONTH(LstMachines[[#This Row],[RgltVteESM]]) &amp; "-" &amp; YEAR(LstMachines[[#This Row],[RgltVteESM]])</f>
        <v>04-2019</v>
      </c>
      <c r="AJ256" s="140">
        <f>MONTH(LstMachines[[#This Row],[DatePaie]])</f>
        <v>12</v>
      </c>
      <c r="AK256" s="88" t="str">
        <f>FIXED(YEAR(LstMachines[[#This Row],[DatePaie]]),0,TRUE)</f>
        <v>2018</v>
      </c>
      <c r="AL256" s="270"/>
      <c r="AM256" s="414"/>
      <c r="AN256" s="92"/>
      <c r="AO256" s="92"/>
      <c r="AP256" s="92"/>
      <c r="AQ256" s="92"/>
      <c r="AR256" s="92"/>
      <c r="AS256" s="92"/>
      <c r="AT256" s="92"/>
      <c r="AU256" s="92"/>
      <c r="AV256" s="92"/>
      <c r="AW256" s="92"/>
      <c r="AX256" s="92"/>
      <c r="AY256" s="92"/>
      <c r="BA256" s="92"/>
      <c r="BC256" s="92"/>
      <c r="BD256" s="92"/>
      <c r="BE256" s="92"/>
    </row>
    <row r="257" spans="2:57" hidden="1">
      <c r="B257" s="243" t="s">
        <v>75</v>
      </c>
      <c r="C257" s="243" t="s">
        <v>36</v>
      </c>
      <c r="D257" s="245">
        <v>26</v>
      </c>
      <c r="E257" s="243" t="s">
        <v>361</v>
      </c>
      <c r="F257" s="89" t="s">
        <v>66</v>
      </c>
      <c r="G257" s="89" t="s">
        <v>106</v>
      </c>
      <c r="H257" s="246">
        <v>6</v>
      </c>
      <c r="I25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132</v>
      </c>
      <c r="J257" s="247">
        <v>43388</v>
      </c>
      <c r="K257" s="248" t="s">
        <v>463</v>
      </c>
      <c r="L257" s="398" t="s">
        <v>589</v>
      </c>
      <c r="M257" s="248" t="s">
        <v>598</v>
      </c>
      <c r="N257" s="249"/>
      <c r="O257" s="255">
        <f>MONTH(LstMachines[[#This Row],[Delivery]])</f>
        <v>10</v>
      </c>
      <c r="P257" s="256" t="str">
        <f>FIXED(YEAR(LstMachines[[#This Row],[Delivery]]),0,TRUE)</f>
        <v>2018</v>
      </c>
      <c r="Q257" s="250"/>
      <c r="R257" s="251"/>
      <c r="S257" s="249"/>
      <c r="T257" s="249"/>
      <c r="U257" s="249" t="s">
        <v>105</v>
      </c>
      <c r="V257" s="246"/>
      <c r="W257" s="248" t="s">
        <v>384</v>
      </c>
      <c r="X257" s="258">
        <f>LstMachines[[#This Row],[Delivery]]</f>
        <v>43388</v>
      </c>
      <c r="Y257" s="258" t="str">
        <f xml:space="preserve"> IF(MONTH(LstMachines[[#This Row],[DateLivr]])&lt;10,"0","") &amp; MONTH(LstMachines[[#This Row],[DateLivr]]) &amp;"-"&amp;YEAR(LstMachines[[#This Row],[DateLivr]])</f>
        <v>10-2018</v>
      </c>
      <c r="Z257" s="258">
        <f>LstMachines[[#This Row],[Delivery]]+Rglt_à_HCME</f>
        <v>43448</v>
      </c>
      <c r="AA257" s="258" t="str">
        <f xml:space="preserve"> IF(MONTH(LstMachines[[#This Row],[DatePaie]])&lt;10,"0","") &amp; MONTH(LstMachines[[#This Row],[DatePaie]])&amp;"-"&amp;YEAR(LstMachines[[#This Row],[DatePaie]])</f>
        <v>12-2018</v>
      </c>
      <c r="AB257" s="258">
        <f>LstMachines[[#This Row],[DateLivr]]+1</f>
        <v>43389</v>
      </c>
      <c r="AC257" s="258" t="str">
        <f xml:space="preserve"> IF(MONTH(LstMachines[[#This Row],[Distrib]])&lt;10,"0","") &amp; MONTH(LstMachines[[#This Row],[Distrib]]) &amp; "-" &amp; YEAR(LstMachines[[#This Row],[Distrib]])</f>
        <v>10-2018</v>
      </c>
      <c r="AD257" s="258">
        <f>LstMachines[[#This Row],[DateLivr]]+Délai_Vente</f>
        <v>43508</v>
      </c>
      <c r="AE257" s="258" t="str">
        <f xml:space="preserve"> IF(MONTH(LstMachines[[#This Row],[VteESM]])&lt;10,"0","") &amp; MONTH(LstMachines[[#This Row],[VteESM]]) &amp; "-" &amp; YEAR(LstMachines[[#This Row],[VteESM]])</f>
        <v>02-2019</v>
      </c>
      <c r="AF257" s="258">
        <f>LstMachines[[#This Row],[DateLivr]]+Rglt_à_ESMTP</f>
        <v>43448</v>
      </c>
      <c r="AG257" s="258" t="str">
        <f xml:space="preserve"> IF(MONTH(LstMachines[[#This Row],[RgltDistrib]])&lt;10,"0","") &amp; MONTH(LstMachines[[#This Row],[RgltDistrib]]) &amp; "-" &amp; YEAR(LstMachines[[#This Row],[RgltDistrib]])</f>
        <v>12-2018</v>
      </c>
      <c r="AH257" s="258">
        <f>LstMachines[[#This Row],[VteESM]]+Rglt_à_ESMTP</f>
        <v>43568</v>
      </c>
      <c r="AI257" s="258" t="str">
        <f xml:space="preserve"> IF(MONTH(LstMachines[[#This Row],[RgltVteESM]])&lt;10,"0","") &amp; MONTH(LstMachines[[#This Row],[RgltVteESM]]) &amp; "-" &amp; YEAR(LstMachines[[#This Row],[RgltVteESM]])</f>
        <v>04-2019</v>
      </c>
      <c r="AJ257" s="140">
        <f>MONTH(LstMachines[[#This Row],[DatePaie]])</f>
        <v>12</v>
      </c>
      <c r="AK257" s="88" t="str">
        <f>FIXED(YEAR(LstMachines[[#This Row],[DatePaie]]),0,TRUE)</f>
        <v>2018</v>
      </c>
      <c r="AL257" s="270"/>
      <c r="AM257" s="414"/>
      <c r="AN257" s="92"/>
      <c r="AO257" s="92"/>
      <c r="AP257" s="92"/>
      <c r="AQ257" s="92"/>
      <c r="AR257" s="92"/>
      <c r="AS257" s="92"/>
      <c r="AT257" s="92"/>
      <c r="AU257" s="92"/>
      <c r="AV257" s="92"/>
      <c r="AW257" s="92"/>
      <c r="AX257" s="92"/>
      <c r="AY257" s="92"/>
      <c r="BA257" s="92"/>
      <c r="BC257" s="92"/>
      <c r="BD257" s="92"/>
      <c r="BE257" s="92"/>
    </row>
    <row r="258" spans="2:57" hidden="1">
      <c r="B258" s="243" t="s">
        <v>75</v>
      </c>
      <c r="C258" s="243" t="s">
        <v>36</v>
      </c>
      <c r="D258" s="245">
        <v>26</v>
      </c>
      <c r="E258" s="243" t="s">
        <v>355</v>
      </c>
      <c r="F258" s="89" t="s">
        <v>66</v>
      </c>
      <c r="G258" s="89" t="s">
        <v>106</v>
      </c>
      <c r="H258" s="246">
        <v>3</v>
      </c>
      <c r="I25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66</v>
      </c>
      <c r="J258" s="247">
        <v>43388</v>
      </c>
      <c r="K258" s="248" t="s">
        <v>463</v>
      </c>
      <c r="L258" s="398" t="s">
        <v>589</v>
      </c>
      <c r="M258" s="248" t="s">
        <v>598</v>
      </c>
      <c r="N258" s="249"/>
      <c r="O258" s="255">
        <f>MONTH(LstMachines[[#This Row],[Delivery]])</f>
        <v>10</v>
      </c>
      <c r="P258" s="256" t="str">
        <f>FIXED(YEAR(LstMachines[[#This Row],[Delivery]]),0,TRUE)</f>
        <v>2018</v>
      </c>
      <c r="Q258" s="250"/>
      <c r="R258" s="251"/>
      <c r="S258" s="249"/>
      <c r="T258" s="249"/>
      <c r="U258" s="249" t="s">
        <v>105</v>
      </c>
      <c r="V258" s="246"/>
      <c r="W258" s="248" t="s">
        <v>384</v>
      </c>
      <c r="X258" s="258">
        <f>LstMachines[[#This Row],[Delivery]]</f>
        <v>43388</v>
      </c>
      <c r="Y258" s="258" t="str">
        <f xml:space="preserve"> IF(MONTH(LstMachines[[#This Row],[DateLivr]])&lt;10,"0","") &amp; MONTH(LstMachines[[#This Row],[DateLivr]]) &amp;"-"&amp;YEAR(LstMachines[[#This Row],[DateLivr]])</f>
        <v>10-2018</v>
      </c>
      <c r="Z258" s="258">
        <f>LstMachines[[#This Row],[Delivery]]+Rglt_à_HCME</f>
        <v>43448</v>
      </c>
      <c r="AA258" s="258" t="str">
        <f xml:space="preserve"> IF(MONTH(LstMachines[[#This Row],[DatePaie]])&lt;10,"0","") &amp; MONTH(LstMachines[[#This Row],[DatePaie]])&amp;"-"&amp;YEAR(LstMachines[[#This Row],[DatePaie]])</f>
        <v>12-2018</v>
      </c>
      <c r="AB258" s="258">
        <f>LstMachines[[#This Row],[DateLivr]]+1</f>
        <v>43389</v>
      </c>
      <c r="AC258" s="258" t="str">
        <f xml:space="preserve"> IF(MONTH(LstMachines[[#This Row],[Distrib]])&lt;10,"0","") &amp; MONTH(LstMachines[[#This Row],[Distrib]]) &amp; "-" &amp; YEAR(LstMachines[[#This Row],[Distrib]])</f>
        <v>10-2018</v>
      </c>
      <c r="AD258" s="258">
        <f>LstMachines[[#This Row],[DateLivr]]+Délai_Vente</f>
        <v>43508</v>
      </c>
      <c r="AE258" s="258" t="str">
        <f xml:space="preserve"> IF(MONTH(LstMachines[[#This Row],[VteESM]])&lt;10,"0","") &amp; MONTH(LstMachines[[#This Row],[VteESM]]) &amp; "-" &amp; YEAR(LstMachines[[#This Row],[VteESM]])</f>
        <v>02-2019</v>
      </c>
      <c r="AF258" s="258">
        <f>LstMachines[[#This Row],[DateLivr]]+Rglt_à_ESMTP</f>
        <v>43448</v>
      </c>
      <c r="AG258" s="258" t="str">
        <f xml:space="preserve"> IF(MONTH(LstMachines[[#This Row],[RgltDistrib]])&lt;10,"0","") &amp; MONTH(LstMachines[[#This Row],[RgltDistrib]]) &amp; "-" &amp; YEAR(LstMachines[[#This Row],[RgltDistrib]])</f>
        <v>12-2018</v>
      </c>
      <c r="AH258" s="258">
        <f>LstMachines[[#This Row],[VteESM]]+Rglt_à_ESMTP</f>
        <v>43568</v>
      </c>
      <c r="AI258" s="258" t="str">
        <f xml:space="preserve"> IF(MONTH(LstMachines[[#This Row],[RgltVteESM]])&lt;10,"0","") &amp; MONTH(LstMachines[[#This Row],[RgltVteESM]]) &amp; "-" &amp; YEAR(LstMachines[[#This Row],[RgltVteESM]])</f>
        <v>04-2019</v>
      </c>
      <c r="AJ258" s="140">
        <f>MONTH(LstMachines[[#This Row],[DatePaie]])</f>
        <v>12</v>
      </c>
      <c r="AK258" s="88" t="str">
        <f>FIXED(YEAR(LstMachines[[#This Row],[DatePaie]]),0,TRUE)</f>
        <v>2018</v>
      </c>
      <c r="AL258" s="270"/>
      <c r="AM258" s="414"/>
      <c r="AN258" s="92"/>
      <c r="AO258" s="92"/>
      <c r="AP258" s="92"/>
      <c r="AQ258" s="92"/>
      <c r="AR258" s="92"/>
      <c r="AS258" s="92"/>
      <c r="AT258" s="92"/>
      <c r="AU258" s="92"/>
      <c r="AV258" s="92"/>
      <c r="AW258" s="92"/>
      <c r="AX258" s="92"/>
      <c r="AY258" s="92"/>
      <c r="BA258" s="92"/>
      <c r="BC258" s="92"/>
      <c r="BD258" s="92"/>
      <c r="BE258" s="92"/>
    </row>
    <row r="259" spans="2:57">
      <c r="B259" s="243" t="s">
        <v>75</v>
      </c>
      <c r="C259" s="243" t="s">
        <v>36</v>
      </c>
      <c r="D259" s="245">
        <v>26</v>
      </c>
      <c r="E259" s="452" t="s">
        <v>361</v>
      </c>
      <c r="F259" s="89" t="s">
        <v>66</v>
      </c>
      <c r="G259" s="89" t="s">
        <v>106</v>
      </c>
      <c r="H259" s="246">
        <v>3</v>
      </c>
      <c r="I25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66</v>
      </c>
      <c r="J259" s="247">
        <v>43692</v>
      </c>
      <c r="K259" s="248" t="s">
        <v>461</v>
      </c>
      <c r="L259" s="398" t="s">
        <v>589</v>
      </c>
      <c r="M259" s="248"/>
      <c r="N259" s="249"/>
      <c r="O259" s="255">
        <f>MONTH(LstMachines[[#This Row],[Delivery]])</f>
        <v>8</v>
      </c>
      <c r="P259" s="256" t="str">
        <f>FIXED(YEAR(LstMachines[[#This Row],[Delivery]]),0,TRUE)</f>
        <v>2019</v>
      </c>
      <c r="Q259" s="250"/>
      <c r="R259" s="251"/>
      <c r="S259" s="249"/>
      <c r="T259" s="249"/>
      <c r="U259" s="249" t="s">
        <v>105</v>
      </c>
      <c r="V259" s="246"/>
      <c r="W259" s="248" t="s">
        <v>384</v>
      </c>
      <c r="X259" s="258">
        <f>LstMachines[[#This Row],[Delivery]]</f>
        <v>43692</v>
      </c>
      <c r="Y259" s="258" t="str">
        <f xml:space="preserve"> IF(MONTH(LstMachines[[#This Row],[DateLivr]])&lt;10,"0","") &amp; MONTH(LstMachines[[#This Row],[DateLivr]]) &amp;"-"&amp;YEAR(LstMachines[[#This Row],[DateLivr]])</f>
        <v>08-2019</v>
      </c>
      <c r="Z259" s="258">
        <f>LstMachines[[#This Row],[Delivery]]+Rglt_à_HCME</f>
        <v>43752</v>
      </c>
      <c r="AA259" s="258" t="str">
        <f xml:space="preserve"> IF(MONTH(LstMachines[[#This Row],[DatePaie]])&lt;10,"0","") &amp; MONTH(LstMachines[[#This Row],[DatePaie]])&amp;"-"&amp;YEAR(LstMachines[[#This Row],[DatePaie]])</f>
        <v>10-2019</v>
      </c>
      <c r="AB259" s="258">
        <f>LstMachines[[#This Row],[DateLivr]]+1</f>
        <v>43693</v>
      </c>
      <c r="AC259" s="258" t="str">
        <f xml:space="preserve"> IF(MONTH(LstMachines[[#This Row],[Distrib]])&lt;10,"0","") &amp; MONTH(LstMachines[[#This Row],[Distrib]]) &amp; "-" &amp; YEAR(LstMachines[[#This Row],[Distrib]])</f>
        <v>08-2019</v>
      </c>
      <c r="AD259" s="258">
        <f>LstMachines[[#This Row],[DateLivr]]+Délai_Vente</f>
        <v>43812</v>
      </c>
      <c r="AE259" s="258" t="str">
        <f xml:space="preserve"> IF(MONTH(LstMachines[[#This Row],[VteESM]])&lt;10,"0","") &amp; MONTH(LstMachines[[#This Row],[VteESM]]) &amp; "-" &amp; YEAR(LstMachines[[#This Row],[VteESM]])</f>
        <v>12-2019</v>
      </c>
      <c r="AF259" s="258">
        <f>LstMachines[[#This Row],[DateLivr]]+Rglt_à_ESMTP</f>
        <v>43752</v>
      </c>
      <c r="AG259" s="258" t="str">
        <f xml:space="preserve"> IF(MONTH(LstMachines[[#This Row],[RgltDistrib]])&lt;10,"0","") &amp; MONTH(LstMachines[[#This Row],[RgltDistrib]]) &amp; "-" &amp; YEAR(LstMachines[[#This Row],[RgltDistrib]])</f>
        <v>10-2019</v>
      </c>
      <c r="AH259" s="258">
        <f>LstMachines[[#This Row],[VteESM]]+Rglt_à_ESMTP</f>
        <v>43872</v>
      </c>
      <c r="AI259" s="258" t="str">
        <f xml:space="preserve"> IF(MONTH(LstMachines[[#This Row],[RgltVteESM]])&lt;10,"0","") &amp; MONTH(LstMachines[[#This Row],[RgltVteESM]]) &amp; "-" &amp; YEAR(LstMachines[[#This Row],[RgltVteESM]])</f>
        <v>02-2020</v>
      </c>
      <c r="AJ259" s="140">
        <f>MONTH(LstMachines[[#This Row],[DatePaie]])</f>
        <v>10</v>
      </c>
      <c r="AK259" s="88" t="str">
        <f>FIXED(YEAR(LstMachines[[#This Row],[DatePaie]]),0,TRUE)</f>
        <v>2019</v>
      </c>
      <c r="AL259" s="270"/>
      <c r="AM259" s="414"/>
      <c r="AN259" s="92"/>
      <c r="AO259" s="92"/>
      <c r="AP259" s="92"/>
      <c r="AQ259" s="92"/>
      <c r="AR259" s="92"/>
      <c r="AS259" s="92"/>
      <c r="AT259" s="92"/>
      <c r="AU259" s="92"/>
      <c r="AV259" s="92"/>
      <c r="AW259" s="92"/>
      <c r="AX259" s="92"/>
      <c r="AY259" s="92"/>
      <c r="BA259" s="92"/>
      <c r="BC259" s="92"/>
      <c r="BD259" s="92"/>
      <c r="BE259" s="92"/>
    </row>
    <row r="260" spans="2:57">
      <c r="B260" s="243" t="s">
        <v>75</v>
      </c>
      <c r="C260" s="243" t="s">
        <v>69</v>
      </c>
      <c r="D260" s="245">
        <v>55</v>
      </c>
      <c r="E260" s="452" t="s">
        <v>364</v>
      </c>
      <c r="F260" s="89" t="s">
        <v>66</v>
      </c>
      <c r="G260" s="89" t="s">
        <v>106</v>
      </c>
      <c r="H260" s="246">
        <v>1</v>
      </c>
      <c r="I26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43</v>
      </c>
      <c r="J260" s="247">
        <v>43692</v>
      </c>
      <c r="K260" s="248" t="s">
        <v>461</v>
      </c>
      <c r="L260" s="398" t="s">
        <v>589</v>
      </c>
      <c r="M260" s="248"/>
      <c r="N260" s="249"/>
      <c r="O260" s="255">
        <f>MONTH(LstMachines[[#This Row],[Delivery]])</f>
        <v>8</v>
      </c>
      <c r="P260" s="256" t="str">
        <f>FIXED(YEAR(LstMachines[[#This Row],[Delivery]]),0,TRUE)</f>
        <v>2019</v>
      </c>
      <c r="Q260" s="250"/>
      <c r="R260" s="251"/>
      <c r="S260" s="249"/>
      <c r="T260" s="249"/>
      <c r="U260" s="249" t="s">
        <v>105</v>
      </c>
      <c r="V260" s="246"/>
      <c r="W260" s="248" t="s">
        <v>384</v>
      </c>
      <c r="X260" s="258">
        <f>LstMachines[[#This Row],[Delivery]]</f>
        <v>43692</v>
      </c>
      <c r="Y260" s="258" t="str">
        <f xml:space="preserve"> IF(MONTH(LstMachines[[#This Row],[DateLivr]])&lt;10,"0","") &amp; MONTH(LstMachines[[#This Row],[DateLivr]]) &amp;"-"&amp;YEAR(LstMachines[[#This Row],[DateLivr]])</f>
        <v>08-2019</v>
      </c>
      <c r="Z260" s="258">
        <f>LstMachines[[#This Row],[Delivery]]+Rglt_à_HCME</f>
        <v>43752</v>
      </c>
      <c r="AA260" s="258" t="str">
        <f xml:space="preserve"> IF(MONTH(LstMachines[[#This Row],[DatePaie]])&lt;10,"0","") &amp; MONTH(LstMachines[[#This Row],[DatePaie]])&amp;"-"&amp;YEAR(LstMachines[[#This Row],[DatePaie]])</f>
        <v>10-2019</v>
      </c>
      <c r="AB260" s="258">
        <f>LstMachines[[#This Row],[DateLivr]]+1</f>
        <v>43693</v>
      </c>
      <c r="AC260" s="258" t="str">
        <f xml:space="preserve"> IF(MONTH(LstMachines[[#This Row],[Distrib]])&lt;10,"0","") &amp; MONTH(LstMachines[[#This Row],[Distrib]]) &amp; "-" &amp; YEAR(LstMachines[[#This Row],[Distrib]])</f>
        <v>08-2019</v>
      </c>
      <c r="AD260" s="258">
        <f>LstMachines[[#This Row],[DateLivr]]+Délai_Vente</f>
        <v>43812</v>
      </c>
      <c r="AE260" s="258" t="str">
        <f xml:space="preserve"> IF(MONTH(LstMachines[[#This Row],[VteESM]])&lt;10,"0","") &amp; MONTH(LstMachines[[#This Row],[VteESM]]) &amp; "-" &amp; YEAR(LstMachines[[#This Row],[VteESM]])</f>
        <v>12-2019</v>
      </c>
      <c r="AF260" s="258">
        <f>LstMachines[[#This Row],[DateLivr]]+Rglt_à_ESMTP</f>
        <v>43752</v>
      </c>
      <c r="AG260" s="258" t="str">
        <f xml:space="preserve"> IF(MONTH(LstMachines[[#This Row],[RgltDistrib]])&lt;10,"0","") &amp; MONTH(LstMachines[[#This Row],[RgltDistrib]]) &amp; "-" &amp; YEAR(LstMachines[[#This Row],[RgltDistrib]])</f>
        <v>10-2019</v>
      </c>
      <c r="AH260" s="258">
        <f>LstMachines[[#This Row],[VteESM]]+Rglt_à_ESMTP</f>
        <v>43872</v>
      </c>
      <c r="AI260" s="258" t="str">
        <f xml:space="preserve"> IF(MONTH(LstMachines[[#This Row],[RgltVteESM]])&lt;10,"0","") &amp; MONTH(LstMachines[[#This Row],[RgltVteESM]]) &amp; "-" &amp; YEAR(LstMachines[[#This Row],[RgltVteESM]])</f>
        <v>02-2020</v>
      </c>
      <c r="AJ260" s="140">
        <f>MONTH(LstMachines[[#This Row],[DatePaie]])</f>
        <v>10</v>
      </c>
      <c r="AK260" s="88" t="str">
        <f>FIXED(YEAR(LstMachines[[#This Row],[DatePaie]]),0,TRUE)</f>
        <v>2019</v>
      </c>
      <c r="AL260" s="270"/>
      <c r="AM260" s="414"/>
      <c r="AN260" s="92"/>
      <c r="AO260" s="92"/>
      <c r="AP260" s="92"/>
      <c r="AQ260" s="92"/>
      <c r="AR260" s="92"/>
      <c r="AS260" s="92"/>
      <c r="AT260" s="92"/>
      <c r="AU260" s="92"/>
      <c r="AV260" s="92"/>
      <c r="AW260" s="92"/>
      <c r="AX260" s="92"/>
      <c r="AY260" s="92"/>
      <c r="BA260" s="92"/>
      <c r="BC260" s="92"/>
      <c r="BD260" s="92"/>
      <c r="BE260" s="92"/>
    </row>
    <row r="261" spans="2:57" hidden="1">
      <c r="B261" s="243" t="s">
        <v>262</v>
      </c>
      <c r="C261" s="243" t="s">
        <v>40</v>
      </c>
      <c r="D261" s="245">
        <v>135</v>
      </c>
      <c r="E261" s="243" t="s">
        <v>194</v>
      </c>
      <c r="F261" s="89" t="s">
        <v>66</v>
      </c>
      <c r="G261" s="87" t="s">
        <v>106</v>
      </c>
      <c r="H261" s="246">
        <v>1</v>
      </c>
      <c r="I26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61" s="247">
        <v>43358</v>
      </c>
      <c r="K261" s="248" t="s">
        <v>463</v>
      </c>
      <c r="L261" s="398" t="s">
        <v>589</v>
      </c>
      <c r="M261" s="248" t="s">
        <v>599</v>
      </c>
      <c r="N261" s="249"/>
      <c r="O261" s="255">
        <f>MONTH(LstMachines[[#This Row],[Delivery]])</f>
        <v>9</v>
      </c>
      <c r="P261" s="256" t="str">
        <f>FIXED(YEAR(LstMachines[[#This Row],[Delivery]]),0,TRUE)</f>
        <v>2018</v>
      </c>
      <c r="Q261" s="250"/>
      <c r="R261" s="251"/>
      <c r="S261" s="249"/>
      <c r="T261" s="249"/>
      <c r="U261" s="249" t="s">
        <v>105</v>
      </c>
      <c r="V261" s="246"/>
      <c r="W261" s="248" t="s">
        <v>384</v>
      </c>
      <c r="X261" s="258">
        <f>LstMachines[[#This Row],[Delivery]]</f>
        <v>43358</v>
      </c>
      <c r="Y261" s="258" t="str">
        <f xml:space="preserve"> IF(MONTH(LstMachines[[#This Row],[DateLivr]])&lt;10,"0","") &amp; MONTH(LstMachines[[#This Row],[DateLivr]]) &amp;"-"&amp;YEAR(LstMachines[[#This Row],[DateLivr]])</f>
        <v>09-2018</v>
      </c>
      <c r="Z261" s="258">
        <f>LstMachines[[#This Row],[Delivery]]+Rglt_à_HCME</f>
        <v>43418</v>
      </c>
      <c r="AA261" s="258" t="str">
        <f xml:space="preserve"> IF(MONTH(LstMachines[[#This Row],[DatePaie]])&lt;10,"0","") &amp; MONTH(LstMachines[[#This Row],[DatePaie]])&amp;"-"&amp;YEAR(LstMachines[[#This Row],[DatePaie]])</f>
        <v>11-2018</v>
      </c>
      <c r="AB261" s="258">
        <f>LstMachines[[#This Row],[DateLivr]]+1</f>
        <v>43359</v>
      </c>
      <c r="AC261" s="258" t="str">
        <f xml:space="preserve"> IF(MONTH(LstMachines[[#This Row],[Distrib]])&lt;10,"0","") &amp; MONTH(LstMachines[[#This Row],[Distrib]]) &amp; "-" &amp; YEAR(LstMachines[[#This Row],[Distrib]])</f>
        <v>09-2018</v>
      </c>
      <c r="AD261" s="258">
        <f>LstMachines[[#This Row],[DateLivr]]+Délai_Vente</f>
        <v>43478</v>
      </c>
      <c r="AE261" s="258" t="str">
        <f xml:space="preserve"> IF(MONTH(LstMachines[[#This Row],[VteESM]])&lt;10,"0","") &amp; MONTH(LstMachines[[#This Row],[VteESM]]) &amp; "-" &amp; YEAR(LstMachines[[#This Row],[VteESM]])</f>
        <v>01-2019</v>
      </c>
      <c r="AF261" s="258">
        <f>LstMachines[[#This Row],[DateLivr]]+Rglt_à_ESMTP</f>
        <v>43418</v>
      </c>
      <c r="AG261" s="258" t="str">
        <f xml:space="preserve"> IF(MONTH(LstMachines[[#This Row],[RgltDistrib]])&lt;10,"0","") &amp; MONTH(LstMachines[[#This Row],[RgltDistrib]]) &amp; "-" &amp; YEAR(LstMachines[[#This Row],[RgltDistrib]])</f>
        <v>11-2018</v>
      </c>
      <c r="AH261" s="258">
        <f>LstMachines[[#This Row],[VteESM]]+Rglt_à_ESMTP</f>
        <v>43538</v>
      </c>
      <c r="AI261" s="258" t="str">
        <f xml:space="preserve"> IF(MONTH(LstMachines[[#This Row],[RgltVteESM]])&lt;10,"0","") &amp; MONTH(LstMachines[[#This Row],[RgltVteESM]]) &amp; "-" &amp; YEAR(LstMachines[[#This Row],[RgltVteESM]])</f>
        <v>03-2019</v>
      </c>
      <c r="AJ261" s="140">
        <f>MONTH(LstMachines[[#This Row],[DatePaie]])</f>
        <v>11</v>
      </c>
      <c r="AK261" s="88" t="str">
        <f>FIXED(YEAR(LstMachines[[#This Row],[DatePaie]]),0,TRUE)</f>
        <v>2018</v>
      </c>
      <c r="AL261" s="270"/>
      <c r="AM261" s="414"/>
      <c r="AN261" s="92"/>
      <c r="AO261" s="92"/>
      <c r="AP261" s="92"/>
      <c r="AQ261" s="92"/>
      <c r="AR261" s="92"/>
      <c r="AS261" s="92"/>
      <c r="AT261" s="92"/>
      <c r="AU261" s="92"/>
      <c r="AV261" s="92"/>
      <c r="AW261" s="92"/>
      <c r="AX261" s="92"/>
      <c r="AY261" s="92"/>
      <c r="BA261" s="92"/>
      <c r="BC261" s="92"/>
      <c r="BD261" s="92"/>
      <c r="BE261" s="92"/>
    </row>
    <row r="262" spans="2:57" hidden="1">
      <c r="B262" s="243" t="s">
        <v>262</v>
      </c>
      <c r="C262" s="243" t="s">
        <v>40</v>
      </c>
      <c r="D262" s="245">
        <v>135</v>
      </c>
      <c r="E262" s="243" t="s">
        <v>87</v>
      </c>
      <c r="F262" s="89" t="s">
        <v>66</v>
      </c>
      <c r="G262" s="87" t="s">
        <v>106</v>
      </c>
      <c r="H262" s="246">
        <v>1</v>
      </c>
      <c r="I26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62" s="247">
        <v>43358</v>
      </c>
      <c r="K262" s="248" t="s">
        <v>463</v>
      </c>
      <c r="L262" s="398" t="s">
        <v>589</v>
      </c>
      <c r="M262" s="248" t="s">
        <v>599</v>
      </c>
      <c r="N262" s="249"/>
      <c r="O262" s="255">
        <f>MONTH(LstMachines[[#This Row],[Delivery]])</f>
        <v>9</v>
      </c>
      <c r="P262" s="256" t="str">
        <f>FIXED(YEAR(LstMachines[[#This Row],[Delivery]]),0,TRUE)</f>
        <v>2018</v>
      </c>
      <c r="Q262" s="250"/>
      <c r="R262" s="251"/>
      <c r="S262" s="249"/>
      <c r="T262" s="249"/>
      <c r="U262" s="249" t="s">
        <v>105</v>
      </c>
      <c r="V262" s="246"/>
      <c r="W262" s="248" t="s">
        <v>384</v>
      </c>
      <c r="X262" s="258">
        <f>LstMachines[[#This Row],[Delivery]]</f>
        <v>43358</v>
      </c>
      <c r="Y262" s="258" t="str">
        <f xml:space="preserve"> IF(MONTH(LstMachines[[#This Row],[DateLivr]])&lt;10,"0","") &amp; MONTH(LstMachines[[#This Row],[DateLivr]]) &amp;"-"&amp;YEAR(LstMachines[[#This Row],[DateLivr]])</f>
        <v>09-2018</v>
      </c>
      <c r="Z262" s="258">
        <f>LstMachines[[#This Row],[Delivery]]+Rglt_à_HCME</f>
        <v>43418</v>
      </c>
      <c r="AA262" s="258" t="str">
        <f xml:space="preserve"> IF(MONTH(LstMachines[[#This Row],[DatePaie]])&lt;10,"0","") &amp; MONTH(LstMachines[[#This Row],[DatePaie]])&amp;"-"&amp;YEAR(LstMachines[[#This Row],[DatePaie]])</f>
        <v>11-2018</v>
      </c>
      <c r="AB262" s="258">
        <f>LstMachines[[#This Row],[DateLivr]]+1</f>
        <v>43359</v>
      </c>
      <c r="AC262" s="258" t="str">
        <f xml:space="preserve"> IF(MONTH(LstMachines[[#This Row],[Distrib]])&lt;10,"0","") &amp; MONTH(LstMachines[[#This Row],[Distrib]]) &amp; "-" &amp; YEAR(LstMachines[[#This Row],[Distrib]])</f>
        <v>09-2018</v>
      </c>
      <c r="AD262" s="258">
        <f>LstMachines[[#This Row],[DateLivr]]+Délai_Vente</f>
        <v>43478</v>
      </c>
      <c r="AE262" s="258" t="str">
        <f xml:space="preserve"> IF(MONTH(LstMachines[[#This Row],[VteESM]])&lt;10,"0","") &amp; MONTH(LstMachines[[#This Row],[VteESM]]) &amp; "-" &amp; YEAR(LstMachines[[#This Row],[VteESM]])</f>
        <v>01-2019</v>
      </c>
      <c r="AF262" s="258">
        <f>LstMachines[[#This Row],[DateLivr]]+Rglt_à_ESMTP</f>
        <v>43418</v>
      </c>
      <c r="AG262" s="258" t="str">
        <f xml:space="preserve"> IF(MONTH(LstMachines[[#This Row],[RgltDistrib]])&lt;10,"0","") &amp; MONTH(LstMachines[[#This Row],[RgltDistrib]]) &amp; "-" &amp; YEAR(LstMachines[[#This Row],[RgltDistrib]])</f>
        <v>11-2018</v>
      </c>
      <c r="AH262" s="258">
        <f>LstMachines[[#This Row],[VteESM]]+Rglt_à_ESMTP</f>
        <v>43538</v>
      </c>
      <c r="AI262" s="258" t="str">
        <f xml:space="preserve"> IF(MONTH(LstMachines[[#This Row],[RgltVteESM]])&lt;10,"0","") &amp; MONTH(LstMachines[[#This Row],[RgltVteESM]]) &amp; "-" &amp; YEAR(LstMachines[[#This Row],[RgltVteESM]])</f>
        <v>03-2019</v>
      </c>
      <c r="AJ262" s="140">
        <f>MONTH(LstMachines[[#This Row],[DatePaie]])</f>
        <v>11</v>
      </c>
      <c r="AK262" s="88" t="str">
        <f>FIXED(YEAR(LstMachines[[#This Row],[DatePaie]]),0,TRUE)</f>
        <v>2018</v>
      </c>
      <c r="AL262" s="270"/>
      <c r="AM262" s="414"/>
      <c r="AN262" s="92"/>
      <c r="AO262" s="92"/>
      <c r="AP262" s="92"/>
      <c r="AQ262" s="92"/>
      <c r="AR262" s="92"/>
      <c r="AS262" s="92"/>
      <c r="AT262" s="92"/>
      <c r="AU262" s="92"/>
      <c r="AV262" s="92"/>
      <c r="AW262" s="92"/>
      <c r="AX262" s="92"/>
      <c r="AY262" s="92"/>
      <c r="BA262" s="92"/>
      <c r="BC262" s="92"/>
      <c r="BD262" s="92"/>
      <c r="BE262" s="92"/>
    </row>
    <row r="263" spans="2:57" hidden="1">
      <c r="B263" s="243" t="s">
        <v>262</v>
      </c>
      <c r="C263" s="243" t="s">
        <v>40</v>
      </c>
      <c r="D263" s="245">
        <v>135</v>
      </c>
      <c r="E263" s="243" t="s">
        <v>600</v>
      </c>
      <c r="F263" s="89" t="s">
        <v>66</v>
      </c>
      <c r="G263" s="87" t="s">
        <v>106</v>
      </c>
      <c r="H263" s="246">
        <v>1</v>
      </c>
      <c r="I26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63" s="247">
        <v>43358</v>
      </c>
      <c r="K263" s="248" t="s">
        <v>463</v>
      </c>
      <c r="L263" s="398" t="s">
        <v>589</v>
      </c>
      <c r="M263" s="248" t="s">
        <v>598</v>
      </c>
      <c r="N263" s="249"/>
      <c r="O263" s="255">
        <f>MONTH(LstMachines[[#This Row],[Delivery]])</f>
        <v>9</v>
      </c>
      <c r="P263" s="256" t="str">
        <f>FIXED(YEAR(LstMachines[[#This Row],[Delivery]]),0,TRUE)</f>
        <v>2018</v>
      </c>
      <c r="Q263" s="250"/>
      <c r="R263" s="251"/>
      <c r="S263" s="249"/>
      <c r="T263" s="249"/>
      <c r="U263" s="249" t="s">
        <v>105</v>
      </c>
      <c r="V263" s="246"/>
      <c r="W263" s="248" t="s">
        <v>384</v>
      </c>
      <c r="X263" s="258">
        <f>LstMachines[[#This Row],[Delivery]]</f>
        <v>43358</v>
      </c>
      <c r="Y263" s="258" t="str">
        <f xml:space="preserve"> IF(MONTH(LstMachines[[#This Row],[DateLivr]])&lt;10,"0","") &amp; MONTH(LstMachines[[#This Row],[DateLivr]]) &amp;"-"&amp;YEAR(LstMachines[[#This Row],[DateLivr]])</f>
        <v>09-2018</v>
      </c>
      <c r="Z263" s="258">
        <f>LstMachines[[#This Row],[Delivery]]+Rglt_à_HCME</f>
        <v>43418</v>
      </c>
      <c r="AA263" s="258" t="str">
        <f xml:space="preserve"> IF(MONTH(LstMachines[[#This Row],[DatePaie]])&lt;10,"0","") &amp; MONTH(LstMachines[[#This Row],[DatePaie]])&amp;"-"&amp;YEAR(LstMachines[[#This Row],[DatePaie]])</f>
        <v>11-2018</v>
      </c>
      <c r="AB263" s="258">
        <f>LstMachines[[#This Row],[DateLivr]]+1</f>
        <v>43359</v>
      </c>
      <c r="AC263" s="258" t="str">
        <f xml:space="preserve"> IF(MONTH(LstMachines[[#This Row],[Distrib]])&lt;10,"0","") &amp; MONTH(LstMachines[[#This Row],[Distrib]]) &amp; "-" &amp; YEAR(LstMachines[[#This Row],[Distrib]])</f>
        <v>09-2018</v>
      </c>
      <c r="AD263" s="258">
        <f>LstMachines[[#This Row],[DateLivr]]+Délai_Vente</f>
        <v>43478</v>
      </c>
      <c r="AE263" s="258" t="str">
        <f xml:space="preserve"> IF(MONTH(LstMachines[[#This Row],[VteESM]])&lt;10,"0","") &amp; MONTH(LstMachines[[#This Row],[VteESM]]) &amp; "-" &amp; YEAR(LstMachines[[#This Row],[VteESM]])</f>
        <v>01-2019</v>
      </c>
      <c r="AF263" s="258">
        <f>LstMachines[[#This Row],[DateLivr]]+Rglt_à_ESMTP</f>
        <v>43418</v>
      </c>
      <c r="AG263" s="258" t="str">
        <f xml:space="preserve"> IF(MONTH(LstMachines[[#This Row],[RgltDistrib]])&lt;10,"0","") &amp; MONTH(LstMachines[[#This Row],[RgltDistrib]]) &amp; "-" &amp; YEAR(LstMachines[[#This Row],[RgltDistrib]])</f>
        <v>11-2018</v>
      </c>
      <c r="AH263" s="258">
        <f>LstMachines[[#This Row],[VteESM]]+Rglt_à_ESMTP</f>
        <v>43538</v>
      </c>
      <c r="AI263" s="258" t="str">
        <f xml:space="preserve"> IF(MONTH(LstMachines[[#This Row],[RgltVteESM]])&lt;10,"0","") &amp; MONTH(LstMachines[[#This Row],[RgltVteESM]]) &amp; "-" &amp; YEAR(LstMachines[[#This Row],[RgltVteESM]])</f>
        <v>03-2019</v>
      </c>
      <c r="AJ263" s="140">
        <f>MONTH(LstMachines[[#This Row],[DatePaie]])</f>
        <v>11</v>
      </c>
      <c r="AK263" s="88" t="str">
        <f>FIXED(YEAR(LstMachines[[#This Row],[DatePaie]]),0,TRUE)</f>
        <v>2018</v>
      </c>
      <c r="AL263" s="270"/>
      <c r="AM263" s="414"/>
      <c r="AN263" s="92"/>
      <c r="AO263" s="92"/>
      <c r="AP263" s="92"/>
      <c r="AQ263" s="92"/>
      <c r="AR263" s="92"/>
      <c r="AS263" s="92"/>
      <c r="AT263" s="92"/>
      <c r="AU263" s="92"/>
      <c r="AV263" s="92"/>
      <c r="AW263" s="92"/>
      <c r="AX263" s="92"/>
      <c r="AY263" s="92"/>
      <c r="BA263" s="92"/>
      <c r="BC263" s="92"/>
      <c r="BD263" s="92"/>
      <c r="BE263" s="92"/>
    </row>
    <row r="264" spans="2:57" hidden="1">
      <c r="B264" s="243" t="s">
        <v>262</v>
      </c>
      <c r="C264" s="243" t="s">
        <v>39</v>
      </c>
      <c r="D264" s="245">
        <v>85</v>
      </c>
      <c r="E264" s="243" t="s">
        <v>356</v>
      </c>
      <c r="F264" s="89" t="s">
        <v>66</v>
      </c>
      <c r="G264" s="87" t="s">
        <v>106</v>
      </c>
      <c r="H264" s="246">
        <v>2</v>
      </c>
      <c r="I26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264" s="247">
        <v>43266</v>
      </c>
      <c r="K264" s="248" t="s">
        <v>463</v>
      </c>
      <c r="L264" s="398" t="s">
        <v>589</v>
      </c>
      <c r="M264" s="248" t="s">
        <v>598</v>
      </c>
      <c r="N264" s="249"/>
      <c r="O264" s="255">
        <f>MONTH(LstMachines[[#This Row],[Delivery]])</f>
        <v>6</v>
      </c>
      <c r="P264" s="256" t="str">
        <f>FIXED(YEAR(LstMachines[[#This Row],[Delivery]]),0,TRUE)</f>
        <v>2018</v>
      </c>
      <c r="Q264" s="250"/>
      <c r="R264" s="251"/>
      <c r="S264" s="249"/>
      <c r="T264" s="249"/>
      <c r="U264" s="249" t="s">
        <v>105</v>
      </c>
      <c r="V264" s="246"/>
      <c r="W264" s="248" t="s">
        <v>384</v>
      </c>
      <c r="X264" s="258">
        <f>LstMachines[[#This Row],[Delivery]]</f>
        <v>43266</v>
      </c>
      <c r="Y264" s="258" t="str">
        <f xml:space="preserve"> IF(MONTH(LstMachines[[#This Row],[DateLivr]])&lt;10,"0","") &amp; MONTH(LstMachines[[#This Row],[DateLivr]]) &amp;"-"&amp;YEAR(LstMachines[[#This Row],[DateLivr]])</f>
        <v>06-2018</v>
      </c>
      <c r="Z264" s="258">
        <f>LstMachines[[#This Row],[Delivery]]+Rglt_à_HCME</f>
        <v>43326</v>
      </c>
      <c r="AA264" s="258" t="str">
        <f xml:space="preserve"> IF(MONTH(LstMachines[[#This Row],[DatePaie]])&lt;10,"0","") &amp; MONTH(LstMachines[[#This Row],[DatePaie]])&amp;"-"&amp;YEAR(LstMachines[[#This Row],[DatePaie]])</f>
        <v>08-2018</v>
      </c>
      <c r="AB264" s="258">
        <f>LstMachines[[#This Row],[DateLivr]]+1</f>
        <v>43267</v>
      </c>
      <c r="AC264" s="258" t="str">
        <f xml:space="preserve"> IF(MONTH(LstMachines[[#This Row],[Distrib]])&lt;10,"0","") &amp; MONTH(LstMachines[[#This Row],[Distrib]]) &amp; "-" &amp; YEAR(LstMachines[[#This Row],[Distrib]])</f>
        <v>06-2018</v>
      </c>
      <c r="AD264" s="258">
        <f>LstMachines[[#This Row],[DateLivr]]+Délai_Vente</f>
        <v>43386</v>
      </c>
      <c r="AE264" s="258" t="str">
        <f xml:space="preserve"> IF(MONTH(LstMachines[[#This Row],[VteESM]])&lt;10,"0","") &amp; MONTH(LstMachines[[#This Row],[VteESM]]) &amp; "-" &amp; YEAR(LstMachines[[#This Row],[VteESM]])</f>
        <v>10-2018</v>
      </c>
      <c r="AF264" s="258">
        <f>LstMachines[[#This Row],[DateLivr]]+Rglt_à_ESMTP</f>
        <v>43326</v>
      </c>
      <c r="AG264" s="258" t="str">
        <f xml:space="preserve"> IF(MONTH(LstMachines[[#This Row],[RgltDistrib]])&lt;10,"0","") &amp; MONTH(LstMachines[[#This Row],[RgltDistrib]]) &amp; "-" &amp; YEAR(LstMachines[[#This Row],[RgltDistrib]])</f>
        <v>08-2018</v>
      </c>
      <c r="AH264" s="258">
        <f>LstMachines[[#This Row],[VteESM]]+Rglt_à_ESMTP</f>
        <v>43446</v>
      </c>
      <c r="AI264" s="258" t="str">
        <f xml:space="preserve"> IF(MONTH(LstMachines[[#This Row],[RgltVteESM]])&lt;10,"0","") &amp; MONTH(LstMachines[[#This Row],[RgltVteESM]]) &amp; "-" &amp; YEAR(LstMachines[[#This Row],[RgltVteESM]])</f>
        <v>12-2018</v>
      </c>
      <c r="AJ264" s="140">
        <f>MONTH(LstMachines[[#This Row],[DatePaie]])</f>
        <v>8</v>
      </c>
      <c r="AK264" s="88" t="str">
        <f>FIXED(YEAR(LstMachines[[#This Row],[DatePaie]]),0,TRUE)</f>
        <v>2018</v>
      </c>
      <c r="AL264" s="270"/>
      <c r="AM264" s="414"/>
      <c r="AN264" s="92"/>
      <c r="AO264" s="92"/>
      <c r="AP264" s="92"/>
      <c r="AQ264" s="92"/>
      <c r="AR264" s="92"/>
      <c r="AS264" s="92"/>
      <c r="AT264" s="92"/>
      <c r="AU264" s="92"/>
      <c r="AV264" s="92"/>
      <c r="AW264" s="92"/>
      <c r="AX264" s="92"/>
      <c r="AY264" s="92"/>
      <c r="BA264" s="92"/>
      <c r="BC264" s="92"/>
      <c r="BD264" s="92"/>
      <c r="BE264" s="92"/>
    </row>
    <row r="265" spans="2:57" hidden="1">
      <c r="B265" s="243" t="s">
        <v>75</v>
      </c>
      <c r="C265" s="243" t="s">
        <v>35</v>
      </c>
      <c r="D265" s="245">
        <v>19</v>
      </c>
      <c r="E265" s="243" t="s">
        <v>180</v>
      </c>
      <c r="F265" s="89" t="s">
        <v>66</v>
      </c>
      <c r="G265" s="89" t="s">
        <v>106</v>
      </c>
      <c r="H265" s="246">
        <v>1</v>
      </c>
      <c r="I26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265" s="247">
        <v>43358</v>
      </c>
      <c r="K265" s="248" t="s">
        <v>463</v>
      </c>
      <c r="L265" s="398" t="s">
        <v>589</v>
      </c>
      <c r="M265" s="248" t="s">
        <v>598</v>
      </c>
      <c r="N265" s="249"/>
      <c r="O265" s="255">
        <f>MONTH(LstMachines[[#This Row],[Delivery]])</f>
        <v>9</v>
      </c>
      <c r="P265" s="256" t="str">
        <f>FIXED(YEAR(LstMachines[[#This Row],[Delivery]]),0,TRUE)</f>
        <v>2018</v>
      </c>
      <c r="Q265" s="250"/>
      <c r="R265" s="251"/>
      <c r="S265" s="249"/>
      <c r="T265" s="249"/>
      <c r="U265" s="249" t="s">
        <v>105</v>
      </c>
      <c r="V265" s="246"/>
      <c r="W265" s="248" t="s">
        <v>384</v>
      </c>
      <c r="X265" s="258">
        <f>LstMachines[[#This Row],[Delivery]]</f>
        <v>43358</v>
      </c>
      <c r="Y265" s="258" t="str">
        <f xml:space="preserve"> IF(MONTH(LstMachines[[#This Row],[DateLivr]])&lt;10,"0","") &amp; MONTH(LstMachines[[#This Row],[DateLivr]]) &amp;"-"&amp;YEAR(LstMachines[[#This Row],[DateLivr]])</f>
        <v>09-2018</v>
      </c>
      <c r="Z265" s="258">
        <f>LstMachines[[#This Row],[Delivery]]+Rglt_à_HCME</f>
        <v>43418</v>
      </c>
      <c r="AA265" s="258" t="str">
        <f xml:space="preserve"> IF(MONTH(LstMachines[[#This Row],[DatePaie]])&lt;10,"0","") &amp; MONTH(LstMachines[[#This Row],[DatePaie]])&amp;"-"&amp;YEAR(LstMachines[[#This Row],[DatePaie]])</f>
        <v>11-2018</v>
      </c>
      <c r="AB265" s="258">
        <f>LstMachines[[#This Row],[DateLivr]]+1</f>
        <v>43359</v>
      </c>
      <c r="AC265" s="258" t="str">
        <f xml:space="preserve"> IF(MONTH(LstMachines[[#This Row],[Distrib]])&lt;10,"0","") &amp; MONTH(LstMachines[[#This Row],[Distrib]]) &amp; "-" &amp; YEAR(LstMachines[[#This Row],[Distrib]])</f>
        <v>09-2018</v>
      </c>
      <c r="AD265" s="258">
        <f>LstMachines[[#This Row],[DateLivr]]+Délai_Vente</f>
        <v>43478</v>
      </c>
      <c r="AE265" s="258" t="str">
        <f xml:space="preserve"> IF(MONTH(LstMachines[[#This Row],[VteESM]])&lt;10,"0","") &amp; MONTH(LstMachines[[#This Row],[VteESM]]) &amp; "-" &amp; YEAR(LstMachines[[#This Row],[VteESM]])</f>
        <v>01-2019</v>
      </c>
      <c r="AF265" s="258">
        <f>LstMachines[[#This Row],[DateLivr]]+Rglt_à_ESMTP</f>
        <v>43418</v>
      </c>
      <c r="AG265" s="258" t="str">
        <f xml:space="preserve"> IF(MONTH(LstMachines[[#This Row],[RgltDistrib]])&lt;10,"0","") &amp; MONTH(LstMachines[[#This Row],[RgltDistrib]]) &amp; "-" &amp; YEAR(LstMachines[[#This Row],[RgltDistrib]])</f>
        <v>11-2018</v>
      </c>
      <c r="AH265" s="258">
        <f>LstMachines[[#This Row],[VteESM]]+Rglt_à_ESMTP</f>
        <v>43538</v>
      </c>
      <c r="AI265" s="258" t="str">
        <f xml:space="preserve"> IF(MONTH(LstMachines[[#This Row],[RgltVteESM]])&lt;10,"0","") &amp; MONTH(LstMachines[[#This Row],[RgltVteESM]]) &amp; "-" &amp; YEAR(LstMachines[[#This Row],[RgltVteESM]])</f>
        <v>03-2019</v>
      </c>
      <c r="AJ265" s="140">
        <f>MONTH(LstMachines[[#This Row],[DatePaie]])</f>
        <v>11</v>
      </c>
      <c r="AK265" s="88" t="str">
        <f>FIXED(YEAR(LstMachines[[#This Row],[DatePaie]]),0,TRUE)</f>
        <v>2018</v>
      </c>
      <c r="AL265" s="270"/>
      <c r="AM265" s="414"/>
      <c r="AN265" s="92"/>
      <c r="AO265" s="92"/>
      <c r="AP265" s="92"/>
      <c r="AQ265" s="92"/>
      <c r="AR265" s="92"/>
      <c r="AS265" s="92"/>
      <c r="AT265" s="92"/>
      <c r="AU265" s="92"/>
      <c r="AV265" s="92"/>
      <c r="AW265" s="92"/>
      <c r="AX265" s="92"/>
      <c r="AY265" s="92"/>
      <c r="BA265" s="92"/>
      <c r="BC265" s="92"/>
      <c r="BD265" s="92"/>
      <c r="BE265" s="92"/>
    </row>
    <row r="266" spans="2:57" hidden="1">
      <c r="B266" s="243" t="s">
        <v>75</v>
      </c>
      <c r="C266" s="243" t="s">
        <v>35</v>
      </c>
      <c r="D266" s="245">
        <v>19</v>
      </c>
      <c r="E266" s="243" t="s">
        <v>180</v>
      </c>
      <c r="F266" s="89" t="s">
        <v>66</v>
      </c>
      <c r="G266" s="89" t="s">
        <v>106</v>
      </c>
      <c r="H266" s="246">
        <v>1</v>
      </c>
      <c r="I26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266" s="247">
        <v>43358</v>
      </c>
      <c r="K266" s="248" t="s">
        <v>463</v>
      </c>
      <c r="L266" s="398" t="s">
        <v>589</v>
      </c>
      <c r="M266" s="248" t="s">
        <v>599</v>
      </c>
      <c r="N266" s="249"/>
      <c r="O266" s="255">
        <f>MONTH(LstMachines[[#This Row],[Delivery]])</f>
        <v>9</v>
      </c>
      <c r="P266" s="256" t="str">
        <f>FIXED(YEAR(LstMachines[[#This Row],[Delivery]]),0,TRUE)</f>
        <v>2018</v>
      </c>
      <c r="Q266" s="250"/>
      <c r="R266" s="251"/>
      <c r="S266" s="249"/>
      <c r="T266" s="249"/>
      <c r="U266" s="249" t="s">
        <v>105</v>
      </c>
      <c r="V266" s="246"/>
      <c r="W266" s="248" t="s">
        <v>384</v>
      </c>
      <c r="X266" s="258">
        <f>LstMachines[[#This Row],[Delivery]]</f>
        <v>43358</v>
      </c>
      <c r="Y266" s="258" t="str">
        <f xml:space="preserve"> IF(MONTH(LstMachines[[#This Row],[DateLivr]])&lt;10,"0","") &amp; MONTH(LstMachines[[#This Row],[DateLivr]]) &amp;"-"&amp;YEAR(LstMachines[[#This Row],[DateLivr]])</f>
        <v>09-2018</v>
      </c>
      <c r="Z266" s="258">
        <f>LstMachines[[#This Row],[Delivery]]+Rglt_à_HCME</f>
        <v>43418</v>
      </c>
      <c r="AA266" s="258" t="str">
        <f xml:space="preserve"> IF(MONTH(LstMachines[[#This Row],[DatePaie]])&lt;10,"0","") &amp; MONTH(LstMachines[[#This Row],[DatePaie]])&amp;"-"&amp;YEAR(LstMachines[[#This Row],[DatePaie]])</f>
        <v>11-2018</v>
      </c>
      <c r="AB266" s="258">
        <f>LstMachines[[#This Row],[DateLivr]]+1</f>
        <v>43359</v>
      </c>
      <c r="AC266" s="258" t="str">
        <f xml:space="preserve"> IF(MONTH(LstMachines[[#This Row],[Distrib]])&lt;10,"0","") &amp; MONTH(LstMachines[[#This Row],[Distrib]]) &amp; "-" &amp; YEAR(LstMachines[[#This Row],[Distrib]])</f>
        <v>09-2018</v>
      </c>
      <c r="AD266" s="258">
        <f>LstMachines[[#This Row],[DateLivr]]+Délai_Vente</f>
        <v>43478</v>
      </c>
      <c r="AE266" s="258" t="str">
        <f xml:space="preserve"> IF(MONTH(LstMachines[[#This Row],[VteESM]])&lt;10,"0","") &amp; MONTH(LstMachines[[#This Row],[VteESM]]) &amp; "-" &amp; YEAR(LstMachines[[#This Row],[VteESM]])</f>
        <v>01-2019</v>
      </c>
      <c r="AF266" s="258">
        <f>LstMachines[[#This Row],[DateLivr]]+Rglt_à_ESMTP</f>
        <v>43418</v>
      </c>
      <c r="AG266" s="258" t="str">
        <f xml:space="preserve"> IF(MONTH(LstMachines[[#This Row],[RgltDistrib]])&lt;10,"0","") &amp; MONTH(LstMachines[[#This Row],[RgltDistrib]]) &amp; "-" &amp; YEAR(LstMachines[[#This Row],[RgltDistrib]])</f>
        <v>11-2018</v>
      </c>
      <c r="AH266" s="258">
        <f>LstMachines[[#This Row],[VteESM]]+Rglt_à_ESMTP</f>
        <v>43538</v>
      </c>
      <c r="AI266" s="258" t="str">
        <f xml:space="preserve"> IF(MONTH(LstMachines[[#This Row],[RgltVteESM]])&lt;10,"0","") &amp; MONTH(LstMachines[[#This Row],[RgltVteESM]]) &amp; "-" &amp; YEAR(LstMachines[[#This Row],[RgltVteESM]])</f>
        <v>03-2019</v>
      </c>
      <c r="AJ266" s="140">
        <f>MONTH(LstMachines[[#This Row],[DatePaie]])</f>
        <v>11</v>
      </c>
      <c r="AK266" s="88" t="str">
        <f>FIXED(YEAR(LstMachines[[#This Row],[DatePaie]]),0,TRUE)</f>
        <v>2018</v>
      </c>
      <c r="AL266" s="270"/>
      <c r="AM266" s="416">
        <v>43344</v>
      </c>
      <c r="AN266" s="92"/>
      <c r="AO266" s="92"/>
      <c r="AP266" s="92"/>
      <c r="AQ266" s="92"/>
      <c r="AR266" s="92"/>
      <c r="AS266" s="92"/>
      <c r="AT266" s="92"/>
      <c r="AU266" s="92"/>
      <c r="AV266" s="92"/>
      <c r="AW266" s="92"/>
      <c r="AX266" s="92"/>
      <c r="AY266" s="92"/>
      <c r="BA266" s="92"/>
      <c r="BC266" s="92"/>
      <c r="BD266" s="92"/>
      <c r="BE266" s="92"/>
    </row>
    <row r="267" spans="2:57">
      <c r="B267" s="243" t="s">
        <v>262</v>
      </c>
      <c r="C267" s="243" t="s">
        <v>40</v>
      </c>
      <c r="D267" s="245">
        <v>135</v>
      </c>
      <c r="E267" s="452" t="s">
        <v>600</v>
      </c>
      <c r="F267" s="89" t="s">
        <v>66</v>
      </c>
      <c r="G267" s="87" t="s">
        <v>106</v>
      </c>
      <c r="H267" s="246">
        <v>1</v>
      </c>
      <c r="I26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67" s="247">
        <v>43723</v>
      </c>
      <c r="K267" s="248" t="s">
        <v>461</v>
      </c>
      <c r="L267" s="398" t="s">
        <v>589</v>
      </c>
      <c r="M267" s="248"/>
      <c r="N267" s="249"/>
      <c r="O267" s="255">
        <f>MONTH(LstMachines[[#This Row],[Delivery]])</f>
        <v>9</v>
      </c>
      <c r="P267" s="256" t="str">
        <f>FIXED(YEAR(LstMachines[[#This Row],[Delivery]]),0,TRUE)</f>
        <v>2019</v>
      </c>
      <c r="Q267" s="250"/>
      <c r="R267" s="251"/>
      <c r="S267" s="249"/>
      <c r="T267" s="249"/>
      <c r="U267" s="249" t="s">
        <v>105</v>
      </c>
      <c r="V267" s="246"/>
      <c r="W267" s="248" t="s">
        <v>384</v>
      </c>
      <c r="X267" s="258">
        <f>LstMachines[[#This Row],[Delivery]]</f>
        <v>43723</v>
      </c>
      <c r="Y267" s="258" t="str">
        <f xml:space="preserve"> IF(MONTH(LstMachines[[#This Row],[DateLivr]])&lt;10,"0","") &amp; MONTH(LstMachines[[#This Row],[DateLivr]]) &amp;"-"&amp;YEAR(LstMachines[[#This Row],[DateLivr]])</f>
        <v>09-2019</v>
      </c>
      <c r="Z267" s="258">
        <f>LstMachines[[#This Row],[Delivery]]+Rglt_à_HCME</f>
        <v>43783</v>
      </c>
      <c r="AA267" s="258" t="str">
        <f xml:space="preserve"> IF(MONTH(LstMachines[[#This Row],[DatePaie]])&lt;10,"0","") &amp; MONTH(LstMachines[[#This Row],[DatePaie]])&amp;"-"&amp;YEAR(LstMachines[[#This Row],[DatePaie]])</f>
        <v>11-2019</v>
      </c>
      <c r="AB267" s="258">
        <f>LstMachines[[#This Row],[DateLivr]]+1</f>
        <v>43724</v>
      </c>
      <c r="AC267" s="258" t="str">
        <f xml:space="preserve"> IF(MONTH(LstMachines[[#This Row],[Distrib]])&lt;10,"0","") &amp; MONTH(LstMachines[[#This Row],[Distrib]]) &amp; "-" &amp; YEAR(LstMachines[[#This Row],[Distrib]])</f>
        <v>09-2019</v>
      </c>
      <c r="AD267" s="258">
        <f>LstMachines[[#This Row],[DateLivr]]+Délai_Vente</f>
        <v>43843</v>
      </c>
      <c r="AE267" s="258" t="str">
        <f xml:space="preserve"> IF(MONTH(LstMachines[[#This Row],[VteESM]])&lt;10,"0","") &amp; MONTH(LstMachines[[#This Row],[VteESM]]) &amp; "-" &amp; YEAR(LstMachines[[#This Row],[VteESM]])</f>
        <v>01-2020</v>
      </c>
      <c r="AF267" s="258">
        <f>LstMachines[[#This Row],[DateLivr]]+Rglt_à_ESMTP</f>
        <v>43783</v>
      </c>
      <c r="AG267" s="258" t="str">
        <f xml:space="preserve"> IF(MONTH(LstMachines[[#This Row],[RgltDistrib]])&lt;10,"0","") &amp; MONTH(LstMachines[[#This Row],[RgltDistrib]]) &amp; "-" &amp; YEAR(LstMachines[[#This Row],[RgltDistrib]])</f>
        <v>11-2019</v>
      </c>
      <c r="AH267" s="258">
        <f>LstMachines[[#This Row],[VteESM]]+Rglt_à_ESMTP</f>
        <v>43903</v>
      </c>
      <c r="AI267" s="258" t="str">
        <f xml:space="preserve"> IF(MONTH(LstMachines[[#This Row],[RgltVteESM]])&lt;10,"0","") &amp; MONTH(LstMachines[[#This Row],[RgltVteESM]]) &amp; "-" &amp; YEAR(LstMachines[[#This Row],[RgltVteESM]])</f>
        <v>03-2020</v>
      </c>
      <c r="AJ267" s="140">
        <f>MONTH(LstMachines[[#This Row],[DatePaie]])</f>
        <v>11</v>
      </c>
      <c r="AK267" s="88" t="str">
        <f>FIXED(YEAR(LstMachines[[#This Row],[DatePaie]]),0,TRUE)</f>
        <v>2019</v>
      </c>
      <c r="AL267" s="270"/>
      <c r="AM267" s="414"/>
      <c r="AN267" s="92"/>
      <c r="AO267" s="92"/>
      <c r="AP267" s="92"/>
      <c r="AQ267" s="92"/>
      <c r="AR267" s="92"/>
      <c r="AS267" s="92"/>
      <c r="AT267" s="92"/>
      <c r="AU267" s="92"/>
      <c r="AV267" s="92"/>
      <c r="AW267" s="92"/>
      <c r="AX267" s="92"/>
      <c r="AY267" s="92"/>
      <c r="BA267" s="92"/>
      <c r="BC267" s="92"/>
      <c r="BD267" s="92"/>
      <c r="BE267" s="92"/>
    </row>
    <row r="268" spans="2:57">
      <c r="B268" s="243" t="s">
        <v>262</v>
      </c>
      <c r="C268" s="243" t="s">
        <v>40</v>
      </c>
      <c r="D268" s="245">
        <v>135</v>
      </c>
      <c r="E268" s="452" t="s">
        <v>87</v>
      </c>
      <c r="F268" s="89" t="s">
        <v>66</v>
      </c>
      <c r="G268" s="87" t="s">
        <v>106</v>
      </c>
      <c r="H268" s="246">
        <v>1</v>
      </c>
      <c r="I26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68" s="247">
        <v>43723</v>
      </c>
      <c r="K268" s="248" t="s">
        <v>461</v>
      </c>
      <c r="L268" s="398" t="s">
        <v>589</v>
      </c>
      <c r="M268" s="248"/>
      <c r="N268" s="249"/>
      <c r="O268" s="255">
        <f>MONTH(LstMachines[[#This Row],[Delivery]])</f>
        <v>9</v>
      </c>
      <c r="P268" s="256" t="str">
        <f>FIXED(YEAR(LstMachines[[#This Row],[Delivery]]),0,TRUE)</f>
        <v>2019</v>
      </c>
      <c r="Q268" s="250"/>
      <c r="R268" s="251"/>
      <c r="S268" s="249"/>
      <c r="T268" s="249"/>
      <c r="U268" s="249" t="s">
        <v>105</v>
      </c>
      <c r="V268" s="246"/>
      <c r="W268" s="248" t="s">
        <v>384</v>
      </c>
      <c r="X268" s="258">
        <f>LstMachines[[#This Row],[Delivery]]</f>
        <v>43723</v>
      </c>
      <c r="Y268" s="258" t="str">
        <f xml:space="preserve"> IF(MONTH(LstMachines[[#This Row],[DateLivr]])&lt;10,"0","") &amp; MONTH(LstMachines[[#This Row],[DateLivr]]) &amp;"-"&amp;YEAR(LstMachines[[#This Row],[DateLivr]])</f>
        <v>09-2019</v>
      </c>
      <c r="Z268" s="258">
        <f>LstMachines[[#This Row],[Delivery]]+Rglt_à_HCME</f>
        <v>43783</v>
      </c>
      <c r="AA268" s="258" t="str">
        <f xml:space="preserve"> IF(MONTH(LstMachines[[#This Row],[DatePaie]])&lt;10,"0","") &amp; MONTH(LstMachines[[#This Row],[DatePaie]])&amp;"-"&amp;YEAR(LstMachines[[#This Row],[DatePaie]])</f>
        <v>11-2019</v>
      </c>
      <c r="AB268" s="258">
        <f>LstMachines[[#This Row],[DateLivr]]+1</f>
        <v>43724</v>
      </c>
      <c r="AC268" s="258" t="str">
        <f xml:space="preserve"> IF(MONTH(LstMachines[[#This Row],[Distrib]])&lt;10,"0","") &amp; MONTH(LstMachines[[#This Row],[Distrib]]) &amp; "-" &amp; YEAR(LstMachines[[#This Row],[Distrib]])</f>
        <v>09-2019</v>
      </c>
      <c r="AD268" s="258">
        <f>LstMachines[[#This Row],[DateLivr]]+Délai_Vente</f>
        <v>43843</v>
      </c>
      <c r="AE268" s="258" t="str">
        <f xml:space="preserve"> IF(MONTH(LstMachines[[#This Row],[VteESM]])&lt;10,"0","") &amp; MONTH(LstMachines[[#This Row],[VteESM]]) &amp; "-" &amp; YEAR(LstMachines[[#This Row],[VteESM]])</f>
        <v>01-2020</v>
      </c>
      <c r="AF268" s="258">
        <f>LstMachines[[#This Row],[DateLivr]]+Rglt_à_ESMTP</f>
        <v>43783</v>
      </c>
      <c r="AG268" s="258" t="str">
        <f xml:space="preserve"> IF(MONTH(LstMachines[[#This Row],[RgltDistrib]])&lt;10,"0","") &amp; MONTH(LstMachines[[#This Row],[RgltDistrib]]) &amp; "-" &amp; YEAR(LstMachines[[#This Row],[RgltDistrib]])</f>
        <v>11-2019</v>
      </c>
      <c r="AH268" s="258">
        <f>LstMachines[[#This Row],[VteESM]]+Rglt_à_ESMTP</f>
        <v>43903</v>
      </c>
      <c r="AI268" s="258" t="str">
        <f xml:space="preserve"> IF(MONTH(LstMachines[[#This Row],[RgltVteESM]])&lt;10,"0","") &amp; MONTH(LstMachines[[#This Row],[RgltVteESM]]) &amp; "-" &amp; YEAR(LstMachines[[#This Row],[RgltVteESM]])</f>
        <v>03-2020</v>
      </c>
      <c r="AJ268" s="140">
        <f>MONTH(LstMachines[[#This Row],[DatePaie]])</f>
        <v>11</v>
      </c>
      <c r="AK268" s="88" t="str">
        <f>FIXED(YEAR(LstMachines[[#This Row],[DatePaie]]),0,TRUE)</f>
        <v>2019</v>
      </c>
      <c r="AL268" s="270"/>
      <c r="AM268" s="414"/>
      <c r="AN268" s="92"/>
      <c r="AO268" s="92"/>
      <c r="AP268" s="92"/>
      <c r="AQ268" s="92"/>
      <c r="AR268" s="92"/>
      <c r="AS268" s="92"/>
      <c r="AT268" s="92"/>
      <c r="AU268" s="92"/>
      <c r="AV268" s="92"/>
      <c r="AW268" s="92"/>
      <c r="AX268" s="92"/>
      <c r="AY268" s="92"/>
      <c r="BA268" s="92"/>
      <c r="BC268" s="92"/>
      <c r="BD268" s="92"/>
      <c r="BE268" s="92"/>
    </row>
    <row r="269" spans="2:57">
      <c r="B269" s="243" t="s">
        <v>262</v>
      </c>
      <c r="C269" s="243" t="s">
        <v>40</v>
      </c>
      <c r="D269" s="245">
        <v>135</v>
      </c>
      <c r="E269" s="452" t="s">
        <v>603</v>
      </c>
      <c r="F269" s="89" t="s">
        <v>66</v>
      </c>
      <c r="G269" s="87" t="s">
        <v>106</v>
      </c>
      <c r="H269" s="246">
        <v>1</v>
      </c>
      <c r="I26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69" s="247">
        <v>43723</v>
      </c>
      <c r="K269" s="248" t="s">
        <v>461</v>
      </c>
      <c r="L269" s="398" t="s">
        <v>589</v>
      </c>
      <c r="M269" s="248"/>
      <c r="N269" s="249"/>
      <c r="O269" s="255">
        <f>MONTH(LstMachines[[#This Row],[Delivery]])</f>
        <v>9</v>
      </c>
      <c r="P269" s="256" t="str">
        <f>FIXED(YEAR(LstMachines[[#This Row],[Delivery]]),0,TRUE)</f>
        <v>2019</v>
      </c>
      <c r="Q269" s="250"/>
      <c r="R269" s="251"/>
      <c r="S269" s="249"/>
      <c r="T269" s="249"/>
      <c r="U269" s="249" t="s">
        <v>105</v>
      </c>
      <c r="V269" s="246"/>
      <c r="W269" s="248" t="s">
        <v>384</v>
      </c>
      <c r="X269" s="258">
        <f>LstMachines[[#This Row],[Delivery]]</f>
        <v>43723</v>
      </c>
      <c r="Y269" s="258" t="str">
        <f xml:space="preserve"> IF(MONTH(LstMachines[[#This Row],[DateLivr]])&lt;10,"0","") &amp; MONTH(LstMachines[[#This Row],[DateLivr]]) &amp;"-"&amp;YEAR(LstMachines[[#This Row],[DateLivr]])</f>
        <v>09-2019</v>
      </c>
      <c r="Z269" s="258">
        <f>LstMachines[[#This Row],[Delivery]]+Rglt_à_HCME</f>
        <v>43783</v>
      </c>
      <c r="AA269" s="258" t="str">
        <f xml:space="preserve"> IF(MONTH(LstMachines[[#This Row],[DatePaie]])&lt;10,"0","") &amp; MONTH(LstMachines[[#This Row],[DatePaie]])&amp;"-"&amp;YEAR(LstMachines[[#This Row],[DatePaie]])</f>
        <v>11-2019</v>
      </c>
      <c r="AB269" s="258">
        <f>LstMachines[[#This Row],[DateLivr]]+1</f>
        <v>43724</v>
      </c>
      <c r="AC269" s="258" t="str">
        <f xml:space="preserve"> IF(MONTH(LstMachines[[#This Row],[Distrib]])&lt;10,"0","") &amp; MONTH(LstMachines[[#This Row],[Distrib]]) &amp; "-" &amp; YEAR(LstMachines[[#This Row],[Distrib]])</f>
        <v>09-2019</v>
      </c>
      <c r="AD269" s="258">
        <f>LstMachines[[#This Row],[DateLivr]]+Délai_Vente</f>
        <v>43843</v>
      </c>
      <c r="AE269" s="258" t="str">
        <f xml:space="preserve"> IF(MONTH(LstMachines[[#This Row],[VteESM]])&lt;10,"0","") &amp; MONTH(LstMachines[[#This Row],[VteESM]]) &amp; "-" &amp; YEAR(LstMachines[[#This Row],[VteESM]])</f>
        <v>01-2020</v>
      </c>
      <c r="AF269" s="258">
        <f>LstMachines[[#This Row],[DateLivr]]+Rglt_à_ESMTP</f>
        <v>43783</v>
      </c>
      <c r="AG269" s="258" t="str">
        <f xml:space="preserve"> IF(MONTH(LstMachines[[#This Row],[RgltDistrib]])&lt;10,"0","") &amp; MONTH(LstMachines[[#This Row],[RgltDistrib]]) &amp; "-" &amp; YEAR(LstMachines[[#This Row],[RgltDistrib]])</f>
        <v>11-2019</v>
      </c>
      <c r="AH269" s="258">
        <f>LstMachines[[#This Row],[VteESM]]+Rglt_à_ESMTP</f>
        <v>43903</v>
      </c>
      <c r="AI269" s="258" t="str">
        <f xml:space="preserve"> IF(MONTH(LstMachines[[#This Row],[RgltVteESM]])&lt;10,"0","") &amp; MONTH(LstMachines[[#This Row],[RgltVteESM]]) &amp; "-" &amp; YEAR(LstMachines[[#This Row],[RgltVteESM]])</f>
        <v>03-2020</v>
      </c>
      <c r="AJ269" s="140">
        <f>MONTH(LstMachines[[#This Row],[DatePaie]])</f>
        <v>11</v>
      </c>
      <c r="AK269" s="88" t="str">
        <f>FIXED(YEAR(LstMachines[[#This Row],[DatePaie]]),0,TRUE)</f>
        <v>2019</v>
      </c>
      <c r="AL269" s="270"/>
      <c r="AM269" s="414"/>
      <c r="AN269" s="92"/>
      <c r="AO269" s="92"/>
      <c r="AP269" s="92"/>
      <c r="AQ269" s="92"/>
      <c r="AR269" s="92"/>
      <c r="AS269" s="92"/>
      <c r="AT269" s="92"/>
      <c r="AU269" s="92"/>
      <c r="AV269" s="92"/>
      <c r="AW269" s="92"/>
      <c r="AX269" s="92"/>
      <c r="AY269" s="92"/>
      <c r="BA269" s="92"/>
      <c r="BC269" s="92"/>
      <c r="BD269" s="92"/>
      <c r="BE269" s="92"/>
    </row>
    <row r="270" spans="2:57" hidden="1">
      <c r="B270" s="243" t="s">
        <v>259</v>
      </c>
      <c r="C270" s="243" t="s">
        <v>48</v>
      </c>
      <c r="D270" s="245">
        <v>75</v>
      </c>
      <c r="E270" s="243" t="s">
        <v>374</v>
      </c>
      <c r="F270" s="89" t="s">
        <v>66</v>
      </c>
      <c r="G270" s="89" t="s">
        <v>106</v>
      </c>
      <c r="H270" s="246">
        <v>2</v>
      </c>
      <c r="I27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210</v>
      </c>
      <c r="J270" s="247">
        <v>43327</v>
      </c>
      <c r="K270" s="248" t="s">
        <v>463</v>
      </c>
      <c r="L270" s="398" t="s">
        <v>589</v>
      </c>
      <c r="M270" s="248" t="s">
        <v>598</v>
      </c>
      <c r="N270" s="249"/>
      <c r="O270" s="255">
        <f>MONTH(LstMachines[[#This Row],[Delivery]])</f>
        <v>8</v>
      </c>
      <c r="P270" s="256" t="str">
        <f>FIXED(YEAR(LstMachines[[#This Row],[Delivery]]),0,TRUE)</f>
        <v>2018</v>
      </c>
      <c r="Q270" s="250"/>
      <c r="R270" s="251"/>
      <c r="S270" s="249"/>
      <c r="T270" s="249"/>
      <c r="U270" s="249" t="s">
        <v>105</v>
      </c>
      <c r="V270" s="246"/>
      <c r="W270" s="248" t="s">
        <v>384</v>
      </c>
      <c r="X270" s="258">
        <f>LstMachines[[#This Row],[Delivery]]</f>
        <v>43327</v>
      </c>
      <c r="Y270" s="258" t="str">
        <f xml:space="preserve"> IF(MONTH(LstMachines[[#This Row],[DateLivr]])&lt;10,"0","") &amp; MONTH(LstMachines[[#This Row],[DateLivr]]) &amp;"-"&amp;YEAR(LstMachines[[#This Row],[DateLivr]])</f>
        <v>08-2018</v>
      </c>
      <c r="Z270" s="258">
        <f>LstMachines[[#This Row],[Delivery]]+Rglt_à_HCME</f>
        <v>43387</v>
      </c>
      <c r="AA270" s="258" t="str">
        <f xml:space="preserve"> IF(MONTH(LstMachines[[#This Row],[DatePaie]])&lt;10,"0","") &amp; MONTH(LstMachines[[#This Row],[DatePaie]])&amp;"-"&amp;YEAR(LstMachines[[#This Row],[DatePaie]])</f>
        <v>10-2018</v>
      </c>
      <c r="AB270" s="258">
        <f>LstMachines[[#This Row],[DateLivr]]+1</f>
        <v>43328</v>
      </c>
      <c r="AC270" s="258" t="str">
        <f xml:space="preserve"> IF(MONTH(LstMachines[[#This Row],[Distrib]])&lt;10,"0","") &amp; MONTH(LstMachines[[#This Row],[Distrib]]) &amp; "-" &amp; YEAR(LstMachines[[#This Row],[Distrib]])</f>
        <v>08-2018</v>
      </c>
      <c r="AD270" s="258">
        <f>LstMachines[[#This Row],[DateLivr]]+Délai_Vente</f>
        <v>43447</v>
      </c>
      <c r="AE270" s="258" t="str">
        <f xml:space="preserve"> IF(MONTH(LstMachines[[#This Row],[VteESM]])&lt;10,"0","") &amp; MONTH(LstMachines[[#This Row],[VteESM]]) &amp; "-" &amp; YEAR(LstMachines[[#This Row],[VteESM]])</f>
        <v>12-2018</v>
      </c>
      <c r="AF270" s="258">
        <f>LstMachines[[#This Row],[DateLivr]]+Rglt_à_ESMTP</f>
        <v>43387</v>
      </c>
      <c r="AG270" s="258" t="str">
        <f xml:space="preserve"> IF(MONTH(LstMachines[[#This Row],[RgltDistrib]])&lt;10,"0","") &amp; MONTH(LstMachines[[#This Row],[RgltDistrib]]) &amp; "-" &amp; YEAR(LstMachines[[#This Row],[RgltDistrib]])</f>
        <v>10-2018</v>
      </c>
      <c r="AH270" s="258">
        <f>LstMachines[[#This Row],[VteESM]]+Rglt_à_ESMTP</f>
        <v>43507</v>
      </c>
      <c r="AI270" s="258" t="str">
        <f xml:space="preserve"> IF(MONTH(LstMachines[[#This Row],[RgltVteESM]])&lt;10,"0","") &amp; MONTH(LstMachines[[#This Row],[RgltVteESM]]) &amp; "-" &amp; YEAR(LstMachines[[#This Row],[RgltVteESM]])</f>
        <v>02-2019</v>
      </c>
      <c r="AJ270" s="140">
        <f>MONTH(LstMachines[[#This Row],[DatePaie]])</f>
        <v>10</v>
      </c>
      <c r="AK270" s="88" t="str">
        <f>FIXED(YEAR(LstMachines[[#This Row],[DatePaie]]),0,TRUE)</f>
        <v>2018</v>
      </c>
      <c r="AL270" s="270"/>
      <c r="AM270" s="416"/>
      <c r="AN270" s="92"/>
      <c r="AO270" s="92"/>
      <c r="AP270" s="92"/>
      <c r="AQ270" s="92"/>
      <c r="AR270" s="92"/>
      <c r="AS270" s="92"/>
      <c r="AT270" s="92"/>
      <c r="AU270" s="92"/>
      <c r="AV270" s="92"/>
      <c r="AW270" s="92"/>
      <c r="AX270" s="92"/>
      <c r="AY270" s="92"/>
      <c r="BA270" s="92"/>
      <c r="BC270" s="92"/>
      <c r="BD270" s="92"/>
      <c r="BE270" s="92"/>
    </row>
    <row r="271" spans="2:57" hidden="1">
      <c r="B271" s="243" t="s">
        <v>262</v>
      </c>
      <c r="C271" s="243" t="s">
        <v>40</v>
      </c>
      <c r="D271" s="245">
        <v>135</v>
      </c>
      <c r="E271" s="243" t="s">
        <v>600</v>
      </c>
      <c r="F271" s="89" t="s">
        <v>66</v>
      </c>
      <c r="G271" s="87" t="s">
        <v>106</v>
      </c>
      <c r="H271" s="246">
        <v>1</v>
      </c>
      <c r="I27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71" s="247">
        <v>43327</v>
      </c>
      <c r="K271" s="248" t="s">
        <v>463</v>
      </c>
      <c r="L271" s="398" t="s">
        <v>589</v>
      </c>
      <c r="M271" s="248" t="s">
        <v>598</v>
      </c>
      <c r="N271" s="249"/>
      <c r="O271" s="255">
        <f>MONTH(LstMachines[[#This Row],[Delivery]])</f>
        <v>8</v>
      </c>
      <c r="P271" s="256" t="str">
        <f>FIXED(YEAR(LstMachines[[#This Row],[Delivery]]),0,TRUE)</f>
        <v>2018</v>
      </c>
      <c r="Q271" s="250"/>
      <c r="R271" s="251"/>
      <c r="S271" s="249"/>
      <c r="T271" s="249"/>
      <c r="U271" s="249" t="s">
        <v>105</v>
      </c>
      <c r="V271" s="246"/>
      <c r="W271" s="248" t="s">
        <v>384</v>
      </c>
      <c r="X271" s="258">
        <f>LstMachines[[#This Row],[Delivery]]</f>
        <v>43327</v>
      </c>
      <c r="Y271" s="258" t="str">
        <f xml:space="preserve"> IF(MONTH(LstMachines[[#This Row],[DateLivr]])&lt;10,"0","") &amp; MONTH(LstMachines[[#This Row],[DateLivr]]) &amp;"-"&amp;YEAR(LstMachines[[#This Row],[DateLivr]])</f>
        <v>08-2018</v>
      </c>
      <c r="Z271" s="258">
        <f>LstMachines[[#This Row],[Delivery]]+Rglt_à_HCME</f>
        <v>43387</v>
      </c>
      <c r="AA271" s="258" t="str">
        <f xml:space="preserve"> IF(MONTH(LstMachines[[#This Row],[DatePaie]])&lt;10,"0","") &amp; MONTH(LstMachines[[#This Row],[DatePaie]])&amp;"-"&amp;YEAR(LstMachines[[#This Row],[DatePaie]])</f>
        <v>10-2018</v>
      </c>
      <c r="AB271" s="258">
        <f>LstMachines[[#This Row],[DateLivr]]+1</f>
        <v>43328</v>
      </c>
      <c r="AC271" s="258" t="str">
        <f xml:space="preserve"> IF(MONTH(LstMachines[[#This Row],[Distrib]])&lt;10,"0","") &amp; MONTH(LstMachines[[#This Row],[Distrib]]) &amp; "-" &amp; YEAR(LstMachines[[#This Row],[Distrib]])</f>
        <v>08-2018</v>
      </c>
      <c r="AD271" s="258">
        <f>LstMachines[[#This Row],[DateLivr]]+Délai_Vente</f>
        <v>43447</v>
      </c>
      <c r="AE271" s="258" t="str">
        <f xml:space="preserve"> IF(MONTH(LstMachines[[#This Row],[VteESM]])&lt;10,"0","") &amp; MONTH(LstMachines[[#This Row],[VteESM]]) &amp; "-" &amp; YEAR(LstMachines[[#This Row],[VteESM]])</f>
        <v>12-2018</v>
      </c>
      <c r="AF271" s="258">
        <f>LstMachines[[#This Row],[DateLivr]]+Rglt_à_ESMTP</f>
        <v>43387</v>
      </c>
      <c r="AG271" s="258" t="str">
        <f xml:space="preserve"> IF(MONTH(LstMachines[[#This Row],[RgltDistrib]])&lt;10,"0","") &amp; MONTH(LstMachines[[#This Row],[RgltDistrib]]) &amp; "-" &amp; YEAR(LstMachines[[#This Row],[RgltDistrib]])</f>
        <v>10-2018</v>
      </c>
      <c r="AH271" s="258">
        <f>LstMachines[[#This Row],[VteESM]]+Rglt_à_ESMTP</f>
        <v>43507</v>
      </c>
      <c r="AI271" s="258" t="str">
        <f xml:space="preserve"> IF(MONTH(LstMachines[[#This Row],[RgltVteESM]])&lt;10,"0","") &amp; MONTH(LstMachines[[#This Row],[RgltVteESM]]) &amp; "-" &amp; YEAR(LstMachines[[#This Row],[RgltVteESM]])</f>
        <v>02-2019</v>
      </c>
      <c r="AJ271" s="140">
        <f>MONTH(LstMachines[[#This Row],[DatePaie]])</f>
        <v>10</v>
      </c>
      <c r="AK271" s="88" t="str">
        <f>FIXED(YEAR(LstMachines[[#This Row],[DatePaie]]),0,TRUE)</f>
        <v>2018</v>
      </c>
      <c r="AL271" s="270"/>
      <c r="AM271" s="414"/>
      <c r="AN271" s="92"/>
      <c r="AO271" s="92"/>
      <c r="AP271" s="92"/>
      <c r="AQ271" s="92"/>
      <c r="AR271" s="92"/>
      <c r="AS271" s="92"/>
      <c r="AT271" s="92"/>
      <c r="AU271" s="92"/>
      <c r="AV271" s="92"/>
      <c r="AW271" s="92"/>
      <c r="AX271" s="92"/>
      <c r="AY271" s="92"/>
      <c r="BA271" s="92"/>
      <c r="BC271" s="92"/>
      <c r="BD271" s="92"/>
      <c r="BE271" s="92"/>
    </row>
    <row r="272" spans="2:57" hidden="1">
      <c r="B272" s="243" t="s">
        <v>75</v>
      </c>
      <c r="C272" s="243" t="s">
        <v>35</v>
      </c>
      <c r="D272" s="245">
        <v>19</v>
      </c>
      <c r="E272" s="243" t="s">
        <v>76</v>
      </c>
      <c r="F272" s="89" t="s">
        <v>66</v>
      </c>
      <c r="G272" s="89" t="s">
        <v>106</v>
      </c>
      <c r="H272" s="246">
        <v>2</v>
      </c>
      <c r="I27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36</v>
      </c>
      <c r="J272" s="247">
        <v>43327</v>
      </c>
      <c r="K272" s="248" t="s">
        <v>463</v>
      </c>
      <c r="L272" s="398" t="s">
        <v>589</v>
      </c>
      <c r="M272" s="248" t="s">
        <v>598</v>
      </c>
      <c r="N272" s="249"/>
      <c r="O272" s="255">
        <f>MONTH(LstMachines[[#This Row],[Delivery]])</f>
        <v>8</v>
      </c>
      <c r="P272" s="256" t="str">
        <f>FIXED(YEAR(LstMachines[[#This Row],[Delivery]]),0,TRUE)</f>
        <v>2018</v>
      </c>
      <c r="Q272" s="250"/>
      <c r="R272" s="251"/>
      <c r="S272" s="249"/>
      <c r="T272" s="249"/>
      <c r="U272" s="249" t="s">
        <v>105</v>
      </c>
      <c r="V272" s="246"/>
      <c r="W272" s="248" t="s">
        <v>384</v>
      </c>
      <c r="X272" s="258">
        <f>LstMachines[[#This Row],[Delivery]]</f>
        <v>43327</v>
      </c>
      <c r="Y272" s="258" t="str">
        <f xml:space="preserve"> IF(MONTH(LstMachines[[#This Row],[DateLivr]])&lt;10,"0","") &amp; MONTH(LstMachines[[#This Row],[DateLivr]]) &amp;"-"&amp;YEAR(LstMachines[[#This Row],[DateLivr]])</f>
        <v>08-2018</v>
      </c>
      <c r="Z272" s="258">
        <f>LstMachines[[#This Row],[Delivery]]+Rglt_à_HCME</f>
        <v>43387</v>
      </c>
      <c r="AA272" s="258" t="str">
        <f xml:space="preserve"> IF(MONTH(LstMachines[[#This Row],[DatePaie]])&lt;10,"0","") &amp; MONTH(LstMachines[[#This Row],[DatePaie]])&amp;"-"&amp;YEAR(LstMachines[[#This Row],[DatePaie]])</f>
        <v>10-2018</v>
      </c>
      <c r="AB272" s="258">
        <f>LstMachines[[#This Row],[DateLivr]]+1</f>
        <v>43328</v>
      </c>
      <c r="AC272" s="258" t="str">
        <f xml:space="preserve"> IF(MONTH(LstMachines[[#This Row],[Distrib]])&lt;10,"0","") &amp; MONTH(LstMachines[[#This Row],[Distrib]]) &amp; "-" &amp; YEAR(LstMachines[[#This Row],[Distrib]])</f>
        <v>08-2018</v>
      </c>
      <c r="AD272" s="258">
        <f>LstMachines[[#This Row],[DateLivr]]+Délai_Vente</f>
        <v>43447</v>
      </c>
      <c r="AE272" s="258" t="str">
        <f xml:space="preserve"> IF(MONTH(LstMachines[[#This Row],[VteESM]])&lt;10,"0","") &amp; MONTH(LstMachines[[#This Row],[VteESM]]) &amp; "-" &amp; YEAR(LstMachines[[#This Row],[VteESM]])</f>
        <v>12-2018</v>
      </c>
      <c r="AF272" s="258">
        <f>LstMachines[[#This Row],[DateLivr]]+Rglt_à_ESMTP</f>
        <v>43387</v>
      </c>
      <c r="AG272" s="258" t="str">
        <f xml:space="preserve"> IF(MONTH(LstMachines[[#This Row],[RgltDistrib]])&lt;10,"0","") &amp; MONTH(LstMachines[[#This Row],[RgltDistrib]]) &amp; "-" &amp; YEAR(LstMachines[[#This Row],[RgltDistrib]])</f>
        <v>10-2018</v>
      </c>
      <c r="AH272" s="258">
        <f>LstMachines[[#This Row],[VteESM]]+Rglt_à_ESMTP</f>
        <v>43507</v>
      </c>
      <c r="AI272" s="258" t="str">
        <f xml:space="preserve"> IF(MONTH(LstMachines[[#This Row],[RgltVteESM]])&lt;10,"0","") &amp; MONTH(LstMachines[[#This Row],[RgltVteESM]]) &amp; "-" &amp; YEAR(LstMachines[[#This Row],[RgltVteESM]])</f>
        <v>02-2019</v>
      </c>
      <c r="AJ272" s="140">
        <f>MONTH(LstMachines[[#This Row],[DatePaie]])</f>
        <v>10</v>
      </c>
      <c r="AK272" s="88" t="str">
        <f>FIXED(YEAR(LstMachines[[#This Row],[DatePaie]]),0,TRUE)</f>
        <v>2018</v>
      </c>
      <c r="AL272" s="270"/>
      <c r="AM272" s="414"/>
      <c r="AN272" s="92"/>
      <c r="AO272" s="92"/>
      <c r="AP272" s="92"/>
      <c r="AQ272" s="92"/>
      <c r="AR272" s="92"/>
      <c r="AS272" s="92"/>
      <c r="AT272" s="92"/>
      <c r="AU272" s="92"/>
      <c r="AV272" s="92"/>
      <c r="AW272" s="92"/>
      <c r="AX272" s="92"/>
      <c r="AY272" s="92"/>
      <c r="BA272" s="92"/>
      <c r="BC272" s="92"/>
      <c r="BD272" s="92"/>
      <c r="BE272" s="92"/>
    </row>
    <row r="273" spans="2:57" hidden="1">
      <c r="B273" s="243" t="s">
        <v>75</v>
      </c>
      <c r="C273" s="243" t="s">
        <v>36</v>
      </c>
      <c r="D273" s="245">
        <v>26</v>
      </c>
      <c r="E273" s="243" t="s">
        <v>361</v>
      </c>
      <c r="F273" s="89" t="s">
        <v>66</v>
      </c>
      <c r="G273" s="89" t="s">
        <v>106</v>
      </c>
      <c r="H273" s="246">
        <v>2</v>
      </c>
      <c r="I27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44</v>
      </c>
      <c r="J273" s="247">
        <v>43327</v>
      </c>
      <c r="K273" s="248" t="s">
        <v>463</v>
      </c>
      <c r="L273" s="398" t="s">
        <v>589</v>
      </c>
      <c r="M273" s="248" t="s">
        <v>598</v>
      </c>
      <c r="N273" s="249"/>
      <c r="O273" s="255">
        <f>MONTH(LstMachines[[#This Row],[Delivery]])</f>
        <v>8</v>
      </c>
      <c r="P273" s="256" t="str">
        <f>FIXED(YEAR(LstMachines[[#This Row],[Delivery]]),0,TRUE)</f>
        <v>2018</v>
      </c>
      <c r="Q273" s="250"/>
      <c r="R273" s="251"/>
      <c r="S273" s="249"/>
      <c r="T273" s="249"/>
      <c r="U273" s="249" t="s">
        <v>105</v>
      </c>
      <c r="V273" s="246"/>
      <c r="W273" s="248" t="s">
        <v>384</v>
      </c>
      <c r="X273" s="258">
        <f>LstMachines[[#This Row],[Delivery]]</f>
        <v>43327</v>
      </c>
      <c r="Y273" s="258" t="str">
        <f xml:space="preserve"> IF(MONTH(LstMachines[[#This Row],[DateLivr]])&lt;10,"0","") &amp; MONTH(LstMachines[[#This Row],[DateLivr]]) &amp;"-"&amp;YEAR(LstMachines[[#This Row],[DateLivr]])</f>
        <v>08-2018</v>
      </c>
      <c r="Z273" s="258">
        <f>LstMachines[[#This Row],[Delivery]]+Rglt_à_HCME</f>
        <v>43387</v>
      </c>
      <c r="AA273" s="258" t="str">
        <f xml:space="preserve"> IF(MONTH(LstMachines[[#This Row],[DatePaie]])&lt;10,"0","") &amp; MONTH(LstMachines[[#This Row],[DatePaie]])&amp;"-"&amp;YEAR(LstMachines[[#This Row],[DatePaie]])</f>
        <v>10-2018</v>
      </c>
      <c r="AB273" s="258">
        <f>LstMachines[[#This Row],[DateLivr]]+1</f>
        <v>43328</v>
      </c>
      <c r="AC273" s="258" t="str">
        <f xml:space="preserve"> IF(MONTH(LstMachines[[#This Row],[Distrib]])&lt;10,"0","") &amp; MONTH(LstMachines[[#This Row],[Distrib]]) &amp; "-" &amp; YEAR(LstMachines[[#This Row],[Distrib]])</f>
        <v>08-2018</v>
      </c>
      <c r="AD273" s="258">
        <f>LstMachines[[#This Row],[DateLivr]]+Délai_Vente</f>
        <v>43447</v>
      </c>
      <c r="AE273" s="258" t="str">
        <f xml:space="preserve"> IF(MONTH(LstMachines[[#This Row],[VteESM]])&lt;10,"0","") &amp; MONTH(LstMachines[[#This Row],[VteESM]]) &amp; "-" &amp; YEAR(LstMachines[[#This Row],[VteESM]])</f>
        <v>12-2018</v>
      </c>
      <c r="AF273" s="258">
        <f>LstMachines[[#This Row],[DateLivr]]+Rglt_à_ESMTP</f>
        <v>43387</v>
      </c>
      <c r="AG273" s="258" t="str">
        <f xml:space="preserve"> IF(MONTH(LstMachines[[#This Row],[RgltDistrib]])&lt;10,"0","") &amp; MONTH(LstMachines[[#This Row],[RgltDistrib]]) &amp; "-" &amp; YEAR(LstMachines[[#This Row],[RgltDistrib]])</f>
        <v>10-2018</v>
      </c>
      <c r="AH273" s="258">
        <f>LstMachines[[#This Row],[VteESM]]+Rglt_à_ESMTP</f>
        <v>43507</v>
      </c>
      <c r="AI273" s="258" t="str">
        <f xml:space="preserve"> IF(MONTH(LstMachines[[#This Row],[RgltVteESM]])&lt;10,"0","") &amp; MONTH(LstMachines[[#This Row],[RgltVteESM]]) &amp; "-" &amp; YEAR(LstMachines[[#This Row],[RgltVteESM]])</f>
        <v>02-2019</v>
      </c>
      <c r="AJ273" s="140">
        <f>MONTH(LstMachines[[#This Row],[DatePaie]])</f>
        <v>10</v>
      </c>
      <c r="AK273" s="88" t="str">
        <f>FIXED(YEAR(LstMachines[[#This Row],[DatePaie]]),0,TRUE)</f>
        <v>2018</v>
      </c>
      <c r="AL273" s="270"/>
      <c r="AM273" s="414"/>
      <c r="AN273" s="92"/>
      <c r="AO273" s="92"/>
      <c r="AP273" s="92"/>
      <c r="AQ273" s="92"/>
      <c r="AR273" s="92"/>
      <c r="AS273" s="92"/>
      <c r="AT273" s="92"/>
      <c r="AU273" s="92"/>
      <c r="AV273" s="92"/>
      <c r="AW273" s="92"/>
      <c r="AX273" s="92"/>
      <c r="AY273" s="92"/>
      <c r="BA273" s="92"/>
      <c r="BC273" s="92"/>
      <c r="BD273" s="92"/>
      <c r="BE273" s="92"/>
    </row>
    <row r="274" spans="2:57" hidden="1">
      <c r="B274" s="243" t="s">
        <v>75</v>
      </c>
      <c r="C274" s="243" t="s">
        <v>36</v>
      </c>
      <c r="D274" s="245">
        <v>26</v>
      </c>
      <c r="E274" s="243" t="s">
        <v>355</v>
      </c>
      <c r="F274" s="89" t="s">
        <v>66</v>
      </c>
      <c r="G274" s="89" t="s">
        <v>106</v>
      </c>
      <c r="H274" s="246">
        <v>3</v>
      </c>
      <c r="I27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66</v>
      </c>
      <c r="J274" s="247">
        <v>43327</v>
      </c>
      <c r="K274" s="248" t="s">
        <v>463</v>
      </c>
      <c r="L274" s="398" t="s">
        <v>589</v>
      </c>
      <c r="M274" s="248" t="s">
        <v>598</v>
      </c>
      <c r="N274" s="249"/>
      <c r="O274" s="255">
        <f>MONTH(LstMachines[[#This Row],[Delivery]])</f>
        <v>8</v>
      </c>
      <c r="P274" s="256" t="str">
        <f>FIXED(YEAR(LstMachines[[#This Row],[Delivery]]),0,TRUE)</f>
        <v>2018</v>
      </c>
      <c r="Q274" s="250"/>
      <c r="R274" s="251"/>
      <c r="S274" s="249"/>
      <c r="T274" s="249"/>
      <c r="U274" s="249" t="s">
        <v>105</v>
      </c>
      <c r="V274" s="246"/>
      <c r="W274" s="248" t="s">
        <v>384</v>
      </c>
      <c r="X274" s="258">
        <f>LstMachines[[#This Row],[Delivery]]</f>
        <v>43327</v>
      </c>
      <c r="Y274" s="258" t="str">
        <f xml:space="preserve"> IF(MONTH(LstMachines[[#This Row],[DateLivr]])&lt;10,"0","") &amp; MONTH(LstMachines[[#This Row],[DateLivr]]) &amp;"-"&amp;YEAR(LstMachines[[#This Row],[DateLivr]])</f>
        <v>08-2018</v>
      </c>
      <c r="Z274" s="258">
        <f>LstMachines[[#This Row],[Delivery]]+Rglt_à_HCME</f>
        <v>43387</v>
      </c>
      <c r="AA274" s="258" t="str">
        <f xml:space="preserve"> IF(MONTH(LstMachines[[#This Row],[DatePaie]])&lt;10,"0","") &amp; MONTH(LstMachines[[#This Row],[DatePaie]])&amp;"-"&amp;YEAR(LstMachines[[#This Row],[DatePaie]])</f>
        <v>10-2018</v>
      </c>
      <c r="AB274" s="258">
        <f>LstMachines[[#This Row],[DateLivr]]+1</f>
        <v>43328</v>
      </c>
      <c r="AC274" s="258" t="str">
        <f xml:space="preserve"> IF(MONTH(LstMachines[[#This Row],[Distrib]])&lt;10,"0","") &amp; MONTH(LstMachines[[#This Row],[Distrib]]) &amp; "-" &amp; YEAR(LstMachines[[#This Row],[Distrib]])</f>
        <v>08-2018</v>
      </c>
      <c r="AD274" s="258">
        <f>LstMachines[[#This Row],[DateLivr]]+Délai_Vente</f>
        <v>43447</v>
      </c>
      <c r="AE274" s="258" t="str">
        <f xml:space="preserve"> IF(MONTH(LstMachines[[#This Row],[VteESM]])&lt;10,"0","") &amp; MONTH(LstMachines[[#This Row],[VteESM]]) &amp; "-" &amp; YEAR(LstMachines[[#This Row],[VteESM]])</f>
        <v>12-2018</v>
      </c>
      <c r="AF274" s="258">
        <f>LstMachines[[#This Row],[DateLivr]]+Rglt_à_ESMTP</f>
        <v>43387</v>
      </c>
      <c r="AG274" s="258" t="str">
        <f xml:space="preserve"> IF(MONTH(LstMachines[[#This Row],[RgltDistrib]])&lt;10,"0","") &amp; MONTH(LstMachines[[#This Row],[RgltDistrib]]) &amp; "-" &amp; YEAR(LstMachines[[#This Row],[RgltDistrib]])</f>
        <v>10-2018</v>
      </c>
      <c r="AH274" s="258">
        <f>LstMachines[[#This Row],[VteESM]]+Rglt_à_ESMTP</f>
        <v>43507</v>
      </c>
      <c r="AI274" s="258" t="str">
        <f xml:space="preserve"> IF(MONTH(LstMachines[[#This Row],[RgltVteESM]])&lt;10,"0","") &amp; MONTH(LstMachines[[#This Row],[RgltVteESM]]) &amp; "-" &amp; YEAR(LstMachines[[#This Row],[RgltVteESM]])</f>
        <v>02-2019</v>
      </c>
      <c r="AJ274" s="140">
        <f>MONTH(LstMachines[[#This Row],[DatePaie]])</f>
        <v>10</v>
      </c>
      <c r="AK274" s="88" t="str">
        <f>FIXED(YEAR(LstMachines[[#This Row],[DatePaie]]),0,TRUE)</f>
        <v>2018</v>
      </c>
      <c r="AL274" s="270"/>
      <c r="AM274" s="414"/>
      <c r="AN274" s="92"/>
      <c r="AO274" s="92"/>
      <c r="AP274" s="92"/>
      <c r="AQ274" s="92"/>
      <c r="AR274" s="92"/>
      <c r="AS274" s="92"/>
      <c r="AT274" s="92"/>
      <c r="AU274" s="92"/>
      <c r="AV274" s="92"/>
      <c r="AW274" s="92"/>
      <c r="AX274" s="92"/>
      <c r="AY274" s="92"/>
      <c r="BA274" s="92"/>
      <c r="BC274" s="92"/>
      <c r="BD274" s="92"/>
      <c r="BE274" s="92"/>
    </row>
    <row r="275" spans="2:57" hidden="1">
      <c r="B275" s="243" t="s">
        <v>262</v>
      </c>
      <c r="C275" s="243" t="s">
        <v>40</v>
      </c>
      <c r="D275" s="245">
        <v>135</v>
      </c>
      <c r="E275" s="243" t="s">
        <v>203</v>
      </c>
      <c r="F275" s="89" t="s">
        <v>66</v>
      </c>
      <c r="G275" s="87" t="s">
        <v>106</v>
      </c>
      <c r="H275" s="246">
        <v>1</v>
      </c>
      <c r="I27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75" s="247">
        <v>43296</v>
      </c>
      <c r="K275" s="248" t="s">
        <v>463</v>
      </c>
      <c r="L275" s="398" t="s">
        <v>589</v>
      </c>
      <c r="M275" s="248" t="s">
        <v>599</v>
      </c>
      <c r="N275" s="249"/>
      <c r="O275" s="255">
        <f>MONTH(LstMachines[[#This Row],[Delivery]])</f>
        <v>7</v>
      </c>
      <c r="P275" s="256" t="str">
        <f>FIXED(YEAR(LstMachines[[#This Row],[Delivery]]),0,TRUE)</f>
        <v>2018</v>
      </c>
      <c r="Q275" s="250"/>
      <c r="R275" s="251"/>
      <c r="S275" s="249"/>
      <c r="T275" s="249"/>
      <c r="U275" s="249" t="s">
        <v>105</v>
      </c>
      <c r="V275" s="246"/>
      <c r="W275" s="248" t="s">
        <v>384</v>
      </c>
      <c r="X275" s="258">
        <f>LstMachines[[#This Row],[Delivery]]</f>
        <v>43296</v>
      </c>
      <c r="Y275" s="258" t="str">
        <f xml:space="preserve"> IF(MONTH(LstMachines[[#This Row],[DateLivr]])&lt;10,"0","") &amp; MONTH(LstMachines[[#This Row],[DateLivr]]) &amp;"-"&amp;YEAR(LstMachines[[#This Row],[DateLivr]])</f>
        <v>07-2018</v>
      </c>
      <c r="Z275" s="258">
        <f>LstMachines[[#This Row],[Delivery]]+Rglt_à_HCME</f>
        <v>43356</v>
      </c>
      <c r="AA275" s="258" t="str">
        <f xml:space="preserve"> IF(MONTH(LstMachines[[#This Row],[DatePaie]])&lt;10,"0","") &amp; MONTH(LstMachines[[#This Row],[DatePaie]])&amp;"-"&amp;YEAR(LstMachines[[#This Row],[DatePaie]])</f>
        <v>09-2018</v>
      </c>
      <c r="AB275" s="258">
        <f>LstMachines[[#This Row],[DateLivr]]+1</f>
        <v>43297</v>
      </c>
      <c r="AC275" s="258" t="str">
        <f xml:space="preserve"> IF(MONTH(LstMachines[[#This Row],[Distrib]])&lt;10,"0","") &amp; MONTH(LstMachines[[#This Row],[Distrib]]) &amp; "-" &amp; YEAR(LstMachines[[#This Row],[Distrib]])</f>
        <v>07-2018</v>
      </c>
      <c r="AD275" s="258">
        <f>LstMachines[[#This Row],[DateLivr]]+Délai_Vente</f>
        <v>43416</v>
      </c>
      <c r="AE275" s="258" t="str">
        <f xml:space="preserve"> IF(MONTH(LstMachines[[#This Row],[VteESM]])&lt;10,"0","") &amp; MONTH(LstMachines[[#This Row],[VteESM]]) &amp; "-" &amp; YEAR(LstMachines[[#This Row],[VteESM]])</f>
        <v>11-2018</v>
      </c>
      <c r="AF275" s="258">
        <f>LstMachines[[#This Row],[DateLivr]]+Rglt_à_ESMTP</f>
        <v>43356</v>
      </c>
      <c r="AG275" s="258" t="str">
        <f xml:space="preserve"> IF(MONTH(LstMachines[[#This Row],[RgltDistrib]])&lt;10,"0","") &amp; MONTH(LstMachines[[#This Row],[RgltDistrib]]) &amp; "-" &amp; YEAR(LstMachines[[#This Row],[RgltDistrib]])</f>
        <v>09-2018</v>
      </c>
      <c r="AH275" s="258">
        <f>LstMachines[[#This Row],[VteESM]]+Rglt_à_ESMTP</f>
        <v>43476</v>
      </c>
      <c r="AI275" s="258" t="str">
        <f xml:space="preserve"> IF(MONTH(LstMachines[[#This Row],[RgltVteESM]])&lt;10,"0","") &amp; MONTH(LstMachines[[#This Row],[RgltVteESM]]) &amp; "-" &amp; YEAR(LstMachines[[#This Row],[RgltVteESM]])</f>
        <v>01-2019</v>
      </c>
      <c r="AJ275" s="140">
        <f>MONTH(LstMachines[[#This Row],[DatePaie]])</f>
        <v>9</v>
      </c>
      <c r="AK275" s="88" t="str">
        <f>FIXED(YEAR(LstMachines[[#This Row],[DatePaie]]),0,TRUE)</f>
        <v>2018</v>
      </c>
      <c r="AL275" s="270"/>
      <c r="AM275" s="416">
        <v>43282</v>
      </c>
      <c r="AN275" s="92"/>
      <c r="AO275" s="92"/>
      <c r="AP275" s="92"/>
      <c r="AQ275" s="92"/>
      <c r="AR275" s="92"/>
      <c r="AS275" s="92"/>
      <c r="AT275" s="92"/>
      <c r="AU275" s="92"/>
      <c r="AV275" s="92"/>
      <c r="AW275" s="92"/>
      <c r="AX275" s="92"/>
      <c r="AY275" s="92"/>
      <c r="BA275" s="92"/>
      <c r="BC275" s="92"/>
      <c r="BD275" s="92"/>
      <c r="BE275" s="92"/>
    </row>
    <row r="276" spans="2:57" hidden="1">
      <c r="B276" s="243" t="s">
        <v>262</v>
      </c>
      <c r="C276" s="243" t="s">
        <v>40</v>
      </c>
      <c r="D276" s="245">
        <v>135</v>
      </c>
      <c r="E276" s="243" t="s">
        <v>205</v>
      </c>
      <c r="F276" s="89" t="s">
        <v>66</v>
      </c>
      <c r="G276" s="87" t="s">
        <v>106</v>
      </c>
      <c r="H276" s="246">
        <v>1</v>
      </c>
      <c r="I27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76" s="247">
        <v>43296</v>
      </c>
      <c r="K276" s="248" t="s">
        <v>463</v>
      </c>
      <c r="L276" s="398" t="s">
        <v>589</v>
      </c>
      <c r="M276" s="248" t="s">
        <v>599</v>
      </c>
      <c r="N276" s="249"/>
      <c r="O276" s="255">
        <f>MONTH(LstMachines[[#This Row],[Delivery]])</f>
        <v>7</v>
      </c>
      <c r="P276" s="256" t="str">
        <f>FIXED(YEAR(LstMachines[[#This Row],[Delivery]]),0,TRUE)</f>
        <v>2018</v>
      </c>
      <c r="Q276" s="250"/>
      <c r="R276" s="251"/>
      <c r="S276" s="249"/>
      <c r="T276" s="249"/>
      <c r="U276" s="249" t="s">
        <v>105</v>
      </c>
      <c r="V276" s="246"/>
      <c r="W276" s="248" t="s">
        <v>384</v>
      </c>
      <c r="X276" s="258">
        <f>LstMachines[[#This Row],[Delivery]]</f>
        <v>43296</v>
      </c>
      <c r="Y276" s="258" t="str">
        <f xml:space="preserve"> IF(MONTH(LstMachines[[#This Row],[DateLivr]])&lt;10,"0","") &amp; MONTH(LstMachines[[#This Row],[DateLivr]]) &amp;"-"&amp;YEAR(LstMachines[[#This Row],[DateLivr]])</f>
        <v>07-2018</v>
      </c>
      <c r="Z276" s="258">
        <f>LstMachines[[#This Row],[Delivery]]+Rglt_à_HCME</f>
        <v>43356</v>
      </c>
      <c r="AA276" s="258" t="str">
        <f xml:space="preserve"> IF(MONTH(LstMachines[[#This Row],[DatePaie]])&lt;10,"0","") &amp; MONTH(LstMachines[[#This Row],[DatePaie]])&amp;"-"&amp;YEAR(LstMachines[[#This Row],[DatePaie]])</f>
        <v>09-2018</v>
      </c>
      <c r="AB276" s="258">
        <f>LstMachines[[#This Row],[DateLivr]]+1</f>
        <v>43297</v>
      </c>
      <c r="AC276" s="258" t="str">
        <f xml:space="preserve"> IF(MONTH(LstMachines[[#This Row],[Distrib]])&lt;10,"0","") &amp; MONTH(LstMachines[[#This Row],[Distrib]]) &amp; "-" &amp; YEAR(LstMachines[[#This Row],[Distrib]])</f>
        <v>07-2018</v>
      </c>
      <c r="AD276" s="258">
        <f>LstMachines[[#This Row],[DateLivr]]+Délai_Vente</f>
        <v>43416</v>
      </c>
      <c r="AE276" s="258" t="str">
        <f xml:space="preserve"> IF(MONTH(LstMachines[[#This Row],[VteESM]])&lt;10,"0","") &amp; MONTH(LstMachines[[#This Row],[VteESM]]) &amp; "-" &amp; YEAR(LstMachines[[#This Row],[VteESM]])</f>
        <v>11-2018</v>
      </c>
      <c r="AF276" s="258">
        <f>LstMachines[[#This Row],[DateLivr]]+Rglt_à_ESMTP</f>
        <v>43356</v>
      </c>
      <c r="AG276" s="258" t="str">
        <f xml:space="preserve"> IF(MONTH(LstMachines[[#This Row],[RgltDistrib]])&lt;10,"0","") &amp; MONTH(LstMachines[[#This Row],[RgltDistrib]]) &amp; "-" &amp; YEAR(LstMachines[[#This Row],[RgltDistrib]])</f>
        <v>09-2018</v>
      </c>
      <c r="AH276" s="258">
        <f>LstMachines[[#This Row],[VteESM]]+Rglt_à_ESMTP</f>
        <v>43476</v>
      </c>
      <c r="AI276" s="258" t="str">
        <f xml:space="preserve"> IF(MONTH(LstMachines[[#This Row],[RgltVteESM]])&lt;10,"0","") &amp; MONTH(LstMachines[[#This Row],[RgltVteESM]]) &amp; "-" &amp; YEAR(LstMachines[[#This Row],[RgltVteESM]])</f>
        <v>01-2019</v>
      </c>
      <c r="AJ276" s="140">
        <f>MONTH(LstMachines[[#This Row],[DatePaie]])</f>
        <v>9</v>
      </c>
      <c r="AK276" s="88" t="str">
        <f>FIXED(YEAR(LstMachines[[#This Row],[DatePaie]]),0,TRUE)</f>
        <v>2018</v>
      </c>
      <c r="AL276" s="270"/>
      <c r="AM276" s="414"/>
      <c r="AN276" s="92"/>
      <c r="AO276" s="92"/>
      <c r="AP276" s="92"/>
      <c r="AQ276" s="92"/>
      <c r="AR276" s="92"/>
      <c r="AS276" s="92"/>
      <c r="AT276" s="92"/>
      <c r="AU276" s="92"/>
      <c r="AV276" s="92"/>
      <c r="AW276" s="92"/>
      <c r="AX276" s="92"/>
      <c r="AY276" s="92"/>
      <c r="BA276" s="92"/>
      <c r="BC276" s="92"/>
      <c r="BD276" s="92"/>
      <c r="BE276" s="92"/>
    </row>
    <row r="277" spans="2:57" hidden="1">
      <c r="B277" s="243" t="s">
        <v>75</v>
      </c>
      <c r="C277" s="243" t="s">
        <v>36</v>
      </c>
      <c r="D277" s="245">
        <v>26</v>
      </c>
      <c r="E277" s="243" t="s">
        <v>355</v>
      </c>
      <c r="F277" s="89" t="s">
        <v>66</v>
      </c>
      <c r="G277" s="89" t="s">
        <v>106</v>
      </c>
      <c r="H277" s="246">
        <v>1</v>
      </c>
      <c r="I27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277" s="247">
        <v>43296</v>
      </c>
      <c r="K277" s="248" t="s">
        <v>463</v>
      </c>
      <c r="L277" s="398" t="s">
        <v>589</v>
      </c>
      <c r="M277" s="248" t="s">
        <v>598</v>
      </c>
      <c r="N277" s="249"/>
      <c r="O277" s="255">
        <f>MONTH(LstMachines[[#This Row],[Delivery]])</f>
        <v>7</v>
      </c>
      <c r="P277" s="256" t="str">
        <f>FIXED(YEAR(LstMachines[[#This Row],[Delivery]]),0,TRUE)</f>
        <v>2018</v>
      </c>
      <c r="Q277" s="250"/>
      <c r="R277" s="251"/>
      <c r="S277" s="249"/>
      <c r="T277" s="249"/>
      <c r="U277" s="249" t="s">
        <v>105</v>
      </c>
      <c r="V277" s="246"/>
      <c r="W277" s="248" t="s">
        <v>384</v>
      </c>
      <c r="X277" s="258">
        <f>LstMachines[[#This Row],[Delivery]]</f>
        <v>43296</v>
      </c>
      <c r="Y277" s="258" t="str">
        <f xml:space="preserve"> IF(MONTH(LstMachines[[#This Row],[DateLivr]])&lt;10,"0","") &amp; MONTH(LstMachines[[#This Row],[DateLivr]]) &amp;"-"&amp;YEAR(LstMachines[[#This Row],[DateLivr]])</f>
        <v>07-2018</v>
      </c>
      <c r="Z277" s="258">
        <f>LstMachines[[#This Row],[Delivery]]+Rglt_à_HCME</f>
        <v>43356</v>
      </c>
      <c r="AA277" s="258" t="str">
        <f xml:space="preserve"> IF(MONTH(LstMachines[[#This Row],[DatePaie]])&lt;10,"0","") &amp; MONTH(LstMachines[[#This Row],[DatePaie]])&amp;"-"&amp;YEAR(LstMachines[[#This Row],[DatePaie]])</f>
        <v>09-2018</v>
      </c>
      <c r="AB277" s="258">
        <f>LstMachines[[#This Row],[DateLivr]]+1</f>
        <v>43297</v>
      </c>
      <c r="AC277" s="258" t="str">
        <f xml:space="preserve"> IF(MONTH(LstMachines[[#This Row],[Distrib]])&lt;10,"0","") &amp; MONTH(LstMachines[[#This Row],[Distrib]]) &amp; "-" &amp; YEAR(LstMachines[[#This Row],[Distrib]])</f>
        <v>07-2018</v>
      </c>
      <c r="AD277" s="258">
        <f>LstMachines[[#This Row],[DateLivr]]+Délai_Vente</f>
        <v>43416</v>
      </c>
      <c r="AE277" s="258" t="str">
        <f xml:space="preserve"> IF(MONTH(LstMachines[[#This Row],[VteESM]])&lt;10,"0","") &amp; MONTH(LstMachines[[#This Row],[VteESM]]) &amp; "-" &amp; YEAR(LstMachines[[#This Row],[VteESM]])</f>
        <v>11-2018</v>
      </c>
      <c r="AF277" s="258">
        <f>LstMachines[[#This Row],[DateLivr]]+Rglt_à_ESMTP</f>
        <v>43356</v>
      </c>
      <c r="AG277" s="258" t="str">
        <f xml:space="preserve"> IF(MONTH(LstMachines[[#This Row],[RgltDistrib]])&lt;10,"0","") &amp; MONTH(LstMachines[[#This Row],[RgltDistrib]]) &amp; "-" &amp; YEAR(LstMachines[[#This Row],[RgltDistrib]])</f>
        <v>09-2018</v>
      </c>
      <c r="AH277" s="258">
        <f>LstMachines[[#This Row],[VteESM]]+Rglt_à_ESMTP</f>
        <v>43476</v>
      </c>
      <c r="AI277" s="258" t="str">
        <f xml:space="preserve"> IF(MONTH(LstMachines[[#This Row],[RgltVteESM]])&lt;10,"0","") &amp; MONTH(LstMachines[[#This Row],[RgltVteESM]]) &amp; "-" &amp; YEAR(LstMachines[[#This Row],[RgltVteESM]])</f>
        <v>01-2019</v>
      </c>
      <c r="AJ277" s="140">
        <f>MONTH(LstMachines[[#This Row],[DatePaie]])</f>
        <v>9</v>
      </c>
      <c r="AK277" s="88" t="str">
        <f>FIXED(YEAR(LstMachines[[#This Row],[DatePaie]]),0,TRUE)</f>
        <v>2018</v>
      </c>
      <c r="AL277" s="270"/>
      <c r="AM277" s="414"/>
      <c r="AN277" s="92"/>
      <c r="AO277" s="92"/>
      <c r="AP277" s="92"/>
      <c r="AQ277" s="92"/>
      <c r="AR277" s="92"/>
      <c r="AS277" s="92"/>
      <c r="AT277" s="92"/>
      <c r="AU277" s="92"/>
      <c r="AV277" s="92"/>
      <c r="AW277" s="92"/>
      <c r="AX277" s="92"/>
      <c r="AY277" s="92"/>
      <c r="BA277" s="92"/>
      <c r="BC277" s="92"/>
      <c r="BD277" s="92"/>
      <c r="BE277" s="92"/>
    </row>
    <row r="278" spans="2:57">
      <c r="B278" s="243" t="s">
        <v>75</v>
      </c>
      <c r="C278" s="243" t="s">
        <v>35</v>
      </c>
      <c r="D278" s="245">
        <v>19</v>
      </c>
      <c r="E278" s="452" t="s">
        <v>76</v>
      </c>
      <c r="F278" s="89" t="s">
        <v>66</v>
      </c>
      <c r="G278" s="89" t="s">
        <v>106</v>
      </c>
      <c r="H278" s="246">
        <v>2</v>
      </c>
      <c r="I27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36</v>
      </c>
      <c r="J278" s="247">
        <v>43723</v>
      </c>
      <c r="K278" s="248" t="s">
        <v>461</v>
      </c>
      <c r="L278" s="398" t="s">
        <v>589</v>
      </c>
      <c r="M278" s="248"/>
      <c r="N278" s="249"/>
      <c r="O278" s="255">
        <f>MONTH(LstMachines[[#This Row],[Delivery]])</f>
        <v>9</v>
      </c>
      <c r="P278" s="256" t="str">
        <f>FIXED(YEAR(LstMachines[[#This Row],[Delivery]]),0,TRUE)</f>
        <v>2019</v>
      </c>
      <c r="Q278" s="250"/>
      <c r="R278" s="251"/>
      <c r="S278" s="249"/>
      <c r="T278" s="249"/>
      <c r="U278" s="249" t="s">
        <v>105</v>
      </c>
      <c r="V278" s="246"/>
      <c r="W278" s="248" t="s">
        <v>384</v>
      </c>
      <c r="X278" s="258">
        <f>LstMachines[[#This Row],[Delivery]]</f>
        <v>43723</v>
      </c>
      <c r="Y278" s="258" t="str">
        <f xml:space="preserve"> IF(MONTH(LstMachines[[#This Row],[DateLivr]])&lt;10,"0","") &amp; MONTH(LstMachines[[#This Row],[DateLivr]]) &amp;"-"&amp;YEAR(LstMachines[[#This Row],[DateLivr]])</f>
        <v>09-2019</v>
      </c>
      <c r="Z278" s="258">
        <f>LstMachines[[#This Row],[Delivery]]+Rglt_à_HCME</f>
        <v>43783</v>
      </c>
      <c r="AA278" s="258" t="str">
        <f xml:space="preserve"> IF(MONTH(LstMachines[[#This Row],[DatePaie]])&lt;10,"0","") &amp; MONTH(LstMachines[[#This Row],[DatePaie]])&amp;"-"&amp;YEAR(LstMachines[[#This Row],[DatePaie]])</f>
        <v>11-2019</v>
      </c>
      <c r="AB278" s="258">
        <f>LstMachines[[#This Row],[DateLivr]]+1</f>
        <v>43724</v>
      </c>
      <c r="AC278" s="258" t="str">
        <f xml:space="preserve"> IF(MONTH(LstMachines[[#This Row],[Distrib]])&lt;10,"0","") &amp; MONTH(LstMachines[[#This Row],[Distrib]]) &amp; "-" &amp; YEAR(LstMachines[[#This Row],[Distrib]])</f>
        <v>09-2019</v>
      </c>
      <c r="AD278" s="258">
        <f>LstMachines[[#This Row],[DateLivr]]+Délai_Vente</f>
        <v>43843</v>
      </c>
      <c r="AE278" s="258" t="str">
        <f xml:space="preserve"> IF(MONTH(LstMachines[[#This Row],[VteESM]])&lt;10,"0","") &amp; MONTH(LstMachines[[#This Row],[VteESM]]) &amp; "-" &amp; YEAR(LstMachines[[#This Row],[VteESM]])</f>
        <v>01-2020</v>
      </c>
      <c r="AF278" s="258">
        <f>LstMachines[[#This Row],[DateLivr]]+Rglt_à_ESMTP</f>
        <v>43783</v>
      </c>
      <c r="AG278" s="258" t="str">
        <f xml:space="preserve"> IF(MONTH(LstMachines[[#This Row],[RgltDistrib]])&lt;10,"0","") &amp; MONTH(LstMachines[[#This Row],[RgltDistrib]]) &amp; "-" &amp; YEAR(LstMachines[[#This Row],[RgltDistrib]])</f>
        <v>11-2019</v>
      </c>
      <c r="AH278" s="258">
        <f>LstMachines[[#This Row],[VteESM]]+Rglt_à_ESMTP</f>
        <v>43903</v>
      </c>
      <c r="AI278" s="258" t="str">
        <f xml:space="preserve"> IF(MONTH(LstMachines[[#This Row],[RgltVteESM]])&lt;10,"0","") &amp; MONTH(LstMachines[[#This Row],[RgltVteESM]]) &amp; "-" &amp; YEAR(LstMachines[[#This Row],[RgltVteESM]])</f>
        <v>03-2020</v>
      </c>
      <c r="AJ278" s="140">
        <f>MONTH(LstMachines[[#This Row],[DatePaie]])</f>
        <v>11</v>
      </c>
      <c r="AK278" s="88" t="str">
        <f>FIXED(YEAR(LstMachines[[#This Row],[DatePaie]]),0,TRUE)</f>
        <v>2019</v>
      </c>
      <c r="AL278" s="270"/>
      <c r="AM278" s="414"/>
      <c r="AN278" s="92"/>
      <c r="AO278" s="92"/>
      <c r="AP278" s="92"/>
      <c r="AQ278" s="92"/>
      <c r="AR278" s="92"/>
      <c r="AS278" s="92"/>
      <c r="AT278" s="92"/>
      <c r="AU278" s="92"/>
      <c r="AV278" s="92"/>
      <c r="AW278" s="92"/>
      <c r="AX278" s="92"/>
      <c r="AY278" s="92"/>
      <c r="BA278" s="92"/>
      <c r="BC278" s="92"/>
      <c r="BD278" s="92"/>
      <c r="BE278" s="92"/>
    </row>
    <row r="279" spans="2:57" hidden="1">
      <c r="B279" s="243" t="s">
        <v>75</v>
      </c>
      <c r="C279" s="243" t="s">
        <v>69</v>
      </c>
      <c r="D279" s="245">
        <v>55</v>
      </c>
      <c r="E279" s="243" t="s">
        <v>426</v>
      </c>
      <c r="F279" s="89" t="s">
        <v>66</v>
      </c>
      <c r="G279" s="89" t="s">
        <v>106</v>
      </c>
      <c r="H279" s="246">
        <v>3</v>
      </c>
      <c r="I27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129</v>
      </c>
      <c r="J279" s="247">
        <v>43296</v>
      </c>
      <c r="K279" s="248" t="s">
        <v>463</v>
      </c>
      <c r="L279" s="398" t="s">
        <v>589</v>
      </c>
      <c r="M279" s="248" t="s">
        <v>598</v>
      </c>
      <c r="N279" s="249"/>
      <c r="O279" s="255">
        <f>MONTH(LstMachines[[#This Row],[Delivery]])</f>
        <v>7</v>
      </c>
      <c r="P279" s="256" t="str">
        <f>FIXED(YEAR(LstMachines[[#This Row],[Delivery]]),0,TRUE)</f>
        <v>2018</v>
      </c>
      <c r="Q279" s="250"/>
      <c r="R279" s="251"/>
      <c r="S279" s="249"/>
      <c r="T279" s="249"/>
      <c r="U279" s="249" t="s">
        <v>105</v>
      </c>
      <c r="V279" s="246"/>
      <c r="W279" s="248" t="s">
        <v>384</v>
      </c>
      <c r="X279" s="258">
        <f>LstMachines[[#This Row],[Delivery]]</f>
        <v>43296</v>
      </c>
      <c r="Y279" s="258" t="str">
        <f xml:space="preserve"> IF(MONTH(LstMachines[[#This Row],[DateLivr]])&lt;10,"0","") &amp; MONTH(LstMachines[[#This Row],[DateLivr]]) &amp;"-"&amp;YEAR(LstMachines[[#This Row],[DateLivr]])</f>
        <v>07-2018</v>
      </c>
      <c r="Z279" s="258">
        <f>LstMachines[[#This Row],[Delivery]]+Rglt_à_HCME</f>
        <v>43356</v>
      </c>
      <c r="AA279" s="258" t="str">
        <f xml:space="preserve"> IF(MONTH(LstMachines[[#This Row],[DatePaie]])&lt;10,"0","") &amp; MONTH(LstMachines[[#This Row],[DatePaie]])&amp;"-"&amp;YEAR(LstMachines[[#This Row],[DatePaie]])</f>
        <v>09-2018</v>
      </c>
      <c r="AB279" s="258">
        <f>LstMachines[[#This Row],[DateLivr]]+1</f>
        <v>43297</v>
      </c>
      <c r="AC279" s="258" t="str">
        <f xml:space="preserve"> IF(MONTH(LstMachines[[#This Row],[Distrib]])&lt;10,"0","") &amp; MONTH(LstMachines[[#This Row],[Distrib]]) &amp; "-" &amp; YEAR(LstMachines[[#This Row],[Distrib]])</f>
        <v>07-2018</v>
      </c>
      <c r="AD279" s="258">
        <f>LstMachines[[#This Row],[DateLivr]]+Délai_Vente</f>
        <v>43416</v>
      </c>
      <c r="AE279" s="258" t="str">
        <f xml:space="preserve"> IF(MONTH(LstMachines[[#This Row],[VteESM]])&lt;10,"0","") &amp; MONTH(LstMachines[[#This Row],[VteESM]]) &amp; "-" &amp; YEAR(LstMachines[[#This Row],[VteESM]])</f>
        <v>11-2018</v>
      </c>
      <c r="AF279" s="258">
        <f>LstMachines[[#This Row],[DateLivr]]+Rglt_à_ESMTP</f>
        <v>43356</v>
      </c>
      <c r="AG279" s="258" t="str">
        <f xml:space="preserve"> IF(MONTH(LstMachines[[#This Row],[RgltDistrib]])&lt;10,"0","") &amp; MONTH(LstMachines[[#This Row],[RgltDistrib]]) &amp; "-" &amp; YEAR(LstMachines[[#This Row],[RgltDistrib]])</f>
        <v>09-2018</v>
      </c>
      <c r="AH279" s="258">
        <f>LstMachines[[#This Row],[VteESM]]+Rglt_à_ESMTP</f>
        <v>43476</v>
      </c>
      <c r="AI279" s="258" t="str">
        <f xml:space="preserve"> IF(MONTH(LstMachines[[#This Row],[RgltVteESM]])&lt;10,"0","") &amp; MONTH(LstMachines[[#This Row],[RgltVteESM]]) &amp; "-" &amp; YEAR(LstMachines[[#This Row],[RgltVteESM]])</f>
        <v>01-2019</v>
      </c>
      <c r="AJ279" s="140">
        <f>MONTH(LstMachines[[#This Row],[DatePaie]])</f>
        <v>9</v>
      </c>
      <c r="AK279" s="88" t="str">
        <f>FIXED(YEAR(LstMachines[[#This Row],[DatePaie]]),0,TRUE)</f>
        <v>2018</v>
      </c>
      <c r="AL279" s="270"/>
      <c r="AM279" s="414"/>
      <c r="AN279" s="92"/>
      <c r="AO279" s="92"/>
      <c r="AP279" s="92"/>
      <c r="AQ279" s="92"/>
      <c r="AR279" s="92"/>
      <c r="AS279" s="92"/>
      <c r="AT279" s="92"/>
      <c r="AU279" s="92"/>
      <c r="AV279" s="92"/>
      <c r="AW279" s="92"/>
      <c r="AX279" s="92"/>
      <c r="AY279" s="92"/>
      <c r="BA279" s="92"/>
      <c r="BC279" s="92"/>
      <c r="BD279" s="92"/>
      <c r="BE279" s="92"/>
    </row>
    <row r="280" spans="2:57">
      <c r="B280" s="243" t="s">
        <v>75</v>
      </c>
      <c r="C280" s="243" t="s">
        <v>36</v>
      </c>
      <c r="D280" s="245">
        <v>26</v>
      </c>
      <c r="E280" s="452" t="s">
        <v>355</v>
      </c>
      <c r="F280" s="89" t="s">
        <v>66</v>
      </c>
      <c r="G280" s="89" t="s">
        <v>106</v>
      </c>
      <c r="H280" s="246">
        <v>4</v>
      </c>
      <c r="I28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88</v>
      </c>
      <c r="J280" s="247">
        <v>43723</v>
      </c>
      <c r="K280" s="248" t="s">
        <v>461</v>
      </c>
      <c r="L280" s="398" t="s">
        <v>589</v>
      </c>
      <c r="M280" s="248"/>
      <c r="N280" s="249"/>
      <c r="O280" s="255">
        <f>MONTH(LstMachines[[#This Row],[Delivery]])</f>
        <v>9</v>
      </c>
      <c r="P280" s="256" t="str">
        <f>FIXED(YEAR(LstMachines[[#This Row],[Delivery]]),0,TRUE)</f>
        <v>2019</v>
      </c>
      <c r="Q280" s="250"/>
      <c r="R280" s="251"/>
      <c r="S280" s="249"/>
      <c r="T280" s="249"/>
      <c r="U280" s="249" t="s">
        <v>105</v>
      </c>
      <c r="V280" s="246"/>
      <c r="W280" s="248" t="s">
        <v>384</v>
      </c>
      <c r="X280" s="258">
        <f>LstMachines[[#This Row],[Delivery]]</f>
        <v>43723</v>
      </c>
      <c r="Y280" s="258" t="str">
        <f xml:space="preserve"> IF(MONTH(LstMachines[[#This Row],[DateLivr]])&lt;10,"0","") &amp; MONTH(LstMachines[[#This Row],[DateLivr]]) &amp;"-"&amp;YEAR(LstMachines[[#This Row],[DateLivr]])</f>
        <v>09-2019</v>
      </c>
      <c r="Z280" s="258">
        <f>LstMachines[[#This Row],[Delivery]]+Rglt_à_HCME</f>
        <v>43783</v>
      </c>
      <c r="AA280" s="258" t="str">
        <f xml:space="preserve"> IF(MONTH(LstMachines[[#This Row],[DatePaie]])&lt;10,"0","") &amp; MONTH(LstMachines[[#This Row],[DatePaie]])&amp;"-"&amp;YEAR(LstMachines[[#This Row],[DatePaie]])</f>
        <v>11-2019</v>
      </c>
      <c r="AB280" s="258">
        <f>LstMachines[[#This Row],[DateLivr]]+1</f>
        <v>43724</v>
      </c>
      <c r="AC280" s="258" t="str">
        <f xml:space="preserve"> IF(MONTH(LstMachines[[#This Row],[Distrib]])&lt;10,"0","") &amp; MONTH(LstMachines[[#This Row],[Distrib]]) &amp; "-" &amp; YEAR(LstMachines[[#This Row],[Distrib]])</f>
        <v>09-2019</v>
      </c>
      <c r="AD280" s="258">
        <f>LstMachines[[#This Row],[DateLivr]]+Délai_Vente</f>
        <v>43843</v>
      </c>
      <c r="AE280" s="258" t="str">
        <f xml:space="preserve"> IF(MONTH(LstMachines[[#This Row],[VteESM]])&lt;10,"0","") &amp; MONTH(LstMachines[[#This Row],[VteESM]]) &amp; "-" &amp; YEAR(LstMachines[[#This Row],[VteESM]])</f>
        <v>01-2020</v>
      </c>
      <c r="AF280" s="258">
        <f>LstMachines[[#This Row],[DateLivr]]+Rglt_à_ESMTP</f>
        <v>43783</v>
      </c>
      <c r="AG280" s="258" t="str">
        <f xml:space="preserve"> IF(MONTH(LstMachines[[#This Row],[RgltDistrib]])&lt;10,"0","") &amp; MONTH(LstMachines[[#This Row],[RgltDistrib]]) &amp; "-" &amp; YEAR(LstMachines[[#This Row],[RgltDistrib]])</f>
        <v>11-2019</v>
      </c>
      <c r="AH280" s="258">
        <f>LstMachines[[#This Row],[VteESM]]+Rglt_à_ESMTP</f>
        <v>43903</v>
      </c>
      <c r="AI280" s="258" t="str">
        <f xml:space="preserve"> IF(MONTH(LstMachines[[#This Row],[RgltVteESM]])&lt;10,"0","") &amp; MONTH(LstMachines[[#This Row],[RgltVteESM]]) &amp; "-" &amp; YEAR(LstMachines[[#This Row],[RgltVteESM]])</f>
        <v>03-2020</v>
      </c>
      <c r="AJ280" s="140">
        <f>MONTH(LstMachines[[#This Row],[DatePaie]])</f>
        <v>11</v>
      </c>
      <c r="AK280" s="88" t="str">
        <f>FIXED(YEAR(LstMachines[[#This Row],[DatePaie]]),0,TRUE)</f>
        <v>2019</v>
      </c>
      <c r="AL280" s="270"/>
      <c r="AM280" s="414"/>
      <c r="AN280" s="92"/>
      <c r="AO280" s="92"/>
      <c r="AP280" s="92"/>
      <c r="AQ280" s="92"/>
      <c r="AR280" s="92"/>
      <c r="AS280" s="92"/>
      <c r="AT280" s="92"/>
      <c r="AU280" s="92"/>
      <c r="AV280" s="92"/>
      <c r="AW280" s="92"/>
      <c r="AX280" s="92"/>
      <c r="AY280" s="92"/>
      <c r="BA280" s="92"/>
      <c r="BC280" s="92"/>
      <c r="BD280" s="92"/>
      <c r="BE280" s="92"/>
    </row>
    <row r="281" spans="2:57" hidden="1">
      <c r="B281" s="243" t="s">
        <v>263</v>
      </c>
      <c r="C281" s="243" t="s">
        <v>40</v>
      </c>
      <c r="D281" s="245">
        <v>135</v>
      </c>
      <c r="E281" s="243" t="s">
        <v>228</v>
      </c>
      <c r="F281" s="89" t="s">
        <v>66</v>
      </c>
      <c r="G281" s="87" t="s">
        <v>106</v>
      </c>
      <c r="H281" s="246">
        <v>1</v>
      </c>
      <c r="I28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81" s="247">
        <v>43252</v>
      </c>
      <c r="K281" s="248" t="s">
        <v>463</v>
      </c>
      <c r="L281" s="398" t="s">
        <v>589</v>
      </c>
      <c r="M281" s="248" t="s">
        <v>598</v>
      </c>
      <c r="N281" s="249"/>
      <c r="O281" s="255">
        <f>MONTH(LstMachines[[#This Row],[Delivery]])</f>
        <v>6</v>
      </c>
      <c r="P281" s="256" t="str">
        <f>FIXED(YEAR(LstMachines[[#This Row],[Delivery]]),0,TRUE)</f>
        <v>2018</v>
      </c>
      <c r="Q281" s="250"/>
      <c r="R281" s="251"/>
      <c r="S281" s="249"/>
      <c r="T281" s="249"/>
      <c r="U281" s="249" t="s">
        <v>105</v>
      </c>
      <c r="V281" s="246"/>
      <c r="W281" s="248" t="s">
        <v>384</v>
      </c>
      <c r="X281" s="258">
        <f>LstMachines[[#This Row],[Delivery]]</f>
        <v>43252</v>
      </c>
      <c r="Y281" s="258" t="str">
        <f xml:space="preserve"> IF(MONTH(LstMachines[[#This Row],[DateLivr]])&lt;10,"0","") &amp; MONTH(LstMachines[[#This Row],[DateLivr]]) &amp;"-"&amp;YEAR(LstMachines[[#This Row],[DateLivr]])</f>
        <v>06-2018</v>
      </c>
      <c r="Z281" s="258">
        <f>LstMachines[[#This Row],[Delivery]]+Rglt_à_HCME</f>
        <v>43312</v>
      </c>
      <c r="AA281" s="258" t="str">
        <f xml:space="preserve"> IF(MONTH(LstMachines[[#This Row],[DatePaie]])&lt;10,"0","") &amp; MONTH(LstMachines[[#This Row],[DatePaie]])&amp;"-"&amp;YEAR(LstMachines[[#This Row],[DatePaie]])</f>
        <v>07-2018</v>
      </c>
      <c r="AB281" s="258">
        <f>LstMachines[[#This Row],[DateLivr]]+1</f>
        <v>43253</v>
      </c>
      <c r="AC281" s="258" t="str">
        <f xml:space="preserve"> IF(MONTH(LstMachines[[#This Row],[Distrib]])&lt;10,"0","") &amp; MONTH(LstMachines[[#This Row],[Distrib]]) &amp; "-" &amp; YEAR(LstMachines[[#This Row],[Distrib]])</f>
        <v>06-2018</v>
      </c>
      <c r="AD281" s="258">
        <f>LstMachines[[#This Row],[DateLivr]]+Délai_Vente</f>
        <v>43372</v>
      </c>
      <c r="AE281" s="258" t="str">
        <f xml:space="preserve"> IF(MONTH(LstMachines[[#This Row],[VteESM]])&lt;10,"0","") &amp; MONTH(LstMachines[[#This Row],[VteESM]]) &amp; "-" &amp; YEAR(LstMachines[[#This Row],[VteESM]])</f>
        <v>09-2018</v>
      </c>
      <c r="AF281" s="258">
        <f>LstMachines[[#This Row],[DateLivr]]+Rglt_à_ESMTP</f>
        <v>43312</v>
      </c>
      <c r="AG281" s="258" t="str">
        <f xml:space="preserve"> IF(MONTH(LstMachines[[#This Row],[RgltDistrib]])&lt;10,"0","") &amp; MONTH(LstMachines[[#This Row],[RgltDistrib]]) &amp; "-" &amp; YEAR(LstMachines[[#This Row],[RgltDistrib]])</f>
        <v>07-2018</v>
      </c>
      <c r="AH281" s="258">
        <f>LstMachines[[#This Row],[VteESM]]+Rglt_à_ESMTP</f>
        <v>43432</v>
      </c>
      <c r="AI281" s="258" t="str">
        <f xml:space="preserve"> IF(MONTH(LstMachines[[#This Row],[RgltVteESM]])&lt;10,"0","") &amp; MONTH(LstMachines[[#This Row],[RgltVteESM]]) &amp; "-" &amp; YEAR(LstMachines[[#This Row],[RgltVteESM]])</f>
        <v>11-2018</v>
      </c>
      <c r="AJ281" s="140">
        <f>MONTH(LstMachines[[#This Row],[DatePaie]])</f>
        <v>7</v>
      </c>
      <c r="AK281" s="88" t="str">
        <f>FIXED(YEAR(LstMachines[[#This Row],[DatePaie]]),0,TRUE)</f>
        <v>2018</v>
      </c>
      <c r="AL281" s="270"/>
      <c r="AM281" s="414"/>
      <c r="AN281" s="92"/>
      <c r="AO281" s="92"/>
      <c r="AP281" s="92"/>
      <c r="AQ281" s="92"/>
      <c r="AR281" s="92"/>
      <c r="AS281" s="92"/>
      <c r="AT281" s="92"/>
      <c r="AU281" s="92"/>
      <c r="AV281" s="92"/>
      <c r="AW281" s="92"/>
      <c r="AX281" s="92"/>
      <c r="AY281" s="92"/>
      <c r="BA281" s="92"/>
      <c r="BC281" s="92"/>
      <c r="BD281" s="92"/>
      <c r="BE281" s="92"/>
    </row>
    <row r="282" spans="2:57" hidden="1">
      <c r="B282" s="243" t="s">
        <v>75</v>
      </c>
      <c r="C282" s="243" t="s">
        <v>35</v>
      </c>
      <c r="D282" s="245">
        <v>19</v>
      </c>
      <c r="E282" s="243" t="s">
        <v>180</v>
      </c>
      <c r="F282" s="89" t="s">
        <v>66</v>
      </c>
      <c r="G282" s="89" t="s">
        <v>106</v>
      </c>
      <c r="H282" s="246">
        <v>1</v>
      </c>
      <c r="I28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282" s="247">
        <v>43235</v>
      </c>
      <c r="K282" s="248" t="s">
        <v>461</v>
      </c>
      <c r="L282" s="398" t="s">
        <v>589</v>
      </c>
      <c r="M282" s="248"/>
      <c r="N282" s="249"/>
      <c r="O282" s="255">
        <f>MONTH(LstMachines[[#This Row],[Delivery]])</f>
        <v>5</v>
      </c>
      <c r="P282" s="256" t="str">
        <f>FIXED(YEAR(LstMachines[[#This Row],[Delivery]]),0,TRUE)</f>
        <v>2018</v>
      </c>
      <c r="Q282" s="250"/>
      <c r="R282" s="251"/>
      <c r="S282" s="249"/>
      <c r="T282" s="249"/>
      <c r="U282" s="249" t="s">
        <v>105</v>
      </c>
      <c r="V282" s="246"/>
      <c r="W282" s="248" t="s">
        <v>384</v>
      </c>
      <c r="X282" s="258">
        <f>LstMachines[[#This Row],[Delivery]]</f>
        <v>43235</v>
      </c>
      <c r="Y282" s="258" t="str">
        <f xml:space="preserve"> IF(MONTH(LstMachines[[#This Row],[DateLivr]])&lt;10,"0","") &amp; MONTH(LstMachines[[#This Row],[DateLivr]]) &amp;"-"&amp;YEAR(LstMachines[[#This Row],[DateLivr]])</f>
        <v>05-2018</v>
      </c>
      <c r="Z282" s="258">
        <f>LstMachines[[#This Row],[Delivery]]+Rglt_à_HCME</f>
        <v>43295</v>
      </c>
      <c r="AA282" s="258" t="str">
        <f xml:space="preserve"> IF(MONTH(LstMachines[[#This Row],[DatePaie]])&lt;10,"0","") &amp; MONTH(LstMachines[[#This Row],[DatePaie]])&amp;"-"&amp;YEAR(LstMachines[[#This Row],[DatePaie]])</f>
        <v>07-2018</v>
      </c>
      <c r="AB282" s="258">
        <f>LstMachines[[#This Row],[DateLivr]]+1</f>
        <v>43236</v>
      </c>
      <c r="AC282" s="258" t="str">
        <f xml:space="preserve"> IF(MONTH(LstMachines[[#This Row],[Distrib]])&lt;10,"0","") &amp; MONTH(LstMachines[[#This Row],[Distrib]]) &amp; "-" &amp; YEAR(LstMachines[[#This Row],[Distrib]])</f>
        <v>05-2018</v>
      </c>
      <c r="AD282" s="258">
        <f>LstMachines[[#This Row],[DateLivr]]+Délai_Vente</f>
        <v>43355</v>
      </c>
      <c r="AE282" s="258" t="str">
        <f xml:space="preserve"> IF(MONTH(LstMachines[[#This Row],[VteESM]])&lt;10,"0","") &amp; MONTH(LstMachines[[#This Row],[VteESM]]) &amp; "-" &amp; YEAR(LstMachines[[#This Row],[VteESM]])</f>
        <v>09-2018</v>
      </c>
      <c r="AF282" s="258">
        <f>LstMachines[[#This Row],[DateLivr]]+Rglt_à_ESMTP</f>
        <v>43295</v>
      </c>
      <c r="AG282" s="258" t="str">
        <f xml:space="preserve"> IF(MONTH(LstMachines[[#This Row],[RgltDistrib]])&lt;10,"0","") &amp; MONTH(LstMachines[[#This Row],[RgltDistrib]]) &amp; "-" &amp; YEAR(LstMachines[[#This Row],[RgltDistrib]])</f>
        <v>07-2018</v>
      </c>
      <c r="AH282" s="258">
        <f>LstMachines[[#This Row],[VteESM]]+Rglt_à_ESMTP</f>
        <v>43415</v>
      </c>
      <c r="AI282" s="258" t="str">
        <f xml:space="preserve"> IF(MONTH(LstMachines[[#This Row],[RgltVteESM]])&lt;10,"0","") &amp; MONTH(LstMachines[[#This Row],[RgltVteESM]]) &amp; "-" &amp; YEAR(LstMachines[[#This Row],[RgltVteESM]])</f>
        <v>11-2018</v>
      </c>
      <c r="AJ282" s="140">
        <f>MONTH(LstMachines[[#This Row],[DatePaie]])</f>
        <v>7</v>
      </c>
      <c r="AK282" s="88" t="str">
        <f>FIXED(YEAR(LstMachines[[#This Row],[DatePaie]]),0,TRUE)</f>
        <v>2018</v>
      </c>
      <c r="AL282" s="270"/>
      <c r="AM282" s="416"/>
      <c r="AN282" s="92"/>
      <c r="AO282" s="92"/>
      <c r="AP282" s="92"/>
      <c r="AQ282" s="92"/>
      <c r="AR282" s="92"/>
      <c r="AS282" s="92"/>
      <c r="AT282" s="92"/>
      <c r="AU282" s="92"/>
      <c r="AV282" s="92"/>
      <c r="AW282" s="92"/>
      <c r="AX282" s="92"/>
      <c r="AY282" s="92"/>
      <c r="BA282" s="92"/>
      <c r="BC282" s="92"/>
      <c r="BD282" s="92"/>
      <c r="BE282" s="92"/>
    </row>
    <row r="283" spans="2:57" hidden="1">
      <c r="B283" s="243" t="s">
        <v>263</v>
      </c>
      <c r="C283" s="243" t="s">
        <v>40</v>
      </c>
      <c r="D283" s="245">
        <v>135</v>
      </c>
      <c r="E283" s="243" t="s">
        <v>228</v>
      </c>
      <c r="F283" s="89" t="s">
        <v>66</v>
      </c>
      <c r="G283" s="87" t="s">
        <v>106</v>
      </c>
      <c r="H283" s="246">
        <v>2</v>
      </c>
      <c r="I28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204</v>
      </c>
      <c r="J283" s="247">
        <v>43221</v>
      </c>
      <c r="K283" s="248" t="s">
        <v>461</v>
      </c>
      <c r="L283" s="398" t="s">
        <v>589</v>
      </c>
      <c r="M283" s="248"/>
      <c r="N283" s="249"/>
      <c r="O283" s="255">
        <f>MONTH(LstMachines[[#This Row],[Delivery]])</f>
        <v>5</v>
      </c>
      <c r="P283" s="256" t="str">
        <f>FIXED(YEAR(LstMachines[[#This Row],[Delivery]]),0,TRUE)</f>
        <v>2018</v>
      </c>
      <c r="Q283" s="250"/>
      <c r="R283" s="251"/>
      <c r="S283" s="249"/>
      <c r="T283" s="249"/>
      <c r="U283" s="249" t="s">
        <v>105</v>
      </c>
      <c r="V283" s="246"/>
      <c r="W283" s="248" t="s">
        <v>384</v>
      </c>
      <c r="X283" s="258">
        <f>LstMachines[[#This Row],[Delivery]]</f>
        <v>43221</v>
      </c>
      <c r="Y283" s="258" t="str">
        <f xml:space="preserve"> IF(MONTH(LstMachines[[#This Row],[DateLivr]])&lt;10,"0","") &amp; MONTH(LstMachines[[#This Row],[DateLivr]]) &amp;"-"&amp;YEAR(LstMachines[[#This Row],[DateLivr]])</f>
        <v>05-2018</v>
      </c>
      <c r="Z283" s="258">
        <f>LstMachines[[#This Row],[Delivery]]+Rglt_à_HCME</f>
        <v>43281</v>
      </c>
      <c r="AA283" s="258" t="str">
        <f xml:space="preserve"> IF(MONTH(LstMachines[[#This Row],[DatePaie]])&lt;10,"0","") &amp; MONTH(LstMachines[[#This Row],[DatePaie]])&amp;"-"&amp;YEAR(LstMachines[[#This Row],[DatePaie]])</f>
        <v>06-2018</v>
      </c>
      <c r="AB283" s="258">
        <f>LstMachines[[#This Row],[DateLivr]]+1</f>
        <v>43222</v>
      </c>
      <c r="AC283" s="258" t="str">
        <f xml:space="preserve"> IF(MONTH(LstMachines[[#This Row],[Distrib]])&lt;10,"0","") &amp; MONTH(LstMachines[[#This Row],[Distrib]]) &amp; "-" &amp; YEAR(LstMachines[[#This Row],[Distrib]])</f>
        <v>05-2018</v>
      </c>
      <c r="AD283" s="258">
        <f>LstMachines[[#This Row],[DateLivr]]+Délai_Vente</f>
        <v>43341</v>
      </c>
      <c r="AE283" s="258" t="str">
        <f xml:space="preserve"> IF(MONTH(LstMachines[[#This Row],[VteESM]])&lt;10,"0","") &amp; MONTH(LstMachines[[#This Row],[VteESM]]) &amp; "-" &amp; YEAR(LstMachines[[#This Row],[VteESM]])</f>
        <v>08-2018</v>
      </c>
      <c r="AF283" s="258">
        <f>LstMachines[[#This Row],[DateLivr]]+Rglt_à_ESMTP</f>
        <v>43281</v>
      </c>
      <c r="AG283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283" s="258">
        <f>LstMachines[[#This Row],[VteESM]]+Rglt_à_ESMTP</f>
        <v>43401</v>
      </c>
      <c r="AI283" s="258" t="str">
        <f xml:space="preserve"> IF(MONTH(LstMachines[[#This Row],[RgltVteESM]])&lt;10,"0","") &amp; MONTH(LstMachines[[#This Row],[RgltVteESM]]) &amp; "-" &amp; YEAR(LstMachines[[#This Row],[RgltVteESM]])</f>
        <v>10-2018</v>
      </c>
      <c r="AJ283" s="140">
        <f>MONTH(LstMachines[[#This Row],[DatePaie]])</f>
        <v>6</v>
      </c>
      <c r="AK283" s="88" t="str">
        <f>FIXED(YEAR(LstMachines[[#This Row],[DatePaie]]),0,TRUE)</f>
        <v>2018</v>
      </c>
      <c r="AL283" s="270"/>
      <c r="AM283" s="416"/>
      <c r="AN283" s="92"/>
      <c r="AO283" s="92"/>
      <c r="AP283" s="92"/>
      <c r="AQ283" s="92"/>
      <c r="AR283" s="92"/>
      <c r="AS283" s="92"/>
      <c r="AT283" s="92"/>
      <c r="AU283" s="92"/>
      <c r="AV283" s="92"/>
      <c r="AW283" s="92"/>
      <c r="AX283" s="92"/>
      <c r="AY283" s="92"/>
      <c r="BA283" s="92"/>
      <c r="BC283" s="92"/>
      <c r="BD283" s="92"/>
      <c r="BE283" s="92"/>
    </row>
    <row r="284" spans="2:57" hidden="1">
      <c r="B284" s="243" t="s">
        <v>262</v>
      </c>
      <c r="C284" s="243" t="s">
        <v>40</v>
      </c>
      <c r="D284" s="245">
        <v>135</v>
      </c>
      <c r="E284" s="243" t="s">
        <v>218</v>
      </c>
      <c r="F284" s="89" t="s">
        <v>66</v>
      </c>
      <c r="G284" s="87" t="s">
        <v>106</v>
      </c>
      <c r="H284" s="246">
        <v>2</v>
      </c>
      <c r="I28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204</v>
      </c>
      <c r="J284" s="247">
        <v>43205</v>
      </c>
      <c r="K284" s="248" t="s">
        <v>461</v>
      </c>
      <c r="L284" s="398" t="s">
        <v>589</v>
      </c>
      <c r="M284" s="248"/>
      <c r="N284" s="249"/>
      <c r="O284" s="255">
        <f>MONTH(LstMachines[[#This Row],[Delivery]])</f>
        <v>4</v>
      </c>
      <c r="P284" s="256" t="str">
        <f>FIXED(YEAR(LstMachines[[#This Row],[Delivery]]),0,TRUE)</f>
        <v>2018</v>
      </c>
      <c r="Q284" s="250"/>
      <c r="R284" s="251"/>
      <c r="S284" s="249"/>
      <c r="T284" s="249"/>
      <c r="U284" s="249" t="s">
        <v>105</v>
      </c>
      <c r="V284" s="246"/>
      <c r="W284" s="248" t="s">
        <v>384</v>
      </c>
      <c r="X284" s="258">
        <f>LstMachines[[#This Row],[Delivery]]</f>
        <v>43205</v>
      </c>
      <c r="Y284" s="258" t="str">
        <f xml:space="preserve"> IF(MONTH(LstMachines[[#This Row],[DateLivr]])&lt;10,"0","") &amp; MONTH(LstMachines[[#This Row],[DateLivr]]) &amp;"-"&amp;YEAR(LstMachines[[#This Row],[DateLivr]])</f>
        <v>04-2018</v>
      </c>
      <c r="Z284" s="258">
        <f>LstMachines[[#This Row],[Delivery]]+Rglt_à_HCME</f>
        <v>43265</v>
      </c>
      <c r="AA284" s="258" t="str">
        <f xml:space="preserve"> IF(MONTH(LstMachines[[#This Row],[DatePaie]])&lt;10,"0","") &amp; MONTH(LstMachines[[#This Row],[DatePaie]])&amp;"-"&amp;YEAR(LstMachines[[#This Row],[DatePaie]])</f>
        <v>06-2018</v>
      </c>
      <c r="AB284" s="258">
        <f>LstMachines[[#This Row],[DateLivr]]+1</f>
        <v>43206</v>
      </c>
      <c r="AC284" s="258" t="str">
        <f xml:space="preserve"> IF(MONTH(LstMachines[[#This Row],[Distrib]])&lt;10,"0","") &amp; MONTH(LstMachines[[#This Row],[Distrib]]) &amp; "-" &amp; YEAR(LstMachines[[#This Row],[Distrib]])</f>
        <v>04-2018</v>
      </c>
      <c r="AD284" s="258">
        <f>LstMachines[[#This Row],[DateLivr]]+Délai_Vente</f>
        <v>43325</v>
      </c>
      <c r="AE284" s="258" t="str">
        <f xml:space="preserve"> IF(MONTH(LstMachines[[#This Row],[VteESM]])&lt;10,"0","") &amp; MONTH(LstMachines[[#This Row],[VteESM]]) &amp; "-" &amp; YEAR(LstMachines[[#This Row],[VteESM]])</f>
        <v>08-2018</v>
      </c>
      <c r="AF284" s="258">
        <f>LstMachines[[#This Row],[DateLivr]]+Rglt_à_ESMTP</f>
        <v>43265</v>
      </c>
      <c r="AG284" s="258" t="str">
        <f xml:space="preserve"> IF(MONTH(LstMachines[[#This Row],[RgltDistrib]])&lt;10,"0","") &amp; MONTH(LstMachines[[#This Row],[RgltDistrib]]) &amp; "-" &amp; YEAR(LstMachines[[#This Row],[RgltDistrib]])</f>
        <v>06-2018</v>
      </c>
      <c r="AH284" s="258">
        <f>LstMachines[[#This Row],[VteESM]]+Rglt_à_ESMTP</f>
        <v>43385</v>
      </c>
      <c r="AI284" s="258" t="str">
        <f xml:space="preserve"> IF(MONTH(LstMachines[[#This Row],[RgltVteESM]])&lt;10,"0","") &amp; MONTH(LstMachines[[#This Row],[RgltVteESM]]) &amp; "-" &amp; YEAR(LstMachines[[#This Row],[RgltVteESM]])</f>
        <v>10-2018</v>
      </c>
      <c r="AJ284" s="140">
        <f>MONTH(LstMachines[[#This Row],[DatePaie]])</f>
        <v>6</v>
      </c>
      <c r="AK284" s="88" t="str">
        <f>FIXED(YEAR(LstMachines[[#This Row],[DatePaie]]),0,TRUE)</f>
        <v>2018</v>
      </c>
      <c r="AL284" s="270"/>
      <c r="AM284" s="414"/>
      <c r="AN284" s="92"/>
      <c r="AO284" s="92"/>
      <c r="AP284" s="92"/>
      <c r="AQ284" s="92"/>
      <c r="AR284" s="92"/>
      <c r="AS284" s="92"/>
      <c r="AT284" s="92"/>
      <c r="AU284" s="92"/>
      <c r="AV284" s="92"/>
      <c r="AW284" s="92"/>
      <c r="AX284" s="92"/>
      <c r="AY284" s="92"/>
      <c r="BA284" s="92"/>
      <c r="BC284" s="92"/>
      <c r="BD284" s="92"/>
      <c r="BE284" s="92"/>
    </row>
    <row r="285" spans="2:57" hidden="1">
      <c r="B285" s="243" t="s">
        <v>75</v>
      </c>
      <c r="C285" s="243" t="s">
        <v>35</v>
      </c>
      <c r="D285" s="245">
        <v>19</v>
      </c>
      <c r="E285" s="243" t="s">
        <v>180</v>
      </c>
      <c r="F285" s="89" t="s">
        <v>66</v>
      </c>
      <c r="G285" s="89" t="s">
        <v>106</v>
      </c>
      <c r="H285" s="246">
        <v>1</v>
      </c>
      <c r="I28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285" s="247">
        <v>43174</v>
      </c>
      <c r="K285" s="248" t="s">
        <v>461</v>
      </c>
      <c r="L285" s="398" t="s">
        <v>589</v>
      </c>
      <c r="M285" s="248"/>
      <c r="N285" s="249"/>
      <c r="O285" s="255">
        <f>MONTH(LstMachines[[#This Row],[Delivery]])</f>
        <v>3</v>
      </c>
      <c r="P285" s="256" t="str">
        <f>FIXED(YEAR(LstMachines[[#This Row],[Delivery]]),0,TRUE)</f>
        <v>2018</v>
      </c>
      <c r="Q285" s="250"/>
      <c r="R285" s="251"/>
      <c r="S285" s="249"/>
      <c r="T285" s="249"/>
      <c r="U285" s="249" t="s">
        <v>105</v>
      </c>
      <c r="V285" s="246"/>
      <c r="W285" s="248" t="s">
        <v>384</v>
      </c>
      <c r="X285" s="258">
        <f>LstMachines[[#This Row],[Delivery]]</f>
        <v>43174</v>
      </c>
      <c r="Y285" s="258" t="str">
        <f xml:space="preserve"> IF(MONTH(LstMachines[[#This Row],[DateLivr]])&lt;10,"0","") &amp; MONTH(LstMachines[[#This Row],[DateLivr]]) &amp;"-"&amp;YEAR(LstMachines[[#This Row],[DateLivr]])</f>
        <v>03-2018</v>
      </c>
      <c r="Z285" s="258">
        <f>LstMachines[[#This Row],[Delivery]]+Rglt_à_HCME</f>
        <v>43234</v>
      </c>
      <c r="AA285" s="258" t="str">
        <f xml:space="preserve"> IF(MONTH(LstMachines[[#This Row],[DatePaie]])&lt;10,"0","") &amp; MONTH(LstMachines[[#This Row],[DatePaie]])&amp;"-"&amp;YEAR(LstMachines[[#This Row],[DatePaie]])</f>
        <v>05-2018</v>
      </c>
      <c r="AB285" s="258">
        <f>LstMachines[[#This Row],[DateLivr]]+1</f>
        <v>43175</v>
      </c>
      <c r="AC285" s="258" t="str">
        <f xml:space="preserve"> IF(MONTH(LstMachines[[#This Row],[Distrib]])&lt;10,"0","") &amp; MONTH(LstMachines[[#This Row],[Distrib]]) &amp; "-" &amp; YEAR(LstMachines[[#This Row],[Distrib]])</f>
        <v>03-2018</v>
      </c>
      <c r="AD285" s="258">
        <f>LstMachines[[#This Row],[DateLivr]]+Délai_Vente</f>
        <v>43294</v>
      </c>
      <c r="AE285" s="258" t="str">
        <f xml:space="preserve"> IF(MONTH(LstMachines[[#This Row],[VteESM]])&lt;10,"0","") &amp; MONTH(LstMachines[[#This Row],[VteESM]]) &amp; "-" &amp; YEAR(LstMachines[[#This Row],[VteESM]])</f>
        <v>07-2018</v>
      </c>
      <c r="AF285" s="258">
        <f>LstMachines[[#This Row],[DateLivr]]+Rglt_à_ESMTP</f>
        <v>43234</v>
      </c>
      <c r="AG285" s="258" t="str">
        <f xml:space="preserve"> IF(MONTH(LstMachines[[#This Row],[RgltDistrib]])&lt;10,"0","") &amp; MONTH(LstMachines[[#This Row],[RgltDistrib]]) &amp; "-" &amp; YEAR(LstMachines[[#This Row],[RgltDistrib]])</f>
        <v>05-2018</v>
      </c>
      <c r="AH285" s="258">
        <f>LstMachines[[#This Row],[VteESM]]+Rglt_à_ESMTP</f>
        <v>43354</v>
      </c>
      <c r="AI285" s="258" t="str">
        <f xml:space="preserve"> IF(MONTH(LstMachines[[#This Row],[RgltVteESM]])&lt;10,"0","") &amp; MONTH(LstMachines[[#This Row],[RgltVteESM]]) &amp; "-" &amp; YEAR(LstMachines[[#This Row],[RgltVteESM]])</f>
        <v>09-2018</v>
      </c>
      <c r="AJ285" s="140">
        <f>MONTH(LstMachines[[#This Row],[DatePaie]])</f>
        <v>5</v>
      </c>
      <c r="AK285" s="88" t="str">
        <f>FIXED(YEAR(LstMachines[[#This Row],[DatePaie]]),0,TRUE)</f>
        <v>2018</v>
      </c>
      <c r="AL285" s="270"/>
      <c r="AM285" s="416"/>
      <c r="AN285" s="92"/>
      <c r="AO285" s="92"/>
      <c r="AP285" s="92"/>
      <c r="AQ285" s="92"/>
      <c r="AR285" s="92"/>
      <c r="AS285" s="92"/>
      <c r="AT285" s="92"/>
      <c r="AU285" s="92"/>
      <c r="AV285" s="92"/>
      <c r="AW285" s="92"/>
      <c r="AX285" s="92"/>
      <c r="AY285" s="92"/>
      <c r="BA285" s="92"/>
      <c r="BC285" s="92"/>
      <c r="BD285" s="92"/>
      <c r="BE285" s="92"/>
    </row>
    <row r="286" spans="2:57" hidden="1">
      <c r="B286" s="243" t="s">
        <v>75</v>
      </c>
      <c r="C286" s="243" t="s">
        <v>69</v>
      </c>
      <c r="D286" s="245">
        <v>55</v>
      </c>
      <c r="E286" s="243" t="s">
        <v>426</v>
      </c>
      <c r="F286" s="89" t="s">
        <v>66</v>
      </c>
      <c r="G286" s="89" t="s">
        <v>106</v>
      </c>
      <c r="H286" s="246">
        <v>2</v>
      </c>
      <c r="I28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86</v>
      </c>
      <c r="J286" s="247">
        <v>43146</v>
      </c>
      <c r="K286" s="248" t="s">
        <v>461</v>
      </c>
      <c r="L286" s="398" t="s">
        <v>589</v>
      </c>
      <c r="M286" s="248"/>
      <c r="N286" s="249"/>
      <c r="O286" s="255">
        <f>MONTH(LstMachines[[#This Row],[Delivery]])</f>
        <v>2</v>
      </c>
      <c r="P286" s="256" t="str">
        <f>FIXED(YEAR(LstMachines[[#This Row],[Delivery]]),0,TRUE)</f>
        <v>2018</v>
      </c>
      <c r="Q286" s="250"/>
      <c r="R286" s="251"/>
      <c r="S286" s="249"/>
      <c r="T286" s="249"/>
      <c r="U286" s="249" t="s">
        <v>105</v>
      </c>
      <c r="V286" s="246"/>
      <c r="W286" s="248" t="s">
        <v>384</v>
      </c>
      <c r="X286" s="258">
        <f>LstMachines[[#This Row],[Delivery]]</f>
        <v>43146</v>
      </c>
      <c r="Y286" s="258" t="str">
        <f xml:space="preserve"> IF(MONTH(LstMachines[[#This Row],[DateLivr]])&lt;10,"0","") &amp; MONTH(LstMachines[[#This Row],[DateLivr]]) &amp;"-"&amp;YEAR(LstMachines[[#This Row],[DateLivr]])</f>
        <v>02-2018</v>
      </c>
      <c r="Z286" s="258">
        <f>LstMachines[[#This Row],[Delivery]]+Rglt_à_HCME</f>
        <v>43206</v>
      </c>
      <c r="AA286" s="258" t="str">
        <f xml:space="preserve"> IF(MONTH(LstMachines[[#This Row],[DatePaie]])&lt;10,"0","") &amp; MONTH(LstMachines[[#This Row],[DatePaie]])&amp;"-"&amp;YEAR(LstMachines[[#This Row],[DatePaie]])</f>
        <v>04-2018</v>
      </c>
      <c r="AB286" s="258">
        <f>LstMachines[[#This Row],[DateLivr]]+1</f>
        <v>43147</v>
      </c>
      <c r="AC286" s="258" t="str">
        <f xml:space="preserve"> IF(MONTH(LstMachines[[#This Row],[Distrib]])&lt;10,"0","") &amp; MONTH(LstMachines[[#This Row],[Distrib]]) &amp; "-" &amp; YEAR(LstMachines[[#This Row],[Distrib]])</f>
        <v>02-2018</v>
      </c>
      <c r="AD286" s="258">
        <f>LstMachines[[#This Row],[DateLivr]]+Délai_Vente</f>
        <v>43266</v>
      </c>
      <c r="AE286" s="258" t="str">
        <f xml:space="preserve"> IF(MONTH(LstMachines[[#This Row],[VteESM]])&lt;10,"0","") &amp; MONTH(LstMachines[[#This Row],[VteESM]]) &amp; "-" &amp; YEAR(LstMachines[[#This Row],[VteESM]])</f>
        <v>06-2018</v>
      </c>
      <c r="AF286" s="258">
        <f>LstMachines[[#This Row],[DateLivr]]+Rglt_à_ESMTP</f>
        <v>43206</v>
      </c>
      <c r="AG286" s="258" t="str">
        <f xml:space="preserve"> IF(MONTH(LstMachines[[#This Row],[RgltDistrib]])&lt;10,"0","") &amp; MONTH(LstMachines[[#This Row],[RgltDistrib]]) &amp; "-" &amp; YEAR(LstMachines[[#This Row],[RgltDistrib]])</f>
        <v>04-2018</v>
      </c>
      <c r="AH286" s="258">
        <f>LstMachines[[#This Row],[VteESM]]+Rglt_à_ESMTP</f>
        <v>43326</v>
      </c>
      <c r="AI286" s="258" t="str">
        <f xml:space="preserve"> IF(MONTH(LstMachines[[#This Row],[RgltVteESM]])&lt;10,"0","") &amp; MONTH(LstMachines[[#This Row],[RgltVteESM]]) &amp; "-" &amp; YEAR(LstMachines[[#This Row],[RgltVteESM]])</f>
        <v>08-2018</v>
      </c>
      <c r="AJ286" s="140">
        <f>MONTH(LstMachines[[#This Row],[DatePaie]])</f>
        <v>4</v>
      </c>
      <c r="AK286" s="88" t="str">
        <f>FIXED(YEAR(LstMachines[[#This Row],[DatePaie]]),0,TRUE)</f>
        <v>2018</v>
      </c>
      <c r="AL286" s="270"/>
      <c r="AM286" s="414"/>
      <c r="AN286" s="92"/>
      <c r="AO286" s="92"/>
      <c r="AP286" s="92"/>
      <c r="AQ286" s="92"/>
      <c r="AR286" s="92"/>
      <c r="AS286" s="92"/>
      <c r="AT286" s="92"/>
      <c r="AU286" s="92"/>
      <c r="AV286" s="92"/>
      <c r="AW286" s="92"/>
      <c r="AX286" s="92"/>
      <c r="AY286" s="92"/>
      <c r="BA286" s="92"/>
      <c r="BC286" s="92"/>
      <c r="BD286" s="92"/>
      <c r="BE286" s="92"/>
    </row>
    <row r="287" spans="2:57" hidden="1">
      <c r="B287" s="243" t="s">
        <v>75</v>
      </c>
      <c r="C287" s="243" t="s">
        <v>35</v>
      </c>
      <c r="D287" s="245">
        <v>19</v>
      </c>
      <c r="E287" s="243" t="s">
        <v>178</v>
      </c>
      <c r="F287" s="89" t="s">
        <v>66</v>
      </c>
      <c r="G287" s="89" t="s">
        <v>106</v>
      </c>
      <c r="H287" s="246">
        <v>1</v>
      </c>
      <c r="I28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287" s="247">
        <v>43115</v>
      </c>
      <c r="K287" s="248" t="s">
        <v>461</v>
      </c>
      <c r="L287" s="398" t="s">
        <v>589</v>
      </c>
      <c r="M287" s="248"/>
      <c r="N287" s="249"/>
      <c r="O287" s="255">
        <f>MONTH(LstMachines[[#This Row],[Delivery]])</f>
        <v>1</v>
      </c>
      <c r="P287" s="256" t="str">
        <f>FIXED(YEAR(LstMachines[[#This Row],[Delivery]]),0,TRUE)</f>
        <v>2018</v>
      </c>
      <c r="Q287" s="250"/>
      <c r="R287" s="251"/>
      <c r="S287" s="249"/>
      <c r="T287" s="249"/>
      <c r="U287" s="249" t="s">
        <v>105</v>
      </c>
      <c r="V287" s="246"/>
      <c r="W287" s="248" t="s">
        <v>384</v>
      </c>
      <c r="X287" s="258">
        <f>LstMachines[[#This Row],[Delivery]]</f>
        <v>43115</v>
      </c>
      <c r="Y287" s="258" t="str">
        <f xml:space="preserve"> IF(MONTH(LstMachines[[#This Row],[DateLivr]])&lt;10,"0","") &amp; MONTH(LstMachines[[#This Row],[DateLivr]]) &amp;"-"&amp;YEAR(LstMachines[[#This Row],[DateLivr]])</f>
        <v>01-2018</v>
      </c>
      <c r="Z287" s="258">
        <f>LstMachines[[#This Row],[Delivery]]+Rglt_à_HCME</f>
        <v>43175</v>
      </c>
      <c r="AA287" s="258" t="str">
        <f xml:space="preserve"> IF(MONTH(LstMachines[[#This Row],[DatePaie]])&lt;10,"0","") &amp; MONTH(LstMachines[[#This Row],[DatePaie]])&amp;"-"&amp;YEAR(LstMachines[[#This Row],[DatePaie]])</f>
        <v>03-2018</v>
      </c>
      <c r="AB287" s="258">
        <f>LstMachines[[#This Row],[DateLivr]]+1</f>
        <v>43116</v>
      </c>
      <c r="AC287" s="258" t="str">
        <f xml:space="preserve"> IF(MONTH(LstMachines[[#This Row],[Distrib]])&lt;10,"0","") &amp; MONTH(LstMachines[[#This Row],[Distrib]]) &amp; "-" &amp; YEAR(LstMachines[[#This Row],[Distrib]])</f>
        <v>01-2018</v>
      </c>
      <c r="AD287" s="258">
        <f>LstMachines[[#This Row],[DateLivr]]+Délai_Vente</f>
        <v>43235</v>
      </c>
      <c r="AE287" s="258" t="str">
        <f xml:space="preserve"> IF(MONTH(LstMachines[[#This Row],[VteESM]])&lt;10,"0","") &amp; MONTH(LstMachines[[#This Row],[VteESM]]) &amp; "-" &amp; YEAR(LstMachines[[#This Row],[VteESM]])</f>
        <v>05-2018</v>
      </c>
      <c r="AF287" s="258">
        <f>LstMachines[[#This Row],[DateLivr]]+Rglt_à_ESMTP</f>
        <v>43175</v>
      </c>
      <c r="AG287" s="258" t="str">
        <f xml:space="preserve"> IF(MONTH(LstMachines[[#This Row],[RgltDistrib]])&lt;10,"0","") &amp; MONTH(LstMachines[[#This Row],[RgltDistrib]]) &amp; "-" &amp; YEAR(LstMachines[[#This Row],[RgltDistrib]])</f>
        <v>03-2018</v>
      </c>
      <c r="AH287" s="258">
        <f>LstMachines[[#This Row],[VteESM]]+Rglt_à_ESMTP</f>
        <v>43295</v>
      </c>
      <c r="AI287" s="258" t="str">
        <f xml:space="preserve"> IF(MONTH(LstMachines[[#This Row],[RgltVteESM]])&lt;10,"0","") &amp; MONTH(LstMachines[[#This Row],[RgltVteESM]]) &amp; "-" &amp; YEAR(LstMachines[[#This Row],[RgltVteESM]])</f>
        <v>07-2018</v>
      </c>
      <c r="AJ287" s="140">
        <f>MONTH(LstMachines[[#This Row],[DatePaie]])</f>
        <v>3</v>
      </c>
      <c r="AK287" s="88" t="str">
        <f>FIXED(YEAR(LstMachines[[#This Row],[DatePaie]]),0,TRUE)</f>
        <v>2018</v>
      </c>
      <c r="AL287" s="270"/>
      <c r="AM287" s="414"/>
      <c r="AN287" s="92"/>
      <c r="AO287" s="92"/>
      <c r="AP287" s="92"/>
      <c r="AQ287" s="92"/>
      <c r="AR287" s="92"/>
      <c r="AS287" s="92"/>
      <c r="AT287" s="92"/>
      <c r="AU287" s="92"/>
      <c r="AV287" s="92"/>
      <c r="AW287" s="92"/>
      <c r="AX287" s="92"/>
      <c r="AY287" s="92"/>
      <c r="BA287" s="92"/>
      <c r="BC287" s="92"/>
      <c r="BD287" s="92"/>
      <c r="BE287" s="92"/>
    </row>
    <row r="288" spans="2:57" hidden="1">
      <c r="B288" s="243" t="s">
        <v>75</v>
      </c>
      <c r="C288" s="243" t="s">
        <v>36</v>
      </c>
      <c r="D288" s="245">
        <v>26</v>
      </c>
      <c r="E288" s="86"/>
      <c r="F288" s="89" t="s">
        <v>67</v>
      </c>
      <c r="G288" s="87" t="s">
        <v>107</v>
      </c>
      <c r="H288" s="89">
        <v>1</v>
      </c>
      <c r="I288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288" s="88">
        <v>43327</v>
      </c>
      <c r="K288" s="99" t="s">
        <v>461</v>
      </c>
      <c r="L288" s="244" t="s">
        <v>390</v>
      </c>
      <c r="M288" s="248"/>
      <c r="N288" s="249"/>
      <c r="O288" s="270">
        <f>MONTH(LstMachines[[#This Row],[Delivery]])</f>
        <v>8</v>
      </c>
      <c r="P288" s="247" t="str">
        <f>FIXED(YEAR(LstMachines[[#This Row],[Delivery]]),0,TRUE)</f>
        <v>2018</v>
      </c>
      <c r="Q288" s="250"/>
      <c r="R288" s="251"/>
      <c r="S288" s="249"/>
      <c r="T288" s="249"/>
      <c r="U288" s="249" t="s">
        <v>105</v>
      </c>
      <c r="V288" s="246"/>
      <c r="W288" s="248" t="s">
        <v>384</v>
      </c>
      <c r="X288" s="249">
        <f>LstMachines[[#This Row],[Delivery]]</f>
        <v>43327</v>
      </c>
      <c r="Y288" s="271" t="str">
        <f xml:space="preserve"> IF(MONTH(LstMachines[[#This Row],[DateLivr]])&lt;10,"0","") &amp; MONTH(LstMachines[[#This Row],[DateLivr]]) &amp;"-"&amp;YEAR(LstMachines[[#This Row],[DateLivr]])</f>
        <v>08-2018</v>
      </c>
      <c r="Z288" s="247">
        <f>LstMachines[[#This Row],[Delivery]]+Rglt_à_HCME</f>
        <v>43387</v>
      </c>
      <c r="AA288" s="271" t="str">
        <f xml:space="preserve"> IF(MONTH(LstMachines[[#This Row],[DatePaie]])&lt;10,"0","") &amp; MONTH(LstMachines[[#This Row],[DatePaie]])&amp;"-"&amp;YEAR(LstMachines[[#This Row],[DatePaie]])</f>
        <v>10-2018</v>
      </c>
      <c r="AB288" s="271">
        <f>LstMachines[[#This Row],[DateLivr]]+1</f>
        <v>43328</v>
      </c>
      <c r="AC288" s="271" t="str">
        <f xml:space="preserve"> IF(MONTH(LstMachines[[#This Row],[Distrib]])&lt;10,"0","") &amp; MONTH(LstMachines[[#This Row],[Distrib]]) &amp; "-" &amp; YEAR(LstMachines[[#This Row],[Distrib]])</f>
        <v>08-2018</v>
      </c>
      <c r="AD288" s="271">
        <f>LstMachines[[#This Row],[DateLivr]]+Délai_Vente</f>
        <v>43447</v>
      </c>
      <c r="AE288" s="271" t="str">
        <f xml:space="preserve"> IF(MONTH(LstMachines[[#This Row],[VteESM]])&lt;10,"0","") &amp; MONTH(LstMachines[[#This Row],[VteESM]]) &amp; "-" &amp; YEAR(LstMachines[[#This Row],[VteESM]])</f>
        <v>12-2018</v>
      </c>
      <c r="AF288" s="271">
        <f>LstMachines[[#This Row],[DateLivr]]+Rglt_à_ESMTP</f>
        <v>43387</v>
      </c>
      <c r="AG288" s="271" t="str">
        <f xml:space="preserve"> IF(MONTH(LstMachines[[#This Row],[RgltDistrib]])&lt;10,"0","") &amp; MONTH(LstMachines[[#This Row],[RgltDistrib]]) &amp; "-" &amp; YEAR(LstMachines[[#This Row],[RgltDistrib]])</f>
        <v>10-2018</v>
      </c>
      <c r="AH288" s="271">
        <f>LstMachines[[#This Row],[VteESM]]+Rglt_à_ESMTP</f>
        <v>43507</v>
      </c>
      <c r="AI288" s="271" t="str">
        <f xml:space="preserve"> IF(MONTH(LstMachines[[#This Row],[RgltVteESM]])&lt;10,"0","") &amp; MONTH(LstMachines[[#This Row],[RgltVteESM]]) &amp; "-" &amp; YEAR(LstMachines[[#This Row],[RgltVteESM]])</f>
        <v>02-2019</v>
      </c>
      <c r="AJ288" s="270">
        <f>MONTH(LstMachines[[#This Row],[DatePaie]])</f>
        <v>10</v>
      </c>
      <c r="AK288" s="247" t="str">
        <f>FIXED(YEAR(LstMachines[[#This Row],[DatePaie]]),0,TRUE)</f>
        <v>2018</v>
      </c>
      <c r="AL288" s="270"/>
      <c r="AM288" s="414"/>
      <c r="AN288" s="92"/>
      <c r="AO288" s="92"/>
      <c r="AP288" s="92"/>
      <c r="AQ288" s="92"/>
      <c r="AR288" s="92"/>
      <c r="AS288" s="92"/>
      <c r="AT288" s="92"/>
      <c r="AU288" s="92"/>
      <c r="AV288" s="92"/>
      <c r="AW288" s="92"/>
      <c r="AX288" s="92"/>
      <c r="AY288" s="92"/>
      <c r="BA288" s="92"/>
      <c r="BC288" s="92"/>
      <c r="BD288" s="92"/>
      <c r="BE288" s="92"/>
    </row>
    <row r="289" spans="2:57" hidden="1">
      <c r="B289" s="243" t="s">
        <v>75</v>
      </c>
      <c r="C289" s="243" t="s">
        <v>69</v>
      </c>
      <c r="D289" s="245">
        <v>55</v>
      </c>
      <c r="E289" s="86"/>
      <c r="F289" s="89" t="s">
        <v>67</v>
      </c>
      <c r="G289" s="87" t="s">
        <v>107</v>
      </c>
      <c r="H289" s="89">
        <v>1</v>
      </c>
      <c r="I289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43</v>
      </c>
      <c r="J289" s="88">
        <v>43327</v>
      </c>
      <c r="K289" s="99" t="s">
        <v>461</v>
      </c>
      <c r="L289" s="244" t="s">
        <v>390</v>
      </c>
      <c r="M289" s="248"/>
      <c r="N289" s="249"/>
      <c r="O289" s="270">
        <f>MONTH(LstMachines[[#This Row],[Delivery]])</f>
        <v>8</v>
      </c>
      <c r="P289" s="247" t="str">
        <f>FIXED(YEAR(LstMachines[[#This Row],[Delivery]]),0,TRUE)</f>
        <v>2018</v>
      </c>
      <c r="Q289" s="250"/>
      <c r="R289" s="251"/>
      <c r="S289" s="249"/>
      <c r="T289" s="249"/>
      <c r="U289" s="249" t="s">
        <v>105</v>
      </c>
      <c r="V289" s="246"/>
      <c r="W289" s="248" t="s">
        <v>384</v>
      </c>
      <c r="X289" s="249">
        <f>LstMachines[[#This Row],[Delivery]]</f>
        <v>43327</v>
      </c>
      <c r="Y289" s="271" t="str">
        <f xml:space="preserve"> IF(MONTH(LstMachines[[#This Row],[DateLivr]])&lt;10,"0","") &amp; MONTH(LstMachines[[#This Row],[DateLivr]]) &amp;"-"&amp;YEAR(LstMachines[[#This Row],[DateLivr]])</f>
        <v>08-2018</v>
      </c>
      <c r="Z289" s="247">
        <f>LstMachines[[#This Row],[Delivery]]+Rglt_à_HCME</f>
        <v>43387</v>
      </c>
      <c r="AA289" s="271" t="str">
        <f xml:space="preserve"> IF(MONTH(LstMachines[[#This Row],[DatePaie]])&lt;10,"0","") &amp; MONTH(LstMachines[[#This Row],[DatePaie]])&amp;"-"&amp;YEAR(LstMachines[[#This Row],[DatePaie]])</f>
        <v>10-2018</v>
      </c>
      <c r="AB289" s="271">
        <f>LstMachines[[#This Row],[DateLivr]]+1</f>
        <v>43328</v>
      </c>
      <c r="AC289" s="271" t="str">
        <f xml:space="preserve"> IF(MONTH(LstMachines[[#This Row],[Distrib]])&lt;10,"0","") &amp; MONTH(LstMachines[[#This Row],[Distrib]]) &amp; "-" &amp; YEAR(LstMachines[[#This Row],[Distrib]])</f>
        <v>08-2018</v>
      </c>
      <c r="AD289" s="271">
        <f>LstMachines[[#This Row],[DateLivr]]+Délai_Vente</f>
        <v>43447</v>
      </c>
      <c r="AE289" s="271" t="str">
        <f xml:space="preserve"> IF(MONTH(LstMachines[[#This Row],[VteESM]])&lt;10,"0","") &amp; MONTH(LstMachines[[#This Row],[VteESM]]) &amp; "-" &amp; YEAR(LstMachines[[#This Row],[VteESM]])</f>
        <v>12-2018</v>
      </c>
      <c r="AF289" s="271">
        <f>LstMachines[[#This Row],[DateLivr]]+Rglt_à_ESMTP</f>
        <v>43387</v>
      </c>
      <c r="AG289" s="271" t="str">
        <f xml:space="preserve"> IF(MONTH(LstMachines[[#This Row],[RgltDistrib]])&lt;10,"0","") &amp; MONTH(LstMachines[[#This Row],[RgltDistrib]]) &amp; "-" &amp; YEAR(LstMachines[[#This Row],[RgltDistrib]])</f>
        <v>10-2018</v>
      </c>
      <c r="AH289" s="271">
        <f>LstMachines[[#This Row],[VteESM]]+Rglt_à_ESMTP</f>
        <v>43507</v>
      </c>
      <c r="AI289" s="271" t="str">
        <f xml:space="preserve"> IF(MONTH(LstMachines[[#This Row],[RgltVteESM]])&lt;10,"0","") &amp; MONTH(LstMachines[[#This Row],[RgltVteESM]]) &amp; "-" &amp; YEAR(LstMachines[[#This Row],[RgltVteESM]])</f>
        <v>02-2019</v>
      </c>
      <c r="AJ289" s="270">
        <f>MONTH(LstMachines[[#This Row],[DatePaie]])</f>
        <v>10</v>
      </c>
      <c r="AK289" s="247" t="str">
        <f>FIXED(YEAR(LstMachines[[#This Row],[DatePaie]]),0,TRUE)</f>
        <v>2018</v>
      </c>
      <c r="AL289" s="270"/>
      <c r="AM289" s="414"/>
      <c r="AN289" s="92"/>
      <c r="AO289" s="92"/>
      <c r="AP289" s="92"/>
      <c r="AQ289" s="92"/>
      <c r="AR289" s="92"/>
      <c r="AS289" s="92"/>
      <c r="AT289" s="92"/>
      <c r="AU289" s="92"/>
      <c r="AV289" s="92"/>
      <c r="AW289" s="92"/>
      <c r="AX289" s="92"/>
      <c r="AY289" s="92"/>
      <c r="BA289" s="92"/>
      <c r="BC289" s="92"/>
      <c r="BD289" s="92"/>
      <c r="BE289" s="92"/>
    </row>
    <row r="290" spans="2:57" hidden="1">
      <c r="B290" s="104" t="s">
        <v>75</v>
      </c>
      <c r="C290" s="104" t="s">
        <v>35</v>
      </c>
      <c r="D290" s="87">
        <v>19</v>
      </c>
      <c r="E290" s="86"/>
      <c r="F290" s="87" t="s">
        <v>67</v>
      </c>
      <c r="G290" s="87" t="s">
        <v>107</v>
      </c>
      <c r="H290" s="89">
        <v>5</v>
      </c>
      <c r="I29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90</v>
      </c>
      <c r="J290" s="88">
        <v>43327</v>
      </c>
      <c r="K290" s="99" t="s">
        <v>461</v>
      </c>
      <c r="L290" s="85" t="s">
        <v>390</v>
      </c>
      <c r="M290" s="99"/>
      <c r="N290" s="90"/>
      <c r="O290" s="255">
        <f>MONTH(LstMachines[[#This Row],[Delivery]])</f>
        <v>8</v>
      </c>
      <c r="P290" s="256" t="str">
        <f>FIXED(YEAR(LstMachines[[#This Row],[Delivery]]),0,TRUE)</f>
        <v>2018</v>
      </c>
      <c r="Q290" s="73"/>
      <c r="R290" s="93"/>
      <c r="S290" s="90"/>
      <c r="T290" s="90"/>
      <c r="U290" s="90" t="s">
        <v>105</v>
      </c>
      <c r="V290" s="72"/>
      <c r="W290" s="99" t="s">
        <v>384</v>
      </c>
      <c r="X290" s="258">
        <f>LstMachines[[#This Row],[Delivery]]</f>
        <v>43327</v>
      </c>
      <c r="Y290" s="258" t="str">
        <f xml:space="preserve"> IF(MONTH(LstMachines[[#This Row],[DateLivr]])&lt;10,"0","") &amp; MONTH(LstMachines[[#This Row],[DateLivr]]) &amp;"-"&amp;YEAR(LstMachines[[#This Row],[DateLivr]])</f>
        <v>08-2018</v>
      </c>
      <c r="Z290" s="258">
        <f>LstMachines[[#This Row],[Delivery]]+Rglt_à_HCME</f>
        <v>43387</v>
      </c>
      <c r="AA290" s="258" t="str">
        <f xml:space="preserve"> IF(MONTH(LstMachines[[#This Row],[DatePaie]])&lt;10,"0","") &amp; MONTH(LstMachines[[#This Row],[DatePaie]])&amp;"-"&amp;YEAR(LstMachines[[#This Row],[DatePaie]])</f>
        <v>10-2018</v>
      </c>
      <c r="AB290" s="258">
        <f>LstMachines[[#This Row],[DateLivr]]+1</f>
        <v>43328</v>
      </c>
      <c r="AC290" s="258" t="str">
        <f xml:space="preserve"> IF(MONTH(LstMachines[[#This Row],[Distrib]])&lt;10,"0","") &amp; MONTH(LstMachines[[#This Row],[Distrib]]) &amp; "-" &amp; YEAR(LstMachines[[#This Row],[Distrib]])</f>
        <v>08-2018</v>
      </c>
      <c r="AD290" s="258">
        <f>LstMachines[[#This Row],[DateLivr]]+Délai_Vente</f>
        <v>43447</v>
      </c>
      <c r="AE290" s="258" t="str">
        <f xml:space="preserve"> IF(MONTH(LstMachines[[#This Row],[VteESM]])&lt;10,"0","") &amp; MONTH(LstMachines[[#This Row],[VteESM]]) &amp; "-" &amp; YEAR(LstMachines[[#This Row],[VteESM]])</f>
        <v>12-2018</v>
      </c>
      <c r="AF290" s="258">
        <f>LstMachines[[#This Row],[DateLivr]]+Rglt_à_ESMTP</f>
        <v>43387</v>
      </c>
      <c r="AG290" s="258" t="str">
        <f xml:space="preserve"> IF(MONTH(LstMachines[[#This Row],[RgltDistrib]])&lt;10,"0","") &amp; MONTH(LstMachines[[#This Row],[RgltDistrib]]) &amp; "-" &amp; YEAR(LstMachines[[#This Row],[RgltDistrib]])</f>
        <v>10-2018</v>
      </c>
      <c r="AH290" s="258">
        <f>LstMachines[[#This Row],[VteESM]]+Rglt_à_ESMTP</f>
        <v>43507</v>
      </c>
      <c r="AI290" s="258" t="str">
        <f xml:space="preserve"> IF(MONTH(LstMachines[[#This Row],[RgltVteESM]])&lt;10,"0","") &amp; MONTH(LstMachines[[#This Row],[RgltVteESM]]) &amp; "-" &amp; YEAR(LstMachines[[#This Row],[RgltVteESM]])</f>
        <v>02-2019</v>
      </c>
      <c r="AJ290" s="140">
        <f>MONTH(LstMachines[[#This Row],[DatePaie]])</f>
        <v>10</v>
      </c>
      <c r="AK290" s="88" t="str">
        <f>FIXED(YEAR(LstMachines[[#This Row],[DatePaie]]),0,TRUE)</f>
        <v>2018</v>
      </c>
      <c r="AL290" s="140"/>
      <c r="AM290" s="414"/>
      <c r="AN290" s="92"/>
      <c r="AO290" s="92"/>
      <c r="AP290" s="92"/>
      <c r="AQ290" s="92"/>
      <c r="AR290" s="92"/>
      <c r="AS290" s="92"/>
      <c r="AT290" s="92"/>
      <c r="AU290" s="92"/>
      <c r="AV290" s="92"/>
      <c r="AW290" s="92"/>
      <c r="AX290" s="92"/>
      <c r="AY290" s="92"/>
      <c r="BA290" s="92"/>
      <c r="BC290" s="92"/>
      <c r="BD290" s="92"/>
      <c r="BE290" s="92"/>
    </row>
    <row r="291" spans="2:57" hidden="1">
      <c r="B291" s="104" t="s">
        <v>262</v>
      </c>
      <c r="C291" s="104" t="s">
        <v>39</v>
      </c>
      <c r="D291" s="87">
        <v>85</v>
      </c>
      <c r="E291" s="86"/>
      <c r="F291" s="87" t="s">
        <v>67</v>
      </c>
      <c r="G291" s="87" t="s">
        <v>107</v>
      </c>
      <c r="H291" s="89">
        <v>4</v>
      </c>
      <c r="I29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256</v>
      </c>
      <c r="J291" s="88">
        <v>43327</v>
      </c>
      <c r="K291" s="99" t="s">
        <v>461</v>
      </c>
      <c r="L291" s="85" t="s">
        <v>390</v>
      </c>
      <c r="M291" s="99"/>
      <c r="N291" s="90"/>
      <c r="O291" s="255">
        <f>MONTH(LstMachines[[#This Row],[Delivery]])</f>
        <v>8</v>
      </c>
      <c r="P291" s="256" t="str">
        <f>FIXED(YEAR(LstMachines[[#This Row],[Delivery]]),0,TRUE)</f>
        <v>2018</v>
      </c>
      <c r="Q291" s="73"/>
      <c r="R291" s="93"/>
      <c r="S291" s="90"/>
      <c r="T291" s="90"/>
      <c r="U291" s="90" t="s">
        <v>105</v>
      </c>
      <c r="V291" s="72"/>
      <c r="W291" s="99" t="s">
        <v>384</v>
      </c>
      <c r="X291" s="258">
        <f>LstMachines[[#This Row],[Delivery]]</f>
        <v>43327</v>
      </c>
      <c r="Y291" s="258" t="str">
        <f xml:space="preserve"> IF(MONTH(LstMachines[[#This Row],[DateLivr]])&lt;10,"0","") &amp; MONTH(LstMachines[[#This Row],[DateLivr]]) &amp;"-"&amp;YEAR(LstMachines[[#This Row],[DateLivr]])</f>
        <v>08-2018</v>
      </c>
      <c r="Z291" s="258">
        <f>LstMachines[[#This Row],[Delivery]]+Rglt_à_HCME</f>
        <v>43387</v>
      </c>
      <c r="AA291" s="258" t="str">
        <f xml:space="preserve"> IF(MONTH(LstMachines[[#This Row],[DatePaie]])&lt;10,"0","") &amp; MONTH(LstMachines[[#This Row],[DatePaie]])&amp;"-"&amp;YEAR(LstMachines[[#This Row],[DatePaie]])</f>
        <v>10-2018</v>
      </c>
      <c r="AB291" s="258">
        <f>LstMachines[[#This Row],[DateLivr]]+1</f>
        <v>43328</v>
      </c>
      <c r="AC291" s="258" t="str">
        <f xml:space="preserve"> IF(MONTH(LstMachines[[#This Row],[Distrib]])&lt;10,"0","") &amp; MONTH(LstMachines[[#This Row],[Distrib]]) &amp; "-" &amp; YEAR(LstMachines[[#This Row],[Distrib]])</f>
        <v>08-2018</v>
      </c>
      <c r="AD291" s="258">
        <f>LstMachines[[#This Row],[DateLivr]]+Délai_Vente</f>
        <v>43447</v>
      </c>
      <c r="AE291" s="258" t="str">
        <f xml:space="preserve"> IF(MONTH(LstMachines[[#This Row],[VteESM]])&lt;10,"0","") &amp; MONTH(LstMachines[[#This Row],[VteESM]]) &amp; "-" &amp; YEAR(LstMachines[[#This Row],[VteESM]])</f>
        <v>12-2018</v>
      </c>
      <c r="AF291" s="258">
        <f>LstMachines[[#This Row],[DateLivr]]+Rglt_à_ESMTP</f>
        <v>43387</v>
      </c>
      <c r="AG291" s="258" t="str">
        <f xml:space="preserve"> IF(MONTH(LstMachines[[#This Row],[RgltDistrib]])&lt;10,"0","") &amp; MONTH(LstMachines[[#This Row],[RgltDistrib]]) &amp; "-" &amp; YEAR(LstMachines[[#This Row],[RgltDistrib]])</f>
        <v>10-2018</v>
      </c>
      <c r="AH291" s="258">
        <f>LstMachines[[#This Row],[VteESM]]+Rglt_à_ESMTP</f>
        <v>43507</v>
      </c>
      <c r="AI291" s="258" t="str">
        <f xml:space="preserve"> IF(MONTH(LstMachines[[#This Row],[RgltVteESM]])&lt;10,"0","") &amp; MONTH(LstMachines[[#This Row],[RgltVteESM]]) &amp; "-" &amp; YEAR(LstMachines[[#This Row],[RgltVteESM]])</f>
        <v>02-2019</v>
      </c>
      <c r="AJ291" s="140">
        <f>MONTH(LstMachines[[#This Row],[DatePaie]])</f>
        <v>10</v>
      </c>
      <c r="AK291" s="88" t="str">
        <f>FIXED(YEAR(LstMachines[[#This Row],[DatePaie]]),0,TRUE)</f>
        <v>2018</v>
      </c>
      <c r="AL291" s="140"/>
      <c r="AM291" s="414"/>
      <c r="AN291" s="92"/>
      <c r="AO291" s="92"/>
      <c r="AP291" s="92"/>
      <c r="AQ291" s="92"/>
      <c r="AR291" s="92"/>
      <c r="AS291" s="92"/>
      <c r="AT291" s="92"/>
      <c r="AU291" s="92"/>
      <c r="AV291" s="92"/>
      <c r="AW291" s="92"/>
      <c r="AX291" s="92"/>
      <c r="AY291" s="92"/>
      <c r="BA291" s="92"/>
      <c r="BC291" s="92"/>
      <c r="BD291" s="92"/>
      <c r="BE291" s="92"/>
    </row>
    <row r="292" spans="2:57" hidden="1">
      <c r="B292" s="194" t="s">
        <v>75</v>
      </c>
      <c r="C292" s="194" t="s">
        <v>35</v>
      </c>
      <c r="D292" s="195">
        <v>19</v>
      </c>
      <c r="E292" s="194" t="s">
        <v>76</v>
      </c>
      <c r="F292" s="204" t="s">
        <v>468</v>
      </c>
      <c r="G292" s="204" t="s">
        <v>469</v>
      </c>
      <c r="H292" s="246">
        <v>1</v>
      </c>
      <c r="I29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292" s="88">
        <v>43327</v>
      </c>
      <c r="K292" s="139" t="s">
        <v>461</v>
      </c>
      <c r="L292" s="198" t="s">
        <v>470</v>
      </c>
      <c r="M292" s="139"/>
      <c r="N292" s="197"/>
      <c r="O292" s="255">
        <f>MONTH(LstMachines[[#This Row],[Delivery]])</f>
        <v>8</v>
      </c>
      <c r="P292" s="256" t="str">
        <f>FIXED(YEAR(LstMachines[[#This Row],[Delivery]]),0,TRUE)</f>
        <v>2018</v>
      </c>
      <c r="Q292" s="205"/>
      <c r="R292" s="241"/>
      <c r="S292" s="197"/>
      <c r="T292" s="197"/>
      <c r="U292" s="197"/>
      <c r="V292" s="193"/>
      <c r="W292" s="139"/>
      <c r="X292" s="258">
        <f>LstMachines[[#This Row],[Delivery]]</f>
        <v>43327</v>
      </c>
      <c r="Y292" s="258" t="str">
        <f xml:space="preserve"> IF(MONTH(LstMachines[[#This Row],[DateLivr]])&lt;10,"0","") &amp; MONTH(LstMachines[[#This Row],[DateLivr]]) &amp;"-"&amp;YEAR(LstMachines[[#This Row],[DateLivr]])</f>
        <v>08-2018</v>
      </c>
      <c r="Z292" s="258">
        <f>LstMachines[[#This Row],[Delivery]]+Rglt_à_HCME</f>
        <v>43387</v>
      </c>
      <c r="AA292" s="258" t="str">
        <f xml:space="preserve"> IF(MONTH(LstMachines[[#This Row],[DatePaie]])&lt;10,"0","") &amp; MONTH(LstMachines[[#This Row],[DatePaie]])&amp;"-"&amp;YEAR(LstMachines[[#This Row],[DatePaie]])</f>
        <v>10-2018</v>
      </c>
      <c r="AB292" s="258">
        <f>LstMachines[[#This Row],[DateLivr]]+1</f>
        <v>43328</v>
      </c>
      <c r="AC292" s="258" t="str">
        <f xml:space="preserve"> IF(MONTH(LstMachines[[#This Row],[Distrib]])&lt;10,"0","") &amp; MONTH(LstMachines[[#This Row],[Distrib]]) &amp; "-" &amp; YEAR(LstMachines[[#This Row],[Distrib]])</f>
        <v>08-2018</v>
      </c>
      <c r="AD292" s="258">
        <f>LstMachines[[#This Row],[DateLivr]]+Délai_Vente</f>
        <v>43447</v>
      </c>
      <c r="AE292" s="258" t="str">
        <f xml:space="preserve"> IF(MONTH(LstMachines[[#This Row],[VteESM]])&lt;10,"0","") &amp; MONTH(LstMachines[[#This Row],[VteESM]]) &amp; "-" &amp; YEAR(LstMachines[[#This Row],[VteESM]])</f>
        <v>12-2018</v>
      </c>
      <c r="AF292" s="258">
        <f>LstMachines[[#This Row],[DateLivr]]+Rglt_à_ESMTP</f>
        <v>43387</v>
      </c>
      <c r="AG292" s="258" t="str">
        <f xml:space="preserve"> IF(MONTH(LstMachines[[#This Row],[RgltDistrib]])&lt;10,"0","") &amp; MONTH(LstMachines[[#This Row],[RgltDistrib]]) &amp; "-" &amp; YEAR(LstMachines[[#This Row],[RgltDistrib]])</f>
        <v>10-2018</v>
      </c>
      <c r="AH292" s="258">
        <f>LstMachines[[#This Row],[VteESM]]+Rglt_à_ESMTP</f>
        <v>43507</v>
      </c>
      <c r="AI292" s="258" t="str">
        <f xml:space="preserve"> IF(MONTH(LstMachines[[#This Row],[RgltVteESM]])&lt;10,"0","") &amp; MONTH(LstMachines[[#This Row],[RgltVteESM]]) &amp; "-" &amp; YEAR(LstMachines[[#This Row],[RgltVteESM]])</f>
        <v>02-2019</v>
      </c>
      <c r="AJ292" s="140">
        <f>MONTH(LstMachines[[#This Row],[DatePaie]])</f>
        <v>10</v>
      </c>
      <c r="AK292" s="88" t="str">
        <f>FIXED(YEAR(LstMachines[[#This Row],[DatePaie]]),0,TRUE)</f>
        <v>2018</v>
      </c>
      <c r="AL292" s="140"/>
      <c r="AM292" s="414"/>
      <c r="AN292" s="92"/>
      <c r="AO292" s="92"/>
      <c r="AP292" s="92"/>
      <c r="AQ292" s="92"/>
      <c r="AR292" s="92"/>
      <c r="AS292" s="92"/>
      <c r="AT292" s="92"/>
      <c r="AU292" s="92"/>
      <c r="AV292" s="92"/>
      <c r="AW292" s="92"/>
      <c r="AX292" s="92"/>
      <c r="AY292" s="92"/>
      <c r="BA292" s="92"/>
      <c r="BC292" s="92"/>
      <c r="BD292" s="92"/>
      <c r="BE292" s="92"/>
    </row>
    <row r="293" spans="2:57" hidden="1">
      <c r="B293" s="194" t="s">
        <v>75</v>
      </c>
      <c r="C293" s="194" t="s">
        <v>36</v>
      </c>
      <c r="D293" s="195">
        <v>26</v>
      </c>
      <c r="E293" s="194" t="s">
        <v>355</v>
      </c>
      <c r="F293" s="204" t="s">
        <v>468</v>
      </c>
      <c r="G293" s="204" t="s">
        <v>469</v>
      </c>
      <c r="H293" s="246">
        <v>1</v>
      </c>
      <c r="I29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293" s="88">
        <v>43327</v>
      </c>
      <c r="K293" s="139" t="s">
        <v>461</v>
      </c>
      <c r="L293" s="198" t="s">
        <v>470</v>
      </c>
      <c r="M293" s="139"/>
      <c r="N293" s="197"/>
      <c r="O293" s="255">
        <f>MONTH(LstMachines[[#This Row],[Delivery]])</f>
        <v>8</v>
      </c>
      <c r="P293" s="256" t="str">
        <f>FIXED(YEAR(LstMachines[[#This Row],[Delivery]]),0,TRUE)</f>
        <v>2018</v>
      </c>
      <c r="Q293" s="205"/>
      <c r="R293" s="241"/>
      <c r="S293" s="197"/>
      <c r="T293" s="197"/>
      <c r="U293" s="197"/>
      <c r="V293" s="193"/>
      <c r="W293" s="139"/>
      <c r="X293" s="258">
        <f>LstMachines[[#This Row],[Delivery]]</f>
        <v>43327</v>
      </c>
      <c r="Y293" s="258" t="str">
        <f xml:space="preserve"> IF(MONTH(LstMachines[[#This Row],[DateLivr]])&lt;10,"0","") &amp; MONTH(LstMachines[[#This Row],[DateLivr]]) &amp;"-"&amp;YEAR(LstMachines[[#This Row],[DateLivr]])</f>
        <v>08-2018</v>
      </c>
      <c r="Z293" s="258">
        <f>LstMachines[[#This Row],[Delivery]]+Rglt_à_HCME</f>
        <v>43387</v>
      </c>
      <c r="AA293" s="258" t="str">
        <f xml:space="preserve"> IF(MONTH(LstMachines[[#This Row],[DatePaie]])&lt;10,"0","") &amp; MONTH(LstMachines[[#This Row],[DatePaie]])&amp;"-"&amp;YEAR(LstMachines[[#This Row],[DatePaie]])</f>
        <v>10-2018</v>
      </c>
      <c r="AB293" s="258">
        <f>LstMachines[[#This Row],[DateLivr]]+1</f>
        <v>43328</v>
      </c>
      <c r="AC293" s="258" t="str">
        <f xml:space="preserve"> IF(MONTH(LstMachines[[#This Row],[Distrib]])&lt;10,"0","") &amp; MONTH(LstMachines[[#This Row],[Distrib]]) &amp; "-" &amp; YEAR(LstMachines[[#This Row],[Distrib]])</f>
        <v>08-2018</v>
      </c>
      <c r="AD293" s="258">
        <f>LstMachines[[#This Row],[DateLivr]]+Délai_Vente</f>
        <v>43447</v>
      </c>
      <c r="AE293" s="258" t="str">
        <f xml:space="preserve"> IF(MONTH(LstMachines[[#This Row],[VteESM]])&lt;10,"0","") &amp; MONTH(LstMachines[[#This Row],[VteESM]]) &amp; "-" &amp; YEAR(LstMachines[[#This Row],[VteESM]])</f>
        <v>12-2018</v>
      </c>
      <c r="AF293" s="258">
        <f>LstMachines[[#This Row],[DateLivr]]+Rglt_à_ESMTP</f>
        <v>43387</v>
      </c>
      <c r="AG293" s="258" t="str">
        <f xml:space="preserve"> IF(MONTH(LstMachines[[#This Row],[RgltDistrib]])&lt;10,"0","") &amp; MONTH(LstMachines[[#This Row],[RgltDistrib]]) &amp; "-" &amp; YEAR(LstMachines[[#This Row],[RgltDistrib]])</f>
        <v>10-2018</v>
      </c>
      <c r="AH293" s="258">
        <f>LstMachines[[#This Row],[VteESM]]+Rglt_à_ESMTP</f>
        <v>43507</v>
      </c>
      <c r="AI293" s="258" t="str">
        <f xml:space="preserve"> IF(MONTH(LstMachines[[#This Row],[RgltVteESM]])&lt;10,"0","") &amp; MONTH(LstMachines[[#This Row],[RgltVteESM]]) &amp; "-" &amp; YEAR(LstMachines[[#This Row],[RgltVteESM]])</f>
        <v>02-2019</v>
      </c>
      <c r="AJ293" s="140">
        <f>MONTH(LstMachines[[#This Row],[DatePaie]])</f>
        <v>10</v>
      </c>
      <c r="AK293" s="88" t="str">
        <f>FIXED(YEAR(LstMachines[[#This Row],[DatePaie]]),0,TRUE)</f>
        <v>2018</v>
      </c>
      <c r="AL293" s="140"/>
      <c r="AM293" s="414"/>
      <c r="AN293" s="92"/>
      <c r="AO293" s="92"/>
      <c r="AP293" s="92"/>
      <c r="AQ293" s="92"/>
      <c r="AR293" s="92"/>
      <c r="AS293" s="92"/>
      <c r="AT293" s="92"/>
      <c r="AU293" s="92"/>
      <c r="AV293" s="92"/>
      <c r="AW293" s="92"/>
      <c r="AX293" s="92"/>
      <c r="AY293" s="92"/>
      <c r="BA293" s="92"/>
      <c r="BC293" s="92"/>
      <c r="BD293" s="92"/>
      <c r="BE293" s="92"/>
    </row>
    <row r="294" spans="2:57" hidden="1">
      <c r="B294" s="194" t="s">
        <v>262</v>
      </c>
      <c r="C294" s="194" t="s">
        <v>39</v>
      </c>
      <c r="D294" s="195">
        <v>85</v>
      </c>
      <c r="E294" s="194" t="s">
        <v>356</v>
      </c>
      <c r="F294" s="204" t="s">
        <v>468</v>
      </c>
      <c r="G294" s="204" t="s">
        <v>469</v>
      </c>
      <c r="H294" s="246">
        <v>1</v>
      </c>
      <c r="I29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294" s="88">
        <v>43327</v>
      </c>
      <c r="K294" s="139" t="s">
        <v>461</v>
      </c>
      <c r="L294" s="198" t="s">
        <v>470</v>
      </c>
      <c r="M294" s="139"/>
      <c r="N294" s="197"/>
      <c r="O294" s="255">
        <f>MONTH(LstMachines[[#This Row],[Delivery]])</f>
        <v>8</v>
      </c>
      <c r="P294" s="256" t="str">
        <f>FIXED(YEAR(LstMachines[[#This Row],[Delivery]]),0,TRUE)</f>
        <v>2018</v>
      </c>
      <c r="Q294" s="205"/>
      <c r="R294" s="241"/>
      <c r="S294" s="197"/>
      <c r="T294" s="197"/>
      <c r="U294" s="197"/>
      <c r="V294" s="193"/>
      <c r="W294" s="139"/>
      <c r="X294" s="258">
        <f>LstMachines[[#This Row],[Delivery]]</f>
        <v>43327</v>
      </c>
      <c r="Y294" s="258" t="str">
        <f xml:space="preserve"> IF(MONTH(LstMachines[[#This Row],[DateLivr]])&lt;10,"0","") &amp; MONTH(LstMachines[[#This Row],[DateLivr]]) &amp;"-"&amp;YEAR(LstMachines[[#This Row],[DateLivr]])</f>
        <v>08-2018</v>
      </c>
      <c r="Z294" s="258">
        <f>LstMachines[[#This Row],[Delivery]]+Rglt_à_HCME</f>
        <v>43387</v>
      </c>
      <c r="AA294" s="258" t="str">
        <f xml:space="preserve"> IF(MONTH(LstMachines[[#This Row],[DatePaie]])&lt;10,"0","") &amp; MONTH(LstMachines[[#This Row],[DatePaie]])&amp;"-"&amp;YEAR(LstMachines[[#This Row],[DatePaie]])</f>
        <v>10-2018</v>
      </c>
      <c r="AB294" s="258">
        <f>LstMachines[[#This Row],[DateLivr]]+1</f>
        <v>43328</v>
      </c>
      <c r="AC294" s="258" t="str">
        <f xml:space="preserve"> IF(MONTH(LstMachines[[#This Row],[Distrib]])&lt;10,"0","") &amp; MONTH(LstMachines[[#This Row],[Distrib]]) &amp; "-" &amp; YEAR(LstMachines[[#This Row],[Distrib]])</f>
        <v>08-2018</v>
      </c>
      <c r="AD294" s="258">
        <f>LstMachines[[#This Row],[DateLivr]]+Délai_Vente</f>
        <v>43447</v>
      </c>
      <c r="AE294" s="258" t="str">
        <f xml:space="preserve"> IF(MONTH(LstMachines[[#This Row],[VteESM]])&lt;10,"0","") &amp; MONTH(LstMachines[[#This Row],[VteESM]]) &amp; "-" &amp; YEAR(LstMachines[[#This Row],[VteESM]])</f>
        <v>12-2018</v>
      </c>
      <c r="AF294" s="258">
        <f>LstMachines[[#This Row],[DateLivr]]+Rglt_à_ESMTP</f>
        <v>43387</v>
      </c>
      <c r="AG294" s="258" t="str">
        <f xml:space="preserve"> IF(MONTH(LstMachines[[#This Row],[RgltDistrib]])&lt;10,"0","") &amp; MONTH(LstMachines[[#This Row],[RgltDistrib]]) &amp; "-" &amp; YEAR(LstMachines[[#This Row],[RgltDistrib]])</f>
        <v>10-2018</v>
      </c>
      <c r="AH294" s="258">
        <f>LstMachines[[#This Row],[VteESM]]+Rglt_à_ESMTP</f>
        <v>43507</v>
      </c>
      <c r="AI294" s="258" t="str">
        <f xml:space="preserve"> IF(MONTH(LstMachines[[#This Row],[RgltVteESM]])&lt;10,"0","") &amp; MONTH(LstMachines[[#This Row],[RgltVteESM]]) &amp; "-" &amp; YEAR(LstMachines[[#This Row],[RgltVteESM]])</f>
        <v>02-2019</v>
      </c>
      <c r="AJ294" s="140">
        <f>MONTH(LstMachines[[#This Row],[DatePaie]])</f>
        <v>10</v>
      </c>
      <c r="AK294" s="88" t="str">
        <f>FIXED(YEAR(LstMachines[[#This Row],[DatePaie]]),0,TRUE)</f>
        <v>2018</v>
      </c>
      <c r="AL294" s="140"/>
      <c r="AM294" s="414"/>
      <c r="AN294" s="92"/>
      <c r="AO294" s="92"/>
      <c r="AP294" s="92"/>
      <c r="AQ294" s="92"/>
      <c r="AR294" s="92"/>
      <c r="AS294" s="92"/>
      <c r="AT294" s="92"/>
      <c r="AU294" s="92"/>
      <c r="AV294" s="92"/>
      <c r="AW294" s="92"/>
      <c r="AX294" s="92"/>
      <c r="AY294" s="92"/>
      <c r="BA294" s="92"/>
      <c r="BC294" s="92"/>
      <c r="BD294" s="92"/>
      <c r="BE294" s="92"/>
    </row>
    <row r="295" spans="2:57" hidden="1">
      <c r="B295" s="194" t="s">
        <v>262</v>
      </c>
      <c r="C295" s="194" t="s">
        <v>40</v>
      </c>
      <c r="D295" s="195">
        <v>135</v>
      </c>
      <c r="E295" s="104" t="s">
        <v>87</v>
      </c>
      <c r="F295" s="204" t="s">
        <v>468</v>
      </c>
      <c r="G295" s="204" t="s">
        <v>469</v>
      </c>
      <c r="H295" s="246">
        <v>1</v>
      </c>
      <c r="I29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295" s="88">
        <v>43327</v>
      </c>
      <c r="K295" s="139" t="s">
        <v>461</v>
      </c>
      <c r="L295" s="198" t="s">
        <v>470</v>
      </c>
      <c r="M295" s="139"/>
      <c r="N295" s="197"/>
      <c r="O295" s="255">
        <f>MONTH(LstMachines[[#This Row],[Delivery]])</f>
        <v>8</v>
      </c>
      <c r="P295" s="256" t="str">
        <f>FIXED(YEAR(LstMachines[[#This Row],[Delivery]]),0,TRUE)</f>
        <v>2018</v>
      </c>
      <c r="Q295" s="205"/>
      <c r="R295" s="241"/>
      <c r="S295" s="197"/>
      <c r="T295" s="197"/>
      <c r="U295" s="197"/>
      <c r="V295" s="193"/>
      <c r="W295" s="139"/>
      <c r="X295" s="258">
        <f>LstMachines[[#This Row],[Delivery]]</f>
        <v>43327</v>
      </c>
      <c r="Y295" s="258" t="str">
        <f xml:space="preserve"> IF(MONTH(LstMachines[[#This Row],[DateLivr]])&lt;10,"0","") &amp; MONTH(LstMachines[[#This Row],[DateLivr]]) &amp;"-"&amp;YEAR(LstMachines[[#This Row],[DateLivr]])</f>
        <v>08-2018</v>
      </c>
      <c r="Z295" s="258">
        <f>LstMachines[[#This Row],[Delivery]]+Rglt_à_HCME</f>
        <v>43387</v>
      </c>
      <c r="AA295" s="258" t="str">
        <f xml:space="preserve"> IF(MONTH(LstMachines[[#This Row],[DatePaie]])&lt;10,"0","") &amp; MONTH(LstMachines[[#This Row],[DatePaie]])&amp;"-"&amp;YEAR(LstMachines[[#This Row],[DatePaie]])</f>
        <v>10-2018</v>
      </c>
      <c r="AB295" s="258">
        <f>LstMachines[[#This Row],[DateLivr]]+1</f>
        <v>43328</v>
      </c>
      <c r="AC295" s="258" t="str">
        <f xml:space="preserve"> IF(MONTH(LstMachines[[#This Row],[Distrib]])&lt;10,"0","") &amp; MONTH(LstMachines[[#This Row],[Distrib]]) &amp; "-" &amp; YEAR(LstMachines[[#This Row],[Distrib]])</f>
        <v>08-2018</v>
      </c>
      <c r="AD295" s="258">
        <f>LstMachines[[#This Row],[DateLivr]]+Délai_Vente</f>
        <v>43447</v>
      </c>
      <c r="AE295" s="258" t="str">
        <f xml:space="preserve"> IF(MONTH(LstMachines[[#This Row],[VteESM]])&lt;10,"0","") &amp; MONTH(LstMachines[[#This Row],[VteESM]]) &amp; "-" &amp; YEAR(LstMachines[[#This Row],[VteESM]])</f>
        <v>12-2018</v>
      </c>
      <c r="AF295" s="258">
        <f>LstMachines[[#This Row],[DateLivr]]+Rglt_à_ESMTP</f>
        <v>43387</v>
      </c>
      <c r="AG295" s="258" t="str">
        <f xml:space="preserve"> IF(MONTH(LstMachines[[#This Row],[RgltDistrib]])&lt;10,"0","") &amp; MONTH(LstMachines[[#This Row],[RgltDistrib]]) &amp; "-" &amp; YEAR(LstMachines[[#This Row],[RgltDistrib]])</f>
        <v>10-2018</v>
      </c>
      <c r="AH295" s="258">
        <f>LstMachines[[#This Row],[VteESM]]+Rglt_à_ESMTP</f>
        <v>43507</v>
      </c>
      <c r="AI295" s="258" t="str">
        <f xml:space="preserve"> IF(MONTH(LstMachines[[#This Row],[RgltVteESM]])&lt;10,"0","") &amp; MONTH(LstMachines[[#This Row],[RgltVteESM]]) &amp; "-" &amp; YEAR(LstMachines[[#This Row],[RgltVteESM]])</f>
        <v>02-2019</v>
      </c>
      <c r="AJ295" s="140">
        <f>MONTH(LstMachines[[#This Row],[DatePaie]])</f>
        <v>10</v>
      </c>
      <c r="AK295" s="88" t="str">
        <f>FIXED(YEAR(LstMachines[[#This Row],[DatePaie]]),0,TRUE)</f>
        <v>2018</v>
      </c>
      <c r="AL295" s="140"/>
      <c r="AM295" s="414"/>
      <c r="AN295" s="92"/>
      <c r="AO295" s="92"/>
      <c r="AP295" s="92"/>
      <c r="AQ295" s="92"/>
      <c r="AR295" s="92"/>
      <c r="AS295" s="92"/>
      <c r="AT295" s="92"/>
      <c r="AU295" s="92"/>
      <c r="AV295" s="92"/>
      <c r="AW295" s="92"/>
      <c r="AX295" s="92"/>
      <c r="AY295" s="92"/>
      <c r="BA295" s="92"/>
      <c r="BC295" s="92"/>
      <c r="BD295" s="92"/>
      <c r="BE295" s="92"/>
    </row>
    <row r="296" spans="2:57" hidden="1">
      <c r="B296" s="104" t="s">
        <v>75</v>
      </c>
      <c r="C296" s="104" t="s">
        <v>38</v>
      </c>
      <c r="D296" s="87">
        <v>65</v>
      </c>
      <c r="E296" s="104" t="s">
        <v>364</v>
      </c>
      <c r="F296" s="87" t="s">
        <v>297</v>
      </c>
      <c r="G296" s="87" t="s">
        <v>32</v>
      </c>
      <c r="H296" s="89">
        <v>1</v>
      </c>
      <c r="I29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296" s="88">
        <v>43327</v>
      </c>
      <c r="K296" s="99" t="s">
        <v>461</v>
      </c>
      <c r="L296" s="120" t="s">
        <v>378</v>
      </c>
      <c r="M296" s="99"/>
      <c r="N296" s="90"/>
      <c r="O296" s="255">
        <f>MONTH(LstMachines[[#This Row],[Delivery]])</f>
        <v>8</v>
      </c>
      <c r="P296" s="256" t="str">
        <f>FIXED(YEAR(LstMachines[[#This Row],[Delivery]]),0,TRUE)</f>
        <v>2018</v>
      </c>
      <c r="Q296" s="73"/>
      <c r="R296" s="93"/>
      <c r="S296" s="90"/>
      <c r="T296" s="90"/>
      <c r="U296" s="90" t="s">
        <v>104</v>
      </c>
      <c r="V296" s="72"/>
      <c r="W296" s="99" t="s">
        <v>383</v>
      </c>
      <c r="X296" s="258">
        <f>LstMachines[[#This Row],[Delivery]]</f>
        <v>43327</v>
      </c>
      <c r="Y296" s="258" t="str">
        <f xml:space="preserve"> IF(MONTH(LstMachines[[#This Row],[DateLivr]])&lt;10,"0","") &amp; MONTH(LstMachines[[#This Row],[DateLivr]]) &amp;"-"&amp;YEAR(LstMachines[[#This Row],[DateLivr]])</f>
        <v>08-2018</v>
      </c>
      <c r="Z296" s="258">
        <f>LstMachines[[#This Row],[Delivery]]+Rglt_à_HCME</f>
        <v>43387</v>
      </c>
      <c r="AA296" s="258" t="str">
        <f xml:space="preserve"> IF(MONTH(LstMachines[[#This Row],[DatePaie]])&lt;10,"0","") &amp; MONTH(LstMachines[[#This Row],[DatePaie]])&amp;"-"&amp;YEAR(LstMachines[[#This Row],[DatePaie]])</f>
        <v>10-2018</v>
      </c>
      <c r="AB296" s="258">
        <f>LstMachines[[#This Row],[DateLivr]]+1</f>
        <v>43328</v>
      </c>
      <c r="AC296" s="258" t="str">
        <f xml:space="preserve"> IF(MONTH(LstMachines[[#This Row],[Distrib]])&lt;10,"0","") &amp; MONTH(LstMachines[[#This Row],[Distrib]]) &amp; "-" &amp; YEAR(LstMachines[[#This Row],[Distrib]])</f>
        <v>08-2018</v>
      </c>
      <c r="AD296" s="258">
        <f>LstMachines[[#This Row],[DateLivr]]+Délai_Vente</f>
        <v>43447</v>
      </c>
      <c r="AE296" s="258" t="str">
        <f xml:space="preserve"> IF(MONTH(LstMachines[[#This Row],[VteESM]])&lt;10,"0","") &amp; MONTH(LstMachines[[#This Row],[VteESM]]) &amp; "-" &amp; YEAR(LstMachines[[#This Row],[VteESM]])</f>
        <v>12-2018</v>
      </c>
      <c r="AF296" s="258">
        <f>LstMachines[[#This Row],[DateLivr]]+Rglt_à_ESMTP</f>
        <v>43387</v>
      </c>
      <c r="AG296" s="258" t="str">
        <f xml:space="preserve"> IF(MONTH(LstMachines[[#This Row],[RgltDistrib]])&lt;10,"0","") &amp; MONTH(LstMachines[[#This Row],[RgltDistrib]]) &amp; "-" &amp; YEAR(LstMachines[[#This Row],[RgltDistrib]])</f>
        <v>10-2018</v>
      </c>
      <c r="AH296" s="258">
        <f>LstMachines[[#This Row],[VteESM]]+Rglt_à_ESMTP</f>
        <v>43507</v>
      </c>
      <c r="AI296" s="258" t="str">
        <f xml:space="preserve"> IF(MONTH(LstMachines[[#This Row],[RgltVteESM]])&lt;10,"0","") &amp; MONTH(LstMachines[[#This Row],[RgltVteESM]]) &amp; "-" &amp; YEAR(LstMachines[[#This Row],[RgltVteESM]])</f>
        <v>02-2019</v>
      </c>
      <c r="AJ296" s="140">
        <f>MONTH(LstMachines[[#This Row],[DatePaie]])</f>
        <v>10</v>
      </c>
      <c r="AK296" s="88" t="str">
        <f>FIXED(YEAR(LstMachines[[#This Row],[DatePaie]]),0,TRUE)</f>
        <v>2018</v>
      </c>
      <c r="AL296" s="140"/>
      <c r="AM296" s="414"/>
      <c r="AN296" s="92"/>
      <c r="AO296" s="92"/>
      <c r="AP296" s="92"/>
      <c r="AQ296" s="92"/>
      <c r="AR296" s="92"/>
      <c r="AS296" s="92"/>
      <c r="AT296" s="92"/>
      <c r="AU296" s="92"/>
      <c r="AV296" s="92"/>
      <c r="AW296" s="92"/>
      <c r="AX296" s="92"/>
      <c r="AY296" s="92"/>
      <c r="BA296" s="92"/>
      <c r="BC296" s="92"/>
      <c r="BD296" s="92"/>
      <c r="BE296" s="92"/>
    </row>
    <row r="297" spans="2:57" hidden="1">
      <c r="B297" s="104" t="s">
        <v>262</v>
      </c>
      <c r="C297" s="104" t="s">
        <v>44</v>
      </c>
      <c r="D297" s="87">
        <v>225</v>
      </c>
      <c r="E297" s="104" t="s">
        <v>205</v>
      </c>
      <c r="F297" s="87" t="s">
        <v>297</v>
      </c>
      <c r="G297" s="87" t="s">
        <v>32</v>
      </c>
      <c r="H297" s="89">
        <v>1</v>
      </c>
      <c r="I29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297" s="88">
        <v>43327</v>
      </c>
      <c r="K297" s="99" t="s">
        <v>461</v>
      </c>
      <c r="L297" s="120" t="s">
        <v>378</v>
      </c>
      <c r="M297" s="99"/>
      <c r="N297" s="90"/>
      <c r="O297" s="255">
        <f>MONTH(LstMachines[[#This Row],[Delivery]])</f>
        <v>8</v>
      </c>
      <c r="P297" s="256" t="str">
        <f>FIXED(YEAR(LstMachines[[#This Row],[Delivery]]),0,TRUE)</f>
        <v>2018</v>
      </c>
      <c r="Q297" s="73"/>
      <c r="R297" s="93"/>
      <c r="S297" s="90"/>
      <c r="T297" s="90"/>
      <c r="U297" s="90" t="s">
        <v>105</v>
      </c>
      <c r="V297" s="72"/>
      <c r="W297" s="99" t="s">
        <v>384</v>
      </c>
      <c r="X297" s="258">
        <f>LstMachines[[#This Row],[Delivery]]</f>
        <v>43327</v>
      </c>
      <c r="Y297" s="258" t="str">
        <f xml:space="preserve"> IF(MONTH(LstMachines[[#This Row],[DateLivr]])&lt;10,"0","") &amp; MONTH(LstMachines[[#This Row],[DateLivr]]) &amp;"-"&amp;YEAR(LstMachines[[#This Row],[DateLivr]])</f>
        <v>08-2018</v>
      </c>
      <c r="Z297" s="258">
        <f>LstMachines[[#This Row],[Delivery]]+Rglt_à_HCME</f>
        <v>43387</v>
      </c>
      <c r="AA297" s="258" t="str">
        <f xml:space="preserve"> IF(MONTH(LstMachines[[#This Row],[DatePaie]])&lt;10,"0","") &amp; MONTH(LstMachines[[#This Row],[DatePaie]])&amp;"-"&amp;YEAR(LstMachines[[#This Row],[DatePaie]])</f>
        <v>10-2018</v>
      </c>
      <c r="AB297" s="258">
        <f>LstMachines[[#This Row],[DateLivr]]+1</f>
        <v>43328</v>
      </c>
      <c r="AC297" s="258" t="str">
        <f xml:space="preserve"> IF(MONTH(LstMachines[[#This Row],[Distrib]])&lt;10,"0","") &amp; MONTH(LstMachines[[#This Row],[Distrib]]) &amp; "-" &amp; YEAR(LstMachines[[#This Row],[Distrib]])</f>
        <v>08-2018</v>
      </c>
      <c r="AD297" s="258">
        <f>LstMachines[[#This Row],[DateLivr]]+Délai_Vente</f>
        <v>43447</v>
      </c>
      <c r="AE297" s="258" t="str">
        <f xml:space="preserve"> IF(MONTH(LstMachines[[#This Row],[VteESM]])&lt;10,"0","") &amp; MONTH(LstMachines[[#This Row],[VteESM]]) &amp; "-" &amp; YEAR(LstMachines[[#This Row],[VteESM]])</f>
        <v>12-2018</v>
      </c>
      <c r="AF297" s="258">
        <f>LstMachines[[#This Row],[DateLivr]]+Rglt_à_ESMTP</f>
        <v>43387</v>
      </c>
      <c r="AG297" s="258" t="str">
        <f xml:space="preserve"> IF(MONTH(LstMachines[[#This Row],[RgltDistrib]])&lt;10,"0","") &amp; MONTH(LstMachines[[#This Row],[RgltDistrib]]) &amp; "-" &amp; YEAR(LstMachines[[#This Row],[RgltDistrib]])</f>
        <v>10-2018</v>
      </c>
      <c r="AH297" s="258">
        <f>LstMachines[[#This Row],[VteESM]]+Rglt_à_ESMTP</f>
        <v>43507</v>
      </c>
      <c r="AI297" s="258" t="str">
        <f xml:space="preserve"> IF(MONTH(LstMachines[[#This Row],[RgltVteESM]])&lt;10,"0","") &amp; MONTH(LstMachines[[#This Row],[RgltVteESM]]) &amp; "-" &amp; YEAR(LstMachines[[#This Row],[RgltVteESM]])</f>
        <v>02-2019</v>
      </c>
      <c r="AJ297" s="140">
        <f>MONTH(LstMachines[[#This Row],[DatePaie]])</f>
        <v>10</v>
      </c>
      <c r="AK297" s="88" t="str">
        <f>FIXED(YEAR(LstMachines[[#This Row],[DatePaie]]),0,TRUE)</f>
        <v>2018</v>
      </c>
      <c r="AL297" s="140"/>
      <c r="AM297" s="414"/>
      <c r="AN297" s="92"/>
      <c r="AO297" s="92"/>
      <c r="AP297" s="92"/>
      <c r="AQ297" s="92"/>
      <c r="AR297" s="92"/>
      <c r="AS297" s="92"/>
      <c r="AT297" s="92"/>
      <c r="AU297" s="92"/>
      <c r="AV297" s="92"/>
      <c r="AW297" s="92"/>
      <c r="AX297" s="92"/>
      <c r="AY297" s="92"/>
      <c r="BA297" s="92"/>
      <c r="BC297" s="92"/>
      <c r="BD297" s="92"/>
      <c r="BE297" s="92"/>
    </row>
    <row r="298" spans="2:57" hidden="1">
      <c r="B298" s="104" t="s">
        <v>75</v>
      </c>
      <c r="C298" s="104" t="s">
        <v>38</v>
      </c>
      <c r="D298" s="87">
        <v>65</v>
      </c>
      <c r="E298" s="86"/>
      <c r="F298" s="87" t="s">
        <v>67</v>
      </c>
      <c r="G298" s="87" t="s">
        <v>107</v>
      </c>
      <c r="H298" s="89">
        <v>2</v>
      </c>
      <c r="I29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90</v>
      </c>
      <c r="J298" s="88">
        <v>43358</v>
      </c>
      <c r="K298" s="99" t="s">
        <v>461</v>
      </c>
      <c r="L298" s="120" t="s">
        <v>378</v>
      </c>
      <c r="M298" s="99"/>
      <c r="N298" s="90"/>
      <c r="O298" s="255">
        <f>MONTH(LstMachines[[#This Row],[Delivery]])</f>
        <v>9</v>
      </c>
      <c r="P298" s="256" t="str">
        <f>FIXED(YEAR(LstMachines[[#This Row],[Delivery]]),0,TRUE)</f>
        <v>2018</v>
      </c>
      <c r="Q298" s="73"/>
      <c r="R298" s="93"/>
      <c r="S298" s="90"/>
      <c r="T298" s="90"/>
      <c r="U298" s="90" t="s">
        <v>105</v>
      </c>
      <c r="V298" s="72"/>
      <c r="W298" s="99" t="s">
        <v>384</v>
      </c>
      <c r="X298" s="258">
        <f>LstMachines[[#This Row],[Delivery]]</f>
        <v>43358</v>
      </c>
      <c r="Y298" s="258" t="str">
        <f xml:space="preserve"> IF(MONTH(LstMachines[[#This Row],[DateLivr]])&lt;10,"0","") &amp; MONTH(LstMachines[[#This Row],[DateLivr]]) &amp;"-"&amp;YEAR(LstMachines[[#This Row],[DateLivr]])</f>
        <v>09-2018</v>
      </c>
      <c r="Z298" s="258">
        <f>LstMachines[[#This Row],[Delivery]]+Rglt_à_HCME</f>
        <v>43418</v>
      </c>
      <c r="AA298" s="258" t="str">
        <f xml:space="preserve"> IF(MONTH(LstMachines[[#This Row],[DatePaie]])&lt;10,"0","") &amp; MONTH(LstMachines[[#This Row],[DatePaie]])&amp;"-"&amp;YEAR(LstMachines[[#This Row],[DatePaie]])</f>
        <v>11-2018</v>
      </c>
      <c r="AB298" s="258">
        <f>LstMachines[[#This Row],[DateLivr]]+1</f>
        <v>43359</v>
      </c>
      <c r="AC298" s="258" t="str">
        <f xml:space="preserve"> IF(MONTH(LstMachines[[#This Row],[Distrib]])&lt;10,"0","") &amp; MONTH(LstMachines[[#This Row],[Distrib]]) &amp; "-" &amp; YEAR(LstMachines[[#This Row],[Distrib]])</f>
        <v>09-2018</v>
      </c>
      <c r="AD298" s="258">
        <f>LstMachines[[#This Row],[DateLivr]]+Délai_Vente</f>
        <v>43478</v>
      </c>
      <c r="AE298" s="258" t="str">
        <f xml:space="preserve"> IF(MONTH(LstMachines[[#This Row],[VteESM]])&lt;10,"0","") &amp; MONTH(LstMachines[[#This Row],[VteESM]]) &amp; "-" &amp; YEAR(LstMachines[[#This Row],[VteESM]])</f>
        <v>01-2019</v>
      </c>
      <c r="AF298" s="258">
        <f>LstMachines[[#This Row],[DateLivr]]+Rglt_à_ESMTP</f>
        <v>43418</v>
      </c>
      <c r="AG298" s="258" t="str">
        <f xml:space="preserve"> IF(MONTH(LstMachines[[#This Row],[RgltDistrib]])&lt;10,"0","") &amp; MONTH(LstMachines[[#This Row],[RgltDistrib]]) &amp; "-" &amp; YEAR(LstMachines[[#This Row],[RgltDistrib]])</f>
        <v>11-2018</v>
      </c>
      <c r="AH298" s="258">
        <f>LstMachines[[#This Row],[VteESM]]+Rglt_à_ESMTP</f>
        <v>43538</v>
      </c>
      <c r="AI298" s="258" t="str">
        <f xml:space="preserve"> IF(MONTH(LstMachines[[#This Row],[RgltVteESM]])&lt;10,"0","") &amp; MONTH(LstMachines[[#This Row],[RgltVteESM]]) &amp; "-" &amp; YEAR(LstMachines[[#This Row],[RgltVteESM]])</f>
        <v>03-2019</v>
      </c>
      <c r="AJ298" s="140">
        <f>MONTH(LstMachines[[#This Row],[DatePaie]])</f>
        <v>11</v>
      </c>
      <c r="AK298" s="88" t="str">
        <f>FIXED(YEAR(LstMachines[[#This Row],[DatePaie]]),0,TRUE)</f>
        <v>2018</v>
      </c>
      <c r="AL298" s="140"/>
      <c r="AM298" s="414"/>
      <c r="AN298" s="92"/>
      <c r="AO298" s="92"/>
      <c r="AP298" s="92"/>
      <c r="AQ298" s="92"/>
      <c r="AR298" s="92"/>
      <c r="AS298" s="92"/>
      <c r="AT298" s="92"/>
      <c r="AU298" s="92"/>
      <c r="AV298" s="92"/>
      <c r="AW298" s="92"/>
      <c r="AX298" s="92"/>
      <c r="AY298" s="92"/>
      <c r="BA298" s="92"/>
      <c r="BC298" s="92"/>
      <c r="BD298" s="92"/>
      <c r="BE298" s="92"/>
    </row>
    <row r="299" spans="2:57" hidden="1">
      <c r="B299" s="104" t="s">
        <v>75</v>
      </c>
      <c r="C299" s="104" t="s">
        <v>38</v>
      </c>
      <c r="D299" s="87">
        <v>65</v>
      </c>
      <c r="E299" s="86"/>
      <c r="F299" s="87" t="s">
        <v>67</v>
      </c>
      <c r="G299" s="87" t="s">
        <v>107</v>
      </c>
      <c r="H299" s="89">
        <v>2</v>
      </c>
      <c r="I29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90</v>
      </c>
      <c r="J299" s="88">
        <v>43358</v>
      </c>
      <c r="K299" s="99" t="s">
        <v>461</v>
      </c>
      <c r="L299" s="120" t="s">
        <v>378</v>
      </c>
      <c r="M299" s="99"/>
      <c r="N299" s="90"/>
      <c r="O299" s="255">
        <f>MONTH(LstMachines[[#This Row],[Delivery]])</f>
        <v>9</v>
      </c>
      <c r="P299" s="256" t="str">
        <f>FIXED(YEAR(LstMachines[[#This Row],[Delivery]]),0,TRUE)</f>
        <v>2018</v>
      </c>
      <c r="Q299" s="73"/>
      <c r="R299" s="93"/>
      <c r="S299" s="90"/>
      <c r="T299" s="90"/>
      <c r="U299" s="90" t="s">
        <v>105</v>
      </c>
      <c r="V299" s="72"/>
      <c r="W299" s="99" t="s">
        <v>384</v>
      </c>
      <c r="X299" s="258">
        <f>LstMachines[[#This Row],[Delivery]]</f>
        <v>43358</v>
      </c>
      <c r="Y299" s="258" t="str">
        <f xml:space="preserve"> IF(MONTH(LstMachines[[#This Row],[DateLivr]])&lt;10,"0","") &amp; MONTH(LstMachines[[#This Row],[DateLivr]]) &amp;"-"&amp;YEAR(LstMachines[[#This Row],[DateLivr]])</f>
        <v>09-2018</v>
      </c>
      <c r="Z299" s="258">
        <f>LstMachines[[#This Row],[Delivery]]+Rglt_à_HCME</f>
        <v>43418</v>
      </c>
      <c r="AA299" s="258" t="str">
        <f xml:space="preserve"> IF(MONTH(LstMachines[[#This Row],[DatePaie]])&lt;10,"0","") &amp; MONTH(LstMachines[[#This Row],[DatePaie]])&amp;"-"&amp;YEAR(LstMachines[[#This Row],[DatePaie]])</f>
        <v>11-2018</v>
      </c>
      <c r="AB299" s="258">
        <f>LstMachines[[#This Row],[DateLivr]]+1</f>
        <v>43359</v>
      </c>
      <c r="AC299" s="258" t="str">
        <f xml:space="preserve"> IF(MONTH(LstMachines[[#This Row],[Distrib]])&lt;10,"0","") &amp; MONTH(LstMachines[[#This Row],[Distrib]]) &amp; "-" &amp; YEAR(LstMachines[[#This Row],[Distrib]])</f>
        <v>09-2018</v>
      </c>
      <c r="AD299" s="258">
        <f>LstMachines[[#This Row],[DateLivr]]+Délai_Vente</f>
        <v>43478</v>
      </c>
      <c r="AE299" s="258" t="str">
        <f xml:space="preserve"> IF(MONTH(LstMachines[[#This Row],[VteESM]])&lt;10,"0","") &amp; MONTH(LstMachines[[#This Row],[VteESM]]) &amp; "-" &amp; YEAR(LstMachines[[#This Row],[VteESM]])</f>
        <v>01-2019</v>
      </c>
      <c r="AF299" s="258">
        <f>LstMachines[[#This Row],[DateLivr]]+Rglt_à_ESMTP</f>
        <v>43418</v>
      </c>
      <c r="AG299" s="258" t="str">
        <f xml:space="preserve"> IF(MONTH(LstMachines[[#This Row],[RgltDistrib]])&lt;10,"0","") &amp; MONTH(LstMachines[[#This Row],[RgltDistrib]]) &amp; "-" &amp; YEAR(LstMachines[[#This Row],[RgltDistrib]])</f>
        <v>11-2018</v>
      </c>
      <c r="AH299" s="258">
        <f>LstMachines[[#This Row],[VteESM]]+Rglt_à_ESMTP</f>
        <v>43538</v>
      </c>
      <c r="AI299" s="258" t="str">
        <f xml:space="preserve"> IF(MONTH(LstMachines[[#This Row],[RgltVteESM]])&lt;10,"0","") &amp; MONTH(LstMachines[[#This Row],[RgltVteESM]]) &amp; "-" &amp; YEAR(LstMachines[[#This Row],[RgltVteESM]])</f>
        <v>03-2019</v>
      </c>
      <c r="AJ299" s="140">
        <f>MONTH(LstMachines[[#This Row],[DatePaie]])</f>
        <v>11</v>
      </c>
      <c r="AK299" s="88" t="str">
        <f>FIXED(YEAR(LstMachines[[#This Row],[DatePaie]]),0,TRUE)</f>
        <v>2018</v>
      </c>
      <c r="AL299" s="140"/>
      <c r="AM299" s="414"/>
      <c r="AN299" s="92"/>
      <c r="AO299" s="92"/>
      <c r="AP299" s="92"/>
      <c r="AQ299" s="92"/>
      <c r="AR299" s="92"/>
      <c r="AS299" s="92"/>
      <c r="AT299" s="92"/>
      <c r="AU299" s="92"/>
      <c r="AV299" s="92"/>
      <c r="AW299" s="92"/>
      <c r="AX299" s="92"/>
      <c r="AY299" s="92"/>
      <c r="BA299" s="92"/>
      <c r="BC299" s="92"/>
      <c r="BD299" s="92"/>
      <c r="BE299" s="92"/>
    </row>
    <row r="300" spans="2:57" hidden="1">
      <c r="B300" s="243" t="s">
        <v>75</v>
      </c>
      <c r="C300" s="243" t="s">
        <v>36</v>
      </c>
      <c r="D300" s="245">
        <v>26</v>
      </c>
      <c r="E300" s="86"/>
      <c r="F300" s="89" t="s">
        <v>67</v>
      </c>
      <c r="G300" s="87" t="s">
        <v>107</v>
      </c>
      <c r="H300" s="89">
        <v>1</v>
      </c>
      <c r="I300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300" s="88">
        <v>43358</v>
      </c>
      <c r="K300" s="99" t="s">
        <v>461</v>
      </c>
      <c r="L300" s="244" t="s">
        <v>390</v>
      </c>
      <c r="M300" s="248"/>
      <c r="N300" s="249"/>
      <c r="O300" s="270">
        <f>MONTH(LstMachines[[#This Row],[Delivery]])</f>
        <v>9</v>
      </c>
      <c r="P300" s="247" t="str">
        <f>FIXED(YEAR(LstMachines[[#This Row],[Delivery]]),0,TRUE)</f>
        <v>2018</v>
      </c>
      <c r="Q300" s="250"/>
      <c r="R300" s="251"/>
      <c r="S300" s="249"/>
      <c r="T300" s="249"/>
      <c r="U300" s="249" t="s">
        <v>105</v>
      </c>
      <c r="V300" s="246"/>
      <c r="W300" s="248" t="s">
        <v>384</v>
      </c>
      <c r="X300" s="249">
        <f>LstMachines[[#This Row],[Delivery]]</f>
        <v>43358</v>
      </c>
      <c r="Y300" s="271" t="str">
        <f xml:space="preserve"> IF(MONTH(LstMachines[[#This Row],[DateLivr]])&lt;10,"0","") &amp; MONTH(LstMachines[[#This Row],[DateLivr]]) &amp;"-"&amp;YEAR(LstMachines[[#This Row],[DateLivr]])</f>
        <v>09-2018</v>
      </c>
      <c r="Z300" s="247">
        <f>LstMachines[[#This Row],[Delivery]]+Rglt_à_HCME</f>
        <v>43418</v>
      </c>
      <c r="AA300" s="271" t="str">
        <f xml:space="preserve"> IF(MONTH(LstMachines[[#This Row],[DatePaie]])&lt;10,"0","") &amp; MONTH(LstMachines[[#This Row],[DatePaie]])&amp;"-"&amp;YEAR(LstMachines[[#This Row],[DatePaie]])</f>
        <v>11-2018</v>
      </c>
      <c r="AB300" s="271">
        <f>LstMachines[[#This Row],[DateLivr]]+1</f>
        <v>43359</v>
      </c>
      <c r="AC300" s="271" t="str">
        <f xml:space="preserve"> IF(MONTH(LstMachines[[#This Row],[Distrib]])&lt;10,"0","") &amp; MONTH(LstMachines[[#This Row],[Distrib]]) &amp; "-" &amp; YEAR(LstMachines[[#This Row],[Distrib]])</f>
        <v>09-2018</v>
      </c>
      <c r="AD300" s="271">
        <f>LstMachines[[#This Row],[DateLivr]]+Délai_Vente</f>
        <v>43478</v>
      </c>
      <c r="AE300" s="271" t="str">
        <f xml:space="preserve"> IF(MONTH(LstMachines[[#This Row],[VteESM]])&lt;10,"0","") &amp; MONTH(LstMachines[[#This Row],[VteESM]]) &amp; "-" &amp; YEAR(LstMachines[[#This Row],[VteESM]])</f>
        <v>01-2019</v>
      </c>
      <c r="AF300" s="271">
        <f>LstMachines[[#This Row],[DateLivr]]+Rglt_à_ESMTP</f>
        <v>43418</v>
      </c>
      <c r="AG300" s="271" t="str">
        <f xml:space="preserve"> IF(MONTH(LstMachines[[#This Row],[RgltDistrib]])&lt;10,"0","") &amp; MONTH(LstMachines[[#This Row],[RgltDistrib]]) &amp; "-" &amp; YEAR(LstMachines[[#This Row],[RgltDistrib]])</f>
        <v>11-2018</v>
      </c>
      <c r="AH300" s="271">
        <f>LstMachines[[#This Row],[VteESM]]+Rglt_à_ESMTP</f>
        <v>43538</v>
      </c>
      <c r="AI300" s="271" t="str">
        <f xml:space="preserve"> IF(MONTH(LstMachines[[#This Row],[RgltVteESM]])&lt;10,"0","") &amp; MONTH(LstMachines[[#This Row],[RgltVteESM]]) &amp; "-" &amp; YEAR(LstMachines[[#This Row],[RgltVteESM]])</f>
        <v>03-2019</v>
      </c>
      <c r="AJ300" s="270">
        <f>MONTH(LstMachines[[#This Row],[DatePaie]])</f>
        <v>11</v>
      </c>
      <c r="AK300" s="247" t="str">
        <f>FIXED(YEAR(LstMachines[[#This Row],[DatePaie]]),0,TRUE)</f>
        <v>2018</v>
      </c>
      <c r="AL300" s="270"/>
      <c r="AM300" s="414"/>
      <c r="AN300" s="92"/>
      <c r="AO300" s="92"/>
      <c r="AP300" s="92"/>
      <c r="AQ300" s="92"/>
      <c r="AR300" s="92"/>
      <c r="AS300" s="92"/>
      <c r="AT300" s="92"/>
      <c r="AU300" s="92"/>
      <c r="AV300" s="92"/>
      <c r="AW300" s="92"/>
      <c r="AX300" s="92"/>
      <c r="AY300" s="92"/>
      <c r="BA300" s="92"/>
      <c r="BC300" s="92"/>
      <c r="BD300" s="92"/>
      <c r="BE300" s="92"/>
    </row>
    <row r="301" spans="2:57" hidden="1">
      <c r="B301" s="194" t="s">
        <v>75</v>
      </c>
      <c r="C301" s="194" t="s">
        <v>35</v>
      </c>
      <c r="D301" s="195">
        <v>19</v>
      </c>
      <c r="E301" s="194" t="s">
        <v>76</v>
      </c>
      <c r="F301" s="204" t="s">
        <v>468</v>
      </c>
      <c r="G301" s="204" t="s">
        <v>469</v>
      </c>
      <c r="H301" s="246">
        <v>1</v>
      </c>
      <c r="I30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301" s="88">
        <v>43358</v>
      </c>
      <c r="K301" s="139" t="s">
        <v>461</v>
      </c>
      <c r="L301" s="198" t="s">
        <v>470</v>
      </c>
      <c r="M301" s="139"/>
      <c r="N301" s="197"/>
      <c r="O301" s="255">
        <f>MONTH(LstMachines[[#This Row],[Delivery]])</f>
        <v>9</v>
      </c>
      <c r="P301" s="256" t="str">
        <f>FIXED(YEAR(LstMachines[[#This Row],[Delivery]]),0,TRUE)</f>
        <v>2018</v>
      </c>
      <c r="Q301" s="205"/>
      <c r="R301" s="241"/>
      <c r="S301" s="197"/>
      <c r="T301" s="197"/>
      <c r="U301" s="197"/>
      <c r="V301" s="193"/>
      <c r="W301" s="139"/>
      <c r="X301" s="258">
        <f>LstMachines[[#This Row],[Delivery]]</f>
        <v>43358</v>
      </c>
      <c r="Y301" s="258" t="str">
        <f xml:space="preserve"> IF(MONTH(LstMachines[[#This Row],[DateLivr]])&lt;10,"0","") &amp; MONTH(LstMachines[[#This Row],[DateLivr]]) &amp;"-"&amp;YEAR(LstMachines[[#This Row],[DateLivr]])</f>
        <v>09-2018</v>
      </c>
      <c r="Z301" s="258">
        <f>LstMachines[[#This Row],[Delivery]]+Rglt_à_HCME</f>
        <v>43418</v>
      </c>
      <c r="AA301" s="258" t="str">
        <f xml:space="preserve"> IF(MONTH(LstMachines[[#This Row],[DatePaie]])&lt;10,"0","") &amp; MONTH(LstMachines[[#This Row],[DatePaie]])&amp;"-"&amp;YEAR(LstMachines[[#This Row],[DatePaie]])</f>
        <v>11-2018</v>
      </c>
      <c r="AB301" s="258">
        <f>LstMachines[[#This Row],[DateLivr]]+1</f>
        <v>43359</v>
      </c>
      <c r="AC301" s="258" t="str">
        <f xml:space="preserve"> IF(MONTH(LstMachines[[#This Row],[Distrib]])&lt;10,"0","") &amp; MONTH(LstMachines[[#This Row],[Distrib]]) &amp; "-" &amp; YEAR(LstMachines[[#This Row],[Distrib]])</f>
        <v>09-2018</v>
      </c>
      <c r="AD301" s="258">
        <f>LstMachines[[#This Row],[DateLivr]]+Délai_Vente</f>
        <v>43478</v>
      </c>
      <c r="AE301" s="258" t="str">
        <f xml:space="preserve"> IF(MONTH(LstMachines[[#This Row],[VteESM]])&lt;10,"0","") &amp; MONTH(LstMachines[[#This Row],[VteESM]]) &amp; "-" &amp; YEAR(LstMachines[[#This Row],[VteESM]])</f>
        <v>01-2019</v>
      </c>
      <c r="AF301" s="258">
        <f>LstMachines[[#This Row],[DateLivr]]+Rglt_à_ESMTP</f>
        <v>43418</v>
      </c>
      <c r="AG301" s="258" t="str">
        <f xml:space="preserve"> IF(MONTH(LstMachines[[#This Row],[RgltDistrib]])&lt;10,"0","") &amp; MONTH(LstMachines[[#This Row],[RgltDistrib]]) &amp; "-" &amp; YEAR(LstMachines[[#This Row],[RgltDistrib]])</f>
        <v>11-2018</v>
      </c>
      <c r="AH301" s="258">
        <f>LstMachines[[#This Row],[VteESM]]+Rglt_à_ESMTP</f>
        <v>43538</v>
      </c>
      <c r="AI301" s="258" t="str">
        <f xml:space="preserve"> IF(MONTH(LstMachines[[#This Row],[RgltVteESM]])&lt;10,"0","") &amp; MONTH(LstMachines[[#This Row],[RgltVteESM]]) &amp; "-" &amp; YEAR(LstMachines[[#This Row],[RgltVteESM]])</f>
        <v>03-2019</v>
      </c>
      <c r="AJ301" s="140">
        <f>MONTH(LstMachines[[#This Row],[DatePaie]])</f>
        <v>11</v>
      </c>
      <c r="AK301" s="88" t="str">
        <f>FIXED(YEAR(LstMachines[[#This Row],[DatePaie]]),0,TRUE)</f>
        <v>2018</v>
      </c>
      <c r="AL301" s="140"/>
      <c r="AM301" s="414"/>
      <c r="AN301" s="92"/>
      <c r="AO301" s="92"/>
      <c r="AP301" s="92"/>
      <c r="AQ301" s="92"/>
      <c r="AR301" s="92"/>
      <c r="AS301" s="92"/>
      <c r="AT301" s="92"/>
      <c r="AU301" s="92"/>
      <c r="AV301" s="92"/>
      <c r="AW301" s="92"/>
      <c r="AX301" s="92"/>
      <c r="AY301" s="92"/>
      <c r="BA301" s="92"/>
      <c r="BC301" s="92"/>
      <c r="BD301" s="92"/>
      <c r="BE301" s="92"/>
    </row>
    <row r="302" spans="2:57" hidden="1">
      <c r="B302" s="194" t="s">
        <v>75</v>
      </c>
      <c r="C302" s="194" t="s">
        <v>36</v>
      </c>
      <c r="D302" s="195">
        <v>26</v>
      </c>
      <c r="E302" s="194" t="s">
        <v>361</v>
      </c>
      <c r="F302" s="204" t="s">
        <v>468</v>
      </c>
      <c r="G302" s="204" t="s">
        <v>469</v>
      </c>
      <c r="H302" s="246">
        <v>1</v>
      </c>
      <c r="I30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302" s="88">
        <v>43358</v>
      </c>
      <c r="K302" s="139" t="s">
        <v>461</v>
      </c>
      <c r="L302" s="198" t="s">
        <v>470</v>
      </c>
      <c r="M302" s="139"/>
      <c r="N302" s="197"/>
      <c r="O302" s="255">
        <f>MONTH(LstMachines[[#This Row],[Delivery]])</f>
        <v>9</v>
      </c>
      <c r="P302" s="256" t="str">
        <f>FIXED(YEAR(LstMachines[[#This Row],[Delivery]]),0,TRUE)</f>
        <v>2018</v>
      </c>
      <c r="Q302" s="205"/>
      <c r="R302" s="241"/>
      <c r="S302" s="197"/>
      <c r="T302" s="197"/>
      <c r="U302" s="197"/>
      <c r="V302" s="193"/>
      <c r="W302" s="139"/>
      <c r="X302" s="258">
        <f>LstMachines[[#This Row],[Delivery]]</f>
        <v>43358</v>
      </c>
      <c r="Y302" s="258" t="str">
        <f xml:space="preserve"> IF(MONTH(LstMachines[[#This Row],[DateLivr]])&lt;10,"0","") &amp; MONTH(LstMachines[[#This Row],[DateLivr]]) &amp;"-"&amp;YEAR(LstMachines[[#This Row],[DateLivr]])</f>
        <v>09-2018</v>
      </c>
      <c r="Z302" s="258">
        <f>LstMachines[[#This Row],[Delivery]]+Rglt_à_HCME</f>
        <v>43418</v>
      </c>
      <c r="AA302" s="258" t="str">
        <f xml:space="preserve"> IF(MONTH(LstMachines[[#This Row],[DatePaie]])&lt;10,"0","") &amp; MONTH(LstMachines[[#This Row],[DatePaie]])&amp;"-"&amp;YEAR(LstMachines[[#This Row],[DatePaie]])</f>
        <v>11-2018</v>
      </c>
      <c r="AB302" s="258">
        <f>LstMachines[[#This Row],[DateLivr]]+1</f>
        <v>43359</v>
      </c>
      <c r="AC302" s="258" t="str">
        <f xml:space="preserve"> IF(MONTH(LstMachines[[#This Row],[Distrib]])&lt;10,"0","") &amp; MONTH(LstMachines[[#This Row],[Distrib]]) &amp; "-" &amp; YEAR(LstMachines[[#This Row],[Distrib]])</f>
        <v>09-2018</v>
      </c>
      <c r="AD302" s="258">
        <f>LstMachines[[#This Row],[DateLivr]]+Délai_Vente</f>
        <v>43478</v>
      </c>
      <c r="AE302" s="258" t="str">
        <f xml:space="preserve"> IF(MONTH(LstMachines[[#This Row],[VteESM]])&lt;10,"0","") &amp; MONTH(LstMachines[[#This Row],[VteESM]]) &amp; "-" &amp; YEAR(LstMachines[[#This Row],[VteESM]])</f>
        <v>01-2019</v>
      </c>
      <c r="AF302" s="258">
        <f>LstMachines[[#This Row],[DateLivr]]+Rglt_à_ESMTP</f>
        <v>43418</v>
      </c>
      <c r="AG302" s="258" t="str">
        <f xml:space="preserve"> IF(MONTH(LstMachines[[#This Row],[RgltDistrib]])&lt;10,"0","") &amp; MONTH(LstMachines[[#This Row],[RgltDistrib]]) &amp; "-" &amp; YEAR(LstMachines[[#This Row],[RgltDistrib]])</f>
        <v>11-2018</v>
      </c>
      <c r="AH302" s="258">
        <f>LstMachines[[#This Row],[VteESM]]+Rglt_à_ESMTP</f>
        <v>43538</v>
      </c>
      <c r="AI302" s="258" t="str">
        <f xml:space="preserve"> IF(MONTH(LstMachines[[#This Row],[RgltVteESM]])&lt;10,"0","") &amp; MONTH(LstMachines[[#This Row],[RgltVteESM]]) &amp; "-" &amp; YEAR(LstMachines[[#This Row],[RgltVteESM]])</f>
        <v>03-2019</v>
      </c>
      <c r="AJ302" s="140">
        <f>MONTH(LstMachines[[#This Row],[DatePaie]])</f>
        <v>11</v>
      </c>
      <c r="AK302" s="88" t="str">
        <f>FIXED(YEAR(LstMachines[[#This Row],[DatePaie]]),0,TRUE)</f>
        <v>2018</v>
      </c>
      <c r="AL302" s="140"/>
      <c r="AM302" s="414"/>
      <c r="AN302" s="92"/>
      <c r="AO302" s="92"/>
      <c r="AP302" s="92"/>
      <c r="AQ302" s="92"/>
      <c r="AR302" s="92"/>
      <c r="AS302" s="92"/>
      <c r="AT302" s="92"/>
      <c r="AU302" s="92"/>
      <c r="AV302" s="92"/>
      <c r="AW302" s="92"/>
      <c r="AX302" s="92"/>
      <c r="AY302" s="92"/>
      <c r="BA302" s="92"/>
      <c r="BC302" s="92"/>
      <c r="BD302" s="92"/>
      <c r="BE302" s="92"/>
    </row>
    <row r="303" spans="2:57" hidden="1">
      <c r="B303" s="194" t="s">
        <v>75</v>
      </c>
      <c r="C303" s="194" t="s">
        <v>36</v>
      </c>
      <c r="D303" s="195">
        <v>26</v>
      </c>
      <c r="E303" s="194" t="s">
        <v>355</v>
      </c>
      <c r="F303" s="204" t="s">
        <v>468</v>
      </c>
      <c r="G303" s="204" t="s">
        <v>469</v>
      </c>
      <c r="H303" s="246">
        <v>1</v>
      </c>
      <c r="I30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303" s="88">
        <v>43358</v>
      </c>
      <c r="K303" s="139" t="s">
        <v>461</v>
      </c>
      <c r="L303" s="198" t="s">
        <v>470</v>
      </c>
      <c r="M303" s="139"/>
      <c r="N303" s="197"/>
      <c r="O303" s="255">
        <f>MONTH(LstMachines[[#This Row],[Delivery]])</f>
        <v>9</v>
      </c>
      <c r="P303" s="256" t="str">
        <f>FIXED(YEAR(LstMachines[[#This Row],[Delivery]]),0,TRUE)</f>
        <v>2018</v>
      </c>
      <c r="Q303" s="205"/>
      <c r="R303" s="241"/>
      <c r="S303" s="197"/>
      <c r="T303" s="197"/>
      <c r="U303" s="197"/>
      <c r="V303" s="193"/>
      <c r="W303" s="139"/>
      <c r="X303" s="258">
        <f>LstMachines[[#This Row],[Delivery]]</f>
        <v>43358</v>
      </c>
      <c r="Y303" s="258" t="str">
        <f xml:space="preserve"> IF(MONTH(LstMachines[[#This Row],[DateLivr]])&lt;10,"0","") &amp; MONTH(LstMachines[[#This Row],[DateLivr]]) &amp;"-"&amp;YEAR(LstMachines[[#This Row],[DateLivr]])</f>
        <v>09-2018</v>
      </c>
      <c r="Z303" s="258">
        <f>LstMachines[[#This Row],[Delivery]]+Rglt_à_HCME</f>
        <v>43418</v>
      </c>
      <c r="AA303" s="258" t="str">
        <f xml:space="preserve"> IF(MONTH(LstMachines[[#This Row],[DatePaie]])&lt;10,"0","") &amp; MONTH(LstMachines[[#This Row],[DatePaie]])&amp;"-"&amp;YEAR(LstMachines[[#This Row],[DatePaie]])</f>
        <v>11-2018</v>
      </c>
      <c r="AB303" s="258">
        <f>LstMachines[[#This Row],[DateLivr]]+1</f>
        <v>43359</v>
      </c>
      <c r="AC303" s="258" t="str">
        <f xml:space="preserve"> IF(MONTH(LstMachines[[#This Row],[Distrib]])&lt;10,"0","") &amp; MONTH(LstMachines[[#This Row],[Distrib]]) &amp; "-" &amp; YEAR(LstMachines[[#This Row],[Distrib]])</f>
        <v>09-2018</v>
      </c>
      <c r="AD303" s="258">
        <f>LstMachines[[#This Row],[DateLivr]]+Délai_Vente</f>
        <v>43478</v>
      </c>
      <c r="AE303" s="258" t="str">
        <f xml:space="preserve"> IF(MONTH(LstMachines[[#This Row],[VteESM]])&lt;10,"0","") &amp; MONTH(LstMachines[[#This Row],[VteESM]]) &amp; "-" &amp; YEAR(LstMachines[[#This Row],[VteESM]])</f>
        <v>01-2019</v>
      </c>
      <c r="AF303" s="258">
        <f>LstMachines[[#This Row],[DateLivr]]+Rglt_à_ESMTP</f>
        <v>43418</v>
      </c>
      <c r="AG303" s="258" t="str">
        <f xml:space="preserve"> IF(MONTH(LstMachines[[#This Row],[RgltDistrib]])&lt;10,"0","") &amp; MONTH(LstMachines[[#This Row],[RgltDistrib]]) &amp; "-" &amp; YEAR(LstMachines[[#This Row],[RgltDistrib]])</f>
        <v>11-2018</v>
      </c>
      <c r="AH303" s="258">
        <f>LstMachines[[#This Row],[VteESM]]+Rglt_à_ESMTP</f>
        <v>43538</v>
      </c>
      <c r="AI303" s="258" t="str">
        <f xml:space="preserve"> IF(MONTH(LstMachines[[#This Row],[RgltVteESM]])&lt;10,"0","") &amp; MONTH(LstMachines[[#This Row],[RgltVteESM]]) &amp; "-" &amp; YEAR(LstMachines[[#This Row],[RgltVteESM]])</f>
        <v>03-2019</v>
      </c>
      <c r="AJ303" s="140">
        <f>MONTH(LstMachines[[#This Row],[DatePaie]])</f>
        <v>11</v>
      </c>
      <c r="AK303" s="88" t="str">
        <f>FIXED(YEAR(LstMachines[[#This Row],[DatePaie]]),0,TRUE)</f>
        <v>2018</v>
      </c>
      <c r="AL303" s="140"/>
      <c r="AM303" s="414"/>
      <c r="AN303" s="92"/>
      <c r="AO303" s="92"/>
      <c r="AP303" s="92"/>
      <c r="AQ303" s="92"/>
      <c r="AR303" s="92"/>
      <c r="AS303" s="92"/>
      <c r="AT303" s="92"/>
      <c r="AU303" s="92"/>
      <c r="AV303" s="92"/>
      <c r="AW303" s="92"/>
      <c r="AX303" s="92"/>
      <c r="AY303" s="92"/>
      <c r="BA303" s="92"/>
      <c r="BC303" s="92"/>
      <c r="BD303" s="92"/>
      <c r="BE303" s="92"/>
    </row>
    <row r="304" spans="2:57" hidden="1">
      <c r="B304" s="194" t="s">
        <v>75</v>
      </c>
      <c r="C304" s="194" t="s">
        <v>38</v>
      </c>
      <c r="D304" s="195">
        <v>65</v>
      </c>
      <c r="E304" s="194" t="s">
        <v>359</v>
      </c>
      <c r="F304" s="204" t="s">
        <v>468</v>
      </c>
      <c r="G304" s="204" t="s">
        <v>469</v>
      </c>
      <c r="H304" s="246">
        <v>1</v>
      </c>
      <c r="I30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304" s="88">
        <v>43358</v>
      </c>
      <c r="K304" s="139" t="s">
        <v>461</v>
      </c>
      <c r="L304" s="198" t="s">
        <v>470</v>
      </c>
      <c r="M304" s="139"/>
      <c r="N304" s="197"/>
      <c r="O304" s="255">
        <f>MONTH(LstMachines[[#This Row],[Delivery]])</f>
        <v>9</v>
      </c>
      <c r="P304" s="256" t="str">
        <f>FIXED(YEAR(LstMachines[[#This Row],[Delivery]]),0,TRUE)</f>
        <v>2018</v>
      </c>
      <c r="Q304" s="205"/>
      <c r="R304" s="241"/>
      <c r="S304" s="197"/>
      <c r="T304" s="197"/>
      <c r="U304" s="197"/>
      <c r="V304" s="193"/>
      <c r="W304" s="139"/>
      <c r="X304" s="258">
        <f>LstMachines[[#This Row],[Delivery]]</f>
        <v>43358</v>
      </c>
      <c r="Y304" s="258" t="str">
        <f xml:space="preserve"> IF(MONTH(LstMachines[[#This Row],[DateLivr]])&lt;10,"0","") &amp; MONTH(LstMachines[[#This Row],[DateLivr]]) &amp;"-"&amp;YEAR(LstMachines[[#This Row],[DateLivr]])</f>
        <v>09-2018</v>
      </c>
      <c r="Z304" s="258">
        <f>LstMachines[[#This Row],[Delivery]]+Rglt_à_HCME</f>
        <v>43418</v>
      </c>
      <c r="AA304" s="258" t="str">
        <f xml:space="preserve"> IF(MONTH(LstMachines[[#This Row],[DatePaie]])&lt;10,"0","") &amp; MONTH(LstMachines[[#This Row],[DatePaie]])&amp;"-"&amp;YEAR(LstMachines[[#This Row],[DatePaie]])</f>
        <v>11-2018</v>
      </c>
      <c r="AB304" s="258">
        <f>LstMachines[[#This Row],[DateLivr]]+1</f>
        <v>43359</v>
      </c>
      <c r="AC304" s="258" t="str">
        <f xml:space="preserve"> IF(MONTH(LstMachines[[#This Row],[Distrib]])&lt;10,"0","") &amp; MONTH(LstMachines[[#This Row],[Distrib]]) &amp; "-" &amp; YEAR(LstMachines[[#This Row],[Distrib]])</f>
        <v>09-2018</v>
      </c>
      <c r="AD304" s="258">
        <f>LstMachines[[#This Row],[DateLivr]]+Délai_Vente</f>
        <v>43478</v>
      </c>
      <c r="AE304" s="258" t="str">
        <f xml:space="preserve"> IF(MONTH(LstMachines[[#This Row],[VteESM]])&lt;10,"0","") &amp; MONTH(LstMachines[[#This Row],[VteESM]]) &amp; "-" &amp; YEAR(LstMachines[[#This Row],[VteESM]])</f>
        <v>01-2019</v>
      </c>
      <c r="AF304" s="258">
        <f>LstMachines[[#This Row],[DateLivr]]+Rglt_à_ESMTP</f>
        <v>43418</v>
      </c>
      <c r="AG304" s="258" t="str">
        <f xml:space="preserve"> IF(MONTH(LstMachines[[#This Row],[RgltDistrib]])&lt;10,"0","") &amp; MONTH(LstMachines[[#This Row],[RgltDistrib]]) &amp; "-" &amp; YEAR(LstMachines[[#This Row],[RgltDistrib]])</f>
        <v>11-2018</v>
      </c>
      <c r="AH304" s="258">
        <f>LstMachines[[#This Row],[VteESM]]+Rglt_à_ESMTP</f>
        <v>43538</v>
      </c>
      <c r="AI304" s="258" t="str">
        <f xml:space="preserve"> IF(MONTH(LstMachines[[#This Row],[RgltVteESM]])&lt;10,"0","") &amp; MONTH(LstMachines[[#This Row],[RgltVteESM]]) &amp; "-" &amp; YEAR(LstMachines[[#This Row],[RgltVteESM]])</f>
        <v>03-2019</v>
      </c>
      <c r="AJ304" s="140">
        <f>MONTH(LstMachines[[#This Row],[DatePaie]])</f>
        <v>11</v>
      </c>
      <c r="AK304" s="88" t="str">
        <f>FIXED(YEAR(LstMachines[[#This Row],[DatePaie]]),0,TRUE)</f>
        <v>2018</v>
      </c>
      <c r="AL304" s="140"/>
      <c r="AM304" s="414"/>
      <c r="AN304" s="92"/>
      <c r="AO304" s="92"/>
      <c r="AP304" s="92"/>
      <c r="AQ304" s="92"/>
      <c r="AR304" s="92"/>
      <c r="AS304" s="92"/>
      <c r="AT304" s="92"/>
      <c r="AU304" s="92"/>
      <c r="AV304" s="92"/>
      <c r="AW304" s="92"/>
      <c r="AX304" s="92"/>
      <c r="AY304" s="92"/>
      <c r="BA304" s="92"/>
      <c r="BC304" s="92"/>
      <c r="BD304" s="92"/>
      <c r="BE304" s="92"/>
    </row>
    <row r="305" spans="2:57" hidden="1">
      <c r="B305" s="194" t="s">
        <v>262</v>
      </c>
      <c r="C305" s="194" t="s">
        <v>39</v>
      </c>
      <c r="D305" s="195">
        <v>85</v>
      </c>
      <c r="E305" s="194" t="s">
        <v>356</v>
      </c>
      <c r="F305" s="204" t="s">
        <v>468</v>
      </c>
      <c r="G305" s="204" t="s">
        <v>469</v>
      </c>
      <c r="H305" s="246">
        <v>1</v>
      </c>
      <c r="I30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305" s="88">
        <v>43358</v>
      </c>
      <c r="K305" s="139" t="s">
        <v>461</v>
      </c>
      <c r="L305" s="198" t="s">
        <v>470</v>
      </c>
      <c r="M305" s="139"/>
      <c r="N305" s="197"/>
      <c r="O305" s="255">
        <f>MONTH(LstMachines[[#This Row],[Delivery]])</f>
        <v>9</v>
      </c>
      <c r="P305" s="256" t="str">
        <f>FIXED(YEAR(LstMachines[[#This Row],[Delivery]]),0,TRUE)</f>
        <v>2018</v>
      </c>
      <c r="Q305" s="205"/>
      <c r="R305" s="241"/>
      <c r="S305" s="197"/>
      <c r="T305" s="197"/>
      <c r="U305" s="197"/>
      <c r="V305" s="193"/>
      <c r="W305" s="139"/>
      <c r="X305" s="258">
        <f>LstMachines[[#This Row],[Delivery]]</f>
        <v>43358</v>
      </c>
      <c r="Y305" s="258" t="str">
        <f xml:space="preserve"> IF(MONTH(LstMachines[[#This Row],[DateLivr]])&lt;10,"0","") &amp; MONTH(LstMachines[[#This Row],[DateLivr]]) &amp;"-"&amp;YEAR(LstMachines[[#This Row],[DateLivr]])</f>
        <v>09-2018</v>
      </c>
      <c r="Z305" s="258">
        <f>LstMachines[[#This Row],[Delivery]]+Rglt_à_HCME</f>
        <v>43418</v>
      </c>
      <c r="AA305" s="258" t="str">
        <f xml:space="preserve"> IF(MONTH(LstMachines[[#This Row],[DatePaie]])&lt;10,"0","") &amp; MONTH(LstMachines[[#This Row],[DatePaie]])&amp;"-"&amp;YEAR(LstMachines[[#This Row],[DatePaie]])</f>
        <v>11-2018</v>
      </c>
      <c r="AB305" s="258">
        <f>LstMachines[[#This Row],[DateLivr]]+1</f>
        <v>43359</v>
      </c>
      <c r="AC305" s="258" t="str">
        <f xml:space="preserve"> IF(MONTH(LstMachines[[#This Row],[Distrib]])&lt;10,"0","") &amp; MONTH(LstMachines[[#This Row],[Distrib]]) &amp; "-" &amp; YEAR(LstMachines[[#This Row],[Distrib]])</f>
        <v>09-2018</v>
      </c>
      <c r="AD305" s="258">
        <f>LstMachines[[#This Row],[DateLivr]]+Délai_Vente</f>
        <v>43478</v>
      </c>
      <c r="AE305" s="258" t="str">
        <f xml:space="preserve"> IF(MONTH(LstMachines[[#This Row],[VteESM]])&lt;10,"0","") &amp; MONTH(LstMachines[[#This Row],[VteESM]]) &amp; "-" &amp; YEAR(LstMachines[[#This Row],[VteESM]])</f>
        <v>01-2019</v>
      </c>
      <c r="AF305" s="258">
        <f>LstMachines[[#This Row],[DateLivr]]+Rglt_à_ESMTP</f>
        <v>43418</v>
      </c>
      <c r="AG305" s="258" t="str">
        <f xml:space="preserve"> IF(MONTH(LstMachines[[#This Row],[RgltDistrib]])&lt;10,"0","") &amp; MONTH(LstMachines[[#This Row],[RgltDistrib]]) &amp; "-" &amp; YEAR(LstMachines[[#This Row],[RgltDistrib]])</f>
        <v>11-2018</v>
      </c>
      <c r="AH305" s="258">
        <f>LstMachines[[#This Row],[VteESM]]+Rglt_à_ESMTP</f>
        <v>43538</v>
      </c>
      <c r="AI305" s="258" t="str">
        <f xml:space="preserve"> IF(MONTH(LstMachines[[#This Row],[RgltVteESM]])&lt;10,"0","") &amp; MONTH(LstMachines[[#This Row],[RgltVteESM]]) &amp; "-" &amp; YEAR(LstMachines[[#This Row],[RgltVteESM]])</f>
        <v>03-2019</v>
      </c>
      <c r="AJ305" s="140">
        <f>MONTH(LstMachines[[#This Row],[DatePaie]])</f>
        <v>11</v>
      </c>
      <c r="AK305" s="88" t="str">
        <f>FIXED(YEAR(LstMachines[[#This Row],[DatePaie]]),0,TRUE)</f>
        <v>2018</v>
      </c>
      <c r="AL305" s="140"/>
      <c r="AM305" s="414"/>
      <c r="AN305" s="92"/>
      <c r="AO305" s="92"/>
      <c r="AP305" s="92"/>
      <c r="AQ305" s="92"/>
      <c r="AR305" s="92"/>
      <c r="AS305" s="92"/>
      <c r="AT305" s="92"/>
      <c r="AU305" s="92"/>
      <c r="AV305" s="92"/>
      <c r="AW305" s="92"/>
      <c r="AX305" s="92"/>
      <c r="AY305" s="92"/>
      <c r="BA305" s="92"/>
      <c r="BC305" s="92"/>
      <c r="BD305" s="92"/>
      <c r="BE305" s="92"/>
    </row>
    <row r="306" spans="2:57" hidden="1">
      <c r="B306" s="104" t="s">
        <v>262</v>
      </c>
      <c r="C306" s="252" t="s">
        <v>44</v>
      </c>
      <c r="D306" s="245">
        <v>225</v>
      </c>
      <c r="E306" s="194" t="s">
        <v>205</v>
      </c>
      <c r="F306" s="204" t="s">
        <v>468</v>
      </c>
      <c r="G306" s="89" t="s">
        <v>469</v>
      </c>
      <c r="H306" s="246">
        <v>1</v>
      </c>
      <c r="I30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306" s="88">
        <v>43358</v>
      </c>
      <c r="K306" s="248" t="s">
        <v>461</v>
      </c>
      <c r="L306" s="244" t="s">
        <v>470</v>
      </c>
      <c r="M306" s="248"/>
      <c r="N306"/>
      <c r="O306" s="255">
        <f>MONTH(LstMachines[[#This Row],[Delivery]])</f>
        <v>9</v>
      </c>
      <c r="P306" s="256" t="str">
        <f>FIXED(YEAR(LstMachines[[#This Row],[Delivery]]),0,TRUE)</f>
        <v>2018</v>
      </c>
      <c r="Q306"/>
      <c r="R306"/>
      <c r="S306"/>
      <c r="T306"/>
      <c r="U306"/>
      <c r="V306"/>
      <c r="W306"/>
      <c r="X306" s="258">
        <f>LstMachines[[#This Row],[Delivery]]</f>
        <v>43358</v>
      </c>
      <c r="Y306" s="258" t="str">
        <f xml:space="preserve"> IF(MONTH(LstMachines[[#This Row],[DateLivr]])&lt;10,"0","") &amp; MONTH(LstMachines[[#This Row],[DateLivr]]) &amp;"-"&amp;YEAR(LstMachines[[#This Row],[DateLivr]])</f>
        <v>09-2018</v>
      </c>
      <c r="Z306" s="258">
        <f>LstMachines[[#This Row],[Delivery]]+Rglt_à_HCME</f>
        <v>43418</v>
      </c>
      <c r="AA306" s="258" t="str">
        <f xml:space="preserve"> IF(MONTH(LstMachines[[#This Row],[DatePaie]])&lt;10,"0","") &amp; MONTH(LstMachines[[#This Row],[DatePaie]])&amp;"-"&amp;YEAR(LstMachines[[#This Row],[DatePaie]])</f>
        <v>11-2018</v>
      </c>
      <c r="AB306" s="258">
        <f>LstMachines[[#This Row],[DateLivr]]+1</f>
        <v>43359</v>
      </c>
      <c r="AC306" s="258" t="str">
        <f xml:space="preserve"> IF(MONTH(LstMachines[[#This Row],[Distrib]])&lt;10,"0","") &amp; MONTH(LstMachines[[#This Row],[Distrib]]) &amp; "-" &amp; YEAR(LstMachines[[#This Row],[Distrib]])</f>
        <v>09-2018</v>
      </c>
      <c r="AD306" s="258">
        <f>LstMachines[[#This Row],[DateLivr]]+Délai_Vente</f>
        <v>43478</v>
      </c>
      <c r="AE306" s="258" t="str">
        <f xml:space="preserve"> IF(MONTH(LstMachines[[#This Row],[VteESM]])&lt;10,"0","") &amp; MONTH(LstMachines[[#This Row],[VteESM]]) &amp; "-" &amp; YEAR(LstMachines[[#This Row],[VteESM]])</f>
        <v>01-2019</v>
      </c>
      <c r="AF306" s="258">
        <f>LstMachines[[#This Row],[DateLivr]]+Rglt_à_ESMTP</f>
        <v>43418</v>
      </c>
      <c r="AG306" s="258" t="str">
        <f xml:space="preserve"> IF(MONTH(LstMachines[[#This Row],[RgltDistrib]])&lt;10,"0","") &amp; MONTH(LstMachines[[#This Row],[RgltDistrib]]) &amp; "-" &amp; YEAR(LstMachines[[#This Row],[RgltDistrib]])</f>
        <v>11-2018</v>
      </c>
      <c r="AH306" s="258">
        <f>LstMachines[[#This Row],[VteESM]]+Rglt_à_ESMTP</f>
        <v>43538</v>
      </c>
      <c r="AI306" s="258" t="str">
        <f xml:space="preserve"> IF(MONTH(LstMachines[[#This Row],[RgltVteESM]])&lt;10,"0","") &amp; MONTH(LstMachines[[#This Row],[RgltVteESM]]) &amp; "-" &amp; YEAR(LstMachines[[#This Row],[RgltVteESM]])</f>
        <v>03-2019</v>
      </c>
      <c r="AJ306" s="140">
        <f>MONTH(LstMachines[[#This Row],[DatePaie]])</f>
        <v>11</v>
      </c>
      <c r="AK306" s="88" t="str">
        <f>FIXED(YEAR(LstMachines[[#This Row],[DatePaie]]),0,TRUE)</f>
        <v>2018</v>
      </c>
      <c r="AL306" s="140"/>
      <c r="AM306" s="414"/>
      <c r="AN306" s="92"/>
      <c r="AO306" s="92"/>
      <c r="AP306" s="92"/>
      <c r="AQ306" s="92"/>
      <c r="AR306" s="92"/>
      <c r="AS306" s="92"/>
      <c r="AT306" s="92"/>
      <c r="AU306" s="92"/>
      <c r="AV306" s="92"/>
      <c r="AW306" s="92"/>
      <c r="AX306" s="92"/>
      <c r="AY306" s="92"/>
      <c r="BA306" s="92"/>
      <c r="BC306" s="92"/>
      <c r="BD306" s="92"/>
      <c r="BE306" s="92"/>
    </row>
    <row r="307" spans="2:57" hidden="1">
      <c r="B307" s="194" t="s">
        <v>262</v>
      </c>
      <c r="C307" s="194" t="s">
        <v>44</v>
      </c>
      <c r="D307" s="195">
        <v>225</v>
      </c>
      <c r="E307" s="194" t="s">
        <v>205</v>
      </c>
      <c r="F307" s="204" t="s">
        <v>468</v>
      </c>
      <c r="G307" s="204" t="s">
        <v>469</v>
      </c>
      <c r="H307" s="193">
        <v>2</v>
      </c>
      <c r="I30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256</v>
      </c>
      <c r="J307" s="88">
        <v>43358</v>
      </c>
      <c r="K307" s="139" t="s">
        <v>461</v>
      </c>
      <c r="L307" s="198" t="s">
        <v>470</v>
      </c>
      <c r="M307" s="139"/>
      <c r="N307" s="197"/>
      <c r="O307" s="255">
        <f>MONTH(LstMachines[[#This Row],[Delivery]])</f>
        <v>9</v>
      </c>
      <c r="P307" s="256" t="str">
        <f>FIXED(YEAR(LstMachines[[#This Row],[Delivery]]),0,TRUE)</f>
        <v>2018</v>
      </c>
      <c r="Q307" s="205"/>
      <c r="R307" s="241"/>
      <c r="S307" s="197"/>
      <c r="T307" s="197"/>
      <c r="U307" s="197"/>
      <c r="V307" s="193"/>
      <c r="W307" s="139"/>
      <c r="X307" s="258">
        <f>LstMachines[[#This Row],[Delivery]]</f>
        <v>43358</v>
      </c>
      <c r="Y307" s="258" t="str">
        <f xml:space="preserve"> IF(MONTH(LstMachines[[#This Row],[DateLivr]])&lt;10,"0","") &amp; MONTH(LstMachines[[#This Row],[DateLivr]]) &amp;"-"&amp;YEAR(LstMachines[[#This Row],[DateLivr]])</f>
        <v>09-2018</v>
      </c>
      <c r="Z307" s="258">
        <f>LstMachines[[#This Row],[Delivery]]+Rglt_à_HCME</f>
        <v>43418</v>
      </c>
      <c r="AA307" s="258" t="str">
        <f xml:space="preserve"> IF(MONTH(LstMachines[[#This Row],[DatePaie]])&lt;10,"0","") &amp; MONTH(LstMachines[[#This Row],[DatePaie]])&amp;"-"&amp;YEAR(LstMachines[[#This Row],[DatePaie]])</f>
        <v>11-2018</v>
      </c>
      <c r="AB307" s="258">
        <f>LstMachines[[#This Row],[DateLivr]]+1</f>
        <v>43359</v>
      </c>
      <c r="AC307" s="258" t="str">
        <f xml:space="preserve"> IF(MONTH(LstMachines[[#This Row],[Distrib]])&lt;10,"0","") &amp; MONTH(LstMachines[[#This Row],[Distrib]]) &amp; "-" &amp; YEAR(LstMachines[[#This Row],[Distrib]])</f>
        <v>09-2018</v>
      </c>
      <c r="AD307" s="258">
        <f>LstMachines[[#This Row],[DateLivr]]+Délai_Vente</f>
        <v>43478</v>
      </c>
      <c r="AE307" s="258" t="str">
        <f xml:space="preserve"> IF(MONTH(LstMachines[[#This Row],[VteESM]])&lt;10,"0","") &amp; MONTH(LstMachines[[#This Row],[VteESM]]) &amp; "-" &amp; YEAR(LstMachines[[#This Row],[VteESM]])</f>
        <v>01-2019</v>
      </c>
      <c r="AF307" s="258">
        <f>LstMachines[[#This Row],[DateLivr]]+Rglt_à_ESMTP</f>
        <v>43418</v>
      </c>
      <c r="AG307" s="258" t="str">
        <f xml:space="preserve"> IF(MONTH(LstMachines[[#This Row],[RgltDistrib]])&lt;10,"0","") &amp; MONTH(LstMachines[[#This Row],[RgltDistrib]]) &amp; "-" &amp; YEAR(LstMachines[[#This Row],[RgltDistrib]])</f>
        <v>11-2018</v>
      </c>
      <c r="AH307" s="258">
        <f>LstMachines[[#This Row],[VteESM]]+Rglt_à_ESMTP</f>
        <v>43538</v>
      </c>
      <c r="AI307" s="258" t="str">
        <f xml:space="preserve"> IF(MONTH(LstMachines[[#This Row],[RgltVteESM]])&lt;10,"0","") &amp; MONTH(LstMachines[[#This Row],[RgltVteESM]]) &amp; "-" &amp; YEAR(LstMachines[[#This Row],[RgltVteESM]])</f>
        <v>03-2019</v>
      </c>
      <c r="AJ307" s="140">
        <f>MONTH(LstMachines[[#This Row],[DatePaie]])</f>
        <v>11</v>
      </c>
      <c r="AK307" s="88" t="str">
        <f>FIXED(YEAR(LstMachines[[#This Row],[DatePaie]]),0,TRUE)</f>
        <v>2018</v>
      </c>
      <c r="AL307" s="140"/>
      <c r="AM307" s="414"/>
      <c r="AN307" s="92"/>
      <c r="AO307" s="92"/>
      <c r="AP307" s="92"/>
      <c r="AQ307" s="92"/>
      <c r="AR307" s="92"/>
      <c r="AS307" s="92"/>
      <c r="AT307" s="92"/>
      <c r="AU307" s="92"/>
      <c r="AV307" s="92"/>
      <c r="AW307" s="92"/>
      <c r="AX307" s="92"/>
      <c r="AY307" s="92"/>
      <c r="BA307" s="92"/>
      <c r="BC307" s="92"/>
      <c r="BD307" s="92"/>
      <c r="BE307" s="92"/>
    </row>
    <row r="308" spans="2:57" hidden="1">
      <c r="B308" s="104" t="s">
        <v>262</v>
      </c>
      <c r="C308" s="104" t="s">
        <v>44</v>
      </c>
      <c r="D308" s="87">
        <v>225</v>
      </c>
      <c r="E308" s="104" t="s">
        <v>206</v>
      </c>
      <c r="F308" s="71" t="s">
        <v>100</v>
      </c>
      <c r="G308" s="71" t="s">
        <v>31</v>
      </c>
      <c r="H308" s="89">
        <v>1</v>
      </c>
      <c r="I30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308" s="88">
        <v>43358</v>
      </c>
      <c r="K308" s="99" t="s">
        <v>463</v>
      </c>
      <c r="L308" s="120" t="s">
        <v>378</v>
      </c>
      <c r="M308" s="99"/>
      <c r="N308" s="90">
        <v>43036</v>
      </c>
      <c r="O308" s="255">
        <f>MONTH(LstMachines[[#This Row],[Delivery]])</f>
        <v>9</v>
      </c>
      <c r="P308" s="256" t="str">
        <f>FIXED(YEAR(LstMachines[[#This Row],[Delivery]]),0,TRUE)</f>
        <v>2018</v>
      </c>
      <c r="Q308" s="73" t="s">
        <v>333</v>
      </c>
      <c r="R308" s="93">
        <v>120482</v>
      </c>
      <c r="S308" s="95"/>
      <c r="T308" s="71"/>
      <c r="U308" s="72" t="s">
        <v>270</v>
      </c>
      <c r="V308" s="72">
        <v>4233</v>
      </c>
      <c r="W308" s="99" t="s">
        <v>384</v>
      </c>
      <c r="X308" s="258">
        <f>LstMachines[[#This Row],[Delivery]]</f>
        <v>43358</v>
      </c>
      <c r="Y308" s="258" t="str">
        <f xml:space="preserve"> IF(MONTH(LstMachines[[#This Row],[DateLivr]])&lt;10,"0","") &amp; MONTH(LstMachines[[#This Row],[DateLivr]]) &amp;"-"&amp;YEAR(LstMachines[[#This Row],[DateLivr]])</f>
        <v>09-2018</v>
      </c>
      <c r="Z308" s="258">
        <f>LstMachines[[#This Row],[Delivery]]+Rglt_à_HCME</f>
        <v>43418</v>
      </c>
      <c r="AA308" s="258" t="str">
        <f xml:space="preserve"> IF(MONTH(LstMachines[[#This Row],[DatePaie]])&lt;10,"0","") &amp; MONTH(LstMachines[[#This Row],[DatePaie]])&amp;"-"&amp;YEAR(LstMachines[[#This Row],[DatePaie]])</f>
        <v>11-2018</v>
      </c>
      <c r="AB308" s="258">
        <f>LstMachines[[#This Row],[DateLivr]]+1</f>
        <v>43359</v>
      </c>
      <c r="AC308" s="258" t="str">
        <f xml:space="preserve"> IF(MONTH(LstMachines[[#This Row],[Distrib]])&lt;10,"0","") &amp; MONTH(LstMachines[[#This Row],[Distrib]]) &amp; "-" &amp; YEAR(LstMachines[[#This Row],[Distrib]])</f>
        <v>09-2018</v>
      </c>
      <c r="AD308" s="258">
        <f>LstMachines[[#This Row],[DateLivr]]+Délai_Vente</f>
        <v>43478</v>
      </c>
      <c r="AE308" s="258" t="str">
        <f xml:space="preserve"> IF(MONTH(LstMachines[[#This Row],[VteESM]])&lt;10,"0","") &amp; MONTH(LstMachines[[#This Row],[VteESM]]) &amp; "-" &amp; YEAR(LstMachines[[#This Row],[VteESM]])</f>
        <v>01-2019</v>
      </c>
      <c r="AF308" s="258">
        <f>LstMachines[[#This Row],[DateLivr]]+Rglt_à_ESMTP</f>
        <v>43418</v>
      </c>
      <c r="AG308" s="258" t="str">
        <f xml:space="preserve"> IF(MONTH(LstMachines[[#This Row],[RgltDistrib]])&lt;10,"0","") &amp; MONTH(LstMachines[[#This Row],[RgltDistrib]]) &amp; "-" &amp; YEAR(LstMachines[[#This Row],[RgltDistrib]])</f>
        <v>11-2018</v>
      </c>
      <c r="AH308" s="258">
        <f>LstMachines[[#This Row],[VteESM]]+Rglt_à_ESMTP</f>
        <v>43538</v>
      </c>
      <c r="AI308" s="258" t="str">
        <f xml:space="preserve"> IF(MONTH(LstMachines[[#This Row],[RgltVteESM]])&lt;10,"0","") &amp; MONTH(LstMachines[[#This Row],[RgltVteESM]]) &amp; "-" &amp; YEAR(LstMachines[[#This Row],[RgltVteESM]])</f>
        <v>03-2019</v>
      </c>
      <c r="AJ308" s="140">
        <f>MONTH(LstMachines[[#This Row],[DatePaie]])</f>
        <v>11</v>
      </c>
      <c r="AK308" s="88" t="str">
        <f>FIXED(YEAR(LstMachines[[#This Row],[DatePaie]]),0,TRUE)</f>
        <v>2018</v>
      </c>
      <c r="AL308" s="140"/>
      <c r="AM308" s="414"/>
      <c r="AN308" s="92"/>
      <c r="AO308" s="92"/>
      <c r="AP308" s="92"/>
      <c r="AQ308" s="92"/>
      <c r="AR308" s="92"/>
      <c r="AS308" s="92"/>
      <c r="AT308" s="92"/>
      <c r="AU308" s="92"/>
      <c r="AV308" s="92"/>
      <c r="AW308" s="92"/>
      <c r="AX308" s="92"/>
      <c r="AY308" s="92"/>
      <c r="BA308" s="92"/>
      <c r="BC308" s="92"/>
      <c r="BD308" s="92"/>
      <c r="BE308" s="92"/>
    </row>
    <row r="309" spans="2:57" hidden="1">
      <c r="B309" s="104" t="s">
        <v>262</v>
      </c>
      <c r="C309" s="104" t="s">
        <v>42</v>
      </c>
      <c r="D309" s="87">
        <v>190</v>
      </c>
      <c r="E309" s="86" t="s">
        <v>200</v>
      </c>
      <c r="F309" s="87" t="s">
        <v>297</v>
      </c>
      <c r="G309" s="87" t="s">
        <v>32</v>
      </c>
      <c r="H309" s="89">
        <v>1</v>
      </c>
      <c r="I30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113</v>
      </c>
      <c r="J309" s="88">
        <v>43358</v>
      </c>
      <c r="K309" s="99" t="s">
        <v>461</v>
      </c>
      <c r="L309" s="120" t="s">
        <v>378</v>
      </c>
      <c r="M309" s="99"/>
      <c r="N309" s="90"/>
      <c r="O309" s="255">
        <f>MONTH(LstMachines[[#This Row],[Delivery]])</f>
        <v>9</v>
      </c>
      <c r="P309" s="256" t="str">
        <f>FIXED(YEAR(LstMachines[[#This Row],[Delivery]]),0,TRUE)</f>
        <v>2018</v>
      </c>
      <c r="Q309" s="73"/>
      <c r="R309" s="93"/>
      <c r="S309" s="90"/>
      <c r="T309" s="90"/>
      <c r="U309" s="90" t="s">
        <v>105</v>
      </c>
      <c r="V309" s="72"/>
      <c r="W309" s="99" t="s">
        <v>384</v>
      </c>
      <c r="X309" s="258">
        <f>LstMachines[[#This Row],[Delivery]]</f>
        <v>43358</v>
      </c>
      <c r="Y309" s="258" t="str">
        <f xml:space="preserve"> IF(MONTH(LstMachines[[#This Row],[DateLivr]])&lt;10,"0","") &amp; MONTH(LstMachines[[#This Row],[DateLivr]]) &amp;"-"&amp;YEAR(LstMachines[[#This Row],[DateLivr]])</f>
        <v>09-2018</v>
      </c>
      <c r="Z309" s="258">
        <f>LstMachines[[#This Row],[Delivery]]+Rglt_à_HCME</f>
        <v>43418</v>
      </c>
      <c r="AA309" s="258" t="str">
        <f xml:space="preserve"> IF(MONTH(LstMachines[[#This Row],[DatePaie]])&lt;10,"0","") &amp; MONTH(LstMachines[[#This Row],[DatePaie]])&amp;"-"&amp;YEAR(LstMachines[[#This Row],[DatePaie]])</f>
        <v>11-2018</v>
      </c>
      <c r="AB309" s="258">
        <f>LstMachines[[#This Row],[DateLivr]]+1</f>
        <v>43359</v>
      </c>
      <c r="AC309" s="258" t="str">
        <f xml:space="preserve"> IF(MONTH(LstMachines[[#This Row],[Distrib]])&lt;10,"0","") &amp; MONTH(LstMachines[[#This Row],[Distrib]]) &amp; "-" &amp; YEAR(LstMachines[[#This Row],[Distrib]])</f>
        <v>09-2018</v>
      </c>
      <c r="AD309" s="258">
        <f>LstMachines[[#This Row],[DateLivr]]+Délai_Vente</f>
        <v>43478</v>
      </c>
      <c r="AE309" s="258" t="str">
        <f xml:space="preserve"> IF(MONTH(LstMachines[[#This Row],[VteESM]])&lt;10,"0","") &amp; MONTH(LstMachines[[#This Row],[VteESM]]) &amp; "-" &amp; YEAR(LstMachines[[#This Row],[VteESM]])</f>
        <v>01-2019</v>
      </c>
      <c r="AF309" s="258">
        <f>LstMachines[[#This Row],[DateLivr]]+Rglt_à_ESMTP</f>
        <v>43418</v>
      </c>
      <c r="AG309" s="258" t="str">
        <f xml:space="preserve"> IF(MONTH(LstMachines[[#This Row],[RgltDistrib]])&lt;10,"0","") &amp; MONTH(LstMachines[[#This Row],[RgltDistrib]]) &amp; "-" &amp; YEAR(LstMachines[[#This Row],[RgltDistrib]])</f>
        <v>11-2018</v>
      </c>
      <c r="AH309" s="258">
        <f>LstMachines[[#This Row],[VteESM]]+Rglt_à_ESMTP</f>
        <v>43538</v>
      </c>
      <c r="AI309" s="258" t="str">
        <f xml:space="preserve"> IF(MONTH(LstMachines[[#This Row],[RgltVteESM]])&lt;10,"0","") &amp; MONTH(LstMachines[[#This Row],[RgltVteESM]]) &amp; "-" &amp; YEAR(LstMachines[[#This Row],[RgltVteESM]])</f>
        <v>03-2019</v>
      </c>
      <c r="AJ309" s="140">
        <f>MONTH(LstMachines[[#This Row],[DatePaie]])</f>
        <v>11</v>
      </c>
      <c r="AK309" s="88" t="str">
        <f>FIXED(YEAR(LstMachines[[#This Row],[DatePaie]]),0,TRUE)</f>
        <v>2018</v>
      </c>
      <c r="AL309" s="140"/>
      <c r="AM309" s="414"/>
      <c r="AN309" s="92"/>
      <c r="AO309" s="92"/>
      <c r="AP309" s="92"/>
      <c r="AQ309" s="92"/>
      <c r="AR309" s="92"/>
      <c r="AS309" s="92"/>
      <c r="AT309" s="92"/>
      <c r="AU309" s="92"/>
      <c r="AV309" s="92"/>
      <c r="AW309" s="92"/>
      <c r="AX309" s="92"/>
      <c r="AY309" s="92"/>
      <c r="BA309" s="92"/>
      <c r="BC309" s="92"/>
      <c r="BD309" s="92"/>
      <c r="BE309" s="92"/>
    </row>
    <row r="310" spans="2:57" hidden="1">
      <c r="B310" s="104" t="s">
        <v>75</v>
      </c>
      <c r="C310" s="104" t="s">
        <v>36</v>
      </c>
      <c r="D310" s="87">
        <v>26</v>
      </c>
      <c r="E310" s="104" t="s">
        <v>355</v>
      </c>
      <c r="F310" s="87" t="s">
        <v>100</v>
      </c>
      <c r="G310" s="87" t="s">
        <v>31</v>
      </c>
      <c r="H310" s="89">
        <v>1</v>
      </c>
      <c r="I31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310" s="88">
        <v>43358</v>
      </c>
      <c r="K310" s="99" t="s">
        <v>461</v>
      </c>
      <c r="L310" s="120" t="s">
        <v>378</v>
      </c>
      <c r="M310" s="99"/>
      <c r="N310" s="90"/>
      <c r="O310" s="255">
        <f>MONTH(LstMachines[[#This Row],[Delivery]])</f>
        <v>9</v>
      </c>
      <c r="P310" s="256" t="str">
        <f>FIXED(YEAR(LstMachines[[#This Row],[Delivery]]),0,TRUE)</f>
        <v>2018</v>
      </c>
      <c r="Q310" s="73"/>
      <c r="R310" s="93"/>
      <c r="S310" s="90"/>
      <c r="T310" s="90"/>
      <c r="U310" s="90" t="s">
        <v>104</v>
      </c>
      <c r="V310" s="72"/>
      <c r="W310" s="99" t="s">
        <v>383</v>
      </c>
      <c r="X310" s="258">
        <f>LstMachines[[#This Row],[Delivery]]</f>
        <v>43358</v>
      </c>
      <c r="Y310" s="258" t="str">
        <f xml:space="preserve"> IF(MONTH(LstMachines[[#This Row],[DateLivr]])&lt;10,"0","") &amp; MONTH(LstMachines[[#This Row],[DateLivr]]) &amp;"-"&amp;YEAR(LstMachines[[#This Row],[DateLivr]])</f>
        <v>09-2018</v>
      </c>
      <c r="Z310" s="258">
        <f>LstMachines[[#This Row],[Delivery]]+Rglt_à_HCME</f>
        <v>43418</v>
      </c>
      <c r="AA310" s="258" t="str">
        <f xml:space="preserve"> IF(MONTH(LstMachines[[#This Row],[DatePaie]])&lt;10,"0","") &amp; MONTH(LstMachines[[#This Row],[DatePaie]])&amp;"-"&amp;YEAR(LstMachines[[#This Row],[DatePaie]])</f>
        <v>11-2018</v>
      </c>
      <c r="AB310" s="258">
        <f>LstMachines[[#This Row],[DateLivr]]+1</f>
        <v>43359</v>
      </c>
      <c r="AC310" s="258" t="str">
        <f xml:space="preserve"> IF(MONTH(LstMachines[[#This Row],[Distrib]])&lt;10,"0","") &amp; MONTH(LstMachines[[#This Row],[Distrib]]) &amp; "-" &amp; YEAR(LstMachines[[#This Row],[Distrib]])</f>
        <v>09-2018</v>
      </c>
      <c r="AD310" s="258">
        <f>LstMachines[[#This Row],[DateLivr]]+Délai_Vente</f>
        <v>43478</v>
      </c>
      <c r="AE310" s="258" t="str">
        <f xml:space="preserve"> IF(MONTH(LstMachines[[#This Row],[VteESM]])&lt;10,"0","") &amp; MONTH(LstMachines[[#This Row],[VteESM]]) &amp; "-" &amp; YEAR(LstMachines[[#This Row],[VteESM]])</f>
        <v>01-2019</v>
      </c>
      <c r="AF310" s="258">
        <f>LstMachines[[#This Row],[DateLivr]]+Rglt_à_ESMTP</f>
        <v>43418</v>
      </c>
      <c r="AG310" s="258" t="str">
        <f xml:space="preserve"> IF(MONTH(LstMachines[[#This Row],[RgltDistrib]])&lt;10,"0","") &amp; MONTH(LstMachines[[#This Row],[RgltDistrib]]) &amp; "-" &amp; YEAR(LstMachines[[#This Row],[RgltDistrib]])</f>
        <v>11-2018</v>
      </c>
      <c r="AH310" s="258">
        <f>LstMachines[[#This Row],[VteESM]]+Rglt_à_ESMTP</f>
        <v>43538</v>
      </c>
      <c r="AI310" s="258" t="str">
        <f xml:space="preserve"> IF(MONTH(LstMachines[[#This Row],[RgltVteESM]])&lt;10,"0","") &amp; MONTH(LstMachines[[#This Row],[RgltVteESM]]) &amp; "-" &amp; YEAR(LstMachines[[#This Row],[RgltVteESM]])</f>
        <v>03-2019</v>
      </c>
      <c r="AJ310" s="140">
        <f>MONTH(LstMachines[[#This Row],[DatePaie]])</f>
        <v>11</v>
      </c>
      <c r="AK310" s="88" t="str">
        <f>FIXED(YEAR(LstMachines[[#This Row],[DatePaie]]),0,TRUE)</f>
        <v>2018</v>
      </c>
      <c r="AL310" s="140"/>
      <c r="AM310" s="414"/>
      <c r="AN310" s="92"/>
      <c r="AO310" s="92"/>
      <c r="AP310" s="92"/>
      <c r="AQ310" s="92"/>
      <c r="AR310" s="92"/>
      <c r="AS310" s="92"/>
      <c r="AT310" s="92"/>
      <c r="AU310" s="92"/>
      <c r="AV310" s="92"/>
      <c r="AW310" s="92"/>
      <c r="AX310" s="92"/>
      <c r="AY310" s="92"/>
      <c r="BA310" s="92"/>
      <c r="BC310" s="92"/>
      <c r="BD310" s="92"/>
      <c r="BE310" s="92"/>
    </row>
    <row r="311" spans="2:57" hidden="1">
      <c r="B311" s="104" t="s">
        <v>75</v>
      </c>
      <c r="C311" s="104" t="s">
        <v>37</v>
      </c>
      <c r="D311" s="87">
        <v>48</v>
      </c>
      <c r="E311" s="104" t="s">
        <v>363</v>
      </c>
      <c r="F311" s="87" t="s">
        <v>100</v>
      </c>
      <c r="G311" s="87" t="s">
        <v>31</v>
      </c>
      <c r="H311" s="89">
        <v>2</v>
      </c>
      <c r="I31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82</v>
      </c>
      <c r="J311" s="88">
        <v>43358</v>
      </c>
      <c r="K311" s="99" t="s">
        <v>461</v>
      </c>
      <c r="L311" s="120" t="s">
        <v>378</v>
      </c>
      <c r="M311" s="99"/>
      <c r="N311" s="90"/>
      <c r="O311" s="255">
        <f>MONTH(LstMachines[[#This Row],[Delivery]])</f>
        <v>9</v>
      </c>
      <c r="P311" s="256" t="str">
        <f>FIXED(YEAR(LstMachines[[#This Row],[Delivery]]),0,TRUE)</f>
        <v>2018</v>
      </c>
      <c r="Q311" s="73"/>
      <c r="R311" s="93"/>
      <c r="S311" s="90"/>
      <c r="T311" s="90"/>
      <c r="U311" s="90" t="s">
        <v>104</v>
      </c>
      <c r="V311" s="72"/>
      <c r="W311" s="99" t="s">
        <v>383</v>
      </c>
      <c r="X311" s="258">
        <f>LstMachines[[#This Row],[Delivery]]</f>
        <v>43358</v>
      </c>
      <c r="Y311" s="258" t="str">
        <f xml:space="preserve"> IF(MONTH(LstMachines[[#This Row],[DateLivr]])&lt;10,"0","") &amp; MONTH(LstMachines[[#This Row],[DateLivr]]) &amp;"-"&amp;YEAR(LstMachines[[#This Row],[DateLivr]])</f>
        <v>09-2018</v>
      </c>
      <c r="Z311" s="258">
        <f>LstMachines[[#This Row],[Delivery]]+Rglt_à_HCME</f>
        <v>43418</v>
      </c>
      <c r="AA311" s="258" t="str">
        <f xml:space="preserve"> IF(MONTH(LstMachines[[#This Row],[DatePaie]])&lt;10,"0","") &amp; MONTH(LstMachines[[#This Row],[DatePaie]])&amp;"-"&amp;YEAR(LstMachines[[#This Row],[DatePaie]])</f>
        <v>11-2018</v>
      </c>
      <c r="AB311" s="258">
        <f>LstMachines[[#This Row],[DateLivr]]+1</f>
        <v>43359</v>
      </c>
      <c r="AC311" s="258" t="str">
        <f xml:space="preserve"> IF(MONTH(LstMachines[[#This Row],[Distrib]])&lt;10,"0","") &amp; MONTH(LstMachines[[#This Row],[Distrib]]) &amp; "-" &amp; YEAR(LstMachines[[#This Row],[Distrib]])</f>
        <v>09-2018</v>
      </c>
      <c r="AD311" s="258">
        <f>LstMachines[[#This Row],[DateLivr]]+Délai_Vente</f>
        <v>43478</v>
      </c>
      <c r="AE311" s="258" t="str">
        <f xml:space="preserve"> IF(MONTH(LstMachines[[#This Row],[VteESM]])&lt;10,"0","") &amp; MONTH(LstMachines[[#This Row],[VteESM]]) &amp; "-" &amp; YEAR(LstMachines[[#This Row],[VteESM]])</f>
        <v>01-2019</v>
      </c>
      <c r="AF311" s="258">
        <f>LstMachines[[#This Row],[DateLivr]]+Rglt_à_ESMTP</f>
        <v>43418</v>
      </c>
      <c r="AG311" s="258" t="str">
        <f xml:space="preserve"> IF(MONTH(LstMachines[[#This Row],[RgltDistrib]])&lt;10,"0","") &amp; MONTH(LstMachines[[#This Row],[RgltDistrib]]) &amp; "-" &amp; YEAR(LstMachines[[#This Row],[RgltDistrib]])</f>
        <v>11-2018</v>
      </c>
      <c r="AH311" s="258">
        <f>LstMachines[[#This Row],[VteESM]]+Rglt_à_ESMTP</f>
        <v>43538</v>
      </c>
      <c r="AI311" s="258" t="str">
        <f xml:space="preserve"> IF(MONTH(LstMachines[[#This Row],[RgltVteESM]])&lt;10,"0","") &amp; MONTH(LstMachines[[#This Row],[RgltVteESM]]) &amp; "-" &amp; YEAR(LstMachines[[#This Row],[RgltVteESM]])</f>
        <v>03-2019</v>
      </c>
      <c r="AJ311" s="140">
        <f>MONTH(LstMachines[[#This Row],[DatePaie]])</f>
        <v>11</v>
      </c>
      <c r="AK311" s="88" t="str">
        <f>FIXED(YEAR(LstMachines[[#This Row],[DatePaie]]),0,TRUE)</f>
        <v>2018</v>
      </c>
      <c r="AL311" s="140"/>
      <c r="AM311" s="414"/>
      <c r="AN311" s="92"/>
      <c r="AO311" s="92"/>
      <c r="AP311" s="92"/>
      <c r="AQ311" s="92"/>
      <c r="AR311" s="92"/>
      <c r="AS311" s="92"/>
      <c r="AT311" s="92"/>
      <c r="AU311" s="92"/>
      <c r="AV311" s="92"/>
      <c r="AW311" s="92"/>
      <c r="AX311" s="92"/>
      <c r="AY311" s="92"/>
      <c r="BA311" s="92"/>
      <c r="BC311" s="92"/>
      <c r="BD311" s="92"/>
      <c r="BE311" s="92"/>
    </row>
    <row r="312" spans="2:57" hidden="1">
      <c r="B312" s="104" t="s">
        <v>263</v>
      </c>
      <c r="C312" s="368" t="s">
        <v>250</v>
      </c>
      <c r="D312" s="369">
        <v>145</v>
      </c>
      <c r="E312" s="368" t="s">
        <v>228</v>
      </c>
      <c r="F312" s="370" t="s">
        <v>100</v>
      </c>
      <c r="G312" s="370" t="s">
        <v>31</v>
      </c>
      <c r="H312" s="371">
        <v>1</v>
      </c>
      <c r="I312" s="371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115</v>
      </c>
      <c r="J312" s="88">
        <v>43358</v>
      </c>
      <c r="K312" s="373" t="s">
        <v>461</v>
      </c>
      <c r="L312" s="374" t="s">
        <v>378</v>
      </c>
      <c r="M312" s="373"/>
      <c r="N312" s="375"/>
      <c r="O312" s="376">
        <f>MONTH(LstMachines[[#This Row],[Delivery]])</f>
        <v>9</v>
      </c>
      <c r="P312" s="372" t="str">
        <f>FIXED(YEAR(LstMachines[[#This Row],[Delivery]]),0,TRUE)</f>
        <v>2018</v>
      </c>
      <c r="Q312" s="377"/>
      <c r="R312" s="378"/>
      <c r="S312" s="375"/>
      <c r="T312" s="375"/>
      <c r="U312" s="375"/>
      <c r="V312" s="371"/>
      <c r="W312" s="373"/>
      <c r="X312" s="375">
        <f>LstMachines[[#This Row],[Delivery]]</f>
        <v>43358</v>
      </c>
      <c r="Y312" s="379" t="str">
        <f xml:space="preserve"> IF(MONTH(LstMachines[[#This Row],[DateLivr]])&lt;10,"0","") &amp; MONTH(LstMachines[[#This Row],[DateLivr]]) &amp;"-"&amp;YEAR(LstMachines[[#This Row],[DateLivr]])</f>
        <v>09-2018</v>
      </c>
      <c r="Z312" s="372">
        <f>LstMachines[[#This Row],[Delivery]]+Rglt_à_HCME</f>
        <v>43418</v>
      </c>
      <c r="AA312" s="379" t="str">
        <f xml:space="preserve"> IF(MONTH(LstMachines[[#This Row],[DatePaie]])&lt;10,"0","") &amp; MONTH(LstMachines[[#This Row],[DatePaie]])&amp;"-"&amp;YEAR(LstMachines[[#This Row],[DatePaie]])</f>
        <v>11-2018</v>
      </c>
      <c r="AB312" s="379">
        <f>LstMachines[[#This Row],[DateLivr]]+1</f>
        <v>43359</v>
      </c>
      <c r="AC312" s="379" t="str">
        <f xml:space="preserve"> IF(MONTH(LstMachines[[#This Row],[Distrib]])&lt;10,"0","") &amp; MONTH(LstMachines[[#This Row],[Distrib]]) &amp; "-" &amp; YEAR(LstMachines[[#This Row],[Distrib]])</f>
        <v>09-2018</v>
      </c>
      <c r="AD312" s="379">
        <f>LstMachines[[#This Row],[DateLivr]]+Délai_Vente</f>
        <v>43478</v>
      </c>
      <c r="AE312" s="379" t="str">
        <f xml:space="preserve"> IF(MONTH(LstMachines[[#This Row],[VteESM]])&lt;10,"0","") &amp; MONTH(LstMachines[[#This Row],[VteESM]]) &amp; "-" &amp; YEAR(LstMachines[[#This Row],[VteESM]])</f>
        <v>01-2019</v>
      </c>
      <c r="AF312" s="379">
        <f>LstMachines[[#This Row],[DateLivr]]+Rglt_à_ESMTP</f>
        <v>43418</v>
      </c>
      <c r="AG312" s="379" t="str">
        <f xml:space="preserve"> IF(MONTH(LstMachines[[#This Row],[RgltDistrib]])&lt;10,"0","") &amp; MONTH(LstMachines[[#This Row],[RgltDistrib]]) &amp; "-" &amp; YEAR(LstMachines[[#This Row],[RgltDistrib]])</f>
        <v>11-2018</v>
      </c>
      <c r="AH312" s="379">
        <f>LstMachines[[#This Row],[VteESM]]+Rglt_à_ESMTP</f>
        <v>43538</v>
      </c>
      <c r="AI312" s="379" t="str">
        <f xml:space="preserve"> IF(MONTH(LstMachines[[#This Row],[RgltVteESM]])&lt;10,"0","") &amp; MONTH(LstMachines[[#This Row],[RgltVteESM]]) &amp; "-" &amp; YEAR(LstMachines[[#This Row],[RgltVteESM]])</f>
        <v>03-2019</v>
      </c>
      <c r="AJ312" s="376">
        <f>MONTH(LstMachines[[#This Row],[DatePaie]])</f>
        <v>11</v>
      </c>
      <c r="AK312" s="372" t="str">
        <f>FIXED(YEAR(LstMachines[[#This Row],[DatePaie]]),0,TRUE)</f>
        <v>2018</v>
      </c>
      <c r="AL312" s="376"/>
      <c r="AM312" s="414"/>
      <c r="AN312" s="92"/>
      <c r="AO312" s="92"/>
      <c r="AP312" s="92"/>
      <c r="AQ312" s="92"/>
      <c r="AR312" s="92"/>
      <c r="AS312" s="92"/>
      <c r="AT312" s="92"/>
      <c r="AU312" s="92"/>
      <c r="AV312" s="92"/>
      <c r="AW312" s="92"/>
      <c r="AX312" s="92"/>
      <c r="AY312" s="92"/>
      <c r="BA312" s="92"/>
      <c r="BC312" s="92"/>
      <c r="BD312" s="92"/>
      <c r="BE312" s="92"/>
    </row>
    <row r="313" spans="2:57" hidden="1">
      <c r="B313" s="104" t="s">
        <v>75</v>
      </c>
      <c r="C313" s="104" t="s">
        <v>35</v>
      </c>
      <c r="D313" s="87">
        <v>19</v>
      </c>
      <c r="E313" s="104" t="s">
        <v>76</v>
      </c>
      <c r="F313" s="87" t="s">
        <v>100</v>
      </c>
      <c r="G313" s="87" t="s">
        <v>592</v>
      </c>
      <c r="H313" s="89">
        <v>1</v>
      </c>
      <c r="I31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313" s="88">
        <v>43358</v>
      </c>
      <c r="K313" s="99" t="s">
        <v>461</v>
      </c>
      <c r="L313" s="120" t="s">
        <v>378</v>
      </c>
      <c r="M313" s="99"/>
      <c r="N313" s="90"/>
      <c r="O313" s="255">
        <f>MONTH(LstMachines[[#This Row],[Delivery]])</f>
        <v>9</v>
      </c>
      <c r="P313" s="256" t="str">
        <f>FIXED(YEAR(LstMachines[[#This Row],[Delivery]]),0,TRUE)</f>
        <v>2018</v>
      </c>
      <c r="Q313" s="73"/>
      <c r="R313" s="93"/>
      <c r="S313" s="90"/>
      <c r="T313" s="90"/>
      <c r="U313" s="90" t="s">
        <v>104</v>
      </c>
      <c r="V313" s="72"/>
      <c r="W313" s="99" t="s">
        <v>383</v>
      </c>
      <c r="X313" s="258">
        <f>LstMachines[[#This Row],[Delivery]]</f>
        <v>43358</v>
      </c>
      <c r="Y313" s="258" t="str">
        <f xml:space="preserve"> IF(MONTH(LstMachines[[#This Row],[DateLivr]])&lt;10,"0","") &amp; MONTH(LstMachines[[#This Row],[DateLivr]]) &amp;"-"&amp;YEAR(LstMachines[[#This Row],[DateLivr]])</f>
        <v>09-2018</v>
      </c>
      <c r="Z313" s="258">
        <f>LstMachines[[#This Row],[Delivery]]+Rglt_à_HCME</f>
        <v>43418</v>
      </c>
      <c r="AA313" s="258" t="str">
        <f xml:space="preserve"> IF(MONTH(LstMachines[[#This Row],[DatePaie]])&lt;10,"0","") &amp; MONTH(LstMachines[[#This Row],[DatePaie]])&amp;"-"&amp;YEAR(LstMachines[[#This Row],[DatePaie]])</f>
        <v>11-2018</v>
      </c>
      <c r="AB313" s="258">
        <f>LstMachines[[#This Row],[DateLivr]]+1</f>
        <v>43359</v>
      </c>
      <c r="AC313" s="258" t="str">
        <f xml:space="preserve"> IF(MONTH(LstMachines[[#This Row],[Distrib]])&lt;10,"0","") &amp; MONTH(LstMachines[[#This Row],[Distrib]]) &amp; "-" &amp; YEAR(LstMachines[[#This Row],[Distrib]])</f>
        <v>09-2018</v>
      </c>
      <c r="AD313" s="258">
        <f>LstMachines[[#This Row],[DateLivr]]+Délai_Vente</f>
        <v>43478</v>
      </c>
      <c r="AE313" s="258" t="str">
        <f xml:space="preserve"> IF(MONTH(LstMachines[[#This Row],[VteESM]])&lt;10,"0","") &amp; MONTH(LstMachines[[#This Row],[VteESM]]) &amp; "-" &amp; YEAR(LstMachines[[#This Row],[VteESM]])</f>
        <v>01-2019</v>
      </c>
      <c r="AF313" s="258">
        <f>LstMachines[[#This Row],[DateLivr]]+Rglt_à_ESMTP</f>
        <v>43418</v>
      </c>
      <c r="AG313" s="258" t="str">
        <f xml:space="preserve"> IF(MONTH(LstMachines[[#This Row],[RgltDistrib]])&lt;10,"0","") &amp; MONTH(LstMachines[[#This Row],[RgltDistrib]]) &amp; "-" &amp; YEAR(LstMachines[[#This Row],[RgltDistrib]])</f>
        <v>11-2018</v>
      </c>
      <c r="AH313" s="258">
        <f>LstMachines[[#This Row],[VteESM]]+Rglt_à_ESMTP</f>
        <v>43538</v>
      </c>
      <c r="AI313" s="258" t="str">
        <f xml:space="preserve"> IF(MONTH(LstMachines[[#This Row],[RgltVteESM]])&lt;10,"0","") &amp; MONTH(LstMachines[[#This Row],[RgltVteESM]]) &amp; "-" &amp; YEAR(LstMachines[[#This Row],[RgltVteESM]])</f>
        <v>03-2019</v>
      </c>
      <c r="AJ313" s="140">
        <f>MONTH(LstMachines[[#This Row],[DatePaie]])</f>
        <v>11</v>
      </c>
      <c r="AK313" s="88" t="str">
        <f>FIXED(YEAR(LstMachines[[#This Row],[DatePaie]]),0,TRUE)</f>
        <v>2018</v>
      </c>
      <c r="AL313" s="140"/>
      <c r="AM313" s="414"/>
      <c r="AN313" s="92"/>
      <c r="AO313" s="92"/>
      <c r="AP313" s="92"/>
      <c r="AQ313" s="92"/>
      <c r="AR313" s="92"/>
      <c r="AS313" s="92"/>
      <c r="AT313" s="92"/>
      <c r="AU313" s="92"/>
      <c r="AV313" s="92"/>
      <c r="AW313" s="92"/>
      <c r="AX313" s="92"/>
      <c r="AY313" s="92"/>
      <c r="BA313" s="92"/>
      <c r="BC313" s="92"/>
      <c r="BD313" s="92"/>
      <c r="BE313" s="92"/>
    </row>
    <row r="314" spans="2:57" hidden="1">
      <c r="B314" s="243" t="s">
        <v>75</v>
      </c>
      <c r="C314" s="243" t="s">
        <v>36</v>
      </c>
      <c r="D314" s="245">
        <v>26</v>
      </c>
      <c r="E314" s="86"/>
      <c r="F314" s="89" t="s">
        <v>67</v>
      </c>
      <c r="G314" s="87" t="s">
        <v>107</v>
      </c>
      <c r="H314" s="89">
        <v>1</v>
      </c>
      <c r="I314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314" s="88">
        <v>43388</v>
      </c>
      <c r="K314" s="99" t="s">
        <v>461</v>
      </c>
      <c r="L314" s="244" t="s">
        <v>390</v>
      </c>
      <c r="M314" s="248"/>
      <c r="N314" s="249"/>
      <c r="O314" s="270">
        <f>MONTH(LstMachines[[#This Row],[Delivery]])</f>
        <v>10</v>
      </c>
      <c r="P314" s="247" t="str">
        <f>FIXED(YEAR(LstMachines[[#This Row],[Delivery]]),0,TRUE)</f>
        <v>2018</v>
      </c>
      <c r="Q314" s="250"/>
      <c r="R314" s="251"/>
      <c r="S314" s="249"/>
      <c r="T314" s="249"/>
      <c r="U314" s="249" t="s">
        <v>105</v>
      </c>
      <c r="V314" s="246"/>
      <c r="W314" s="248" t="s">
        <v>384</v>
      </c>
      <c r="X314" s="249">
        <f>LstMachines[[#This Row],[Delivery]]</f>
        <v>43388</v>
      </c>
      <c r="Y314" s="271" t="str">
        <f xml:space="preserve"> IF(MONTH(LstMachines[[#This Row],[DateLivr]])&lt;10,"0","") &amp; MONTH(LstMachines[[#This Row],[DateLivr]]) &amp;"-"&amp;YEAR(LstMachines[[#This Row],[DateLivr]])</f>
        <v>10-2018</v>
      </c>
      <c r="Z314" s="247">
        <f>LstMachines[[#This Row],[Delivery]]+Rglt_à_HCME</f>
        <v>43448</v>
      </c>
      <c r="AA314" s="271" t="str">
        <f xml:space="preserve"> IF(MONTH(LstMachines[[#This Row],[DatePaie]])&lt;10,"0","") &amp; MONTH(LstMachines[[#This Row],[DatePaie]])&amp;"-"&amp;YEAR(LstMachines[[#This Row],[DatePaie]])</f>
        <v>12-2018</v>
      </c>
      <c r="AB314" s="271">
        <f>LstMachines[[#This Row],[DateLivr]]+1</f>
        <v>43389</v>
      </c>
      <c r="AC314" s="271" t="str">
        <f xml:space="preserve"> IF(MONTH(LstMachines[[#This Row],[Distrib]])&lt;10,"0","") &amp; MONTH(LstMachines[[#This Row],[Distrib]]) &amp; "-" &amp; YEAR(LstMachines[[#This Row],[Distrib]])</f>
        <v>10-2018</v>
      </c>
      <c r="AD314" s="271">
        <f>LstMachines[[#This Row],[DateLivr]]+Délai_Vente</f>
        <v>43508</v>
      </c>
      <c r="AE314" s="271" t="str">
        <f xml:space="preserve"> IF(MONTH(LstMachines[[#This Row],[VteESM]])&lt;10,"0","") &amp; MONTH(LstMachines[[#This Row],[VteESM]]) &amp; "-" &amp; YEAR(LstMachines[[#This Row],[VteESM]])</f>
        <v>02-2019</v>
      </c>
      <c r="AF314" s="271">
        <f>LstMachines[[#This Row],[DateLivr]]+Rglt_à_ESMTP</f>
        <v>43448</v>
      </c>
      <c r="AG314" s="271" t="str">
        <f xml:space="preserve"> IF(MONTH(LstMachines[[#This Row],[RgltDistrib]])&lt;10,"0","") &amp; MONTH(LstMachines[[#This Row],[RgltDistrib]]) &amp; "-" &amp; YEAR(LstMachines[[#This Row],[RgltDistrib]])</f>
        <v>12-2018</v>
      </c>
      <c r="AH314" s="271">
        <f>LstMachines[[#This Row],[VteESM]]+Rglt_à_ESMTP</f>
        <v>43568</v>
      </c>
      <c r="AI314" s="271" t="str">
        <f xml:space="preserve"> IF(MONTH(LstMachines[[#This Row],[RgltVteESM]])&lt;10,"0","") &amp; MONTH(LstMachines[[#This Row],[RgltVteESM]]) &amp; "-" &amp; YEAR(LstMachines[[#This Row],[RgltVteESM]])</f>
        <v>04-2019</v>
      </c>
      <c r="AJ314" s="270">
        <f>MONTH(LstMachines[[#This Row],[DatePaie]])</f>
        <v>12</v>
      </c>
      <c r="AK314" s="247" t="str">
        <f>FIXED(YEAR(LstMachines[[#This Row],[DatePaie]]),0,TRUE)</f>
        <v>2018</v>
      </c>
      <c r="AL314" s="270"/>
      <c r="AM314" s="414"/>
      <c r="AN314" s="92"/>
      <c r="AO314" s="92"/>
      <c r="AP314" s="92"/>
      <c r="AQ314" s="92"/>
      <c r="AR314" s="92"/>
      <c r="AS314" s="92"/>
      <c r="AT314" s="92"/>
      <c r="AU314" s="92"/>
      <c r="AV314" s="92"/>
      <c r="AW314" s="92"/>
      <c r="AX314" s="92"/>
      <c r="AY314" s="92"/>
      <c r="BA314" s="92"/>
      <c r="BC314" s="92"/>
      <c r="BD314" s="92"/>
      <c r="BE314" s="92"/>
    </row>
    <row r="315" spans="2:57" hidden="1">
      <c r="B315" s="194" t="s">
        <v>75</v>
      </c>
      <c r="C315" s="194" t="s">
        <v>35</v>
      </c>
      <c r="D315" s="195">
        <v>19</v>
      </c>
      <c r="E315" s="194" t="s">
        <v>76</v>
      </c>
      <c r="F315" s="204" t="s">
        <v>468</v>
      </c>
      <c r="G315" s="204" t="s">
        <v>469</v>
      </c>
      <c r="H315" s="246">
        <v>1</v>
      </c>
      <c r="I31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315" s="88">
        <v>43388</v>
      </c>
      <c r="K315" s="139" t="s">
        <v>461</v>
      </c>
      <c r="L315" s="198" t="s">
        <v>470</v>
      </c>
      <c r="M315" s="139"/>
      <c r="N315" s="197"/>
      <c r="O315" s="255">
        <f>MONTH(LstMachines[[#This Row],[Delivery]])</f>
        <v>10</v>
      </c>
      <c r="P315" s="256" t="str">
        <f>FIXED(YEAR(LstMachines[[#This Row],[Delivery]]),0,TRUE)</f>
        <v>2018</v>
      </c>
      <c r="Q315" s="205"/>
      <c r="R315" s="241"/>
      <c r="S315" s="197"/>
      <c r="T315" s="197"/>
      <c r="U315" s="197"/>
      <c r="V315" s="193"/>
      <c r="W315" s="139"/>
      <c r="X315" s="258">
        <f>LstMachines[[#This Row],[Delivery]]</f>
        <v>43388</v>
      </c>
      <c r="Y315" s="258" t="str">
        <f xml:space="preserve"> IF(MONTH(LstMachines[[#This Row],[DateLivr]])&lt;10,"0","") &amp; MONTH(LstMachines[[#This Row],[DateLivr]]) &amp;"-"&amp;YEAR(LstMachines[[#This Row],[DateLivr]])</f>
        <v>10-2018</v>
      </c>
      <c r="Z315" s="258">
        <f>LstMachines[[#This Row],[Delivery]]+Rglt_à_HCME</f>
        <v>43448</v>
      </c>
      <c r="AA315" s="258" t="str">
        <f xml:space="preserve"> IF(MONTH(LstMachines[[#This Row],[DatePaie]])&lt;10,"0","") &amp; MONTH(LstMachines[[#This Row],[DatePaie]])&amp;"-"&amp;YEAR(LstMachines[[#This Row],[DatePaie]])</f>
        <v>12-2018</v>
      </c>
      <c r="AB315" s="258">
        <f>LstMachines[[#This Row],[DateLivr]]+1</f>
        <v>43389</v>
      </c>
      <c r="AC315" s="258" t="str">
        <f xml:space="preserve"> IF(MONTH(LstMachines[[#This Row],[Distrib]])&lt;10,"0","") &amp; MONTH(LstMachines[[#This Row],[Distrib]]) &amp; "-" &amp; YEAR(LstMachines[[#This Row],[Distrib]])</f>
        <v>10-2018</v>
      </c>
      <c r="AD315" s="258">
        <f>LstMachines[[#This Row],[DateLivr]]+Délai_Vente</f>
        <v>43508</v>
      </c>
      <c r="AE315" s="258" t="str">
        <f xml:space="preserve"> IF(MONTH(LstMachines[[#This Row],[VteESM]])&lt;10,"0","") &amp; MONTH(LstMachines[[#This Row],[VteESM]]) &amp; "-" &amp; YEAR(LstMachines[[#This Row],[VteESM]])</f>
        <v>02-2019</v>
      </c>
      <c r="AF315" s="258">
        <f>LstMachines[[#This Row],[DateLivr]]+Rglt_à_ESMTP</f>
        <v>43448</v>
      </c>
      <c r="AG315" s="258" t="str">
        <f xml:space="preserve"> IF(MONTH(LstMachines[[#This Row],[RgltDistrib]])&lt;10,"0","") &amp; MONTH(LstMachines[[#This Row],[RgltDistrib]]) &amp; "-" &amp; YEAR(LstMachines[[#This Row],[RgltDistrib]])</f>
        <v>12-2018</v>
      </c>
      <c r="AH315" s="258">
        <f>LstMachines[[#This Row],[VteESM]]+Rglt_à_ESMTP</f>
        <v>43568</v>
      </c>
      <c r="AI315" s="258" t="str">
        <f xml:space="preserve"> IF(MONTH(LstMachines[[#This Row],[RgltVteESM]])&lt;10,"0","") &amp; MONTH(LstMachines[[#This Row],[RgltVteESM]]) &amp; "-" &amp; YEAR(LstMachines[[#This Row],[RgltVteESM]])</f>
        <v>04-2019</v>
      </c>
      <c r="AJ315" s="140">
        <f>MONTH(LstMachines[[#This Row],[DatePaie]])</f>
        <v>12</v>
      </c>
      <c r="AK315" s="88" t="str">
        <f>FIXED(YEAR(LstMachines[[#This Row],[DatePaie]]),0,TRUE)</f>
        <v>2018</v>
      </c>
      <c r="AL315" s="140"/>
      <c r="AM315" s="414"/>
      <c r="AN315" s="92"/>
      <c r="AO315" s="92"/>
      <c r="AP315" s="92"/>
      <c r="AQ315" s="92"/>
      <c r="AR315" s="92"/>
      <c r="AS315" s="92"/>
      <c r="AT315" s="92"/>
      <c r="AU315" s="92"/>
      <c r="AV315" s="92"/>
      <c r="AW315" s="92"/>
      <c r="AX315" s="92"/>
      <c r="AY315" s="92"/>
      <c r="BA315" s="92"/>
      <c r="BC315" s="92"/>
      <c r="BD315" s="92"/>
      <c r="BE315" s="92"/>
    </row>
    <row r="316" spans="2:57" hidden="1">
      <c r="B316" s="194" t="s">
        <v>75</v>
      </c>
      <c r="C316" s="194" t="s">
        <v>36</v>
      </c>
      <c r="D316" s="195">
        <v>26</v>
      </c>
      <c r="E316" s="194" t="s">
        <v>361</v>
      </c>
      <c r="F316" s="204" t="s">
        <v>468</v>
      </c>
      <c r="G316" s="204" t="s">
        <v>469</v>
      </c>
      <c r="H316" s="246">
        <v>1</v>
      </c>
      <c r="I31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316" s="88">
        <v>43388</v>
      </c>
      <c r="K316" s="139" t="s">
        <v>461</v>
      </c>
      <c r="L316" s="198" t="s">
        <v>470</v>
      </c>
      <c r="M316" s="139"/>
      <c r="N316" s="197"/>
      <c r="O316" s="255">
        <f>MONTH(LstMachines[[#This Row],[Delivery]])</f>
        <v>10</v>
      </c>
      <c r="P316" s="256" t="str">
        <f>FIXED(YEAR(LstMachines[[#This Row],[Delivery]]),0,TRUE)</f>
        <v>2018</v>
      </c>
      <c r="Q316" s="205"/>
      <c r="R316" s="241"/>
      <c r="S316" s="197"/>
      <c r="T316" s="197"/>
      <c r="U316" s="197"/>
      <c r="V316" s="193"/>
      <c r="W316" s="139"/>
      <c r="X316" s="258">
        <f>LstMachines[[#This Row],[Delivery]]</f>
        <v>43388</v>
      </c>
      <c r="Y316" s="258" t="str">
        <f xml:space="preserve"> IF(MONTH(LstMachines[[#This Row],[DateLivr]])&lt;10,"0","") &amp; MONTH(LstMachines[[#This Row],[DateLivr]]) &amp;"-"&amp;YEAR(LstMachines[[#This Row],[DateLivr]])</f>
        <v>10-2018</v>
      </c>
      <c r="Z316" s="258">
        <f>LstMachines[[#This Row],[Delivery]]+Rglt_à_HCME</f>
        <v>43448</v>
      </c>
      <c r="AA316" s="258" t="str">
        <f xml:space="preserve"> IF(MONTH(LstMachines[[#This Row],[DatePaie]])&lt;10,"0","") &amp; MONTH(LstMachines[[#This Row],[DatePaie]])&amp;"-"&amp;YEAR(LstMachines[[#This Row],[DatePaie]])</f>
        <v>12-2018</v>
      </c>
      <c r="AB316" s="258">
        <f>LstMachines[[#This Row],[DateLivr]]+1</f>
        <v>43389</v>
      </c>
      <c r="AC316" s="258" t="str">
        <f xml:space="preserve"> IF(MONTH(LstMachines[[#This Row],[Distrib]])&lt;10,"0","") &amp; MONTH(LstMachines[[#This Row],[Distrib]]) &amp; "-" &amp; YEAR(LstMachines[[#This Row],[Distrib]])</f>
        <v>10-2018</v>
      </c>
      <c r="AD316" s="258">
        <f>LstMachines[[#This Row],[DateLivr]]+Délai_Vente</f>
        <v>43508</v>
      </c>
      <c r="AE316" s="258" t="str">
        <f xml:space="preserve"> IF(MONTH(LstMachines[[#This Row],[VteESM]])&lt;10,"0","") &amp; MONTH(LstMachines[[#This Row],[VteESM]]) &amp; "-" &amp; YEAR(LstMachines[[#This Row],[VteESM]])</f>
        <v>02-2019</v>
      </c>
      <c r="AF316" s="258">
        <f>LstMachines[[#This Row],[DateLivr]]+Rglt_à_ESMTP</f>
        <v>43448</v>
      </c>
      <c r="AG316" s="258" t="str">
        <f xml:space="preserve"> IF(MONTH(LstMachines[[#This Row],[RgltDistrib]])&lt;10,"0","") &amp; MONTH(LstMachines[[#This Row],[RgltDistrib]]) &amp; "-" &amp; YEAR(LstMachines[[#This Row],[RgltDistrib]])</f>
        <v>12-2018</v>
      </c>
      <c r="AH316" s="258">
        <f>LstMachines[[#This Row],[VteESM]]+Rglt_à_ESMTP</f>
        <v>43568</v>
      </c>
      <c r="AI316" s="258" t="str">
        <f xml:space="preserve"> IF(MONTH(LstMachines[[#This Row],[RgltVteESM]])&lt;10,"0","") &amp; MONTH(LstMachines[[#This Row],[RgltVteESM]]) &amp; "-" &amp; YEAR(LstMachines[[#This Row],[RgltVteESM]])</f>
        <v>04-2019</v>
      </c>
      <c r="AJ316" s="140">
        <f>MONTH(LstMachines[[#This Row],[DatePaie]])</f>
        <v>12</v>
      </c>
      <c r="AK316" s="88" t="str">
        <f>FIXED(YEAR(LstMachines[[#This Row],[DatePaie]]),0,TRUE)</f>
        <v>2018</v>
      </c>
      <c r="AL316" s="140"/>
      <c r="AM316" s="414"/>
      <c r="AN316" s="92"/>
      <c r="AO316" s="92"/>
      <c r="AP316" s="92"/>
      <c r="AQ316" s="92"/>
      <c r="AR316" s="92"/>
      <c r="AS316" s="92"/>
      <c r="AT316" s="92"/>
      <c r="AU316" s="92"/>
      <c r="AV316" s="92"/>
      <c r="AW316" s="92"/>
      <c r="AX316" s="92"/>
      <c r="AY316" s="92"/>
      <c r="BA316" s="92"/>
      <c r="BC316" s="92"/>
      <c r="BD316" s="92"/>
      <c r="BE316" s="92"/>
    </row>
    <row r="317" spans="2:57" hidden="1">
      <c r="B317" s="194" t="s">
        <v>262</v>
      </c>
      <c r="C317" s="194" t="s">
        <v>39</v>
      </c>
      <c r="D317" s="195">
        <v>85</v>
      </c>
      <c r="E317" s="194" t="s">
        <v>356</v>
      </c>
      <c r="F317" s="204" t="s">
        <v>468</v>
      </c>
      <c r="G317" s="204" t="s">
        <v>469</v>
      </c>
      <c r="H317" s="246">
        <v>1</v>
      </c>
      <c r="I31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317" s="88">
        <v>43388</v>
      </c>
      <c r="K317" s="139" t="s">
        <v>461</v>
      </c>
      <c r="L317" s="198" t="s">
        <v>470</v>
      </c>
      <c r="M317" s="139"/>
      <c r="N317" s="197"/>
      <c r="O317" s="255">
        <f>MONTH(LstMachines[[#This Row],[Delivery]])</f>
        <v>10</v>
      </c>
      <c r="P317" s="256" t="str">
        <f>FIXED(YEAR(LstMachines[[#This Row],[Delivery]]),0,TRUE)</f>
        <v>2018</v>
      </c>
      <c r="Q317" s="205"/>
      <c r="R317" s="241"/>
      <c r="S317" s="197"/>
      <c r="T317" s="197"/>
      <c r="U317" s="197"/>
      <c r="V317" s="193"/>
      <c r="W317" s="139"/>
      <c r="X317" s="258">
        <f>LstMachines[[#This Row],[Delivery]]</f>
        <v>43388</v>
      </c>
      <c r="Y317" s="258" t="str">
        <f xml:space="preserve"> IF(MONTH(LstMachines[[#This Row],[DateLivr]])&lt;10,"0","") &amp; MONTH(LstMachines[[#This Row],[DateLivr]]) &amp;"-"&amp;YEAR(LstMachines[[#This Row],[DateLivr]])</f>
        <v>10-2018</v>
      </c>
      <c r="Z317" s="258">
        <f>LstMachines[[#This Row],[Delivery]]+Rglt_à_HCME</f>
        <v>43448</v>
      </c>
      <c r="AA317" s="258" t="str">
        <f xml:space="preserve"> IF(MONTH(LstMachines[[#This Row],[DatePaie]])&lt;10,"0","") &amp; MONTH(LstMachines[[#This Row],[DatePaie]])&amp;"-"&amp;YEAR(LstMachines[[#This Row],[DatePaie]])</f>
        <v>12-2018</v>
      </c>
      <c r="AB317" s="258">
        <f>LstMachines[[#This Row],[DateLivr]]+1</f>
        <v>43389</v>
      </c>
      <c r="AC317" s="258" t="str">
        <f xml:space="preserve"> IF(MONTH(LstMachines[[#This Row],[Distrib]])&lt;10,"0","") &amp; MONTH(LstMachines[[#This Row],[Distrib]]) &amp; "-" &amp; YEAR(LstMachines[[#This Row],[Distrib]])</f>
        <v>10-2018</v>
      </c>
      <c r="AD317" s="258">
        <f>LstMachines[[#This Row],[DateLivr]]+Délai_Vente</f>
        <v>43508</v>
      </c>
      <c r="AE317" s="258" t="str">
        <f xml:space="preserve"> IF(MONTH(LstMachines[[#This Row],[VteESM]])&lt;10,"0","") &amp; MONTH(LstMachines[[#This Row],[VteESM]]) &amp; "-" &amp; YEAR(LstMachines[[#This Row],[VteESM]])</f>
        <v>02-2019</v>
      </c>
      <c r="AF317" s="258">
        <f>LstMachines[[#This Row],[DateLivr]]+Rglt_à_ESMTP</f>
        <v>43448</v>
      </c>
      <c r="AG317" s="258" t="str">
        <f xml:space="preserve"> IF(MONTH(LstMachines[[#This Row],[RgltDistrib]])&lt;10,"0","") &amp; MONTH(LstMachines[[#This Row],[RgltDistrib]]) &amp; "-" &amp; YEAR(LstMachines[[#This Row],[RgltDistrib]])</f>
        <v>12-2018</v>
      </c>
      <c r="AH317" s="258">
        <f>LstMachines[[#This Row],[VteESM]]+Rglt_à_ESMTP</f>
        <v>43568</v>
      </c>
      <c r="AI317" s="258" t="str">
        <f xml:space="preserve"> IF(MONTH(LstMachines[[#This Row],[RgltVteESM]])&lt;10,"0","") &amp; MONTH(LstMachines[[#This Row],[RgltVteESM]]) &amp; "-" &amp; YEAR(LstMachines[[#This Row],[RgltVteESM]])</f>
        <v>04-2019</v>
      </c>
      <c r="AJ317" s="140">
        <f>MONTH(LstMachines[[#This Row],[DatePaie]])</f>
        <v>12</v>
      </c>
      <c r="AK317" s="88" t="str">
        <f>FIXED(YEAR(LstMachines[[#This Row],[DatePaie]]),0,TRUE)</f>
        <v>2018</v>
      </c>
      <c r="AL317" s="140"/>
      <c r="AM317" s="414"/>
      <c r="AN317" s="92"/>
      <c r="AO317" s="92"/>
      <c r="AP317" s="92"/>
      <c r="AQ317" s="92"/>
      <c r="AR317" s="92"/>
      <c r="AS317" s="92"/>
      <c r="AT317" s="92"/>
      <c r="AU317" s="92"/>
      <c r="AV317" s="92"/>
      <c r="AW317" s="92"/>
      <c r="AX317" s="92"/>
      <c r="AY317" s="92"/>
      <c r="BA317" s="92"/>
      <c r="BC317" s="92"/>
      <c r="BD317" s="92"/>
      <c r="BE317" s="92"/>
    </row>
    <row r="318" spans="2:57" hidden="1">
      <c r="B318" s="194" t="s">
        <v>262</v>
      </c>
      <c r="C318" s="194" t="s">
        <v>40</v>
      </c>
      <c r="D318" s="195">
        <v>135</v>
      </c>
      <c r="E318" s="194" t="s">
        <v>194</v>
      </c>
      <c r="F318" s="204" t="s">
        <v>468</v>
      </c>
      <c r="G318" s="204" t="s">
        <v>469</v>
      </c>
      <c r="H318" s="246">
        <v>1</v>
      </c>
      <c r="I31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318" s="88">
        <v>43388</v>
      </c>
      <c r="K318" s="139" t="s">
        <v>461</v>
      </c>
      <c r="L318" s="198" t="s">
        <v>470</v>
      </c>
      <c r="M318" s="139"/>
      <c r="N318" s="197"/>
      <c r="O318" s="255">
        <f>MONTH(LstMachines[[#This Row],[Delivery]])</f>
        <v>10</v>
      </c>
      <c r="P318" s="256" t="str">
        <f>FIXED(YEAR(LstMachines[[#This Row],[Delivery]]),0,TRUE)</f>
        <v>2018</v>
      </c>
      <c r="Q318" s="205"/>
      <c r="R318" s="241"/>
      <c r="S318" s="197"/>
      <c r="T318" s="197"/>
      <c r="U318" s="197"/>
      <c r="V318" s="193"/>
      <c r="W318" s="139"/>
      <c r="X318" s="258">
        <f>LstMachines[[#This Row],[Delivery]]</f>
        <v>43388</v>
      </c>
      <c r="Y318" s="258" t="str">
        <f xml:space="preserve"> IF(MONTH(LstMachines[[#This Row],[DateLivr]])&lt;10,"0","") &amp; MONTH(LstMachines[[#This Row],[DateLivr]]) &amp;"-"&amp;YEAR(LstMachines[[#This Row],[DateLivr]])</f>
        <v>10-2018</v>
      </c>
      <c r="Z318" s="258">
        <f>LstMachines[[#This Row],[Delivery]]+Rglt_à_HCME</f>
        <v>43448</v>
      </c>
      <c r="AA318" s="258" t="str">
        <f xml:space="preserve"> IF(MONTH(LstMachines[[#This Row],[DatePaie]])&lt;10,"0","") &amp; MONTH(LstMachines[[#This Row],[DatePaie]])&amp;"-"&amp;YEAR(LstMachines[[#This Row],[DatePaie]])</f>
        <v>12-2018</v>
      </c>
      <c r="AB318" s="258">
        <f>LstMachines[[#This Row],[DateLivr]]+1</f>
        <v>43389</v>
      </c>
      <c r="AC318" s="258" t="str">
        <f xml:space="preserve"> IF(MONTH(LstMachines[[#This Row],[Distrib]])&lt;10,"0","") &amp; MONTH(LstMachines[[#This Row],[Distrib]]) &amp; "-" &amp; YEAR(LstMachines[[#This Row],[Distrib]])</f>
        <v>10-2018</v>
      </c>
      <c r="AD318" s="258">
        <f>LstMachines[[#This Row],[DateLivr]]+Délai_Vente</f>
        <v>43508</v>
      </c>
      <c r="AE318" s="258" t="str">
        <f xml:space="preserve"> IF(MONTH(LstMachines[[#This Row],[VteESM]])&lt;10,"0","") &amp; MONTH(LstMachines[[#This Row],[VteESM]]) &amp; "-" &amp; YEAR(LstMachines[[#This Row],[VteESM]])</f>
        <v>02-2019</v>
      </c>
      <c r="AF318" s="258">
        <f>LstMachines[[#This Row],[DateLivr]]+Rglt_à_ESMTP</f>
        <v>43448</v>
      </c>
      <c r="AG318" s="258" t="str">
        <f xml:space="preserve"> IF(MONTH(LstMachines[[#This Row],[RgltDistrib]])&lt;10,"0","") &amp; MONTH(LstMachines[[#This Row],[RgltDistrib]]) &amp; "-" &amp; YEAR(LstMachines[[#This Row],[RgltDistrib]])</f>
        <v>12-2018</v>
      </c>
      <c r="AH318" s="258">
        <f>LstMachines[[#This Row],[VteESM]]+Rglt_à_ESMTP</f>
        <v>43568</v>
      </c>
      <c r="AI318" s="258" t="str">
        <f xml:space="preserve"> IF(MONTH(LstMachines[[#This Row],[RgltVteESM]])&lt;10,"0","") &amp; MONTH(LstMachines[[#This Row],[RgltVteESM]]) &amp; "-" &amp; YEAR(LstMachines[[#This Row],[RgltVteESM]])</f>
        <v>04-2019</v>
      </c>
      <c r="AJ318" s="140">
        <f>MONTH(LstMachines[[#This Row],[DatePaie]])</f>
        <v>12</v>
      </c>
      <c r="AK318" s="88" t="str">
        <f>FIXED(YEAR(LstMachines[[#This Row],[DatePaie]]),0,TRUE)</f>
        <v>2018</v>
      </c>
      <c r="AL318" s="140"/>
      <c r="AM318" s="414"/>
      <c r="AN318" s="92"/>
      <c r="AO318" s="92"/>
      <c r="AP318" s="92"/>
      <c r="AQ318" s="92"/>
      <c r="AR318" s="92"/>
      <c r="AS318" s="92"/>
      <c r="AT318" s="92"/>
      <c r="AU318" s="92"/>
      <c r="AV318" s="92"/>
      <c r="AW318" s="92"/>
      <c r="AX318" s="92"/>
      <c r="AY318" s="92"/>
      <c r="BA318" s="92"/>
      <c r="BC318" s="92"/>
      <c r="BD318" s="92"/>
      <c r="BE318" s="92"/>
    </row>
    <row r="319" spans="2:57" hidden="1">
      <c r="B319" s="104" t="s">
        <v>75</v>
      </c>
      <c r="C319" s="104" t="s">
        <v>36</v>
      </c>
      <c r="D319" s="87">
        <v>26</v>
      </c>
      <c r="E319" s="86" t="s">
        <v>355</v>
      </c>
      <c r="F319" s="87" t="s">
        <v>100</v>
      </c>
      <c r="G319" s="87" t="s">
        <v>31</v>
      </c>
      <c r="H319" s="89">
        <v>3</v>
      </c>
      <c r="I31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66</v>
      </c>
      <c r="J319" s="88">
        <v>43388</v>
      </c>
      <c r="K319" s="99" t="s">
        <v>461</v>
      </c>
      <c r="L319" s="120" t="s">
        <v>378</v>
      </c>
      <c r="M319" s="99"/>
      <c r="N319" s="90"/>
      <c r="O319" s="255">
        <f>MONTH(LstMachines[[#This Row],[Delivery]])</f>
        <v>10</v>
      </c>
      <c r="P319" s="256" t="str">
        <f>FIXED(YEAR(LstMachines[[#This Row],[Delivery]]),0,TRUE)</f>
        <v>2018</v>
      </c>
      <c r="Q319" s="73"/>
      <c r="R319" s="93"/>
      <c r="S319" s="90"/>
      <c r="T319" s="90"/>
      <c r="U319" s="90" t="s">
        <v>105</v>
      </c>
      <c r="V319" s="72"/>
      <c r="W319" s="99" t="s">
        <v>384</v>
      </c>
      <c r="X319" s="258">
        <f>LstMachines[[#This Row],[Delivery]]</f>
        <v>43388</v>
      </c>
      <c r="Y319" s="258" t="str">
        <f xml:space="preserve"> IF(MONTH(LstMachines[[#This Row],[DateLivr]])&lt;10,"0","") &amp; MONTH(LstMachines[[#This Row],[DateLivr]]) &amp;"-"&amp;YEAR(LstMachines[[#This Row],[DateLivr]])</f>
        <v>10-2018</v>
      </c>
      <c r="Z319" s="258">
        <f>LstMachines[[#This Row],[Delivery]]+Rglt_à_HCME</f>
        <v>43448</v>
      </c>
      <c r="AA319" s="258" t="str">
        <f xml:space="preserve"> IF(MONTH(LstMachines[[#This Row],[DatePaie]])&lt;10,"0","") &amp; MONTH(LstMachines[[#This Row],[DatePaie]])&amp;"-"&amp;YEAR(LstMachines[[#This Row],[DatePaie]])</f>
        <v>12-2018</v>
      </c>
      <c r="AB319" s="258">
        <f>LstMachines[[#This Row],[DateLivr]]+1</f>
        <v>43389</v>
      </c>
      <c r="AC319" s="258" t="str">
        <f xml:space="preserve"> IF(MONTH(LstMachines[[#This Row],[Distrib]])&lt;10,"0","") &amp; MONTH(LstMachines[[#This Row],[Distrib]]) &amp; "-" &amp; YEAR(LstMachines[[#This Row],[Distrib]])</f>
        <v>10-2018</v>
      </c>
      <c r="AD319" s="258">
        <f>LstMachines[[#This Row],[DateLivr]]+Délai_Vente</f>
        <v>43508</v>
      </c>
      <c r="AE319" s="258" t="str">
        <f xml:space="preserve"> IF(MONTH(LstMachines[[#This Row],[VteESM]])&lt;10,"0","") &amp; MONTH(LstMachines[[#This Row],[VteESM]]) &amp; "-" &amp; YEAR(LstMachines[[#This Row],[VteESM]])</f>
        <v>02-2019</v>
      </c>
      <c r="AF319" s="258">
        <f>LstMachines[[#This Row],[DateLivr]]+Rglt_à_ESMTP</f>
        <v>43448</v>
      </c>
      <c r="AG319" s="258" t="str">
        <f xml:space="preserve"> IF(MONTH(LstMachines[[#This Row],[RgltDistrib]])&lt;10,"0","") &amp; MONTH(LstMachines[[#This Row],[RgltDistrib]]) &amp; "-" &amp; YEAR(LstMachines[[#This Row],[RgltDistrib]])</f>
        <v>12-2018</v>
      </c>
      <c r="AH319" s="258">
        <f>LstMachines[[#This Row],[VteESM]]+Rglt_à_ESMTP</f>
        <v>43568</v>
      </c>
      <c r="AI319" s="258" t="str">
        <f xml:space="preserve"> IF(MONTH(LstMachines[[#This Row],[RgltVteESM]])&lt;10,"0","") &amp; MONTH(LstMachines[[#This Row],[RgltVteESM]]) &amp; "-" &amp; YEAR(LstMachines[[#This Row],[RgltVteESM]])</f>
        <v>04-2019</v>
      </c>
      <c r="AJ319" s="140">
        <f>MONTH(LstMachines[[#This Row],[DatePaie]])</f>
        <v>12</v>
      </c>
      <c r="AK319" s="88" t="str">
        <f>FIXED(YEAR(LstMachines[[#This Row],[DatePaie]]),0,TRUE)</f>
        <v>2018</v>
      </c>
      <c r="AL319" s="140"/>
      <c r="AM319" s="414"/>
      <c r="AN319" s="92"/>
      <c r="AO319" s="92"/>
      <c r="AP319" s="92"/>
      <c r="AQ319" s="92"/>
      <c r="AR319" s="92"/>
      <c r="AS319" s="92"/>
      <c r="AT319" s="92"/>
      <c r="AU319" s="92"/>
      <c r="AV319" s="92"/>
      <c r="AW319" s="92"/>
      <c r="AX319" s="92"/>
      <c r="AY319" s="92"/>
      <c r="BA319" s="92"/>
      <c r="BC319" s="92"/>
      <c r="BD319" s="92"/>
      <c r="BE319" s="92"/>
    </row>
    <row r="320" spans="2:57" hidden="1">
      <c r="B320" s="104" t="s">
        <v>75</v>
      </c>
      <c r="C320" s="104" t="s">
        <v>38</v>
      </c>
      <c r="D320" s="87">
        <v>65</v>
      </c>
      <c r="E320" s="104" t="s">
        <v>364</v>
      </c>
      <c r="F320" s="87" t="s">
        <v>100</v>
      </c>
      <c r="G320" s="87" t="s">
        <v>31</v>
      </c>
      <c r="H320" s="89">
        <v>2</v>
      </c>
      <c r="I32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90</v>
      </c>
      <c r="J320" s="88">
        <v>43388</v>
      </c>
      <c r="K320" s="99" t="s">
        <v>461</v>
      </c>
      <c r="L320" s="120" t="s">
        <v>378</v>
      </c>
      <c r="M320" s="99"/>
      <c r="N320" s="90"/>
      <c r="O320" s="255">
        <f>MONTH(LstMachines[[#This Row],[Delivery]])</f>
        <v>10</v>
      </c>
      <c r="P320" s="256" t="str">
        <f>FIXED(YEAR(LstMachines[[#This Row],[Delivery]]),0,TRUE)</f>
        <v>2018</v>
      </c>
      <c r="Q320" s="73"/>
      <c r="R320" s="93"/>
      <c r="S320" s="90"/>
      <c r="T320" s="90"/>
      <c r="U320" s="90" t="s">
        <v>105</v>
      </c>
      <c r="V320" s="72"/>
      <c r="W320" s="99" t="s">
        <v>384</v>
      </c>
      <c r="X320" s="258">
        <f>LstMachines[[#This Row],[Delivery]]</f>
        <v>43388</v>
      </c>
      <c r="Y320" s="258" t="str">
        <f xml:space="preserve"> IF(MONTH(LstMachines[[#This Row],[DateLivr]])&lt;10,"0","") &amp; MONTH(LstMachines[[#This Row],[DateLivr]]) &amp;"-"&amp;YEAR(LstMachines[[#This Row],[DateLivr]])</f>
        <v>10-2018</v>
      </c>
      <c r="Z320" s="258">
        <f>LstMachines[[#This Row],[Delivery]]+Rglt_à_HCME</f>
        <v>43448</v>
      </c>
      <c r="AA320" s="258" t="str">
        <f xml:space="preserve"> IF(MONTH(LstMachines[[#This Row],[DatePaie]])&lt;10,"0","") &amp; MONTH(LstMachines[[#This Row],[DatePaie]])&amp;"-"&amp;YEAR(LstMachines[[#This Row],[DatePaie]])</f>
        <v>12-2018</v>
      </c>
      <c r="AB320" s="258">
        <f>LstMachines[[#This Row],[DateLivr]]+1</f>
        <v>43389</v>
      </c>
      <c r="AC320" s="258" t="str">
        <f xml:space="preserve"> IF(MONTH(LstMachines[[#This Row],[Distrib]])&lt;10,"0","") &amp; MONTH(LstMachines[[#This Row],[Distrib]]) &amp; "-" &amp; YEAR(LstMachines[[#This Row],[Distrib]])</f>
        <v>10-2018</v>
      </c>
      <c r="AD320" s="258">
        <f>LstMachines[[#This Row],[DateLivr]]+Délai_Vente</f>
        <v>43508</v>
      </c>
      <c r="AE320" s="258" t="str">
        <f xml:space="preserve"> IF(MONTH(LstMachines[[#This Row],[VteESM]])&lt;10,"0","") &amp; MONTH(LstMachines[[#This Row],[VteESM]]) &amp; "-" &amp; YEAR(LstMachines[[#This Row],[VteESM]])</f>
        <v>02-2019</v>
      </c>
      <c r="AF320" s="258">
        <f>LstMachines[[#This Row],[DateLivr]]+Rglt_à_ESMTP</f>
        <v>43448</v>
      </c>
      <c r="AG320" s="258" t="str">
        <f xml:space="preserve"> IF(MONTH(LstMachines[[#This Row],[RgltDistrib]])&lt;10,"0","") &amp; MONTH(LstMachines[[#This Row],[RgltDistrib]]) &amp; "-" &amp; YEAR(LstMachines[[#This Row],[RgltDistrib]])</f>
        <v>12-2018</v>
      </c>
      <c r="AH320" s="258">
        <f>LstMachines[[#This Row],[VteESM]]+Rglt_à_ESMTP</f>
        <v>43568</v>
      </c>
      <c r="AI320" s="258" t="str">
        <f xml:space="preserve"> IF(MONTH(LstMachines[[#This Row],[RgltVteESM]])&lt;10,"0","") &amp; MONTH(LstMachines[[#This Row],[RgltVteESM]]) &amp; "-" &amp; YEAR(LstMachines[[#This Row],[RgltVteESM]])</f>
        <v>04-2019</v>
      </c>
      <c r="AJ320" s="140">
        <f>MONTH(LstMachines[[#This Row],[DatePaie]])</f>
        <v>12</v>
      </c>
      <c r="AK320" s="88" t="str">
        <f>FIXED(YEAR(LstMachines[[#This Row],[DatePaie]]),0,TRUE)</f>
        <v>2018</v>
      </c>
      <c r="AL320" s="140"/>
      <c r="AM320" s="414"/>
      <c r="AN320" s="92"/>
      <c r="AO320" s="92"/>
      <c r="AP320" s="92"/>
      <c r="AQ320" s="92"/>
      <c r="AR320" s="92"/>
      <c r="AS320" s="92"/>
      <c r="AT320" s="92"/>
      <c r="AU320" s="92"/>
      <c r="AV320" s="92"/>
      <c r="AW320" s="92"/>
      <c r="AX320" s="92"/>
      <c r="AY320" s="92"/>
      <c r="BA320" s="92"/>
      <c r="BC320" s="92"/>
      <c r="BD320" s="92"/>
      <c r="BE320" s="92"/>
    </row>
    <row r="321" spans="2:57" hidden="1">
      <c r="B321" s="104" t="s">
        <v>263</v>
      </c>
      <c r="C321" s="368" t="s">
        <v>250</v>
      </c>
      <c r="D321" s="369">
        <v>145</v>
      </c>
      <c r="E321" s="368" t="s">
        <v>228</v>
      </c>
      <c r="F321" s="370" t="s">
        <v>100</v>
      </c>
      <c r="G321" s="370" t="s">
        <v>31</v>
      </c>
      <c r="H321" s="371">
        <v>1</v>
      </c>
      <c r="I321" s="371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115</v>
      </c>
      <c r="J321" s="88">
        <v>43388</v>
      </c>
      <c r="K321" s="373" t="s">
        <v>461</v>
      </c>
      <c r="L321" s="374" t="s">
        <v>378</v>
      </c>
      <c r="M321" s="373"/>
      <c r="N321" s="375"/>
      <c r="O321" s="376">
        <f>MONTH(LstMachines[[#This Row],[Delivery]])</f>
        <v>10</v>
      </c>
      <c r="P321" s="372" t="str">
        <f>FIXED(YEAR(LstMachines[[#This Row],[Delivery]]),0,TRUE)</f>
        <v>2018</v>
      </c>
      <c r="Q321" s="377"/>
      <c r="R321" s="378"/>
      <c r="S321" s="375"/>
      <c r="T321" s="375"/>
      <c r="U321" s="375"/>
      <c r="V321" s="371"/>
      <c r="W321" s="373"/>
      <c r="X321" s="375">
        <f>LstMachines[[#This Row],[Delivery]]</f>
        <v>43388</v>
      </c>
      <c r="Y321" s="379" t="str">
        <f xml:space="preserve"> IF(MONTH(LstMachines[[#This Row],[DateLivr]])&lt;10,"0","") &amp; MONTH(LstMachines[[#This Row],[DateLivr]]) &amp;"-"&amp;YEAR(LstMachines[[#This Row],[DateLivr]])</f>
        <v>10-2018</v>
      </c>
      <c r="Z321" s="372">
        <f>LstMachines[[#This Row],[Delivery]]+Rglt_à_HCME</f>
        <v>43448</v>
      </c>
      <c r="AA321" s="379" t="str">
        <f xml:space="preserve"> IF(MONTH(LstMachines[[#This Row],[DatePaie]])&lt;10,"0","") &amp; MONTH(LstMachines[[#This Row],[DatePaie]])&amp;"-"&amp;YEAR(LstMachines[[#This Row],[DatePaie]])</f>
        <v>12-2018</v>
      </c>
      <c r="AB321" s="379">
        <f>LstMachines[[#This Row],[DateLivr]]+1</f>
        <v>43389</v>
      </c>
      <c r="AC321" s="379" t="str">
        <f xml:space="preserve"> IF(MONTH(LstMachines[[#This Row],[Distrib]])&lt;10,"0","") &amp; MONTH(LstMachines[[#This Row],[Distrib]]) &amp; "-" &amp; YEAR(LstMachines[[#This Row],[Distrib]])</f>
        <v>10-2018</v>
      </c>
      <c r="AD321" s="379">
        <f>LstMachines[[#This Row],[DateLivr]]+Délai_Vente</f>
        <v>43508</v>
      </c>
      <c r="AE321" s="379" t="str">
        <f xml:space="preserve"> IF(MONTH(LstMachines[[#This Row],[VteESM]])&lt;10,"0","") &amp; MONTH(LstMachines[[#This Row],[VteESM]]) &amp; "-" &amp; YEAR(LstMachines[[#This Row],[VteESM]])</f>
        <v>02-2019</v>
      </c>
      <c r="AF321" s="379">
        <f>LstMachines[[#This Row],[DateLivr]]+Rglt_à_ESMTP</f>
        <v>43448</v>
      </c>
      <c r="AG321" s="379" t="str">
        <f xml:space="preserve"> IF(MONTH(LstMachines[[#This Row],[RgltDistrib]])&lt;10,"0","") &amp; MONTH(LstMachines[[#This Row],[RgltDistrib]]) &amp; "-" &amp; YEAR(LstMachines[[#This Row],[RgltDistrib]])</f>
        <v>12-2018</v>
      </c>
      <c r="AH321" s="379">
        <f>LstMachines[[#This Row],[VteESM]]+Rglt_à_ESMTP</f>
        <v>43568</v>
      </c>
      <c r="AI321" s="379" t="str">
        <f xml:space="preserve"> IF(MONTH(LstMachines[[#This Row],[RgltVteESM]])&lt;10,"0","") &amp; MONTH(LstMachines[[#This Row],[RgltVteESM]]) &amp; "-" &amp; YEAR(LstMachines[[#This Row],[RgltVteESM]])</f>
        <v>04-2019</v>
      </c>
      <c r="AJ321" s="376">
        <f>MONTH(LstMachines[[#This Row],[DatePaie]])</f>
        <v>12</v>
      </c>
      <c r="AK321" s="372" t="str">
        <f>FIXED(YEAR(LstMachines[[#This Row],[DatePaie]]),0,TRUE)</f>
        <v>2018</v>
      </c>
      <c r="AL321" s="376"/>
      <c r="AM321" s="414"/>
      <c r="AN321" s="92"/>
      <c r="AO321" s="92"/>
      <c r="AP321" s="92"/>
      <c r="AQ321" s="92"/>
      <c r="AR321" s="92"/>
      <c r="AS321" s="92"/>
      <c r="AT321" s="92"/>
      <c r="AU321" s="92"/>
      <c r="AV321" s="92"/>
      <c r="AW321" s="92"/>
      <c r="AX321" s="92"/>
      <c r="AY321" s="92"/>
      <c r="BA321" s="92"/>
      <c r="BC321" s="92"/>
      <c r="BD321" s="92"/>
      <c r="BE321" s="92"/>
    </row>
    <row r="322" spans="2:57" hidden="1">
      <c r="B322" s="104" t="s">
        <v>262</v>
      </c>
      <c r="C322" s="104" t="s">
        <v>43</v>
      </c>
      <c r="D322" s="87">
        <v>210</v>
      </c>
      <c r="E322" s="104" t="s">
        <v>89</v>
      </c>
      <c r="F322" s="87" t="s">
        <v>100</v>
      </c>
      <c r="G322" s="87" t="s">
        <v>31</v>
      </c>
      <c r="H322" s="89">
        <v>1</v>
      </c>
      <c r="I32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118</v>
      </c>
      <c r="J322" s="88">
        <v>43388</v>
      </c>
      <c r="K322" s="99" t="s">
        <v>461</v>
      </c>
      <c r="L322" s="120" t="s">
        <v>378</v>
      </c>
      <c r="M322" s="99"/>
      <c r="N322" s="90"/>
      <c r="O322" s="255">
        <f>MONTH(LstMachines[[#This Row],[Delivery]])</f>
        <v>10</v>
      </c>
      <c r="P322" s="256" t="str">
        <f>FIXED(YEAR(LstMachines[[#This Row],[Delivery]]),0,TRUE)</f>
        <v>2018</v>
      </c>
      <c r="Q322" s="73"/>
      <c r="R322" s="93"/>
      <c r="S322" s="90"/>
      <c r="T322" s="90"/>
      <c r="U322" s="90" t="s">
        <v>105</v>
      </c>
      <c r="V322" s="72"/>
      <c r="W322" s="99" t="s">
        <v>384</v>
      </c>
      <c r="X322" s="258">
        <f>LstMachines[[#This Row],[Delivery]]</f>
        <v>43388</v>
      </c>
      <c r="Y322" s="258" t="str">
        <f xml:space="preserve"> IF(MONTH(LstMachines[[#This Row],[DateLivr]])&lt;10,"0","") &amp; MONTH(LstMachines[[#This Row],[DateLivr]]) &amp;"-"&amp;YEAR(LstMachines[[#This Row],[DateLivr]])</f>
        <v>10-2018</v>
      </c>
      <c r="Z322" s="258">
        <f>LstMachines[[#This Row],[Delivery]]+Rglt_à_HCME</f>
        <v>43448</v>
      </c>
      <c r="AA322" s="258" t="str">
        <f xml:space="preserve"> IF(MONTH(LstMachines[[#This Row],[DatePaie]])&lt;10,"0","") &amp; MONTH(LstMachines[[#This Row],[DatePaie]])&amp;"-"&amp;YEAR(LstMachines[[#This Row],[DatePaie]])</f>
        <v>12-2018</v>
      </c>
      <c r="AB322" s="258">
        <f>LstMachines[[#This Row],[DateLivr]]+1</f>
        <v>43389</v>
      </c>
      <c r="AC322" s="258" t="str">
        <f xml:space="preserve"> IF(MONTH(LstMachines[[#This Row],[Distrib]])&lt;10,"0","") &amp; MONTH(LstMachines[[#This Row],[Distrib]]) &amp; "-" &amp; YEAR(LstMachines[[#This Row],[Distrib]])</f>
        <v>10-2018</v>
      </c>
      <c r="AD322" s="258">
        <f>LstMachines[[#This Row],[DateLivr]]+Délai_Vente</f>
        <v>43508</v>
      </c>
      <c r="AE322" s="258" t="str">
        <f xml:space="preserve"> IF(MONTH(LstMachines[[#This Row],[VteESM]])&lt;10,"0","") &amp; MONTH(LstMachines[[#This Row],[VteESM]]) &amp; "-" &amp; YEAR(LstMachines[[#This Row],[VteESM]])</f>
        <v>02-2019</v>
      </c>
      <c r="AF322" s="258">
        <f>LstMachines[[#This Row],[DateLivr]]+Rglt_à_ESMTP</f>
        <v>43448</v>
      </c>
      <c r="AG322" s="258" t="str">
        <f xml:space="preserve"> IF(MONTH(LstMachines[[#This Row],[RgltDistrib]])&lt;10,"0","") &amp; MONTH(LstMachines[[#This Row],[RgltDistrib]]) &amp; "-" &amp; YEAR(LstMachines[[#This Row],[RgltDistrib]])</f>
        <v>12-2018</v>
      </c>
      <c r="AH322" s="258">
        <f>LstMachines[[#This Row],[VteESM]]+Rglt_à_ESMTP</f>
        <v>43568</v>
      </c>
      <c r="AI322" s="258" t="str">
        <f xml:space="preserve"> IF(MONTH(LstMachines[[#This Row],[RgltVteESM]])&lt;10,"0","") &amp; MONTH(LstMachines[[#This Row],[RgltVteESM]]) &amp; "-" &amp; YEAR(LstMachines[[#This Row],[RgltVteESM]])</f>
        <v>04-2019</v>
      </c>
      <c r="AJ322" s="140">
        <f>MONTH(LstMachines[[#This Row],[DatePaie]])</f>
        <v>12</v>
      </c>
      <c r="AK322" s="88" t="str">
        <f>FIXED(YEAR(LstMachines[[#This Row],[DatePaie]]),0,TRUE)</f>
        <v>2018</v>
      </c>
      <c r="AL322" s="140"/>
      <c r="AM322" s="414"/>
      <c r="AN322" s="92"/>
      <c r="AO322" s="92"/>
      <c r="AP322" s="92"/>
      <c r="AQ322" s="92"/>
      <c r="AR322" s="92"/>
      <c r="AS322" s="92"/>
      <c r="AT322" s="92"/>
      <c r="AU322" s="92"/>
      <c r="AV322" s="92"/>
      <c r="AW322" s="92"/>
      <c r="AX322" s="92"/>
      <c r="AY322" s="92"/>
      <c r="BA322" s="92"/>
      <c r="BC322" s="92"/>
      <c r="BD322" s="92"/>
      <c r="BE322" s="92"/>
    </row>
    <row r="323" spans="2:57" hidden="1">
      <c r="B323" s="104" t="s">
        <v>262</v>
      </c>
      <c r="C323" s="104" t="s">
        <v>39</v>
      </c>
      <c r="D323" s="87">
        <v>85</v>
      </c>
      <c r="E323" s="86" t="s">
        <v>356</v>
      </c>
      <c r="F323" s="87" t="s">
        <v>100</v>
      </c>
      <c r="G323" s="87" t="s">
        <v>31</v>
      </c>
      <c r="H323" s="89">
        <v>5</v>
      </c>
      <c r="I32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320</v>
      </c>
      <c r="J323" s="88">
        <v>43388</v>
      </c>
      <c r="K323" s="99" t="s">
        <v>461</v>
      </c>
      <c r="L323" s="120" t="s">
        <v>378</v>
      </c>
      <c r="M323" s="99"/>
      <c r="N323" s="90"/>
      <c r="O323" s="255">
        <f>MONTH(LstMachines[[#This Row],[Delivery]])</f>
        <v>10</v>
      </c>
      <c r="P323" s="256" t="str">
        <f>FIXED(YEAR(LstMachines[[#This Row],[Delivery]]),0,TRUE)</f>
        <v>2018</v>
      </c>
      <c r="Q323" s="73"/>
      <c r="R323" s="93"/>
      <c r="S323" s="90"/>
      <c r="T323" s="90"/>
      <c r="U323" s="90" t="s">
        <v>105</v>
      </c>
      <c r="V323" s="72"/>
      <c r="W323" s="99" t="s">
        <v>384</v>
      </c>
      <c r="X323" s="258">
        <f>LstMachines[[#This Row],[Delivery]]</f>
        <v>43388</v>
      </c>
      <c r="Y323" s="258" t="str">
        <f xml:space="preserve"> IF(MONTH(LstMachines[[#This Row],[DateLivr]])&lt;10,"0","") &amp; MONTH(LstMachines[[#This Row],[DateLivr]]) &amp;"-"&amp;YEAR(LstMachines[[#This Row],[DateLivr]])</f>
        <v>10-2018</v>
      </c>
      <c r="Z323" s="258">
        <f>LstMachines[[#This Row],[Delivery]]+Rglt_à_HCME</f>
        <v>43448</v>
      </c>
      <c r="AA323" s="258" t="str">
        <f xml:space="preserve"> IF(MONTH(LstMachines[[#This Row],[DatePaie]])&lt;10,"0","") &amp; MONTH(LstMachines[[#This Row],[DatePaie]])&amp;"-"&amp;YEAR(LstMachines[[#This Row],[DatePaie]])</f>
        <v>12-2018</v>
      </c>
      <c r="AB323" s="258">
        <f>LstMachines[[#This Row],[DateLivr]]+1</f>
        <v>43389</v>
      </c>
      <c r="AC323" s="258" t="str">
        <f xml:space="preserve"> IF(MONTH(LstMachines[[#This Row],[Distrib]])&lt;10,"0","") &amp; MONTH(LstMachines[[#This Row],[Distrib]]) &amp; "-" &amp; YEAR(LstMachines[[#This Row],[Distrib]])</f>
        <v>10-2018</v>
      </c>
      <c r="AD323" s="258">
        <f>LstMachines[[#This Row],[DateLivr]]+Délai_Vente</f>
        <v>43508</v>
      </c>
      <c r="AE323" s="258" t="str">
        <f xml:space="preserve"> IF(MONTH(LstMachines[[#This Row],[VteESM]])&lt;10,"0","") &amp; MONTH(LstMachines[[#This Row],[VteESM]]) &amp; "-" &amp; YEAR(LstMachines[[#This Row],[VteESM]])</f>
        <v>02-2019</v>
      </c>
      <c r="AF323" s="258">
        <f>LstMachines[[#This Row],[DateLivr]]+Rglt_à_ESMTP</f>
        <v>43448</v>
      </c>
      <c r="AG323" s="258" t="str">
        <f xml:space="preserve"> IF(MONTH(LstMachines[[#This Row],[RgltDistrib]])&lt;10,"0","") &amp; MONTH(LstMachines[[#This Row],[RgltDistrib]]) &amp; "-" &amp; YEAR(LstMachines[[#This Row],[RgltDistrib]])</f>
        <v>12-2018</v>
      </c>
      <c r="AH323" s="258">
        <f>LstMachines[[#This Row],[VteESM]]+Rglt_à_ESMTP</f>
        <v>43568</v>
      </c>
      <c r="AI323" s="258" t="str">
        <f xml:space="preserve"> IF(MONTH(LstMachines[[#This Row],[RgltVteESM]])&lt;10,"0","") &amp; MONTH(LstMachines[[#This Row],[RgltVteESM]]) &amp; "-" &amp; YEAR(LstMachines[[#This Row],[RgltVteESM]])</f>
        <v>04-2019</v>
      </c>
      <c r="AJ323" s="140">
        <f>MONTH(LstMachines[[#This Row],[DatePaie]])</f>
        <v>12</v>
      </c>
      <c r="AK323" s="88" t="str">
        <f>FIXED(YEAR(LstMachines[[#This Row],[DatePaie]]),0,TRUE)</f>
        <v>2018</v>
      </c>
      <c r="AL323" s="140"/>
      <c r="AM323" s="414"/>
      <c r="AN323" s="92"/>
      <c r="AO323" s="92"/>
      <c r="AP323" s="92"/>
      <c r="AQ323" s="92"/>
      <c r="AR323" s="92"/>
      <c r="AS323" s="92"/>
      <c r="AT323" s="92"/>
      <c r="AU323" s="92"/>
      <c r="AV323" s="92"/>
      <c r="AW323" s="92"/>
      <c r="AX323" s="92"/>
      <c r="AY323" s="92"/>
      <c r="BA323" s="92"/>
      <c r="BC323" s="92"/>
      <c r="BD323" s="92"/>
      <c r="BE323" s="92"/>
    </row>
    <row r="324" spans="2:57" ht="18" hidden="1" customHeight="1">
      <c r="B324" s="104" t="s">
        <v>262</v>
      </c>
      <c r="C324" s="104" t="s">
        <v>44</v>
      </c>
      <c r="D324" s="87">
        <v>225</v>
      </c>
      <c r="E324" s="86" t="s">
        <v>204</v>
      </c>
      <c r="F324" s="87" t="s">
        <v>100</v>
      </c>
      <c r="G324" s="87" t="s">
        <v>31</v>
      </c>
      <c r="H324" s="89">
        <v>1</v>
      </c>
      <c r="I32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324" s="88">
        <v>43405</v>
      </c>
      <c r="K324" s="99" t="s">
        <v>461</v>
      </c>
      <c r="L324" s="120" t="s">
        <v>378</v>
      </c>
      <c r="M324" s="99"/>
      <c r="N324" s="90"/>
      <c r="O324" s="255">
        <f>MONTH(LstMachines[[#This Row],[Delivery]])</f>
        <v>11</v>
      </c>
      <c r="P324" s="256" t="str">
        <f>FIXED(YEAR(LstMachines[[#This Row],[Delivery]]),0,TRUE)</f>
        <v>2018</v>
      </c>
      <c r="Q324" s="73"/>
      <c r="R324" s="93"/>
      <c r="S324" s="90"/>
      <c r="T324" s="90"/>
      <c r="U324" s="90" t="s">
        <v>105</v>
      </c>
      <c r="V324" s="72"/>
      <c r="W324" s="99" t="s">
        <v>384</v>
      </c>
      <c r="X324" s="258">
        <f>LstMachines[[#This Row],[Delivery]]</f>
        <v>43405</v>
      </c>
      <c r="Y324" s="258" t="str">
        <f xml:space="preserve"> IF(MONTH(LstMachines[[#This Row],[DateLivr]])&lt;10,"0","") &amp; MONTH(LstMachines[[#This Row],[DateLivr]]) &amp;"-"&amp;YEAR(LstMachines[[#This Row],[DateLivr]])</f>
        <v>11-2018</v>
      </c>
      <c r="Z324" s="258">
        <f>LstMachines[[#This Row],[Delivery]]+Rglt_à_HCME</f>
        <v>43465</v>
      </c>
      <c r="AA324" s="258" t="str">
        <f xml:space="preserve"> IF(MONTH(LstMachines[[#This Row],[DatePaie]])&lt;10,"0","") &amp; MONTH(LstMachines[[#This Row],[DatePaie]])&amp;"-"&amp;YEAR(LstMachines[[#This Row],[DatePaie]])</f>
        <v>12-2018</v>
      </c>
      <c r="AB324" s="258">
        <f>LstMachines[[#This Row],[DateLivr]]+1</f>
        <v>43406</v>
      </c>
      <c r="AC324" s="258" t="str">
        <f xml:space="preserve"> IF(MONTH(LstMachines[[#This Row],[Distrib]])&lt;10,"0","") &amp; MONTH(LstMachines[[#This Row],[Distrib]]) &amp; "-" &amp; YEAR(LstMachines[[#This Row],[Distrib]])</f>
        <v>11-2018</v>
      </c>
      <c r="AD324" s="258">
        <f>LstMachines[[#This Row],[DateLivr]]+Délai_Vente</f>
        <v>43525</v>
      </c>
      <c r="AE324" s="258" t="str">
        <f xml:space="preserve"> IF(MONTH(LstMachines[[#This Row],[VteESM]])&lt;10,"0","") &amp; MONTH(LstMachines[[#This Row],[VteESM]]) &amp; "-" &amp; YEAR(LstMachines[[#This Row],[VteESM]])</f>
        <v>03-2019</v>
      </c>
      <c r="AF324" s="258">
        <f>LstMachines[[#This Row],[DateLivr]]+Rglt_à_ESMTP</f>
        <v>43465</v>
      </c>
      <c r="AG324" s="258" t="str">
        <f xml:space="preserve"> IF(MONTH(LstMachines[[#This Row],[RgltDistrib]])&lt;10,"0","") &amp; MONTH(LstMachines[[#This Row],[RgltDistrib]]) &amp; "-" &amp; YEAR(LstMachines[[#This Row],[RgltDistrib]])</f>
        <v>12-2018</v>
      </c>
      <c r="AH324" s="258">
        <f>LstMachines[[#This Row],[VteESM]]+Rglt_à_ESMTP</f>
        <v>43585</v>
      </c>
      <c r="AI324" s="258" t="str">
        <f xml:space="preserve"> IF(MONTH(LstMachines[[#This Row],[RgltVteESM]])&lt;10,"0","") &amp; MONTH(LstMachines[[#This Row],[RgltVteESM]]) &amp; "-" &amp; YEAR(LstMachines[[#This Row],[RgltVteESM]])</f>
        <v>04-2019</v>
      </c>
      <c r="AJ324" s="140">
        <f>MONTH(LstMachines[[#This Row],[DatePaie]])</f>
        <v>12</v>
      </c>
      <c r="AK324" s="88" t="str">
        <f>FIXED(YEAR(LstMachines[[#This Row],[DatePaie]]),0,TRUE)</f>
        <v>2018</v>
      </c>
      <c r="AL324" s="140"/>
      <c r="AM324" s="414"/>
      <c r="AN324" s="92"/>
      <c r="AO324" s="92"/>
      <c r="AP324" s="92"/>
      <c r="AQ324" s="92"/>
      <c r="AR324" s="92"/>
      <c r="AS324" s="92"/>
      <c r="AT324" s="92"/>
      <c r="AU324" s="92"/>
      <c r="AV324" s="92"/>
      <c r="AW324" s="92"/>
      <c r="AX324" s="92"/>
      <c r="AY324" s="92"/>
      <c r="BA324" s="92"/>
      <c r="BC324" s="92"/>
      <c r="BD324" s="92"/>
      <c r="BE324" s="92"/>
    </row>
    <row r="325" spans="2:57" hidden="1">
      <c r="B325" s="243" t="s">
        <v>75</v>
      </c>
      <c r="C325" s="243" t="s">
        <v>36</v>
      </c>
      <c r="D325" s="245">
        <v>26</v>
      </c>
      <c r="E325" s="86"/>
      <c r="F325" s="89" t="s">
        <v>67</v>
      </c>
      <c r="G325" s="87" t="s">
        <v>107</v>
      </c>
      <c r="H325" s="89">
        <v>1</v>
      </c>
      <c r="I325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325" s="88">
        <v>43419</v>
      </c>
      <c r="K325" s="99" t="s">
        <v>461</v>
      </c>
      <c r="L325" s="244" t="s">
        <v>390</v>
      </c>
      <c r="M325" s="248"/>
      <c r="N325" s="249"/>
      <c r="O325" s="270">
        <f>MONTH(LstMachines[[#This Row],[Delivery]])</f>
        <v>11</v>
      </c>
      <c r="P325" s="247" t="str">
        <f>FIXED(YEAR(LstMachines[[#This Row],[Delivery]]),0,TRUE)</f>
        <v>2018</v>
      </c>
      <c r="Q325" s="250"/>
      <c r="R325" s="251"/>
      <c r="S325" s="249"/>
      <c r="T325" s="249"/>
      <c r="U325" s="249" t="s">
        <v>105</v>
      </c>
      <c r="V325" s="246"/>
      <c r="W325" s="248" t="s">
        <v>384</v>
      </c>
      <c r="X325" s="249">
        <f>LstMachines[[#This Row],[Delivery]]</f>
        <v>43419</v>
      </c>
      <c r="Y325" s="271" t="str">
        <f xml:space="preserve"> IF(MONTH(LstMachines[[#This Row],[DateLivr]])&lt;10,"0","") &amp; MONTH(LstMachines[[#This Row],[DateLivr]]) &amp;"-"&amp;YEAR(LstMachines[[#This Row],[DateLivr]])</f>
        <v>11-2018</v>
      </c>
      <c r="Z325" s="247">
        <f>LstMachines[[#This Row],[Delivery]]+Rglt_à_HCME</f>
        <v>43479</v>
      </c>
      <c r="AA325" s="271" t="str">
        <f xml:space="preserve"> IF(MONTH(LstMachines[[#This Row],[DatePaie]])&lt;10,"0","") &amp; MONTH(LstMachines[[#This Row],[DatePaie]])&amp;"-"&amp;YEAR(LstMachines[[#This Row],[DatePaie]])</f>
        <v>01-2019</v>
      </c>
      <c r="AB325" s="271">
        <f>LstMachines[[#This Row],[DateLivr]]+1</f>
        <v>43420</v>
      </c>
      <c r="AC325" s="271" t="str">
        <f xml:space="preserve"> IF(MONTH(LstMachines[[#This Row],[Distrib]])&lt;10,"0","") &amp; MONTH(LstMachines[[#This Row],[Distrib]]) &amp; "-" &amp; YEAR(LstMachines[[#This Row],[Distrib]])</f>
        <v>11-2018</v>
      </c>
      <c r="AD325" s="271">
        <f>LstMachines[[#This Row],[DateLivr]]+Délai_Vente</f>
        <v>43539</v>
      </c>
      <c r="AE325" s="271" t="str">
        <f xml:space="preserve"> IF(MONTH(LstMachines[[#This Row],[VteESM]])&lt;10,"0","") &amp; MONTH(LstMachines[[#This Row],[VteESM]]) &amp; "-" &amp; YEAR(LstMachines[[#This Row],[VteESM]])</f>
        <v>03-2019</v>
      </c>
      <c r="AF325" s="271">
        <f>LstMachines[[#This Row],[DateLivr]]+Rglt_à_ESMTP</f>
        <v>43479</v>
      </c>
      <c r="AG325" s="271" t="str">
        <f xml:space="preserve"> IF(MONTH(LstMachines[[#This Row],[RgltDistrib]])&lt;10,"0","") &amp; MONTH(LstMachines[[#This Row],[RgltDistrib]]) &amp; "-" &amp; YEAR(LstMachines[[#This Row],[RgltDistrib]])</f>
        <v>01-2019</v>
      </c>
      <c r="AH325" s="271">
        <f>LstMachines[[#This Row],[VteESM]]+Rglt_à_ESMTP</f>
        <v>43599</v>
      </c>
      <c r="AI325" s="271" t="str">
        <f xml:space="preserve"> IF(MONTH(LstMachines[[#This Row],[RgltVteESM]])&lt;10,"0","") &amp; MONTH(LstMachines[[#This Row],[RgltVteESM]]) &amp; "-" &amp; YEAR(LstMachines[[#This Row],[RgltVteESM]])</f>
        <v>05-2019</v>
      </c>
      <c r="AJ325" s="270">
        <f>MONTH(LstMachines[[#This Row],[DatePaie]])</f>
        <v>1</v>
      </c>
      <c r="AK325" s="247" t="str">
        <f>FIXED(YEAR(LstMachines[[#This Row],[DatePaie]]),0,TRUE)</f>
        <v>2019</v>
      </c>
      <c r="AL325" s="270"/>
      <c r="AM325" s="414"/>
      <c r="AN325" s="92"/>
      <c r="AO325" s="92"/>
      <c r="AP325" s="92"/>
      <c r="AQ325" s="92"/>
      <c r="AR325" s="92"/>
      <c r="AS325" s="92"/>
      <c r="AT325" s="92"/>
      <c r="AU325" s="92"/>
      <c r="AV325" s="92"/>
      <c r="AW325" s="92"/>
      <c r="AX325" s="92"/>
      <c r="AY325" s="92"/>
      <c r="BA325" s="92"/>
      <c r="BC325" s="92"/>
      <c r="BD325" s="92"/>
      <c r="BE325" s="92"/>
    </row>
    <row r="326" spans="2:57" ht="18" hidden="1" customHeight="1">
      <c r="B326" s="194" t="s">
        <v>75</v>
      </c>
      <c r="C326" s="194" t="s">
        <v>35</v>
      </c>
      <c r="D326" s="195">
        <v>19</v>
      </c>
      <c r="E326" s="194" t="s">
        <v>76</v>
      </c>
      <c r="F326" s="204" t="s">
        <v>468</v>
      </c>
      <c r="G326" s="204" t="s">
        <v>469</v>
      </c>
      <c r="H326" s="246">
        <v>1</v>
      </c>
      <c r="I32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326" s="88">
        <v>43419</v>
      </c>
      <c r="K326" s="139" t="s">
        <v>461</v>
      </c>
      <c r="L326" s="198" t="s">
        <v>470</v>
      </c>
      <c r="M326" s="139"/>
      <c r="N326" s="197"/>
      <c r="O326" s="255">
        <f>MONTH(LstMachines[[#This Row],[Delivery]])</f>
        <v>11</v>
      </c>
      <c r="P326" s="256" t="str">
        <f>FIXED(YEAR(LstMachines[[#This Row],[Delivery]]),0,TRUE)</f>
        <v>2018</v>
      </c>
      <c r="Q326" s="205"/>
      <c r="R326" s="241"/>
      <c r="S326" s="197"/>
      <c r="T326" s="197"/>
      <c r="U326" s="197"/>
      <c r="V326" s="193"/>
      <c r="W326" s="139"/>
      <c r="X326" s="258">
        <f>LstMachines[[#This Row],[Delivery]]</f>
        <v>43419</v>
      </c>
      <c r="Y326" s="258" t="str">
        <f xml:space="preserve"> IF(MONTH(LstMachines[[#This Row],[DateLivr]])&lt;10,"0","") &amp; MONTH(LstMachines[[#This Row],[DateLivr]]) &amp;"-"&amp;YEAR(LstMachines[[#This Row],[DateLivr]])</f>
        <v>11-2018</v>
      </c>
      <c r="Z326" s="258">
        <f>LstMachines[[#This Row],[Delivery]]+Rglt_à_HCME</f>
        <v>43479</v>
      </c>
      <c r="AA326" s="258" t="str">
        <f xml:space="preserve"> IF(MONTH(LstMachines[[#This Row],[DatePaie]])&lt;10,"0","") &amp; MONTH(LstMachines[[#This Row],[DatePaie]])&amp;"-"&amp;YEAR(LstMachines[[#This Row],[DatePaie]])</f>
        <v>01-2019</v>
      </c>
      <c r="AB326" s="258">
        <f>LstMachines[[#This Row],[DateLivr]]+1</f>
        <v>43420</v>
      </c>
      <c r="AC326" s="258" t="str">
        <f xml:space="preserve"> IF(MONTH(LstMachines[[#This Row],[Distrib]])&lt;10,"0","") &amp; MONTH(LstMachines[[#This Row],[Distrib]]) &amp; "-" &amp; YEAR(LstMachines[[#This Row],[Distrib]])</f>
        <v>11-2018</v>
      </c>
      <c r="AD326" s="258">
        <f>LstMachines[[#This Row],[DateLivr]]+Délai_Vente</f>
        <v>43539</v>
      </c>
      <c r="AE326" s="258" t="str">
        <f xml:space="preserve"> IF(MONTH(LstMachines[[#This Row],[VteESM]])&lt;10,"0","") &amp; MONTH(LstMachines[[#This Row],[VteESM]]) &amp; "-" &amp; YEAR(LstMachines[[#This Row],[VteESM]])</f>
        <v>03-2019</v>
      </c>
      <c r="AF326" s="258">
        <f>LstMachines[[#This Row],[DateLivr]]+Rglt_à_ESMTP</f>
        <v>43479</v>
      </c>
      <c r="AG326" s="258" t="str">
        <f xml:space="preserve"> IF(MONTH(LstMachines[[#This Row],[RgltDistrib]])&lt;10,"0","") &amp; MONTH(LstMachines[[#This Row],[RgltDistrib]]) &amp; "-" &amp; YEAR(LstMachines[[#This Row],[RgltDistrib]])</f>
        <v>01-2019</v>
      </c>
      <c r="AH326" s="258">
        <f>LstMachines[[#This Row],[VteESM]]+Rglt_à_ESMTP</f>
        <v>43599</v>
      </c>
      <c r="AI326" s="258" t="str">
        <f xml:space="preserve"> IF(MONTH(LstMachines[[#This Row],[RgltVteESM]])&lt;10,"0","") &amp; MONTH(LstMachines[[#This Row],[RgltVteESM]]) &amp; "-" &amp; YEAR(LstMachines[[#This Row],[RgltVteESM]])</f>
        <v>05-2019</v>
      </c>
      <c r="AJ326" s="140">
        <f>MONTH(LstMachines[[#This Row],[DatePaie]])</f>
        <v>1</v>
      </c>
      <c r="AK326" s="88" t="str">
        <f>FIXED(YEAR(LstMachines[[#This Row],[DatePaie]]),0,TRUE)</f>
        <v>2019</v>
      </c>
      <c r="AL326" s="140"/>
      <c r="AM326" s="414"/>
      <c r="AN326" s="92"/>
      <c r="AO326" s="92"/>
      <c r="AP326" s="92"/>
      <c r="AQ326" s="92"/>
      <c r="AR326" s="92"/>
      <c r="AS326" s="92"/>
      <c r="AT326" s="92"/>
      <c r="AU326" s="92"/>
      <c r="AV326" s="92"/>
      <c r="AW326" s="92"/>
      <c r="AX326" s="92"/>
      <c r="AY326" s="92"/>
      <c r="BA326" s="92"/>
      <c r="BC326" s="92"/>
      <c r="BD326" s="92"/>
      <c r="BE326" s="92"/>
    </row>
    <row r="327" spans="2:57" hidden="1">
      <c r="B327" s="194" t="s">
        <v>75</v>
      </c>
      <c r="C327" s="194" t="s">
        <v>36</v>
      </c>
      <c r="D327" s="195">
        <v>26</v>
      </c>
      <c r="E327" s="194" t="s">
        <v>361</v>
      </c>
      <c r="F327" s="204" t="s">
        <v>468</v>
      </c>
      <c r="G327" s="204" t="s">
        <v>469</v>
      </c>
      <c r="H327" s="246">
        <v>1</v>
      </c>
      <c r="I32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327" s="88">
        <v>43419</v>
      </c>
      <c r="K327" s="139" t="s">
        <v>461</v>
      </c>
      <c r="L327" s="198" t="s">
        <v>470</v>
      </c>
      <c r="M327" s="139"/>
      <c r="N327" s="197"/>
      <c r="O327" s="255">
        <f>MONTH(LstMachines[[#This Row],[Delivery]])</f>
        <v>11</v>
      </c>
      <c r="P327" s="256" t="str">
        <f>FIXED(YEAR(LstMachines[[#This Row],[Delivery]]),0,TRUE)</f>
        <v>2018</v>
      </c>
      <c r="Q327" s="205"/>
      <c r="R327" s="241"/>
      <c r="S327" s="197"/>
      <c r="T327" s="197"/>
      <c r="U327" s="197"/>
      <c r="V327" s="193"/>
      <c r="W327" s="139"/>
      <c r="X327" s="258">
        <f>LstMachines[[#This Row],[Delivery]]</f>
        <v>43419</v>
      </c>
      <c r="Y327" s="258" t="str">
        <f xml:space="preserve"> IF(MONTH(LstMachines[[#This Row],[DateLivr]])&lt;10,"0","") &amp; MONTH(LstMachines[[#This Row],[DateLivr]]) &amp;"-"&amp;YEAR(LstMachines[[#This Row],[DateLivr]])</f>
        <v>11-2018</v>
      </c>
      <c r="Z327" s="258">
        <f>LstMachines[[#This Row],[Delivery]]+Rglt_à_HCME</f>
        <v>43479</v>
      </c>
      <c r="AA327" s="258" t="str">
        <f xml:space="preserve"> IF(MONTH(LstMachines[[#This Row],[DatePaie]])&lt;10,"0","") &amp; MONTH(LstMachines[[#This Row],[DatePaie]])&amp;"-"&amp;YEAR(LstMachines[[#This Row],[DatePaie]])</f>
        <v>01-2019</v>
      </c>
      <c r="AB327" s="258">
        <f>LstMachines[[#This Row],[DateLivr]]+1</f>
        <v>43420</v>
      </c>
      <c r="AC327" s="258" t="str">
        <f xml:space="preserve"> IF(MONTH(LstMachines[[#This Row],[Distrib]])&lt;10,"0","") &amp; MONTH(LstMachines[[#This Row],[Distrib]]) &amp; "-" &amp; YEAR(LstMachines[[#This Row],[Distrib]])</f>
        <v>11-2018</v>
      </c>
      <c r="AD327" s="258">
        <f>LstMachines[[#This Row],[DateLivr]]+Délai_Vente</f>
        <v>43539</v>
      </c>
      <c r="AE327" s="258" t="str">
        <f xml:space="preserve"> IF(MONTH(LstMachines[[#This Row],[VteESM]])&lt;10,"0","") &amp; MONTH(LstMachines[[#This Row],[VteESM]]) &amp; "-" &amp; YEAR(LstMachines[[#This Row],[VteESM]])</f>
        <v>03-2019</v>
      </c>
      <c r="AF327" s="258">
        <f>LstMachines[[#This Row],[DateLivr]]+Rglt_à_ESMTP</f>
        <v>43479</v>
      </c>
      <c r="AG327" s="258" t="str">
        <f xml:space="preserve"> IF(MONTH(LstMachines[[#This Row],[RgltDistrib]])&lt;10,"0","") &amp; MONTH(LstMachines[[#This Row],[RgltDistrib]]) &amp; "-" &amp; YEAR(LstMachines[[#This Row],[RgltDistrib]])</f>
        <v>01-2019</v>
      </c>
      <c r="AH327" s="258">
        <f>LstMachines[[#This Row],[VteESM]]+Rglt_à_ESMTP</f>
        <v>43599</v>
      </c>
      <c r="AI327" s="258" t="str">
        <f xml:space="preserve"> IF(MONTH(LstMachines[[#This Row],[RgltVteESM]])&lt;10,"0","") &amp; MONTH(LstMachines[[#This Row],[RgltVteESM]]) &amp; "-" &amp; YEAR(LstMachines[[#This Row],[RgltVteESM]])</f>
        <v>05-2019</v>
      </c>
      <c r="AJ327" s="140">
        <f>MONTH(LstMachines[[#This Row],[DatePaie]])</f>
        <v>1</v>
      </c>
      <c r="AK327" s="88" t="str">
        <f>FIXED(YEAR(LstMachines[[#This Row],[DatePaie]]),0,TRUE)</f>
        <v>2019</v>
      </c>
      <c r="AL327" s="140"/>
      <c r="AM327" s="414"/>
      <c r="AN327" s="92"/>
      <c r="AO327" s="92"/>
      <c r="AP327" s="92"/>
      <c r="AQ327" s="92"/>
      <c r="AR327" s="92"/>
      <c r="AS327" s="92"/>
      <c r="AT327" s="92"/>
      <c r="AU327" s="92"/>
      <c r="AV327" s="92"/>
      <c r="AW327" s="92"/>
      <c r="AX327" s="92"/>
      <c r="AY327" s="92"/>
      <c r="BA327" s="92"/>
      <c r="BC327" s="92"/>
      <c r="BD327" s="92"/>
      <c r="BE327" s="92"/>
    </row>
    <row r="328" spans="2:57" hidden="1">
      <c r="B328" s="194" t="s">
        <v>75</v>
      </c>
      <c r="C328" s="194" t="s">
        <v>36</v>
      </c>
      <c r="D328" s="195">
        <v>26</v>
      </c>
      <c r="E328" s="194" t="s">
        <v>355</v>
      </c>
      <c r="F328" s="204" t="s">
        <v>468</v>
      </c>
      <c r="G328" s="204" t="s">
        <v>469</v>
      </c>
      <c r="H328" s="246">
        <v>1</v>
      </c>
      <c r="I32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328" s="88">
        <v>43419</v>
      </c>
      <c r="K328" s="139" t="s">
        <v>461</v>
      </c>
      <c r="L328" s="198" t="s">
        <v>470</v>
      </c>
      <c r="M328" s="139"/>
      <c r="N328" s="197"/>
      <c r="O328" s="255">
        <f>MONTH(LstMachines[[#This Row],[Delivery]])</f>
        <v>11</v>
      </c>
      <c r="P328" s="256" t="str">
        <f>FIXED(YEAR(LstMachines[[#This Row],[Delivery]]),0,TRUE)</f>
        <v>2018</v>
      </c>
      <c r="Q328" s="205"/>
      <c r="R328" s="241"/>
      <c r="S328" s="197"/>
      <c r="T328" s="197"/>
      <c r="U328" s="197"/>
      <c r="V328" s="193"/>
      <c r="W328" s="139"/>
      <c r="X328" s="258">
        <f>LstMachines[[#This Row],[Delivery]]</f>
        <v>43419</v>
      </c>
      <c r="Y328" s="258" t="str">
        <f xml:space="preserve"> IF(MONTH(LstMachines[[#This Row],[DateLivr]])&lt;10,"0","") &amp; MONTH(LstMachines[[#This Row],[DateLivr]]) &amp;"-"&amp;YEAR(LstMachines[[#This Row],[DateLivr]])</f>
        <v>11-2018</v>
      </c>
      <c r="Z328" s="258">
        <f>LstMachines[[#This Row],[Delivery]]+Rglt_à_HCME</f>
        <v>43479</v>
      </c>
      <c r="AA328" s="258" t="str">
        <f xml:space="preserve"> IF(MONTH(LstMachines[[#This Row],[DatePaie]])&lt;10,"0","") &amp; MONTH(LstMachines[[#This Row],[DatePaie]])&amp;"-"&amp;YEAR(LstMachines[[#This Row],[DatePaie]])</f>
        <v>01-2019</v>
      </c>
      <c r="AB328" s="258">
        <f>LstMachines[[#This Row],[DateLivr]]+1</f>
        <v>43420</v>
      </c>
      <c r="AC328" s="258" t="str">
        <f xml:space="preserve"> IF(MONTH(LstMachines[[#This Row],[Distrib]])&lt;10,"0","") &amp; MONTH(LstMachines[[#This Row],[Distrib]]) &amp; "-" &amp; YEAR(LstMachines[[#This Row],[Distrib]])</f>
        <v>11-2018</v>
      </c>
      <c r="AD328" s="258">
        <f>LstMachines[[#This Row],[DateLivr]]+Délai_Vente</f>
        <v>43539</v>
      </c>
      <c r="AE328" s="258" t="str">
        <f xml:space="preserve"> IF(MONTH(LstMachines[[#This Row],[VteESM]])&lt;10,"0","") &amp; MONTH(LstMachines[[#This Row],[VteESM]]) &amp; "-" &amp; YEAR(LstMachines[[#This Row],[VteESM]])</f>
        <v>03-2019</v>
      </c>
      <c r="AF328" s="258">
        <f>LstMachines[[#This Row],[DateLivr]]+Rglt_à_ESMTP</f>
        <v>43479</v>
      </c>
      <c r="AG328" s="258" t="str">
        <f xml:space="preserve"> IF(MONTH(LstMachines[[#This Row],[RgltDistrib]])&lt;10,"0","") &amp; MONTH(LstMachines[[#This Row],[RgltDistrib]]) &amp; "-" &amp; YEAR(LstMachines[[#This Row],[RgltDistrib]])</f>
        <v>01-2019</v>
      </c>
      <c r="AH328" s="258">
        <f>LstMachines[[#This Row],[VteESM]]+Rglt_à_ESMTP</f>
        <v>43599</v>
      </c>
      <c r="AI328" s="258" t="str">
        <f xml:space="preserve"> IF(MONTH(LstMachines[[#This Row],[RgltVteESM]])&lt;10,"0","") &amp; MONTH(LstMachines[[#This Row],[RgltVteESM]]) &amp; "-" &amp; YEAR(LstMachines[[#This Row],[RgltVteESM]])</f>
        <v>05-2019</v>
      </c>
      <c r="AJ328" s="140">
        <f>MONTH(LstMachines[[#This Row],[DatePaie]])</f>
        <v>1</v>
      </c>
      <c r="AK328" s="88" t="str">
        <f>FIXED(YEAR(LstMachines[[#This Row],[DatePaie]]),0,TRUE)</f>
        <v>2019</v>
      </c>
      <c r="AL328" s="140"/>
      <c r="AM328" s="414"/>
      <c r="AN328" s="92"/>
      <c r="AO328" s="92"/>
      <c r="AP328" s="92"/>
      <c r="AQ328" s="92"/>
      <c r="AR328" s="92"/>
      <c r="AS328" s="92"/>
      <c r="AT328" s="92"/>
      <c r="AU328" s="92"/>
      <c r="AV328" s="92"/>
      <c r="AW328" s="92"/>
      <c r="AX328" s="92"/>
      <c r="AY328" s="92"/>
      <c r="BA328" s="92"/>
      <c r="BC328" s="92"/>
      <c r="BD328" s="92"/>
      <c r="BE328" s="92"/>
    </row>
    <row r="329" spans="2:57" hidden="1">
      <c r="B329" s="194" t="s">
        <v>75</v>
      </c>
      <c r="C329" s="194" t="s">
        <v>38</v>
      </c>
      <c r="D329" s="195">
        <v>65</v>
      </c>
      <c r="E329" s="104" t="s">
        <v>364</v>
      </c>
      <c r="F329" s="204" t="s">
        <v>468</v>
      </c>
      <c r="G329" s="204" t="s">
        <v>469</v>
      </c>
      <c r="H329" s="246">
        <v>1</v>
      </c>
      <c r="I32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329" s="88">
        <v>43419</v>
      </c>
      <c r="K329" s="139" t="s">
        <v>461</v>
      </c>
      <c r="L329" s="198" t="s">
        <v>470</v>
      </c>
      <c r="M329" s="139"/>
      <c r="N329" s="197"/>
      <c r="O329" s="255">
        <f>MONTH(LstMachines[[#This Row],[Delivery]])</f>
        <v>11</v>
      </c>
      <c r="P329" s="256" t="str">
        <f>FIXED(YEAR(LstMachines[[#This Row],[Delivery]]),0,TRUE)</f>
        <v>2018</v>
      </c>
      <c r="Q329" s="205"/>
      <c r="R329" s="241"/>
      <c r="S329" s="197"/>
      <c r="T329" s="197"/>
      <c r="U329" s="197"/>
      <c r="V329" s="193"/>
      <c r="W329" s="139"/>
      <c r="X329" s="258">
        <f>LstMachines[[#This Row],[Delivery]]</f>
        <v>43419</v>
      </c>
      <c r="Y329" s="258" t="str">
        <f xml:space="preserve"> IF(MONTH(LstMachines[[#This Row],[DateLivr]])&lt;10,"0","") &amp; MONTH(LstMachines[[#This Row],[DateLivr]]) &amp;"-"&amp;YEAR(LstMachines[[#This Row],[DateLivr]])</f>
        <v>11-2018</v>
      </c>
      <c r="Z329" s="258">
        <f>LstMachines[[#This Row],[Delivery]]+Rglt_à_HCME</f>
        <v>43479</v>
      </c>
      <c r="AA329" s="258" t="str">
        <f xml:space="preserve"> IF(MONTH(LstMachines[[#This Row],[DatePaie]])&lt;10,"0","") &amp; MONTH(LstMachines[[#This Row],[DatePaie]])&amp;"-"&amp;YEAR(LstMachines[[#This Row],[DatePaie]])</f>
        <v>01-2019</v>
      </c>
      <c r="AB329" s="258">
        <f>LstMachines[[#This Row],[DateLivr]]+1</f>
        <v>43420</v>
      </c>
      <c r="AC329" s="258" t="str">
        <f xml:space="preserve"> IF(MONTH(LstMachines[[#This Row],[Distrib]])&lt;10,"0","") &amp; MONTH(LstMachines[[#This Row],[Distrib]]) &amp; "-" &amp; YEAR(LstMachines[[#This Row],[Distrib]])</f>
        <v>11-2018</v>
      </c>
      <c r="AD329" s="258">
        <f>LstMachines[[#This Row],[DateLivr]]+Délai_Vente</f>
        <v>43539</v>
      </c>
      <c r="AE329" s="258" t="str">
        <f xml:space="preserve"> IF(MONTH(LstMachines[[#This Row],[VteESM]])&lt;10,"0","") &amp; MONTH(LstMachines[[#This Row],[VteESM]]) &amp; "-" &amp; YEAR(LstMachines[[#This Row],[VteESM]])</f>
        <v>03-2019</v>
      </c>
      <c r="AF329" s="258">
        <f>LstMachines[[#This Row],[DateLivr]]+Rglt_à_ESMTP</f>
        <v>43479</v>
      </c>
      <c r="AG329" s="258" t="str">
        <f xml:space="preserve"> IF(MONTH(LstMachines[[#This Row],[RgltDistrib]])&lt;10,"0","") &amp; MONTH(LstMachines[[#This Row],[RgltDistrib]]) &amp; "-" &amp; YEAR(LstMachines[[#This Row],[RgltDistrib]])</f>
        <v>01-2019</v>
      </c>
      <c r="AH329" s="258">
        <f>LstMachines[[#This Row],[VteESM]]+Rglt_à_ESMTP</f>
        <v>43599</v>
      </c>
      <c r="AI329" s="258" t="str">
        <f xml:space="preserve"> IF(MONTH(LstMachines[[#This Row],[RgltVteESM]])&lt;10,"0","") &amp; MONTH(LstMachines[[#This Row],[RgltVteESM]]) &amp; "-" &amp; YEAR(LstMachines[[#This Row],[RgltVteESM]])</f>
        <v>05-2019</v>
      </c>
      <c r="AJ329" s="140">
        <f>MONTH(LstMachines[[#This Row],[DatePaie]])</f>
        <v>1</v>
      </c>
      <c r="AK329" s="88" t="str">
        <f>FIXED(YEAR(LstMachines[[#This Row],[DatePaie]]),0,TRUE)</f>
        <v>2019</v>
      </c>
      <c r="AL329" s="140"/>
      <c r="AM329" s="414"/>
      <c r="AN329" s="92"/>
      <c r="AO329" s="92"/>
      <c r="AP329" s="92"/>
      <c r="AQ329" s="92"/>
      <c r="AR329" s="92"/>
      <c r="AS329" s="92"/>
      <c r="AT329" s="92"/>
      <c r="AU329" s="92"/>
      <c r="AV329" s="92"/>
      <c r="AW329" s="92"/>
      <c r="AX329" s="92"/>
      <c r="AY329" s="92"/>
      <c r="BA329" s="92"/>
      <c r="BC329" s="92"/>
      <c r="BD329" s="92"/>
      <c r="BE329" s="92"/>
    </row>
    <row r="330" spans="2:57" hidden="1">
      <c r="B330" s="194" t="s">
        <v>262</v>
      </c>
      <c r="C330" s="194" t="s">
        <v>39</v>
      </c>
      <c r="D330" s="195">
        <v>85</v>
      </c>
      <c r="E330" s="194" t="s">
        <v>356</v>
      </c>
      <c r="F330" s="204" t="s">
        <v>468</v>
      </c>
      <c r="G330" s="204" t="s">
        <v>469</v>
      </c>
      <c r="H330" s="246">
        <v>1</v>
      </c>
      <c r="I33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330" s="88">
        <v>43419</v>
      </c>
      <c r="K330" s="139" t="s">
        <v>461</v>
      </c>
      <c r="L330" s="198" t="s">
        <v>470</v>
      </c>
      <c r="M330" s="139"/>
      <c r="N330" s="197"/>
      <c r="O330" s="255">
        <f>MONTH(LstMachines[[#This Row],[Delivery]])</f>
        <v>11</v>
      </c>
      <c r="P330" s="256" t="str">
        <f>FIXED(YEAR(LstMachines[[#This Row],[Delivery]]),0,TRUE)</f>
        <v>2018</v>
      </c>
      <c r="Q330" s="205"/>
      <c r="R330" s="241"/>
      <c r="S330" s="197"/>
      <c r="T330" s="197"/>
      <c r="U330" s="197"/>
      <c r="V330" s="193"/>
      <c r="W330" s="139"/>
      <c r="X330" s="258">
        <f>LstMachines[[#This Row],[Delivery]]</f>
        <v>43419</v>
      </c>
      <c r="Y330" s="258" t="str">
        <f xml:space="preserve"> IF(MONTH(LstMachines[[#This Row],[DateLivr]])&lt;10,"0","") &amp; MONTH(LstMachines[[#This Row],[DateLivr]]) &amp;"-"&amp;YEAR(LstMachines[[#This Row],[DateLivr]])</f>
        <v>11-2018</v>
      </c>
      <c r="Z330" s="258">
        <f>LstMachines[[#This Row],[Delivery]]+Rglt_à_HCME</f>
        <v>43479</v>
      </c>
      <c r="AA330" s="258" t="str">
        <f xml:space="preserve"> IF(MONTH(LstMachines[[#This Row],[DatePaie]])&lt;10,"0","") &amp; MONTH(LstMachines[[#This Row],[DatePaie]])&amp;"-"&amp;YEAR(LstMachines[[#This Row],[DatePaie]])</f>
        <v>01-2019</v>
      </c>
      <c r="AB330" s="258">
        <f>LstMachines[[#This Row],[DateLivr]]+1</f>
        <v>43420</v>
      </c>
      <c r="AC330" s="258" t="str">
        <f xml:space="preserve"> IF(MONTH(LstMachines[[#This Row],[Distrib]])&lt;10,"0","") &amp; MONTH(LstMachines[[#This Row],[Distrib]]) &amp; "-" &amp; YEAR(LstMachines[[#This Row],[Distrib]])</f>
        <v>11-2018</v>
      </c>
      <c r="AD330" s="258">
        <f>LstMachines[[#This Row],[DateLivr]]+Délai_Vente</f>
        <v>43539</v>
      </c>
      <c r="AE330" s="258" t="str">
        <f xml:space="preserve"> IF(MONTH(LstMachines[[#This Row],[VteESM]])&lt;10,"0","") &amp; MONTH(LstMachines[[#This Row],[VteESM]]) &amp; "-" &amp; YEAR(LstMachines[[#This Row],[VteESM]])</f>
        <v>03-2019</v>
      </c>
      <c r="AF330" s="258">
        <f>LstMachines[[#This Row],[DateLivr]]+Rglt_à_ESMTP</f>
        <v>43479</v>
      </c>
      <c r="AG330" s="258" t="str">
        <f xml:space="preserve"> IF(MONTH(LstMachines[[#This Row],[RgltDistrib]])&lt;10,"0","") &amp; MONTH(LstMachines[[#This Row],[RgltDistrib]]) &amp; "-" &amp; YEAR(LstMachines[[#This Row],[RgltDistrib]])</f>
        <v>01-2019</v>
      </c>
      <c r="AH330" s="258">
        <f>LstMachines[[#This Row],[VteESM]]+Rglt_à_ESMTP</f>
        <v>43599</v>
      </c>
      <c r="AI330" s="258" t="str">
        <f xml:space="preserve"> IF(MONTH(LstMachines[[#This Row],[RgltVteESM]])&lt;10,"0","") &amp; MONTH(LstMachines[[#This Row],[RgltVteESM]]) &amp; "-" &amp; YEAR(LstMachines[[#This Row],[RgltVteESM]])</f>
        <v>05-2019</v>
      </c>
      <c r="AJ330" s="140">
        <f>MONTH(LstMachines[[#This Row],[DatePaie]])</f>
        <v>1</v>
      </c>
      <c r="AK330" s="88" t="str">
        <f>FIXED(YEAR(LstMachines[[#This Row],[DatePaie]]),0,TRUE)</f>
        <v>2019</v>
      </c>
      <c r="AL330" s="140"/>
      <c r="AM330" s="414"/>
      <c r="AN330" s="92"/>
      <c r="AO330" s="92"/>
      <c r="AP330" s="92"/>
      <c r="AQ330" s="92"/>
      <c r="AR330" s="92"/>
      <c r="AS330" s="92"/>
      <c r="AT330" s="92"/>
      <c r="AU330" s="92"/>
      <c r="AV330" s="92"/>
      <c r="AW330" s="92"/>
      <c r="AX330" s="92"/>
      <c r="AY330" s="92"/>
      <c r="BA330" s="92"/>
      <c r="BC330" s="92"/>
      <c r="BD330" s="92"/>
      <c r="BE330" s="92"/>
    </row>
    <row r="331" spans="2:57" hidden="1">
      <c r="B331" s="243" t="s">
        <v>262</v>
      </c>
      <c r="C331" s="243" t="s">
        <v>43</v>
      </c>
      <c r="D331" s="245">
        <v>210</v>
      </c>
      <c r="E331" s="104" t="s">
        <v>89</v>
      </c>
      <c r="F331" s="89" t="s">
        <v>468</v>
      </c>
      <c r="G331" s="89" t="s">
        <v>469</v>
      </c>
      <c r="H331" s="246">
        <v>1</v>
      </c>
      <c r="I33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118</v>
      </c>
      <c r="J331" s="88">
        <v>43419</v>
      </c>
      <c r="K331" s="248" t="s">
        <v>461</v>
      </c>
      <c r="L331" s="244" t="s">
        <v>470</v>
      </c>
      <c r="M331" s="248"/>
      <c r="N331" s="249"/>
      <c r="O331" s="255">
        <f>MONTH(LstMachines[[#This Row],[Delivery]])</f>
        <v>11</v>
      </c>
      <c r="P331" s="256" t="str">
        <f>FIXED(YEAR(LstMachines[[#This Row],[Delivery]]),0,TRUE)</f>
        <v>2018</v>
      </c>
      <c r="Q331" s="250"/>
      <c r="R331" s="251"/>
      <c r="S331" s="249"/>
      <c r="T331" s="249"/>
      <c r="U331" s="249"/>
      <c r="V331" s="246"/>
      <c r="W331" s="248"/>
      <c r="X331" s="258">
        <f>LstMachines[[#This Row],[Delivery]]</f>
        <v>43419</v>
      </c>
      <c r="Y331" s="258" t="str">
        <f xml:space="preserve"> IF(MONTH(LstMachines[[#This Row],[DateLivr]])&lt;10,"0","") &amp; MONTH(LstMachines[[#This Row],[DateLivr]]) &amp;"-"&amp;YEAR(LstMachines[[#This Row],[DateLivr]])</f>
        <v>11-2018</v>
      </c>
      <c r="Z331" s="258">
        <f>LstMachines[[#This Row],[Delivery]]+Rglt_à_HCME</f>
        <v>43479</v>
      </c>
      <c r="AA331" s="258" t="str">
        <f xml:space="preserve"> IF(MONTH(LstMachines[[#This Row],[DatePaie]])&lt;10,"0","") &amp; MONTH(LstMachines[[#This Row],[DatePaie]])&amp;"-"&amp;YEAR(LstMachines[[#This Row],[DatePaie]])</f>
        <v>01-2019</v>
      </c>
      <c r="AB331" s="258">
        <f>LstMachines[[#This Row],[DateLivr]]+1</f>
        <v>43420</v>
      </c>
      <c r="AC331" s="258" t="str">
        <f xml:space="preserve"> IF(MONTH(LstMachines[[#This Row],[Distrib]])&lt;10,"0","") &amp; MONTH(LstMachines[[#This Row],[Distrib]]) &amp; "-" &amp; YEAR(LstMachines[[#This Row],[Distrib]])</f>
        <v>11-2018</v>
      </c>
      <c r="AD331" s="258">
        <f>LstMachines[[#This Row],[DateLivr]]+Délai_Vente</f>
        <v>43539</v>
      </c>
      <c r="AE331" s="258" t="str">
        <f xml:space="preserve"> IF(MONTH(LstMachines[[#This Row],[VteESM]])&lt;10,"0","") &amp; MONTH(LstMachines[[#This Row],[VteESM]]) &amp; "-" &amp; YEAR(LstMachines[[#This Row],[VteESM]])</f>
        <v>03-2019</v>
      </c>
      <c r="AF331" s="258">
        <f>LstMachines[[#This Row],[DateLivr]]+Rglt_à_ESMTP</f>
        <v>43479</v>
      </c>
      <c r="AG331" s="258" t="str">
        <f xml:space="preserve"> IF(MONTH(LstMachines[[#This Row],[RgltDistrib]])&lt;10,"0","") &amp; MONTH(LstMachines[[#This Row],[RgltDistrib]]) &amp; "-" &amp; YEAR(LstMachines[[#This Row],[RgltDistrib]])</f>
        <v>01-2019</v>
      </c>
      <c r="AH331" s="258">
        <f>LstMachines[[#This Row],[VteESM]]+Rglt_à_ESMTP</f>
        <v>43599</v>
      </c>
      <c r="AI331" s="258" t="str">
        <f xml:space="preserve"> IF(MONTH(LstMachines[[#This Row],[RgltVteESM]])&lt;10,"0","") &amp; MONTH(LstMachines[[#This Row],[RgltVteESM]]) &amp; "-" &amp; YEAR(LstMachines[[#This Row],[RgltVteESM]])</f>
        <v>05-2019</v>
      </c>
      <c r="AJ331" s="140">
        <f>MONTH(LstMachines[[#This Row],[DatePaie]])</f>
        <v>1</v>
      </c>
      <c r="AK331" s="88" t="str">
        <f>FIXED(YEAR(LstMachines[[#This Row],[DatePaie]]),0,TRUE)</f>
        <v>2019</v>
      </c>
      <c r="AL331" s="140"/>
      <c r="AM331" s="414"/>
      <c r="AN331" s="92"/>
      <c r="AO331" s="92"/>
      <c r="AP331" s="92"/>
      <c r="AQ331" s="92"/>
      <c r="AR331" s="92"/>
      <c r="AS331" s="92"/>
      <c r="AT331" s="92"/>
      <c r="AU331" s="92"/>
      <c r="AV331" s="92"/>
      <c r="AW331" s="92"/>
      <c r="AX331" s="92"/>
      <c r="AY331" s="92"/>
      <c r="BA331" s="92"/>
      <c r="BC331" s="92"/>
      <c r="BD331" s="92"/>
      <c r="BE331" s="92"/>
    </row>
    <row r="332" spans="2:57" hidden="1">
      <c r="B332" s="104" t="s">
        <v>75</v>
      </c>
      <c r="C332" s="104" t="s">
        <v>36</v>
      </c>
      <c r="D332" s="87">
        <v>26</v>
      </c>
      <c r="E332" s="104" t="s">
        <v>355</v>
      </c>
      <c r="F332" s="87" t="s">
        <v>100</v>
      </c>
      <c r="G332" s="87" t="s">
        <v>31</v>
      </c>
      <c r="H332" s="89">
        <v>2</v>
      </c>
      <c r="I33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44</v>
      </c>
      <c r="J332" s="88">
        <v>43419</v>
      </c>
      <c r="K332" s="99" t="s">
        <v>461</v>
      </c>
      <c r="L332" s="120" t="s">
        <v>378</v>
      </c>
      <c r="M332" s="139"/>
      <c r="N332" s="99" t="s">
        <v>383</v>
      </c>
      <c r="O332" s="255">
        <f>MONTH(LstMachines[[#This Row],[Delivery]])</f>
        <v>11</v>
      </c>
      <c r="P332" s="256" t="str">
        <f>FIXED(YEAR(LstMachines[[#This Row],[Delivery]]),0,TRUE)</f>
        <v>2018</v>
      </c>
      <c r="Q332" s="134"/>
      <c r="R332" s="135"/>
      <c r="S332" s="136"/>
      <c r="T332" s="137"/>
      <c r="U332" s="137"/>
      <c r="V332" s="138"/>
      <c r="W332" s="99" t="s">
        <v>384</v>
      </c>
      <c r="X332" s="258">
        <f>LstMachines[[#This Row],[Delivery]]</f>
        <v>43419</v>
      </c>
      <c r="Y332" s="258" t="str">
        <f xml:space="preserve"> IF(MONTH(LstMachines[[#This Row],[DateLivr]])&lt;10,"0","") &amp; MONTH(LstMachines[[#This Row],[DateLivr]]) &amp;"-"&amp;YEAR(LstMachines[[#This Row],[DateLivr]])</f>
        <v>11-2018</v>
      </c>
      <c r="Z332" s="258">
        <f>LstMachines[[#This Row],[Delivery]]+Rglt_à_HCME</f>
        <v>43479</v>
      </c>
      <c r="AA332" s="258" t="str">
        <f xml:space="preserve"> IF(MONTH(LstMachines[[#This Row],[DatePaie]])&lt;10,"0","") &amp; MONTH(LstMachines[[#This Row],[DatePaie]])&amp;"-"&amp;YEAR(LstMachines[[#This Row],[DatePaie]])</f>
        <v>01-2019</v>
      </c>
      <c r="AB332" s="258">
        <f>LstMachines[[#This Row],[DateLivr]]+1</f>
        <v>43420</v>
      </c>
      <c r="AC332" s="258" t="str">
        <f xml:space="preserve"> IF(MONTH(LstMachines[[#This Row],[Distrib]])&lt;10,"0","") &amp; MONTH(LstMachines[[#This Row],[Distrib]]) &amp; "-" &amp; YEAR(LstMachines[[#This Row],[Distrib]])</f>
        <v>11-2018</v>
      </c>
      <c r="AD332" s="258">
        <f>LstMachines[[#This Row],[DateLivr]]+Délai_Vente</f>
        <v>43539</v>
      </c>
      <c r="AE332" s="258" t="str">
        <f xml:space="preserve"> IF(MONTH(LstMachines[[#This Row],[VteESM]])&lt;10,"0","") &amp; MONTH(LstMachines[[#This Row],[VteESM]]) &amp; "-" &amp; YEAR(LstMachines[[#This Row],[VteESM]])</f>
        <v>03-2019</v>
      </c>
      <c r="AF332" s="258">
        <f>LstMachines[[#This Row],[DateLivr]]+Rglt_à_ESMTP</f>
        <v>43479</v>
      </c>
      <c r="AG332" s="258" t="str">
        <f xml:space="preserve"> IF(MONTH(LstMachines[[#This Row],[RgltDistrib]])&lt;10,"0","") &amp; MONTH(LstMachines[[#This Row],[RgltDistrib]]) &amp; "-" &amp; YEAR(LstMachines[[#This Row],[RgltDistrib]])</f>
        <v>01-2019</v>
      </c>
      <c r="AH332" s="258">
        <f>LstMachines[[#This Row],[VteESM]]+Rglt_à_ESMTP</f>
        <v>43599</v>
      </c>
      <c r="AI332" s="258" t="str">
        <f xml:space="preserve"> IF(MONTH(LstMachines[[#This Row],[RgltVteESM]])&lt;10,"0","") &amp; MONTH(LstMachines[[#This Row],[RgltVteESM]]) &amp; "-" &amp; YEAR(LstMachines[[#This Row],[RgltVteESM]])</f>
        <v>05-2019</v>
      </c>
      <c r="AJ332" s="140">
        <f>MONTH(LstMachines[[#This Row],[DatePaie]])</f>
        <v>1</v>
      </c>
      <c r="AK332" s="88" t="str">
        <f>FIXED(YEAR(LstMachines[[#This Row],[DatePaie]]),0,TRUE)</f>
        <v>2019</v>
      </c>
      <c r="AL332" s="140"/>
      <c r="AM332" s="414"/>
      <c r="AN332" s="92"/>
      <c r="AO332" s="92"/>
      <c r="AP332" s="92"/>
      <c r="AQ332" s="92"/>
      <c r="AR332" s="92"/>
      <c r="AS332" s="92"/>
      <c r="AT332" s="92"/>
      <c r="AU332" s="92"/>
      <c r="AV332" s="92"/>
      <c r="AW332" s="92"/>
      <c r="AX332" s="92"/>
      <c r="AY332" s="92"/>
      <c r="BA332" s="92"/>
      <c r="BC332" s="92"/>
      <c r="BD332" s="92"/>
      <c r="BE332" s="92"/>
    </row>
    <row r="333" spans="2:57" hidden="1">
      <c r="B333" s="104" t="s">
        <v>262</v>
      </c>
      <c r="C333" s="104" t="s">
        <v>46</v>
      </c>
      <c r="D333" s="87">
        <v>350</v>
      </c>
      <c r="E333" s="86" t="s">
        <v>218</v>
      </c>
      <c r="F333" s="87" t="s">
        <v>100</v>
      </c>
      <c r="G333" s="87" t="s">
        <v>31</v>
      </c>
      <c r="H333" s="89">
        <v>1</v>
      </c>
      <c r="I33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188</v>
      </c>
      <c r="J333" s="88">
        <v>43419</v>
      </c>
      <c r="K333" s="99" t="s">
        <v>461</v>
      </c>
      <c r="L333" s="120" t="s">
        <v>378</v>
      </c>
      <c r="M333" s="99"/>
      <c r="N333" s="90"/>
      <c r="O333" s="255">
        <f>MONTH(LstMachines[[#This Row],[Delivery]])</f>
        <v>11</v>
      </c>
      <c r="P333" s="256" t="str">
        <f>FIXED(YEAR(LstMachines[[#This Row],[Delivery]]),0,TRUE)</f>
        <v>2018</v>
      </c>
      <c r="Q333" s="73"/>
      <c r="R333" s="93"/>
      <c r="S333" s="90"/>
      <c r="T333" s="90"/>
      <c r="U333" s="90" t="s">
        <v>105</v>
      </c>
      <c r="V333" s="72"/>
      <c r="W333" s="99" t="s">
        <v>384</v>
      </c>
      <c r="X333" s="258">
        <f>LstMachines[[#This Row],[Delivery]]</f>
        <v>43419</v>
      </c>
      <c r="Y333" s="258" t="str">
        <f xml:space="preserve"> IF(MONTH(LstMachines[[#This Row],[DateLivr]])&lt;10,"0","") &amp; MONTH(LstMachines[[#This Row],[DateLivr]]) &amp;"-"&amp;YEAR(LstMachines[[#This Row],[DateLivr]])</f>
        <v>11-2018</v>
      </c>
      <c r="Z333" s="258">
        <f>LstMachines[[#This Row],[Delivery]]+Rglt_à_HCME</f>
        <v>43479</v>
      </c>
      <c r="AA333" s="258" t="str">
        <f xml:space="preserve"> IF(MONTH(LstMachines[[#This Row],[DatePaie]])&lt;10,"0","") &amp; MONTH(LstMachines[[#This Row],[DatePaie]])&amp;"-"&amp;YEAR(LstMachines[[#This Row],[DatePaie]])</f>
        <v>01-2019</v>
      </c>
      <c r="AB333" s="258">
        <f>LstMachines[[#This Row],[DateLivr]]+1</f>
        <v>43420</v>
      </c>
      <c r="AC333" s="258" t="str">
        <f xml:space="preserve"> IF(MONTH(LstMachines[[#This Row],[Distrib]])&lt;10,"0","") &amp; MONTH(LstMachines[[#This Row],[Distrib]]) &amp; "-" &amp; YEAR(LstMachines[[#This Row],[Distrib]])</f>
        <v>11-2018</v>
      </c>
      <c r="AD333" s="258">
        <f>LstMachines[[#This Row],[DateLivr]]+Délai_Vente</f>
        <v>43539</v>
      </c>
      <c r="AE333" s="258" t="str">
        <f xml:space="preserve"> IF(MONTH(LstMachines[[#This Row],[VteESM]])&lt;10,"0","") &amp; MONTH(LstMachines[[#This Row],[VteESM]]) &amp; "-" &amp; YEAR(LstMachines[[#This Row],[VteESM]])</f>
        <v>03-2019</v>
      </c>
      <c r="AF333" s="258">
        <f>LstMachines[[#This Row],[DateLivr]]+Rglt_à_ESMTP</f>
        <v>43479</v>
      </c>
      <c r="AG333" s="258" t="str">
        <f xml:space="preserve"> IF(MONTH(LstMachines[[#This Row],[RgltDistrib]])&lt;10,"0","") &amp; MONTH(LstMachines[[#This Row],[RgltDistrib]]) &amp; "-" &amp; YEAR(LstMachines[[#This Row],[RgltDistrib]])</f>
        <v>01-2019</v>
      </c>
      <c r="AH333" s="258">
        <f>LstMachines[[#This Row],[VteESM]]+Rglt_à_ESMTP</f>
        <v>43599</v>
      </c>
      <c r="AI333" s="258" t="str">
        <f xml:space="preserve"> IF(MONTH(LstMachines[[#This Row],[RgltVteESM]])&lt;10,"0","") &amp; MONTH(LstMachines[[#This Row],[RgltVteESM]]) &amp; "-" &amp; YEAR(LstMachines[[#This Row],[RgltVteESM]])</f>
        <v>05-2019</v>
      </c>
      <c r="AJ333" s="140">
        <f>MONTH(LstMachines[[#This Row],[DatePaie]])</f>
        <v>1</v>
      </c>
      <c r="AK333" s="88" t="str">
        <f>FIXED(YEAR(LstMachines[[#This Row],[DatePaie]]),0,TRUE)</f>
        <v>2019</v>
      </c>
      <c r="AL333" s="140"/>
      <c r="AM333" s="414"/>
      <c r="AN333" s="92"/>
      <c r="AO333" s="92"/>
      <c r="AP333" s="92"/>
      <c r="AQ333" s="92"/>
      <c r="AR333" s="92"/>
      <c r="AS333" s="92"/>
      <c r="AT333" s="92"/>
      <c r="AU333" s="92"/>
      <c r="AV333" s="92"/>
      <c r="AW333" s="92"/>
      <c r="AX333" s="92"/>
      <c r="AY333" s="92"/>
      <c r="BA333" s="92"/>
      <c r="BC333" s="92"/>
      <c r="BD333" s="92"/>
      <c r="BE333" s="92"/>
    </row>
    <row r="334" spans="2:57" hidden="1">
      <c r="B334" s="104" t="s">
        <v>262</v>
      </c>
      <c r="C334" s="104" t="s">
        <v>42</v>
      </c>
      <c r="D334" s="87">
        <v>190</v>
      </c>
      <c r="E334" s="86" t="s">
        <v>200</v>
      </c>
      <c r="F334" s="87" t="s">
        <v>100</v>
      </c>
      <c r="G334" s="87" t="s">
        <v>592</v>
      </c>
      <c r="H334" s="89">
        <v>1</v>
      </c>
      <c r="I33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113</v>
      </c>
      <c r="J334" s="88">
        <v>43419</v>
      </c>
      <c r="K334" s="99" t="s">
        <v>461</v>
      </c>
      <c r="L334" s="120" t="s">
        <v>378</v>
      </c>
      <c r="M334" s="99"/>
      <c r="N334" s="90"/>
      <c r="O334" s="255">
        <f>MONTH(LstMachines[[#This Row],[Delivery]])</f>
        <v>11</v>
      </c>
      <c r="P334" s="256" t="str">
        <f>FIXED(YEAR(LstMachines[[#This Row],[Delivery]]),0,TRUE)</f>
        <v>2018</v>
      </c>
      <c r="Q334" s="73"/>
      <c r="R334" s="93"/>
      <c r="S334" s="90"/>
      <c r="T334" s="90"/>
      <c r="U334" s="90" t="s">
        <v>104</v>
      </c>
      <c r="V334" s="72"/>
      <c r="W334" s="99" t="s">
        <v>383</v>
      </c>
      <c r="X334" s="258">
        <f>LstMachines[[#This Row],[Delivery]]</f>
        <v>43419</v>
      </c>
      <c r="Y334" s="258" t="str">
        <f xml:space="preserve"> IF(MONTH(LstMachines[[#This Row],[DateLivr]])&lt;10,"0","") &amp; MONTH(LstMachines[[#This Row],[DateLivr]]) &amp;"-"&amp;YEAR(LstMachines[[#This Row],[DateLivr]])</f>
        <v>11-2018</v>
      </c>
      <c r="Z334" s="258">
        <f>LstMachines[[#This Row],[Delivery]]+Rglt_à_HCME</f>
        <v>43479</v>
      </c>
      <c r="AA334" s="258" t="str">
        <f xml:space="preserve"> IF(MONTH(LstMachines[[#This Row],[DatePaie]])&lt;10,"0","") &amp; MONTH(LstMachines[[#This Row],[DatePaie]])&amp;"-"&amp;YEAR(LstMachines[[#This Row],[DatePaie]])</f>
        <v>01-2019</v>
      </c>
      <c r="AB334" s="258">
        <f>LstMachines[[#This Row],[DateLivr]]+1</f>
        <v>43420</v>
      </c>
      <c r="AC334" s="258" t="str">
        <f xml:space="preserve"> IF(MONTH(LstMachines[[#This Row],[Distrib]])&lt;10,"0","") &amp; MONTH(LstMachines[[#This Row],[Distrib]]) &amp; "-" &amp; YEAR(LstMachines[[#This Row],[Distrib]])</f>
        <v>11-2018</v>
      </c>
      <c r="AD334" s="258">
        <f>LstMachines[[#This Row],[DateLivr]]+Délai_Vente</f>
        <v>43539</v>
      </c>
      <c r="AE334" s="258" t="str">
        <f xml:space="preserve"> IF(MONTH(LstMachines[[#This Row],[VteESM]])&lt;10,"0","") &amp; MONTH(LstMachines[[#This Row],[VteESM]]) &amp; "-" &amp; YEAR(LstMachines[[#This Row],[VteESM]])</f>
        <v>03-2019</v>
      </c>
      <c r="AF334" s="258">
        <f>LstMachines[[#This Row],[DateLivr]]+Rglt_à_ESMTP</f>
        <v>43479</v>
      </c>
      <c r="AG334" s="258" t="str">
        <f xml:space="preserve"> IF(MONTH(LstMachines[[#This Row],[RgltDistrib]])&lt;10,"0","") &amp; MONTH(LstMachines[[#This Row],[RgltDistrib]]) &amp; "-" &amp; YEAR(LstMachines[[#This Row],[RgltDistrib]])</f>
        <v>01-2019</v>
      </c>
      <c r="AH334" s="258">
        <f>LstMachines[[#This Row],[VteESM]]+Rglt_à_ESMTP</f>
        <v>43599</v>
      </c>
      <c r="AI334" s="258" t="str">
        <f xml:space="preserve"> IF(MONTH(LstMachines[[#This Row],[RgltVteESM]])&lt;10,"0","") &amp; MONTH(LstMachines[[#This Row],[RgltVteESM]]) &amp; "-" &amp; YEAR(LstMachines[[#This Row],[RgltVteESM]])</f>
        <v>05-2019</v>
      </c>
      <c r="AJ334" s="140">
        <f>MONTH(LstMachines[[#This Row],[DatePaie]])</f>
        <v>1</v>
      </c>
      <c r="AK334" s="88" t="str">
        <f>FIXED(YEAR(LstMachines[[#This Row],[DatePaie]]),0,TRUE)</f>
        <v>2019</v>
      </c>
      <c r="AL334" s="140"/>
      <c r="AM334" s="414"/>
      <c r="AN334" s="92"/>
      <c r="AO334" s="92"/>
      <c r="AP334" s="92"/>
      <c r="AQ334" s="92"/>
      <c r="AR334" s="92"/>
      <c r="AS334" s="92"/>
      <c r="AT334" s="92"/>
      <c r="AU334" s="92"/>
      <c r="AV334" s="92"/>
      <c r="AW334" s="92"/>
      <c r="AX334" s="92"/>
      <c r="AY334" s="92"/>
      <c r="BA334" s="92"/>
      <c r="BC334" s="92"/>
      <c r="BD334" s="92"/>
      <c r="BE334" s="92"/>
    </row>
    <row r="335" spans="2:57" hidden="1">
      <c r="B335" s="194" t="s">
        <v>75</v>
      </c>
      <c r="C335" s="104" t="s">
        <v>35</v>
      </c>
      <c r="D335" s="87">
        <v>19</v>
      </c>
      <c r="E335" s="104" t="s">
        <v>76</v>
      </c>
      <c r="F335" s="204" t="s">
        <v>468</v>
      </c>
      <c r="G335" s="204" t="s">
        <v>469</v>
      </c>
      <c r="H335" s="246">
        <v>1</v>
      </c>
      <c r="I33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335" s="88">
        <v>43449</v>
      </c>
      <c r="K335" s="139" t="s">
        <v>461</v>
      </c>
      <c r="L335" s="198" t="s">
        <v>470</v>
      </c>
      <c r="M335" s="139"/>
      <c r="N335" s="197"/>
      <c r="O335" s="255">
        <f>MONTH(LstMachines[[#This Row],[Delivery]])</f>
        <v>12</v>
      </c>
      <c r="P335" s="256" t="str">
        <f>FIXED(YEAR(LstMachines[[#This Row],[Delivery]]),0,TRUE)</f>
        <v>2018</v>
      </c>
      <c r="Q335" s="205"/>
      <c r="R335" s="241"/>
      <c r="S335" s="197"/>
      <c r="T335" s="197"/>
      <c r="U335" s="197"/>
      <c r="V335" s="193"/>
      <c r="W335" s="139"/>
      <c r="X335" s="258">
        <f>LstMachines[[#This Row],[Delivery]]</f>
        <v>43449</v>
      </c>
      <c r="Y335" s="258" t="str">
        <f xml:space="preserve"> IF(MONTH(LstMachines[[#This Row],[DateLivr]])&lt;10,"0","") &amp; MONTH(LstMachines[[#This Row],[DateLivr]]) &amp;"-"&amp;YEAR(LstMachines[[#This Row],[DateLivr]])</f>
        <v>12-2018</v>
      </c>
      <c r="Z335" s="258">
        <f>LstMachines[[#This Row],[Delivery]]+Rglt_à_HCME</f>
        <v>43509</v>
      </c>
      <c r="AA335" s="258" t="str">
        <f xml:space="preserve"> IF(MONTH(LstMachines[[#This Row],[DatePaie]])&lt;10,"0","") &amp; MONTH(LstMachines[[#This Row],[DatePaie]])&amp;"-"&amp;YEAR(LstMachines[[#This Row],[DatePaie]])</f>
        <v>02-2019</v>
      </c>
      <c r="AB335" s="258">
        <f>LstMachines[[#This Row],[DateLivr]]+1</f>
        <v>43450</v>
      </c>
      <c r="AC335" s="258" t="str">
        <f xml:space="preserve"> IF(MONTH(LstMachines[[#This Row],[Distrib]])&lt;10,"0","") &amp; MONTH(LstMachines[[#This Row],[Distrib]]) &amp; "-" &amp; YEAR(LstMachines[[#This Row],[Distrib]])</f>
        <v>12-2018</v>
      </c>
      <c r="AD335" s="258">
        <f>LstMachines[[#This Row],[DateLivr]]+Délai_Vente</f>
        <v>43569</v>
      </c>
      <c r="AE335" s="258" t="str">
        <f xml:space="preserve"> IF(MONTH(LstMachines[[#This Row],[VteESM]])&lt;10,"0","") &amp; MONTH(LstMachines[[#This Row],[VteESM]]) &amp; "-" &amp; YEAR(LstMachines[[#This Row],[VteESM]])</f>
        <v>04-2019</v>
      </c>
      <c r="AF335" s="258">
        <f>LstMachines[[#This Row],[DateLivr]]+Rglt_à_ESMTP</f>
        <v>43509</v>
      </c>
      <c r="AG335" s="258" t="str">
        <f xml:space="preserve"> IF(MONTH(LstMachines[[#This Row],[RgltDistrib]])&lt;10,"0","") &amp; MONTH(LstMachines[[#This Row],[RgltDistrib]]) &amp; "-" &amp; YEAR(LstMachines[[#This Row],[RgltDistrib]])</f>
        <v>02-2019</v>
      </c>
      <c r="AH335" s="258">
        <f>LstMachines[[#This Row],[VteESM]]+Rglt_à_ESMTP</f>
        <v>43629</v>
      </c>
      <c r="AI335" s="258" t="str">
        <f xml:space="preserve"> IF(MONTH(LstMachines[[#This Row],[RgltVteESM]])&lt;10,"0","") &amp; MONTH(LstMachines[[#This Row],[RgltVteESM]]) &amp; "-" &amp; YEAR(LstMachines[[#This Row],[RgltVteESM]])</f>
        <v>06-2019</v>
      </c>
      <c r="AJ335" s="140">
        <f>MONTH(LstMachines[[#This Row],[DatePaie]])</f>
        <v>2</v>
      </c>
      <c r="AK335" s="88" t="str">
        <f>FIXED(YEAR(LstMachines[[#This Row],[DatePaie]]),0,TRUE)</f>
        <v>2019</v>
      </c>
      <c r="AL335" s="140"/>
      <c r="AM335" s="414"/>
      <c r="AN335" s="92"/>
      <c r="AO335" s="92"/>
      <c r="AP335" s="92"/>
      <c r="AQ335" s="92"/>
      <c r="AR335" s="92"/>
      <c r="AS335" s="92"/>
      <c r="AT335" s="92"/>
      <c r="AU335" s="92"/>
      <c r="AV335" s="92"/>
      <c r="AW335" s="92"/>
      <c r="AX335" s="92"/>
      <c r="AY335" s="92"/>
      <c r="BA335" s="92"/>
      <c r="BC335" s="92"/>
      <c r="BD335" s="92"/>
      <c r="BE335" s="92"/>
    </row>
    <row r="336" spans="2:57" hidden="1">
      <c r="B336" s="194" t="s">
        <v>75</v>
      </c>
      <c r="C336" s="194" t="s">
        <v>36</v>
      </c>
      <c r="D336" s="195">
        <v>26</v>
      </c>
      <c r="E336" s="86" t="s">
        <v>355</v>
      </c>
      <c r="F336" s="204" t="s">
        <v>468</v>
      </c>
      <c r="G336" s="204" t="s">
        <v>469</v>
      </c>
      <c r="H336" s="246">
        <v>1</v>
      </c>
      <c r="I33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336" s="88">
        <v>43449</v>
      </c>
      <c r="K336" s="139" t="s">
        <v>461</v>
      </c>
      <c r="L336" s="198" t="s">
        <v>470</v>
      </c>
      <c r="M336" s="139"/>
      <c r="N336"/>
      <c r="O336" s="255">
        <f>MONTH(LstMachines[[#This Row],[Delivery]])</f>
        <v>12</v>
      </c>
      <c r="P336" s="256" t="str">
        <f>FIXED(YEAR(LstMachines[[#This Row],[Delivery]]),0,TRUE)</f>
        <v>2018</v>
      </c>
      <c r="Q336"/>
      <c r="R336"/>
      <c r="S336"/>
      <c r="T336"/>
      <c r="U336"/>
      <c r="V336"/>
      <c r="W336"/>
      <c r="X336" s="258">
        <f>LstMachines[[#This Row],[Delivery]]</f>
        <v>43449</v>
      </c>
      <c r="Y336" s="258" t="str">
        <f xml:space="preserve"> IF(MONTH(LstMachines[[#This Row],[DateLivr]])&lt;10,"0","") &amp; MONTH(LstMachines[[#This Row],[DateLivr]]) &amp;"-"&amp;YEAR(LstMachines[[#This Row],[DateLivr]])</f>
        <v>12-2018</v>
      </c>
      <c r="Z336" s="258">
        <f>LstMachines[[#This Row],[Delivery]]+Rglt_à_HCME</f>
        <v>43509</v>
      </c>
      <c r="AA336" s="258" t="str">
        <f xml:space="preserve"> IF(MONTH(LstMachines[[#This Row],[DatePaie]])&lt;10,"0","") &amp; MONTH(LstMachines[[#This Row],[DatePaie]])&amp;"-"&amp;YEAR(LstMachines[[#This Row],[DatePaie]])</f>
        <v>02-2019</v>
      </c>
      <c r="AB336" s="258">
        <f>LstMachines[[#This Row],[DateLivr]]+1</f>
        <v>43450</v>
      </c>
      <c r="AC336" s="258" t="str">
        <f xml:space="preserve"> IF(MONTH(LstMachines[[#This Row],[Distrib]])&lt;10,"0","") &amp; MONTH(LstMachines[[#This Row],[Distrib]]) &amp; "-" &amp; YEAR(LstMachines[[#This Row],[Distrib]])</f>
        <v>12-2018</v>
      </c>
      <c r="AD336" s="258">
        <f>LstMachines[[#This Row],[DateLivr]]+Délai_Vente</f>
        <v>43569</v>
      </c>
      <c r="AE336" s="258" t="str">
        <f xml:space="preserve"> IF(MONTH(LstMachines[[#This Row],[VteESM]])&lt;10,"0","") &amp; MONTH(LstMachines[[#This Row],[VteESM]]) &amp; "-" &amp; YEAR(LstMachines[[#This Row],[VteESM]])</f>
        <v>04-2019</v>
      </c>
      <c r="AF336" s="258">
        <f>LstMachines[[#This Row],[DateLivr]]+Rglt_à_ESMTP</f>
        <v>43509</v>
      </c>
      <c r="AG336" s="258" t="str">
        <f xml:space="preserve"> IF(MONTH(LstMachines[[#This Row],[RgltDistrib]])&lt;10,"0","") &amp; MONTH(LstMachines[[#This Row],[RgltDistrib]]) &amp; "-" &amp; YEAR(LstMachines[[#This Row],[RgltDistrib]])</f>
        <v>02-2019</v>
      </c>
      <c r="AH336" s="258">
        <f>LstMachines[[#This Row],[VteESM]]+Rglt_à_ESMTP</f>
        <v>43629</v>
      </c>
      <c r="AI336" s="258" t="str">
        <f xml:space="preserve"> IF(MONTH(LstMachines[[#This Row],[RgltVteESM]])&lt;10,"0","") &amp; MONTH(LstMachines[[#This Row],[RgltVteESM]]) &amp; "-" &amp; YEAR(LstMachines[[#This Row],[RgltVteESM]])</f>
        <v>06-2019</v>
      </c>
      <c r="AJ336" s="140">
        <f>MONTH(LstMachines[[#This Row],[DatePaie]])</f>
        <v>2</v>
      </c>
      <c r="AK336" s="88" t="str">
        <f>FIXED(YEAR(LstMachines[[#This Row],[DatePaie]]),0,TRUE)</f>
        <v>2019</v>
      </c>
      <c r="AL336" s="140"/>
      <c r="AM336" s="414"/>
      <c r="AN336" s="92"/>
      <c r="AO336" s="92"/>
      <c r="AP336" s="92"/>
      <c r="AQ336" s="92"/>
      <c r="AR336" s="92"/>
      <c r="AS336" s="92"/>
      <c r="AT336" s="92"/>
      <c r="AU336" s="92"/>
      <c r="AV336" s="92"/>
      <c r="AW336" s="92"/>
      <c r="AX336" s="92"/>
      <c r="AY336" s="92"/>
      <c r="BA336" s="92"/>
      <c r="BC336" s="92"/>
      <c r="BD336" s="92"/>
      <c r="BE336" s="92"/>
    </row>
    <row r="337" spans="2:57" hidden="1">
      <c r="B337" s="104" t="s">
        <v>262</v>
      </c>
      <c r="C337" s="104" t="s">
        <v>39</v>
      </c>
      <c r="D337" s="87">
        <v>85</v>
      </c>
      <c r="E337" s="86" t="s">
        <v>356</v>
      </c>
      <c r="F337" s="204" t="s">
        <v>468</v>
      </c>
      <c r="G337" s="204" t="s">
        <v>469</v>
      </c>
      <c r="H337" s="246">
        <v>1</v>
      </c>
      <c r="I33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337" s="88">
        <v>43449</v>
      </c>
      <c r="K337" s="139" t="s">
        <v>461</v>
      </c>
      <c r="L337" s="198" t="s">
        <v>470</v>
      </c>
      <c r="M337" s="139"/>
      <c r="N337" s="197"/>
      <c r="O337" s="255">
        <f>MONTH(LstMachines[[#This Row],[Delivery]])</f>
        <v>12</v>
      </c>
      <c r="P337" s="256" t="str">
        <f>FIXED(YEAR(LstMachines[[#This Row],[Delivery]]),0,TRUE)</f>
        <v>2018</v>
      </c>
      <c r="Q337" s="205"/>
      <c r="R337" s="241"/>
      <c r="S337" s="197"/>
      <c r="T337" s="197"/>
      <c r="U337" s="197"/>
      <c r="V337" s="193"/>
      <c r="W337" s="139"/>
      <c r="X337" s="258">
        <f>LstMachines[[#This Row],[Delivery]]</f>
        <v>43449</v>
      </c>
      <c r="Y337" s="258" t="str">
        <f xml:space="preserve"> IF(MONTH(LstMachines[[#This Row],[DateLivr]])&lt;10,"0","") &amp; MONTH(LstMachines[[#This Row],[DateLivr]]) &amp;"-"&amp;YEAR(LstMachines[[#This Row],[DateLivr]])</f>
        <v>12-2018</v>
      </c>
      <c r="Z337" s="258">
        <f>LstMachines[[#This Row],[Delivery]]+Rglt_à_HCME</f>
        <v>43509</v>
      </c>
      <c r="AA337" s="258" t="str">
        <f xml:space="preserve"> IF(MONTH(LstMachines[[#This Row],[DatePaie]])&lt;10,"0","") &amp; MONTH(LstMachines[[#This Row],[DatePaie]])&amp;"-"&amp;YEAR(LstMachines[[#This Row],[DatePaie]])</f>
        <v>02-2019</v>
      </c>
      <c r="AB337" s="258">
        <f>LstMachines[[#This Row],[DateLivr]]+1</f>
        <v>43450</v>
      </c>
      <c r="AC337" s="258" t="str">
        <f xml:space="preserve"> IF(MONTH(LstMachines[[#This Row],[Distrib]])&lt;10,"0","") &amp; MONTH(LstMachines[[#This Row],[Distrib]]) &amp; "-" &amp; YEAR(LstMachines[[#This Row],[Distrib]])</f>
        <v>12-2018</v>
      </c>
      <c r="AD337" s="258">
        <f>LstMachines[[#This Row],[DateLivr]]+Délai_Vente</f>
        <v>43569</v>
      </c>
      <c r="AE337" s="258" t="str">
        <f xml:space="preserve"> IF(MONTH(LstMachines[[#This Row],[VteESM]])&lt;10,"0","") &amp; MONTH(LstMachines[[#This Row],[VteESM]]) &amp; "-" &amp; YEAR(LstMachines[[#This Row],[VteESM]])</f>
        <v>04-2019</v>
      </c>
      <c r="AF337" s="258">
        <f>LstMachines[[#This Row],[DateLivr]]+Rglt_à_ESMTP</f>
        <v>43509</v>
      </c>
      <c r="AG337" s="258" t="str">
        <f xml:space="preserve"> IF(MONTH(LstMachines[[#This Row],[RgltDistrib]])&lt;10,"0","") &amp; MONTH(LstMachines[[#This Row],[RgltDistrib]]) &amp; "-" &amp; YEAR(LstMachines[[#This Row],[RgltDistrib]])</f>
        <v>02-2019</v>
      </c>
      <c r="AH337" s="258">
        <f>LstMachines[[#This Row],[VteESM]]+Rglt_à_ESMTP</f>
        <v>43629</v>
      </c>
      <c r="AI337" s="258" t="str">
        <f xml:space="preserve"> IF(MONTH(LstMachines[[#This Row],[RgltVteESM]])&lt;10,"0","") &amp; MONTH(LstMachines[[#This Row],[RgltVteESM]]) &amp; "-" &amp; YEAR(LstMachines[[#This Row],[RgltVteESM]])</f>
        <v>06-2019</v>
      </c>
      <c r="AJ337" s="140">
        <f>MONTH(LstMachines[[#This Row],[DatePaie]])</f>
        <v>2</v>
      </c>
      <c r="AK337" s="88" t="str">
        <f>FIXED(YEAR(LstMachines[[#This Row],[DatePaie]]),0,TRUE)</f>
        <v>2019</v>
      </c>
      <c r="AL337" s="140"/>
      <c r="AM337" s="414"/>
      <c r="AN337" s="92"/>
      <c r="AO337" s="92"/>
      <c r="AP337" s="92"/>
      <c r="AQ337" s="92"/>
      <c r="AR337" s="92"/>
      <c r="AS337" s="92"/>
      <c r="AT337" s="92"/>
      <c r="AU337" s="92"/>
      <c r="AV337" s="92"/>
      <c r="AW337" s="92"/>
      <c r="AX337" s="92"/>
      <c r="AY337" s="92"/>
      <c r="BA337" s="92"/>
      <c r="BC337" s="92"/>
      <c r="BD337" s="92"/>
      <c r="BE337" s="92"/>
    </row>
    <row r="338" spans="2:57" hidden="1">
      <c r="B338" s="194" t="s">
        <v>262</v>
      </c>
      <c r="C338" s="194" t="s">
        <v>39</v>
      </c>
      <c r="D338" s="195">
        <v>85</v>
      </c>
      <c r="E338" s="194" t="s">
        <v>356</v>
      </c>
      <c r="F338" s="204" t="s">
        <v>468</v>
      </c>
      <c r="G338" s="204" t="s">
        <v>469</v>
      </c>
      <c r="H338" s="246">
        <v>1</v>
      </c>
      <c r="I33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338" s="88">
        <v>43449</v>
      </c>
      <c r="K338" s="139" t="s">
        <v>461</v>
      </c>
      <c r="L338" s="198" t="s">
        <v>470</v>
      </c>
      <c r="M338" s="139"/>
      <c r="N338" s="197"/>
      <c r="O338" s="255">
        <f>MONTH(LstMachines[[#This Row],[Delivery]])</f>
        <v>12</v>
      </c>
      <c r="P338" s="256" t="str">
        <f>FIXED(YEAR(LstMachines[[#This Row],[Delivery]]),0,TRUE)</f>
        <v>2018</v>
      </c>
      <c r="Q338" s="205"/>
      <c r="R338" s="241"/>
      <c r="S338" s="197"/>
      <c r="T338" s="197"/>
      <c r="U338" s="197"/>
      <c r="V338" s="193"/>
      <c r="W338" s="139"/>
      <c r="X338" s="258">
        <f>LstMachines[[#This Row],[Delivery]]</f>
        <v>43449</v>
      </c>
      <c r="Y338" s="258" t="str">
        <f xml:space="preserve"> IF(MONTH(LstMachines[[#This Row],[DateLivr]])&lt;10,"0","") &amp; MONTH(LstMachines[[#This Row],[DateLivr]]) &amp;"-"&amp;YEAR(LstMachines[[#This Row],[DateLivr]])</f>
        <v>12-2018</v>
      </c>
      <c r="Z338" s="258">
        <f>LstMachines[[#This Row],[Delivery]]+Rglt_à_HCME</f>
        <v>43509</v>
      </c>
      <c r="AA338" s="258" t="str">
        <f xml:space="preserve"> IF(MONTH(LstMachines[[#This Row],[DatePaie]])&lt;10,"0","") &amp; MONTH(LstMachines[[#This Row],[DatePaie]])&amp;"-"&amp;YEAR(LstMachines[[#This Row],[DatePaie]])</f>
        <v>02-2019</v>
      </c>
      <c r="AB338" s="258">
        <f>LstMachines[[#This Row],[DateLivr]]+1</f>
        <v>43450</v>
      </c>
      <c r="AC338" s="258" t="str">
        <f xml:space="preserve"> IF(MONTH(LstMachines[[#This Row],[Distrib]])&lt;10,"0","") &amp; MONTH(LstMachines[[#This Row],[Distrib]]) &amp; "-" &amp; YEAR(LstMachines[[#This Row],[Distrib]])</f>
        <v>12-2018</v>
      </c>
      <c r="AD338" s="258">
        <f>LstMachines[[#This Row],[DateLivr]]+Délai_Vente</f>
        <v>43569</v>
      </c>
      <c r="AE338" s="258" t="str">
        <f xml:space="preserve"> IF(MONTH(LstMachines[[#This Row],[VteESM]])&lt;10,"0","") &amp; MONTH(LstMachines[[#This Row],[VteESM]]) &amp; "-" &amp; YEAR(LstMachines[[#This Row],[VteESM]])</f>
        <v>04-2019</v>
      </c>
      <c r="AF338" s="258">
        <f>LstMachines[[#This Row],[DateLivr]]+Rglt_à_ESMTP</f>
        <v>43509</v>
      </c>
      <c r="AG338" s="258" t="str">
        <f xml:space="preserve"> IF(MONTH(LstMachines[[#This Row],[RgltDistrib]])&lt;10,"0","") &amp; MONTH(LstMachines[[#This Row],[RgltDistrib]]) &amp; "-" &amp; YEAR(LstMachines[[#This Row],[RgltDistrib]])</f>
        <v>02-2019</v>
      </c>
      <c r="AH338" s="258">
        <f>LstMachines[[#This Row],[VteESM]]+Rglt_à_ESMTP</f>
        <v>43629</v>
      </c>
      <c r="AI338" s="258" t="str">
        <f xml:space="preserve"> IF(MONTH(LstMachines[[#This Row],[RgltVteESM]])&lt;10,"0","") &amp; MONTH(LstMachines[[#This Row],[RgltVteESM]]) &amp; "-" &amp; YEAR(LstMachines[[#This Row],[RgltVteESM]])</f>
        <v>06-2019</v>
      </c>
      <c r="AJ338" s="140">
        <f>MONTH(LstMachines[[#This Row],[DatePaie]])</f>
        <v>2</v>
      </c>
      <c r="AK338" s="88" t="str">
        <f>FIXED(YEAR(LstMachines[[#This Row],[DatePaie]]),0,TRUE)</f>
        <v>2019</v>
      </c>
      <c r="AL338" s="140"/>
      <c r="AM338" s="414"/>
      <c r="AN338" s="92"/>
      <c r="AO338" s="92"/>
      <c r="AP338" s="92"/>
      <c r="AQ338" s="92"/>
      <c r="AR338" s="92"/>
      <c r="AS338" s="92"/>
      <c r="AT338" s="92"/>
      <c r="AU338" s="92"/>
      <c r="AV338" s="92"/>
      <c r="AW338" s="92"/>
      <c r="AX338" s="92"/>
      <c r="AY338" s="92"/>
      <c r="BA338" s="92"/>
      <c r="BC338" s="92"/>
      <c r="BD338" s="92"/>
      <c r="BE338" s="92"/>
    </row>
    <row r="339" spans="2:57" hidden="1">
      <c r="B339" s="194" t="s">
        <v>262</v>
      </c>
      <c r="C339" s="194" t="s">
        <v>40</v>
      </c>
      <c r="D339" s="195">
        <v>135</v>
      </c>
      <c r="E339" s="104" t="s">
        <v>87</v>
      </c>
      <c r="F339" s="204" t="s">
        <v>468</v>
      </c>
      <c r="G339" s="204" t="s">
        <v>469</v>
      </c>
      <c r="H339" s="246">
        <v>1</v>
      </c>
      <c r="I33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339" s="88">
        <v>43449</v>
      </c>
      <c r="K339" s="139" t="s">
        <v>461</v>
      </c>
      <c r="L339" s="198" t="s">
        <v>470</v>
      </c>
      <c r="M339" s="139"/>
      <c r="N339" s="197"/>
      <c r="O339" s="255">
        <f>MONTH(LstMachines[[#This Row],[Delivery]])</f>
        <v>12</v>
      </c>
      <c r="P339" s="256" t="str">
        <f>FIXED(YEAR(LstMachines[[#This Row],[Delivery]]),0,TRUE)</f>
        <v>2018</v>
      </c>
      <c r="Q339" s="205"/>
      <c r="R339" s="241"/>
      <c r="S339" s="197"/>
      <c r="T339" s="197"/>
      <c r="U339" s="197"/>
      <c r="V339" s="193"/>
      <c r="W339" s="139"/>
      <c r="X339" s="258">
        <f>LstMachines[[#This Row],[Delivery]]</f>
        <v>43449</v>
      </c>
      <c r="Y339" s="258" t="str">
        <f xml:space="preserve"> IF(MONTH(LstMachines[[#This Row],[DateLivr]])&lt;10,"0","") &amp; MONTH(LstMachines[[#This Row],[DateLivr]]) &amp;"-"&amp;YEAR(LstMachines[[#This Row],[DateLivr]])</f>
        <v>12-2018</v>
      </c>
      <c r="Z339" s="258">
        <f>LstMachines[[#This Row],[Delivery]]+Rglt_à_HCME</f>
        <v>43509</v>
      </c>
      <c r="AA339" s="258" t="str">
        <f xml:space="preserve"> IF(MONTH(LstMachines[[#This Row],[DatePaie]])&lt;10,"0","") &amp; MONTH(LstMachines[[#This Row],[DatePaie]])&amp;"-"&amp;YEAR(LstMachines[[#This Row],[DatePaie]])</f>
        <v>02-2019</v>
      </c>
      <c r="AB339" s="258">
        <f>LstMachines[[#This Row],[DateLivr]]+1</f>
        <v>43450</v>
      </c>
      <c r="AC339" s="258" t="str">
        <f xml:space="preserve"> IF(MONTH(LstMachines[[#This Row],[Distrib]])&lt;10,"0","") &amp; MONTH(LstMachines[[#This Row],[Distrib]]) &amp; "-" &amp; YEAR(LstMachines[[#This Row],[Distrib]])</f>
        <v>12-2018</v>
      </c>
      <c r="AD339" s="258">
        <f>LstMachines[[#This Row],[DateLivr]]+Délai_Vente</f>
        <v>43569</v>
      </c>
      <c r="AE339" s="258" t="str">
        <f xml:space="preserve"> IF(MONTH(LstMachines[[#This Row],[VteESM]])&lt;10,"0","") &amp; MONTH(LstMachines[[#This Row],[VteESM]]) &amp; "-" &amp; YEAR(LstMachines[[#This Row],[VteESM]])</f>
        <v>04-2019</v>
      </c>
      <c r="AF339" s="258">
        <f>LstMachines[[#This Row],[DateLivr]]+Rglt_à_ESMTP</f>
        <v>43509</v>
      </c>
      <c r="AG339" s="258" t="str">
        <f xml:space="preserve"> IF(MONTH(LstMachines[[#This Row],[RgltDistrib]])&lt;10,"0","") &amp; MONTH(LstMachines[[#This Row],[RgltDistrib]]) &amp; "-" &amp; YEAR(LstMachines[[#This Row],[RgltDistrib]])</f>
        <v>02-2019</v>
      </c>
      <c r="AH339" s="258">
        <f>LstMachines[[#This Row],[VteESM]]+Rglt_à_ESMTP</f>
        <v>43629</v>
      </c>
      <c r="AI339" s="258" t="str">
        <f xml:space="preserve"> IF(MONTH(LstMachines[[#This Row],[RgltVteESM]])&lt;10,"0","") &amp; MONTH(LstMachines[[#This Row],[RgltVteESM]]) &amp; "-" &amp; YEAR(LstMachines[[#This Row],[RgltVteESM]])</f>
        <v>06-2019</v>
      </c>
      <c r="AJ339" s="140">
        <f>MONTH(LstMachines[[#This Row],[DatePaie]])</f>
        <v>2</v>
      </c>
      <c r="AK339" s="88" t="str">
        <f>FIXED(YEAR(LstMachines[[#This Row],[DatePaie]]),0,TRUE)</f>
        <v>2019</v>
      </c>
      <c r="AL339" s="140"/>
      <c r="AM339" s="414"/>
      <c r="AN339" s="92"/>
      <c r="AO339" s="92"/>
      <c r="AP339" s="92"/>
      <c r="AQ339" s="92"/>
      <c r="AR339" s="92"/>
      <c r="AS339" s="92"/>
      <c r="AT339" s="92"/>
      <c r="AU339" s="92"/>
      <c r="AV339" s="92"/>
      <c r="AW339" s="92"/>
      <c r="AX339" s="92"/>
      <c r="AY339" s="92"/>
      <c r="BA339" s="92"/>
      <c r="BC339" s="92"/>
      <c r="BD339" s="92"/>
      <c r="BE339" s="92"/>
    </row>
    <row r="340" spans="2:57" hidden="1">
      <c r="B340" s="243" t="s">
        <v>75</v>
      </c>
      <c r="C340" s="243" t="s">
        <v>35</v>
      </c>
      <c r="D340" s="245">
        <v>19</v>
      </c>
      <c r="E340" s="243" t="s">
        <v>76</v>
      </c>
      <c r="F340" s="89" t="s">
        <v>468</v>
      </c>
      <c r="G340" s="89" t="s">
        <v>469</v>
      </c>
      <c r="H340" s="246">
        <v>1</v>
      </c>
      <c r="I340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340" s="88">
        <v>43570</v>
      </c>
      <c r="K340" s="248" t="s">
        <v>461</v>
      </c>
      <c r="L340" s="244" t="s">
        <v>470</v>
      </c>
      <c r="M340" s="248"/>
      <c r="N340" s="249"/>
      <c r="O340" s="270">
        <f>MONTH(LstMachines[[#This Row],[Delivery]])</f>
        <v>4</v>
      </c>
      <c r="P340" s="247" t="str">
        <f>FIXED(YEAR(LstMachines[[#This Row],[Delivery]]),0,TRUE)</f>
        <v>2019</v>
      </c>
      <c r="Q340" s="250"/>
      <c r="R340" s="251"/>
      <c r="S340" s="249"/>
      <c r="T340" s="249"/>
      <c r="U340" s="249"/>
      <c r="V340" s="246"/>
      <c r="W340" s="248"/>
      <c r="X340" s="249">
        <f>LstMachines[[#This Row],[Delivery]]</f>
        <v>43570</v>
      </c>
      <c r="Y340" s="271" t="str">
        <f xml:space="preserve"> IF(MONTH(LstMachines[[#This Row],[DateLivr]])&lt;10,"0","") &amp; MONTH(LstMachines[[#This Row],[DateLivr]]) &amp;"-"&amp;YEAR(LstMachines[[#This Row],[DateLivr]])</f>
        <v>04-2019</v>
      </c>
      <c r="Z340" s="247">
        <f>LstMachines[[#This Row],[Delivery]]+Rglt_à_HCME</f>
        <v>43630</v>
      </c>
      <c r="AA340" s="271" t="str">
        <f xml:space="preserve"> IF(MONTH(LstMachines[[#This Row],[DatePaie]])&lt;10,"0","") &amp; MONTH(LstMachines[[#This Row],[DatePaie]])&amp;"-"&amp;YEAR(LstMachines[[#This Row],[DatePaie]])</f>
        <v>06-2019</v>
      </c>
      <c r="AB340" s="271">
        <f>LstMachines[[#This Row],[DateLivr]]+1</f>
        <v>43571</v>
      </c>
      <c r="AC340" s="271" t="str">
        <f xml:space="preserve"> IF(MONTH(LstMachines[[#This Row],[Distrib]])&lt;10,"0","") &amp; MONTH(LstMachines[[#This Row],[Distrib]]) &amp; "-" &amp; YEAR(LstMachines[[#This Row],[Distrib]])</f>
        <v>04-2019</v>
      </c>
      <c r="AD340" s="271">
        <f>LstMachines[[#This Row],[DateLivr]]+Délai_Vente</f>
        <v>43690</v>
      </c>
      <c r="AE340" s="271" t="str">
        <f xml:space="preserve"> IF(MONTH(LstMachines[[#This Row],[VteESM]])&lt;10,"0","") &amp; MONTH(LstMachines[[#This Row],[VteESM]]) &amp; "-" &amp; YEAR(LstMachines[[#This Row],[VteESM]])</f>
        <v>08-2019</v>
      </c>
      <c r="AF340" s="271">
        <f>LstMachines[[#This Row],[DateLivr]]+Rglt_à_ESMTP</f>
        <v>43630</v>
      </c>
      <c r="AG340" s="271" t="str">
        <f xml:space="preserve"> IF(MONTH(LstMachines[[#This Row],[RgltDistrib]])&lt;10,"0","") &amp; MONTH(LstMachines[[#This Row],[RgltDistrib]]) &amp; "-" &amp; YEAR(LstMachines[[#This Row],[RgltDistrib]])</f>
        <v>06-2019</v>
      </c>
      <c r="AH340" s="271">
        <f>LstMachines[[#This Row],[VteESM]]+Rglt_à_ESMTP</f>
        <v>43750</v>
      </c>
      <c r="AI340" s="271" t="str">
        <f xml:space="preserve"> IF(MONTH(LstMachines[[#This Row],[RgltVteESM]])&lt;10,"0","") &amp; MONTH(LstMachines[[#This Row],[RgltVteESM]]) &amp; "-" &amp; YEAR(LstMachines[[#This Row],[RgltVteESM]])</f>
        <v>10-2019</v>
      </c>
      <c r="AJ340" s="270">
        <f>MONTH(LstMachines[[#This Row],[DatePaie]])</f>
        <v>6</v>
      </c>
      <c r="AK340" s="247" t="str">
        <f>FIXED(YEAR(LstMachines[[#This Row],[DatePaie]]),0,TRUE)</f>
        <v>2019</v>
      </c>
      <c r="AL340" s="270"/>
      <c r="AM340" s="414"/>
      <c r="AN340" s="99"/>
      <c r="AO340" s="92"/>
      <c r="AP340" s="92"/>
      <c r="AQ340" s="92"/>
      <c r="AR340" s="92"/>
      <c r="AS340" s="92"/>
      <c r="AT340" s="92"/>
      <c r="AU340" s="92"/>
      <c r="AV340" s="92"/>
      <c r="AW340" s="92"/>
      <c r="AX340" s="92"/>
      <c r="AY340" s="92"/>
      <c r="BA340" s="92"/>
      <c r="BC340" s="92"/>
      <c r="BD340" s="92"/>
      <c r="BE340" s="92"/>
    </row>
    <row r="341" spans="2:57" hidden="1">
      <c r="B341" s="243" t="s">
        <v>75</v>
      </c>
      <c r="C341" s="243" t="s">
        <v>35</v>
      </c>
      <c r="D341" s="245">
        <v>19</v>
      </c>
      <c r="E341" s="243" t="s">
        <v>76</v>
      </c>
      <c r="F341" s="89" t="s">
        <v>468</v>
      </c>
      <c r="G341" s="89" t="s">
        <v>469</v>
      </c>
      <c r="H341" s="246">
        <v>1</v>
      </c>
      <c r="I341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341" s="88">
        <v>43570</v>
      </c>
      <c r="K341" s="248" t="s">
        <v>461</v>
      </c>
      <c r="L341" s="244" t="s">
        <v>470</v>
      </c>
      <c r="M341" s="248"/>
      <c r="N341" s="249"/>
      <c r="O341" s="270">
        <f>MONTH(LstMachines[[#This Row],[Delivery]])</f>
        <v>4</v>
      </c>
      <c r="P341" s="247" t="str">
        <f>FIXED(YEAR(LstMachines[[#This Row],[Delivery]]),0,TRUE)</f>
        <v>2019</v>
      </c>
      <c r="Q341" s="250"/>
      <c r="R341" s="251"/>
      <c r="S341" s="249"/>
      <c r="T341" s="249"/>
      <c r="U341" s="249"/>
      <c r="V341" s="246"/>
      <c r="W341" s="248"/>
      <c r="X341" s="249">
        <f>LstMachines[[#This Row],[Delivery]]</f>
        <v>43570</v>
      </c>
      <c r="Y341" s="271" t="str">
        <f xml:space="preserve"> IF(MONTH(LstMachines[[#This Row],[DateLivr]])&lt;10,"0","") &amp; MONTH(LstMachines[[#This Row],[DateLivr]]) &amp;"-"&amp;YEAR(LstMachines[[#This Row],[DateLivr]])</f>
        <v>04-2019</v>
      </c>
      <c r="Z341" s="247">
        <f>LstMachines[[#This Row],[Delivery]]+Rglt_à_HCME</f>
        <v>43630</v>
      </c>
      <c r="AA341" s="271" t="str">
        <f xml:space="preserve"> IF(MONTH(LstMachines[[#This Row],[DatePaie]])&lt;10,"0","") &amp; MONTH(LstMachines[[#This Row],[DatePaie]])&amp;"-"&amp;YEAR(LstMachines[[#This Row],[DatePaie]])</f>
        <v>06-2019</v>
      </c>
      <c r="AB341" s="271">
        <f>LstMachines[[#This Row],[DateLivr]]+1</f>
        <v>43571</v>
      </c>
      <c r="AC341" s="271" t="str">
        <f xml:space="preserve"> IF(MONTH(LstMachines[[#This Row],[Distrib]])&lt;10,"0","") &amp; MONTH(LstMachines[[#This Row],[Distrib]]) &amp; "-" &amp; YEAR(LstMachines[[#This Row],[Distrib]])</f>
        <v>04-2019</v>
      </c>
      <c r="AD341" s="271">
        <f>LstMachines[[#This Row],[DateLivr]]+Délai_Vente</f>
        <v>43690</v>
      </c>
      <c r="AE341" s="271" t="str">
        <f xml:space="preserve"> IF(MONTH(LstMachines[[#This Row],[VteESM]])&lt;10,"0","") &amp; MONTH(LstMachines[[#This Row],[VteESM]]) &amp; "-" &amp; YEAR(LstMachines[[#This Row],[VteESM]])</f>
        <v>08-2019</v>
      </c>
      <c r="AF341" s="271">
        <f>LstMachines[[#This Row],[DateLivr]]+Rglt_à_ESMTP</f>
        <v>43630</v>
      </c>
      <c r="AG341" s="271" t="str">
        <f xml:space="preserve"> IF(MONTH(LstMachines[[#This Row],[RgltDistrib]])&lt;10,"0","") &amp; MONTH(LstMachines[[#This Row],[RgltDistrib]]) &amp; "-" &amp; YEAR(LstMachines[[#This Row],[RgltDistrib]])</f>
        <v>06-2019</v>
      </c>
      <c r="AH341" s="271">
        <f>LstMachines[[#This Row],[VteESM]]+Rglt_à_ESMTP</f>
        <v>43750</v>
      </c>
      <c r="AI341" s="271" t="str">
        <f xml:space="preserve"> IF(MONTH(LstMachines[[#This Row],[RgltVteESM]])&lt;10,"0","") &amp; MONTH(LstMachines[[#This Row],[RgltVteESM]]) &amp; "-" &amp; YEAR(LstMachines[[#This Row],[RgltVteESM]])</f>
        <v>10-2019</v>
      </c>
      <c r="AJ341" s="270">
        <f>MONTH(LstMachines[[#This Row],[DatePaie]])</f>
        <v>6</v>
      </c>
      <c r="AK341" s="247" t="str">
        <f>FIXED(YEAR(LstMachines[[#This Row],[DatePaie]]),0,TRUE)</f>
        <v>2019</v>
      </c>
      <c r="AL341" s="270"/>
      <c r="AM341" s="415"/>
      <c r="AN341"/>
      <c r="AV341" s="93"/>
      <c r="AW341" s="92"/>
      <c r="AY341" s="92"/>
      <c r="AZ341" s="72"/>
      <c r="BA341" s="119"/>
      <c r="BB341" s="99"/>
      <c r="BC341" s="92"/>
      <c r="BD341" s="92"/>
      <c r="BE341" s="92"/>
    </row>
    <row r="342" spans="2:57" hidden="1">
      <c r="B342" s="243" t="s">
        <v>262</v>
      </c>
      <c r="C342" s="243" t="s">
        <v>40</v>
      </c>
      <c r="D342" s="245">
        <v>135</v>
      </c>
      <c r="E342" s="243" t="s">
        <v>87</v>
      </c>
      <c r="F342" s="89" t="s">
        <v>468</v>
      </c>
      <c r="G342" s="89" t="s">
        <v>469</v>
      </c>
      <c r="H342" s="246">
        <v>1</v>
      </c>
      <c r="I342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342" s="88">
        <v>43570</v>
      </c>
      <c r="K342" s="248" t="s">
        <v>461</v>
      </c>
      <c r="L342" s="244" t="s">
        <v>470</v>
      </c>
      <c r="M342" s="248"/>
      <c r="N342" s="249"/>
      <c r="O342" s="270">
        <f>MONTH(LstMachines[[#This Row],[Delivery]])</f>
        <v>4</v>
      </c>
      <c r="P342" s="247" t="str">
        <f>FIXED(YEAR(LstMachines[[#This Row],[Delivery]]),0,TRUE)</f>
        <v>2019</v>
      </c>
      <c r="Q342" s="250"/>
      <c r="R342" s="251"/>
      <c r="S342" s="249"/>
      <c r="T342" s="249"/>
      <c r="U342" s="249"/>
      <c r="V342" s="246"/>
      <c r="W342" s="248"/>
      <c r="X342" s="249">
        <f>LstMachines[[#This Row],[Delivery]]</f>
        <v>43570</v>
      </c>
      <c r="Y342" s="271" t="str">
        <f xml:space="preserve"> IF(MONTH(LstMachines[[#This Row],[DateLivr]])&lt;10,"0","") &amp; MONTH(LstMachines[[#This Row],[DateLivr]]) &amp;"-"&amp;YEAR(LstMachines[[#This Row],[DateLivr]])</f>
        <v>04-2019</v>
      </c>
      <c r="Z342" s="247">
        <f>LstMachines[[#This Row],[Delivery]]+Rglt_à_HCME</f>
        <v>43630</v>
      </c>
      <c r="AA342" s="271" t="str">
        <f xml:space="preserve"> IF(MONTH(LstMachines[[#This Row],[DatePaie]])&lt;10,"0","") &amp; MONTH(LstMachines[[#This Row],[DatePaie]])&amp;"-"&amp;YEAR(LstMachines[[#This Row],[DatePaie]])</f>
        <v>06-2019</v>
      </c>
      <c r="AB342" s="271">
        <f>LstMachines[[#This Row],[DateLivr]]+1</f>
        <v>43571</v>
      </c>
      <c r="AC342" s="271" t="str">
        <f xml:space="preserve"> IF(MONTH(LstMachines[[#This Row],[Distrib]])&lt;10,"0","") &amp; MONTH(LstMachines[[#This Row],[Distrib]]) &amp; "-" &amp; YEAR(LstMachines[[#This Row],[Distrib]])</f>
        <v>04-2019</v>
      </c>
      <c r="AD342" s="271">
        <f>LstMachines[[#This Row],[DateLivr]]+Délai_Vente</f>
        <v>43690</v>
      </c>
      <c r="AE342" s="271" t="str">
        <f xml:space="preserve"> IF(MONTH(LstMachines[[#This Row],[VteESM]])&lt;10,"0","") &amp; MONTH(LstMachines[[#This Row],[VteESM]]) &amp; "-" &amp; YEAR(LstMachines[[#This Row],[VteESM]])</f>
        <v>08-2019</v>
      </c>
      <c r="AF342" s="271">
        <f>LstMachines[[#This Row],[DateLivr]]+Rglt_à_ESMTP</f>
        <v>43630</v>
      </c>
      <c r="AG342" s="271" t="str">
        <f xml:space="preserve"> IF(MONTH(LstMachines[[#This Row],[RgltDistrib]])&lt;10,"0","") &amp; MONTH(LstMachines[[#This Row],[RgltDistrib]]) &amp; "-" &amp; YEAR(LstMachines[[#This Row],[RgltDistrib]])</f>
        <v>06-2019</v>
      </c>
      <c r="AH342" s="271">
        <f>LstMachines[[#This Row],[VteESM]]+Rglt_à_ESMTP</f>
        <v>43750</v>
      </c>
      <c r="AI342" s="271" t="str">
        <f xml:space="preserve"> IF(MONTH(LstMachines[[#This Row],[RgltVteESM]])&lt;10,"0","") &amp; MONTH(LstMachines[[#This Row],[RgltVteESM]]) &amp; "-" &amp; YEAR(LstMachines[[#This Row],[RgltVteESM]])</f>
        <v>10-2019</v>
      </c>
      <c r="AJ342" s="270">
        <f>MONTH(LstMachines[[#This Row],[DatePaie]])</f>
        <v>6</v>
      </c>
      <c r="AK342" s="247" t="str">
        <f>FIXED(YEAR(LstMachines[[#This Row],[DatePaie]]),0,TRUE)</f>
        <v>2019</v>
      </c>
      <c r="AL342" s="270"/>
      <c r="AM342" s="415"/>
      <c r="AN342"/>
      <c r="AV342" s="93"/>
      <c r="AW342" s="92"/>
      <c r="AY342" s="92"/>
      <c r="AZ342" s="72"/>
      <c r="BA342" s="119"/>
      <c r="BB342" s="99"/>
      <c r="BC342" s="92"/>
      <c r="BD342" s="92"/>
      <c r="BE342" s="92"/>
    </row>
    <row r="343" spans="2:57" hidden="1">
      <c r="B343" s="243" t="s">
        <v>262</v>
      </c>
      <c r="C343" s="243" t="s">
        <v>43</v>
      </c>
      <c r="D343" s="245">
        <v>210</v>
      </c>
      <c r="E343" s="243" t="s">
        <v>89</v>
      </c>
      <c r="F343" s="89" t="s">
        <v>468</v>
      </c>
      <c r="G343" s="89" t="s">
        <v>469</v>
      </c>
      <c r="H343" s="246">
        <v>1</v>
      </c>
      <c r="I343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118</v>
      </c>
      <c r="J343" s="88">
        <v>43570</v>
      </c>
      <c r="K343" s="248" t="s">
        <v>461</v>
      </c>
      <c r="L343" s="244" t="s">
        <v>470</v>
      </c>
      <c r="M343" s="248"/>
      <c r="N343" s="249"/>
      <c r="O343" s="270">
        <f>MONTH(LstMachines[[#This Row],[Delivery]])</f>
        <v>4</v>
      </c>
      <c r="P343" s="247" t="str">
        <f>FIXED(YEAR(LstMachines[[#This Row],[Delivery]]),0,TRUE)</f>
        <v>2019</v>
      </c>
      <c r="Q343" s="250"/>
      <c r="R343" s="251"/>
      <c r="S343" s="249"/>
      <c r="T343" s="249"/>
      <c r="U343" s="249"/>
      <c r="V343" s="246"/>
      <c r="W343" s="248"/>
      <c r="X343" s="249">
        <f>LstMachines[[#This Row],[Delivery]]</f>
        <v>43570</v>
      </c>
      <c r="Y343" s="271" t="str">
        <f xml:space="preserve"> IF(MONTH(LstMachines[[#This Row],[DateLivr]])&lt;10,"0","") &amp; MONTH(LstMachines[[#This Row],[DateLivr]]) &amp;"-"&amp;YEAR(LstMachines[[#This Row],[DateLivr]])</f>
        <v>04-2019</v>
      </c>
      <c r="Z343" s="247">
        <f>LstMachines[[#This Row],[Delivery]]+Rglt_à_HCME</f>
        <v>43630</v>
      </c>
      <c r="AA343" s="271" t="str">
        <f xml:space="preserve"> IF(MONTH(LstMachines[[#This Row],[DatePaie]])&lt;10,"0","") &amp; MONTH(LstMachines[[#This Row],[DatePaie]])&amp;"-"&amp;YEAR(LstMachines[[#This Row],[DatePaie]])</f>
        <v>06-2019</v>
      </c>
      <c r="AB343" s="271">
        <f>LstMachines[[#This Row],[DateLivr]]+1</f>
        <v>43571</v>
      </c>
      <c r="AC343" s="271" t="str">
        <f xml:space="preserve"> IF(MONTH(LstMachines[[#This Row],[Distrib]])&lt;10,"0","") &amp; MONTH(LstMachines[[#This Row],[Distrib]]) &amp; "-" &amp; YEAR(LstMachines[[#This Row],[Distrib]])</f>
        <v>04-2019</v>
      </c>
      <c r="AD343" s="271">
        <f>LstMachines[[#This Row],[DateLivr]]+Délai_Vente</f>
        <v>43690</v>
      </c>
      <c r="AE343" s="271" t="str">
        <f xml:space="preserve"> IF(MONTH(LstMachines[[#This Row],[VteESM]])&lt;10,"0","") &amp; MONTH(LstMachines[[#This Row],[VteESM]]) &amp; "-" &amp; YEAR(LstMachines[[#This Row],[VteESM]])</f>
        <v>08-2019</v>
      </c>
      <c r="AF343" s="271">
        <f>LstMachines[[#This Row],[DateLivr]]+Rglt_à_ESMTP</f>
        <v>43630</v>
      </c>
      <c r="AG343" s="271" t="str">
        <f xml:space="preserve"> IF(MONTH(LstMachines[[#This Row],[RgltDistrib]])&lt;10,"0","") &amp; MONTH(LstMachines[[#This Row],[RgltDistrib]]) &amp; "-" &amp; YEAR(LstMachines[[#This Row],[RgltDistrib]])</f>
        <v>06-2019</v>
      </c>
      <c r="AH343" s="271">
        <f>LstMachines[[#This Row],[VteESM]]+Rglt_à_ESMTP</f>
        <v>43750</v>
      </c>
      <c r="AI343" s="271" t="str">
        <f xml:space="preserve"> IF(MONTH(LstMachines[[#This Row],[RgltVteESM]])&lt;10,"0","") &amp; MONTH(LstMachines[[#This Row],[RgltVteESM]]) &amp; "-" &amp; YEAR(LstMachines[[#This Row],[RgltVteESM]])</f>
        <v>10-2019</v>
      </c>
      <c r="AJ343" s="270">
        <f>MONTH(LstMachines[[#This Row],[DatePaie]])</f>
        <v>6</v>
      </c>
      <c r="AK343" s="247" t="str">
        <f>FIXED(YEAR(LstMachines[[#This Row],[DatePaie]]),0,TRUE)</f>
        <v>2019</v>
      </c>
      <c r="AL343" s="270"/>
      <c r="AM343" s="415"/>
      <c r="AN343"/>
      <c r="AV343" s="93"/>
      <c r="AW343" s="92"/>
      <c r="AY343" s="92"/>
      <c r="AZ343" s="72"/>
      <c r="BA343" s="119"/>
      <c r="BB343" s="99"/>
      <c r="BC343" s="92"/>
      <c r="BD343" s="92"/>
      <c r="BE343" s="92"/>
    </row>
    <row r="344" spans="2:57" hidden="1">
      <c r="B344" s="243" t="s">
        <v>75</v>
      </c>
      <c r="C344" s="243" t="s">
        <v>35</v>
      </c>
      <c r="D344" s="245">
        <v>19</v>
      </c>
      <c r="E344" s="243" t="s">
        <v>76</v>
      </c>
      <c r="F344" s="89" t="s">
        <v>468</v>
      </c>
      <c r="G344" s="89" t="s">
        <v>469</v>
      </c>
      <c r="H344" s="246">
        <v>1</v>
      </c>
      <c r="I344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344" s="88">
        <v>43600</v>
      </c>
      <c r="K344" s="248" t="s">
        <v>461</v>
      </c>
      <c r="L344" s="244" t="s">
        <v>470</v>
      </c>
      <c r="M344" s="248"/>
      <c r="N344" s="249"/>
      <c r="O344" s="270">
        <f>MONTH(LstMachines[[#This Row],[Delivery]])</f>
        <v>5</v>
      </c>
      <c r="P344" s="247" t="str">
        <f>FIXED(YEAR(LstMachines[[#This Row],[Delivery]]),0,TRUE)</f>
        <v>2019</v>
      </c>
      <c r="Q344" s="250"/>
      <c r="R344" s="251"/>
      <c r="S344" s="249"/>
      <c r="T344" s="249"/>
      <c r="U344" s="249"/>
      <c r="V344" s="246"/>
      <c r="W344" s="248"/>
      <c r="X344" s="249">
        <f>LstMachines[[#This Row],[Delivery]]</f>
        <v>43600</v>
      </c>
      <c r="Y344" s="271" t="str">
        <f xml:space="preserve"> IF(MONTH(LstMachines[[#This Row],[DateLivr]])&lt;10,"0","") &amp; MONTH(LstMachines[[#This Row],[DateLivr]]) &amp;"-"&amp;YEAR(LstMachines[[#This Row],[DateLivr]])</f>
        <v>05-2019</v>
      </c>
      <c r="Z344" s="247">
        <f>LstMachines[[#This Row],[Delivery]]+Rglt_à_HCME</f>
        <v>43660</v>
      </c>
      <c r="AA344" s="271" t="str">
        <f xml:space="preserve"> IF(MONTH(LstMachines[[#This Row],[DatePaie]])&lt;10,"0","") &amp; MONTH(LstMachines[[#This Row],[DatePaie]])&amp;"-"&amp;YEAR(LstMachines[[#This Row],[DatePaie]])</f>
        <v>07-2019</v>
      </c>
      <c r="AB344" s="271">
        <f>LstMachines[[#This Row],[DateLivr]]+1</f>
        <v>43601</v>
      </c>
      <c r="AC344" s="271" t="str">
        <f xml:space="preserve"> IF(MONTH(LstMachines[[#This Row],[Distrib]])&lt;10,"0","") &amp; MONTH(LstMachines[[#This Row],[Distrib]]) &amp; "-" &amp; YEAR(LstMachines[[#This Row],[Distrib]])</f>
        <v>05-2019</v>
      </c>
      <c r="AD344" s="271">
        <f>LstMachines[[#This Row],[DateLivr]]+Délai_Vente</f>
        <v>43720</v>
      </c>
      <c r="AE344" s="271" t="str">
        <f xml:space="preserve"> IF(MONTH(LstMachines[[#This Row],[VteESM]])&lt;10,"0","") &amp; MONTH(LstMachines[[#This Row],[VteESM]]) &amp; "-" &amp; YEAR(LstMachines[[#This Row],[VteESM]])</f>
        <v>09-2019</v>
      </c>
      <c r="AF344" s="271">
        <f>LstMachines[[#This Row],[DateLivr]]+Rglt_à_ESMTP</f>
        <v>43660</v>
      </c>
      <c r="AG344" s="271" t="str">
        <f xml:space="preserve"> IF(MONTH(LstMachines[[#This Row],[RgltDistrib]])&lt;10,"0","") &amp; MONTH(LstMachines[[#This Row],[RgltDistrib]]) &amp; "-" &amp; YEAR(LstMachines[[#This Row],[RgltDistrib]])</f>
        <v>07-2019</v>
      </c>
      <c r="AH344" s="271">
        <f>LstMachines[[#This Row],[VteESM]]+Rglt_à_ESMTP</f>
        <v>43780</v>
      </c>
      <c r="AI344" s="271" t="str">
        <f xml:space="preserve"> IF(MONTH(LstMachines[[#This Row],[RgltVteESM]])&lt;10,"0","") &amp; MONTH(LstMachines[[#This Row],[RgltVteESM]]) &amp; "-" &amp; YEAR(LstMachines[[#This Row],[RgltVteESM]])</f>
        <v>11-2019</v>
      </c>
      <c r="AJ344" s="270">
        <f>MONTH(LstMachines[[#This Row],[DatePaie]])</f>
        <v>7</v>
      </c>
      <c r="AK344" s="247" t="str">
        <f>FIXED(YEAR(LstMachines[[#This Row],[DatePaie]]),0,TRUE)</f>
        <v>2019</v>
      </c>
      <c r="AL344" s="270"/>
      <c r="AM344" s="415"/>
      <c r="AN344"/>
      <c r="AV344" s="93"/>
      <c r="AW344" s="92"/>
      <c r="AY344" s="92"/>
      <c r="AZ344" s="72"/>
      <c r="BA344" s="119"/>
      <c r="BB344" s="99"/>
      <c r="BC344" s="92"/>
      <c r="BD344" s="92"/>
      <c r="BE344" s="92"/>
    </row>
    <row r="345" spans="2:57" hidden="1">
      <c r="B345" s="243" t="s">
        <v>75</v>
      </c>
      <c r="C345" s="243" t="s">
        <v>36</v>
      </c>
      <c r="D345" s="245">
        <v>26</v>
      </c>
      <c r="E345" s="243" t="s">
        <v>361</v>
      </c>
      <c r="F345" s="89" t="s">
        <v>468</v>
      </c>
      <c r="G345" s="89" t="s">
        <v>469</v>
      </c>
      <c r="H345" s="246">
        <v>1</v>
      </c>
      <c r="I345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345" s="88">
        <v>43600</v>
      </c>
      <c r="K345" s="248" t="s">
        <v>461</v>
      </c>
      <c r="L345" s="244" t="s">
        <v>470</v>
      </c>
      <c r="M345" s="248"/>
      <c r="N345" s="249"/>
      <c r="O345" s="270">
        <f>MONTH(LstMachines[[#This Row],[Delivery]])</f>
        <v>5</v>
      </c>
      <c r="P345" s="247" t="str">
        <f>FIXED(YEAR(LstMachines[[#This Row],[Delivery]]),0,TRUE)</f>
        <v>2019</v>
      </c>
      <c r="Q345" s="250"/>
      <c r="R345" s="251"/>
      <c r="S345" s="249"/>
      <c r="T345" s="249"/>
      <c r="U345" s="249"/>
      <c r="V345" s="246"/>
      <c r="W345" s="248"/>
      <c r="X345" s="249">
        <f>LstMachines[[#This Row],[Delivery]]</f>
        <v>43600</v>
      </c>
      <c r="Y345" s="271" t="str">
        <f xml:space="preserve"> IF(MONTH(LstMachines[[#This Row],[DateLivr]])&lt;10,"0","") &amp; MONTH(LstMachines[[#This Row],[DateLivr]]) &amp;"-"&amp;YEAR(LstMachines[[#This Row],[DateLivr]])</f>
        <v>05-2019</v>
      </c>
      <c r="Z345" s="247">
        <f>LstMachines[[#This Row],[Delivery]]+Rglt_à_HCME</f>
        <v>43660</v>
      </c>
      <c r="AA345" s="271" t="str">
        <f xml:space="preserve"> IF(MONTH(LstMachines[[#This Row],[DatePaie]])&lt;10,"0","") &amp; MONTH(LstMachines[[#This Row],[DatePaie]])&amp;"-"&amp;YEAR(LstMachines[[#This Row],[DatePaie]])</f>
        <v>07-2019</v>
      </c>
      <c r="AB345" s="271">
        <f>LstMachines[[#This Row],[DateLivr]]+1</f>
        <v>43601</v>
      </c>
      <c r="AC345" s="271" t="str">
        <f xml:space="preserve"> IF(MONTH(LstMachines[[#This Row],[Distrib]])&lt;10,"0","") &amp; MONTH(LstMachines[[#This Row],[Distrib]]) &amp; "-" &amp; YEAR(LstMachines[[#This Row],[Distrib]])</f>
        <v>05-2019</v>
      </c>
      <c r="AD345" s="271">
        <f>LstMachines[[#This Row],[DateLivr]]+Délai_Vente</f>
        <v>43720</v>
      </c>
      <c r="AE345" s="271" t="str">
        <f xml:space="preserve"> IF(MONTH(LstMachines[[#This Row],[VteESM]])&lt;10,"0","") &amp; MONTH(LstMachines[[#This Row],[VteESM]]) &amp; "-" &amp; YEAR(LstMachines[[#This Row],[VteESM]])</f>
        <v>09-2019</v>
      </c>
      <c r="AF345" s="271">
        <f>LstMachines[[#This Row],[DateLivr]]+Rglt_à_ESMTP</f>
        <v>43660</v>
      </c>
      <c r="AG345" s="271" t="str">
        <f xml:space="preserve"> IF(MONTH(LstMachines[[#This Row],[RgltDistrib]])&lt;10,"0","") &amp; MONTH(LstMachines[[#This Row],[RgltDistrib]]) &amp; "-" &amp; YEAR(LstMachines[[#This Row],[RgltDistrib]])</f>
        <v>07-2019</v>
      </c>
      <c r="AH345" s="271">
        <f>LstMachines[[#This Row],[VteESM]]+Rglt_à_ESMTP</f>
        <v>43780</v>
      </c>
      <c r="AI345" s="271" t="str">
        <f xml:space="preserve"> IF(MONTH(LstMachines[[#This Row],[RgltVteESM]])&lt;10,"0","") &amp; MONTH(LstMachines[[#This Row],[RgltVteESM]]) &amp; "-" &amp; YEAR(LstMachines[[#This Row],[RgltVteESM]])</f>
        <v>11-2019</v>
      </c>
      <c r="AJ345" s="270">
        <f>MONTH(LstMachines[[#This Row],[DatePaie]])</f>
        <v>7</v>
      </c>
      <c r="AK345" s="247" t="str">
        <f>FIXED(YEAR(LstMachines[[#This Row],[DatePaie]]),0,TRUE)</f>
        <v>2019</v>
      </c>
      <c r="AL345" s="270"/>
      <c r="AM345" s="415"/>
      <c r="AN345"/>
      <c r="AV345" s="93"/>
      <c r="AW345" s="92"/>
      <c r="AY345" s="92"/>
      <c r="AZ345" s="72"/>
      <c r="BA345" s="119"/>
      <c r="BB345" s="99"/>
      <c r="BC345" s="92"/>
      <c r="BD345" s="92"/>
      <c r="BE345" s="92"/>
    </row>
    <row r="346" spans="2:57" hidden="1">
      <c r="B346" s="243" t="s">
        <v>75</v>
      </c>
      <c r="C346" s="243" t="s">
        <v>36</v>
      </c>
      <c r="D346" s="245">
        <v>26</v>
      </c>
      <c r="E346" s="243" t="s">
        <v>355</v>
      </c>
      <c r="F346" s="89" t="s">
        <v>468</v>
      </c>
      <c r="G346" s="89" t="s">
        <v>469</v>
      </c>
      <c r="H346" s="246">
        <v>1</v>
      </c>
      <c r="I346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346" s="88">
        <v>43600</v>
      </c>
      <c r="K346" s="248" t="s">
        <v>461</v>
      </c>
      <c r="L346" s="244" t="s">
        <v>470</v>
      </c>
      <c r="M346" s="248"/>
      <c r="N346" s="249"/>
      <c r="O346" s="270">
        <f>MONTH(LstMachines[[#This Row],[Delivery]])</f>
        <v>5</v>
      </c>
      <c r="P346" s="247" t="str">
        <f>FIXED(YEAR(LstMachines[[#This Row],[Delivery]]),0,TRUE)</f>
        <v>2019</v>
      </c>
      <c r="Q346" s="250"/>
      <c r="R346" s="251"/>
      <c r="S346" s="249"/>
      <c r="T346" s="249"/>
      <c r="U346" s="249"/>
      <c r="V346" s="246"/>
      <c r="W346" s="248"/>
      <c r="X346" s="249">
        <f>LstMachines[[#This Row],[Delivery]]</f>
        <v>43600</v>
      </c>
      <c r="Y346" s="271" t="str">
        <f xml:space="preserve"> IF(MONTH(LstMachines[[#This Row],[DateLivr]])&lt;10,"0","") &amp; MONTH(LstMachines[[#This Row],[DateLivr]]) &amp;"-"&amp;YEAR(LstMachines[[#This Row],[DateLivr]])</f>
        <v>05-2019</v>
      </c>
      <c r="Z346" s="247">
        <f>LstMachines[[#This Row],[Delivery]]+Rglt_à_HCME</f>
        <v>43660</v>
      </c>
      <c r="AA346" s="271" t="str">
        <f xml:space="preserve"> IF(MONTH(LstMachines[[#This Row],[DatePaie]])&lt;10,"0","") &amp; MONTH(LstMachines[[#This Row],[DatePaie]])&amp;"-"&amp;YEAR(LstMachines[[#This Row],[DatePaie]])</f>
        <v>07-2019</v>
      </c>
      <c r="AB346" s="271">
        <f>LstMachines[[#This Row],[DateLivr]]+1</f>
        <v>43601</v>
      </c>
      <c r="AC346" s="271" t="str">
        <f xml:space="preserve"> IF(MONTH(LstMachines[[#This Row],[Distrib]])&lt;10,"0","") &amp; MONTH(LstMachines[[#This Row],[Distrib]]) &amp; "-" &amp; YEAR(LstMachines[[#This Row],[Distrib]])</f>
        <v>05-2019</v>
      </c>
      <c r="AD346" s="271">
        <f>LstMachines[[#This Row],[DateLivr]]+Délai_Vente</f>
        <v>43720</v>
      </c>
      <c r="AE346" s="271" t="str">
        <f xml:space="preserve"> IF(MONTH(LstMachines[[#This Row],[VteESM]])&lt;10,"0","") &amp; MONTH(LstMachines[[#This Row],[VteESM]]) &amp; "-" &amp; YEAR(LstMachines[[#This Row],[VteESM]])</f>
        <v>09-2019</v>
      </c>
      <c r="AF346" s="271">
        <f>LstMachines[[#This Row],[DateLivr]]+Rglt_à_ESMTP</f>
        <v>43660</v>
      </c>
      <c r="AG346" s="271" t="str">
        <f xml:space="preserve"> IF(MONTH(LstMachines[[#This Row],[RgltDistrib]])&lt;10,"0","") &amp; MONTH(LstMachines[[#This Row],[RgltDistrib]]) &amp; "-" &amp; YEAR(LstMachines[[#This Row],[RgltDistrib]])</f>
        <v>07-2019</v>
      </c>
      <c r="AH346" s="271">
        <f>LstMachines[[#This Row],[VteESM]]+Rglt_à_ESMTP</f>
        <v>43780</v>
      </c>
      <c r="AI346" s="271" t="str">
        <f xml:space="preserve"> IF(MONTH(LstMachines[[#This Row],[RgltVteESM]])&lt;10,"0","") &amp; MONTH(LstMachines[[#This Row],[RgltVteESM]]) &amp; "-" &amp; YEAR(LstMachines[[#This Row],[RgltVteESM]])</f>
        <v>11-2019</v>
      </c>
      <c r="AJ346" s="270">
        <f>MONTH(LstMachines[[#This Row],[DatePaie]])</f>
        <v>7</v>
      </c>
      <c r="AK346" s="247" t="str">
        <f>FIXED(YEAR(LstMachines[[#This Row],[DatePaie]]),0,TRUE)</f>
        <v>2019</v>
      </c>
      <c r="AL346" s="270"/>
      <c r="AM346" s="415"/>
      <c r="AN346"/>
      <c r="AV346" s="93"/>
      <c r="AW346" s="92"/>
      <c r="AY346" s="92"/>
      <c r="AZ346" s="72"/>
      <c r="BA346" s="119"/>
      <c r="BB346" s="99"/>
      <c r="BC346" s="92"/>
      <c r="BD346" s="92"/>
      <c r="BE346" s="92"/>
    </row>
    <row r="347" spans="2:57" hidden="1">
      <c r="B347" s="243" t="s">
        <v>75</v>
      </c>
      <c r="C347" s="243" t="s">
        <v>36</v>
      </c>
      <c r="D347" s="245">
        <v>26</v>
      </c>
      <c r="E347" s="243" t="s">
        <v>355</v>
      </c>
      <c r="F347" s="89" t="s">
        <v>468</v>
      </c>
      <c r="G347" s="89" t="s">
        <v>469</v>
      </c>
      <c r="H347" s="246">
        <v>1</v>
      </c>
      <c r="I347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347" s="88">
        <v>43600</v>
      </c>
      <c r="K347" s="248" t="s">
        <v>461</v>
      </c>
      <c r="L347" s="244" t="s">
        <v>470</v>
      </c>
      <c r="M347" s="248"/>
      <c r="N347" s="249"/>
      <c r="O347" s="270">
        <f>MONTH(LstMachines[[#This Row],[Delivery]])</f>
        <v>5</v>
      </c>
      <c r="P347" s="247" t="str">
        <f>FIXED(YEAR(LstMachines[[#This Row],[Delivery]]),0,TRUE)</f>
        <v>2019</v>
      </c>
      <c r="Q347" s="250"/>
      <c r="R347" s="251"/>
      <c r="S347" s="249"/>
      <c r="T347" s="249"/>
      <c r="U347" s="249"/>
      <c r="V347" s="246"/>
      <c r="W347" s="248"/>
      <c r="X347" s="249">
        <f>LstMachines[[#This Row],[Delivery]]</f>
        <v>43600</v>
      </c>
      <c r="Y347" s="271" t="str">
        <f xml:space="preserve"> IF(MONTH(LstMachines[[#This Row],[DateLivr]])&lt;10,"0","") &amp; MONTH(LstMachines[[#This Row],[DateLivr]]) &amp;"-"&amp;YEAR(LstMachines[[#This Row],[DateLivr]])</f>
        <v>05-2019</v>
      </c>
      <c r="Z347" s="247">
        <f>LstMachines[[#This Row],[Delivery]]+Rglt_à_HCME</f>
        <v>43660</v>
      </c>
      <c r="AA347" s="271" t="str">
        <f xml:space="preserve"> IF(MONTH(LstMachines[[#This Row],[DatePaie]])&lt;10,"0","") &amp; MONTH(LstMachines[[#This Row],[DatePaie]])&amp;"-"&amp;YEAR(LstMachines[[#This Row],[DatePaie]])</f>
        <v>07-2019</v>
      </c>
      <c r="AB347" s="271">
        <f>LstMachines[[#This Row],[DateLivr]]+1</f>
        <v>43601</v>
      </c>
      <c r="AC347" s="271" t="str">
        <f xml:space="preserve"> IF(MONTH(LstMachines[[#This Row],[Distrib]])&lt;10,"0","") &amp; MONTH(LstMachines[[#This Row],[Distrib]]) &amp; "-" &amp; YEAR(LstMachines[[#This Row],[Distrib]])</f>
        <v>05-2019</v>
      </c>
      <c r="AD347" s="271">
        <f>LstMachines[[#This Row],[DateLivr]]+Délai_Vente</f>
        <v>43720</v>
      </c>
      <c r="AE347" s="271" t="str">
        <f xml:space="preserve"> IF(MONTH(LstMachines[[#This Row],[VteESM]])&lt;10,"0","") &amp; MONTH(LstMachines[[#This Row],[VteESM]]) &amp; "-" &amp; YEAR(LstMachines[[#This Row],[VteESM]])</f>
        <v>09-2019</v>
      </c>
      <c r="AF347" s="271">
        <f>LstMachines[[#This Row],[DateLivr]]+Rglt_à_ESMTP</f>
        <v>43660</v>
      </c>
      <c r="AG347" s="271" t="str">
        <f xml:space="preserve"> IF(MONTH(LstMachines[[#This Row],[RgltDistrib]])&lt;10,"0","") &amp; MONTH(LstMachines[[#This Row],[RgltDistrib]]) &amp; "-" &amp; YEAR(LstMachines[[#This Row],[RgltDistrib]])</f>
        <v>07-2019</v>
      </c>
      <c r="AH347" s="271">
        <f>LstMachines[[#This Row],[VteESM]]+Rglt_à_ESMTP</f>
        <v>43780</v>
      </c>
      <c r="AI347" s="271" t="str">
        <f xml:space="preserve"> IF(MONTH(LstMachines[[#This Row],[RgltVteESM]])&lt;10,"0","") &amp; MONTH(LstMachines[[#This Row],[RgltVteESM]]) &amp; "-" &amp; YEAR(LstMachines[[#This Row],[RgltVteESM]])</f>
        <v>11-2019</v>
      </c>
      <c r="AJ347" s="270">
        <f>MONTH(LstMachines[[#This Row],[DatePaie]])</f>
        <v>7</v>
      </c>
      <c r="AK347" s="247" t="str">
        <f>FIXED(YEAR(LstMachines[[#This Row],[DatePaie]]),0,TRUE)</f>
        <v>2019</v>
      </c>
      <c r="AL347" s="270"/>
      <c r="AM347" s="415"/>
      <c r="AN347"/>
      <c r="AV347" s="93"/>
      <c r="AW347" s="92"/>
      <c r="AY347" s="92"/>
      <c r="AZ347" s="72"/>
      <c r="BA347" s="119"/>
      <c r="BB347" s="99"/>
      <c r="BC347" s="92"/>
      <c r="BD347" s="92"/>
      <c r="BE347" s="92"/>
    </row>
    <row r="348" spans="2:57" hidden="1">
      <c r="B348" s="243" t="s">
        <v>75</v>
      </c>
      <c r="C348" s="243" t="s">
        <v>38</v>
      </c>
      <c r="D348" s="245">
        <v>65</v>
      </c>
      <c r="E348" s="243" t="s">
        <v>359</v>
      </c>
      <c r="F348" s="89" t="s">
        <v>468</v>
      </c>
      <c r="G348" s="89" t="s">
        <v>469</v>
      </c>
      <c r="H348" s="246">
        <v>1</v>
      </c>
      <c r="I348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348" s="88">
        <v>43600</v>
      </c>
      <c r="K348" s="248" t="s">
        <v>461</v>
      </c>
      <c r="L348" s="244" t="s">
        <v>470</v>
      </c>
      <c r="M348" s="248"/>
      <c r="N348" s="249"/>
      <c r="O348" s="270">
        <f>MONTH(LstMachines[[#This Row],[Delivery]])</f>
        <v>5</v>
      </c>
      <c r="P348" s="247" t="str">
        <f>FIXED(YEAR(LstMachines[[#This Row],[Delivery]]),0,TRUE)</f>
        <v>2019</v>
      </c>
      <c r="Q348" s="250"/>
      <c r="R348" s="251"/>
      <c r="S348" s="249"/>
      <c r="T348" s="249"/>
      <c r="U348" s="249"/>
      <c r="V348" s="246"/>
      <c r="W348" s="248"/>
      <c r="X348" s="249">
        <f>LstMachines[[#This Row],[Delivery]]</f>
        <v>43600</v>
      </c>
      <c r="Y348" s="271" t="str">
        <f xml:space="preserve"> IF(MONTH(LstMachines[[#This Row],[DateLivr]])&lt;10,"0","") &amp; MONTH(LstMachines[[#This Row],[DateLivr]]) &amp;"-"&amp;YEAR(LstMachines[[#This Row],[DateLivr]])</f>
        <v>05-2019</v>
      </c>
      <c r="Z348" s="247">
        <f>LstMachines[[#This Row],[Delivery]]+Rglt_à_HCME</f>
        <v>43660</v>
      </c>
      <c r="AA348" s="271" t="str">
        <f xml:space="preserve"> IF(MONTH(LstMachines[[#This Row],[DatePaie]])&lt;10,"0","") &amp; MONTH(LstMachines[[#This Row],[DatePaie]])&amp;"-"&amp;YEAR(LstMachines[[#This Row],[DatePaie]])</f>
        <v>07-2019</v>
      </c>
      <c r="AB348" s="271">
        <f>LstMachines[[#This Row],[DateLivr]]+1</f>
        <v>43601</v>
      </c>
      <c r="AC348" s="271" t="str">
        <f xml:space="preserve"> IF(MONTH(LstMachines[[#This Row],[Distrib]])&lt;10,"0","") &amp; MONTH(LstMachines[[#This Row],[Distrib]]) &amp; "-" &amp; YEAR(LstMachines[[#This Row],[Distrib]])</f>
        <v>05-2019</v>
      </c>
      <c r="AD348" s="271">
        <f>LstMachines[[#This Row],[DateLivr]]+Délai_Vente</f>
        <v>43720</v>
      </c>
      <c r="AE348" s="271" t="str">
        <f xml:space="preserve"> IF(MONTH(LstMachines[[#This Row],[VteESM]])&lt;10,"0","") &amp; MONTH(LstMachines[[#This Row],[VteESM]]) &amp; "-" &amp; YEAR(LstMachines[[#This Row],[VteESM]])</f>
        <v>09-2019</v>
      </c>
      <c r="AF348" s="271">
        <f>LstMachines[[#This Row],[DateLivr]]+Rglt_à_ESMTP</f>
        <v>43660</v>
      </c>
      <c r="AG348" s="271" t="str">
        <f xml:space="preserve"> IF(MONTH(LstMachines[[#This Row],[RgltDistrib]])&lt;10,"0","") &amp; MONTH(LstMachines[[#This Row],[RgltDistrib]]) &amp; "-" &amp; YEAR(LstMachines[[#This Row],[RgltDistrib]])</f>
        <v>07-2019</v>
      </c>
      <c r="AH348" s="271">
        <f>LstMachines[[#This Row],[VteESM]]+Rglt_à_ESMTP</f>
        <v>43780</v>
      </c>
      <c r="AI348" s="271" t="str">
        <f xml:space="preserve"> IF(MONTH(LstMachines[[#This Row],[RgltVteESM]])&lt;10,"0","") &amp; MONTH(LstMachines[[#This Row],[RgltVteESM]]) &amp; "-" &amp; YEAR(LstMachines[[#This Row],[RgltVteESM]])</f>
        <v>11-2019</v>
      </c>
      <c r="AJ348" s="270">
        <f>MONTH(LstMachines[[#This Row],[DatePaie]])</f>
        <v>7</v>
      </c>
      <c r="AK348" s="247" t="str">
        <f>FIXED(YEAR(LstMachines[[#This Row],[DatePaie]]),0,TRUE)</f>
        <v>2019</v>
      </c>
      <c r="AL348" s="270"/>
      <c r="AM348" s="415"/>
      <c r="AN348"/>
      <c r="AV348" s="93"/>
      <c r="AW348" s="92"/>
      <c r="AY348" s="92"/>
      <c r="AZ348" s="72"/>
      <c r="BA348" s="119"/>
      <c r="BB348" s="99"/>
      <c r="BC348" s="92"/>
      <c r="BD348" s="92"/>
      <c r="BE348" s="92"/>
    </row>
    <row r="349" spans="2:57" hidden="1">
      <c r="B349" s="243" t="s">
        <v>262</v>
      </c>
      <c r="C349" s="243" t="s">
        <v>44</v>
      </c>
      <c r="D349" s="245">
        <v>225</v>
      </c>
      <c r="E349" s="243" t="s">
        <v>204</v>
      </c>
      <c r="F349" s="89" t="s">
        <v>468</v>
      </c>
      <c r="G349" s="89" t="s">
        <v>469</v>
      </c>
      <c r="H349" s="246">
        <v>1</v>
      </c>
      <c r="I349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349" s="88">
        <v>43600</v>
      </c>
      <c r="K349" s="248" t="s">
        <v>461</v>
      </c>
      <c r="L349" s="244" t="s">
        <v>470</v>
      </c>
      <c r="M349" s="248"/>
      <c r="N349" s="249"/>
      <c r="O349" s="270">
        <f>MONTH(LstMachines[[#This Row],[Delivery]])</f>
        <v>5</v>
      </c>
      <c r="P349" s="247" t="str">
        <f>FIXED(YEAR(LstMachines[[#This Row],[Delivery]]),0,TRUE)</f>
        <v>2019</v>
      </c>
      <c r="Q349" s="250"/>
      <c r="R349" s="251"/>
      <c r="S349" s="249"/>
      <c r="T349" s="249"/>
      <c r="U349" s="249"/>
      <c r="V349" s="246"/>
      <c r="W349" s="248"/>
      <c r="X349" s="249">
        <f>LstMachines[[#This Row],[Delivery]]</f>
        <v>43600</v>
      </c>
      <c r="Y349" s="271" t="str">
        <f xml:space="preserve"> IF(MONTH(LstMachines[[#This Row],[DateLivr]])&lt;10,"0","") &amp; MONTH(LstMachines[[#This Row],[DateLivr]]) &amp;"-"&amp;YEAR(LstMachines[[#This Row],[DateLivr]])</f>
        <v>05-2019</v>
      </c>
      <c r="Z349" s="247">
        <f>LstMachines[[#This Row],[Delivery]]+Rglt_à_HCME</f>
        <v>43660</v>
      </c>
      <c r="AA349" s="271" t="str">
        <f xml:space="preserve"> IF(MONTH(LstMachines[[#This Row],[DatePaie]])&lt;10,"0","") &amp; MONTH(LstMachines[[#This Row],[DatePaie]])&amp;"-"&amp;YEAR(LstMachines[[#This Row],[DatePaie]])</f>
        <v>07-2019</v>
      </c>
      <c r="AB349" s="271">
        <f>LstMachines[[#This Row],[DateLivr]]+1</f>
        <v>43601</v>
      </c>
      <c r="AC349" s="271" t="str">
        <f xml:space="preserve"> IF(MONTH(LstMachines[[#This Row],[Distrib]])&lt;10,"0","") &amp; MONTH(LstMachines[[#This Row],[Distrib]]) &amp; "-" &amp; YEAR(LstMachines[[#This Row],[Distrib]])</f>
        <v>05-2019</v>
      </c>
      <c r="AD349" s="271">
        <f>LstMachines[[#This Row],[DateLivr]]+Délai_Vente</f>
        <v>43720</v>
      </c>
      <c r="AE349" s="271" t="str">
        <f xml:space="preserve"> IF(MONTH(LstMachines[[#This Row],[VteESM]])&lt;10,"0","") &amp; MONTH(LstMachines[[#This Row],[VteESM]]) &amp; "-" &amp; YEAR(LstMachines[[#This Row],[VteESM]])</f>
        <v>09-2019</v>
      </c>
      <c r="AF349" s="271">
        <f>LstMachines[[#This Row],[DateLivr]]+Rglt_à_ESMTP</f>
        <v>43660</v>
      </c>
      <c r="AG349" s="271" t="str">
        <f xml:space="preserve"> IF(MONTH(LstMachines[[#This Row],[RgltDistrib]])&lt;10,"0","") &amp; MONTH(LstMachines[[#This Row],[RgltDistrib]]) &amp; "-" &amp; YEAR(LstMachines[[#This Row],[RgltDistrib]])</f>
        <v>07-2019</v>
      </c>
      <c r="AH349" s="271">
        <f>LstMachines[[#This Row],[VteESM]]+Rglt_à_ESMTP</f>
        <v>43780</v>
      </c>
      <c r="AI349" s="271" t="str">
        <f xml:space="preserve"> IF(MONTH(LstMachines[[#This Row],[RgltVteESM]])&lt;10,"0","") &amp; MONTH(LstMachines[[#This Row],[RgltVteESM]]) &amp; "-" &amp; YEAR(LstMachines[[#This Row],[RgltVteESM]])</f>
        <v>11-2019</v>
      </c>
      <c r="AJ349" s="270">
        <f>MONTH(LstMachines[[#This Row],[DatePaie]])</f>
        <v>7</v>
      </c>
      <c r="AK349" s="247" t="str">
        <f>FIXED(YEAR(LstMachines[[#This Row],[DatePaie]]),0,TRUE)</f>
        <v>2019</v>
      </c>
      <c r="AL349" s="270"/>
      <c r="AM349" s="415"/>
      <c r="AN349"/>
      <c r="AV349" s="93"/>
      <c r="AW349" s="92"/>
      <c r="AY349" s="92"/>
      <c r="AZ349" s="72"/>
      <c r="BA349" s="119"/>
      <c r="BB349" s="99"/>
      <c r="BC349" s="92"/>
      <c r="BD349" s="92"/>
      <c r="BE349" s="92"/>
    </row>
    <row r="350" spans="2:57" hidden="1">
      <c r="B350" s="104" t="s">
        <v>75</v>
      </c>
      <c r="C350" s="104" t="s">
        <v>37</v>
      </c>
      <c r="D350" s="87">
        <v>48</v>
      </c>
      <c r="E350" s="86"/>
      <c r="F350" s="87" t="s">
        <v>67</v>
      </c>
      <c r="G350" s="87" t="s">
        <v>107</v>
      </c>
      <c r="H350" s="89">
        <v>2</v>
      </c>
      <c r="I35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82</v>
      </c>
      <c r="J350" s="88">
        <v>43631</v>
      </c>
      <c r="K350" s="99" t="s">
        <v>461</v>
      </c>
      <c r="L350" s="85" t="s">
        <v>390</v>
      </c>
      <c r="M350" s="99"/>
      <c r="N350" s="90"/>
      <c r="O350" s="255">
        <f>MONTH(LstMachines[[#This Row],[Delivery]])</f>
        <v>6</v>
      </c>
      <c r="P350" s="256" t="str">
        <f>FIXED(YEAR(LstMachines[[#This Row],[Delivery]]),0,TRUE)</f>
        <v>2019</v>
      </c>
      <c r="Q350" s="73"/>
      <c r="R350" s="93"/>
      <c r="S350" s="90"/>
      <c r="T350" s="90"/>
      <c r="U350" s="90" t="s">
        <v>105</v>
      </c>
      <c r="V350" s="72"/>
      <c r="W350" s="99" t="s">
        <v>384</v>
      </c>
      <c r="X350" s="258">
        <f>LstMachines[[#This Row],[Delivery]]</f>
        <v>43631</v>
      </c>
      <c r="Y350" s="258" t="str">
        <f xml:space="preserve"> IF(MONTH(LstMachines[[#This Row],[DateLivr]])&lt;10,"0","") &amp; MONTH(LstMachines[[#This Row],[DateLivr]]) &amp;"-"&amp;YEAR(LstMachines[[#This Row],[DateLivr]])</f>
        <v>06-2019</v>
      </c>
      <c r="Z350" s="258">
        <f>LstMachines[[#This Row],[Delivery]]+Rglt_à_HCME</f>
        <v>43691</v>
      </c>
      <c r="AA350" s="258" t="str">
        <f xml:space="preserve"> IF(MONTH(LstMachines[[#This Row],[DatePaie]])&lt;10,"0","") &amp; MONTH(LstMachines[[#This Row],[DatePaie]])&amp;"-"&amp;YEAR(LstMachines[[#This Row],[DatePaie]])</f>
        <v>08-2019</v>
      </c>
      <c r="AB350" s="258">
        <f>LstMachines[[#This Row],[DateLivr]]+1</f>
        <v>43632</v>
      </c>
      <c r="AC350" s="258" t="str">
        <f xml:space="preserve"> IF(MONTH(LstMachines[[#This Row],[Distrib]])&lt;10,"0","") &amp; MONTH(LstMachines[[#This Row],[Distrib]]) &amp; "-" &amp; YEAR(LstMachines[[#This Row],[Distrib]])</f>
        <v>06-2019</v>
      </c>
      <c r="AD350" s="258">
        <f>LstMachines[[#This Row],[DateLivr]]+Délai_Vente</f>
        <v>43751</v>
      </c>
      <c r="AE350" s="258" t="str">
        <f xml:space="preserve"> IF(MONTH(LstMachines[[#This Row],[VteESM]])&lt;10,"0","") &amp; MONTH(LstMachines[[#This Row],[VteESM]]) &amp; "-" &amp; YEAR(LstMachines[[#This Row],[VteESM]])</f>
        <v>10-2019</v>
      </c>
      <c r="AF350" s="258">
        <f>LstMachines[[#This Row],[DateLivr]]+Rglt_à_ESMTP</f>
        <v>43691</v>
      </c>
      <c r="AG350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50" s="258">
        <f>LstMachines[[#This Row],[VteESM]]+Rglt_à_ESMTP</f>
        <v>43811</v>
      </c>
      <c r="AI350" s="258" t="str">
        <f xml:space="preserve"> IF(MONTH(LstMachines[[#This Row],[RgltVteESM]])&lt;10,"0","") &amp; MONTH(LstMachines[[#This Row],[RgltVteESM]]) &amp; "-" &amp; YEAR(LstMachines[[#This Row],[RgltVteESM]])</f>
        <v>12-2019</v>
      </c>
      <c r="AJ350" s="140">
        <f>MONTH(LstMachines[[#This Row],[DatePaie]])</f>
        <v>8</v>
      </c>
      <c r="AK350" s="88" t="str">
        <f>FIXED(YEAR(LstMachines[[#This Row],[DatePaie]]),0,TRUE)</f>
        <v>2019</v>
      </c>
      <c r="AL350" s="140"/>
      <c r="AM350" s="415"/>
      <c r="AN350"/>
      <c r="AV350" s="93"/>
      <c r="AW350" s="92"/>
      <c r="AY350" s="92"/>
      <c r="AZ350" s="72"/>
      <c r="BA350" s="119"/>
      <c r="BB350" s="99"/>
      <c r="BC350" s="92"/>
      <c r="BD350" s="92"/>
      <c r="BE350" s="92"/>
    </row>
    <row r="351" spans="2:57" hidden="1">
      <c r="B351" s="104" t="s">
        <v>75</v>
      </c>
      <c r="C351" s="104" t="s">
        <v>35</v>
      </c>
      <c r="D351" s="87">
        <v>19</v>
      </c>
      <c r="E351" s="86"/>
      <c r="F351" s="87" t="s">
        <v>67</v>
      </c>
      <c r="G351" s="87" t="s">
        <v>107</v>
      </c>
      <c r="H351" s="89">
        <v>6</v>
      </c>
      <c r="I35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108</v>
      </c>
      <c r="J351" s="88">
        <v>43631</v>
      </c>
      <c r="K351" s="99" t="s">
        <v>461</v>
      </c>
      <c r="L351" s="85" t="s">
        <v>390</v>
      </c>
      <c r="M351" s="99"/>
      <c r="N351" s="90"/>
      <c r="O351" s="255">
        <f>MONTH(LstMachines[[#This Row],[Delivery]])</f>
        <v>6</v>
      </c>
      <c r="P351" s="256" t="str">
        <f>FIXED(YEAR(LstMachines[[#This Row],[Delivery]]),0,TRUE)</f>
        <v>2019</v>
      </c>
      <c r="Q351" s="73"/>
      <c r="R351" s="93"/>
      <c r="S351" s="90"/>
      <c r="T351" s="90"/>
      <c r="U351" s="90" t="s">
        <v>105</v>
      </c>
      <c r="V351" s="72"/>
      <c r="W351" s="99" t="s">
        <v>384</v>
      </c>
      <c r="X351" s="258">
        <f>LstMachines[[#This Row],[Delivery]]</f>
        <v>43631</v>
      </c>
      <c r="Y351" s="258" t="str">
        <f xml:space="preserve"> IF(MONTH(LstMachines[[#This Row],[DateLivr]])&lt;10,"0","") &amp; MONTH(LstMachines[[#This Row],[DateLivr]]) &amp;"-"&amp;YEAR(LstMachines[[#This Row],[DateLivr]])</f>
        <v>06-2019</v>
      </c>
      <c r="Z351" s="258">
        <f>LstMachines[[#This Row],[Delivery]]+Rglt_à_HCME</f>
        <v>43691</v>
      </c>
      <c r="AA351" s="258" t="str">
        <f xml:space="preserve"> IF(MONTH(LstMachines[[#This Row],[DatePaie]])&lt;10,"0","") &amp; MONTH(LstMachines[[#This Row],[DatePaie]])&amp;"-"&amp;YEAR(LstMachines[[#This Row],[DatePaie]])</f>
        <v>08-2019</v>
      </c>
      <c r="AB351" s="258">
        <f>LstMachines[[#This Row],[DateLivr]]+1</f>
        <v>43632</v>
      </c>
      <c r="AC351" s="258" t="str">
        <f xml:space="preserve"> IF(MONTH(LstMachines[[#This Row],[Distrib]])&lt;10,"0","") &amp; MONTH(LstMachines[[#This Row],[Distrib]]) &amp; "-" &amp; YEAR(LstMachines[[#This Row],[Distrib]])</f>
        <v>06-2019</v>
      </c>
      <c r="AD351" s="258">
        <f>LstMachines[[#This Row],[DateLivr]]+Délai_Vente</f>
        <v>43751</v>
      </c>
      <c r="AE351" s="258" t="str">
        <f xml:space="preserve"> IF(MONTH(LstMachines[[#This Row],[VteESM]])&lt;10,"0","") &amp; MONTH(LstMachines[[#This Row],[VteESM]]) &amp; "-" &amp; YEAR(LstMachines[[#This Row],[VteESM]])</f>
        <v>10-2019</v>
      </c>
      <c r="AF351" s="258">
        <f>LstMachines[[#This Row],[DateLivr]]+Rglt_à_ESMTP</f>
        <v>43691</v>
      </c>
      <c r="AG351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51" s="258">
        <f>LstMachines[[#This Row],[VteESM]]+Rglt_à_ESMTP</f>
        <v>43811</v>
      </c>
      <c r="AI351" s="258" t="str">
        <f xml:space="preserve"> IF(MONTH(LstMachines[[#This Row],[RgltVteESM]])&lt;10,"0","") &amp; MONTH(LstMachines[[#This Row],[RgltVteESM]]) &amp; "-" &amp; YEAR(LstMachines[[#This Row],[RgltVteESM]])</f>
        <v>12-2019</v>
      </c>
      <c r="AJ351" s="140">
        <f>MONTH(LstMachines[[#This Row],[DatePaie]])</f>
        <v>8</v>
      </c>
      <c r="AK351" s="88" t="str">
        <f>FIXED(YEAR(LstMachines[[#This Row],[DatePaie]]),0,TRUE)</f>
        <v>2019</v>
      </c>
      <c r="AL351" s="140"/>
      <c r="AM351" s="414"/>
      <c r="AN351"/>
      <c r="AO351" s="92"/>
      <c r="AP351" s="72"/>
      <c r="AQ351" s="119"/>
      <c r="AR351" s="99"/>
      <c r="AS351" s="92"/>
      <c r="AT351" s="92"/>
      <c r="AU351" s="92"/>
      <c r="AV351" s="92"/>
      <c r="AW351" s="92"/>
      <c r="AX351" s="92"/>
      <c r="AY351" s="92"/>
      <c r="BA351" s="92"/>
      <c r="BC351" s="92"/>
      <c r="BD351" s="92"/>
      <c r="BE351" s="92"/>
    </row>
    <row r="352" spans="2:57" hidden="1">
      <c r="B352" s="104" t="s">
        <v>75</v>
      </c>
      <c r="C352" s="104" t="s">
        <v>69</v>
      </c>
      <c r="D352" s="87">
        <v>55</v>
      </c>
      <c r="E352" s="86"/>
      <c r="F352" s="87" t="s">
        <v>67</v>
      </c>
      <c r="G352" s="87" t="s">
        <v>107</v>
      </c>
      <c r="H352" s="89">
        <v>4</v>
      </c>
      <c r="I35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172</v>
      </c>
      <c r="J352" s="88">
        <v>43631</v>
      </c>
      <c r="K352" s="99" t="s">
        <v>461</v>
      </c>
      <c r="L352" s="85" t="s">
        <v>390</v>
      </c>
      <c r="M352" s="99"/>
      <c r="N352" s="90"/>
      <c r="O352" s="255">
        <f>MONTH(LstMachines[[#This Row],[Delivery]])</f>
        <v>6</v>
      </c>
      <c r="P352" s="256" t="str">
        <f>FIXED(YEAR(LstMachines[[#This Row],[Delivery]]),0,TRUE)</f>
        <v>2019</v>
      </c>
      <c r="Q352" s="73"/>
      <c r="R352" s="93"/>
      <c r="S352" s="90"/>
      <c r="T352" s="90"/>
      <c r="U352" s="90" t="s">
        <v>105</v>
      </c>
      <c r="V352" s="72"/>
      <c r="W352" s="99" t="s">
        <v>384</v>
      </c>
      <c r="X352" s="258">
        <f>LstMachines[[#This Row],[Delivery]]</f>
        <v>43631</v>
      </c>
      <c r="Y352" s="258" t="str">
        <f xml:space="preserve"> IF(MONTH(LstMachines[[#This Row],[DateLivr]])&lt;10,"0","") &amp; MONTH(LstMachines[[#This Row],[DateLivr]]) &amp;"-"&amp;YEAR(LstMachines[[#This Row],[DateLivr]])</f>
        <v>06-2019</v>
      </c>
      <c r="Z352" s="258">
        <f>LstMachines[[#This Row],[Delivery]]+Rglt_à_HCME</f>
        <v>43691</v>
      </c>
      <c r="AA352" s="258" t="str">
        <f xml:space="preserve"> IF(MONTH(LstMachines[[#This Row],[DatePaie]])&lt;10,"0","") &amp; MONTH(LstMachines[[#This Row],[DatePaie]])&amp;"-"&amp;YEAR(LstMachines[[#This Row],[DatePaie]])</f>
        <v>08-2019</v>
      </c>
      <c r="AB352" s="258">
        <f>LstMachines[[#This Row],[DateLivr]]+1</f>
        <v>43632</v>
      </c>
      <c r="AC352" s="258" t="str">
        <f xml:space="preserve"> IF(MONTH(LstMachines[[#This Row],[Distrib]])&lt;10,"0","") &amp; MONTH(LstMachines[[#This Row],[Distrib]]) &amp; "-" &amp; YEAR(LstMachines[[#This Row],[Distrib]])</f>
        <v>06-2019</v>
      </c>
      <c r="AD352" s="258">
        <f>LstMachines[[#This Row],[DateLivr]]+Délai_Vente</f>
        <v>43751</v>
      </c>
      <c r="AE352" s="258" t="str">
        <f xml:space="preserve"> IF(MONTH(LstMachines[[#This Row],[VteESM]])&lt;10,"0","") &amp; MONTH(LstMachines[[#This Row],[VteESM]]) &amp; "-" &amp; YEAR(LstMachines[[#This Row],[VteESM]])</f>
        <v>10-2019</v>
      </c>
      <c r="AF352" s="258">
        <f>LstMachines[[#This Row],[DateLivr]]+Rglt_à_ESMTP</f>
        <v>43691</v>
      </c>
      <c r="AG352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52" s="258">
        <f>LstMachines[[#This Row],[VteESM]]+Rglt_à_ESMTP</f>
        <v>43811</v>
      </c>
      <c r="AI352" s="258" t="str">
        <f xml:space="preserve"> IF(MONTH(LstMachines[[#This Row],[RgltVteESM]])&lt;10,"0","") &amp; MONTH(LstMachines[[#This Row],[RgltVteESM]]) &amp; "-" &amp; YEAR(LstMachines[[#This Row],[RgltVteESM]])</f>
        <v>12-2019</v>
      </c>
      <c r="AJ352" s="140">
        <f>MONTH(LstMachines[[#This Row],[DatePaie]])</f>
        <v>8</v>
      </c>
      <c r="AK352" s="88" t="str">
        <f>FIXED(YEAR(LstMachines[[#This Row],[DatePaie]]),0,TRUE)</f>
        <v>2019</v>
      </c>
      <c r="AL352" s="140"/>
      <c r="AM352" s="415"/>
      <c r="AN352"/>
      <c r="AV352" s="93"/>
      <c r="AW352" s="92"/>
      <c r="AY352" s="92"/>
      <c r="AZ352" s="72"/>
      <c r="BA352" s="119"/>
      <c r="BB352" s="99"/>
      <c r="BC352" s="92"/>
      <c r="BD352" s="92"/>
      <c r="BE352" s="92"/>
    </row>
    <row r="353" spans="2:57" hidden="1">
      <c r="B353" s="104" t="s">
        <v>75</v>
      </c>
      <c r="C353" s="104" t="s">
        <v>36</v>
      </c>
      <c r="D353" s="87">
        <v>26</v>
      </c>
      <c r="E353" s="86"/>
      <c r="F353" s="87" t="s">
        <v>67</v>
      </c>
      <c r="G353" s="87" t="s">
        <v>107</v>
      </c>
      <c r="H353" s="89">
        <v>8</v>
      </c>
      <c r="I35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176</v>
      </c>
      <c r="J353" s="88">
        <v>43631</v>
      </c>
      <c r="K353" s="99" t="s">
        <v>461</v>
      </c>
      <c r="L353" s="85" t="s">
        <v>390</v>
      </c>
      <c r="M353" s="99"/>
      <c r="N353" s="90"/>
      <c r="O353" s="255">
        <f>MONTH(LstMachines[[#This Row],[Delivery]])</f>
        <v>6</v>
      </c>
      <c r="P353" s="256" t="str">
        <f>FIXED(YEAR(LstMachines[[#This Row],[Delivery]]),0,TRUE)</f>
        <v>2019</v>
      </c>
      <c r="Q353" s="73"/>
      <c r="R353" s="93"/>
      <c r="S353" s="90"/>
      <c r="T353" s="90"/>
      <c r="U353" s="90" t="s">
        <v>105</v>
      </c>
      <c r="V353" s="72"/>
      <c r="W353" s="99" t="s">
        <v>384</v>
      </c>
      <c r="X353" s="258">
        <f>LstMachines[[#This Row],[Delivery]]</f>
        <v>43631</v>
      </c>
      <c r="Y353" s="258" t="str">
        <f xml:space="preserve"> IF(MONTH(LstMachines[[#This Row],[DateLivr]])&lt;10,"0","") &amp; MONTH(LstMachines[[#This Row],[DateLivr]]) &amp;"-"&amp;YEAR(LstMachines[[#This Row],[DateLivr]])</f>
        <v>06-2019</v>
      </c>
      <c r="Z353" s="258">
        <f>LstMachines[[#This Row],[Delivery]]+Rglt_à_HCME</f>
        <v>43691</v>
      </c>
      <c r="AA353" s="258" t="str">
        <f xml:space="preserve"> IF(MONTH(LstMachines[[#This Row],[DatePaie]])&lt;10,"0","") &amp; MONTH(LstMachines[[#This Row],[DatePaie]])&amp;"-"&amp;YEAR(LstMachines[[#This Row],[DatePaie]])</f>
        <v>08-2019</v>
      </c>
      <c r="AB353" s="258">
        <f>LstMachines[[#This Row],[DateLivr]]+1</f>
        <v>43632</v>
      </c>
      <c r="AC353" s="258" t="str">
        <f xml:space="preserve"> IF(MONTH(LstMachines[[#This Row],[Distrib]])&lt;10,"0","") &amp; MONTH(LstMachines[[#This Row],[Distrib]]) &amp; "-" &amp; YEAR(LstMachines[[#This Row],[Distrib]])</f>
        <v>06-2019</v>
      </c>
      <c r="AD353" s="258">
        <f>LstMachines[[#This Row],[DateLivr]]+Délai_Vente</f>
        <v>43751</v>
      </c>
      <c r="AE353" s="258" t="str">
        <f xml:space="preserve"> IF(MONTH(LstMachines[[#This Row],[VteESM]])&lt;10,"0","") &amp; MONTH(LstMachines[[#This Row],[VteESM]]) &amp; "-" &amp; YEAR(LstMachines[[#This Row],[VteESM]])</f>
        <v>10-2019</v>
      </c>
      <c r="AF353" s="258">
        <f>LstMachines[[#This Row],[DateLivr]]+Rglt_à_ESMTP</f>
        <v>43691</v>
      </c>
      <c r="AG353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53" s="258">
        <f>LstMachines[[#This Row],[VteESM]]+Rglt_à_ESMTP</f>
        <v>43811</v>
      </c>
      <c r="AI353" s="258" t="str">
        <f xml:space="preserve"> IF(MONTH(LstMachines[[#This Row],[RgltVteESM]])&lt;10,"0","") &amp; MONTH(LstMachines[[#This Row],[RgltVteESM]]) &amp; "-" &amp; YEAR(LstMachines[[#This Row],[RgltVteESM]])</f>
        <v>12-2019</v>
      </c>
      <c r="AJ353" s="140">
        <f>MONTH(LstMachines[[#This Row],[DatePaie]])</f>
        <v>8</v>
      </c>
      <c r="AK353" s="88" t="str">
        <f>FIXED(YEAR(LstMachines[[#This Row],[DatePaie]]),0,TRUE)</f>
        <v>2019</v>
      </c>
      <c r="AL353" s="140"/>
      <c r="AM353" s="415"/>
      <c r="AN353"/>
      <c r="AV353" s="93"/>
      <c r="AW353" s="92"/>
      <c r="AY353" s="92"/>
      <c r="AZ353" s="72"/>
      <c r="BA353" s="119"/>
      <c r="BB353" s="99"/>
      <c r="BC353" s="92"/>
      <c r="BD353" s="92"/>
      <c r="BE353" s="92"/>
    </row>
    <row r="354" spans="2:57" hidden="1">
      <c r="B354" s="104" t="s">
        <v>75</v>
      </c>
      <c r="C354" s="104" t="s">
        <v>38</v>
      </c>
      <c r="D354" s="87">
        <v>65</v>
      </c>
      <c r="E354" s="86"/>
      <c r="F354" s="87" t="s">
        <v>67</v>
      </c>
      <c r="G354" s="87" t="s">
        <v>107</v>
      </c>
      <c r="H354" s="89">
        <v>4</v>
      </c>
      <c r="I35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180</v>
      </c>
      <c r="J354" s="88">
        <v>43631</v>
      </c>
      <c r="K354" s="99" t="s">
        <v>461</v>
      </c>
      <c r="L354" s="85" t="s">
        <v>390</v>
      </c>
      <c r="M354" s="99"/>
      <c r="N354" s="90"/>
      <c r="O354" s="255">
        <f>MONTH(LstMachines[[#This Row],[Delivery]])</f>
        <v>6</v>
      </c>
      <c r="P354" s="256" t="str">
        <f>FIXED(YEAR(LstMachines[[#This Row],[Delivery]]),0,TRUE)</f>
        <v>2019</v>
      </c>
      <c r="Q354" s="73"/>
      <c r="R354" s="93"/>
      <c r="S354" s="90"/>
      <c r="T354" s="90"/>
      <c r="U354" s="90" t="s">
        <v>105</v>
      </c>
      <c r="V354" s="72"/>
      <c r="W354" s="99" t="s">
        <v>384</v>
      </c>
      <c r="X354" s="258">
        <f>LstMachines[[#This Row],[Delivery]]</f>
        <v>43631</v>
      </c>
      <c r="Y354" s="258" t="str">
        <f xml:space="preserve"> IF(MONTH(LstMachines[[#This Row],[DateLivr]])&lt;10,"0","") &amp; MONTH(LstMachines[[#This Row],[DateLivr]]) &amp;"-"&amp;YEAR(LstMachines[[#This Row],[DateLivr]])</f>
        <v>06-2019</v>
      </c>
      <c r="Z354" s="258">
        <f>LstMachines[[#This Row],[Delivery]]+Rglt_à_HCME</f>
        <v>43691</v>
      </c>
      <c r="AA354" s="258" t="str">
        <f xml:space="preserve"> IF(MONTH(LstMachines[[#This Row],[DatePaie]])&lt;10,"0","") &amp; MONTH(LstMachines[[#This Row],[DatePaie]])&amp;"-"&amp;YEAR(LstMachines[[#This Row],[DatePaie]])</f>
        <v>08-2019</v>
      </c>
      <c r="AB354" s="258">
        <f>LstMachines[[#This Row],[DateLivr]]+1</f>
        <v>43632</v>
      </c>
      <c r="AC354" s="258" t="str">
        <f xml:space="preserve"> IF(MONTH(LstMachines[[#This Row],[Distrib]])&lt;10,"0","") &amp; MONTH(LstMachines[[#This Row],[Distrib]]) &amp; "-" &amp; YEAR(LstMachines[[#This Row],[Distrib]])</f>
        <v>06-2019</v>
      </c>
      <c r="AD354" s="258">
        <f>LstMachines[[#This Row],[DateLivr]]+Délai_Vente</f>
        <v>43751</v>
      </c>
      <c r="AE354" s="258" t="str">
        <f xml:space="preserve"> IF(MONTH(LstMachines[[#This Row],[VteESM]])&lt;10,"0","") &amp; MONTH(LstMachines[[#This Row],[VteESM]]) &amp; "-" &amp; YEAR(LstMachines[[#This Row],[VteESM]])</f>
        <v>10-2019</v>
      </c>
      <c r="AF354" s="258">
        <f>LstMachines[[#This Row],[DateLivr]]+Rglt_à_ESMTP</f>
        <v>43691</v>
      </c>
      <c r="AG354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54" s="258">
        <f>LstMachines[[#This Row],[VteESM]]+Rglt_à_ESMTP</f>
        <v>43811</v>
      </c>
      <c r="AI354" s="258" t="str">
        <f xml:space="preserve"> IF(MONTH(LstMachines[[#This Row],[RgltVteESM]])&lt;10,"0","") &amp; MONTH(LstMachines[[#This Row],[RgltVteESM]]) &amp; "-" &amp; YEAR(LstMachines[[#This Row],[RgltVteESM]])</f>
        <v>12-2019</v>
      </c>
      <c r="AJ354" s="140">
        <f>MONTH(LstMachines[[#This Row],[DatePaie]])</f>
        <v>8</v>
      </c>
      <c r="AK354" s="88" t="str">
        <f>FIXED(YEAR(LstMachines[[#This Row],[DatePaie]]),0,TRUE)</f>
        <v>2019</v>
      </c>
      <c r="AL354" s="140"/>
      <c r="AM354" s="415"/>
      <c r="AN354"/>
      <c r="AV354" s="93"/>
      <c r="AW354" s="92"/>
      <c r="AY354" s="92"/>
      <c r="AZ354" s="72"/>
      <c r="BA354" s="119"/>
      <c r="BB354" s="99"/>
      <c r="BC354" s="92"/>
      <c r="BD354" s="92"/>
      <c r="BE354" s="92"/>
    </row>
    <row r="355" spans="2:57" hidden="1">
      <c r="B355" s="104" t="s">
        <v>262</v>
      </c>
      <c r="C355" s="104" t="s">
        <v>46</v>
      </c>
      <c r="D355" s="87">
        <v>350</v>
      </c>
      <c r="E355" s="86"/>
      <c r="F355" s="87" t="s">
        <v>67</v>
      </c>
      <c r="G355" s="87" t="s">
        <v>107</v>
      </c>
      <c r="H355" s="89">
        <v>1</v>
      </c>
      <c r="I35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188</v>
      </c>
      <c r="J355" s="88">
        <v>43631</v>
      </c>
      <c r="K355" s="99" t="s">
        <v>461</v>
      </c>
      <c r="L355" s="85" t="s">
        <v>390</v>
      </c>
      <c r="M355" s="99"/>
      <c r="N355" s="90"/>
      <c r="O355" s="255">
        <f>MONTH(LstMachines[[#This Row],[Delivery]])</f>
        <v>6</v>
      </c>
      <c r="P355" s="256" t="str">
        <f>FIXED(YEAR(LstMachines[[#This Row],[Delivery]]),0,TRUE)</f>
        <v>2019</v>
      </c>
      <c r="Q355" s="73"/>
      <c r="R355" s="93"/>
      <c r="S355" s="90"/>
      <c r="T355" s="90"/>
      <c r="U355" s="90" t="s">
        <v>105</v>
      </c>
      <c r="V355" s="72"/>
      <c r="W355" s="99" t="s">
        <v>384</v>
      </c>
      <c r="X355" s="258">
        <f>LstMachines[[#This Row],[Delivery]]</f>
        <v>43631</v>
      </c>
      <c r="Y355" s="258" t="str">
        <f xml:space="preserve"> IF(MONTH(LstMachines[[#This Row],[DateLivr]])&lt;10,"0","") &amp; MONTH(LstMachines[[#This Row],[DateLivr]]) &amp;"-"&amp;YEAR(LstMachines[[#This Row],[DateLivr]])</f>
        <v>06-2019</v>
      </c>
      <c r="Z355" s="258">
        <f>LstMachines[[#This Row],[Delivery]]+Rglt_à_HCME</f>
        <v>43691</v>
      </c>
      <c r="AA355" s="258" t="str">
        <f xml:space="preserve"> IF(MONTH(LstMachines[[#This Row],[DatePaie]])&lt;10,"0","") &amp; MONTH(LstMachines[[#This Row],[DatePaie]])&amp;"-"&amp;YEAR(LstMachines[[#This Row],[DatePaie]])</f>
        <v>08-2019</v>
      </c>
      <c r="AB355" s="258">
        <f>LstMachines[[#This Row],[DateLivr]]+1</f>
        <v>43632</v>
      </c>
      <c r="AC355" s="258" t="str">
        <f xml:space="preserve"> IF(MONTH(LstMachines[[#This Row],[Distrib]])&lt;10,"0","") &amp; MONTH(LstMachines[[#This Row],[Distrib]]) &amp; "-" &amp; YEAR(LstMachines[[#This Row],[Distrib]])</f>
        <v>06-2019</v>
      </c>
      <c r="AD355" s="258">
        <f>LstMachines[[#This Row],[DateLivr]]+Délai_Vente</f>
        <v>43751</v>
      </c>
      <c r="AE355" s="258" t="str">
        <f xml:space="preserve"> IF(MONTH(LstMachines[[#This Row],[VteESM]])&lt;10,"0","") &amp; MONTH(LstMachines[[#This Row],[VteESM]]) &amp; "-" &amp; YEAR(LstMachines[[#This Row],[VteESM]])</f>
        <v>10-2019</v>
      </c>
      <c r="AF355" s="258">
        <f>LstMachines[[#This Row],[DateLivr]]+Rglt_à_ESMTP</f>
        <v>43691</v>
      </c>
      <c r="AG355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55" s="258">
        <f>LstMachines[[#This Row],[VteESM]]+Rglt_à_ESMTP</f>
        <v>43811</v>
      </c>
      <c r="AI355" s="258" t="str">
        <f xml:space="preserve"> IF(MONTH(LstMachines[[#This Row],[RgltVteESM]])&lt;10,"0","") &amp; MONTH(LstMachines[[#This Row],[RgltVteESM]]) &amp; "-" &amp; YEAR(LstMachines[[#This Row],[RgltVteESM]])</f>
        <v>12-2019</v>
      </c>
      <c r="AJ355" s="140">
        <f>MONTH(LstMachines[[#This Row],[DatePaie]])</f>
        <v>8</v>
      </c>
      <c r="AK355" s="88" t="str">
        <f>FIXED(YEAR(LstMachines[[#This Row],[DatePaie]]),0,TRUE)</f>
        <v>2019</v>
      </c>
      <c r="AL355" s="140"/>
      <c r="AM355" s="415"/>
      <c r="AN355"/>
      <c r="AV355" s="93"/>
      <c r="AW355" s="92"/>
      <c r="AY355" s="92"/>
      <c r="AZ355" s="72"/>
      <c r="BA355" s="119"/>
      <c r="BB355" s="99"/>
      <c r="BC355" s="92"/>
      <c r="BD355" s="92"/>
      <c r="BE355" s="92"/>
    </row>
    <row r="356" spans="2:57" hidden="1">
      <c r="B356" s="104" t="s">
        <v>262</v>
      </c>
      <c r="C356" s="104" t="s">
        <v>47</v>
      </c>
      <c r="D356" s="87">
        <v>490</v>
      </c>
      <c r="E356" s="86"/>
      <c r="F356" s="87" t="s">
        <v>67</v>
      </c>
      <c r="G356" s="87" t="s">
        <v>107</v>
      </c>
      <c r="H356" s="89">
        <v>1</v>
      </c>
      <c r="I35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260</v>
      </c>
      <c r="J356" s="88">
        <v>43631</v>
      </c>
      <c r="K356" s="99" t="s">
        <v>461</v>
      </c>
      <c r="L356" s="85" t="s">
        <v>390</v>
      </c>
      <c r="M356" s="99"/>
      <c r="N356" s="90"/>
      <c r="O356" s="255">
        <f>MONTH(LstMachines[[#This Row],[Delivery]])</f>
        <v>6</v>
      </c>
      <c r="P356" s="256" t="str">
        <f>FIXED(YEAR(LstMachines[[#This Row],[Delivery]]),0,TRUE)</f>
        <v>2019</v>
      </c>
      <c r="Q356" s="73"/>
      <c r="R356" s="93"/>
      <c r="S356" s="90"/>
      <c r="T356" s="90"/>
      <c r="U356" s="90" t="s">
        <v>105</v>
      </c>
      <c r="V356" s="72"/>
      <c r="W356" s="99" t="s">
        <v>384</v>
      </c>
      <c r="X356" s="258">
        <f>LstMachines[[#This Row],[Delivery]]</f>
        <v>43631</v>
      </c>
      <c r="Y356" s="258" t="str">
        <f xml:space="preserve"> IF(MONTH(LstMachines[[#This Row],[DateLivr]])&lt;10,"0","") &amp; MONTH(LstMachines[[#This Row],[DateLivr]]) &amp;"-"&amp;YEAR(LstMachines[[#This Row],[DateLivr]])</f>
        <v>06-2019</v>
      </c>
      <c r="Z356" s="258">
        <f>LstMachines[[#This Row],[Delivery]]+Rglt_à_HCME</f>
        <v>43691</v>
      </c>
      <c r="AA356" s="258" t="str">
        <f xml:space="preserve"> IF(MONTH(LstMachines[[#This Row],[DatePaie]])&lt;10,"0","") &amp; MONTH(LstMachines[[#This Row],[DatePaie]])&amp;"-"&amp;YEAR(LstMachines[[#This Row],[DatePaie]])</f>
        <v>08-2019</v>
      </c>
      <c r="AB356" s="258">
        <f>LstMachines[[#This Row],[DateLivr]]+1</f>
        <v>43632</v>
      </c>
      <c r="AC356" s="258" t="str">
        <f xml:space="preserve"> IF(MONTH(LstMachines[[#This Row],[Distrib]])&lt;10,"0","") &amp; MONTH(LstMachines[[#This Row],[Distrib]]) &amp; "-" &amp; YEAR(LstMachines[[#This Row],[Distrib]])</f>
        <v>06-2019</v>
      </c>
      <c r="AD356" s="258">
        <f>LstMachines[[#This Row],[DateLivr]]+Délai_Vente</f>
        <v>43751</v>
      </c>
      <c r="AE356" s="258" t="str">
        <f xml:space="preserve"> IF(MONTH(LstMachines[[#This Row],[VteESM]])&lt;10,"0","") &amp; MONTH(LstMachines[[#This Row],[VteESM]]) &amp; "-" &amp; YEAR(LstMachines[[#This Row],[VteESM]])</f>
        <v>10-2019</v>
      </c>
      <c r="AF356" s="258">
        <f>LstMachines[[#This Row],[DateLivr]]+Rglt_à_ESMTP</f>
        <v>43691</v>
      </c>
      <c r="AG356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56" s="258">
        <f>LstMachines[[#This Row],[VteESM]]+Rglt_à_ESMTP</f>
        <v>43811</v>
      </c>
      <c r="AI356" s="258" t="str">
        <f xml:space="preserve"> IF(MONTH(LstMachines[[#This Row],[RgltVteESM]])&lt;10,"0","") &amp; MONTH(LstMachines[[#This Row],[RgltVteESM]]) &amp; "-" &amp; YEAR(LstMachines[[#This Row],[RgltVteESM]])</f>
        <v>12-2019</v>
      </c>
      <c r="AJ356" s="140">
        <f>MONTH(LstMachines[[#This Row],[DatePaie]])</f>
        <v>8</v>
      </c>
      <c r="AK356" s="88" t="str">
        <f>FIXED(YEAR(LstMachines[[#This Row],[DatePaie]]),0,TRUE)</f>
        <v>2019</v>
      </c>
      <c r="AL356" s="140"/>
      <c r="AM356" s="415"/>
      <c r="AN356"/>
      <c r="AV356" s="93"/>
      <c r="AW356" s="92"/>
      <c r="AY356" s="92"/>
      <c r="AZ356" s="72"/>
      <c r="BA356" s="119"/>
      <c r="BB356" s="99"/>
      <c r="BC356" s="92"/>
      <c r="BD356" s="92"/>
      <c r="BE356" s="92"/>
    </row>
    <row r="357" spans="2:57" hidden="1">
      <c r="B357" s="104" t="s">
        <v>262</v>
      </c>
      <c r="C357" s="104" t="s">
        <v>40</v>
      </c>
      <c r="D357" s="87">
        <v>135</v>
      </c>
      <c r="E357" s="86"/>
      <c r="F357" s="87" t="s">
        <v>67</v>
      </c>
      <c r="G357" s="87" t="s">
        <v>107</v>
      </c>
      <c r="H357" s="89">
        <v>3</v>
      </c>
      <c r="I35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306</v>
      </c>
      <c r="J357" s="88">
        <v>43631</v>
      </c>
      <c r="K357" s="99" t="s">
        <v>461</v>
      </c>
      <c r="L357" s="85" t="s">
        <v>390</v>
      </c>
      <c r="M357" s="99"/>
      <c r="N357" s="90"/>
      <c r="O357" s="255">
        <f>MONTH(LstMachines[[#This Row],[Delivery]])</f>
        <v>6</v>
      </c>
      <c r="P357" s="256" t="str">
        <f>FIXED(YEAR(LstMachines[[#This Row],[Delivery]]),0,TRUE)</f>
        <v>2019</v>
      </c>
      <c r="Q357" s="73"/>
      <c r="R357" s="93"/>
      <c r="S357" s="90"/>
      <c r="T357" s="90"/>
      <c r="U357" s="90" t="s">
        <v>105</v>
      </c>
      <c r="V357" s="72"/>
      <c r="W357" s="99" t="s">
        <v>384</v>
      </c>
      <c r="X357" s="258">
        <f>LstMachines[[#This Row],[Delivery]]</f>
        <v>43631</v>
      </c>
      <c r="Y357" s="258" t="str">
        <f xml:space="preserve"> IF(MONTH(LstMachines[[#This Row],[DateLivr]])&lt;10,"0","") &amp; MONTH(LstMachines[[#This Row],[DateLivr]]) &amp;"-"&amp;YEAR(LstMachines[[#This Row],[DateLivr]])</f>
        <v>06-2019</v>
      </c>
      <c r="Z357" s="258">
        <f>LstMachines[[#This Row],[Delivery]]+Rglt_à_HCME</f>
        <v>43691</v>
      </c>
      <c r="AA357" s="258" t="str">
        <f xml:space="preserve"> IF(MONTH(LstMachines[[#This Row],[DatePaie]])&lt;10,"0","") &amp; MONTH(LstMachines[[#This Row],[DatePaie]])&amp;"-"&amp;YEAR(LstMachines[[#This Row],[DatePaie]])</f>
        <v>08-2019</v>
      </c>
      <c r="AB357" s="258">
        <f>LstMachines[[#This Row],[DateLivr]]+1</f>
        <v>43632</v>
      </c>
      <c r="AC357" s="258" t="str">
        <f xml:space="preserve"> IF(MONTH(LstMachines[[#This Row],[Distrib]])&lt;10,"0","") &amp; MONTH(LstMachines[[#This Row],[Distrib]]) &amp; "-" &amp; YEAR(LstMachines[[#This Row],[Distrib]])</f>
        <v>06-2019</v>
      </c>
      <c r="AD357" s="258">
        <f>LstMachines[[#This Row],[DateLivr]]+Délai_Vente</f>
        <v>43751</v>
      </c>
      <c r="AE357" s="258" t="str">
        <f xml:space="preserve"> IF(MONTH(LstMachines[[#This Row],[VteESM]])&lt;10,"0","") &amp; MONTH(LstMachines[[#This Row],[VteESM]]) &amp; "-" &amp; YEAR(LstMachines[[#This Row],[VteESM]])</f>
        <v>10-2019</v>
      </c>
      <c r="AF357" s="258">
        <f>LstMachines[[#This Row],[DateLivr]]+Rglt_à_ESMTP</f>
        <v>43691</v>
      </c>
      <c r="AG357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57" s="258">
        <f>LstMachines[[#This Row],[VteESM]]+Rglt_à_ESMTP</f>
        <v>43811</v>
      </c>
      <c r="AI357" s="258" t="str">
        <f xml:space="preserve"> IF(MONTH(LstMachines[[#This Row],[RgltVteESM]])&lt;10,"0","") &amp; MONTH(LstMachines[[#This Row],[RgltVteESM]]) &amp; "-" &amp; YEAR(LstMachines[[#This Row],[RgltVteESM]])</f>
        <v>12-2019</v>
      </c>
      <c r="AJ357" s="140">
        <f>MONTH(LstMachines[[#This Row],[DatePaie]])</f>
        <v>8</v>
      </c>
      <c r="AK357" s="88" t="str">
        <f>FIXED(YEAR(LstMachines[[#This Row],[DatePaie]]),0,TRUE)</f>
        <v>2019</v>
      </c>
      <c r="AL357" s="140"/>
      <c r="AM357" s="415"/>
      <c r="AN357"/>
      <c r="AV357" s="93"/>
      <c r="AW357" s="92"/>
      <c r="AY357" s="92"/>
      <c r="AZ357" s="72"/>
      <c r="BA357" s="119"/>
      <c r="BB357" s="99"/>
      <c r="BC357" s="92"/>
      <c r="BD357" s="92"/>
      <c r="BE357" s="92"/>
    </row>
    <row r="358" spans="2:57" hidden="1">
      <c r="B358" s="104" t="s">
        <v>262</v>
      </c>
      <c r="C358" s="104" t="s">
        <v>43</v>
      </c>
      <c r="D358" s="87">
        <v>210</v>
      </c>
      <c r="E358" s="86"/>
      <c r="F358" s="87" t="s">
        <v>67</v>
      </c>
      <c r="G358" s="87" t="s">
        <v>107</v>
      </c>
      <c r="H358" s="89">
        <v>3</v>
      </c>
      <c r="I35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354</v>
      </c>
      <c r="J358" s="88">
        <v>43631</v>
      </c>
      <c r="K358" s="99" t="s">
        <v>461</v>
      </c>
      <c r="L358" s="85" t="s">
        <v>390</v>
      </c>
      <c r="M358" s="99"/>
      <c r="N358" s="90"/>
      <c r="O358" s="255">
        <f>MONTH(LstMachines[[#This Row],[Delivery]])</f>
        <v>6</v>
      </c>
      <c r="P358" s="256" t="str">
        <f>FIXED(YEAR(LstMachines[[#This Row],[Delivery]]),0,TRUE)</f>
        <v>2019</v>
      </c>
      <c r="Q358" s="73"/>
      <c r="R358" s="93"/>
      <c r="S358" s="90"/>
      <c r="T358" s="90"/>
      <c r="U358" s="90" t="s">
        <v>105</v>
      </c>
      <c r="V358" s="72"/>
      <c r="W358" s="99" t="s">
        <v>384</v>
      </c>
      <c r="X358" s="258">
        <f>LstMachines[[#This Row],[Delivery]]</f>
        <v>43631</v>
      </c>
      <c r="Y358" s="258" t="str">
        <f xml:space="preserve"> IF(MONTH(LstMachines[[#This Row],[DateLivr]])&lt;10,"0","") &amp; MONTH(LstMachines[[#This Row],[DateLivr]]) &amp;"-"&amp;YEAR(LstMachines[[#This Row],[DateLivr]])</f>
        <v>06-2019</v>
      </c>
      <c r="Z358" s="258">
        <f>LstMachines[[#This Row],[Delivery]]+Rglt_à_HCME</f>
        <v>43691</v>
      </c>
      <c r="AA358" s="258" t="str">
        <f xml:space="preserve"> IF(MONTH(LstMachines[[#This Row],[DatePaie]])&lt;10,"0","") &amp; MONTH(LstMachines[[#This Row],[DatePaie]])&amp;"-"&amp;YEAR(LstMachines[[#This Row],[DatePaie]])</f>
        <v>08-2019</v>
      </c>
      <c r="AB358" s="258">
        <f>LstMachines[[#This Row],[DateLivr]]+1</f>
        <v>43632</v>
      </c>
      <c r="AC358" s="258" t="str">
        <f xml:space="preserve"> IF(MONTH(LstMachines[[#This Row],[Distrib]])&lt;10,"0","") &amp; MONTH(LstMachines[[#This Row],[Distrib]]) &amp; "-" &amp; YEAR(LstMachines[[#This Row],[Distrib]])</f>
        <v>06-2019</v>
      </c>
      <c r="AD358" s="258">
        <f>LstMachines[[#This Row],[DateLivr]]+Délai_Vente</f>
        <v>43751</v>
      </c>
      <c r="AE358" s="258" t="str">
        <f xml:space="preserve"> IF(MONTH(LstMachines[[#This Row],[VteESM]])&lt;10,"0","") &amp; MONTH(LstMachines[[#This Row],[VteESM]]) &amp; "-" &amp; YEAR(LstMachines[[#This Row],[VteESM]])</f>
        <v>10-2019</v>
      </c>
      <c r="AF358" s="258">
        <f>LstMachines[[#This Row],[DateLivr]]+Rglt_à_ESMTP</f>
        <v>43691</v>
      </c>
      <c r="AG358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58" s="258">
        <f>LstMachines[[#This Row],[VteESM]]+Rglt_à_ESMTP</f>
        <v>43811</v>
      </c>
      <c r="AI358" s="258" t="str">
        <f xml:space="preserve"> IF(MONTH(LstMachines[[#This Row],[RgltVteESM]])&lt;10,"0","") &amp; MONTH(LstMachines[[#This Row],[RgltVteESM]]) &amp; "-" &amp; YEAR(LstMachines[[#This Row],[RgltVteESM]])</f>
        <v>12-2019</v>
      </c>
      <c r="AJ358" s="140">
        <f>MONTH(LstMachines[[#This Row],[DatePaie]])</f>
        <v>8</v>
      </c>
      <c r="AK358" s="88" t="str">
        <f>FIXED(YEAR(LstMachines[[#This Row],[DatePaie]]),0,TRUE)</f>
        <v>2019</v>
      </c>
      <c r="AL358" s="140"/>
      <c r="AM358" s="415"/>
      <c r="AN358"/>
      <c r="AV358" s="93"/>
      <c r="AW358" s="92"/>
      <c r="AY358" s="92"/>
      <c r="AZ358" s="72"/>
      <c r="BA358" s="119"/>
      <c r="BB358" s="99"/>
      <c r="BC358" s="92"/>
      <c r="BD358" s="92"/>
      <c r="BE358" s="92"/>
    </row>
    <row r="359" spans="2:57" hidden="1">
      <c r="B359" s="104" t="s">
        <v>262</v>
      </c>
      <c r="C359" s="104" t="s">
        <v>39</v>
      </c>
      <c r="D359" s="87">
        <v>85</v>
      </c>
      <c r="E359" s="86"/>
      <c r="F359" s="87" t="s">
        <v>67</v>
      </c>
      <c r="G359" s="87" t="s">
        <v>107</v>
      </c>
      <c r="H359" s="89">
        <v>6</v>
      </c>
      <c r="I35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384</v>
      </c>
      <c r="J359" s="88">
        <v>43631</v>
      </c>
      <c r="K359" s="99" t="s">
        <v>461</v>
      </c>
      <c r="L359" s="85" t="s">
        <v>390</v>
      </c>
      <c r="M359" s="99"/>
      <c r="N359" s="90"/>
      <c r="O359" s="255">
        <f>MONTH(LstMachines[[#This Row],[Delivery]])</f>
        <v>6</v>
      </c>
      <c r="P359" s="256" t="str">
        <f>FIXED(YEAR(LstMachines[[#This Row],[Delivery]]),0,TRUE)</f>
        <v>2019</v>
      </c>
      <c r="Q359" s="73"/>
      <c r="R359" s="93"/>
      <c r="S359" s="90"/>
      <c r="T359" s="90"/>
      <c r="U359" s="90" t="s">
        <v>105</v>
      </c>
      <c r="V359" s="72"/>
      <c r="W359" s="99" t="s">
        <v>384</v>
      </c>
      <c r="X359" s="258">
        <f>LstMachines[[#This Row],[Delivery]]</f>
        <v>43631</v>
      </c>
      <c r="Y359" s="258" t="str">
        <f xml:space="preserve"> IF(MONTH(LstMachines[[#This Row],[DateLivr]])&lt;10,"0","") &amp; MONTH(LstMachines[[#This Row],[DateLivr]]) &amp;"-"&amp;YEAR(LstMachines[[#This Row],[DateLivr]])</f>
        <v>06-2019</v>
      </c>
      <c r="Z359" s="258">
        <f>LstMachines[[#This Row],[Delivery]]+Rglt_à_HCME</f>
        <v>43691</v>
      </c>
      <c r="AA359" s="258" t="str">
        <f xml:space="preserve"> IF(MONTH(LstMachines[[#This Row],[DatePaie]])&lt;10,"0","") &amp; MONTH(LstMachines[[#This Row],[DatePaie]])&amp;"-"&amp;YEAR(LstMachines[[#This Row],[DatePaie]])</f>
        <v>08-2019</v>
      </c>
      <c r="AB359" s="258">
        <f>LstMachines[[#This Row],[DateLivr]]+1</f>
        <v>43632</v>
      </c>
      <c r="AC359" s="258" t="str">
        <f xml:space="preserve"> IF(MONTH(LstMachines[[#This Row],[Distrib]])&lt;10,"0","") &amp; MONTH(LstMachines[[#This Row],[Distrib]]) &amp; "-" &amp; YEAR(LstMachines[[#This Row],[Distrib]])</f>
        <v>06-2019</v>
      </c>
      <c r="AD359" s="258">
        <f>LstMachines[[#This Row],[DateLivr]]+Délai_Vente</f>
        <v>43751</v>
      </c>
      <c r="AE359" s="258" t="str">
        <f xml:space="preserve"> IF(MONTH(LstMachines[[#This Row],[VteESM]])&lt;10,"0","") &amp; MONTH(LstMachines[[#This Row],[VteESM]]) &amp; "-" &amp; YEAR(LstMachines[[#This Row],[VteESM]])</f>
        <v>10-2019</v>
      </c>
      <c r="AF359" s="258">
        <f>LstMachines[[#This Row],[DateLivr]]+Rglt_à_ESMTP</f>
        <v>43691</v>
      </c>
      <c r="AG359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59" s="258">
        <f>LstMachines[[#This Row],[VteESM]]+Rglt_à_ESMTP</f>
        <v>43811</v>
      </c>
      <c r="AI359" s="258" t="str">
        <f xml:space="preserve"> IF(MONTH(LstMachines[[#This Row],[RgltVteESM]])&lt;10,"0","") &amp; MONTH(LstMachines[[#This Row],[RgltVteESM]]) &amp; "-" &amp; YEAR(LstMachines[[#This Row],[RgltVteESM]])</f>
        <v>12-2019</v>
      </c>
      <c r="AJ359" s="140">
        <f>MONTH(LstMachines[[#This Row],[DatePaie]])</f>
        <v>8</v>
      </c>
      <c r="AK359" s="88" t="str">
        <f>FIXED(YEAR(LstMachines[[#This Row],[DatePaie]]),0,TRUE)</f>
        <v>2019</v>
      </c>
      <c r="AL359" s="140"/>
      <c r="AM359" s="415"/>
      <c r="AN359"/>
      <c r="AV359" s="93"/>
      <c r="AW359" s="92"/>
      <c r="AY359" s="92"/>
      <c r="AZ359" s="72"/>
      <c r="BA359" s="119"/>
      <c r="BB359" s="99"/>
      <c r="BC359" s="92"/>
      <c r="BD359" s="92"/>
      <c r="BE359" s="92"/>
    </row>
    <row r="360" spans="2:57" hidden="1">
      <c r="B360" s="243" t="s">
        <v>75</v>
      </c>
      <c r="C360" s="243" t="s">
        <v>35</v>
      </c>
      <c r="D360" s="245">
        <v>19</v>
      </c>
      <c r="E360" s="243" t="s">
        <v>76</v>
      </c>
      <c r="F360" s="89" t="s">
        <v>468</v>
      </c>
      <c r="G360" s="89" t="s">
        <v>469</v>
      </c>
      <c r="H360" s="246">
        <v>1</v>
      </c>
      <c r="I360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360" s="88">
        <v>43631</v>
      </c>
      <c r="K360" s="248" t="s">
        <v>461</v>
      </c>
      <c r="L360" s="244" t="s">
        <v>470</v>
      </c>
      <c r="M360" s="248"/>
      <c r="N360" s="249"/>
      <c r="O360" s="270">
        <f>MONTH(LstMachines[[#This Row],[Delivery]])</f>
        <v>6</v>
      </c>
      <c r="P360" s="247" t="str">
        <f>FIXED(YEAR(LstMachines[[#This Row],[Delivery]]),0,TRUE)</f>
        <v>2019</v>
      </c>
      <c r="Q360" s="250"/>
      <c r="R360" s="251"/>
      <c r="S360" s="249"/>
      <c r="T360" s="249"/>
      <c r="U360" s="249"/>
      <c r="V360" s="246"/>
      <c r="W360" s="248"/>
      <c r="X360" s="249">
        <f>LstMachines[[#This Row],[Delivery]]</f>
        <v>43631</v>
      </c>
      <c r="Y360" s="271" t="str">
        <f xml:space="preserve"> IF(MONTH(LstMachines[[#This Row],[DateLivr]])&lt;10,"0","") &amp; MONTH(LstMachines[[#This Row],[DateLivr]]) &amp;"-"&amp;YEAR(LstMachines[[#This Row],[DateLivr]])</f>
        <v>06-2019</v>
      </c>
      <c r="Z360" s="247">
        <f>LstMachines[[#This Row],[Delivery]]+Rglt_à_HCME</f>
        <v>43691</v>
      </c>
      <c r="AA360" s="271" t="str">
        <f xml:space="preserve"> IF(MONTH(LstMachines[[#This Row],[DatePaie]])&lt;10,"0","") &amp; MONTH(LstMachines[[#This Row],[DatePaie]])&amp;"-"&amp;YEAR(LstMachines[[#This Row],[DatePaie]])</f>
        <v>08-2019</v>
      </c>
      <c r="AB360" s="271">
        <f>LstMachines[[#This Row],[DateLivr]]+1</f>
        <v>43632</v>
      </c>
      <c r="AC360" s="271" t="str">
        <f xml:space="preserve"> IF(MONTH(LstMachines[[#This Row],[Distrib]])&lt;10,"0","") &amp; MONTH(LstMachines[[#This Row],[Distrib]]) &amp; "-" &amp; YEAR(LstMachines[[#This Row],[Distrib]])</f>
        <v>06-2019</v>
      </c>
      <c r="AD360" s="271">
        <f>LstMachines[[#This Row],[DateLivr]]+Délai_Vente</f>
        <v>43751</v>
      </c>
      <c r="AE360" s="271" t="str">
        <f xml:space="preserve"> IF(MONTH(LstMachines[[#This Row],[VteESM]])&lt;10,"0","") &amp; MONTH(LstMachines[[#This Row],[VteESM]]) &amp; "-" &amp; YEAR(LstMachines[[#This Row],[VteESM]])</f>
        <v>10-2019</v>
      </c>
      <c r="AF360" s="271">
        <f>LstMachines[[#This Row],[DateLivr]]+Rglt_à_ESMTP</f>
        <v>43691</v>
      </c>
      <c r="AG360" s="271" t="str">
        <f xml:space="preserve"> IF(MONTH(LstMachines[[#This Row],[RgltDistrib]])&lt;10,"0","") &amp; MONTH(LstMachines[[#This Row],[RgltDistrib]]) &amp; "-" &amp; YEAR(LstMachines[[#This Row],[RgltDistrib]])</f>
        <v>08-2019</v>
      </c>
      <c r="AH360" s="271">
        <f>LstMachines[[#This Row],[VteESM]]+Rglt_à_ESMTP</f>
        <v>43811</v>
      </c>
      <c r="AI360" s="271" t="str">
        <f xml:space="preserve"> IF(MONTH(LstMachines[[#This Row],[RgltVteESM]])&lt;10,"0","") &amp; MONTH(LstMachines[[#This Row],[RgltVteESM]]) &amp; "-" &amp; YEAR(LstMachines[[#This Row],[RgltVteESM]])</f>
        <v>12-2019</v>
      </c>
      <c r="AJ360" s="270">
        <f>MONTH(LstMachines[[#This Row],[DatePaie]])</f>
        <v>8</v>
      </c>
      <c r="AK360" s="247" t="str">
        <f>FIXED(YEAR(LstMachines[[#This Row],[DatePaie]]),0,TRUE)</f>
        <v>2019</v>
      </c>
      <c r="AL360" s="270"/>
      <c r="AM360" s="415"/>
      <c r="AN360"/>
      <c r="AV360" s="93"/>
      <c r="AW360" s="92"/>
      <c r="AY360" s="92"/>
      <c r="AZ360" s="72"/>
      <c r="BA360" s="119"/>
      <c r="BB360" s="99"/>
      <c r="BC360" s="92"/>
      <c r="BD360" s="92"/>
      <c r="BE360" s="92"/>
    </row>
    <row r="361" spans="2:57" hidden="1">
      <c r="B361" s="243" t="s">
        <v>75</v>
      </c>
      <c r="C361" s="243" t="s">
        <v>38</v>
      </c>
      <c r="D361" s="245">
        <v>65</v>
      </c>
      <c r="E361" s="243" t="s">
        <v>364</v>
      </c>
      <c r="F361" s="89" t="s">
        <v>468</v>
      </c>
      <c r="G361" s="89" t="s">
        <v>469</v>
      </c>
      <c r="H361" s="246">
        <v>1</v>
      </c>
      <c r="I361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361" s="88">
        <v>43631</v>
      </c>
      <c r="K361" s="248" t="s">
        <v>461</v>
      </c>
      <c r="L361" s="244" t="s">
        <v>470</v>
      </c>
      <c r="M361" s="248"/>
      <c r="N361" s="249"/>
      <c r="O361" s="270">
        <f>MONTH(LstMachines[[#This Row],[Delivery]])</f>
        <v>6</v>
      </c>
      <c r="P361" s="247" t="str">
        <f>FIXED(YEAR(LstMachines[[#This Row],[Delivery]]),0,TRUE)</f>
        <v>2019</v>
      </c>
      <c r="Q361" s="250"/>
      <c r="R361" s="251"/>
      <c r="S361" s="249"/>
      <c r="T361" s="249"/>
      <c r="U361" s="249"/>
      <c r="V361" s="246"/>
      <c r="W361" s="248"/>
      <c r="X361" s="249">
        <f>LstMachines[[#This Row],[Delivery]]</f>
        <v>43631</v>
      </c>
      <c r="Y361" s="271" t="str">
        <f xml:space="preserve"> IF(MONTH(LstMachines[[#This Row],[DateLivr]])&lt;10,"0","") &amp; MONTH(LstMachines[[#This Row],[DateLivr]]) &amp;"-"&amp;YEAR(LstMachines[[#This Row],[DateLivr]])</f>
        <v>06-2019</v>
      </c>
      <c r="Z361" s="247">
        <f>LstMachines[[#This Row],[Delivery]]+Rglt_à_HCME</f>
        <v>43691</v>
      </c>
      <c r="AA361" s="271" t="str">
        <f xml:space="preserve"> IF(MONTH(LstMachines[[#This Row],[DatePaie]])&lt;10,"0","") &amp; MONTH(LstMachines[[#This Row],[DatePaie]])&amp;"-"&amp;YEAR(LstMachines[[#This Row],[DatePaie]])</f>
        <v>08-2019</v>
      </c>
      <c r="AB361" s="271">
        <f>LstMachines[[#This Row],[DateLivr]]+1</f>
        <v>43632</v>
      </c>
      <c r="AC361" s="271" t="str">
        <f xml:space="preserve"> IF(MONTH(LstMachines[[#This Row],[Distrib]])&lt;10,"0","") &amp; MONTH(LstMachines[[#This Row],[Distrib]]) &amp; "-" &amp; YEAR(LstMachines[[#This Row],[Distrib]])</f>
        <v>06-2019</v>
      </c>
      <c r="AD361" s="271">
        <f>LstMachines[[#This Row],[DateLivr]]+Délai_Vente</f>
        <v>43751</v>
      </c>
      <c r="AE361" s="271" t="str">
        <f xml:space="preserve"> IF(MONTH(LstMachines[[#This Row],[VteESM]])&lt;10,"0","") &amp; MONTH(LstMachines[[#This Row],[VteESM]]) &amp; "-" &amp; YEAR(LstMachines[[#This Row],[VteESM]])</f>
        <v>10-2019</v>
      </c>
      <c r="AF361" s="271">
        <f>LstMachines[[#This Row],[DateLivr]]+Rglt_à_ESMTP</f>
        <v>43691</v>
      </c>
      <c r="AG361" s="271" t="str">
        <f xml:space="preserve"> IF(MONTH(LstMachines[[#This Row],[RgltDistrib]])&lt;10,"0","") &amp; MONTH(LstMachines[[#This Row],[RgltDistrib]]) &amp; "-" &amp; YEAR(LstMachines[[#This Row],[RgltDistrib]])</f>
        <v>08-2019</v>
      </c>
      <c r="AH361" s="271">
        <f>LstMachines[[#This Row],[VteESM]]+Rglt_à_ESMTP</f>
        <v>43811</v>
      </c>
      <c r="AI361" s="271" t="str">
        <f xml:space="preserve"> IF(MONTH(LstMachines[[#This Row],[RgltVteESM]])&lt;10,"0","") &amp; MONTH(LstMachines[[#This Row],[RgltVteESM]]) &amp; "-" &amp; YEAR(LstMachines[[#This Row],[RgltVteESM]])</f>
        <v>12-2019</v>
      </c>
      <c r="AJ361" s="270">
        <f>MONTH(LstMachines[[#This Row],[DatePaie]])</f>
        <v>8</v>
      </c>
      <c r="AK361" s="247" t="str">
        <f>FIXED(YEAR(LstMachines[[#This Row],[DatePaie]]),0,TRUE)</f>
        <v>2019</v>
      </c>
      <c r="AL361" s="270"/>
      <c r="AM361" s="415"/>
      <c r="AN361"/>
      <c r="AV361" s="93"/>
      <c r="AW361" s="92"/>
      <c r="AY361" s="92"/>
      <c r="AZ361" s="72"/>
      <c r="BA361" s="119"/>
      <c r="BB361" s="99"/>
      <c r="BC361" s="92"/>
      <c r="BD361" s="92"/>
      <c r="BE361" s="92"/>
    </row>
    <row r="362" spans="2:57" hidden="1">
      <c r="B362" s="243" t="s">
        <v>262</v>
      </c>
      <c r="C362" s="243" t="s">
        <v>40</v>
      </c>
      <c r="D362" s="245">
        <v>135</v>
      </c>
      <c r="E362" s="243" t="s">
        <v>194</v>
      </c>
      <c r="F362" s="89" t="s">
        <v>468</v>
      </c>
      <c r="G362" s="89" t="s">
        <v>469</v>
      </c>
      <c r="H362" s="246">
        <v>1</v>
      </c>
      <c r="I362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362" s="88">
        <v>43631</v>
      </c>
      <c r="K362" s="248" t="s">
        <v>461</v>
      </c>
      <c r="L362" s="244" t="s">
        <v>470</v>
      </c>
      <c r="M362" s="248"/>
      <c r="N362" s="249"/>
      <c r="O362" s="270">
        <f>MONTH(LstMachines[[#This Row],[Delivery]])</f>
        <v>6</v>
      </c>
      <c r="P362" s="247" t="str">
        <f>FIXED(YEAR(LstMachines[[#This Row],[Delivery]]),0,TRUE)</f>
        <v>2019</v>
      </c>
      <c r="Q362" s="250"/>
      <c r="R362" s="251"/>
      <c r="S362" s="249"/>
      <c r="T362" s="249"/>
      <c r="U362" s="249"/>
      <c r="V362" s="246"/>
      <c r="W362" s="248"/>
      <c r="X362" s="249">
        <f>LstMachines[[#This Row],[Delivery]]</f>
        <v>43631</v>
      </c>
      <c r="Y362" s="271" t="str">
        <f xml:space="preserve"> IF(MONTH(LstMachines[[#This Row],[DateLivr]])&lt;10,"0","") &amp; MONTH(LstMachines[[#This Row],[DateLivr]]) &amp;"-"&amp;YEAR(LstMachines[[#This Row],[DateLivr]])</f>
        <v>06-2019</v>
      </c>
      <c r="Z362" s="247">
        <f>LstMachines[[#This Row],[Delivery]]+Rglt_à_HCME</f>
        <v>43691</v>
      </c>
      <c r="AA362" s="271" t="str">
        <f xml:space="preserve"> IF(MONTH(LstMachines[[#This Row],[DatePaie]])&lt;10,"0","") &amp; MONTH(LstMachines[[#This Row],[DatePaie]])&amp;"-"&amp;YEAR(LstMachines[[#This Row],[DatePaie]])</f>
        <v>08-2019</v>
      </c>
      <c r="AB362" s="271">
        <f>LstMachines[[#This Row],[DateLivr]]+1</f>
        <v>43632</v>
      </c>
      <c r="AC362" s="271" t="str">
        <f xml:space="preserve"> IF(MONTH(LstMachines[[#This Row],[Distrib]])&lt;10,"0","") &amp; MONTH(LstMachines[[#This Row],[Distrib]]) &amp; "-" &amp; YEAR(LstMachines[[#This Row],[Distrib]])</f>
        <v>06-2019</v>
      </c>
      <c r="AD362" s="271">
        <f>LstMachines[[#This Row],[DateLivr]]+Délai_Vente</f>
        <v>43751</v>
      </c>
      <c r="AE362" s="271" t="str">
        <f xml:space="preserve"> IF(MONTH(LstMachines[[#This Row],[VteESM]])&lt;10,"0","") &amp; MONTH(LstMachines[[#This Row],[VteESM]]) &amp; "-" &amp; YEAR(LstMachines[[#This Row],[VteESM]])</f>
        <v>10-2019</v>
      </c>
      <c r="AF362" s="271">
        <f>LstMachines[[#This Row],[DateLivr]]+Rglt_à_ESMTP</f>
        <v>43691</v>
      </c>
      <c r="AG362" s="271" t="str">
        <f xml:space="preserve"> IF(MONTH(LstMachines[[#This Row],[RgltDistrib]])&lt;10,"0","") &amp; MONTH(LstMachines[[#This Row],[RgltDistrib]]) &amp; "-" &amp; YEAR(LstMachines[[#This Row],[RgltDistrib]])</f>
        <v>08-2019</v>
      </c>
      <c r="AH362" s="271">
        <f>LstMachines[[#This Row],[VteESM]]+Rglt_à_ESMTP</f>
        <v>43811</v>
      </c>
      <c r="AI362" s="271" t="str">
        <f xml:space="preserve"> IF(MONTH(LstMachines[[#This Row],[RgltVteESM]])&lt;10,"0","") &amp; MONTH(LstMachines[[#This Row],[RgltVteESM]]) &amp; "-" &amp; YEAR(LstMachines[[#This Row],[RgltVteESM]])</f>
        <v>12-2019</v>
      </c>
      <c r="AJ362" s="270">
        <f>MONTH(LstMachines[[#This Row],[DatePaie]])</f>
        <v>8</v>
      </c>
      <c r="AK362" s="247" t="str">
        <f>FIXED(YEAR(LstMachines[[#This Row],[DatePaie]]),0,TRUE)</f>
        <v>2019</v>
      </c>
      <c r="AL362" s="270"/>
      <c r="AM362" s="415"/>
      <c r="AN362"/>
      <c r="AV362" s="93"/>
      <c r="AW362" s="92"/>
      <c r="AY362" s="92"/>
      <c r="AZ362" s="72"/>
      <c r="BA362" s="119"/>
      <c r="BB362" s="99"/>
      <c r="BC362" s="92"/>
      <c r="BD362" s="92"/>
      <c r="BE362" s="92"/>
    </row>
    <row r="363" spans="2:57" hidden="1">
      <c r="B363" s="243" t="s">
        <v>262</v>
      </c>
      <c r="C363" s="243" t="s">
        <v>40</v>
      </c>
      <c r="D363" s="245">
        <v>135</v>
      </c>
      <c r="E363" s="243" t="s">
        <v>194</v>
      </c>
      <c r="F363" s="89" t="s">
        <v>468</v>
      </c>
      <c r="G363" s="89" t="s">
        <v>469</v>
      </c>
      <c r="H363" s="246">
        <v>1</v>
      </c>
      <c r="I363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363" s="88">
        <v>43631</v>
      </c>
      <c r="K363" s="248" t="s">
        <v>461</v>
      </c>
      <c r="L363" s="244" t="s">
        <v>470</v>
      </c>
      <c r="M363" s="248"/>
      <c r="N363" s="249"/>
      <c r="O363" s="270">
        <f>MONTH(LstMachines[[#This Row],[Delivery]])</f>
        <v>6</v>
      </c>
      <c r="P363" s="247" t="str">
        <f>FIXED(YEAR(LstMachines[[#This Row],[Delivery]]),0,TRUE)</f>
        <v>2019</v>
      </c>
      <c r="Q363" s="250"/>
      <c r="R363" s="251"/>
      <c r="S363" s="249"/>
      <c r="T363" s="249"/>
      <c r="U363" s="249"/>
      <c r="V363" s="246"/>
      <c r="W363" s="248"/>
      <c r="X363" s="249">
        <f>LstMachines[[#This Row],[Delivery]]</f>
        <v>43631</v>
      </c>
      <c r="Y363" s="271" t="str">
        <f xml:space="preserve"> IF(MONTH(LstMachines[[#This Row],[DateLivr]])&lt;10,"0","") &amp; MONTH(LstMachines[[#This Row],[DateLivr]]) &amp;"-"&amp;YEAR(LstMachines[[#This Row],[DateLivr]])</f>
        <v>06-2019</v>
      </c>
      <c r="Z363" s="247">
        <f>LstMachines[[#This Row],[Delivery]]+Rglt_à_HCME</f>
        <v>43691</v>
      </c>
      <c r="AA363" s="271" t="str">
        <f xml:space="preserve"> IF(MONTH(LstMachines[[#This Row],[DatePaie]])&lt;10,"0","") &amp; MONTH(LstMachines[[#This Row],[DatePaie]])&amp;"-"&amp;YEAR(LstMachines[[#This Row],[DatePaie]])</f>
        <v>08-2019</v>
      </c>
      <c r="AB363" s="271">
        <f>LstMachines[[#This Row],[DateLivr]]+1</f>
        <v>43632</v>
      </c>
      <c r="AC363" s="271" t="str">
        <f xml:space="preserve"> IF(MONTH(LstMachines[[#This Row],[Distrib]])&lt;10,"0","") &amp; MONTH(LstMachines[[#This Row],[Distrib]]) &amp; "-" &amp; YEAR(LstMachines[[#This Row],[Distrib]])</f>
        <v>06-2019</v>
      </c>
      <c r="AD363" s="271">
        <f>LstMachines[[#This Row],[DateLivr]]+Délai_Vente</f>
        <v>43751</v>
      </c>
      <c r="AE363" s="271" t="str">
        <f xml:space="preserve"> IF(MONTH(LstMachines[[#This Row],[VteESM]])&lt;10,"0","") &amp; MONTH(LstMachines[[#This Row],[VteESM]]) &amp; "-" &amp; YEAR(LstMachines[[#This Row],[VteESM]])</f>
        <v>10-2019</v>
      </c>
      <c r="AF363" s="271">
        <f>LstMachines[[#This Row],[DateLivr]]+Rglt_à_ESMTP</f>
        <v>43691</v>
      </c>
      <c r="AG363" s="271" t="str">
        <f xml:space="preserve"> IF(MONTH(LstMachines[[#This Row],[RgltDistrib]])&lt;10,"0","") &amp; MONTH(LstMachines[[#This Row],[RgltDistrib]]) &amp; "-" &amp; YEAR(LstMachines[[#This Row],[RgltDistrib]])</f>
        <v>08-2019</v>
      </c>
      <c r="AH363" s="271">
        <f>LstMachines[[#This Row],[VteESM]]+Rglt_à_ESMTP</f>
        <v>43811</v>
      </c>
      <c r="AI363" s="271" t="str">
        <f xml:space="preserve"> IF(MONTH(LstMachines[[#This Row],[RgltVteESM]])&lt;10,"0","") &amp; MONTH(LstMachines[[#This Row],[RgltVteESM]]) &amp; "-" &amp; YEAR(LstMachines[[#This Row],[RgltVteESM]])</f>
        <v>12-2019</v>
      </c>
      <c r="AJ363" s="270">
        <f>MONTH(LstMachines[[#This Row],[DatePaie]])</f>
        <v>8</v>
      </c>
      <c r="AK363" s="247" t="str">
        <f>FIXED(YEAR(LstMachines[[#This Row],[DatePaie]]),0,TRUE)</f>
        <v>2019</v>
      </c>
      <c r="AL363" s="270"/>
      <c r="AM363" s="415"/>
      <c r="AN363"/>
      <c r="AV363" s="93"/>
      <c r="AW363" s="92"/>
      <c r="AY363" s="92"/>
      <c r="AZ363" s="72"/>
      <c r="BA363" s="119"/>
      <c r="BB363" s="99"/>
      <c r="BC363" s="92"/>
      <c r="BD363" s="92"/>
      <c r="BE363" s="92"/>
    </row>
    <row r="364" spans="2:57" hidden="1">
      <c r="B364" s="104" t="s">
        <v>75</v>
      </c>
      <c r="C364" s="104" t="s">
        <v>35</v>
      </c>
      <c r="D364" s="87">
        <v>19</v>
      </c>
      <c r="E364" s="104" t="s">
        <v>76</v>
      </c>
      <c r="F364" s="87" t="s">
        <v>297</v>
      </c>
      <c r="G364" s="87" t="s">
        <v>32</v>
      </c>
      <c r="H364" s="89">
        <v>1</v>
      </c>
      <c r="I36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364" s="88">
        <v>43631</v>
      </c>
      <c r="K364" s="99" t="s">
        <v>461</v>
      </c>
      <c r="L364" s="132" t="s">
        <v>387</v>
      </c>
      <c r="M364" s="99"/>
      <c r="N364" s="90"/>
      <c r="O364" s="255">
        <f>MONTH(LstMachines[[#This Row],[Delivery]])</f>
        <v>6</v>
      </c>
      <c r="P364" s="256" t="str">
        <f>FIXED(YEAR(LstMachines[[#This Row],[Delivery]]),0,TRUE)</f>
        <v>2019</v>
      </c>
      <c r="Q364" s="73"/>
      <c r="R364" s="93"/>
      <c r="S364" s="90"/>
      <c r="T364" s="90"/>
      <c r="U364" s="90" t="s">
        <v>104</v>
      </c>
      <c r="V364" s="72"/>
      <c r="W364" s="99" t="s">
        <v>383</v>
      </c>
      <c r="X364" s="258">
        <f>LstMachines[[#This Row],[Delivery]]</f>
        <v>43631</v>
      </c>
      <c r="Y364" s="258" t="str">
        <f xml:space="preserve"> IF(MONTH(LstMachines[[#This Row],[DateLivr]])&lt;10,"0","") &amp; MONTH(LstMachines[[#This Row],[DateLivr]]) &amp;"-"&amp;YEAR(LstMachines[[#This Row],[DateLivr]])</f>
        <v>06-2019</v>
      </c>
      <c r="Z364" s="258">
        <f>LstMachines[[#This Row],[Delivery]]+Rglt_à_HCME</f>
        <v>43691</v>
      </c>
      <c r="AA364" s="258" t="str">
        <f xml:space="preserve"> IF(MONTH(LstMachines[[#This Row],[DatePaie]])&lt;10,"0","") &amp; MONTH(LstMachines[[#This Row],[DatePaie]])&amp;"-"&amp;YEAR(LstMachines[[#This Row],[DatePaie]])</f>
        <v>08-2019</v>
      </c>
      <c r="AB364" s="258">
        <f>LstMachines[[#This Row],[DateLivr]]+1</f>
        <v>43632</v>
      </c>
      <c r="AC364" s="258" t="str">
        <f xml:space="preserve"> IF(MONTH(LstMachines[[#This Row],[Distrib]])&lt;10,"0","") &amp; MONTH(LstMachines[[#This Row],[Distrib]]) &amp; "-" &amp; YEAR(LstMachines[[#This Row],[Distrib]])</f>
        <v>06-2019</v>
      </c>
      <c r="AD364" s="258">
        <f>LstMachines[[#This Row],[DateLivr]]+Délai_Vente</f>
        <v>43751</v>
      </c>
      <c r="AE364" s="258" t="str">
        <f xml:space="preserve"> IF(MONTH(LstMachines[[#This Row],[VteESM]])&lt;10,"0","") &amp; MONTH(LstMachines[[#This Row],[VteESM]]) &amp; "-" &amp; YEAR(LstMachines[[#This Row],[VteESM]])</f>
        <v>10-2019</v>
      </c>
      <c r="AF364" s="258">
        <f>LstMachines[[#This Row],[DateLivr]]+Rglt_à_ESMTP</f>
        <v>43691</v>
      </c>
      <c r="AG364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64" s="258">
        <f>LstMachines[[#This Row],[VteESM]]+Rglt_à_ESMTP</f>
        <v>43811</v>
      </c>
      <c r="AI364" s="258" t="str">
        <f xml:space="preserve"> IF(MONTH(LstMachines[[#This Row],[RgltVteESM]])&lt;10,"0","") &amp; MONTH(LstMachines[[#This Row],[RgltVteESM]]) &amp; "-" &amp; YEAR(LstMachines[[#This Row],[RgltVteESM]])</f>
        <v>12-2019</v>
      </c>
      <c r="AJ364" s="140">
        <f>MONTH(LstMachines[[#This Row],[DatePaie]])</f>
        <v>8</v>
      </c>
      <c r="AK364" s="88" t="str">
        <f>FIXED(YEAR(LstMachines[[#This Row],[DatePaie]]),0,TRUE)</f>
        <v>2019</v>
      </c>
      <c r="AL364" s="140"/>
      <c r="AM364" s="415"/>
      <c r="AN364"/>
      <c r="AV364" s="93"/>
      <c r="AW364" s="92"/>
      <c r="AY364" s="92"/>
      <c r="AZ364" s="72"/>
      <c r="BA364" s="119"/>
      <c r="BB364" s="99"/>
      <c r="BC364" s="92"/>
      <c r="BD364" s="92"/>
      <c r="BE364" s="92"/>
    </row>
    <row r="365" spans="2:57" hidden="1">
      <c r="B365" s="104" t="s">
        <v>75</v>
      </c>
      <c r="C365" s="104" t="s">
        <v>35</v>
      </c>
      <c r="D365" s="87">
        <v>19</v>
      </c>
      <c r="E365" s="104" t="s">
        <v>76</v>
      </c>
      <c r="F365" s="87" t="s">
        <v>297</v>
      </c>
      <c r="G365" s="87" t="s">
        <v>32</v>
      </c>
      <c r="H365" s="89">
        <v>1</v>
      </c>
      <c r="I36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365" s="88">
        <v>43631</v>
      </c>
      <c r="K365" s="99" t="s">
        <v>461</v>
      </c>
      <c r="L365" s="132" t="s">
        <v>387</v>
      </c>
      <c r="M365" s="99"/>
      <c r="N365" s="90"/>
      <c r="O365" s="255">
        <f>MONTH(LstMachines[[#This Row],[Delivery]])</f>
        <v>6</v>
      </c>
      <c r="P365" s="256" t="str">
        <f>FIXED(YEAR(LstMachines[[#This Row],[Delivery]]),0,TRUE)</f>
        <v>2019</v>
      </c>
      <c r="Q365" s="73"/>
      <c r="R365" s="93"/>
      <c r="S365" s="90"/>
      <c r="T365" s="90"/>
      <c r="U365" s="90" t="s">
        <v>105</v>
      </c>
      <c r="V365" s="72"/>
      <c r="W365" s="99" t="s">
        <v>384</v>
      </c>
      <c r="X365" s="258">
        <f>LstMachines[[#This Row],[Delivery]]</f>
        <v>43631</v>
      </c>
      <c r="Y365" s="258" t="str">
        <f xml:space="preserve"> IF(MONTH(LstMachines[[#This Row],[DateLivr]])&lt;10,"0","") &amp; MONTH(LstMachines[[#This Row],[DateLivr]]) &amp;"-"&amp;YEAR(LstMachines[[#This Row],[DateLivr]])</f>
        <v>06-2019</v>
      </c>
      <c r="Z365" s="258">
        <f>LstMachines[[#This Row],[Delivery]]+Rglt_à_HCME</f>
        <v>43691</v>
      </c>
      <c r="AA365" s="258" t="str">
        <f xml:space="preserve"> IF(MONTH(LstMachines[[#This Row],[DatePaie]])&lt;10,"0","") &amp; MONTH(LstMachines[[#This Row],[DatePaie]])&amp;"-"&amp;YEAR(LstMachines[[#This Row],[DatePaie]])</f>
        <v>08-2019</v>
      </c>
      <c r="AB365" s="258">
        <f>LstMachines[[#This Row],[DateLivr]]+1</f>
        <v>43632</v>
      </c>
      <c r="AC365" s="258" t="str">
        <f xml:space="preserve"> IF(MONTH(LstMachines[[#This Row],[Distrib]])&lt;10,"0","") &amp; MONTH(LstMachines[[#This Row],[Distrib]]) &amp; "-" &amp; YEAR(LstMachines[[#This Row],[Distrib]])</f>
        <v>06-2019</v>
      </c>
      <c r="AD365" s="258">
        <f>LstMachines[[#This Row],[DateLivr]]+Délai_Vente</f>
        <v>43751</v>
      </c>
      <c r="AE365" s="258" t="str">
        <f xml:space="preserve"> IF(MONTH(LstMachines[[#This Row],[VteESM]])&lt;10,"0","") &amp; MONTH(LstMachines[[#This Row],[VteESM]]) &amp; "-" &amp; YEAR(LstMachines[[#This Row],[VteESM]])</f>
        <v>10-2019</v>
      </c>
      <c r="AF365" s="258">
        <f>LstMachines[[#This Row],[DateLivr]]+Rglt_à_ESMTP</f>
        <v>43691</v>
      </c>
      <c r="AG365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65" s="258">
        <f>LstMachines[[#This Row],[VteESM]]+Rglt_à_ESMTP</f>
        <v>43811</v>
      </c>
      <c r="AI365" s="258" t="str">
        <f xml:space="preserve"> IF(MONTH(LstMachines[[#This Row],[RgltVteESM]])&lt;10,"0","") &amp; MONTH(LstMachines[[#This Row],[RgltVteESM]]) &amp; "-" &amp; YEAR(LstMachines[[#This Row],[RgltVteESM]])</f>
        <v>12-2019</v>
      </c>
      <c r="AJ365" s="140">
        <f>MONTH(LstMachines[[#This Row],[DatePaie]])</f>
        <v>8</v>
      </c>
      <c r="AK365" s="88" t="str">
        <f>FIXED(YEAR(LstMachines[[#This Row],[DatePaie]]),0,TRUE)</f>
        <v>2019</v>
      </c>
      <c r="AL365" s="140"/>
      <c r="AM365" s="415"/>
      <c r="AN365"/>
      <c r="AV365" s="93"/>
      <c r="AW365" s="92"/>
      <c r="AY365" s="92"/>
      <c r="AZ365" s="72"/>
      <c r="BA365" s="119"/>
      <c r="BB365" s="99"/>
      <c r="BC365" s="92"/>
      <c r="BD365" s="92"/>
      <c r="BE365" s="92"/>
    </row>
    <row r="366" spans="2:57" hidden="1">
      <c r="B366" s="104" t="s">
        <v>75</v>
      </c>
      <c r="C366" s="104" t="s">
        <v>37</v>
      </c>
      <c r="D366" s="87">
        <v>48</v>
      </c>
      <c r="E366" s="104" t="s">
        <v>363</v>
      </c>
      <c r="F366" s="87" t="s">
        <v>297</v>
      </c>
      <c r="G366" s="87" t="s">
        <v>32</v>
      </c>
      <c r="H366" s="89">
        <v>1</v>
      </c>
      <c r="I36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41</v>
      </c>
      <c r="J366" s="88">
        <v>43631</v>
      </c>
      <c r="K366" s="99" t="s">
        <v>461</v>
      </c>
      <c r="L366" s="132" t="s">
        <v>387</v>
      </c>
      <c r="M366" s="99"/>
      <c r="N366" s="90"/>
      <c r="O366" s="255">
        <f>MONTH(LstMachines[[#This Row],[Delivery]])</f>
        <v>6</v>
      </c>
      <c r="P366" s="256" t="str">
        <f>FIXED(YEAR(LstMachines[[#This Row],[Delivery]]),0,TRUE)</f>
        <v>2019</v>
      </c>
      <c r="Q366" s="73"/>
      <c r="R366" s="93"/>
      <c r="S366" s="90"/>
      <c r="T366" s="90"/>
      <c r="U366" s="90" t="s">
        <v>104</v>
      </c>
      <c r="V366" s="72"/>
      <c r="W366" s="99" t="s">
        <v>383</v>
      </c>
      <c r="X366" s="258">
        <f>LstMachines[[#This Row],[Delivery]]</f>
        <v>43631</v>
      </c>
      <c r="Y366" s="258" t="str">
        <f xml:space="preserve"> IF(MONTH(LstMachines[[#This Row],[DateLivr]])&lt;10,"0","") &amp; MONTH(LstMachines[[#This Row],[DateLivr]]) &amp;"-"&amp;YEAR(LstMachines[[#This Row],[DateLivr]])</f>
        <v>06-2019</v>
      </c>
      <c r="Z366" s="258">
        <f>LstMachines[[#This Row],[Delivery]]+Rglt_à_HCME</f>
        <v>43691</v>
      </c>
      <c r="AA366" s="258" t="str">
        <f xml:space="preserve"> IF(MONTH(LstMachines[[#This Row],[DatePaie]])&lt;10,"0","") &amp; MONTH(LstMachines[[#This Row],[DatePaie]])&amp;"-"&amp;YEAR(LstMachines[[#This Row],[DatePaie]])</f>
        <v>08-2019</v>
      </c>
      <c r="AB366" s="258">
        <f>LstMachines[[#This Row],[DateLivr]]+1</f>
        <v>43632</v>
      </c>
      <c r="AC366" s="258" t="str">
        <f xml:space="preserve"> IF(MONTH(LstMachines[[#This Row],[Distrib]])&lt;10,"0","") &amp; MONTH(LstMachines[[#This Row],[Distrib]]) &amp; "-" &amp; YEAR(LstMachines[[#This Row],[Distrib]])</f>
        <v>06-2019</v>
      </c>
      <c r="AD366" s="258">
        <f>LstMachines[[#This Row],[DateLivr]]+Délai_Vente</f>
        <v>43751</v>
      </c>
      <c r="AE366" s="258" t="str">
        <f xml:space="preserve"> IF(MONTH(LstMachines[[#This Row],[VteESM]])&lt;10,"0","") &amp; MONTH(LstMachines[[#This Row],[VteESM]]) &amp; "-" &amp; YEAR(LstMachines[[#This Row],[VteESM]])</f>
        <v>10-2019</v>
      </c>
      <c r="AF366" s="258">
        <f>LstMachines[[#This Row],[DateLivr]]+Rglt_à_ESMTP</f>
        <v>43691</v>
      </c>
      <c r="AG366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66" s="258">
        <f>LstMachines[[#This Row],[VteESM]]+Rglt_à_ESMTP</f>
        <v>43811</v>
      </c>
      <c r="AI366" s="258" t="str">
        <f xml:space="preserve"> IF(MONTH(LstMachines[[#This Row],[RgltVteESM]])&lt;10,"0","") &amp; MONTH(LstMachines[[#This Row],[RgltVteESM]]) &amp; "-" &amp; YEAR(LstMachines[[#This Row],[RgltVteESM]])</f>
        <v>12-2019</v>
      </c>
      <c r="AJ366" s="140">
        <f>MONTH(LstMachines[[#This Row],[DatePaie]])</f>
        <v>8</v>
      </c>
      <c r="AK366" s="88" t="str">
        <f>FIXED(YEAR(LstMachines[[#This Row],[DatePaie]]),0,TRUE)</f>
        <v>2019</v>
      </c>
      <c r="AL366" s="140"/>
      <c r="AM366" s="415"/>
      <c r="AN366"/>
      <c r="AV366" s="93"/>
      <c r="AW366" s="92"/>
      <c r="AY366" s="92"/>
      <c r="AZ366" s="72"/>
      <c r="BA366" s="119"/>
      <c r="BB366" s="99"/>
      <c r="BC366" s="92"/>
      <c r="BD366" s="92"/>
      <c r="BE366" s="92"/>
    </row>
    <row r="367" spans="2:57" hidden="1">
      <c r="B367" s="104" t="s">
        <v>75</v>
      </c>
      <c r="C367" s="104" t="s">
        <v>36</v>
      </c>
      <c r="D367" s="87">
        <v>26</v>
      </c>
      <c r="E367" s="86" t="s">
        <v>355</v>
      </c>
      <c r="F367" s="87" t="s">
        <v>297</v>
      </c>
      <c r="G367" s="87" t="s">
        <v>32</v>
      </c>
      <c r="H367" s="89">
        <v>2</v>
      </c>
      <c r="I36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44</v>
      </c>
      <c r="J367" s="88">
        <v>43631</v>
      </c>
      <c r="K367" s="99" t="s">
        <v>461</v>
      </c>
      <c r="L367" s="132" t="s">
        <v>387</v>
      </c>
      <c r="M367" s="99"/>
      <c r="N367" s="90"/>
      <c r="O367" s="255">
        <f>MONTH(LstMachines[[#This Row],[Delivery]])</f>
        <v>6</v>
      </c>
      <c r="P367" s="256" t="str">
        <f>FIXED(YEAR(LstMachines[[#This Row],[Delivery]]),0,TRUE)</f>
        <v>2019</v>
      </c>
      <c r="Q367" s="73"/>
      <c r="R367" s="93"/>
      <c r="S367" s="90"/>
      <c r="T367" s="90"/>
      <c r="U367" s="90" t="s">
        <v>104</v>
      </c>
      <c r="V367" s="72"/>
      <c r="W367" s="99" t="s">
        <v>383</v>
      </c>
      <c r="X367" s="258">
        <f>LstMachines[[#This Row],[Delivery]]</f>
        <v>43631</v>
      </c>
      <c r="Y367" s="258" t="str">
        <f xml:space="preserve"> IF(MONTH(LstMachines[[#This Row],[DateLivr]])&lt;10,"0","") &amp; MONTH(LstMachines[[#This Row],[DateLivr]]) &amp;"-"&amp;YEAR(LstMachines[[#This Row],[DateLivr]])</f>
        <v>06-2019</v>
      </c>
      <c r="Z367" s="258">
        <f>LstMachines[[#This Row],[Delivery]]+Rglt_à_HCME</f>
        <v>43691</v>
      </c>
      <c r="AA367" s="258" t="str">
        <f xml:space="preserve"> IF(MONTH(LstMachines[[#This Row],[DatePaie]])&lt;10,"0","") &amp; MONTH(LstMachines[[#This Row],[DatePaie]])&amp;"-"&amp;YEAR(LstMachines[[#This Row],[DatePaie]])</f>
        <v>08-2019</v>
      </c>
      <c r="AB367" s="258">
        <f>LstMachines[[#This Row],[DateLivr]]+1</f>
        <v>43632</v>
      </c>
      <c r="AC367" s="258" t="str">
        <f xml:space="preserve"> IF(MONTH(LstMachines[[#This Row],[Distrib]])&lt;10,"0","") &amp; MONTH(LstMachines[[#This Row],[Distrib]]) &amp; "-" &amp; YEAR(LstMachines[[#This Row],[Distrib]])</f>
        <v>06-2019</v>
      </c>
      <c r="AD367" s="258">
        <f>LstMachines[[#This Row],[DateLivr]]+Délai_Vente</f>
        <v>43751</v>
      </c>
      <c r="AE367" s="258" t="str">
        <f xml:space="preserve"> IF(MONTH(LstMachines[[#This Row],[VteESM]])&lt;10,"0","") &amp; MONTH(LstMachines[[#This Row],[VteESM]]) &amp; "-" &amp; YEAR(LstMachines[[#This Row],[VteESM]])</f>
        <v>10-2019</v>
      </c>
      <c r="AF367" s="258">
        <f>LstMachines[[#This Row],[DateLivr]]+Rglt_à_ESMTP</f>
        <v>43691</v>
      </c>
      <c r="AG367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67" s="258">
        <f>LstMachines[[#This Row],[VteESM]]+Rglt_à_ESMTP</f>
        <v>43811</v>
      </c>
      <c r="AI367" s="258" t="str">
        <f xml:space="preserve"> IF(MONTH(LstMachines[[#This Row],[RgltVteESM]])&lt;10,"0","") &amp; MONTH(LstMachines[[#This Row],[RgltVteESM]]) &amp; "-" &amp; YEAR(LstMachines[[#This Row],[RgltVteESM]])</f>
        <v>12-2019</v>
      </c>
      <c r="AJ367" s="140">
        <f>MONTH(LstMachines[[#This Row],[DatePaie]])</f>
        <v>8</v>
      </c>
      <c r="AK367" s="88" t="str">
        <f>FIXED(YEAR(LstMachines[[#This Row],[DatePaie]]),0,TRUE)</f>
        <v>2019</v>
      </c>
      <c r="AL367" s="140"/>
      <c r="AM367" s="415"/>
      <c r="AN367"/>
      <c r="AV367" s="93"/>
      <c r="AW367" s="92"/>
      <c r="AY367" s="92"/>
      <c r="AZ367" s="72"/>
      <c r="BA367" s="119"/>
      <c r="BB367" s="99"/>
      <c r="BC367" s="92"/>
      <c r="BD367" s="92"/>
      <c r="BE367" s="92"/>
    </row>
    <row r="368" spans="2:57" hidden="1">
      <c r="B368" s="104" t="s">
        <v>75</v>
      </c>
      <c r="C368" s="104" t="s">
        <v>38</v>
      </c>
      <c r="D368" s="87">
        <v>65</v>
      </c>
      <c r="E368" s="104" t="s">
        <v>376</v>
      </c>
      <c r="F368" s="87" t="s">
        <v>297</v>
      </c>
      <c r="G368" s="87" t="s">
        <v>32</v>
      </c>
      <c r="H368" s="89">
        <v>1</v>
      </c>
      <c r="I36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368" s="88">
        <v>43631</v>
      </c>
      <c r="K368" s="99" t="s">
        <v>461</v>
      </c>
      <c r="L368" s="132" t="s">
        <v>387</v>
      </c>
      <c r="M368" s="99"/>
      <c r="N368" s="90"/>
      <c r="O368" s="255">
        <f>MONTH(LstMachines[[#This Row],[Delivery]])</f>
        <v>6</v>
      </c>
      <c r="P368" s="256" t="str">
        <f>FIXED(YEAR(LstMachines[[#This Row],[Delivery]]),0,TRUE)</f>
        <v>2019</v>
      </c>
      <c r="Q368" s="73"/>
      <c r="R368" s="93"/>
      <c r="S368" s="90"/>
      <c r="T368" s="90"/>
      <c r="U368" s="90" t="s">
        <v>105</v>
      </c>
      <c r="V368" s="72"/>
      <c r="W368" s="99" t="s">
        <v>384</v>
      </c>
      <c r="X368" s="258">
        <f>LstMachines[[#This Row],[Delivery]]</f>
        <v>43631</v>
      </c>
      <c r="Y368" s="258" t="str">
        <f xml:space="preserve"> IF(MONTH(LstMachines[[#This Row],[DateLivr]])&lt;10,"0","") &amp; MONTH(LstMachines[[#This Row],[DateLivr]]) &amp;"-"&amp;YEAR(LstMachines[[#This Row],[DateLivr]])</f>
        <v>06-2019</v>
      </c>
      <c r="Z368" s="258">
        <f>LstMachines[[#This Row],[Delivery]]+Rglt_à_HCME</f>
        <v>43691</v>
      </c>
      <c r="AA368" s="258" t="str">
        <f xml:space="preserve"> IF(MONTH(LstMachines[[#This Row],[DatePaie]])&lt;10,"0","") &amp; MONTH(LstMachines[[#This Row],[DatePaie]])&amp;"-"&amp;YEAR(LstMachines[[#This Row],[DatePaie]])</f>
        <v>08-2019</v>
      </c>
      <c r="AB368" s="258">
        <f>LstMachines[[#This Row],[DateLivr]]+1</f>
        <v>43632</v>
      </c>
      <c r="AC368" s="258" t="str">
        <f xml:space="preserve"> IF(MONTH(LstMachines[[#This Row],[Distrib]])&lt;10,"0","") &amp; MONTH(LstMachines[[#This Row],[Distrib]]) &amp; "-" &amp; YEAR(LstMachines[[#This Row],[Distrib]])</f>
        <v>06-2019</v>
      </c>
      <c r="AD368" s="258">
        <f>LstMachines[[#This Row],[DateLivr]]+Délai_Vente</f>
        <v>43751</v>
      </c>
      <c r="AE368" s="258" t="str">
        <f xml:space="preserve"> IF(MONTH(LstMachines[[#This Row],[VteESM]])&lt;10,"0","") &amp; MONTH(LstMachines[[#This Row],[VteESM]]) &amp; "-" &amp; YEAR(LstMachines[[#This Row],[VteESM]])</f>
        <v>10-2019</v>
      </c>
      <c r="AF368" s="258">
        <f>LstMachines[[#This Row],[DateLivr]]+Rglt_à_ESMTP</f>
        <v>43691</v>
      </c>
      <c r="AG368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68" s="258">
        <f>LstMachines[[#This Row],[VteESM]]+Rglt_à_ESMTP</f>
        <v>43811</v>
      </c>
      <c r="AI368" s="258" t="str">
        <f xml:space="preserve"> IF(MONTH(LstMachines[[#This Row],[RgltVteESM]])&lt;10,"0","") &amp; MONTH(LstMachines[[#This Row],[RgltVteESM]]) &amp; "-" &amp; YEAR(LstMachines[[#This Row],[RgltVteESM]])</f>
        <v>12-2019</v>
      </c>
      <c r="AJ368" s="140">
        <f>MONTH(LstMachines[[#This Row],[DatePaie]])</f>
        <v>8</v>
      </c>
      <c r="AK368" s="88" t="str">
        <f>FIXED(YEAR(LstMachines[[#This Row],[DatePaie]]),0,TRUE)</f>
        <v>2019</v>
      </c>
      <c r="AL368" s="140"/>
      <c r="AM368" s="415"/>
      <c r="AN368"/>
      <c r="AV368" s="93"/>
      <c r="AW368" s="92"/>
      <c r="AY368" s="92"/>
      <c r="AZ368" s="72"/>
      <c r="BA368" s="119"/>
      <c r="BB368" s="99"/>
      <c r="BC368" s="92"/>
      <c r="BD368" s="92"/>
      <c r="BE368" s="92"/>
    </row>
    <row r="369" spans="2:57" hidden="1">
      <c r="B369" s="104" t="s">
        <v>262</v>
      </c>
      <c r="C369" s="104" t="s">
        <v>39</v>
      </c>
      <c r="D369" s="87">
        <v>85</v>
      </c>
      <c r="E369" s="86" t="s">
        <v>356</v>
      </c>
      <c r="F369" s="87" t="s">
        <v>297</v>
      </c>
      <c r="G369" s="87" t="s">
        <v>32</v>
      </c>
      <c r="H369" s="89">
        <v>1</v>
      </c>
      <c r="I36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369" s="88">
        <v>43631</v>
      </c>
      <c r="K369" s="99" t="s">
        <v>461</v>
      </c>
      <c r="L369" s="132" t="s">
        <v>387</v>
      </c>
      <c r="M369" s="99"/>
      <c r="N369" s="90"/>
      <c r="O369" s="255">
        <f>MONTH(LstMachines[[#This Row],[Delivery]])</f>
        <v>6</v>
      </c>
      <c r="P369" s="256" t="str">
        <f>FIXED(YEAR(LstMachines[[#This Row],[Delivery]]),0,TRUE)</f>
        <v>2019</v>
      </c>
      <c r="Q369" s="73"/>
      <c r="R369" s="93"/>
      <c r="S369" s="90"/>
      <c r="T369" s="90"/>
      <c r="U369" s="90" t="s">
        <v>104</v>
      </c>
      <c r="V369" s="72"/>
      <c r="W369" s="99" t="s">
        <v>383</v>
      </c>
      <c r="X369" s="258">
        <f>LstMachines[[#This Row],[Delivery]]</f>
        <v>43631</v>
      </c>
      <c r="Y369" s="258" t="str">
        <f xml:space="preserve"> IF(MONTH(LstMachines[[#This Row],[DateLivr]])&lt;10,"0","") &amp; MONTH(LstMachines[[#This Row],[DateLivr]]) &amp;"-"&amp;YEAR(LstMachines[[#This Row],[DateLivr]])</f>
        <v>06-2019</v>
      </c>
      <c r="Z369" s="258">
        <f>LstMachines[[#This Row],[Delivery]]+Rglt_à_HCME</f>
        <v>43691</v>
      </c>
      <c r="AA369" s="258" t="str">
        <f xml:space="preserve"> IF(MONTH(LstMachines[[#This Row],[DatePaie]])&lt;10,"0","") &amp; MONTH(LstMachines[[#This Row],[DatePaie]])&amp;"-"&amp;YEAR(LstMachines[[#This Row],[DatePaie]])</f>
        <v>08-2019</v>
      </c>
      <c r="AB369" s="258">
        <f>LstMachines[[#This Row],[DateLivr]]+1</f>
        <v>43632</v>
      </c>
      <c r="AC369" s="258" t="str">
        <f xml:space="preserve"> IF(MONTH(LstMachines[[#This Row],[Distrib]])&lt;10,"0","") &amp; MONTH(LstMachines[[#This Row],[Distrib]]) &amp; "-" &amp; YEAR(LstMachines[[#This Row],[Distrib]])</f>
        <v>06-2019</v>
      </c>
      <c r="AD369" s="258">
        <f>LstMachines[[#This Row],[DateLivr]]+Délai_Vente</f>
        <v>43751</v>
      </c>
      <c r="AE369" s="258" t="str">
        <f xml:space="preserve"> IF(MONTH(LstMachines[[#This Row],[VteESM]])&lt;10,"0","") &amp; MONTH(LstMachines[[#This Row],[VteESM]]) &amp; "-" &amp; YEAR(LstMachines[[#This Row],[VteESM]])</f>
        <v>10-2019</v>
      </c>
      <c r="AF369" s="258">
        <f>LstMachines[[#This Row],[DateLivr]]+Rglt_à_ESMTP</f>
        <v>43691</v>
      </c>
      <c r="AG369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69" s="258">
        <f>LstMachines[[#This Row],[VteESM]]+Rglt_à_ESMTP</f>
        <v>43811</v>
      </c>
      <c r="AI369" s="258" t="str">
        <f xml:space="preserve"> IF(MONTH(LstMachines[[#This Row],[RgltVteESM]])&lt;10,"0","") &amp; MONTH(LstMachines[[#This Row],[RgltVteESM]]) &amp; "-" &amp; YEAR(LstMachines[[#This Row],[RgltVteESM]])</f>
        <v>12-2019</v>
      </c>
      <c r="AJ369" s="140">
        <f>MONTH(LstMachines[[#This Row],[DatePaie]])</f>
        <v>8</v>
      </c>
      <c r="AK369" s="88" t="str">
        <f>FIXED(YEAR(LstMachines[[#This Row],[DatePaie]]),0,TRUE)</f>
        <v>2019</v>
      </c>
      <c r="AL369" s="140"/>
      <c r="AM369" s="415"/>
      <c r="AN369"/>
      <c r="AV369" s="93"/>
      <c r="AW369" s="92"/>
      <c r="AY369" s="92"/>
      <c r="AZ369" s="72"/>
      <c r="BA369" s="119"/>
      <c r="BB369" s="99"/>
      <c r="BC369" s="92"/>
      <c r="BD369" s="92"/>
      <c r="BE369" s="92"/>
    </row>
    <row r="370" spans="2:57" hidden="1">
      <c r="B370" s="104" t="s">
        <v>75</v>
      </c>
      <c r="C370" s="104" t="s">
        <v>36</v>
      </c>
      <c r="D370" s="87">
        <v>26</v>
      </c>
      <c r="E370" s="104" t="s">
        <v>361</v>
      </c>
      <c r="F370" s="87" t="s">
        <v>297</v>
      </c>
      <c r="G370" s="87" t="s">
        <v>32</v>
      </c>
      <c r="H370" s="89">
        <v>4</v>
      </c>
      <c r="I37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88</v>
      </c>
      <c r="J370" s="88">
        <v>43631</v>
      </c>
      <c r="K370" s="99" t="s">
        <v>461</v>
      </c>
      <c r="L370" s="132" t="s">
        <v>387</v>
      </c>
      <c r="M370" s="99"/>
      <c r="N370" s="90"/>
      <c r="O370" s="255">
        <f>MONTH(LstMachines[[#This Row],[Delivery]])</f>
        <v>6</v>
      </c>
      <c r="P370" s="256" t="str">
        <f>FIXED(YEAR(LstMachines[[#This Row],[Delivery]]),0,TRUE)</f>
        <v>2019</v>
      </c>
      <c r="Q370" s="73"/>
      <c r="R370" s="93"/>
      <c r="S370" s="90"/>
      <c r="T370" s="90"/>
      <c r="U370" s="90" t="s">
        <v>105</v>
      </c>
      <c r="V370" s="72"/>
      <c r="W370" s="99" t="s">
        <v>384</v>
      </c>
      <c r="X370" s="258">
        <f>LstMachines[[#This Row],[Delivery]]</f>
        <v>43631</v>
      </c>
      <c r="Y370" s="258" t="str">
        <f xml:space="preserve"> IF(MONTH(LstMachines[[#This Row],[DateLivr]])&lt;10,"0","") &amp; MONTH(LstMachines[[#This Row],[DateLivr]]) &amp;"-"&amp;YEAR(LstMachines[[#This Row],[DateLivr]])</f>
        <v>06-2019</v>
      </c>
      <c r="Z370" s="258">
        <f>LstMachines[[#This Row],[Delivery]]+Rglt_à_HCME</f>
        <v>43691</v>
      </c>
      <c r="AA370" s="258" t="str">
        <f xml:space="preserve"> IF(MONTH(LstMachines[[#This Row],[DatePaie]])&lt;10,"0","") &amp; MONTH(LstMachines[[#This Row],[DatePaie]])&amp;"-"&amp;YEAR(LstMachines[[#This Row],[DatePaie]])</f>
        <v>08-2019</v>
      </c>
      <c r="AB370" s="258">
        <f>LstMachines[[#This Row],[DateLivr]]+1</f>
        <v>43632</v>
      </c>
      <c r="AC370" s="258" t="str">
        <f xml:space="preserve"> IF(MONTH(LstMachines[[#This Row],[Distrib]])&lt;10,"0","") &amp; MONTH(LstMachines[[#This Row],[Distrib]]) &amp; "-" &amp; YEAR(LstMachines[[#This Row],[Distrib]])</f>
        <v>06-2019</v>
      </c>
      <c r="AD370" s="258">
        <f>LstMachines[[#This Row],[DateLivr]]+Délai_Vente</f>
        <v>43751</v>
      </c>
      <c r="AE370" s="258" t="str">
        <f xml:space="preserve"> IF(MONTH(LstMachines[[#This Row],[VteESM]])&lt;10,"0","") &amp; MONTH(LstMachines[[#This Row],[VteESM]]) &amp; "-" &amp; YEAR(LstMachines[[#This Row],[VteESM]])</f>
        <v>10-2019</v>
      </c>
      <c r="AF370" s="258">
        <f>LstMachines[[#This Row],[DateLivr]]+Rglt_à_ESMTP</f>
        <v>43691</v>
      </c>
      <c r="AG370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70" s="258">
        <f>LstMachines[[#This Row],[VteESM]]+Rglt_à_ESMTP</f>
        <v>43811</v>
      </c>
      <c r="AI370" s="258" t="str">
        <f xml:space="preserve"> IF(MONTH(LstMachines[[#This Row],[RgltVteESM]])&lt;10,"0","") &amp; MONTH(LstMachines[[#This Row],[RgltVteESM]]) &amp; "-" &amp; YEAR(LstMachines[[#This Row],[RgltVteESM]])</f>
        <v>12-2019</v>
      </c>
      <c r="AJ370" s="140">
        <f>MONTH(LstMachines[[#This Row],[DatePaie]])</f>
        <v>8</v>
      </c>
      <c r="AK370" s="88" t="str">
        <f>FIXED(YEAR(LstMachines[[#This Row],[DatePaie]]),0,TRUE)</f>
        <v>2019</v>
      </c>
      <c r="AL370" s="140"/>
      <c r="AM370" s="415"/>
      <c r="AN370"/>
      <c r="AV370" s="93"/>
      <c r="AW370" s="92"/>
      <c r="AY370" s="92"/>
      <c r="AZ370" s="72"/>
      <c r="BA370" s="119"/>
      <c r="BB370" s="99"/>
      <c r="BC370" s="92"/>
      <c r="BD370" s="92"/>
      <c r="BE370" s="92"/>
    </row>
    <row r="371" spans="2:57" hidden="1">
      <c r="B371" s="104" t="s">
        <v>75</v>
      </c>
      <c r="C371" s="104" t="s">
        <v>38</v>
      </c>
      <c r="D371" s="87">
        <v>65</v>
      </c>
      <c r="E371" s="104" t="s">
        <v>364</v>
      </c>
      <c r="F371" s="87" t="s">
        <v>297</v>
      </c>
      <c r="G371" s="87" t="s">
        <v>32</v>
      </c>
      <c r="H371" s="89">
        <v>2</v>
      </c>
      <c r="I37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90</v>
      </c>
      <c r="J371" s="88">
        <v>43631</v>
      </c>
      <c r="K371" s="99" t="s">
        <v>461</v>
      </c>
      <c r="L371" s="132" t="s">
        <v>387</v>
      </c>
      <c r="M371" s="99"/>
      <c r="N371" s="90"/>
      <c r="O371" s="255">
        <f>MONTH(LstMachines[[#This Row],[Delivery]])</f>
        <v>6</v>
      </c>
      <c r="P371" s="256" t="str">
        <f>FIXED(YEAR(LstMachines[[#This Row],[Delivery]]),0,TRUE)</f>
        <v>2019</v>
      </c>
      <c r="Q371" s="73"/>
      <c r="R371" s="93"/>
      <c r="S371" s="90"/>
      <c r="T371" s="90"/>
      <c r="U371" s="90" t="s">
        <v>104</v>
      </c>
      <c r="V371" s="72"/>
      <c r="W371" s="99" t="s">
        <v>383</v>
      </c>
      <c r="X371" s="258">
        <f>LstMachines[[#This Row],[Delivery]]</f>
        <v>43631</v>
      </c>
      <c r="Y371" s="258" t="str">
        <f xml:space="preserve"> IF(MONTH(LstMachines[[#This Row],[DateLivr]])&lt;10,"0","") &amp; MONTH(LstMachines[[#This Row],[DateLivr]]) &amp;"-"&amp;YEAR(LstMachines[[#This Row],[DateLivr]])</f>
        <v>06-2019</v>
      </c>
      <c r="Z371" s="258">
        <f>LstMachines[[#This Row],[Delivery]]+Rglt_à_HCME</f>
        <v>43691</v>
      </c>
      <c r="AA371" s="258" t="str">
        <f xml:space="preserve"> IF(MONTH(LstMachines[[#This Row],[DatePaie]])&lt;10,"0","") &amp; MONTH(LstMachines[[#This Row],[DatePaie]])&amp;"-"&amp;YEAR(LstMachines[[#This Row],[DatePaie]])</f>
        <v>08-2019</v>
      </c>
      <c r="AB371" s="258">
        <f>LstMachines[[#This Row],[DateLivr]]+1</f>
        <v>43632</v>
      </c>
      <c r="AC371" s="258" t="str">
        <f xml:space="preserve"> IF(MONTH(LstMachines[[#This Row],[Distrib]])&lt;10,"0","") &amp; MONTH(LstMachines[[#This Row],[Distrib]]) &amp; "-" &amp; YEAR(LstMachines[[#This Row],[Distrib]])</f>
        <v>06-2019</v>
      </c>
      <c r="AD371" s="258">
        <f>LstMachines[[#This Row],[DateLivr]]+Délai_Vente</f>
        <v>43751</v>
      </c>
      <c r="AE371" s="258" t="str">
        <f xml:space="preserve"> IF(MONTH(LstMachines[[#This Row],[VteESM]])&lt;10,"0","") &amp; MONTH(LstMachines[[#This Row],[VteESM]]) &amp; "-" &amp; YEAR(LstMachines[[#This Row],[VteESM]])</f>
        <v>10-2019</v>
      </c>
      <c r="AF371" s="258">
        <f>LstMachines[[#This Row],[DateLivr]]+Rglt_à_ESMTP</f>
        <v>43691</v>
      </c>
      <c r="AG371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71" s="258">
        <f>LstMachines[[#This Row],[VteESM]]+Rglt_à_ESMTP</f>
        <v>43811</v>
      </c>
      <c r="AI371" s="258" t="str">
        <f xml:space="preserve"> IF(MONTH(LstMachines[[#This Row],[RgltVteESM]])&lt;10,"0","") &amp; MONTH(LstMachines[[#This Row],[RgltVteESM]]) &amp; "-" &amp; YEAR(LstMachines[[#This Row],[RgltVteESM]])</f>
        <v>12-2019</v>
      </c>
      <c r="AJ371" s="140">
        <f>MONTH(LstMachines[[#This Row],[DatePaie]])</f>
        <v>8</v>
      </c>
      <c r="AK371" s="88" t="str">
        <f>FIXED(YEAR(LstMachines[[#This Row],[DatePaie]]),0,TRUE)</f>
        <v>2019</v>
      </c>
      <c r="AL371" s="140"/>
      <c r="AM371" s="414"/>
      <c r="AN371"/>
      <c r="AO371" s="92"/>
      <c r="AP371" s="72"/>
      <c r="AQ371" s="119"/>
      <c r="AR371" s="99"/>
      <c r="AS371" s="92"/>
      <c r="AT371" s="92"/>
      <c r="AU371" s="92"/>
      <c r="AV371" s="92"/>
      <c r="AW371" s="92"/>
      <c r="AX371" s="92"/>
      <c r="AY371" s="92"/>
      <c r="BA371" s="92"/>
      <c r="BC371" s="92"/>
      <c r="BD371" s="92"/>
      <c r="BE371" s="92"/>
    </row>
    <row r="372" spans="2:57" hidden="1">
      <c r="B372" s="104" t="s">
        <v>262</v>
      </c>
      <c r="C372" s="104" t="s">
        <v>40</v>
      </c>
      <c r="D372" s="87">
        <v>135</v>
      </c>
      <c r="E372" s="104" t="s">
        <v>87</v>
      </c>
      <c r="F372" s="87" t="s">
        <v>297</v>
      </c>
      <c r="G372" s="87" t="s">
        <v>32</v>
      </c>
      <c r="H372" s="89">
        <v>1</v>
      </c>
      <c r="I37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372" s="88">
        <v>43631</v>
      </c>
      <c r="K372" s="99" t="s">
        <v>461</v>
      </c>
      <c r="L372" s="132" t="s">
        <v>387</v>
      </c>
      <c r="M372" s="99"/>
      <c r="N372" s="90"/>
      <c r="O372" s="255">
        <f>MONTH(LstMachines[[#This Row],[Delivery]])</f>
        <v>6</v>
      </c>
      <c r="P372" s="256" t="str">
        <f>FIXED(YEAR(LstMachines[[#This Row],[Delivery]]),0,TRUE)</f>
        <v>2019</v>
      </c>
      <c r="Q372" s="73"/>
      <c r="R372" s="93"/>
      <c r="S372" s="90"/>
      <c r="T372" s="90"/>
      <c r="U372" s="90" t="s">
        <v>105</v>
      </c>
      <c r="V372" s="72"/>
      <c r="W372" s="99" t="s">
        <v>384</v>
      </c>
      <c r="X372" s="258">
        <f>LstMachines[[#This Row],[Delivery]]</f>
        <v>43631</v>
      </c>
      <c r="Y372" s="258" t="str">
        <f xml:space="preserve"> IF(MONTH(LstMachines[[#This Row],[DateLivr]])&lt;10,"0","") &amp; MONTH(LstMachines[[#This Row],[DateLivr]]) &amp;"-"&amp;YEAR(LstMachines[[#This Row],[DateLivr]])</f>
        <v>06-2019</v>
      </c>
      <c r="Z372" s="258">
        <f>LstMachines[[#This Row],[Delivery]]+Rglt_à_HCME</f>
        <v>43691</v>
      </c>
      <c r="AA372" s="258" t="str">
        <f xml:space="preserve"> IF(MONTH(LstMachines[[#This Row],[DatePaie]])&lt;10,"0","") &amp; MONTH(LstMachines[[#This Row],[DatePaie]])&amp;"-"&amp;YEAR(LstMachines[[#This Row],[DatePaie]])</f>
        <v>08-2019</v>
      </c>
      <c r="AB372" s="258">
        <f>LstMachines[[#This Row],[DateLivr]]+1</f>
        <v>43632</v>
      </c>
      <c r="AC372" s="258" t="str">
        <f xml:space="preserve"> IF(MONTH(LstMachines[[#This Row],[Distrib]])&lt;10,"0","") &amp; MONTH(LstMachines[[#This Row],[Distrib]]) &amp; "-" &amp; YEAR(LstMachines[[#This Row],[Distrib]])</f>
        <v>06-2019</v>
      </c>
      <c r="AD372" s="258">
        <f>LstMachines[[#This Row],[DateLivr]]+Délai_Vente</f>
        <v>43751</v>
      </c>
      <c r="AE372" s="258" t="str">
        <f xml:space="preserve"> IF(MONTH(LstMachines[[#This Row],[VteESM]])&lt;10,"0","") &amp; MONTH(LstMachines[[#This Row],[VteESM]]) &amp; "-" &amp; YEAR(LstMachines[[#This Row],[VteESM]])</f>
        <v>10-2019</v>
      </c>
      <c r="AF372" s="258">
        <f>LstMachines[[#This Row],[DateLivr]]+Rglt_à_ESMTP</f>
        <v>43691</v>
      </c>
      <c r="AG372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72" s="258">
        <f>LstMachines[[#This Row],[VteESM]]+Rglt_à_ESMTP</f>
        <v>43811</v>
      </c>
      <c r="AI372" s="258" t="str">
        <f xml:space="preserve"> IF(MONTH(LstMachines[[#This Row],[RgltVteESM]])&lt;10,"0","") &amp; MONTH(LstMachines[[#This Row],[RgltVteESM]]) &amp; "-" &amp; YEAR(LstMachines[[#This Row],[RgltVteESM]])</f>
        <v>12-2019</v>
      </c>
      <c r="AJ372" s="140">
        <f>MONTH(LstMachines[[#This Row],[DatePaie]])</f>
        <v>8</v>
      </c>
      <c r="AK372" s="88" t="str">
        <f>FIXED(YEAR(LstMachines[[#This Row],[DatePaie]]),0,TRUE)</f>
        <v>2019</v>
      </c>
      <c r="AL372" s="140"/>
      <c r="AM372" s="415"/>
      <c r="AN372"/>
      <c r="AV372" s="93"/>
      <c r="AW372" s="92"/>
      <c r="AY372" s="92"/>
      <c r="AZ372" s="72"/>
      <c r="BA372" s="119"/>
      <c r="BB372" s="99"/>
      <c r="BC372" s="92"/>
      <c r="BD372" s="92"/>
      <c r="BE372" s="92"/>
    </row>
    <row r="373" spans="2:57" hidden="1">
      <c r="B373" s="104" t="s">
        <v>262</v>
      </c>
      <c r="C373" s="104" t="s">
        <v>42</v>
      </c>
      <c r="D373" s="87">
        <v>190</v>
      </c>
      <c r="E373" s="86" t="s">
        <v>200</v>
      </c>
      <c r="F373" s="87" t="s">
        <v>297</v>
      </c>
      <c r="G373" s="87" t="s">
        <v>32</v>
      </c>
      <c r="H373" s="89">
        <v>1</v>
      </c>
      <c r="I37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113</v>
      </c>
      <c r="J373" s="88">
        <v>43631</v>
      </c>
      <c r="K373" s="99" t="s">
        <v>461</v>
      </c>
      <c r="L373" s="132" t="s">
        <v>387</v>
      </c>
      <c r="M373" s="99"/>
      <c r="N373" s="90"/>
      <c r="O373" s="255">
        <f>MONTH(LstMachines[[#This Row],[Delivery]])</f>
        <v>6</v>
      </c>
      <c r="P373" s="256" t="str">
        <f>FIXED(YEAR(LstMachines[[#This Row],[Delivery]]),0,TRUE)</f>
        <v>2019</v>
      </c>
      <c r="Q373" s="73"/>
      <c r="R373" s="93"/>
      <c r="S373" s="90"/>
      <c r="T373" s="90"/>
      <c r="U373" s="90" t="s">
        <v>105</v>
      </c>
      <c r="V373" s="72"/>
      <c r="W373" s="99" t="s">
        <v>384</v>
      </c>
      <c r="X373" s="258">
        <f>LstMachines[[#This Row],[Delivery]]</f>
        <v>43631</v>
      </c>
      <c r="Y373" s="258" t="str">
        <f xml:space="preserve"> IF(MONTH(LstMachines[[#This Row],[DateLivr]])&lt;10,"0","") &amp; MONTH(LstMachines[[#This Row],[DateLivr]]) &amp;"-"&amp;YEAR(LstMachines[[#This Row],[DateLivr]])</f>
        <v>06-2019</v>
      </c>
      <c r="Z373" s="258">
        <f>LstMachines[[#This Row],[Delivery]]+Rglt_à_HCME</f>
        <v>43691</v>
      </c>
      <c r="AA373" s="258" t="str">
        <f xml:space="preserve"> IF(MONTH(LstMachines[[#This Row],[DatePaie]])&lt;10,"0","") &amp; MONTH(LstMachines[[#This Row],[DatePaie]])&amp;"-"&amp;YEAR(LstMachines[[#This Row],[DatePaie]])</f>
        <v>08-2019</v>
      </c>
      <c r="AB373" s="258">
        <f>LstMachines[[#This Row],[DateLivr]]+1</f>
        <v>43632</v>
      </c>
      <c r="AC373" s="258" t="str">
        <f xml:space="preserve"> IF(MONTH(LstMachines[[#This Row],[Distrib]])&lt;10,"0","") &amp; MONTH(LstMachines[[#This Row],[Distrib]]) &amp; "-" &amp; YEAR(LstMachines[[#This Row],[Distrib]])</f>
        <v>06-2019</v>
      </c>
      <c r="AD373" s="258">
        <f>LstMachines[[#This Row],[DateLivr]]+Délai_Vente</f>
        <v>43751</v>
      </c>
      <c r="AE373" s="258" t="str">
        <f xml:space="preserve"> IF(MONTH(LstMachines[[#This Row],[VteESM]])&lt;10,"0","") &amp; MONTH(LstMachines[[#This Row],[VteESM]]) &amp; "-" &amp; YEAR(LstMachines[[#This Row],[VteESM]])</f>
        <v>10-2019</v>
      </c>
      <c r="AF373" s="258">
        <f>LstMachines[[#This Row],[DateLivr]]+Rglt_à_ESMTP</f>
        <v>43691</v>
      </c>
      <c r="AG373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73" s="258">
        <f>LstMachines[[#This Row],[VteESM]]+Rglt_à_ESMTP</f>
        <v>43811</v>
      </c>
      <c r="AI373" s="258" t="str">
        <f xml:space="preserve"> IF(MONTH(LstMachines[[#This Row],[RgltVteESM]])&lt;10,"0","") &amp; MONTH(LstMachines[[#This Row],[RgltVteESM]]) &amp; "-" &amp; YEAR(LstMachines[[#This Row],[RgltVteESM]])</f>
        <v>12-2019</v>
      </c>
      <c r="AJ373" s="140">
        <f>MONTH(LstMachines[[#This Row],[DatePaie]])</f>
        <v>8</v>
      </c>
      <c r="AK373" s="88" t="str">
        <f>FIXED(YEAR(LstMachines[[#This Row],[DatePaie]]),0,TRUE)</f>
        <v>2019</v>
      </c>
      <c r="AL373" s="140"/>
      <c r="AM373" s="415"/>
      <c r="AN373"/>
      <c r="AV373" s="93"/>
      <c r="AW373" s="92"/>
      <c r="AY373" s="92"/>
      <c r="AZ373" s="72"/>
      <c r="BA373" s="119"/>
      <c r="BB373" s="99"/>
      <c r="BC373" s="92"/>
      <c r="BD373" s="92"/>
      <c r="BE373" s="92"/>
    </row>
    <row r="374" spans="2:57" hidden="1">
      <c r="B374" s="104" t="s">
        <v>263</v>
      </c>
      <c r="C374" s="104" t="s">
        <v>250</v>
      </c>
      <c r="D374" s="87">
        <v>145</v>
      </c>
      <c r="E374" s="86" t="s">
        <v>228</v>
      </c>
      <c r="F374" s="87" t="s">
        <v>297</v>
      </c>
      <c r="G374" s="87" t="s">
        <v>32</v>
      </c>
      <c r="H374" s="89">
        <v>1</v>
      </c>
      <c r="I37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115</v>
      </c>
      <c r="J374" s="88">
        <v>43631</v>
      </c>
      <c r="K374" s="99" t="s">
        <v>461</v>
      </c>
      <c r="L374" s="132" t="s">
        <v>387</v>
      </c>
      <c r="M374" s="99"/>
      <c r="N374" s="90"/>
      <c r="O374" s="255">
        <f>MONTH(LstMachines[[#This Row],[Delivery]])</f>
        <v>6</v>
      </c>
      <c r="P374" s="256" t="str">
        <f>FIXED(YEAR(LstMachines[[#This Row],[Delivery]]),0,TRUE)</f>
        <v>2019</v>
      </c>
      <c r="Q374" s="73"/>
      <c r="R374" s="93"/>
      <c r="S374" s="90"/>
      <c r="T374" s="90"/>
      <c r="U374" s="90" t="s">
        <v>105</v>
      </c>
      <c r="V374" s="72"/>
      <c r="W374" s="99" t="s">
        <v>384</v>
      </c>
      <c r="X374" s="258">
        <f>LstMachines[[#This Row],[Delivery]]</f>
        <v>43631</v>
      </c>
      <c r="Y374" s="258" t="str">
        <f xml:space="preserve"> IF(MONTH(LstMachines[[#This Row],[DateLivr]])&lt;10,"0","") &amp; MONTH(LstMachines[[#This Row],[DateLivr]]) &amp;"-"&amp;YEAR(LstMachines[[#This Row],[DateLivr]])</f>
        <v>06-2019</v>
      </c>
      <c r="Z374" s="258">
        <f>LstMachines[[#This Row],[Delivery]]+Rglt_à_HCME</f>
        <v>43691</v>
      </c>
      <c r="AA374" s="258" t="str">
        <f xml:space="preserve"> IF(MONTH(LstMachines[[#This Row],[DatePaie]])&lt;10,"0","") &amp; MONTH(LstMachines[[#This Row],[DatePaie]])&amp;"-"&amp;YEAR(LstMachines[[#This Row],[DatePaie]])</f>
        <v>08-2019</v>
      </c>
      <c r="AB374" s="258">
        <f>LstMachines[[#This Row],[DateLivr]]+1</f>
        <v>43632</v>
      </c>
      <c r="AC374" s="258" t="str">
        <f xml:space="preserve"> IF(MONTH(LstMachines[[#This Row],[Distrib]])&lt;10,"0","") &amp; MONTH(LstMachines[[#This Row],[Distrib]]) &amp; "-" &amp; YEAR(LstMachines[[#This Row],[Distrib]])</f>
        <v>06-2019</v>
      </c>
      <c r="AD374" s="258">
        <f>LstMachines[[#This Row],[DateLivr]]+Délai_Vente</f>
        <v>43751</v>
      </c>
      <c r="AE374" s="258" t="str">
        <f xml:space="preserve"> IF(MONTH(LstMachines[[#This Row],[VteESM]])&lt;10,"0","") &amp; MONTH(LstMachines[[#This Row],[VteESM]]) &amp; "-" &amp; YEAR(LstMachines[[#This Row],[VteESM]])</f>
        <v>10-2019</v>
      </c>
      <c r="AF374" s="258">
        <f>LstMachines[[#This Row],[DateLivr]]+Rglt_à_ESMTP</f>
        <v>43691</v>
      </c>
      <c r="AG374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74" s="258">
        <f>LstMachines[[#This Row],[VteESM]]+Rglt_à_ESMTP</f>
        <v>43811</v>
      </c>
      <c r="AI374" s="258" t="str">
        <f xml:space="preserve"> IF(MONTH(LstMachines[[#This Row],[RgltVteESM]])&lt;10,"0","") &amp; MONTH(LstMachines[[#This Row],[RgltVteESM]]) &amp; "-" &amp; YEAR(LstMachines[[#This Row],[RgltVteESM]])</f>
        <v>12-2019</v>
      </c>
      <c r="AJ374" s="140">
        <f>MONTH(LstMachines[[#This Row],[DatePaie]])</f>
        <v>8</v>
      </c>
      <c r="AK374" s="88" t="str">
        <f>FIXED(YEAR(LstMachines[[#This Row],[DatePaie]]),0,TRUE)</f>
        <v>2019</v>
      </c>
      <c r="AL374" s="140"/>
      <c r="AM374" s="415"/>
      <c r="AN374"/>
      <c r="AV374" s="93"/>
      <c r="AW374" s="92"/>
      <c r="AY374" s="92"/>
      <c r="AZ374" s="72"/>
      <c r="BA374" s="119"/>
      <c r="BB374" s="99"/>
      <c r="BC374" s="92"/>
      <c r="BD374" s="92"/>
      <c r="BE374" s="92"/>
    </row>
    <row r="375" spans="2:57" hidden="1">
      <c r="B375" s="104" t="s">
        <v>262</v>
      </c>
      <c r="C375" s="104" t="s">
        <v>43</v>
      </c>
      <c r="D375" s="87">
        <v>210</v>
      </c>
      <c r="E375" s="104" t="s">
        <v>89</v>
      </c>
      <c r="F375" s="87" t="s">
        <v>297</v>
      </c>
      <c r="G375" s="87" t="s">
        <v>32</v>
      </c>
      <c r="H375" s="89">
        <v>1</v>
      </c>
      <c r="I37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118</v>
      </c>
      <c r="J375" s="88">
        <v>43631</v>
      </c>
      <c r="K375" s="99" t="s">
        <v>461</v>
      </c>
      <c r="L375" s="132" t="s">
        <v>387</v>
      </c>
      <c r="M375" s="99"/>
      <c r="N375" s="90"/>
      <c r="O375" s="255">
        <f>MONTH(LstMachines[[#This Row],[Delivery]])</f>
        <v>6</v>
      </c>
      <c r="P375" s="256" t="str">
        <f>FIXED(YEAR(LstMachines[[#This Row],[Delivery]]),0,TRUE)</f>
        <v>2019</v>
      </c>
      <c r="Q375" s="73"/>
      <c r="R375" s="93"/>
      <c r="S375" s="90"/>
      <c r="T375" s="90"/>
      <c r="U375" s="90" t="s">
        <v>104</v>
      </c>
      <c r="V375" s="72"/>
      <c r="W375" s="99" t="s">
        <v>383</v>
      </c>
      <c r="X375" s="258">
        <f>LstMachines[[#This Row],[Delivery]]</f>
        <v>43631</v>
      </c>
      <c r="Y375" s="258" t="str">
        <f xml:space="preserve"> IF(MONTH(LstMachines[[#This Row],[DateLivr]])&lt;10,"0","") &amp; MONTH(LstMachines[[#This Row],[DateLivr]]) &amp;"-"&amp;YEAR(LstMachines[[#This Row],[DateLivr]])</f>
        <v>06-2019</v>
      </c>
      <c r="Z375" s="258">
        <f>LstMachines[[#This Row],[Delivery]]+Rglt_à_HCME</f>
        <v>43691</v>
      </c>
      <c r="AA375" s="258" t="str">
        <f xml:space="preserve"> IF(MONTH(LstMachines[[#This Row],[DatePaie]])&lt;10,"0","") &amp; MONTH(LstMachines[[#This Row],[DatePaie]])&amp;"-"&amp;YEAR(LstMachines[[#This Row],[DatePaie]])</f>
        <v>08-2019</v>
      </c>
      <c r="AB375" s="258">
        <f>LstMachines[[#This Row],[DateLivr]]+1</f>
        <v>43632</v>
      </c>
      <c r="AC375" s="258" t="str">
        <f xml:space="preserve"> IF(MONTH(LstMachines[[#This Row],[Distrib]])&lt;10,"0","") &amp; MONTH(LstMachines[[#This Row],[Distrib]]) &amp; "-" &amp; YEAR(LstMachines[[#This Row],[Distrib]])</f>
        <v>06-2019</v>
      </c>
      <c r="AD375" s="258">
        <f>LstMachines[[#This Row],[DateLivr]]+Délai_Vente</f>
        <v>43751</v>
      </c>
      <c r="AE375" s="258" t="str">
        <f xml:space="preserve"> IF(MONTH(LstMachines[[#This Row],[VteESM]])&lt;10,"0","") &amp; MONTH(LstMachines[[#This Row],[VteESM]]) &amp; "-" &amp; YEAR(LstMachines[[#This Row],[VteESM]])</f>
        <v>10-2019</v>
      </c>
      <c r="AF375" s="258">
        <f>LstMachines[[#This Row],[DateLivr]]+Rglt_à_ESMTP</f>
        <v>43691</v>
      </c>
      <c r="AG375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75" s="258">
        <f>LstMachines[[#This Row],[VteESM]]+Rglt_à_ESMTP</f>
        <v>43811</v>
      </c>
      <c r="AI375" s="258" t="str">
        <f xml:space="preserve"> IF(MONTH(LstMachines[[#This Row],[RgltVteESM]])&lt;10,"0","") &amp; MONTH(LstMachines[[#This Row],[RgltVteESM]]) &amp; "-" &amp; YEAR(LstMachines[[#This Row],[RgltVteESM]])</f>
        <v>12-2019</v>
      </c>
      <c r="AJ375" s="140">
        <f>MONTH(LstMachines[[#This Row],[DatePaie]])</f>
        <v>8</v>
      </c>
      <c r="AK375" s="88" t="str">
        <f>FIXED(YEAR(LstMachines[[#This Row],[DatePaie]]),0,TRUE)</f>
        <v>2019</v>
      </c>
      <c r="AL375" s="140"/>
      <c r="AM375" s="415"/>
      <c r="AN375"/>
      <c r="AV375" s="93"/>
      <c r="AW375" s="92"/>
      <c r="AY375" s="92"/>
      <c r="AZ375" s="72"/>
      <c r="BA375" s="119"/>
      <c r="BB375" s="99"/>
      <c r="BC375" s="92"/>
      <c r="BD375" s="92"/>
      <c r="BE375" s="92"/>
    </row>
    <row r="376" spans="2:57" hidden="1">
      <c r="B376" s="104" t="s">
        <v>262</v>
      </c>
      <c r="C376" s="104" t="s">
        <v>43</v>
      </c>
      <c r="D376" s="87">
        <v>210</v>
      </c>
      <c r="E376" s="104" t="s">
        <v>89</v>
      </c>
      <c r="F376" s="87" t="s">
        <v>297</v>
      </c>
      <c r="G376" s="87" t="s">
        <v>32</v>
      </c>
      <c r="H376" s="89">
        <v>1</v>
      </c>
      <c r="I37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118</v>
      </c>
      <c r="J376" s="88">
        <v>43631</v>
      </c>
      <c r="K376" s="99" t="s">
        <v>461</v>
      </c>
      <c r="L376" s="132" t="s">
        <v>387</v>
      </c>
      <c r="M376" s="99"/>
      <c r="N376" s="90"/>
      <c r="O376" s="255">
        <f>MONTH(LstMachines[[#This Row],[Delivery]])</f>
        <v>6</v>
      </c>
      <c r="P376" s="256" t="str">
        <f>FIXED(YEAR(LstMachines[[#This Row],[Delivery]]),0,TRUE)</f>
        <v>2019</v>
      </c>
      <c r="Q376" s="73"/>
      <c r="R376" s="93"/>
      <c r="S376" s="90"/>
      <c r="T376" s="90"/>
      <c r="U376" s="90" t="s">
        <v>105</v>
      </c>
      <c r="V376" s="72"/>
      <c r="W376" s="99" t="s">
        <v>384</v>
      </c>
      <c r="X376" s="258">
        <f>LstMachines[[#This Row],[Delivery]]</f>
        <v>43631</v>
      </c>
      <c r="Y376" s="258" t="str">
        <f xml:space="preserve"> IF(MONTH(LstMachines[[#This Row],[DateLivr]])&lt;10,"0","") &amp; MONTH(LstMachines[[#This Row],[DateLivr]]) &amp;"-"&amp;YEAR(LstMachines[[#This Row],[DateLivr]])</f>
        <v>06-2019</v>
      </c>
      <c r="Z376" s="258">
        <f>LstMachines[[#This Row],[Delivery]]+Rglt_à_HCME</f>
        <v>43691</v>
      </c>
      <c r="AA376" s="258" t="str">
        <f xml:space="preserve"> IF(MONTH(LstMachines[[#This Row],[DatePaie]])&lt;10,"0","") &amp; MONTH(LstMachines[[#This Row],[DatePaie]])&amp;"-"&amp;YEAR(LstMachines[[#This Row],[DatePaie]])</f>
        <v>08-2019</v>
      </c>
      <c r="AB376" s="258">
        <f>LstMachines[[#This Row],[DateLivr]]+1</f>
        <v>43632</v>
      </c>
      <c r="AC376" s="258" t="str">
        <f xml:space="preserve"> IF(MONTH(LstMachines[[#This Row],[Distrib]])&lt;10,"0","") &amp; MONTH(LstMachines[[#This Row],[Distrib]]) &amp; "-" &amp; YEAR(LstMachines[[#This Row],[Distrib]])</f>
        <v>06-2019</v>
      </c>
      <c r="AD376" s="258">
        <f>LstMachines[[#This Row],[DateLivr]]+Délai_Vente</f>
        <v>43751</v>
      </c>
      <c r="AE376" s="258" t="str">
        <f xml:space="preserve"> IF(MONTH(LstMachines[[#This Row],[VteESM]])&lt;10,"0","") &amp; MONTH(LstMachines[[#This Row],[VteESM]]) &amp; "-" &amp; YEAR(LstMachines[[#This Row],[VteESM]])</f>
        <v>10-2019</v>
      </c>
      <c r="AF376" s="258">
        <f>LstMachines[[#This Row],[DateLivr]]+Rglt_à_ESMTP</f>
        <v>43691</v>
      </c>
      <c r="AG376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76" s="258">
        <f>LstMachines[[#This Row],[VteESM]]+Rglt_à_ESMTP</f>
        <v>43811</v>
      </c>
      <c r="AI376" s="258" t="str">
        <f xml:space="preserve"> IF(MONTH(LstMachines[[#This Row],[RgltVteESM]])&lt;10,"0","") &amp; MONTH(LstMachines[[#This Row],[RgltVteESM]]) &amp; "-" &amp; YEAR(LstMachines[[#This Row],[RgltVteESM]])</f>
        <v>12-2019</v>
      </c>
      <c r="AJ376" s="140">
        <f>MONTH(LstMachines[[#This Row],[DatePaie]])</f>
        <v>8</v>
      </c>
      <c r="AK376" s="88" t="str">
        <f>FIXED(YEAR(LstMachines[[#This Row],[DatePaie]]),0,TRUE)</f>
        <v>2019</v>
      </c>
      <c r="AL376" s="140"/>
      <c r="AM376" s="415"/>
      <c r="AN376"/>
      <c r="AV376" s="93"/>
      <c r="AW376" s="92"/>
      <c r="AY376" s="92"/>
      <c r="AZ376" s="72"/>
      <c r="BA376" s="119"/>
      <c r="BB376" s="99"/>
      <c r="BC376" s="92"/>
      <c r="BD376" s="92"/>
      <c r="BE376" s="92"/>
    </row>
    <row r="377" spans="2:57" hidden="1">
      <c r="B377" s="104" t="s">
        <v>75</v>
      </c>
      <c r="C377" s="104" t="s">
        <v>37</v>
      </c>
      <c r="D377" s="87">
        <v>48</v>
      </c>
      <c r="E377" s="104" t="s">
        <v>363</v>
      </c>
      <c r="F377" s="87" t="s">
        <v>297</v>
      </c>
      <c r="G377" s="87" t="s">
        <v>32</v>
      </c>
      <c r="H377" s="89">
        <v>3</v>
      </c>
      <c r="I37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123</v>
      </c>
      <c r="J377" s="88">
        <v>43631</v>
      </c>
      <c r="K377" s="99" t="s">
        <v>461</v>
      </c>
      <c r="L377" s="132" t="s">
        <v>387</v>
      </c>
      <c r="M377" s="99"/>
      <c r="N377" s="90"/>
      <c r="O377" s="255">
        <f>MONTH(LstMachines[[#This Row],[Delivery]])</f>
        <v>6</v>
      </c>
      <c r="P377" s="256" t="str">
        <f>FIXED(YEAR(LstMachines[[#This Row],[Delivery]]),0,TRUE)</f>
        <v>2019</v>
      </c>
      <c r="Q377" s="73"/>
      <c r="R377" s="93"/>
      <c r="S377" s="90"/>
      <c r="T377" s="90"/>
      <c r="U377" s="90" t="s">
        <v>105</v>
      </c>
      <c r="V377" s="72"/>
      <c r="W377" s="99" t="s">
        <v>384</v>
      </c>
      <c r="X377" s="258">
        <f>LstMachines[[#This Row],[Delivery]]</f>
        <v>43631</v>
      </c>
      <c r="Y377" s="258" t="str">
        <f xml:space="preserve"> IF(MONTH(LstMachines[[#This Row],[DateLivr]])&lt;10,"0","") &amp; MONTH(LstMachines[[#This Row],[DateLivr]]) &amp;"-"&amp;YEAR(LstMachines[[#This Row],[DateLivr]])</f>
        <v>06-2019</v>
      </c>
      <c r="Z377" s="258">
        <f>LstMachines[[#This Row],[Delivery]]+Rglt_à_HCME</f>
        <v>43691</v>
      </c>
      <c r="AA377" s="258" t="str">
        <f xml:space="preserve"> IF(MONTH(LstMachines[[#This Row],[DatePaie]])&lt;10,"0","") &amp; MONTH(LstMachines[[#This Row],[DatePaie]])&amp;"-"&amp;YEAR(LstMachines[[#This Row],[DatePaie]])</f>
        <v>08-2019</v>
      </c>
      <c r="AB377" s="258">
        <f>LstMachines[[#This Row],[DateLivr]]+1</f>
        <v>43632</v>
      </c>
      <c r="AC377" s="258" t="str">
        <f xml:space="preserve"> IF(MONTH(LstMachines[[#This Row],[Distrib]])&lt;10,"0","") &amp; MONTH(LstMachines[[#This Row],[Distrib]]) &amp; "-" &amp; YEAR(LstMachines[[#This Row],[Distrib]])</f>
        <v>06-2019</v>
      </c>
      <c r="AD377" s="258">
        <f>LstMachines[[#This Row],[DateLivr]]+Délai_Vente</f>
        <v>43751</v>
      </c>
      <c r="AE377" s="258" t="str">
        <f xml:space="preserve"> IF(MONTH(LstMachines[[#This Row],[VteESM]])&lt;10,"0","") &amp; MONTH(LstMachines[[#This Row],[VteESM]]) &amp; "-" &amp; YEAR(LstMachines[[#This Row],[VteESM]])</f>
        <v>10-2019</v>
      </c>
      <c r="AF377" s="258">
        <f>LstMachines[[#This Row],[DateLivr]]+Rglt_à_ESMTP</f>
        <v>43691</v>
      </c>
      <c r="AG377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77" s="258">
        <f>LstMachines[[#This Row],[VteESM]]+Rglt_à_ESMTP</f>
        <v>43811</v>
      </c>
      <c r="AI377" s="258" t="str">
        <f xml:space="preserve"> IF(MONTH(LstMachines[[#This Row],[RgltVteESM]])&lt;10,"0","") &amp; MONTH(LstMachines[[#This Row],[RgltVteESM]]) &amp; "-" &amp; YEAR(LstMachines[[#This Row],[RgltVteESM]])</f>
        <v>12-2019</v>
      </c>
      <c r="AJ377" s="140">
        <f>MONTH(LstMachines[[#This Row],[DatePaie]])</f>
        <v>8</v>
      </c>
      <c r="AK377" s="88" t="str">
        <f>FIXED(YEAR(LstMachines[[#This Row],[DatePaie]]),0,TRUE)</f>
        <v>2019</v>
      </c>
      <c r="AL377" s="140"/>
      <c r="AM377" s="415"/>
      <c r="AN377"/>
      <c r="AV377" s="93"/>
      <c r="AW377" s="92"/>
      <c r="AY377" s="92"/>
      <c r="AZ377" s="72"/>
      <c r="BA377" s="119"/>
      <c r="BB377" s="99"/>
      <c r="BC377" s="92"/>
      <c r="BD377" s="92"/>
      <c r="BE377" s="92"/>
    </row>
    <row r="378" spans="2:57" hidden="1">
      <c r="B378" s="104" t="s">
        <v>262</v>
      </c>
      <c r="C378" s="104" t="s">
        <v>39</v>
      </c>
      <c r="D378" s="87">
        <v>85</v>
      </c>
      <c r="E378" s="86" t="s">
        <v>356</v>
      </c>
      <c r="F378" s="87" t="s">
        <v>297</v>
      </c>
      <c r="G378" s="87" t="s">
        <v>32</v>
      </c>
      <c r="H378" s="89">
        <v>2</v>
      </c>
      <c r="I37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378" s="88">
        <v>43631</v>
      </c>
      <c r="K378" s="99" t="s">
        <v>461</v>
      </c>
      <c r="L378" s="132" t="s">
        <v>387</v>
      </c>
      <c r="M378" s="99"/>
      <c r="N378" s="90"/>
      <c r="O378" s="255">
        <f>MONTH(LstMachines[[#This Row],[Delivery]])</f>
        <v>6</v>
      </c>
      <c r="P378" s="256" t="str">
        <f>FIXED(YEAR(LstMachines[[#This Row],[Delivery]]),0,TRUE)</f>
        <v>2019</v>
      </c>
      <c r="Q378" s="73"/>
      <c r="R378" s="93"/>
      <c r="S378" s="90"/>
      <c r="T378" s="90"/>
      <c r="U378" s="90" t="s">
        <v>105</v>
      </c>
      <c r="V378" s="72"/>
      <c r="W378" s="99" t="s">
        <v>384</v>
      </c>
      <c r="X378" s="258">
        <f>LstMachines[[#This Row],[Delivery]]</f>
        <v>43631</v>
      </c>
      <c r="Y378" s="258" t="str">
        <f xml:space="preserve"> IF(MONTH(LstMachines[[#This Row],[DateLivr]])&lt;10,"0","") &amp; MONTH(LstMachines[[#This Row],[DateLivr]]) &amp;"-"&amp;YEAR(LstMachines[[#This Row],[DateLivr]])</f>
        <v>06-2019</v>
      </c>
      <c r="Z378" s="258">
        <f>LstMachines[[#This Row],[Delivery]]+Rglt_à_HCME</f>
        <v>43691</v>
      </c>
      <c r="AA378" s="258" t="str">
        <f xml:space="preserve"> IF(MONTH(LstMachines[[#This Row],[DatePaie]])&lt;10,"0","") &amp; MONTH(LstMachines[[#This Row],[DatePaie]])&amp;"-"&amp;YEAR(LstMachines[[#This Row],[DatePaie]])</f>
        <v>08-2019</v>
      </c>
      <c r="AB378" s="258">
        <f>LstMachines[[#This Row],[DateLivr]]+1</f>
        <v>43632</v>
      </c>
      <c r="AC378" s="258" t="str">
        <f xml:space="preserve"> IF(MONTH(LstMachines[[#This Row],[Distrib]])&lt;10,"0","") &amp; MONTH(LstMachines[[#This Row],[Distrib]]) &amp; "-" &amp; YEAR(LstMachines[[#This Row],[Distrib]])</f>
        <v>06-2019</v>
      </c>
      <c r="AD378" s="258">
        <f>LstMachines[[#This Row],[DateLivr]]+Délai_Vente</f>
        <v>43751</v>
      </c>
      <c r="AE378" s="258" t="str">
        <f xml:space="preserve"> IF(MONTH(LstMachines[[#This Row],[VteESM]])&lt;10,"0","") &amp; MONTH(LstMachines[[#This Row],[VteESM]]) &amp; "-" &amp; YEAR(LstMachines[[#This Row],[VteESM]])</f>
        <v>10-2019</v>
      </c>
      <c r="AF378" s="258">
        <f>LstMachines[[#This Row],[DateLivr]]+Rglt_à_ESMTP</f>
        <v>43691</v>
      </c>
      <c r="AG378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78" s="258">
        <f>LstMachines[[#This Row],[VteESM]]+Rglt_à_ESMTP</f>
        <v>43811</v>
      </c>
      <c r="AI378" s="258" t="str">
        <f xml:space="preserve"> IF(MONTH(LstMachines[[#This Row],[RgltVteESM]])&lt;10,"0","") &amp; MONTH(LstMachines[[#This Row],[RgltVteESM]]) &amp; "-" &amp; YEAR(LstMachines[[#This Row],[RgltVteESM]])</f>
        <v>12-2019</v>
      </c>
      <c r="AJ378" s="140">
        <f>MONTH(LstMachines[[#This Row],[DatePaie]])</f>
        <v>8</v>
      </c>
      <c r="AK378" s="88" t="str">
        <f>FIXED(YEAR(LstMachines[[#This Row],[DatePaie]]),0,TRUE)</f>
        <v>2019</v>
      </c>
      <c r="AL378" s="140"/>
      <c r="AM378" s="415"/>
      <c r="AN378"/>
      <c r="AV378" s="93"/>
      <c r="AW378" s="92"/>
      <c r="AY378" s="92"/>
      <c r="AZ378" s="72"/>
      <c r="BA378" s="119"/>
      <c r="BB378" s="99"/>
      <c r="BC378" s="92"/>
      <c r="BD378" s="92"/>
      <c r="BE378" s="92"/>
    </row>
    <row r="379" spans="2:57" hidden="1">
      <c r="B379" s="104" t="s">
        <v>259</v>
      </c>
      <c r="C379" s="104" t="s">
        <v>49</v>
      </c>
      <c r="D379" s="87">
        <v>310</v>
      </c>
      <c r="E379" s="86" t="s">
        <v>177</v>
      </c>
      <c r="F379" s="87" t="s">
        <v>297</v>
      </c>
      <c r="G379" s="87" t="s">
        <v>32</v>
      </c>
      <c r="H379" s="89">
        <v>1</v>
      </c>
      <c r="I37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180</v>
      </c>
      <c r="J379" s="88">
        <v>43631</v>
      </c>
      <c r="K379" s="99" t="s">
        <v>461</v>
      </c>
      <c r="L379" s="132" t="s">
        <v>387</v>
      </c>
      <c r="M379" s="99"/>
      <c r="N379" s="90"/>
      <c r="O379" s="255">
        <f>MONTH(LstMachines[[#This Row],[Delivery]])</f>
        <v>6</v>
      </c>
      <c r="P379" s="256" t="str">
        <f>FIXED(YEAR(LstMachines[[#This Row],[Delivery]]),0,TRUE)</f>
        <v>2019</v>
      </c>
      <c r="Q379" s="73"/>
      <c r="R379" s="93"/>
      <c r="S379" s="90"/>
      <c r="T379" s="90"/>
      <c r="U379" s="90" t="s">
        <v>105</v>
      </c>
      <c r="V379" s="72"/>
      <c r="W379" s="99" t="s">
        <v>384</v>
      </c>
      <c r="X379" s="258">
        <f>LstMachines[[#This Row],[Delivery]]</f>
        <v>43631</v>
      </c>
      <c r="Y379" s="258" t="str">
        <f xml:space="preserve"> IF(MONTH(LstMachines[[#This Row],[DateLivr]])&lt;10,"0","") &amp; MONTH(LstMachines[[#This Row],[DateLivr]]) &amp;"-"&amp;YEAR(LstMachines[[#This Row],[DateLivr]])</f>
        <v>06-2019</v>
      </c>
      <c r="Z379" s="258">
        <f>LstMachines[[#This Row],[Delivery]]+Rglt_à_HCME</f>
        <v>43691</v>
      </c>
      <c r="AA379" s="258" t="str">
        <f xml:space="preserve"> IF(MONTH(LstMachines[[#This Row],[DatePaie]])&lt;10,"0","") &amp; MONTH(LstMachines[[#This Row],[DatePaie]])&amp;"-"&amp;YEAR(LstMachines[[#This Row],[DatePaie]])</f>
        <v>08-2019</v>
      </c>
      <c r="AB379" s="258">
        <f>LstMachines[[#This Row],[DateLivr]]+1</f>
        <v>43632</v>
      </c>
      <c r="AC379" s="258" t="str">
        <f xml:space="preserve"> IF(MONTH(LstMachines[[#This Row],[Distrib]])&lt;10,"0","") &amp; MONTH(LstMachines[[#This Row],[Distrib]]) &amp; "-" &amp; YEAR(LstMachines[[#This Row],[Distrib]])</f>
        <v>06-2019</v>
      </c>
      <c r="AD379" s="258">
        <f>LstMachines[[#This Row],[DateLivr]]+Délai_Vente</f>
        <v>43751</v>
      </c>
      <c r="AE379" s="258" t="str">
        <f xml:space="preserve"> IF(MONTH(LstMachines[[#This Row],[VteESM]])&lt;10,"0","") &amp; MONTH(LstMachines[[#This Row],[VteESM]]) &amp; "-" &amp; YEAR(LstMachines[[#This Row],[VteESM]])</f>
        <v>10-2019</v>
      </c>
      <c r="AF379" s="258">
        <f>LstMachines[[#This Row],[DateLivr]]+Rglt_à_ESMTP</f>
        <v>43691</v>
      </c>
      <c r="AG379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79" s="258">
        <f>LstMachines[[#This Row],[VteESM]]+Rglt_à_ESMTP</f>
        <v>43811</v>
      </c>
      <c r="AI379" s="258" t="str">
        <f xml:space="preserve"> IF(MONTH(LstMachines[[#This Row],[RgltVteESM]])&lt;10,"0","") &amp; MONTH(LstMachines[[#This Row],[RgltVteESM]]) &amp; "-" &amp; YEAR(LstMachines[[#This Row],[RgltVteESM]])</f>
        <v>12-2019</v>
      </c>
      <c r="AJ379" s="140">
        <f>MONTH(LstMachines[[#This Row],[DatePaie]])</f>
        <v>8</v>
      </c>
      <c r="AK379" s="88" t="str">
        <f>FIXED(YEAR(LstMachines[[#This Row],[DatePaie]]),0,TRUE)</f>
        <v>2019</v>
      </c>
      <c r="AL379" s="140"/>
      <c r="AM379" s="415"/>
      <c r="AN379"/>
      <c r="AV379" s="93"/>
      <c r="AW379" s="92"/>
      <c r="AY379" s="92"/>
      <c r="AZ379" s="72"/>
      <c r="BA379" s="119"/>
      <c r="BB379" s="99"/>
      <c r="BC379" s="92"/>
      <c r="BD379" s="92"/>
      <c r="BE379" s="92"/>
    </row>
    <row r="380" spans="2:57" hidden="1">
      <c r="B380" s="104" t="s">
        <v>262</v>
      </c>
      <c r="C380" s="104" t="s">
        <v>46</v>
      </c>
      <c r="D380" s="87">
        <v>350</v>
      </c>
      <c r="E380" s="86" t="s">
        <v>218</v>
      </c>
      <c r="F380" s="87" t="s">
        <v>297</v>
      </c>
      <c r="G380" s="87" t="s">
        <v>32</v>
      </c>
      <c r="H380" s="89">
        <v>1</v>
      </c>
      <c r="I38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188</v>
      </c>
      <c r="J380" s="88">
        <v>43631</v>
      </c>
      <c r="K380" s="99" t="s">
        <v>461</v>
      </c>
      <c r="L380" s="132" t="s">
        <v>387</v>
      </c>
      <c r="M380" s="99"/>
      <c r="N380" s="90"/>
      <c r="O380" s="255">
        <f>MONTH(LstMachines[[#This Row],[Delivery]])</f>
        <v>6</v>
      </c>
      <c r="P380" s="256" t="str">
        <f>FIXED(YEAR(LstMachines[[#This Row],[Delivery]]),0,TRUE)</f>
        <v>2019</v>
      </c>
      <c r="Q380" s="73"/>
      <c r="R380" s="93"/>
      <c r="S380" s="90"/>
      <c r="T380" s="90"/>
      <c r="U380" s="90" t="s">
        <v>105</v>
      </c>
      <c r="V380" s="72"/>
      <c r="W380" s="99" t="s">
        <v>384</v>
      </c>
      <c r="X380" s="258">
        <f>LstMachines[[#This Row],[Delivery]]</f>
        <v>43631</v>
      </c>
      <c r="Y380" s="258" t="str">
        <f xml:space="preserve"> IF(MONTH(LstMachines[[#This Row],[DateLivr]])&lt;10,"0","") &amp; MONTH(LstMachines[[#This Row],[DateLivr]]) &amp;"-"&amp;YEAR(LstMachines[[#This Row],[DateLivr]])</f>
        <v>06-2019</v>
      </c>
      <c r="Z380" s="258">
        <f>LstMachines[[#This Row],[Delivery]]+Rglt_à_HCME</f>
        <v>43691</v>
      </c>
      <c r="AA380" s="258" t="str">
        <f xml:space="preserve"> IF(MONTH(LstMachines[[#This Row],[DatePaie]])&lt;10,"0","") &amp; MONTH(LstMachines[[#This Row],[DatePaie]])&amp;"-"&amp;YEAR(LstMachines[[#This Row],[DatePaie]])</f>
        <v>08-2019</v>
      </c>
      <c r="AB380" s="258">
        <f>LstMachines[[#This Row],[DateLivr]]+1</f>
        <v>43632</v>
      </c>
      <c r="AC380" s="258" t="str">
        <f xml:space="preserve"> IF(MONTH(LstMachines[[#This Row],[Distrib]])&lt;10,"0","") &amp; MONTH(LstMachines[[#This Row],[Distrib]]) &amp; "-" &amp; YEAR(LstMachines[[#This Row],[Distrib]])</f>
        <v>06-2019</v>
      </c>
      <c r="AD380" s="258">
        <f>LstMachines[[#This Row],[DateLivr]]+Délai_Vente</f>
        <v>43751</v>
      </c>
      <c r="AE380" s="258" t="str">
        <f xml:space="preserve"> IF(MONTH(LstMachines[[#This Row],[VteESM]])&lt;10,"0","") &amp; MONTH(LstMachines[[#This Row],[VteESM]]) &amp; "-" &amp; YEAR(LstMachines[[#This Row],[VteESM]])</f>
        <v>10-2019</v>
      </c>
      <c r="AF380" s="258">
        <f>LstMachines[[#This Row],[DateLivr]]+Rglt_à_ESMTP</f>
        <v>43691</v>
      </c>
      <c r="AG380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80" s="258">
        <f>LstMachines[[#This Row],[VteESM]]+Rglt_à_ESMTP</f>
        <v>43811</v>
      </c>
      <c r="AI380" s="258" t="str">
        <f xml:space="preserve"> IF(MONTH(LstMachines[[#This Row],[RgltVteESM]])&lt;10,"0","") &amp; MONTH(LstMachines[[#This Row],[RgltVteESM]]) &amp; "-" &amp; YEAR(LstMachines[[#This Row],[RgltVteESM]])</f>
        <v>12-2019</v>
      </c>
      <c r="AJ380" s="140">
        <f>MONTH(LstMachines[[#This Row],[DatePaie]])</f>
        <v>8</v>
      </c>
      <c r="AK380" s="88" t="str">
        <f>FIXED(YEAR(LstMachines[[#This Row],[DatePaie]]),0,TRUE)</f>
        <v>2019</v>
      </c>
      <c r="AL380" s="140"/>
      <c r="AM380" s="415"/>
      <c r="AN380"/>
      <c r="AV380" s="93"/>
      <c r="AW380" s="92"/>
      <c r="AY380" s="92"/>
      <c r="AZ380" s="72"/>
      <c r="BA380" s="119"/>
      <c r="BB380" s="99"/>
      <c r="BC380" s="92"/>
      <c r="BD380" s="92"/>
      <c r="BE380" s="92"/>
    </row>
    <row r="381" spans="2:57" hidden="1">
      <c r="B381" s="104" t="s">
        <v>75</v>
      </c>
      <c r="C381" s="104" t="s">
        <v>35</v>
      </c>
      <c r="D381" s="87">
        <v>19</v>
      </c>
      <c r="E381" s="104" t="s">
        <v>76</v>
      </c>
      <c r="F381" s="87" t="s">
        <v>100</v>
      </c>
      <c r="G381" s="87" t="s">
        <v>31</v>
      </c>
      <c r="H381" s="89">
        <v>3</v>
      </c>
      <c r="I38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54</v>
      </c>
      <c r="J381" s="88">
        <v>43631</v>
      </c>
      <c r="K381" s="99" t="s">
        <v>461</v>
      </c>
      <c r="L381" s="132" t="s">
        <v>387</v>
      </c>
      <c r="M381" s="99"/>
      <c r="N381" s="90"/>
      <c r="O381" s="255">
        <f>MONTH(LstMachines[[#This Row],[Delivery]])</f>
        <v>6</v>
      </c>
      <c r="P381" s="256" t="str">
        <f>FIXED(YEAR(LstMachines[[#This Row],[Delivery]]),0,TRUE)</f>
        <v>2019</v>
      </c>
      <c r="Q381" s="73"/>
      <c r="R381" s="93"/>
      <c r="S381" s="90"/>
      <c r="T381" s="90"/>
      <c r="U381" s="90" t="s">
        <v>104</v>
      </c>
      <c r="V381" s="72"/>
      <c r="W381" s="99" t="s">
        <v>383</v>
      </c>
      <c r="X381" s="258">
        <f>LstMachines[[#This Row],[Delivery]]</f>
        <v>43631</v>
      </c>
      <c r="Y381" s="258" t="str">
        <f xml:space="preserve"> IF(MONTH(LstMachines[[#This Row],[DateLivr]])&lt;10,"0","") &amp; MONTH(LstMachines[[#This Row],[DateLivr]]) &amp;"-"&amp;YEAR(LstMachines[[#This Row],[DateLivr]])</f>
        <v>06-2019</v>
      </c>
      <c r="Z381" s="258">
        <f>LstMachines[[#This Row],[Delivery]]+Rglt_à_HCME</f>
        <v>43691</v>
      </c>
      <c r="AA381" s="258" t="str">
        <f xml:space="preserve"> IF(MONTH(LstMachines[[#This Row],[DatePaie]])&lt;10,"0","") &amp; MONTH(LstMachines[[#This Row],[DatePaie]])&amp;"-"&amp;YEAR(LstMachines[[#This Row],[DatePaie]])</f>
        <v>08-2019</v>
      </c>
      <c r="AB381" s="258">
        <f>LstMachines[[#This Row],[DateLivr]]+1</f>
        <v>43632</v>
      </c>
      <c r="AC381" s="258" t="str">
        <f xml:space="preserve"> IF(MONTH(LstMachines[[#This Row],[Distrib]])&lt;10,"0","") &amp; MONTH(LstMachines[[#This Row],[Distrib]]) &amp; "-" &amp; YEAR(LstMachines[[#This Row],[Distrib]])</f>
        <v>06-2019</v>
      </c>
      <c r="AD381" s="258">
        <f>LstMachines[[#This Row],[DateLivr]]+Délai_Vente</f>
        <v>43751</v>
      </c>
      <c r="AE381" s="258" t="str">
        <f xml:space="preserve"> IF(MONTH(LstMachines[[#This Row],[VteESM]])&lt;10,"0","") &amp; MONTH(LstMachines[[#This Row],[VteESM]]) &amp; "-" &amp; YEAR(LstMachines[[#This Row],[VteESM]])</f>
        <v>10-2019</v>
      </c>
      <c r="AF381" s="258">
        <f>LstMachines[[#This Row],[DateLivr]]+Rglt_à_ESMTP</f>
        <v>43691</v>
      </c>
      <c r="AG381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81" s="258">
        <f>LstMachines[[#This Row],[VteESM]]+Rglt_à_ESMTP</f>
        <v>43811</v>
      </c>
      <c r="AI381" s="258" t="str">
        <f xml:space="preserve"> IF(MONTH(LstMachines[[#This Row],[RgltVteESM]])&lt;10,"0","") &amp; MONTH(LstMachines[[#This Row],[RgltVteESM]]) &amp; "-" &amp; YEAR(LstMachines[[#This Row],[RgltVteESM]])</f>
        <v>12-2019</v>
      </c>
      <c r="AJ381" s="140">
        <f>MONTH(LstMachines[[#This Row],[DatePaie]])</f>
        <v>8</v>
      </c>
      <c r="AK381" s="88" t="str">
        <f>FIXED(YEAR(LstMachines[[#This Row],[DatePaie]]),0,TRUE)</f>
        <v>2019</v>
      </c>
      <c r="AL381" s="140"/>
      <c r="AM381" s="415"/>
      <c r="AN381"/>
      <c r="AV381" s="93"/>
      <c r="AW381" s="92"/>
      <c r="AY381" s="92"/>
      <c r="AZ381" s="72"/>
      <c r="BA381" s="119"/>
      <c r="BB381" s="99"/>
      <c r="BC381" s="92"/>
      <c r="BD381" s="92"/>
      <c r="BE381" s="92"/>
    </row>
    <row r="382" spans="2:57" hidden="1">
      <c r="B382" s="104" t="s">
        <v>262</v>
      </c>
      <c r="C382" s="104" t="s">
        <v>40</v>
      </c>
      <c r="D382" s="87">
        <v>135</v>
      </c>
      <c r="E382" s="104" t="s">
        <v>87</v>
      </c>
      <c r="F382" s="87" t="s">
        <v>100</v>
      </c>
      <c r="G382" s="87" t="s">
        <v>31</v>
      </c>
      <c r="H382" s="89">
        <v>1</v>
      </c>
      <c r="I38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382" s="88">
        <v>43631</v>
      </c>
      <c r="K382" s="99" t="s">
        <v>461</v>
      </c>
      <c r="L382" s="132" t="s">
        <v>387</v>
      </c>
      <c r="M382" s="99"/>
      <c r="N382" s="90"/>
      <c r="O382" s="255">
        <f>MONTH(LstMachines[[#This Row],[Delivery]])</f>
        <v>6</v>
      </c>
      <c r="P382" s="256" t="str">
        <f>FIXED(YEAR(LstMachines[[#This Row],[Delivery]]),0,TRUE)</f>
        <v>2019</v>
      </c>
      <c r="Q382" s="73"/>
      <c r="R382" s="93"/>
      <c r="S382" s="90"/>
      <c r="T382" s="90"/>
      <c r="U382" s="90" t="s">
        <v>104</v>
      </c>
      <c r="V382" s="72"/>
      <c r="W382" s="99" t="s">
        <v>383</v>
      </c>
      <c r="X382" s="258">
        <f>LstMachines[[#This Row],[Delivery]]</f>
        <v>43631</v>
      </c>
      <c r="Y382" s="258" t="str">
        <f xml:space="preserve"> IF(MONTH(LstMachines[[#This Row],[DateLivr]])&lt;10,"0","") &amp; MONTH(LstMachines[[#This Row],[DateLivr]]) &amp;"-"&amp;YEAR(LstMachines[[#This Row],[DateLivr]])</f>
        <v>06-2019</v>
      </c>
      <c r="Z382" s="258">
        <f>LstMachines[[#This Row],[Delivery]]+Rglt_à_HCME</f>
        <v>43691</v>
      </c>
      <c r="AA382" s="258" t="str">
        <f xml:space="preserve"> IF(MONTH(LstMachines[[#This Row],[DatePaie]])&lt;10,"0","") &amp; MONTH(LstMachines[[#This Row],[DatePaie]])&amp;"-"&amp;YEAR(LstMachines[[#This Row],[DatePaie]])</f>
        <v>08-2019</v>
      </c>
      <c r="AB382" s="258">
        <f>LstMachines[[#This Row],[DateLivr]]+1</f>
        <v>43632</v>
      </c>
      <c r="AC382" s="258" t="str">
        <f xml:space="preserve"> IF(MONTH(LstMachines[[#This Row],[Distrib]])&lt;10,"0","") &amp; MONTH(LstMachines[[#This Row],[Distrib]]) &amp; "-" &amp; YEAR(LstMachines[[#This Row],[Distrib]])</f>
        <v>06-2019</v>
      </c>
      <c r="AD382" s="258">
        <f>LstMachines[[#This Row],[DateLivr]]+Délai_Vente</f>
        <v>43751</v>
      </c>
      <c r="AE382" s="258" t="str">
        <f xml:space="preserve"> IF(MONTH(LstMachines[[#This Row],[VteESM]])&lt;10,"0","") &amp; MONTH(LstMachines[[#This Row],[VteESM]]) &amp; "-" &amp; YEAR(LstMachines[[#This Row],[VteESM]])</f>
        <v>10-2019</v>
      </c>
      <c r="AF382" s="258">
        <f>LstMachines[[#This Row],[DateLivr]]+Rglt_à_ESMTP</f>
        <v>43691</v>
      </c>
      <c r="AG382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82" s="258">
        <f>LstMachines[[#This Row],[VteESM]]+Rglt_à_ESMTP</f>
        <v>43811</v>
      </c>
      <c r="AI382" s="258" t="str">
        <f xml:space="preserve"> IF(MONTH(LstMachines[[#This Row],[RgltVteESM]])&lt;10,"0","") &amp; MONTH(LstMachines[[#This Row],[RgltVteESM]]) &amp; "-" &amp; YEAR(LstMachines[[#This Row],[RgltVteESM]])</f>
        <v>12-2019</v>
      </c>
      <c r="AJ382" s="140">
        <f>MONTH(LstMachines[[#This Row],[DatePaie]])</f>
        <v>8</v>
      </c>
      <c r="AK382" s="88" t="str">
        <f>FIXED(YEAR(LstMachines[[#This Row],[DatePaie]]),0,TRUE)</f>
        <v>2019</v>
      </c>
      <c r="AL382" s="140"/>
      <c r="AM382" s="415"/>
      <c r="AN382"/>
      <c r="AV382" s="93"/>
      <c r="AW382" s="92"/>
      <c r="AY382" s="92"/>
      <c r="AZ382" s="72"/>
      <c r="BA382" s="119"/>
      <c r="BB382" s="99"/>
      <c r="BC382" s="92"/>
      <c r="BD382" s="92"/>
      <c r="BE382" s="92"/>
    </row>
    <row r="383" spans="2:57" hidden="1">
      <c r="B383" s="104" t="s">
        <v>75</v>
      </c>
      <c r="C383" s="104" t="s">
        <v>36</v>
      </c>
      <c r="D383" s="87">
        <v>26</v>
      </c>
      <c r="E383" s="86" t="s">
        <v>355</v>
      </c>
      <c r="F383" s="87" t="s">
        <v>100</v>
      </c>
      <c r="G383" s="87" t="s">
        <v>31</v>
      </c>
      <c r="H383" s="89">
        <v>5</v>
      </c>
      <c r="I38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110</v>
      </c>
      <c r="J383" s="88">
        <v>43631</v>
      </c>
      <c r="K383" s="99" t="s">
        <v>461</v>
      </c>
      <c r="L383" s="132" t="s">
        <v>387</v>
      </c>
      <c r="M383" s="99"/>
      <c r="N383" s="90"/>
      <c r="O383" s="255">
        <f>MONTH(LstMachines[[#This Row],[Delivery]])</f>
        <v>6</v>
      </c>
      <c r="P383" s="256" t="str">
        <f>FIXED(YEAR(LstMachines[[#This Row],[Delivery]]),0,TRUE)</f>
        <v>2019</v>
      </c>
      <c r="Q383" s="73"/>
      <c r="R383" s="93"/>
      <c r="S383" s="90"/>
      <c r="T383" s="90"/>
      <c r="U383" s="90" t="s">
        <v>104</v>
      </c>
      <c r="V383" s="72"/>
      <c r="W383" s="99" t="s">
        <v>383</v>
      </c>
      <c r="X383" s="258">
        <f>LstMachines[[#This Row],[Delivery]]</f>
        <v>43631</v>
      </c>
      <c r="Y383" s="258" t="str">
        <f xml:space="preserve"> IF(MONTH(LstMachines[[#This Row],[DateLivr]])&lt;10,"0","") &amp; MONTH(LstMachines[[#This Row],[DateLivr]]) &amp;"-"&amp;YEAR(LstMachines[[#This Row],[DateLivr]])</f>
        <v>06-2019</v>
      </c>
      <c r="Z383" s="258">
        <f>LstMachines[[#This Row],[Delivery]]+Rglt_à_HCME</f>
        <v>43691</v>
      </c>
      <c r="AA383" s="258" t="str">
        <f xml:space="preserve"> IF(MONTH(LstMachines[[#This Row],[DatePaie]])&lt;10,"0","") &amp; MONTH(LstMachines[[#This Row],[DatePaie]])&amp;"-"&amp;YEAR(LstMachines[[#This Row],[DatePaie]])</f>
        <v>08-2019</v>
      </c>
      <c r="AB383" s="258">
        <f>LstMachines[[#This Row],[DateLivr]]+1</f>
        <v>43632</v>
      </c>
      <c r="AC383" s="258" t="str">
        <f xml:space="preserve"> IF(MONTH(LstMachines[[#This Row],[Distrib]])&lt;10,"0","") &amp; MONTH(LstMachines[[#This Row],[Distrib]]) &amp; "-" &amp; YEAR(LstMachines[[#This Row],[Distrib]])</f>
        <v>06-2019</v>
      </c>
      <c r="AD383" s="258">
        <f>LstMachines[[#This Row],[DateLivr]]+Délai_Vente</f>
        <v>43751</v>
      </c>
      <c r="AE383" s="258" t="str">
        <f xml:space="preserve"> IF(MONTH(LstMachines[[#This Row],[VteESM]])&lt;10,"0","") &amp; MONTH(LstMachines[[#This Row],[VteESM]]) &amp; "-" &amp; YEAR(LstMachines[[#This Row],[VteESM]])</f>
        <v>10-2019</v>
      </c>
      <c r="AF383" s="258">
        <f>LstMachines[[#This Row],[DateLivr]]+Rglt_à_ESMTP</f>
        <v>43691</v>
      </c>
      <c r="AG383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83" s="258">
        <f>LstMachines[[#This Row],[VteESM]]+Rglt_à_ESMTP</f>
        <v>43811</v>
      </c>
      <c r="AI383" s="258" t="str">
        <f xml:space="preserve"> IF(MONTH(LstMachines[[#This Row],[RgltVteESM]])&lt;10,"0","") &amp; MONTH(LstMachines[[#This Row],[RgltVteESM]]) &amp; "-" &amp; YEAR(LstMachines[[#This Row],[RgltVteESM]])</f>
        <v>12-2019</v>
      </c>
      <c r="AJ383" s="140">
        <f>MONTH(LstMachines[[#This Row],[DatePaie]])</f>
        <v>8</v>
      </c>
      <c r="AK383" s="88" t="str">
        <f>FIXED(YEAR(LstMachines[[#This Row],[DatePaie]]),0,TRUE)</f>
        <v>2019</v>
      </c>
      <c r="AL383" s="140"/>
      <c r="AM383" s="415"/>
      <c r="AN383"/>
      <c r="AV383" s="93"/>
      <c r="AW383" s="92"/>
      <c r="AY383" s="92"/>
      <c r="AZ383" s="72"/>
      <c r="BA383" s="119"/>
      <c r="BB383" s="99"/>
      <c r="BC383" s="92"/>
      <c r="BD383" s="92"/>
      <c r="BE383" s="92"/>
    </row>
    <row r="384" spans="2:57" hidden="1">
      <c r="B384" s="104" t="s">
        <v>75</v>
      </c>
      <c r="C384" s="104" t="s">
        <v>35</v>
      </c>
      <c r="D384" s="87">
        <v>19</v>
      </c>
      <c r="E384" s="104" t="s">
        <v>76</v>
      </c>
      <c r="F384" s="87" t="s">
        <v>100</v>
      </c>
      <c r="G384" s="87" t="s">
        <v>31</v>
      </c>
      <c r="H384" s="89">
        <v>7</v>
      </c>
      <c r="I38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126</v>
      </c>
      <c r="J384" s="88">
        <v>43631</v>
      </c>
      <c r="K384" s="99" t="s">
        <v>461</v>
      </c>
      <c r="L384" s="132" t="s">
        <v>387</v>
      </c>
      <c r="M384" s="99"/>
      <c r="N384" s="90"/>
      <c r="O384" s="255">
        <f>MONTH(LstMachines[[#This Row],[Delivery]])</f>
        <v>6</v>
      </c>
      <c r="P384" s="256" t="str">
        <f>FIXED(YEAR(LstMachines[[#This Row],[Delivery]]),0,TRUE)</f>
        <v>2019</v>
      </c>
      <c r="Q384" s="73"/>
      <c r="R384" s="93"/>
      <c r="S384" s="90"/>
      <c r="T384" s="90"/>
      <c r="U384" s="90" t="s">
        <v>105</v>
      </c>
      <c r="V384" s="72"/>
      <c r="W384" s="99" t="s">
        <v>384</v>
      </c>
      <c r="X384" s="258">
        <f>LstMachines[[#This Row],[Delivery]]</f>
        <v>43631</v>
      </c>
      <c r="Y384" s="258" t="str">
        <f xml:space="preserve"> IF(MONTH(LstMachines[[#This Row],[DateLivr]])&lt;10,"0","") &amp; MONTH(LstMachines[[#This Row],[DateLivr]]) &amp;"-"&amp;YEAR(LstMachines[[#This Row],[DateLivr]])</f>
        <v>06-2019</v>
      </c>
      <c r="Z384" s="258">
        <f>LstMachines[[#This Row],[Delivery]]+Rglt_à_HCME</f>
        <v>43691</v>
      </c>
      <c r="AA384" s="258" t="str">
        <f xml:space="preserve"> IF(MONTH(LstMachines[[#This Row],[DatePaie]])&lt;10,"0","") &amp; MONTH(LstMachines[[#This Row],[DatePaie]])&amp;"-"&amp;YEAR(LstMachines[[#This Row],[DatePaie]])</f>
        <v>08-2019</v>
      </c>
      <c r="AB384" s="258">
        <f>LstMachines[[#This Row],[DateLivr]]+1</f>
        <v>43632</v>
      </c>
      <c r="AC384" s="258" t="str">
        <f xml:space="preserve"> IF(MONTH(LstMachines[[#This Row],[Distrib]])&lt;10,"0","") &amp; MONTH(LstMachines[[#This Row],[Distrib]]) &amp; "-" &amp; YEAR(LstMachines[[#This Row],[Distrib]])</f>
        <v>06-2019</v>
      </c>
      <c r="AD384" s="258">
        <f>LstMachines[[#This Row],[DateLivr]]+Délai_Vente</f>
        <v>43751</v>
      </c>
      <c r="AE384" s="258" t="str">
        <f xml:space="preserve"> IF(MONTH(LstMachines[[#This Row],[VteESM]])&lt;10,"0","") &amp; MONTH(LstMachines[[#This Row],[VteESM]]) &amp; "-" &amp; YEAR(LstMachines[[#This Row],[VteESM]])</f>
        <v>10-2019</v>
      </c>
      <c r="AF384" s="258">
        <f>LstMachines[[#This Row],[DateLivr]]+Rglt_à_ESMTP</f>
        <v>43691</v>
      </c>
      <c r="AG384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84" s="258">
        <f>LstMachines[[#This Row],[VteESM]]+Rglt_à_ESMTP</f>
        <v>43811</v>
      </c>
      <c r="AI384" s="258" t="str">
        <f xml:space="preserve"> IF(MONTH(LstMachines[[#This Row],[RgltVteESM]])&lt;10,"0","") &amp; MONTH(LstMachines[[#This Row],[RgltVteESM]]) &amp; "-" &amp; YEAR(LstMachines[[#This Row],[RgltVteESM]])</f>
        <v>12-2019</v>
      </c>
      <c r="AJ384" s="140">
        <f>MONTH(LstMachines[[#This Row],[DatePaie]])</f>
        <v>8</v>
      </c>
      <c r="AK384" s="88" t="str">
        <f>FIXED(YEAR(LstMachines[[#This Row],[DatePaie]]),0,TRUE)</f>
        <v>2019</v>
      </c>
      <c r="AL384" s="140"/>
      <c r="AM384" s="415"/>
      <c r="AN384"/>
      <c r="AV384" s="93"/>
      <c r="AW384" s="92"/>
      <c r="AY384" s="92"/>
      <c r="AZ384" s="72"/>
      <c r="BA384" s="119"/>
      <c r="BB384" s="99"/>
      <c r="BC384" s="92"/>
      <c r="BD384" s="92"/>
      <c r="BE384" s="92"/>
    </row>
    <row r="385" spans="2:57" hidden="1">
      <c r="B385" s="104" t="s">
        <v>262</v>
      </c>
      <c r="C385" s="104" t="s">
        <v>39</v>
      </c>
      <c r="D385" s="87">
        <v>85</v>
      </c>
      <c r="E385" s="86" t="s">
        <v>356</v>
      </c>
      <c r="F385" s="87" t="s">
        <v>100</v>
      </c>
      <c r="G385" s="87" t="s">
        <v>31</v>
      </c>
      <c r="H385" s="89">
        <v>2</v>
      </c>
      <c r="I38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385" s="88">
        <v>43631</v>
      </c>
      <c r="K385" s="99" t="s">
        <v>461</v>
      </c>
      <c r="L385" s="132" t="s">
        <v>387</v>
      </c>
      <c r="M385" s="99"/>
      <c r="N385" s="90"/>
      <c r="O385" s="255">
        <f>MONTH(LstMachines[[#This Row],[Delivery]])</f>
        <v>6</v>
      </c>
      <c r="P385" s="256" t="str">
        <f>FIXED(YEAR(LstMachines[[#This Row],[Delivery]]),0,TRUE)</f>
        <v>2019</v>
      </c>
      <c r="Q385" s="73"/>
      <c r="R385" s="93"/>
      <c r="S385" s="90"/>
      <c r="T385" s="90"/>
      <c r="U385" s="90" t="s">
        <v>104</v>
      </c>
      <c r="V385" s="72"/>
      <c r="W385" s="99" t="s">
        <v>383</v>
      </c>
      <c r="X385" s="258">
        <f>LstMachines[[#This Row],[Delivery]]</f>
        <v>43631</v>
      </c>
      <c r="Y385" s="258" t="str">
        <f xml:space="preserve"> IF(MONTH(LstMachines[[#This Row],[DateLivr]])&lt;10,"0","") &amp; MONTH(LstMachines[[#This Row],[DateLivr]]) &amp;"-"&amp;YEAR(LstMachines[[#This Row],[DateLivr]])</f>
        <v>06-2019</v>
      </c>
      <c r="Z385" s="258">
        <f>LstMachines[[#This Row],[Delivery]]+Rglt_à_HCME</f>
        <v>43691</v>
      </c>
      <c r="AA385" s="258" t="str">
        <f xml:space="preserve"> IF(MONTH(LstMachines[[#This Row],[DatePaie]])&lt;10,"0","") &amp; MONTH(LstMachines[[#This Row],[DatePaie]])&amp;"-"&amp;YEAR(LstMachines[[#This Row],[DatePaie]])</f>
        <v>08-2019</v>
      </c>
      <c r="AB385" s="258">
        <f>LstMachines[[#This Row],[DateLivr]]+1</f>
        <v>43632</v>
      </c>
      <c r="AC385" s="258" t="str">
        <f xml:space="preserve"> IF(MONTH(LstMachines[[#This Row],[Distrib]])&lt;10,"0","") &amp; MONTH(LstMachines[[#This Row],[Distrib]]) &amp; "-" &amp; YEAR(LstMachines[[#This Row],[Distrib]])</f>
        <v>06-2019</v>
      </c>
      <c r="AD385" s="258">
        <f>LstMachines[[#This Row],[DateLivr]]+Délai_Vente</f>
        <v>43751</v>
      </c>
      <c r="AE385" s="258" t="str">
        <f xml:space="preserve"> IF(MONTH(LstMachines[[#This Row],[VteESM]])&lt;10,"0","") &amp; MONTH(LstMachines[[#This Row],[VteESM]]) &amp; "-" &amp; YEAR(LstMachines[[#This Row],[VteESM]])</f>
        <v>10-2019</v>
      </c>
      <c r="AF385" s="258">
        <f>LstMachines[[#This Row],[DateLivr]]+Rglt_à_ESMTP</f>
        <v>43691</v>
      </c>
      <c r="AG385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85" s="258">
        <f>LstMachines[[#This Row],[VteESM]]+Rglt_à_ESMTP</f>
        <v>43811</v>
      </c>
      <c r="AI385" s="258" t="str">
        <f xml:space="preserve"> IF(MONTH(LstMachines[[#This Row],[RgltVteESM]])&lt;10,"0","") &amp; MONTH(LstMachines[[#This Row],[RgltVteESM]]) &amp; "-" &amp; YEAR(LstMachines[[#This Row],[RgltVteESM]])</f>
        <v>12-2019</v>
      </c>
      <c r="AJ385" s="140">
        <f>MONTH(LstMachines[[#This Row],[DatePaie]])</f>
        <v>8</v>
      </c>
      <c r="AK385" s="88" t="str">
        <f>FIXED(YEAR(LstMachines[[#This Row],[DatePaie]]),0,TRUE)</f>
        <v>2019</v>
      </c>
      <c r="AL385" s="140"/>
      <c r="AM385" s="415"/>
      <c r="AN385"/>
      <c r="AV385" s="93"/>
      <c r="AW385" s="92"/>
      <c r="AY385" s="92"/>
      <c r="AZ385" s="72"/>
      <c r="BA385" s="119"/>
      <c r="BB385" s="99"/>
      <c r="BC385" s="92"/>
      <c r="BD385" s="92"/>
      <c r="BE385" s="92"/>
    </row>
    <row r="386" spans="2:57" hidden="1">
      <c r="B386" s="104" t="s">
        <v>75</v>
      </c>
      <c r="C386" s="104" t="s">
        <v>38</v>
      </c>
      <c r="D386" s="87">
        <v>65</v>
      </c>
      <c r="E386" s="104" t="s">
        <v>364</v>
      </c>
      <c r="F386" s="87" t="s">
        <v>100</v>
      </c>
      <c r="G386" s="87" t="s">
        <v>31</v>
      </c>
      <c r="H386" s="89">
        <v>3</v>
      </c>
      <c r="I38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135</v>
      </c>
      <c r="J386" s="88">
        <v>43631</v>
      </c>
      <c r="K386" s="99" t="s">
        <v>461</v>
      </c>
      <c r="L386" s="132" t="s">
        <v>387</v>
      </c>
      <c r="M386" s="99"/>
      <c r="N386" s="90"/>
      <c r="O386" s="255">
        <f>MONTH(LstMachines[[#This Row],[Delivery]])</f>
        <v>6</v>
      </c>
      <c r="P386" s="256" t="str">
        <f>FIXED(YEAR(LstMachines[[#This Row],[Delivery]]),0,TRUE)</f>
        <v>2019</v>
      </c>
      <c r="Q386" s="73"/>
      <c r="R386" s="93"/>
      <c r="S386" s="90"/>
      <c r="T386" s="90"/>
      <c r="U386" s="90" t="s">
        <v>104</v>
      </c>
      <c r="V386" s="72"/>
      <c r="W386" s="99" t="s">
        <v>383</v>
      </c>
      <c r="X386" s="258">
        <f>LstMachines[[#This Row],[Delivery]]</f>
        <v>43631</v>
      </c>
      <c r="Y386" s="258" t="str">
        <f xml:space="preserve"> IF(MONTH(LstMachines[[#This Row],[DateLivr]])&lt;10,"0","") &amp; MONTH(LstMachines[[#This Row],[DateLivr]]) &amp;"-"&amp;YEAR(LstMachines[[#This Row],[DateLivr]])</f>
        <v>06-2019</v>
      </c>
      <c r="Z386" s="258">
        <f>LstMachines[[#This Row],[Delivery]]+Rglt_à_HCME</f>
        <v>43691</v>
      </c>
      <c r="AA386" s="258" t="str">
        <f xml:space="preserve"> IF(MONTH(LstMachines[[#This Row],[DatePaie]])&lt;10,"0","") &amp; MONTH(LstMachines[[#This Row],[DatePaie]])&amp;"-"&amp;YEAR(LstMachines[[#This Row],[DatePaie]])</f>
        <v>08-2019</v>
      </c>
      <c r="AB386" s="258">
        <f>LstMachines[[#This Row],[DateLivr]]+1</f>
        <v>43632</v>
      </c>
      <c r="AC386" s="258" t="str">
        <f xml:space="preserve"> IF(MONTH(LstMachines[[#This Row],[Distrib]])&lt;10,"0","") &amp; MONTH(LstMachines[[#This Row],[Distrib]]) &amp; "-" &amp; YEAR(LstMachines[[#This Row],[Distrib]])</f>
        <v>06-2019</v>
      </c>
      <c r="AD386" s="258">
        <f>LstMachines[[#This Row],[DateLivr]]+Délai_Vente</f>
        <v>43751</v>
      </c>
      <c r="AE386" s="258" t="str">
        <f xml:space="preserve"> IF(MONTH(LstMachines[[#This Row],[VteESM]])&lt;10,"0","") &amp; MONTH(LstMachines[[#This Row],[VteESM]]) &amp; "-" &amp; YEAR(LstMachines[[#This Row],[VteESM]])</f>
        <v>10-2019</v>
      </c>
      <c r="AF386" s="258">
        <f>LstMachines[[#This Row],[DateLivr]]+Rglt_à_ESMTP</f>
        <v>43691</v>
      </c>
      <c r="AG386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86" s="258">
        <f>LstMachines[[#This Row],[VteESM]]+Rglt_à_ESMTP</f>
        <v>43811</v>
      </c>
      <c r="AI386" s="258" t="str">
        <f xml:space="preserve"> IF(MONTH(LstMachines[[#This Row],[RgltVteESM]])&lt;10,"0","") &amp; MONTH(LstMachines[[#This Row],[RgltVteESM]]) &amp; "-" &amp; YEAR(LstMachines[[#This Row],[RgltVteESM]])</f>
        <v>12-2019</v>
      </c>
      <c r="AJ386" s="140">
        <f>MONTH(LstMachines[[#This Row],[DatePaie]])</f>
        <v>8</v>
      </c>
      <c r="AK386" s="88" t="str">
        <f>FIXED(YEAR(LstMachines[[#This Row],[DatePaie]]),0,TRUE)</f>
        <v>2019</v>
      </c>
      <c r="AL386" s="140"/>
      <c r="AM386" s="415"/>
      <c r="AN386"/>
      <c r="AV386" s="93"/>
      <c r="AW386" s="92"/>
      <c r="AY386" s="92"/>
      <c r="AZ386" s="72"/>
      <c r="BA386" s="119"/>
      <c r="BB386" s="99"/>
      <c r="BC386" s="92"/>
      <c r="BD386" s="92"/>
      <c r="BE386" s="92"/>
    </row>
    <row r="387" spans="2:57" hidden="1">
      <c r="B387" s="104" t="s">
        <v>75</v>
      </c>
      <c r="C387" s="104" t="s">
        <v>37</v>
      </c>
      <c r="D387" s="87">
        <v>48</v>
      </c>
      <c r="E387" s="104" t="s">
        <v>363</v>
      </c>
      <c r="F387" s="87" t="s">
        <v>100</v>
      </c>
      <c r="G387" s="87" t="s">
        <v>31</v>
      </c>
      <c r="H387" s="89">
        <v>5</v>
      </c>
      <c r="I38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205</v>
      </c>
      <c r="J387" s="88">
        <v>43631</v>
      </c>
      <c r="K387" s="99" t="s">
        <v>461</v>
      </c>
      <c r="L387" s="132" t="s">
        <v>387</v>
      </c>
      <c r="M387" s="99"/>
      <c r="N387" s="90"/>
      <c r="O387" s="255">
        <f>MONTH(LstMachines[[#This Row],[Delivery]])</f>
        <v>6</v>
      </c>
      <c r="P387" s="256" t="str">
        <f>FIXED(YEAR(LstMachines[[#This Row],[Delivery]]),0,TRUE)</f>
        <v>2019</v>
      </c>
      <c r="Q387" s="73"/>
      <c r="R387" s="93"/>
      <c r="S387" s="90"/>
      <c r="T387" s="90"/>
      <c r="U387" s="90" t="s">
        <v>104</v>
      </c>
      <c r="V387" s="72"/>
      <c r="W387" s="99" t="s">
        <v>383</v>
      </c>
      <c r="X387" s="258">
        <f>LstMachines[[#This Row],[Delivery]]</f>
        <v>43631</v>
      </c>
      <c r="Y387" s="258" t="str">
        <f xml:space="preserve"> IF(MONTH(LstMachines[[#This Row],[DateLivr]])&lt;10,"0","") &amp; MONTH(LstMachines[[#This Row],[DateLivr]]) &amp;"-"&amp;YEAR(LstMachines[[#This Row],[DateLivr]])</f>
        <v>06-2019</v>
      </c>
      <c r="Z387" s="258">
        <f>LstMachines[[#This Row],[Delivery]]+Rglt_à_HCME</f>
        <v>43691</v>
      </c>
      <c r="AA387" s="258" t="str">
        <f xml:space="preserve"> IF(MONTH(LstMachines[[#This Row],[DatePaie]])&lt;10,"0","") &amp; MONTH(LstMachines[[#This Row],[DatePaie]])&amp;"-"&amp;YEAR(LstMachines[[#This Row],[DatePaie]])</f>
        <v>08-2019</v>
      </c>
      <c r="AB387" s="258">
        <f>LstMachines[[#This Row],[DateLivr]]+1</f>
        <v>43632</v>
      </c>
      <c r="AC387" s="258" t="str">
        <f xml:space="preserve"> IF(MONTH(LstMachines[[#This Row],[Distrib]])&lt;10,"0","") &amp; MONTH(LstMachines[[#This Row],[Distrib]]) &amp; "-" &amp; YEAR(LstMachines[[#This Row],[Distrib]])</f>
        <v>06-2019</v>
      </c>
      <c r="AD387" s="258">
        <f>LstMachines[[#This Row],[DateLivr]]+Délai_Vente</f>
        <v>43751</v>
      </c>
      <c r="AE387" s="258" t="str">
        <f xml:space="preserve"> IF(MONTH(LstMachines[[#This Row],[VteESM]])&lt;10,"0","") &amp; MONTH(LstMachines[[#This Row],[VteESM]]) &amp; "-" &amp; YEAR(LstMachines[[#This Row],[VteESM]])</f>
        <v>10-2019</v>
      </c>
      <c r="AF387" s="258">
        <f>LstMachines[[#This Row],[DateLivr]]+Rglt_à_ESMTP</f>
        <v>43691</v>
      </c>
      <c r="AG387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87" s="258">
        <f>LstMachines[[#This Row],[VteESM]]+Rglt_à_ESMTP</f>
        <v>43811</v>
      </c>
      <c r="AI387" s="258" t="str">
        <f xml:space="preserve"> IF(MONTH(LstMachines[[#This Row],[RgltVteESM]])&lt;10,"0","") &amp; MONTH(LstMachines[[#This Row],[RgltVteESM]]) &amp; "-" &amp; YEAR(LstMachines[[#This Row],[RgltVteESM]])</f>
        <v>12-2019</v>
      </c>
      <c r="AJ387" s="140">
        <f>MONTH(LstMachines[[#This Row],[DatePaie]])</f>
        <v>8</v>
      </c>
      <c r="AK387" s="88" t="str">
        <f>FIXED(YEAR(LstMachines[[#This Row],[DatePaie]]),0,TRUE)</f>
        <v>2019</v>
      </c>
      <c r="AL387" s="140"/>
      <c r="AM387" s="415"/>
      <c r="AN387"/>
      <c r="AV387" s="93"/>
      <c r="AW387" s="92"/>
      <c r="AY387" s="92"/>
      <c r="AZ387" s="72"/>
      <c r="BA387" s="119"/>
      <c r="BB387" s="99"/>
      <c r="BC387" s="92"/>
      <c r="BD387" s="92"/>
      <c r="BE387" s="92"/>
    </row>
    <row r="388" spans="2:57" hidden="1">
      <c r="B388" s="104" t="s">
        <v>259</v>
      </c>
      <c r="C388" s="104" t="s">
        <v>48</v>
      </c>
      <c r="D388" s="87">
        <v>180</v>
      </c>
      <c r="E388" s="86" t="s">
        <v>163</v>
      </c>
      <c r="F388" s="87" t="s">
        <v>100</v>
      </c>
      <c r="G388" s="87" t="s">
        <v>31</v>
      </c>
      <c r="H388" s="89">
        <v>2</v>
      </c>
      <c r="I38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210</v>
      </c>
      <c r="J388" s="88">
        <v>43631</v>
      </c>
      <c r="K388" s="99" t="s">
        <v>461</v>
      </c>
      <c r="L388" s="132" t="s">
        <v>387</v>
      </c>
      <c r="M388" s="99"/>
      <c r="N388" s="90"/>
      <c r="O388" s="255">
        <f>MONTH(LstMachines[[#This Row],[Delivery]])</f>
        <v>6</v>
      </c>
      <c r="P388" s="256" t="str">
        <f>FIXED(YEAR(LstMachines[[#This Row],[Delivery]]),0,TRUE)</f>
        <v>2019</v>
      </c>
      <c r="Q388" s="73"/>
      <c r="R388" s="93"/>
      <c r="S388" s="90"/>
      <c r="T388" s="90"/>
      <c r="U388" s="90" t="s">
        <v>105</v>
      </c>
      <c r="V388" s="72"/>
      <c r="W388" s="99" t="s">
        <v>384</v>
      </c>
      <c r="X388" s="258">
        <f>LstMachines[[#This Row],[Delivery]]</f>
        <v>43631</v>
      </c>
      <c r="Y388" s="258" t="str">
        <f xml:space="preserve"> IF(MONTH(LstMachines[[#This Row],[DateLivr]])&lt;10,"0","") &amp; MONTH(LstMachines[[#This Row],[DateLivr]]) &amp;"-"&amp;YEAR(LstMachines[[#This Row],[DateLivr]])</f>
        <v>06-2019</v>
      </c>
      <c r="Z388" s="258">
        <f>LstMachines[[#This Row],[Delivery]]+Rglt_à_HCME</f>
        <v>43691</v>
      </c>
      <c r="AA388" s="258" t="str">
        <f xml:space="preserve"> IF(MONTH(LstMachines[[#This Row],[DatePaie]])&lt;10,"0","") &amp; MONTH(LstMachines[[#This Row],[DatePaie]])&amp;"-"&amp;YEAR(LstMachines[[#This Row],[DatePaie]])</f>
        <v>08-2019</v>
      </c>
      <c r="AB388" s="258">
        <f>LstMachines[[#This Row],[DateLivr]]+1</f>
        <v>43632</v>
      </c>
      <c r="AC388" s="258" t="str">
        <f xml:space="preserve"> IF(MONTH(LstMachines[[#This Row],[Distrib]])&lt;10,"0","") &amp; MONTH(LstMachines[[#This Row],[Distrib]]) &amp; "-" &amp; YEAR(LstMachines[[#This Row],[Distrib]])</f>
        <v>06-2019</v>
      </c>
      <c r="AD388" s="258">
        <f>LstMachines[[#This Row],[DateLivr]]+Délai_Vente</f>
        <v>43751</v>
      </c>
      <c r="AE388" s="258" t="str">
        <f xml:space="preserve"> IF(MONTH(LstMachines[[#This Row],[VteESM]])&lt;10,"0","") &amp; MONTH(LstMachines[[#This Row],[VteESM]]) &amp; "-" &amp; YEAR(LstMachines[[#This Row],[VteESM]])</f>
        <v>10-2019</v>
      </c>
      <c r="AF388" s="258">
        <f>LstMachines[[#This Row],[DateLivr]]+Rglt_à_ESMTP</f>
        <v>43691</v>
      </c>
      <c r="AG388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88" s="258">
        <f>LstMachines[[#This Row],[VteESM]]+Rglt_à_ESMTP</f>
        <v>43811</v>
      </c>
      <c r="AI388" s="258" t="str">
        <f xml:space="preserve"> IF(MONTH(LstMachines[[#This Row],[RgltVteESM]])&lt;10,"0","") &amp; MONTH(LstMachines[[#This Row],[RgltVteESM]]) &amp; "-" &amp; YEAR(LstMachines[[#This Row],[RgltVteESM]])</f>
        <v>12-2019</v>
      </c>
      <c r="AJ388" s="140">
        <f>MONTH(LstMachines[[#This Row],[DatePaie]])</f>
        <v>8</v>
      </c>
      <c r="AK388" s="88" t="str">
        <f>FIXED(YEAR(LstMachines[[#This Row],[DatePaie]]),0,TRUE)</f>
        <v>2019</v>
      </c>
      <c r="AL388" s="140"/>
      <c r="AM388" s="415"/>
      <c r="AN388"/>
      <c r="AV388" s="93"/>
      <c r="AW388" s="92"/>
      <c r="AY388" s="92"/>
      <c r="AZ388" s="72"/>
      <c r="BA388" s="119"/>
      <c r="BB388" s="99"/>
      <c r="BC388" s="92"/>
      <c r="BD388" s="92"/>
      <c r="BE388" s="92"/>
    </row>
    <row r="389" spans="2:57" hidden="1">
      <c r="B389" s="104" t="s">
        <v>262</v>
      </c>
      <c r="C389" s="104" t="s">
        <v>41</v>
      </c>
      <c r="D389" s="87">
        <v>160</v>
      </c>
      <c r="E389" s="104" t="s">
        <v>197</v>
      </c>
      <c r="F389" s="87" t="s">
        <v>100</v>
      </c>
      <c r="G389" s="87" t="s">
        <v>31</v>
      </c>
      <c r="H389" s="89">
        <v>2</v>
      </c>
      <c r="I38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220</v>
      </c>
      <c r="J389" s="88">
        <v>43631</v>
      </c>
      <c r="K389" s="99" t="s">
        <v>461</v>
      </c>
      <c r="L389" s="132" t="s">
        <v>387</v>
      </c>
      <c r="M389" s="99"/>
      <c r="N389" s="90"/>
      <c r="O389" s="255">
        <f>MONTH(LstMachines[[#This Row],[Delivery]])</f>
        <v>6</v>
      </c>
      <c r="P389" s="256" t="str">
        <f>FIXED(YEAR(LstMachines[[#This Row],[Delivery]]),0,TRUE)</f>
        <v>2019</v>
      </c>
      <c r="Q389" s="73"/>
      <c r="R389" s="93"/>
      <c r="S389" s="90"/>
      <c r="T389" s="90"/>
      <c r="U389" s="90" t="s">
        <v>105</v>
      </c>
      <c r="V389" s="72"/>
      <c r="W389" s="99" t="s">
        <v>384</v>
      </c>
      <c r="X389" s="258">
        <f>LstMachines[[#This Row],[Delivery]]</f>
        <v>43631</v>
      </c>
      <c r="Y389" s="258" t="str">
        <f xml:space="preserve"> IF(MONTH(LstMachines[[#This Row],[DateLivr]])&lt;10,"0","") &amp; MONTH(LstMachines[[#This Row],[DateLivr]]) &amp;"-"&amp;YEAR(LstMachines[[#This Row],[DateLivr]])</f>
        <v>06-2019</v>
      </c>
      <c r="Z389" s="258">
        <f>LstMachines[[#This Row],[Delivery]]+Rglt_à_HCME</f>
        <v>43691</v>
      </c>
      <c r="AA389" s="258" t="str">
        <f xml:space="preserve"> IF(MONTH(LstMachines[[#This Row],[DatePaie]])&lt;10,"0","") &amp; MONTH(LstMachines[[#This Row],[DatePaie]])&amp;"-"&amp;YEAR(LstMachines[[#This Row],[DatePaie]])</f>
        <v>08-2019</v>
      </c>
      <c r="AB389" s="258">
        <f>LstMachines[[#This Row],[DateLivr]]+1</f>
        <v>43632</v>
      </c>
      <c r="AC389" s="258" t="str">
        <f xml:space="preserve"> IF(MONTH(LstMachines[[#This Row],[Distrib]])&lt;10,"0","") &amp; MONTH(LstMachines[[#This Row],[Distrib]]) &amp; "-" &amp; YEAR(LstMachines[[#This Row],[Distrib]])</f>
        <v>06-2019</v>
      </c>
      <c r="AD389" s="258">
        <f>LstMachines[[#This Row],[DateLivr]]+Délai_Vente</f>
        <v>43751</v>
      </c>
      <c r="AE389" s="258" t="str">
        <f xml:space="preserve"> IF(MONTH(LstMachines[[#This Row],[VteESM]])&lt;10,"0","") &amp; MONTH(LstMachines[[#This Row],[VteESM]]) &amp; "-" &amp; YEAR(LstMachines[[#This Row],[VteESM]])</f>
        <v>10-2019</v>
      </c>
      <c r="AF389" s="258">
        <f>LstMachines[[#This Row],[DateLivr]]+Rglt_à_ESMTP</f>
        <v>43691</v>
      </c>
      <c r="AG389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89" s="258">
        <f>LstMachines[[#This Row],[VteESM]]+Rglt_à_ESMTP</f>
        <v>43811</v>
      </c>
      <c r="AI389" s="258" t="str">
        <f xml:space="preserve"> IF(MONTH(LstMachines[[#This Row],[RgltVteESM]])&lt;10,"0","") &amp; MONTH(LstMachines[[#This Row],[RgltVteESM]]) &amp; "-" &amp; YEAR(LstMachines[[#This Row],[RgltVteESM]])</f>
        <v>12-2019</v>
      </c>
      <c r="AJ389" s="140">
        <f>MONTH(LstMachines[[#This Row],[DatePaie]])</f>
        <v>8</v>
      </c>
      <c r="AK389" s="88" t="str">
        <f>FIXED(YEAR(LstMachines[[#This Row],[DatePaie]]),0,TRUE)</f>
        <v>2019</v>
      </c>
      <c r="AL389" s="140"/>
      <c r="AM389" s="415"/>
      <c r="AN389"/>
      <c r="AV389" s="93"/>
      <c r="AW389" s="92"/>
      <c r="AY389" s="92"/>
      <c r="AZ389" s="72"/>
      <c r="BA389" s="119"/>
      <c r="BB389" s="99"/>
      <c r="BC389" s="92"/>
      <c r="BD389" s="92"/>
      <c r="BE389" s="92"/>
    </row>
    <row r="390" spans="2:57" hidden="1">
      <c r="B390" s="104" t="s">
        <v>262</v>
      </c>
      <c r="C390" s="104" t="s">
        <v>42</v>
      </c>
      <c r="D390" s="87">
        <v>190</v>
      </c>
      <c r="E390" s="86" t="s">
        <v>200</v>
      </c>
      <c r="F390" s="87" t="s">
        <v>100</v>
      </c>
      <c r="G390" s="87" t="s">
        <v>31</v>
      </c>
      <c r="H390" s="89">
        <v>2</v>
      </c>
      <c r="I39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226</v>
      </c>
      <c r="J390" s="88">
        <v>43631</v>
      </c>
      <c r="K390" s="99" t="s">
        <v>461</v>
      </c>
      <c r="L390" s="132" t="s">
        <v>387</v>
      </c>
      <c r="M390" s="99"/>
      <c r="N390" s="90"/>
      <c r="O390" s="255">
        <f>MONTH(LstMachines[[#This Row],[Delivery]])</f>
        <v>6</v>
      </c>
      <c r="P390" s="256" t="str">
        <f>FIXED(YEAR(LstMachines[[#This Row],[Delivery]]),0,TRUE)</f>
        <v>2019</v>
      </c>
      <c r="Q390" s="73"/>
      <c r="R390" s="93"/>
      <c r="S390" s="90"/>
      <c r="T390" s="90"/>
      <c r="U390" s="90" t="s">
        <v>105</v>
      </c>
      <c r="V390" s="72"/>
      <c r="W390" s="99" t="s">
        <v>384</v>
      </c>
      <c r="X390" s="258">
        <f>LstMachines[[#This Row],[Delivery]]</f>
        <v>43631</v>
      </c>
      <c r="Y390" s="258" t="str">
        <f xml:space="preserve"> IF(MONTH(LstMachines[[#This Row],[DateLivr]])&lt;10,"0","") &amp; MONTH(LstMachines[[#This Row],[DateLivr]]) &amp;"-"&amp;YEAR(LstMachines[[#This Row],[DateLivr]])</f>
        <v>06-2019</v>
      </c>
      <c r="Z390" s="258">
        <f>LstMachines[[#This Row],[Delivery]]+Rglt_à_HCME</f>
        <v>43691</v>
      </c>
      <c r="AA390" s="258" t="str">
        <f xml:space="preserve"> IF(MONTH(LstMachines[[#This Row],[DatePaie]])&lt;10,"0","") &amp; MONTH(LstMachines[[#This Row],[DatePaie]])&amp;"-"&amp;YEAR(LstMachines[[#This Row],[DatePaie]])</f>
        <v>08-2019</v>
      </c>
      <c r="AB390" s="258">
        <f>LstMachines[[#This Row],[DateLivr]]+1</f>
        <v>43632</v>
      </c>
      <c r="AC390" s="258" t="str">
        <f xml:space="preserve"> IF(MONTH(LstMachines[[#This Row],[Distrib]])&lt;10,"0","") &amp; MONTH(LstMachines[[#This Row],[Distrib]]) &amp; "-" &amp; YEAR(LstMachines[[#This Row],[Distrib]])</f>
        <v>06-2019</v>
      </c>
      <c r="AD390" s="258">
        <f>LstMachines[[#This Row],[DateLivr]]+Délai_Vente</f>
        <v>43751</v>
      </c>
      <c r="AE390" s="258" t="str">
        <f xml:space="preserve"> IF(MONTH(LstMachines[[#This Row],[VteESM]])&lt;10,"0","") &amp; MONTH(LstMachines[[#This Row],[VteESM]]) &amp; "-" &amp; YEAR(LstMachines[[#This Row],[VteESM]])</f>
        <v>10-2019</v>
      </c>
      <c r="AF390" s="258">
        <f>LstMachines[[#This Row],[DateLivr]]+Rglt_à_ESMTP</f>
        <v>43691</v>
      </c>
      <c r="AG390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90" s="258">
        <f>LstMachines[[#This Row],[VteESM]]+Rglt_à_ESMTP</f>
        <v>43811</v>
      </c>
      <c r="AI390" s="258" t="str">
        <f xml:space="preserve"> IF(MONTH(LstMachines[[#This Row],[RgltVteESM]])&lt;10,"0","") &amp; MONTH(LstMachines[[#This Row],[RgltVteESM]]) &amp; "-" &amp; YEAR(LstMachines[[#This Row],[RgltVteESM]])</f>
        <v>12-2019</v>
      </c>
      <c r="AJ390" s="140">
        <f>MONTH(LstMachines[[#This Row],[DatePaie]])</f>
        <v>8</v>
      </c>
      <c r="AK390" s="88" t="str">
        <f>FIXED(YEAR(LstMachines[[#This Row],[DatePaie]]),0,TRUE)</f>
        <v>2019</v>
      </c>
      <c r="AL390" s="140"/>
      <c r="AM390" s="415"/>
      <c r="AN390"/>
      <c r="AV390" s="93"/>
      <c r="AW390" s="92"/>
      <c r="AY390" s="92"/>
      <c r="AZ390" s="72"/>
      <c r="BA390" s="119"/>
      <c r="BB390" s="99"/>
      <c r="BC390" s="92"/>
      <c r="BD390" s="92"/>
      <c r="BE390" s="92"/>
    </row>
    <row r="391" spans="2:57" hidden="1">
      <c r="B391" s="104" t="s">
        <v>262</v>
      </c>
      <c r="C391" s="104" t="s">
        <v>44</v>
      </c>
      <c r="D391" s="87">
        <v>225</v>
      </c>
      <c r="E391" s="104" t="s">
        <v>205</v>
      </c>
      <c r="F391" s="87" t="s">
        <v>100</v>
      </c>
      <c r="G391" s="87" t="s">
        <v>31</v>
      </c>
      <c r="H391" s="89">
        <v>2</v>
      </c>
      <c r="I39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256</v>
      </c>
      <c r="J391" s="88">
        <v>43631</v>
      </c>
      <c r="K391" s="99" t="s">
        <v>461</v>
      </c>
      <c r="L391" s="132" t="s">
        <v>387</v>
      </c>
      <c r="M391" s="99"/>
      <c r="N391" s="90"/>
      <c r="O391" s="255">
        <f>MONTH(LstMachines[[#This Row],[Delivery]])</f>
        <v>6</v>
      </c>
      <c r="P391" s="256" t="str">
        <f>FIXED(YEAR(LstMachines[[#This Row],[Delivery]]),0,TRUE)</f>
        <v>2019</v>
      </c>
      <c r="Q391" s="73"/>
      <c r="R391" s="93"/>
      <c r="S391" s="90"/>
      <c r="T391" s="90"/>
      <c r="U391" s="90" t="s">
        <v>105</v>
      </c>
      <c r="V391" s="72"/>
      <c r="W391" s="99" t="s">
        <v>384</v>
      </c>
      <c r="X391" s="258">
        <f>LstMachines[[#This Row],[Delivery]]</f>
        <v>43631</v>
      </c>
      <c r="Y391" s="258" t="str">
        <f xml:space="preserve"> IF(MONTH(LstMachines[[#This Row],[DateLivr]])&lt;10,"0","") &amp; MONTH(LstMachines[[#This Row],[DateLivr]]) &amp;"-"&amp;YEAR(LstMachines[[#This Row],[DateLivr]])</f>
        <v>06-2019</v>
      </c>
      <c r="Z391" s="258">
        <f>LstMachines[[#This Row],[Delivery]]+Rglt_à_HCME</f>
        <v>43691</v>
      </c>
      <c r="AA391" s="258" t="str">
        <f xml:space="preserve"> IF(MONTH(LstMachines[[#This Row],[DatePaie]])&lt;10,"0","") &amp; MONTH(LstMachines[[#This Row],[DatePaie]])&amp;"-"&amp;YEAR(LstMachines[[#This Row],[DatePaie]])</f>
        <v>08-2019</v>
      </c>
      <c r="AB391" s="258">
        <f>LstMachines[[#This Row],[DateLivr]]+1</f>
        <v>43632</v>
      </c>
      <c r="AC391" s="258" t="str">
        <f xml:space="preserve"> IF(MONTH(LstMachines[[#This Row],[Distrib]])&lt;10,"0","") &amp; MONTH(LstMachines[[#This Row],[Distrib]]) &amp; "-" &amp; YEAR(LstMachines[[#This Row],[Distrib]])</f>
        <v>06-2019</v>
      </c>
      <c r="AD391" s="258">
        <f>LstMachines[[#This Row],[DateLivr]]+Délai_Vente</f>
        <v>43751</v>
      </c>
      <c r="AE391" s="258" t="str">
        <f xml:space="preserve"> IF(MONTH(LstMachines[[#This Row],[VteESM]])&lt;10,"0","") &amp; MONTH(LstMachines[[#This Row],[VteESM]]) &amp; "-" &amp; YEAR(LstMachines[[#This Row],[VteESM]])</f>
        <v>10-2019</v>
      </c>
      <c r="AF391" s="258">
        <f>LstMachines[[#This Row],[DateLivr]]+Rglt_à_ESMTP</f>
        <v>43691</v>
      </c>
      <c r="AG391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91" s="258">
        <f>LstMachines[[#This Row],[VteESM]]+Rglt_à_ESMTP</f>
        <v>43811</v>
      </c>
      <c r="AI391" s="258" t="str">
        <f xml:space="preserve"> IF(MONTH(LstMachines[[#This Row],[RgltVteESM]])&lt;10,"0","") &amp; MONTH(LstMachines[[#This Row],[RgltVteESM]]) &amp; "-" &amp; YEAR(LstMachines[[#This Row],[RgltVteESM]])</f>
        <v>12-2019</v>
      </c>
      <c r="AJ391" s="140">
        <f>MONTH(LstMachines[[#This Row],[DatePaie]])</f>
        <v>8</v>
      </c>
      <c r="AK391" s="88" t="str">
        <f>FIXED(YEAR(LstMachines[[#This Row],[DatePaie]]),0,TRUE)</f>
        <v>2019</v>
      </c>
      <c r="AL391" s="140"/>
      <c r="AM391" s="415"/>
      <c r="AN391"/>
      <c r="AV391" s="93"/>
      <c r="AW391" s="92"/>
      <c r="AY391" s="92"/>
      <c r="AZ391" s="72"/>
      <c r="BA391" s="119"/>
      <c r="BB391" s="99"/>
      <c r="BC391" s="92"/>
      <c r="BD391" s="92"/>
      <c r="BE391" s="92"/>
    </row>
    <row r="392" spans="2:57" hidden="1">
      <c r="B392" s="104" t="s">
        <v>75</v>
      </c>
      <c r="C392" s="104" t="s">
        <v>38</v>
      </c>
      <c r="D392" s="87">
        <v>65</v>
      </c>
      <c r="E392" s="104" t="s">
        <v>376</v>
      </c>
      <c r="F392" s="87" t="s">
        <v>100</v>
      </c>
      <c r="G392" s="87" t="s">
        <v>31</v>
      </c>
      <c r="H392" s="89">
        <v>7</v>
      </c>
      <c r="I39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315</v>
      </c>
      <c r="J392" s="88">
        <v>43631</v>
      </c>
      <c r="K392" s="99" t="s">
        <v>461</v>
      </c>
      <c r="L392" s="132" t="s">
        <v>387</v>
      </c>
      <c r="M392" s="99"/>
      <c r="N392" s="90"/>
      <c r="O392" s="255">
        <f>MONTH(LstMachines[[#This Row],[Delivery]])</f>
        <v>6</v>
      </c>
      <c r="P392" s="256" t="str">
        <f>FIXED(YEAR(LstMachines[[#This Row],[Delivery]]),0,TRUE)</f>
        <v>2019</v>
      </c>
      <c r="Q392" s="73"/>
      <c r="R392" s="93"/>
      <c r="S392" s="90"/>
      <c r="T392" s="90"/>
      <c r="U392" s="90" t="s">
        <v>105</v>
      </c>
      <c r="V392" s="72"/>
      <c r="W392" s="99" t="s">
        <v>384</v>
      </c>
      <c r="X392" s="258">
        <f>LstMachines[[#This Row],[Delivery]]</f>
        <v>43631</v>
      </c>
      <c r="Y392" s="258" t="str">
        <f xml:space="preserve"> IF(MONTH(LstMachines[[#This Row],[DateLivr]])&lt;10,"0","") &amp; MONTH(LstMachines[[#This Row],[DateLivr]]) &amp;"-"&amp;YEAR(LstMachines[[#This Row],[DateLivr]])</f>
        <v>06-2019</v>
      </c>
      <c r="Z392" s="258">
        <f>LstMachines[[#This Row],[Delivery]]+Rglt_à_HCME</f>
        <v>43691</v>
      </c>
      <c r="AA392" s="258" t="str">
        <f xml:space="preserve"> IF(MONTH(LstMachines[[#This Row],[DatePaie]])&lt;10,"0","") &amp; MONTH(LstMachines[[#This Row],[DatePaie]])&amp;"-"&amp;YEAR(LstMachines[[#This Row],[DatePaie]])</f>
        <v>08-2019</v>
      </c>
      <c r="AB392" s="258">
        <f>LstMachines[[#This Row],[DateLivr]]+1</f>
        <v>43632</v>
      </c>
      <c r="AC392" s="258" t="str">
        <f xml:space="preserve"> IF(MONTH(LstMachines[[#This Row],[Distrib]])&lt;10,"0","") &amp; MONTH(LstMachines[[#This Row],[Distrib]]) &amp; "-" &amp; YEAR(LstMachines[[#This Row],[Distrib]])</f>
        <v>06-2019</v>
      </c>
      <c r="AD392" s="258">
        <f>LstMachines[[#This Row],[DateLivr]]+Délai_Vente</f>
        <v>43751</v>
      </c>
      <c r="AE392" s="258" t="str">
        <f xml:space="preserve"> IF(MONTH(LstMachines[[#This Row],[VteESM]])&lt;10,"0","") &amp; MONTH(LstMachines[[#This Row],[VteESM]]) &amp; "-" &amp; YEAR(LstMachines[[#This Row],[VteESM]])</f>
        <v>10-2019</v>
      </c>
      <c r="AF392" s="258">
        <f>LstMachines[[#This Row],[DateLivr]]+Rglt_à_ESMTP</f>
        <v>43691</v>
      </c>
      <c r="AG392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92" s="258">
        <f>LstMachines[[#This Row],[VteESM]]+Rglt_à_ESMTP</f>
        <v>43811</v>
      </c>
      <c r="AI392" s="258" t="str">
        <f xml:space="preserve"> IF(MONTH(LstMachines[[#This Row],[RgltVteESM]])&lt;10,"0","") &amp; MONTH(LstMachines[[#This Row],[RgltVteESM]]) &amp; "-" &amp; YEAR(LstMachines[[#This Row],[RgltVteESM]])</f>
        <v>12-2019</v>
      </c>
      <c r="AJ392" s="140">
        <f>MONTH(LstMachines[[#This Row],[DatePaie]])</f>
        <v>8</v>
      </c>
      <c r="AK392" s="88" t="str">
        <f>FIXED(YEAR(LstMachines[[#This Row],[DatePaie]]),0,TRUE)</f>
        <v>2019</v>
      </c>
      <c r="AL392" s="140"/>
      <c r="AM392" s="415"/>
      <c r="AN392"/>
      <c r="AV392" s="93"/>
      <c r="AW392" s="92"/>
      <c r="AY392" s="92"/>
      <c r="AZ392" s="72"/>
      <c r="BA392" s="119"/>
      <c r="BB392" s="99"/>
      <c r="BC392" s="92"/>
      <c r="BD392" s="92"/>
      <c r="BE392" s="92"/>
    </row>
    <row r="393" spans="2:57" hidden="1">
      <c r="B393" s="104" t="s">
        <v>75</v>
      </c>
      <c r="C393" s="104" t="s">
        <v>37</v>
      </c>
      <c r="D393" s="87">
        <v>48</v>
      </c>
      <c r="E393" s="104" t="s">
        <v>363</v>
      </c>
      <c r="F393" s="87" t="s">
        <v>100</v>
      </c>
      <c r="G393" s="87" t="s">
        <v>31</v>
      </c>
      <c r="H393" s="89">
        <v>8</v>
      </c>
      <c r="I39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328</v>
      </c>
      <c r="J393" s="88">
        <v>43631</v>
      </c>
      <c r="K393" s="99" t="s">
        <v>461</v>
      </c>
      <c r="L393" s="132" t="s">
        <v>387</v>
      </c>
      <c r="M393" s="99"/>
      <c r="N393" s="90"/>
      <c r="O393" s="255">
        <f>MONTH(LstMachines[[#This Row],[Delivery]])</f>
        <v>6</v>
      </c>
      <c r="P393" s="256" t="str">
        <f>FIXED(YEAR(LstMachines[[#This Row],[Delivery]]),0,TRUE)</f>
        <v>2019</v>
      </c>
      <c r="Q393" s="73"/>
      <c r="R393" s="93"/>
      <c r="S393" s="90"/>
      <c r="T393" s="90"/>
      <c r="U393" s="90" t="s">
        <v>105</v>
      </c>
      <c r="V393" s="72"/>
      <c r="W393" s="99" t="s">
        <v>384</v>
      </c>
      <c r="X393" s="258">
        <f>LstMachines[[#This Row],[Delivery]]</f>
        <v>43631</v>
      </c>
      <c r="Y393" s="258" t="str">
        <f xml:space="preserve"> IF(MONTH(LstMachines[[#This Row],[DateLivr]])&lt;10,"0","") &amp; MONTH(LstMachines[[#This Row],[DateLivr]]) &amp;"-"&amp;YEAR(LstMachines[[#This Row],[DateLivr]])</f>
        <v>06-2019</v>
      </c>
      <c r="Z393" s="258">
        <f>LstMachines[[#This Row],[Delivery]]+Rglt_à_HCME</f>
        <v>43691</v>
      </c>
      <c r="AA393" s="258" t="str">
        <f xml:space="preserve"> IF(MONTH(LstMachines[[#This Row],[DatePaie]])&lt;10,"0","") &amp; MONTH(LstMachines[[#This Row],[DatePaie]])&amp;"-"&amp;YEAR(LstMachines[[#This Row],[DatePaie]])</f>
        <v>08-2019</v>
      </c>
      <c r="AB393" s="258">
        <f>LstMachines[[#This Row],[DateLivr]]+1</f>
        <v>43632</v>
      </c>
      <c r="AC393" s="258" t="str">
        <f xml:space="preserve"> IF(MONTH(LstMachines[[#This Row],[Distrib]])&lt;10,"0","") &amp; MONTH(LstMachines[[#This Row],[Distrib]]) &amp; "-" &amp; YEAR(LstMachines[[#This Row],[Distrib]])</f>
        <v>06-2019</v>
      </c>
      <c r="AD393" s="258">
        <f>LstMachines[[#This Row],[DateLivr]]+Délai_Vente</f>
        <v>43751</v>
      </c>
      <c r="AE393" s="258" t="str">
        <f xml:space="preserve"> IF(MONTH(LstMachines[[#This Row],[VteESM]])&lt;10,"0","") &amp; MONTH(LstMachines[[#This Row],[VteESM]]) &amp; "-" &amp; YEAR(LstMachines[[#This Row],[VteESM]])</f>
        <v>10-2019</v>
      </c>
      <c r="AF393" s="258">
        <f>LstMachines[[#This Row],[DateLivr]]+Rglt_à_ESMTP</f>
        <v>43691</v>
      </c>
      <c r="AG393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93" s="258">
        <f>LstMachines[[#This Row],[VteESM]]+Rglt_à_ESMTP</f>
        <v>43811</v>
      </c>
      <c r="AI393" s="258" t="str">
        <f xml:space="preserve"> IF(MONTH(LstMachines[[#This Row],[RgltVteESM]])&lt;10,"0","") &amp; MONTH(LstMachines[[#This Row],[RgltVteESM]]) &amp; "-" &amp; YEAR(LstMachines[[#This Row],[RgltVteESM]])</f>
        <v>12-2019</v>
      </c>
      <c r="AJ393" s="140">
        <f>MONTH(LstMachines[[#This Row],[DatePaie]])</f>
        <v>8</v>
      </c>
      <c r="AK393" s="88" t="str">
        <f>FIXED(YEAR(LstMachines[[#This Row],[DatePaie]]),0,TRUE)</f>
        <v>2019</v>
      </c>
      <c r="AL393" s="140"/>
      <c r="AM393" s="415"/>
      <c r="AN393"/>
      <c r="AV393" s="93"/>
      <c r="AW393" s="92"/>
      <c r="AY393" s="92"/>
      <c r="AZ393" s="72"/>
      <c r="BA393" s="119"/>
      <c r="BB393" s="99"/>
      <c r="BC393" s="92"/>
      <c r="BD393" s="92"/>
      <c r="BE393" s="92"/>
    </row>
    <row r="394" spans="2:57" hidden="1">
      <c r="B394" s="104" t="s">
        <v>262</v>
      </c>
      <c r="C394" s="104" t="s">
        <v>43</v>
      </c>
      <c r="D394" s="87">
        <v>210</v>
      </c>
      <c r="E394" s="104" t="s">
        <v>89</v>
      </c>
      <c r="F394" s="87" t="s">
        <v>100</v>
      </c>
      <c r="G394" s="87" t="s">
        <v>31</v>
      </c>
      <c r="H394" s="89">
        <v>3</v>
      </c>
      <c r="I39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354</v>
      </c>
      <c r="J394" s="88">
        <v>43631</v>
      </c>
      <c r="K394" s="99" t="s">
        <v>461</v>
      </c>
      <c r="L394" s="132" t="s">
        <v>387</v>
      </c>
      <c r="M394" s="99"/>
      <c r="N394" s="90"/>
      <c r="O394" s="255">
        <f>MONTH(LstMachines[[#This Row],[Delivery]])</f>
        <v>6</v>
      </c>
      <c r="P394" s="256" t="str">
        <f>FIXED(YEAR(LstMachines[[#This Row],[Delivery]]),0,TRUE)</f>
        <v>2019</v>
      </c>
      <c r="Q394" s="73"/>
      <c r="R394" s="93"/>
      <c r="S394" s="90"/>
      <c r="T394" s="90"/>
      <c r="U394" s="90" t="s">
        <v>105</v>
      </c>
      <c r="V394" s="72"/>
      <c r="W394" s="99" t="s">
        <v>384</v>
      </c>
      <c r="X394" s="258">
        <f>LstMachines[[#This Row],[Delivery]]</f>
        <v>43631</v>
      </c>
      <c r="Y394" s="258" t="str">
        <f xml:space="preserve"> IF(MONTH(LstMachines[[#This Row],[DateLivr]])&lt;10,"0","") &amp; MONTH(LstMachines[[#This Row],[DateLivr]]) &amp;"-"&amp;YEAR(LstMachines[[#This Row],[DateLivr]])</f>
        <v>06-2019</v>
      </c>
      <c r="Z394" s="258">
        <f>LstMachines[[#This Row],[Delivery]]+Rglt_à_HCME</f>
        <v>43691</v>
      </c>
      <c r="AA394" s="258" t="str">
        <f xml:space="preserve"> IF(MONTH(LstMachines[[#This Row],[DatePaie]])&lt;10,"0","") &amp; MONTH(LstMachines[[#This Row],[DatePaie]])&amp;"-"&amp;YEAR(LstMachines[[#This Row],[DatePaie]])</f>
        <v>08-2019</v>
      </c>
      <c r="AB394" s="258">
        <f>LstMachines[[#This Row],[DateLivr]]+1</f>
        <v>43632</v>
      </c>
      <c r="AC394" s="258" t="str">
        <f xml:space="preserve"> IF(MONTH(LstMachines[[#This Row],[Distrib]])&lt;10,"0","") &amp; MONTH(LstMachines[[#This Row],[Distrib]]) &amp; "-" &amp; YEAR(LstMachines[[#This Row],[Distrib]])</f>
        <v>06-2019</v>
      </c>
      <c r="AD394" s="258">
        <f>LstMachines[[#This Row],[DateLivr]]+Délai_Vente</f>
        <v>43751</v>
      </c>
      <c r="AE394" s="258" t="str">
        <f xml:space="preserve"> IF(MONTH(LstMachines[[#This Row],[VteESM]])&lt;10,"0","") &amp; MONTH(LstMachines[[#This Row],[VteESM]]) &amp; "-" &amp; YEAR(LstMachines[[#This Row],[VteESM]])</f>
        <v>10-2019</v>
      </c>
      <c r="AF394" s="258">
        <f>LstMachines[[#This Row],[DateLivr]]+Rglt_à_ESMTP</f>
        <v>43691</v>
      </c>
      <c r="AG394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94" s="258">
        <f>LstMachines[[#This Row],[VteESM]]+Rglt_à_ESMTP</f>
        <v>43811</v>
      </c>
      <c r="AI394" s="258" t="str">
        <f xml:space="preserve"> IF(MONTH(LstMachines[[#This Row],[RgltVteESM]])&lt;10,"0","") &amp; MONTH(LstMachines[[#This Row],[RgltVteESM]]) &amp; "-" &amp; YEAR(LstMachines[[#This Row],[RgltVteESM]])</f>
        <v>12-2019</v>
      </c>
      <c r="AJ394" s="140">
        <f>MONTH(LstMachines[[#This Row],[DatePaie]])</f>
        <v>8</v>
      </c>
      <c r="AK394" s="88" t="str">
        <f>FIXED(YEAR(LstMachines[[#This Row],[DatePaie]]),0,TRUE)</f>
        <v>2019</v>
      </c>
      <c r="AL394" s="140"/>
      <c r="AM394" s="415"/>
      <c r="AN394"/>
      <c r="AV394" s="93"/>
      <c r="AW394" s="92"/>
      <c r="AY394" s="92"/>
      <c r="AZ394" s="72"/>
      <c r="BA394" s="119"/>
      <c r="BB394" s="99"/>
      <c r="BC394" s="92"/>
      <c r="BD394" s="92"/>
      <c r="BE394" s="92"/>
    </row>
    <row r="395" spans="2:57" hidden="1">
      <c r="B395" s="104" t="s">
        <v>259</v>
      </c>
      <c r="C395" s="104" t="s">
        <v>49</v>
      </c>
      <c r="D395" s="87">
        <v>310</v>
      </c>
      <c r="E395" s="86" t="s">
        <v>177</v>
      </c>
      <c r="F395" s="87" t="s">
        <v>100</v>
      </c>
      <c r="G395" s="87" t="s">
        <v>31</v>
      </c>
      <c r="H395" s="89">
        <v>2</v>
      </c>
      <c r="I39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360</v>
      </c>
      <c r="J395" s="88">
        <v>43631</v>
      </c>
      <c r="K395" s="99" t="s">
        <v>461</v>
      </c>
      <c r="L395" s="132" t="s">
        <v>387</v>
      </c>
      <c r="M395" s="99"/>
      <c r="N395" s="90"/>
      <c r="O395" s="255">
        <f>MONTH(LstMachines[[#This Row],[Delivery]])</f>
        <v>6</v>
      </c>
      <c r="P395" s="256" t="str">
        <f>FIXED(YEAR(LstMachines[[#This Row],[Delivery]]),0,TRUE)</f>
        <v>2019</v>
      </c>
      <c r="Q395" s="73"/>
      <c r="R395" s="93"/>
      <c r="S395" s="90"/>
      <c r="T395" s="90"/>
      <c r="U395" s="90" t="s">
        <v>105</v>
      </c>
      <c r="V395" s="72"/>
      <c r="W395" s="99" t="s">
        <v>384</v>
      </c>
      <c r="X395" s="258">
        <f>LstMachines[[#This Row],[Delivery]]</f>
        <v>43631</v>
      </c>
      <c r="Y395" s="258" t="str">
        <f xml:space="preserve"> IF(MONTH(LstMachines[[#This Row],[DateLivr]])&lt;10,"0","") &amp; MONTH(LstMachines[[#This Row],[DateLivr]]) &amp;"-"&amp;YEAR(LstMachines[[#This Row],[DateLivr]])</f>
        <v>06-2019</v>
      </c>
      <c r="Z395" s="258">
        <f>LstMachines[[#This Row],[Delivery]]+Rglt_à_HCME</f>
        <v>43691</v>
      </c>
      <c r="AA395" s="258" t="str">
        <f xml:space="preserve"> IF(MONTH(LstMachines[[#This Row],[DatePaie]])&lt;10,"0","") &amp; MONTH(LstMachines[[#This Row],[DatePaie]])&amp;"-"&amp;YEAR(LstMachines[[#This Row],[DatePaie]])</f>
        <v>08-2019</v>
      </c>
      <c r="AB395" s="258">
        <f>LstMachines[[#This Row],[DateLivr]]+1</f>
        <v>43632</v>
      </c>
      <c r="AC395" s="258" t="str">
        <f xml:space="preserve"> IF(MONTH(LstMachines[[#This Row],[Distrib]])&lt;10,"0","") &amp; MONTH(LstMachines[[#This Row],[Distrib]]) &amp; "-" &amp; YEAR(LstMachines[[#This Row],[Distrib]])</f>
        <v>06-2019</v>
      </c>
      <c r="AD395" s="258">
        <f>LstMachines[[#This Row],[DateLivr]]+Délai_Vente</f>
        <v>43751</v>
      </c>
      <c r="AE395" s="258" t="str">
        <f xml:space="preserve"> IF(MONTH(LstMachines[[#This Row],[VteESM]])&lt;10,"0","") &amp; MONTH(LstMachines[[#This Row],[VteESM]]) &amp; "-" &amp; YEAR(LstMachines[[#This Row],[VteESM]])</f>
        <v>10-2019</v>
      </c>
      <c r="AF395" s="258">
        <f>LstMachines[[#This Row],[DateLivr]]+Rglt_à_ESMTP</f>
        <v>43691</v>
      </c>
      <c r="AG395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95" s="258">
        <f>LstMachines[[#This Row],[VteESM]]+Rglt_à_ESMTP</f>
        <v>43811</v>
      </c>
      <c r="AI395" s="258" t="str">
        <f xml:space="preserve"> IF(MONTH(LstMachines[[#This Row],[RgltVteESM]])&lt;10,"0","") &amp; MONTH(LstMachines[[#This Row],[RgltVteESM]]) &amp; "-" &amp; YEAR(LstMachines[[#This Row],[RgltVteESM]])</f>
        <v>12-2019</v>
      </c>
      <c r="AJ395" s="140">
        <f>MONTH(LstMachines[[#This Row],[DatePaie]])</f>
        <v>8</v>
      </c>
      <c r="AK395" s="88" t="str">
        <f>FIXED(YEAR(LstMachines[[#This Row],[DatePaie]]),0,TRUE)</f>
        <v>2019</v>
      </c>
      <c r="AL395" s="140"/>
      <c r="AM395" s="414"/>
    </row>
    <row r="396" spans="2:57" hidden="1">
      <c r="B396" s="104" t="s">
        <v>262</v>
      </c>
      <c r="C396" s="104" t="s">
        <v>39</v>
      </c>
      <c r="D396" s="87">
        <v>85</v>
      </c>
      <c r="E396" s="86" t="s">
        <v>356</v>
      </c>
      <c r="F396" s="87" t="s">
        <v>100</v>
      </c>
      <c r="G396" s="87" t="s">
        <v>31</v>
      </c>
      <c r="H396" s="89">
        <v>6</v>
      </c>
      <c r="I39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384</v>
      </c>
      <c r="J396" s="88">
        <v>43631</v>
      </c>
      <c r="K396" s="99" t="s">
        <v>461</v>
      </c>
      <c r="L396" s="132" t="s">
        <v>387</v>
      </c>
      <c r="M396" s="99"/>
      <c r="N396" s="90"/>
      <c r="O396" s="255">
        <f>MONTH(LstMachines[[#This Row],[Delivery]])</f>
        <v>6</v>
      </c>
      <c r="P396" s="256" t="str">
        <f>FIXED(YEAR(LstMachines[[#This Row],[Delivery]]),0,TRUE)</f>
        <v>2019</v>
      </c>
      <c r="Q396" s="73"/>
      <c r="R396" s="93"/>
      <c r="S396" s="90"/>
      <c r="T396" s="90"/>
      <c r="U396" s="90" t="s">
        <v>105</v>
      </c>
      <c r="V396" s="72"/>
      <c r="W396" s="99" t="s">
        <v>384</v>
      </c>
      <c r="X396" s="258">
        <f>LstMachines[[#This Row],[Delivery]]</f>
        <v>43631</v>
      </c>
      <c r="Y396" s="258" t="str">
        <f xml:space="preserve"> IF(MONTH(LstMachines[[#This Row],[DateLivr]])&lt;10,"0","") &amp; MONTH(LstMachines[[#This Row],[DateLivr]]) &amp;"-"&amp;YEAR(LstMachines[[#This Row],[DateLivr]])</f>
        <v>06-2019</v>
      </c>
      <c r="Z396" s="258">
        <f>LstMachines[[#This Row],[Delivery]]+Rglt_à_HCME</f>
        <v>43691</v>
      </c>
      <c r="AA396" s="258" t="str">
        <f xml:space="preserve"> IF(MONTH(LstMachines[[#This Row],[DatePaie]])&lt;10,"0","") &amp; MONTH(LstMachines[[#This Row],[DatePaie]])&amp;"-"&amp;YEAR(LstMachines[[#This Row],[DatePaie]])</f>
        <v>08-2019</v>
      </c>
      <c r="AB396" s="258">
        <f>LstMachines[[#This Row],[DateLivr]]+1</f>
        <v>43632</v>
      </c>
      <c r="AC396" s="258" t="str">
        <f xml:space="preserve"> IF(MONTH(LstMachines[[#This Row],[Distrib]])&lt;10,"0","") &amp; MONTH(LstMachines[[#This Row],[Distrib]]) &amp; "-" &amp; YEAR(LstMachines[[#This Row],[Distrib]])</f>
        <v>06-2019</v>
      </c>
      <c r="AD396" s="258">
        <f>LstMachines[[#This Row],[DateLivr]]+Délai_Vente</f>
        <v>43751</v>
      </c>
      <c r="AE396" s="258" t="str">
        <f xml:space="preserve"> IF(MONTH(LstMachines[[#This Row],[VteESM]])&lt;10,"0","") &amp; MONTH(LstMachines[[#This Row],[VteESM]]) &amp; "-" &amp; YEAR(LstMachines[[#This Row],[VteESM]])</f>
        <v>10-2019</v>
      </c>
      <c r="AF396" s="258">
        <f>LstMachines[[#This Row],[DateLivr]]+Rglt_à_ESMTP</f>
        <v>43691</v>
      </c>
      <c r="AG396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96" s="258">
        <f>LstMachines[[#This Row],[VteESM]]+Rglt_à_ESMTP</f>
        <v>43811</v>
      </c>
      <c r="AI396" s="258" t="str">
        <f xml:space="preserve"> IF(MONTH(LstMachines[[#This Row],[RgltVteESM]])&lt;10,"0","") &amp; MONTH(LstMachines[[#This Row],[RgltVteESM]]) &amp; "-" &amp; YEAR(LstMachines[[#This Row],[RgltVteESM]])</f>
        <v>12-2019</v>
      </c>
      <c r="AJ396" s="140">
        <f>MONTH(LstMachines[[#This Row],[DatePaie]])</f>
        <v>8</v>
      </c>
      <c r="AK396" s="88" t="str">
        <f>FIXED(YEAR(LstMachines[[#This Row],[DatePaie]]),0,TRUE)</f>
        <v>2019</v>
      </c>
      <c r="AL396" s="140"/>
      <c r="AM396" s="414"/>
    </row>
    <row r="397" spans="2:57" hidden="1">
      <c r="B397" s="104" t="s">
        <v>75</v>
      </c>
      <c r="C397" s="104" t="s">
        <v>36</v>
      </c>
      <c r="D397" s="87">
        <v>26</v>
      </c>
      <c r="E397" s="104" t="s">
        <v>361</v>
      </c>
      <c r="F397" s="87" t="s">
        <v>100</v>
      </c>
      <c r="G397" s="87" t="s">
        <v>31</v>
      </c>
      <c r="H397" s="89">
        <v>18</v>
      </c>
      <c r="I39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396</v>
      </c>
      <c r="J397" s="88">
        <v>43631</v>
      </c>
      <c r="K397" s="99" t="s">
        <v>461</v>
      </c>
      <c r="L397" s="132" t="s">
        <v>387</v>
      </c>
      <c r="M397" s="99"/>
      <c r="N397" s="90"/>
      <c r="O397" s="255">
        <f>MONTH(LstMachines[[#This Row],[Delivery]])</f>
        <v>6</v>
      </c>
      <c r="P397" s="256" t="str">
        <f>FIXED(YEAR(LstMachines[[#This Row],[Delivery]]),0,TRUE)</f>
        <v>2019</v>
      </c>
      <c r="Q397" s="73"/>
      <c r="R397" s="93"/>
      <c r="S397" s="90"/>
      <c r="T397" s="90"/>
      <c r="U397" s="90" t="s">
        <v>105</v>
      </c>
      <c r="V397" s="72"/>
      <c r="W397" s="99" t="s">
        <v>384</v>
      </c>
      <c r="X397" s="258">
        <f>LstMachines[[#This Row],[Delivery]]</f>
        <v>43631</v>
      </c>
      <c r="Y397" s="258" t="str">
        <f xml:space="preserve"> IF(MONTH(LstMachines[[#This Row],[DateLivr]])&lt;10,"0","") &amp; MONTH(LstMachines[[#This Row],[DateLivr]]) &amp;"-"&amp;YEAR(LstMachines[[#This Row],[DateLivr]])</f>
        <v>06-2019</v>
      </c>
      <c r="Z397" s="258">
        <f>LstMachines[[#This Row],[Delivery]]+Rglt_à_HCME</f>
        <v>43691</v>
      </c>
      <c r="AA397" s="258" t="str">
        <f xml:space="preserve"> IF(MONTH(LstMachines[[#This Row],[DatePaie]])&lt;10,"0","") &amp; MONTH(LstMachines[[#This Row],[DatePaie]])&amp;"-"&amp;YEAR(LstMachines[[#This Row],[DatePaie]])</f>
        <v>08-2019</v>
      </c>
      <c r="AB397" s="258">
        <f>LstMachines[[#This Row],[DateLivr]]+1</f>
        <v>43632</v>
      </c>
      <c r="AC397" s="258" t="str">
        <f xml:space="preserve"> IF(MONTH(LstMachines[[#This Row],[Distrib]])&lt;10,"0","") &amp; MONTH(LstMachines[[#This Row],[Distrib]]) &amp; "-" &amp; YEAR(LstMachines[[#This Row],[Distrib]])</f>
        <v>06-2019</v>
      </c>
      <c r="AD397" s="258">
        <f>LstMachines[[#This Row],[DateLivr]]+Délai_Vente</f>
        <v>43751</v>
      </c>
      <c r="AE397" s="258" t="str">
        <f xml:space="preserve"> IF(MONTH(LstMachines[[#This Row],[VteESM]])&lt;10,"0","") &amp; MONTH(LstMachines[[#This Row],[VteESM]]) &amp; "-" &amp; YEAR(LstMachines[[#This Row],[VteESM]])</f>
        <v>10-2019</v>
      </c>
      <c r="AF397" s="258">
        <f>LstMachines[[#This Row],[DateLivr]]+Rglt_à_ESMTP</f>
        <v>43691</v>
      </c>
      <c r="AG397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97" s="258">
        <f>LstMachines[[#This Row],[VteESM]]+Rglt_à_ESMTP</f>
        <v>43811</v>
      </c>
      <c r="AI397" s="258" t="str">
        <f xml:space="preserve"> IF(MONTH(LstMachines[[#This Row],[RgltVteESM]])&lt;10,"0","") &amp; MONTH(LstMachines[[#This Row],[RgltVteESM]]) &amp; "-" &amp; YEAR(LstMachines[[#This Row],[RgltVteESM]])</f>
        <v>12-2019</v>
      </c>
      <c r="AJ397" s="140">
        <f>MONTH(LstMachines[[#This Row],[DatePaie]])</f>
        <v>8</v>
      </c>
      <c r="AK397" s="88" t="str">
        <f>FIXED(YEAR(LstMachines[[#This Row],[DatePaie]]),0,TRUE)</f>
        <v>2019</v>
      </c>
      <c r="AL397" s="140"/>
      <c r="AM397" s="414"/>
    </row>
    <row r="398" spans="2:57" hidden="1">
      <c r="B398" s="104" t="s">
        <v>262</v>
      </c>
      <c r="C398" s="104" t="s">
        <v>40</v>
      </c>
      <c r="D398" s="87">
        <v>135</v>
      </c>
      <c r="E398" s="104" t="s">
        <v>194</v>
      </c>
      <c r="F398" s="87" t="s">
        <v>100</v>
      </c>
      <c r="G398" s="87" t="s">
        <v>31</v>
      </c>
      <c r="H398" s="89">
        <v>4</v>
      </c>
      <c r="I39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408</v>
      </c>
      <c r="J398" s="88">
        <v>43631</v>
      </c>
      <c r="K398" s="99" t="s">
        <v>461</v>
      </c>
      <c r="L398" s="132" t="s">
        <v>387</v>
      </c>
      <c r="M398" s="99"/>
      <c r="N398" s="90"/>
      <c r="O398" s="255">
        <f>MONTH(LstMachines[[#This Row],[Delivery]])</f>
        <v>6</v>
      </c>
      <c r="P398" s="256" t="str">
        <f>FIXED(YEAR(LstMachines[[#This Row],[Delivery]]),0,TRUE)</f>
        <v>2019</v>
      </c>
      <c r="Q398" s="73"/>
      <c r="R398" s="93"/>
      <c r="S398" s="90"/>
      <c r="T398" s="90"/>
      <c r="U398" s="90" t="s">
        <v>105</v>
      </c>
      <c r="V398" s="72"/>
      <c r="W398" s="99" t="s">
        <v>384</v>
      </c>
      <c r="X398" s="258">
        <f>LstMachines[[#This Row],[Delivery]]</f>
        <v>43631</v>
      </c>
      <c r="Y398" s="258" t="str">
        <f xml:space="preserve"> IF(MONTH(LstMachines[[#This Row],[DateLivr]])&lt;10,"0","") &amp; MONTH(LstMachines[[#This Row],[DateLivr]]) &amp;"-"&amp;YEAR(LstMachines[[#This Row],[DateLivr]])</f>
        <v>06-2019</v>
      </c>
      <c r="Z398" s="258">
        <f>LstMachines[[#This Row],[Delivery]]+Rglt_à_HCME</f>
        <v>43691</v>
      </c>
      <c r="AA398" s="258" t="str">
        <f xml:space="preserve"> IF(MONTH(LstMachines[[#This Row],[DatePaie]])&lt;10,"0","") &amp; MONTH(LstMachines[[#This Row],[DatePaie]])&amp;"-"&amp;YEAR(LstMachines[[#This Row],[DatePaie]])</f>
        <v>08-2019</v>
      </c>
      <c r="AB398" s="258">
        <f>LstMachines[[#This Row],[DateLivr]]+1</f>
        <v>43632</v>
      </c>
      <c r="AC398" s="258" t="str">
        <f xml:space="preserve"> IF(MONTH(LstMachines[[#This Row],[Distrib]])&lt;10,"0","") &amp; MONTH(LstMachines[[#This Row],[Distrib]]) &amp; "-" &amp; YEAR(LstMachines[[#This Row],[Distrib]])</f>
        <v>06-2019</v>
      </c>
      <c r="AD398" s="258">
        <f>LstMachines[[#This Row],[DateLivr]]+Délai_Vente</f>
        <v>43751</v>
      </c>
      <c r="AE398" s="258" t="str">
        <f xml:space="preserve"> IF(MONTH(LstMachines[[#This Row],[VteESM]])&lt;10,"0","") &amp; MONTH(LstMachines[[#This Row],[VteESM]]) &amp; "-" &amp; YEAR(LstMachines[[#This Row],[VteESM]])</f>
        <v>10-2019</v>
      </c>
      <c r="AF398" s="258">
        <f>LstMachines[[#This Row],[DateLivr]]+Rglt_à_ESMTP</f>
        <v>43691</v>
      </c>
      <c r="AG398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98" s="258">
        <f>LstMachines[[#This Row],[VteESM]]+Rglt_à_ESMTP</f>
        <v>43811</v>
      </c>
      <c r="AI398" s="258" t="str">
        <f xml:space="preserve"> IF(MONTH(LstMachines[[#This Row],[RgltVteESM]])&lt;10,"0","") &amp; MONTH(LstMachines[[#This Row],[RgltVteESM]]) &amp; "-" &amp; YEAR(LstMachines[[#This Row],[RgltVteESM]])</f>
        <v>12-2019</v>
      </c>
      <c r="AJ398" s="140">
        <f>MONTH(LstMachines[[#This Row],[DatePaie]])</f>
        <v>8</v>
      </c>
      <c r="AK398" s="88" t="str">
        <f>FIXED(YEAR(LstMachines[[#This Row],[DatePaie]]),0,TRUE)</f>
        <v>2019</v>
      </c>
      <c r="AL398" s="140"/>
      <c r="AM398" s="414"/>
    </row>
    <row r="399" spans="2:57" hidden="1">
      <c r="B399" s="104" t="s">
        <v>263</v>
      </c>
      <c r="C399" s="104" t="s">
        <v>250</v>
      </c>
      <c r="D399" s="87">
        <v>145</v>
      </c>
      <c r="E399" s="86" t="s">
        <v>228</v>
      </c>
      <c r="F399" s="87" t="s">
        <v>100</v>
      </c>
      <c r="G399" s="87" t="s">
        <v>31</v>
      </c>
      <c r="H399" s="89">
        <v>4</v>
      </c>
      <c r="I39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460</v>
      </c>
      <c r="J399" s="88">
        <v>43631</v>
      </c>
      <c r="K399" s="99" t="s">
        <v>461</v>
      </c>
      <c r="L399" s="132" t="s">
        <v>387</v>
      </c>
      <c r="M399" s="99"/>
      <c r="N399" s="90"/>
      <c r="O399" s="255">
        <f>MONTH(LstMachines[[#This Row],[Delivery]])</f>
        <v>6</v>
      </c>
      <c r="P399" s="256" t="str">
        <f>FIXED(YEAR(LstMachines[[#This Row],[Delivery]]),0,TRUE)</f>
        <v>2019</v>
      </c>
      <c r="Q399" s="73"/>
      <c r="R399" s="93"/>
      <c r="S399" s="90"/>
      <c r="T399" s="90"/>
      <c r="U399" s="90" t="s">
        <v>105</v>
      </c>
      <c r="V399" s="72"/>
      <c r="W399" s="99" t="s">
        <v>384</v>
      </c>
      <c r="X399" s="258">
        <f>LstMachines[[#This Row],[Delivery]]</f>
        <v>43631</v>
      </c>
      <c r="Y399" s="258" t="str">
        <f xml:space="preserve"> IF(MONTH(LstMachines[[#This Row],[DateLivr]])&lt;10,"0","") &amp; MONTH(LstMachines[[#This Row],[DateLivr]]) &amp;"-"&amp;YEAR(LstMachines[[#This Row],[DateLivr]])</f>
        <v>06-2019</v>
      </c>
      <c r="Z399" s="258">
        <f>LstMachines[[#This Row],[Delivery]]+Rglt_à_HCME</f>
        <v>43691</v>
      </c>
      <c r="AA399" s="258" t="str">
        <f xml:space="preserve"> IF(MONTH(LstMachines[[#This Row],[DatePaie]])&lt;10,"0","") &amp; MONTH(LstMachines[[#This Row],[DatePaie]])&amp;"-"&amp;YEAR(LstMachines[[#This Row],[DatePaie]])</f>
        <v>08-2019</v>
      </c>
      <c r="AB399" s="258">
        <f>LstMachines[[#This Row],[DateLivr]]+1</f>
        <v>43632</v>
      </c>
      <c r="AC399" s="258" t="str">
        <f xml:space="preserve"> IF(MONTH(LstMachines[[#This Row],[Distrib]])&lt;10,"0","") &amp; MONTH(LstMachines[[#This Row],[Distrib]]) &amp; "-" &amp; YEAR(LstMachines[[#This Row],[Distrib]])</f>
        <v>06-2019</v>
      </c>
      <c r="AD399" s="258">
        <f>LstMachines[[#This Row],[DateLivr]]+Délai_Vente</f>
        <v>43751</v>
      </c>
      <c r="AE399" s="258" t="str">
        <f xml:space="preserve"> IF(MONTH(LstMachines[[#This Row],[VteESM]])&lt;10,"0","") &amp; MONTH(LstMachines[[#This Row],[VteESM]]) &amp; "-" &amp; YEAR(LstMachines[[#This Row],[VteESM]])</f>
        <v>10-2019</v>
      </c>
      <c r="AF399" s="258">
        <f>LstMachines[[#This Row],[DateLivr]]+Rglt_à_ESMTP</f>
        <v>43691</v>
      </c>
      <c r="AG399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399" s="258">
        <f>LstMachines[[#This Row],[VteESM]]+Rglt_à_ESMTP</f>
        <v>43811</v>
      </c>
      <c r="AI399" s="258" t="str">
        <f xml:space="preserve"> IF(MONTH(LstMachines[[#This Row],[RgltVteESM]])&lt;10,"0","") &amp; MONTH(LstMachines[[#This Row],[RgltVteESM]]) &amp; "-" &amp; YEAR(LstMachines[[#This Row],[RgltVteESM]])</f>
        <v>12-2019</v>
      </c>
      <c r="AJ399" s="140">
        <f>MONTH(LstMachines[[#This Row],[DatePaie]])</f>
        <v>8</v>
      </c>
      <c r="AK399" s="88" t="str">
        <f>FIXED(YEAR(LstMachines[[#This Row],[DatePaie]]),0,TRUE)</f>
        <v>2019</v>
      </c>
      <c r="AL399" s="140"/>
      <c r="AM399" s="414"/>
    </row>
    <row r="400" spans="2:57" hidden="1">
      <c r="B400" s="104" t="s">
        <v>262</v>
      </c>
      <c r="C400" s="104" t="s">
        <v>47</v>
      </c>
      <c r="D400" s="87">
        <v>490</v>
      </c>
      <c r="E400" s="86" t="s">
        <v>360</v>
      </c>
      <c r="F400" s="87" t="s">
        <v>100</v>
      </c>
      <c r="G400" s="87" t="s">
        <v>31</v>
      </c>
      <c r="H400" s="89">
        <v>2</v>
      </c>
      <c r="I40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520</v>
      </c>
      <c r="J400" s="88">
        <v>43631</v>
      </c>
      <c r="K400" s="99" t="s">
        <v>461</v>
      </c>
      <c r="L400" s="132" t="s">
        <v>387</v>
      </c>
      <c r="M400" s="99"/>
      <c r="N400" s="90"/>
      <c r="O400" s="255">
        <f>MONTH(LstMachines[[#This Row],[Delivery]])</f>
        <v>6</v>
      </c>
      <c r="P400" s="256" t="str">
        <f>FIXED(YEAR(LstMachines[[#This Row],[Delivery]]),0,TRUE)</f>
        <v>2019</v>
      </c>
      <c r="Q400" s="73"/>
      <c r="R400" s="93"/>
      <c r="S400" s="90"/>
      <c r="T400" s="90"/>
      <c r="U400" s="90" t="s">
        <v>105</v>
      </c>
      <c r="V400" s="72"/>
      <c r="W400" s="99" t="s">
        <v>384</v>
      </c>
      <c r="X400" s="258">
        <f>LstMachines[[#This Row],[Delivery]]</f>
        <v>43631</v>
      </c>
      <c r="Y400" s="258" t="str">
        <f xml:space="preserve"> IF(MONTH(LstMachines[[#This Row],[DateLivr]])&lt;10,"0","") &amp; MONTH(LstMachines[[#This Row],[DateLivr]]) &amp;"-"&amp;YEAR(LstMachines[[#This Row],[DateLivr]])</f>
        <v>06-2019</v>
      </c>
      <c r="Z400" s="258">
        <f>LstMachines[[#This Row],[Delivery]]+Rglt_à_HCME</f>
        <v>43691</v>
      </c>
      <c r="AA400" s="258" t="str">
        <f xml:space="preserve"> IF(MONTH(LstMachines[[#This Row],[DatePaie]])&lt;10,"0","") &amp; MONTH(LstMachines[[#This Row],[DatePaie]])&amp;"-"&amp;YEAR(LstMachines[[#This Row],[DatePaie]])</f>
        <v>08-2019</v>
      </c>
      <c r="AB400" s="258">
        <f>LstMachines[[#This Row],[DateLivr]]+1</f>
        <v>43632</v>
      </c>
      <c r="AC400" s="258" t="str">
        <f xml:space="preserve"> IF(MONTH(LstMachines[[#This Row],[Distrib]])&lt;10,"0","") &amp; MONTH(LstMachines[[#This Row],[Distrib]]) &amp; "-" &amp; YEAR(LstMachines[[#This Row],[Distrib]])</f>
        <v>06-2019</v>
      </c>
      <c r="AD400" s="258">
        <f>LstMachines[[#This Row],[DateLivr]]+Délai_Vente</f>
        <v>43751</v>
      </c>
      <c r="AE400" s="258" t="str">
        <f xml:space="preserve"> IF(MONTH(LstMachines[[#This Row],[VteESM]])&lt;10,"0","") &amp; MONTH(LstMachines[[#This Row],[VteESM]]) &amp; "-" &amp; YEAR(LstMachines[[#This Row],[VteESM]])</f>
        <v>10-2019</v>
      </c>
      <c r="AF400" s="258">
        <f>LstMachines[[#This Row],[DateLivr]]+Rglt_à_ESMTP</f>
        <v>43691</v>
      </c>
      <c r="AG400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400" s="258">
        <f>LstMachines[[#This Row],[VteESM]]+Rglt_à_ESMTP</f>
        <v>43811</v>
      </c>
      <c r="AI400" s="258" t="str">
        <f xml:space="preserve"> IF(MONTH(LstMachines[[#This Row],[RgltVteESM]])&lt;10,"0","") &amp; MONTH(LstMachines[[#This Row],[RgltVteESM]]) &amp; "-" &amp; YEAR(LstMachines[[#This Row],[RgltVteESM]])</f>
        <v>12-2019</v>
      </c>
      <c r="AJ400" s="140">
        <f>MONTH(LstMachines[[#This Row],[DatePaie]])</f>
        <v>8</v>
      </c>
      <c r="AK400" s="88" t="str">
        <f>FIXED(YEAR(LstMachines[[#This Row],[DatePaie]]),0,TRUE)</f>
        <v>2019</v>
      </c>
      <c r="AL400" s="140"/>
      <c r="AM400" s="414"/>
    </row>
    <row r="401" spans="2:39" hidden="1">
      <c r="B401" s="104" t="s">
        <v>75</v>
      </c>
      <c r="C401" s="104" t="s">
        <v>34</v>
      </c>
      <c r="D401" s="87">
        <v>10</v>
      </c>
      <c r="E401" s="86" t="s">
        <v>178</v>
      </c>
      <c r="F401" s="87" t="s">
        <v>100</v>
      </c>
      <c r="G401" s="87" t="s">
        <v>33</v>
      </c>
      <c r="H401" s="89">
        <v>1</v>
      </c>
      <c r="I40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15</v>
      </c>
      <c r="J401" s="88">
        <v>43631</v>
      </c>
      <c r="K401" s="99" t="s">
        <v>461</v>
      </c>
      <c r="L401" s="132" t="s">
        <v>387</v>
      </c>
      <c r="M401" s="99"/>
      <c r="N401" s="90"/>
      <c r="O401" s="255">
        <f>MONTH(LstMachines[[#This Row],[Delivery]])</f>
        <v>6</v>
      </c>
      <c r="P401" s="256" t="str">
        <f>FIXED(YEAR(LstMachines[[#This Row],[Delivery]]),0,TRUE)</f>
        <v>2019</v>
      </c>
      <c r="Q401" s="73"/>
      <c r="R401" s="93"/>
      <c r="S401" s="90"/>
      <c r="T401" s="90"/>
      <c r="U401" s="90" t="s">
        <v>104</v>
      </c>
      <c r="V401" s="72"/>
      <c r="W401" s="99" t="s">
        <v>383</v>
      </c>
      <c r="X401" s="258">
        <f>LstMachines[[#This Row],[Delivery]]</f>
        <v>43631</v>
      </c>
      <c r="Y401" s="258" t="str">
        <f xml:space="preserve"> IF(MONTH(LstMachines[[#This Row],[DateLivr]])&lt;10,"0","") &amp; MONTH(LstMachines[[#This Row],[DateLivr]]) &amp;"-"&amp;YEAR(LstMachines[[#This Row],[DateLivr]])</f>
        <v>06-2019</v>
      </c>
      <c r="Z401" s="258">
        <f>LstMachines[[#This Row],[Delivery]]+Rglt_à_HCME</f>
        <v>43691</v>
      </c>
      <c r="AA401" s="258" t="str">
        <f xml:space="preserve"> IF(MONTH(LstMachines[[#This Row],[DatePaie]])&lt;10,"0","") &amp; MONTH(LstMachines[[#This Row],[DatePaie]])&amp;"-"&amp;YEAR(LstMachines[[#This Row],[DatePaie]])</f>
        <v>08-2019</v>
      </c>
      <c r="AB401" s="258">
        <f>LstMachines[[#This Row],[DateLivr]]+1</f>
        <v>43632</v>
      </c>
      <c r="AC401" s="258" t="str">
        <f xml:space="preserve"> IF(MONTH(LstMachines[[#This Row],[Distrib]])&lt;10,"0","") &amp; MONTH(LstMachines[[#This Row],[Distrib]]) &amp; "-" &amp; YEAR(LstMachines[[#This Row],[Distrib]])</f>
        <v>06-2019</v>
      </c>
      <c r="AD401" s="258">
        <f>LstMachines[[#This Row],[DateLivr]]+Délai_Vente</f>
        <v>43751</v>
      </c>
      <c r="AE401" s="258" t="str">
        <f xml:space="preserve"> IF(MONTH(LstMachines[[#This Row],[VteESM]])&lt;10,"0","") &amp; MONTH(LstMachines[[#This Row],[VteESM]]) &amp; "-" &amp; YEAR(LstMachines[[#This Row],[VteESM]])</f>
        <v>10-2019</v>
      </c>
      <c r="AF401" s="258">
        <f>LstMachines[[#This Row],[DateLivr]]+Rglt_à_ESMTP</f>
        <v>43691</v>
      </c>
      <c r="AG401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401" s="258">
        <f>LstMachines[[#This Row],[VteESM]]+Rglt_à_ESMTP</f>
        <v>43811</v>
      </c>
      <c r="AI401" s="258" t="str">
        <f xml:space="preserve"> IF(MONTH(LstMachines[[#This Row],[RgltVteESM]])&lt;10,"0","") &amp; MONTH(LstMachines[[#This Row],[RgltVteESM]]) &amp; "-" &amp; YEAR(LstMachines[[#This Row],[RgltVteESM]])</f>
        <v>12-2019</v>
      </c>
      <c r="AJ401" s="140">
        <f>MONTH(LstMachines[[#This Row],[DatePaie]])</f>
        <v>8</v>
      </c>
      <c r="AK401" s="88" t="str">
        <f>FIXED(YEAR(LstMachines[[#This Row],[DatePaie]]),0,TRUE)</f>
        <v>2019</v>
      </c>
      <c r="AL401" s="140"/>
      <c r="AM401" s="414"/>
    </row>
    <row r="402" spans="2:39" hidden="1">
      <c r="B402" s="104" t="s">
        <v>75</v>
      </c>
      <c r="C402" s="104" t="s">
        <v>35</v>
      </c>
      <c r="D402" s="87">
        <v>19</v>
      </c>
      <c r="E402" s="104" t="s">
        <v>76</v>
      </c>
      <c r="F402" s="87" t="s">
        <v>100</v>
      </c>
      <c r="G402" s="87" t="s">
        <v>33</v>
      </c>
      <c r="H402" s="89">
        <v>1</v>
      </c>
      <c r="I40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402" s="88">
        <v>43631</v>
      </c>
      <c r="K402" s="99" t="s">
        <v>461</v>
      </c>
      <c r="L402" s="132" t="s">
        <v>387</v>
      </c>
      <c r="M402" s="99"/>
      <c r="N402" s="90"/>
      <c r="O402" s="255">
        <f>MONTH(LstMachines[[#This Row],[Delivery]])</f>
        <v>6</v>
      </c>
      <c r="P402" s="256" t="str">
        <f>FIXED(YEAR(LstMachines[[#This Row],[Delivery]]),0,TRUE)</f>
        <v>2019</v>
      </c>
      <c r="Q402" s="73"/>
      <c r="R402" s="93"/>
      <c r="S402" s="90"/>
      <c r="T402" s="90"/>
      <c r="U402" s="90" t="s">
        <v>104</v>
      </c>
      <c r="V402" s="72"/>
      <c r="W402" s="99" t="s">
        <v>383</v>
      </c>
      <c r="X402" s="258">
        <f>LstMachines[[#This Row],[Delivery]]</f>
        <v>43631</v>
      </c>
      <c r="Y402" s="258" t="str">
        <f xml:space="preserve"> IF(MONTH(LstMachines[[#This Row],[DateLivr]])&lt;10,"0","") &amp; MONTH(LstMachines[[#This Row],[DateLivr]]) &amp;"-"&amp;YEAR(LstMachines[[#This Row],[DateLivr]])</f>
        <v>06-2019</v>
      </c>
      <c r="Z402" s="258">
        <f>LstMachines[[#This Row],[Delivery]]+Rglt_à_HCME</f>
        <v>43691</v>
      </c>
      <c r="AA402" s="258" t="str">
        <f xml:space="preserve"> IF(MONTH(LstMachines[[#This Row],[DatePaie]])&lt;10,"0","") &amp; MONTH(LstMachines[[#This Row],[DatePaie]])&amp;"-"&amp;YEAR(LstMachines[[#This Row],[DatePaie]])</f>
        <v>08-2019</v>
      </c>
      <c r="AB402" s="258">
        <f>LstMachines[[#This Row],[DateLivr]]+1</f>
        <v>43632</v>
      </c>
      <c r="AC402" s="258" t="str">
        <f xml:space="preserve"> IF(MONTH(LstMachines[[#This Row],[Distrib]])&lt;10,"0","") &amp; MONTH(LstMachines[[#This Row],[Distrib]]) &amp; "-" &amp; YEAR(LstMachines[[#This Row],[Distrib]])</f>
        <v>06-2019</v>
      </c>
      <c r="AD402" s="258">
        <f>LstMachines[[#This Row],[DateLivr]]+Délai_Vente</f>
        <v>43751</v>
      </c>
      <c r="AE402" s="258" t="str">
        <f xml:space="preserve"> IF(MONTH(LstMachines[[#This Row],[VteESM]])&lt;10,"0","") &amp; MONTH(LstMachines[[#This Row],[VteESM]]) &amp; "-" &amp; YEAR(LstMachines[[#This Row],[VteESM]])</f>
        <v>10-2019</v>
      </c>
      <c r="AF402" s="258">
        <f>LstMachines[[#This Row],[DateLivr]]+Rglt_à_ESMTP</f>
        <v>43691</v>
      </c>
      <c r="AG402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402" s="258">
        <f>LstMachines[[#This Row],[VteESM]]+Rglt_à_ESMTP</f>
        <v>43811</v>
      </c>
      <c r="AI402" s="258" t="str">
        <f xml:space="preserve"> IF(MONTH(LstMachines[[#This Row],[RgltVteESM]])&lt;10,"0","") &amp; MONTH(LstMachines[[#This Row],[RgltVteESM]]) &amp; "-" &amp; YEAR(LstMachines[[#This Row],[RgltVteESM]])</f>
        <v>12-2019</v>
      </c>
      <c r="AJ402" s="140">
        <f>MONTH(LstMachines[[#This Row],[DatePaie]])</f>
        <v>8</v>
      </c>
      <c r="AK402" s="88" t="str">
        <f>FIXED(YEAR(LstMachines[[#This Row],[DatePaie]]),0,TRUE)</f>
        <v>2019</v>
      </c>
      <c r="AL402" s="140"/>
      <c r="AM402" s="414"/>
    </row>
    <row r="403" spans="2:39" hidden="1">
      <c r="B403" s="104" t="s">
        <v>75</v>
      </c>
      <c r="C403" s="104" t="s">
        <v>36</v>
      </c>
      <c r="D403" s="87">
        <v>26</v>
      </c>
      <c r="E403" s="104" t="s">
        <v>361</v>
      </c>
      <c r="F403" s="87" t="s">
        <v>100</v>
      </c>
      <c r="G403" s="87" t="s">
        <v>33</v>
      </c>
      <c r="H403" s="89">
        <v>2</v>
      </c>
      <c r="I40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44</v>
      </c>
      <c r="J403" s="88">
        <v>43631</v>
      </c>
      <c r="K403" s="99" t="s">
        <v>461</v>
      </c>
      <c r="L403" s="132" t="s">
        <v>387</v>
      </c>
      <c r="M403" s="99"/>
      <c r="N403" s="90"/>
      <c r="O403" s="255">
        <f>MONTH(LstMachines[[#This Row],[Delivery]])</f>
        <v>6</v>
      </c>
      <c r="P403" s="256" t="str">
        <f>FIXED(YEAR(LstMachines[[#This Row],[Delivery]]),0,TRUE)</f>
        <v>2019</v>
      </c>
      <c r="Q403" s="73"/>
      <c r="R403" s="93"/>
      <c r="S403" s="90"/>
      <c r="T403" s="90"/>
      <c r="U403" s="90" t="s">
        <v>104</v>
      </c>
      <c r="V403" s="72"/>
      <c r="W403" s="99" t="s">
        <v>383</v>
      </c>
      <c r="X403" s="258">
        <f>LstMachines[[#This Row],[Delivery]]</f>
        <v>43631</v>
      </c>
      <c r="Y403" s="258" t="str">
        <f xml:space="preserve"> IF(MONTH(LstMachines[[#This Row],[DateLivr]])&lt;10,"0","") &amp; MONTH(LstMachines[[#This Row],[DateLivr]]) &amp;"-"&amp;YEAR(LstMachines[[#This Row],[DateLivr]])</f>
        <v>06-2019</v>
      </c>
      <c r="Z403" s="258">
        <f>LstMachines[[#This Row],[Delivery]]+Rglt_à_HCME</f>
        <v>43691</v>
      </c>
      <c r="AA403" s="258" t="str">
        <f xml:space="preserve"> IF(MONTH(LstMachines[[#This Row],[DatePaie]])&lt;10,"0","") &amp; MONTH(LstMachines[[#This Row],[DatePaie]])&amp;"-"&amp;YEAR(LstMachines[[#This Row],[DatePaie]])</f>
        <v>08-2019</v>
      </c>
      <c r="AB403" s="258">
        <f>LstMachines[[#This Row],[DateLivr]]+1</f>
        <v>43632</v>
      </c>
      <c r="AC403" s="258" t="str">
        <f xml:space="preserve"> IF(MONTH(LstMachines[[#This Row],[Distrib]])&lt;10,"0","") &amp; MONTH(LstMachines[[#This Row],[Distrib]]) &amp; "-" &amp; YEAR(LstMachines[[#This Row],[Distrib]])</f>
        <v>06-2019</v>
      </c>
      <c r="AD403" s="258">
        <f>LstMachines[[#This Row],[DateLivr]]+Délai_Vente</f>
        <v>43751</v>
      </c>
      <c r="AE403" s="258" t="str">
        <f xml:space="preserve"> IF(MONTH(LstMachines[[#This Row],[VteESM]])&lt;10,"0","") &amp; MONTH(LstMachines[[#This Row],[VteESM]]) &amp; "-" &amp; YEAR(LstMachines[[#This Row],[VteESM]])</f>
        <v>10-2019</v>
      </c>
      <c r="AF403" s="258">
        <f>LstMachines[[#This Row],[DateLivr]]+Rglt_à_ESMTP</f>
        <v>43691</v>
      </c>
      <c r="AG403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403" s="258">
        <f>LstMachines[[#This Row],[VteESM]]+Rglt_à_ESMTP</f>
        <v>43811</v>
      </c>
      <c r="AI403" s="258" t="str">
        <f xml:space="preserve"> IF(MONTH(LstMachines[[#This Row],[RgltVteESM]])&lt;10,"0","") &amp; MONTH(LstMachines[[#This Row],[RgltVteESM]]) &amp; "-" &amp; YEAR(LstMachines[[#This Row],[RgltVteESM]])</f>
        <v>12-2019</v>
      </c>
      <c r="AJ403" s="140">
        <f>MONTH(LstMachines[[#This Row],[DatePaie]])</f>
        <v>8</v>
      </c>
      <c r="AK403" s="88" t="str">
        <f>FIXED(YEAR(LstMachines[[#This Row],[DatePaie]]),0,TRUE)</f>
        <v>2019</v>
      </c>
      <c r="AL403" s="140"/>
      <c r="AM403" s="414"/>
    </row>
    <row r="404" spans="2:39" hidden="1">
      <c r="B404" s="104" t="s">
        <v>75</v>
      </c>
      <c r="C404" s="104" t="s">
        <v>38</v>
      </c>
      <c r="D404" s="87">
        <v>65</v>
      </c>
      <c r="E404" s="104" t="s">
        <v>376</v>
      </c>
      <c r="F404" s="87" t="s">
        <v>100</v>
      </c>
      <c r="G404" s="87" t="s">
        <v>33</v>
      </c>
      <c r="H404" s="89">
        <v>1</v>
      </c>
      <c r="I40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404" s="88">
        <v>43631</v>
      </c>
      <c r="K404" s="99" t="s">
        <v>461</v>
      </c>
      <c r="L404" s="132" t="s">
        <v>387</v>
      </c>
      <c r="M404" s="99"/>
      <c r="N404" s="90"/>
      <c r="O404" s="255">
        <f>MONTH(LstMachines[[#This Row],[Delivery]])</f>
        <v>6</v>
      </c>
      <c r="P404" s="256" t="str">
        <f>FIXED(YEAR(LstMachines[[#This Row],[Delivery]]),0,TRUE)</f>
        <v>2019</v>
      </c>
      <c r="Q404" s="73"/>
      <c r="R404" s="93"/>
      <c r="S404" s="90"/>
      <c r="T404" s="90"/>
      <c r="U404" s="90" t="s">
        <v>104</v>
      </c>
      <c r="V404" s="72"/>
      <c r="W404" s="99" t="s">
        <v>383</v>
      </c>
      <c r="X404" s="258">
        <f>LstMachines[[#This Row],[Delivery]]</f>
        <v>43631</v>
      </c>
      <c r="Y404" s="258" t="str">
        <f xml:space="preserve"> IF(MONTH(LstMachines[[#This Row],[DateLivr]])&lt;10,"0","") &amp; MONTH(LstMachines[[#This Row],[DateLivr]]) &amp;"-"&amp;YEAR(LstMachines[[#This Row],[DateLivr]])</f>
        <v>06-2019</v>
      </c>
      <c r="Z404" s="258">
        <f>LstMachines[[#This Row],[Delivery]]+Rglt_à_HCME</f>
        <v>43691</v>
      </c>
      <c r="AA404" s="258" t="str">
        <f xml:space="preserve"> IF(MONTH(LstMachines[[#This Row],[DatePaie]])&lt;10,"0","") &amp; MONTH(LstMachines[[#This Row],[DatePaie]])&amp;"-"&amp;YEAR(LstMachines[[#This Row],[DatePaie]])</f>
        <v>08-2019</v>
      </c>
      <c r="AB404" s="258">
        <f>LstMachines[[#This Row],[DateLivr]]+1</f>
        <v>43632</v>
      </c>
      <c r="AC404" s="258" t="str">
        <f xml:space="preserve"> IF(MONTH(LstMachines[[#This Row],[Distrib]])&lt;10,"0","") &amp; MONTH(LstMachines[[#This Row],[Distrib]]) &amp; "-" &amp; YEAR(LstMachines[[#This Row],[Distrib]])</f>
        <v>06-2019</v>
      </c>
      <c r="AD404" s="258">
        <f>LstMachines[[#This Row],[DateLivr]]+Délai_Vente</f>
        <v>43751</v>
      </c>
      <c r="AE404" s="258" t="str">
        <f xml:space="preserve"> IF(MONTH(LstMachines[[#This Row],[VteESM]])&lt;10,"0","") &amp; MONTH(LstMachines[[#This Row],[VteESM]]) &amp; "-" &amp; YEAR(LstMachines[[#This Row],[VteESM]])</f>
        <v>10-2019</v>
      </c>
      <c r="AF404" s="258">
        <f>LstMachines[[#This Row],[DateLivr]]+Rglt_à_ESMTP</f>
        <v>43691</v>
      </c>
      <c r="AG404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404" s="258">
        <f>LstMachines[[#This Row],[VteESM]]+Rglt_à_ESMTP</f>
        <v>43811</v>
      </c>
      <c r="AI404" s="258" t="str">
        <f xml:space="preserve"> IF(MONTH(LstMachines[[#This Row],[RgltVteESM]])&lt;10,"0","") &amp; MONTH(LstMachines[[#This Row],[RgltVteESM]]) &amp; "-" &amp; YEAR(LstMachines[[#This Row],[RgltVteESM]])</f>
        <v>12-2019</v>
      </c>
      <c r="AJ404" s="140">
        <f>MONTH(LstMachines[[#This Row],[DatePaie]])</f>
        <v>8</v>
      </c>
      <c r="AK404" s="88" t="str">
        <f>FIXED(YEAR(LstMachines[[#This Row],[DatePaie]]),0,TRUE)</f>
        <v>2019</v>
      </c>
      <c r="AL404" s="140"/>
      <c r="AM404" s="414"/>
    </row>
    <row r="405" spans="2:39" hidden="1">
      <c r="B405" s="104" t="s">
        <v>262</v>
      </c>
      <c r="C405" s="104" t="s">
        <v>39</v>
      </c>
      <c r="D405" s="87">
        <v>85</v>
      </c>
      <c r="E405" s="86" t="s">
        <v>356</v>
      </c>
      <c r="F405" s="87" t="s">
        <v>100</v>
      </c>
      <c r="G405" s="87" t="s">
        <v>33</v>
      </c>
      <c r="H405" s="89">
        <v>1</v>
      </c>
      <c r="I40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405" s="88">
        <v>43631</v>
      </c>
      <c r="K405" s="99" t="s">
        <v>461</v>
      </c>
      <c r="L405" s="132" t="s">
        <v>387</v>
      </c>
      <c r="M405" s="99"/>
      <c r="N405" s="90"/>
      <c r="O405" s="255">
        <f>MONTH(LstMachines[[#This Row],[Delivery]])</f>
        <v>6</v>
      </c>
      <c r="P405" s="256" t="str">
        <f>FIXED(YEAR(LstMachines[[#This Row],[Delivery]]),0,TRUE)</f>
        <v>2019</v>
      </c>
      <c r="Q405" s="73"/>
      <c r="R405" s="93"/>
      <c r="S405" s="90"/>
      <c r="T405" s="90"/>
      <c r="U405" s="90" t="s">
        <v>104</v>
      </c>
      <c r="V405" s="72"/>
      <c r="W405" s="99" t="s">
        <v>383</v>
      </c>
      <c r="X405" s="258">
        <f>LstMachines[[#This Row],[Delivery]]</f>
        <v>43631</v>
      </c>
      <c r="Y405" s="258" t="str">
        <f xml:space="preserve"> IF(MONTH(LstMachines[[#This Row],[DateLivr]])&lt;10,"0","") &amp; MONTH(LstMachines[[#This Row],[DateLivr]]) &amp;"-"&amp;YEAR(LstMachines[[#This Row],[DateLivr]])</f>
        <v>06-2019</v>
      </c>
      <c r="Z405" s="258">
        <f>LstMachines[[#This Row],[Delivery]]+Rglt_à_HCME</f>
        <v>43691</v>
      </c>
      <c r="AA405" s="258" t="str">
        <f xml:space="preserve"> IF(MONTH(LstMachines[[#This Row],[DatePaie]])&lt;10,"0","") &amp; MONTH(LstMachines[[#This Row],[DatePaie]])&amp;"-"&amp;YEAR(LstMachines[[#This Row],[DatePaie]])</f>
        <v>08-2019</v>
      </c>
      <c r="AB405" s="258">
        <f>LstMachines[[#This Row],[DateLivr]]+1</f>
        <v>43632</v>
      </c>
      <c r="AC405" s="258" t="str">
        <f xml:space="preserve"> IF(MONTH(LstMachines[[#This Row],[Distrib]])&lt;10,"0","") &amp; MONTH(LstMachines[[#This Row],[Distrib]]) &amp; "-" &amp; YEAR(LstMachines[[#This Row],[Distrib]])</f>
        <v>06-2019</v>
      </c>
      <c r="AD405" s="258">
        <f>LstMachines[[#This Row],[DateLivr]]+Délai_Vente</f>
        <v>43751</v>
      </c>
      <c r="AE405" s="258" t="str">
        <f xml:space="preserve"> IF(MONTH(LstMachines[[#This Row],[VteESM]])&lt;10,"0","") &amp; MONTH(LstMachines[[#This Row],[VteESM]]) &amp; "-" &amp; YEAR(LstMachines[[#This Row],[VteESM]])</f>
        <v>10-2019</v>
      </c>
      <c r="AF405" s="258">
        <f>LstMachines[[#This Row],[DateLivr]]+Rglt_à_ESMTP</f>
        <v>43691</v>
      </c>
      <c r="AG405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405" s="258">
        <f>LstMachines[[#This Row],[VteESM]]+Rglt_à_ESMTP</f>
        <v>43811</v>
      </c>
      <c r="AI405" s="258" t="str">
        <f xml:space="preserve"> IF(MONTH(LstMachines[[#This Row],[RgltVteESM]])&lt;10,"0","") &amp; MONTH(LstMachines[[#This Row],[RgltVteESM]]) &amp; "-" &amp; YEAR(LstMachines[[#This Row],[RgltVteESM]])</f>
        <v>12-2019</v>
      </c>
      <c r="AJ405" s="140">
        <f>MONTH(LstMachines[[#This Row],[DatePaie]])</f>
        <v>8</v>
      </c>
      <c r="AK405" s="88" t="str">
        <f>FIXED(YEAR(LstMachines[[#This Row],[DatePaie]]),0,TRUE)</f>
        <v>2019</v>
      </c>
      <c r="AL405" s="140"/>
      <c r="AM405" s="414"/>
    </row>
    <row r="406" spans="2:39" hidden="1">
      <c r="B406" s="104" t="s">
        <v>75</v>
      </c>
      <c r="C406" s="104" t="s">
        <v>37</v>
      </c>
      <c r="D406" s="87">
        <v>48</v>
      </c>
      <c r="E406" s="104" t="s">
        <v>363</v>
      </c>
      <c r="F406" s="87" t="s">
        <v>100</v>
      </c>
      <c r="G406" s="87" t="s">
        <v>33</v>
      </c>
      <c r="H406" s="89">
        <v>2</v>
      </c>
      <c r="I40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82</v>
      </c>
      <c r="J406" s="88">
        <v>43631</v>
      </c>
      <c r="K406" s="99" t="s">
        <v>461</v>
      </c>
      <c r="L406" s="132" t="s">
        <v>387</v>
      </c>
      <c r="M406" s="99"/>
      <c r="N406" s="90"/>
      <c r="O406" s="255">
        <f>MONTH(LstMachines[[#This Row],[Delivery]])</f>
        <v>6</v>
      </c>
      <c r="P406" s="256" t="str">
        <f>FIXED(YEAR(LstMachines[[#This Row],[Delivery]]),0,TRUE)</f>
        <v>2019</v>
      </c>
      <c r="Q406" s="73"/>
      <c r="R406" s="93"/>
      <c r="S406" s="90"/>
      <c r="T406" s="90"/>
      <c r="U406" s="90" t="s">
        <v>104</v>
      </c>
      <c r="V406" s="72"/>
      <c r="W406" s="99" t="s">
        <v>383</v>
      </c>
      <c r="X406" s="258">
        <f>LstMachines[[#This Row],[Delivery]]</f>
        <v>43631</v>
      </c>
      <c r="Y406" s="258" t="str">
        <f xml:space="preserve"> IF(MONTH(LstMachines[[#This Row],[DateLivr]])&lt;10,"0","") &amp; MONTH(LstMachines[[#This Row],[DateLivr]]) &amp;"-"&amp;YEAR(LstMachines[[#This Row],[DateLivr]])</f>
        <v>06-2019</v>
      </c>
      <c r="Z406" s="258">
        <f>LstMachines[[#This Row],[Delivery]]+Rglt_à_HCME</f>
        <v>43691</v>
      </c>
      <c r="AA406" s="258" t="str">
        <f xml:space="preserve"> IF(MONTH(LstMachines[[#This Row],[DatePaie]])&lt;10,"0","") &amp; MONTH(LstMachines[[#This Row],[DatePaie]])&amp;"-"&amp;YEAR(LstMachines[[#This Row],[DatePaie]])</f>
        <v>08-2019</v>
      </c>
      <c r="AB406" s="258">
        <f>LstMachines[[#This Row],[DateLivr]]+1</f>
        <v>43632</v>
      </c>
      <c r="AC406" s="258" t="str">
        <f xml:space="preserve"> IF(MONTH(LstMachines[[#This Row],[Distrib]])&lt;10,"0","") &amp; MONTH(LstMachines[[#This Row],[Distrib]]) &amp; "-" &amp; YEAR(LstMachines[[#This Row],[Distrib]])</f>
        <v>06-2019</v>
      </c>
      <c r="AD406" s="258">
        <f>LstMachines[[#This Row],[DateLivr]]+Délai_Vente</f>
        <v>43751</v>
      </c>
      <c r="AE406" s="258" t="str">
        <f xml:space="preserve"> IF(MONTH(LstMachines[[#This Row],[VteESM]])&lt;10,"0","") &amp; MONTH(LstMachines[[#This Row],[VteESM]]) &amp; "-" &amp; YEAR(LstMachines[[#This Row],[VteESM]])</f>
        <v>10-2019</v>
      </c>
      <c r="AF406" s="258">
        <f>LstMachines[[#This Row],[DateLivr]]+Rglt_à_ESMTP</f>
        <v>43691</v>
      </c>
      <c r="AG406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406" s="258">
        <f>LstMachines[[#This Row],[VteESM]]+Rglt_à_ESMTP</f>
        <v>43811</v>
      </c>
      <c r="AI406" s="258" t="str">
        <f xml:space="preserve"> IF(MONTH(LstMachines[[#This Row],[RgltVteESM]])&lt;10,"0","") &amp; MONTH(LstMachines[[#This Row],[RgltVteESM]]) &amp; "-" &amp; YEAR(LstMachines[[#This Row],[RgltVteESM]])</f>
        <v>12-2019</v>
      </c>
      <c r="AJ406" s="140">
        <f>MONTH(LstMachines[[#This Row],[DatePaie]])</f>
        <v>8</v>
      </c>
      <c r="AK406" s="88" t="str">
        <f>FIXED(YEAR(LstMachines[[#This Row],[DatePaie]]),0,TRUE)</f>
        <v>2019</v>
      </c>
      <c r="AL406" s="140"/>
      <c r="AM406" s="414"/>
    </row>
    <row r="407" spans="2:39" hidden="1">
      <c r="B407" s="104" t="s">
        <v>262</v>
      </c>
      <c r="C407" s="104" t="s">
        <v>40</v>
      </c>
      <c r="D407" s="87">
        <v>135</v>
      </c>
      <c r="E407" s="104" t="s">
        <v>194</v>
      </c>
      <c r="F407" s="87" t="s">
        <v>100</v>
      </c>
      <c r="G407" s="87" t="s">
        <v>33</v>
      </c>
      <c r="H407" s="89">
        <v>1</v>
      </c>
      <c r="I40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407" s="88">
        <v>43631</v>
      </c>
      <c r="K407" s="99" t="s">
        <v>461</v>
      </c>
      <c r="L407" s="132" t="s">
        <v>387</v>
      </c>
      <c r="M407" s="99"/>
      <c r="N407" s="90"/>
      <c r="O407" s="255">
        <f>MONTH(LstMachines[[#This Row],[Delivery]])</f>
        <v>6</v>
      </c>
      <c r="P407" s="256" t="str">
        <f>FIXED(YEAR(LstMachines[[#This Row],[Delivery]]),0,TRUE)</f>
        <v>2019</v>
      </c>
      <c r="Q407" s="73"/>
      <c r="R407" s="93"/>
      <c r="S407" s="90"/>
      <c r="T407" s="90"/>
      <c r="U407" s="90" t="s">
        <v>104</v>
      </c>
      <c r="V407" s="72"/>
      <c r="W407" s="99" t="s">
        <v>383</v>
      </c>
      <c r="X407" s="258">
        <f>LstMachines[[#This Row],[Delivery]]</f>
        <v>43631</v>
      </c>
      <c r="Y407" s="258" t="str">
        <f xml:space="preserve"> IF(MONTH(LstMachines[[#This Row],[DateLivr]])&lt;10,"0","") &amp; MONTH(LstMachines[[#This Row],[DateLivr]]) &amp;"-"&amp;YEAR(LstMachines[[#This Row],[DateLivr]])</f>
        <v>06-2019</v>
      </c>
      <c r="Z407" s="258">
        <f>LstMachines[[#This Row],[Delivery]]+Rglt_à_HCME</f>
        <v>43691</v>
      </c>
      <c r="AA407" s="258" t="str">
        <f xml:space="preserve"> IF(MONTH(LstMachines[[#This Row],[DatePaie]])&lt;10,"0","") &amp; MONTH(LstMachines[[#This Row],[DatePaie]])&amp;"-"&amp;YEAR(LstMachines[[#This Row],[DatePaie]])</f>
        <v>08-2019</v>
      </c>
      <c r="AB407" s="258">
        <f>LstMachines[[#This Row],[DateLivr]]+1</f>
        <v>43632</v>
      </c>
      <c r="AC407" s="258" t="str">
        <f xml:space="preserve"> IF(MONTH(LstMachines[[#This Row],[Distrib]])&lt;10,"0","") &amp; MONTH(LstMachines[[#This Row],[Distrib]]) &amp; "-" &amp; YEAR(LstMachines[[#This Row],[Distrib]])</f>
        <v>06-2019</v>
      </c>
      <c r="AD407" s="258">
        <f>LstMachines[[#This Row],[DateLivr]]+Délai_Vente</f>
        <v>43751</v>
      </c>
      <c r="AE407" s="258" t="str">
        <f xml:space="preserve"> IF(MONTH(LstMachines[[#This Row],[VteESM]])&lt;10,"0","") &amp; MONTH(LstMachines[[#This Row],[VteESM]]) &amp; "-" &amp; YEAR(LstMachines[[#This Row],[VteESM]])</f>
        <v>10-2019</v>
      </c>
      <c r="AF407" s="258">
        <f>LstMachines[[#This Row],[DateLivr]]+Rglt_à_ESMTP</f>
        <v>43691</v>
      </c>
      <c r="AG407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407" s="258">
        <f>LstMachines[[#This Row],[VteESM]]+Rglt_à_ESMTP</f>
        <v>43811</v>
      </c>
      <c r="AI407" s="258" t="str">
        <f xml:space="preserve"> IF(MONTH(LstMachines[[#This Row],[RgltVteESM]])&lt;10,"0","") &amp; MONTH(LstMachines[[#This Row],[RgltVteESM]]) &amp; "-" &amp; YEAR(LstMachines[[#This Row],[RgltVteESM]])</f>
        <v>12-2019</v>
      </c>
      <c r="AJ407" s="140">
        <f>MONTH(LstMachines[[#This Row],[DatePaie]])</f>
        <v>8</v>
      </c>
      <c r="AK407" s="88" t="str">
        <f>FIXED(YEAR(LstMachines[[#This Row],[DatePaie]]),0,TRUE)</f>
        <v>2019</v>
      </c>
      <c r="AL407" s="140"/>
      <c r="AM407" s="414"/>
    </row>
    <row r="408" spans="2:39" hidden="1">
      <c r="B408" s="104" t="s">
        <v>262</v>
      </c>
      <c r="C408" s="104" t="s">
        <v>43</v>
      </c>
      <c r="D408" s="87">
        <v>210</v>
      </c>
      <c r="E408" s="104" t="s">
        <v>89</v>
      </c>
      <c r="F408" s="87" t="s">
        <v>100</v>
      </c>
      <c r="G408" s="87" t="s">
        <v>33</v>
      </c>
      <c r="H408" s="89">
        <v>1</v>
      </c>
      <c r="I40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118</v>
      </c>
      <c r="J408" s="88">
        <v>43631</v>
      </c>
      <c r="K408" s="99" t="s">
        <v>461</v>
      </c>
      <c r="L408" s="132" t="s">
        <v>387</v>
      </c>
      <c r="M408" s="99"/>
      <c r="N408" s="90"/>
      <c r="O408" s="255">
        <f>MONTH(LstMachines[[#This Row],[Delivery]])</f>
        <v>6</v>
      </c>
      <c r="P408" s="256" t="str">
        <f>FIXED(YEAR(LstMachines[[#This Row],[Delivery]]),0,TRUE)</f>
        <v>2019</v>
      </c>
      <c r="Q408" s="73"/>
      <c r="R408" s="93"/>
      <c r="S408" s="90"/>
      <c r="T408" s="90"/>
      <c r="U408" s="90" t="s">
        <v>104</v>
      </c>
      <c r="V408" s="72"/>
      <c r="W408" s="99" t="s">
        <v>383</v>
      </c>
      <c r="X408" s="258">
        <f>LstMachines[[#This Row],[Delivery]]</f>
        <v>43631</v>
      </c>
      <c r="Y408" s="258" t="str">
        <f xml:space="preserve"> IF(MONTH(LstMachines[[#This Row],[DateLivr]])&lt;10,"0","") &amp; MONTH(LstMachines[[#This Row],[DateLivr]]) &amp;"-"&amp;YEAR(LstMachines[[#This Row],[DateLivr]])</f>
        <v>06-2019</v>
      </c>
      <c r="Z408" s="258">
        <f>LstMachines[[#This Row],[Delivery]]+Rglt_à_HCME</f>
        <v>43691</v>
      </c>
      <c r="AA408" s="258" t="str">
        <f xml:space="preserve"> IF(MONTH(LstMachines[[#This Row],[DatePaie]])&lt;10,"0","") &amp; MONTH(LstMachines[[#This Row],[DatePaie]])&amp;"-"&amp;YEAR(LstMachines[[#This Row],[DatePaie]])</f>
        <v>08-2019</v>
      </c>
      <c r="AB408" s="258">
        <f>LstMachines[[#This Row],[DateLivr]]+1</f>
        <v>43632</v>
      </c>
      <c r="AC408" s="258" t="str">
        <f xml:space="preserve"> IF(MONTH(LstMachines[[#This Row],[Distrib]])&lt;10,"0","") &amp; MONTH(LstMachines[[#This Row],[Distrib]]) &amp; "-" &amp; YEAR(LstMachines[[#This Row],[Distrib]])</f>
        <v>06-2019</v>
      </c>
      <c r="AD408" s="258">
        <f>LstMachines[[#This Row],[DateLivr]]+Délai_Vente</f>
        <v>43751</v>
      </c>
      <c r="AE408" s="258" t="str">
        <f xml:space="preserve"> IF(MONTH(LstMachines[[#This Row],[VteESM]])&lt;10,"0","") &amp; MONTH(LstMachines[[#This Row],[VteESM]]) &amp; "-" &amp; YEAR(LstMachines[[#This Row],[VteESM]])</f>
        <v>10-2019</v>
      </c>
      <c r="AF408" s="258">
        <f>LstMachines[[#This Row],[DateLivr]]+Rglt_à_ESMTP</f>
        <v>43691</v>
      </c>
      <c r="AG408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408" s="258">
        <f>LstMachines[[#This Row],[VteESM]]+Rglt_à_ESMTP</f>
        <v>43811</v>
      </c>
      <c r="AI408" s="258" t="str">
        <f xml:space="preserve"> IF(MONTH(LstMachines[[#This Row],[RgltVteESM]])&lt;10,"0","") &amp; MONTH(LstMachines[[#This Row],[RgltVteESM]]) &amp; "-" &amp; YEAR(LstMachines[[#This Row],[RgltVteESM]])</f>
        <v>12-2019</v>
      </c>
      <c r="AJ408" s="140">
        <f>MONTH(LstMachines[[#This Row],[DatePaie]])</f>
        <v>8</v>
      </c>
      <c r="AK408" s="88" t="str">
        <f>FIXED(YEAR(LstMachines[[#This Row],[DatePaie]]),0,TRUE)</f>
        <v>2019</v>
      </c>
      <c r="AL408" s="140"/>
      <c r="AM408" s="414"/>
    </row>
    <row r="409" spans="2:39" hidden="1">
      <c r="B409" s="104" t="s">
        <v>75</v>
      </c>
      <c r="C409" s="104" t="s">
        <v>35</v>
      </c>
      <c r="D409" s="87">
        <v>19</v>
      </c>
      <c r="E409" s="104" t="s">
        <v>76</v>
      </c>
      <c r="F409" s="87" t="s">
        <v>100</v>
      </c>
      <c r="G409" s="87" t="s">
        <v>592</v>
      </c>
      <c r="H409" s="89">
        <v>2</v>
      </c>
      <c r="I40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36</v>
      </c>
      <c r="J409" s="88">
        <v>43631</v>
      </c>
      <c r="K409" s="99" t="s">
        <v>461</v>
      </c>
      <c r="L409" s="132" t="s">
        <v>387</v>
      </c>
      <c r="M409" s="99"/>
      <c r="N409" s="90"/>
      <c r="O409" s="255">
        <f>MONTH(LstMachines[[#This Row],[Delivery]])</f>
        <v>6</v>
      </c>
      <c r="P409" s="256" t="str">
        <f>FIXED(YEAR(LstMachines[[#This Row],[Delivery]]),0,TRUE)</f>
        <v>2019</v>
      </c>
      <c r="Q409" s="73"/>
      <c r="R409" s="93"/>
      <c r="S409" s="90"/>
      <c r="T409" s="90"/>
      <c r="U409" s="90" t="s">
        <v>104</v>
      </c>
      <c r="V409" s="72"/>
      <c r="W409" s="99" t="s">
        <v>383</v>
      </c>
      <c r="X409" s="258">
        <f>LstMachines[[#This Row],[Delivery]]</f>
        <v>43631</v>
      </c>
      <c r="Y409" s="258" t="str">
        <f xml:space="preserve"> IF(MONTH(LstMachines[[#This Row],[DateLivr]])&lt;10,"0","") &amp; MONTH(LstMachines[[#This Row],[DateLivr]]) &amp;"-"&amp;YEAR(LstMachines[[#This Row],[DateLivr]])</f>
        <v>06-2019</v>
      </c>
      <c r="Z409" s="258">
        <f>LstMachines[[#This Row],[Delivery]]+Rglt_à_HCME</f>
        <v>43691</v>
      </c>
      <c r="AA409" s="258" t="str">
        <f xml:space="preserve"> IF(MONTH(LstMachines[[#This Row],[DatePaie]])&lt;10,"0","") &amp; MONTH(LstMachines[[#This Row],[DatePaie]])&amp;"-"&amp;YEAR(LstMachines[[#This Row],[DatePaie]])</f>
        <v>08-2019</v>
      </c>
      <c r="AB409" s="258">
        <f>LstMachines[[#This Row],[DateLivr]]+1</f>
        <v>43632</v>
      </c>
      <c r="AC409" s="258" t="str">
        <f xml:space="preserve"> IF(MONTH(LstMachines[[#This Row],[Distrib]])&lt;10,"0","") &amp; MONTH(LstMachines[[#This Row],[Distrib]]) &amp; "-" &amp; YEAR(LstMachines[[#This Row],[Distrib]])</f>
        <v>06-2019</v>
      </c>
      <c r="AD409" s="258">
        <f>LstMachines[[#This Row],[DateLivr]]+Délai_Vente</f>
        <v>43751</v>
      </c>
      <c r="AE409" s="258" t="str">
        <f xml:space="preserve"> IF(MONTH(LstMachines[[#This Row],[VteESM]])&lt;10,"0","") &amp; MONTH(LstMachines[[#This Row],[VteESM]]) &amp; "-" &amp; YEAR(LstMachines[[#This Row],[VteESM]])</f>
        <v>10-2019</v>
      </c>
      <c r="AF409" s="258">
        <f>LstMachines[[#This Row],[DateLivr]]+Rglt_à_ESMTP</f>
        <v>43691</v>
      </c>
      <c r="AG409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409" s="258">
        <f>LstMachines[[#This Row],[VteESM]]+Rglt_à_ESMTP</f>
        <v>43811</v>
      </c>
      <c r="AI409" s="258" t="str">
        <f xml:space="preserve"> IF(MONTH(LstMachines[[#This Row],[RgltVteESM]])&lt;10,"0","") &amp; MONTH(LstMachines[[#This Row],[RgltVteESM]]) &amp; "-" &amp; YEAR(LstMachines[[#This Row],[RgltVteESM]])</f>
        <v>12-2019</v>
      </c>
      <c r="AJ409" s="140">
        <f>MONTH(LstMachines[[#This Row],[DatePaie]])</f>
        <v>8</v>
      </c>
      <c r="AK409" s="88" t="str">
        <f>FIXED(YEAR(LstMachines[[#This Row],[DatePaie]]),0,TRUE)</f>
        <v>2019</v>
      </c>
      <c r="AL409" s="140"/>
      <c r="AM409" s="414"/>
    </row>
    <row r="410" spans="2:39" hidden="1">
      <c r="B410" s="104" t="s">
        <v>262</v>
      </c>
      <c r="C410" s="104" t="s">
        <v>39</v>
      </c>
      <c r="D410" s="87">
        <v>85</v>
      </c>
      <c r="E410" s="86" t="s">
        <v>356</v>
      </c>
      <c r="F410" s="87" t="s">
        <v>100</v>
      </c>
      <c r="G410" s="87" t="s">
        <v>592</v>
      </c>
      <c r="H410" s="89">
        <v>1</v>
      </c>
      <c r="I41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410" s="88">
        <v>43631</v>
      </c>
      <c r="K410" s="99" t="s">
        <v>461</v>
      </c>
      <c r="L410" s="132" t="s">
        <v>387</v>
      </c>
      <c r="M410" s="99"/>
      <c r="N410" s="90"/>
      <c r="O410" s="255">
        <f>MONTH(LstMachines[[#This Row],[Delivery]])</f>
        <v>6</v>
      </c>
      <c r="P410" s="256" t="str">
        <f>FIXED(YEAR(LstMachines[[#This Row],[Delivery]]),0,TRUE)</f>
        <v>2019</v>
      </c>
      <c r="Q410" s="73"/>
      <c r="R410" s="93"/>
      <c r="S410" s="90"/>
      <c r="T410" s="90"/>
      <c r="U410" s="90" t="s">
        <v>104</v>
      </c>
      <c r="V410" s="72"/>
      <c r="W410" s="99" t="s">
        <v>383</v>
      </c>
      <c r="X410" s="258">
        <f>LstMachines[[#This Row],[Delivery]]</f>
        <v>43631</v>
      </c>
      <c r="Y410" s="258" t="str">
        <f xml:space="preserve"> IF(MONTH(LstMachines[[#This Row],[DateLivr]])&lt;10,"0","") &amp; MONTH(LstMachines[[#This Row],[DateLivr]]) &amp;"-"&amp;YEAR(LstMachines[[#This Row],[DateLivr]])</f>
        <v>06-2019</v>
      </c>
      <c r="Z410" s="258">
        <f>LstMachines[[#This Row],[Delivery]]+Rglt_à_HCME</f>
        <v>43691</v>
      </c>
      <c r="AA410" s="258" t="str">
        <f xml:space="preserve"> IF(MONTH(LstMachines[[#This Row],[DatePaie]])&lt;10,"0","") &amp; MONTH(LstMachines[[#This Row],[DatePaie]])&amp;"-"&amp;YEAR(LstMachines[[#This Row],[DatePaie]])</f>
        <v>08-2019</v>
      </c>
      <c r="AB410" s="258">
        <f>LstMachines[[#This Row],[DateLivr]]+1</f>
        <v>43632</v>
      </c>
      <c r="AC410" s="258" t="str">
        <f xml:space="preserve"> IF(MONTH(LstMachines[[#This Row],[Distrib]])&lt;10,"0","") &amp; MONTH(LstMachines[[#This Row],[Distrib]]) &amp; "-" &amp; YEAR(LstMachines[[#This Row],[Distrib]])</f>
        <v>06-2019</v>
      </c>
      <c r="AD410" s="258">
        <f>LstMachines[[#This Row],[DateLivr]]+Délai_Vente</f>
        <v>43751</v>
      </c>
      <c r="AE410" s="258" t="str">
        <f xml:space="preserve"> IF(MONTH(LstMachines[[#This Row],[VteESM]])&lt;10,"0","") &amp; MONTH(LstMachines[[#This Row],[VteESM]]) &amp; "-" &amp; YEAR(LstMachines[[#This Row],[VteESM]])</f>
        <v>10-2019</v>
      </c>
      <c r="AF410" s="258">
        <f>LstMachines[[#This Row],[DateLivr]]+Rglt_à_ESMTP</f>
        <v>43691</v>
      </c>
      <c r="AG410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410" s="258">
        <f>LstMachines[[#This Row],[VteESM]]+Rglt_à_ESMTP</f>
        <v>43811</v>
      </c>
      <c r="AI410" s="258" t="str">
        <f xml:space="preserve"> IF(MONTH(LstMachines[[#This Row],[RgltVteESM]])&lt;10,"0","") &amp; MONTH(LstMachines[[#This Row],[RgltVteESM]]) &amp; "-" &amp; YEAR(LstMachines[[#This Row],[RgltVteESM]])</f>
        <v>12-2019</v>
      </c>
      <c r="AJ410" s="140">
        <f>MONTH(LstMachines[[#This Row],[DatePaie]])</f>
        <v>8</v>
      </c>
      <c r="AK410" s="88" t="str">
        <f>FIXED(YEAR(LstMachines[[#This Row],[DatePaie]]),0,TRUE)</f>
        <v>2019</v>
      </c>
      <c r="AL410" s="140"/>
      <c r="AM410" s="414"/>
    </row>
    <row r="411" spans="2:39" hidden="1">
      <c r="B411" s="104" t="s">
        <v>75</v>
      </c>
      <c r="C411" s="104" t="s">
        <v>36</v>
      </c>
      <c r="D411" s="87">
        <v>26</v>
      </c>
      <c r="E411" s="86" t="s">
        <v>355</v>
      </c>
      <c r="F411" s="87" t="s">
        <v>100</v>
      </c>
      <c r="G411" s="87" t="s">
        <v>592</v>
      </c>
      <c r="H411" s="89">
        <v>3</v>
      </c>
      <c r="I41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66</v>
      </c>
      <c r="J411" s="88">
        <v>43631</v>
      </c>
      <c r="K411" s="99" t="s">
        <v>461</v>
      </c>
      <c r="L411" s="132" t="s">
        <v>387</v>
      </c>
      <c r="M411" s="99"/>
      <c r="N411" s="90"/>
      <c r="O411" s="255">
        <f>MONTH(LstMachines[[#This Row],[Delivery]])</f>
        <v>6</v>
      </c>
      <c r="P411" s="256" t="str">
        <f>FIXED(YEAR(LstMachines[[#This Row],[Delivery]]),0,TRUE)</f>
        <v>2019</v>
      </c>
      <c r="Q411" s="73"/>
      <c r="R411" s="93"/>
      <c r="S411" s="90"/>
      <c r="T411" s="90"/>
      <c r="U411" s="90" t="s">
        <v>104</v>
      </c>
      <c r="V411" s="72"/>
      <c r="W411" s="99" t="s">
        <v>383</v>
      </c>
      <c r="X411" s="258">
        <f>LstMachines[[#This Row],[Delivery]]</f>
        <v>43631</v>
      </c>
      <c r="Y411" s="258" t="str">
        <f xml:space="preserve"> IF(MONTH(LstMachines[[#This Row],[DateLivr]])&lt;10,"0","") &amp; MONTH(LstMachines[[#This Row],[DateLivr]]) &amp;"-"&amp;YEAR(LstMachines[[#This Row],[DateLivr]])</f>
        <v>06-2019</v>
      </c>
      <c r="Z411" s="258">
        <f>LstMachines[[#This Row],[Delivery]]+Rglt_à_HCME</f>
        <v>43691</v>
      </c>
      <c r="AA411" s="258" t="str">
        <f xml:space="preserve"> IF(MONTH(LstMachines[[#This Row],[DatePaie]])&lt;10,"0","") &amp; MONTH(LstMachines[[#This Row],[DatePaie]])&amp;"-"&amp;YEAR(LstMachines[[#This Row],[DatePaie]])</f>
        <v>08-2019</v>
      </c>
      <c r="AB411" s="258">
        <f>LstMachines[[#This Row],[DateLivr]]+1</f>
        <v>43632</v>
      </c>
      <c r="AC411" s="258" t="str">
        <f xml:space="preserve"> IF(MONTH(LstMachines[[#This Row],[Distrib]])&lt;10,"0","") &amp; MONTH(LstMachines[[#This Row],[Distrib]]) &amp; "-" &amp; YEAR(LstMachines[[#This Row],[Distrib]])</f>
        <v>06-2019</v>
      </c>
      <c r="AD411" s="258">
        <f>LstMachines[[#This Row],[DateLivr]]+Délai_Vente</f>
        <v>43751</v>
      </c>
      <c r="AE411" s="258" t="str">
        <f xml:space="preserve"> IF(MONTH(LstMachines[[#This Row],[VteESM]])&lt;10,"0","") &amp; MONTH(LstMachines[[#This Row],[VteESM]]) &amp; "-" &amp; YEAR(LstMachines[[#This Row],[VteESM]])</f>
        <v>10-2019</v>
      </c>
      <c r="AF411" s="258">
        <f>LstMachines[[#This Row],[DateLivr]]+Rglt_à_ESMTP</f>
        <v>43691</v>
      </c>
      <c r="AG411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411" s="258">
        <f>LstMachines[[#This Row],[VteESM]]+Rglt_à_ESMTP</f>
        <v>43811</v>
      </c>
      <c r="AI411" s="258" t="str">
        <f xml:space="preserve"> IF(MONTH(LstMachines[[#This Row],[RgltVteESM]])&lt;10,"0","") &amp; MONTH(LstMachines[[#This Row],[RgltVteESM]]) &amp; "-" &amp; YEAR(LstMachines[[#This Row],[RgltVteESM]])</f>
        <v>12-2019</v>
      </c>
      <c r="AJ411" s="140">
        <f>MONTH(LstMachines[[#This Row],[DatePaie]])</f>
        <v>8</v>
      </c>
      <c r="AK411" s="88" t="str">
        <f>FIXED(YEAR(LstMachines[[#This Row],[DatePaie]]),0,TRUE)</f>
        <v>2019</v>
      </c>
      <c r="AL411" s="140"/>
      <c r="AM411" s="414"/>
    </row>
    <row r="412" spans="2:39" hidden="1">
      <c r="B412" s="104" t="s">
        <v>259</v>
      </c>
      <c r="C412" s="104" t="s">
        <v>48</v>
      </c>
      <c r="D412" s="87">
        <v>180</v>
      </c>
      <c r="E412" s="86" t="s">
        <v>163</v>
      </c>
      <c r="F412" s="87" t="s">
        <v>100</v>
      </c>
      <c r="G412" s="87" t="s">
        <v>592</v>
      </c>
      <c r="H412" s="89">
        <v>1</v>
      </c>
      <c r="I41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105</v>
      </c>
      <c r="J412" s="88">
        <v>43631</v>
      </c>
      <c r="K412" s="99" t="s">
        <v>461</v>
      </c>
      <c r="L412" s="132" t="s">
        <v>387</v>
      </c>
      <c r="M412" s="99"/>
      <c r="N412" s="90"/>
      <c r="O412" s="255">
        <f>MONTH(LstMachines[[#This Row],[Delivery]])</f>
        <v>6</v>
      </c>
      <c r="P412" s="256" t="str">
        <f>FIXED(YEAR(LstMachines[[#This Row],[Delivery]]),0,TRUE)</f>
        <v>2019</v>
      </c>
      <c r="Q412" s="73"/>
      <c r="R412" s="93"/>
      <c r="S412" s="90"/>
      <c r="T412" s="90"/>
      <c r="U412" s="90" t="s">
        <v>104</v>
      </c>
      <c r="V412" s="72"/>
      <c r="W412" s="99" t="s">
        <v>383</v>
      </c>
      <c r="X412" s="258">
        <f>LstMachines[[#This Row],[Delivery]]</f>
        <v>43631</v>
      </c>
      <c r="Y412" s="258" t="str">
        <f xml:space="preserve"> IF(MONTH(LstMachines[[#This Row],[DateLivr]])&lt;10,"0","") &amp; MONTH(LstMachines[[#This Row],[DateLivr]]) &amp;"-"&amp;YEAR(LstMachines[[#This Row],[DateLivr]])</f>
        <v>06-2019</v>
      </c>
      <c r="Z412" s="258">
        <f>LstMachines[[#This Row],[Delivery]]+Rglt_à_HCME</f>
        <v>43691</v>
      </c>
      <c r="AA412" s="258" t="str">
        <f xml:space="preserve"> IF(MONTH(LstMachines[[#This Row],[DatePaie]])&lt;10,"0","") &amp; MONTH(LstMachines[[#This Row],[DatePaie]])&amp;"-"&amp;YEAR(LstMachines[[#This Row],[DatePaie]])</f>
        <v>08-2019</v>
      </c>
      <c r="AB412" s="258">
        <f>LstMachines[[#This Row],[DateLivr]]+1</f>
        <v>43632</v>
      </c>
      <c r="AC412" s="258" t="str">
        <f xml:space="preserve"> IF(MONTH(LstMachines[[#This Row],[Distrib]])&lt;10,"0","") &amp; MONTH(LstMachines[[#This Row],[Distrib]]) &amp; "-" &amp; YEAR(LstMachines[[#This Row],[Distrib]])</f>
        <v>06-2019</v>
      </c>
      <c r="AD412" s="258">
        <f>LstMachines[[#This Row],[DateLivr]]+Délai_Vente</f>
        <v>43751</v>
      </c>
      <c r="AE412" s="258" t="str">
        <f xml:space="preserve"> IF(MONTH(LstMachines[[#This Row],[VteESM]])&lt;10,"0","") &amp; MONTH(LstMachines[[#This Row],[VteESM]]) &amp; "-" &amp; YEAR(LstMachines[[#This Row],[VteESM]])</f>
        <v>10-2019</v>
      </c>
      <c r="AF412" s="258">
        <f>LstMachines[[#This Row],[DateLivr]]+Rglt_à_ESMTP</f>
        <v>43691</v>
      </c>
      <c r="AG412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412" s="258">
        <f>LstMachines[[#This Row],[VteESM]]+Rglt_à_ESMTP</f>
        <v>43811</v>
      </c>
      <c r="AI412" s="258" t="str">
        <f xml:space="preserve"> IF(MONTH(LstMachines[[#This Row],[RgltVteESM]])&lt;10,"0","") &amp; MONTH(LstMachines[[#This Row],[RgltVteESM]]) &amp; "-" &amp; YEAR(LstMachines[[#This Row],[RgltVteESM]])</f>
        <v>12-2019</v>
      </c>
      <c r="AJ412" s="140">
        <f>MONTH(LstMachines[[#This Row],[DatePaie]])</f>
        <v>8</v>
      </c>
      <c r="AK412" s="88" t="str">
        <f>FIXED(YEAR(LstMachines[[#This Row],[DatePaie]]),0,TRUE)</f>
        <v>2019</v>
      </c>
      <c r="AL412" s="140"/>
      <c r="AM412" s="414"/>
    </row>
    <row r="413" spans="2:39" hidden="1">
      <c r="B413" s="104" t="s">
        <v>262</v>
      </c>
      <c r="C413" s="104" t="s">
        <v>40</v>
      </c>
      <c r="D413" s="87">
        <v>135</v>
      </c>
      <c r="E413" s="104" t="s">
        <v>87</v>
      </c>
      <c r="F413" s="87" t="s">
        <v>100</v>
      </c>
      <c r="G413" s="87" t="s">
        <v>592</v>
      </c>
      <c r="H413" s="89">
        <v>1</v>
      </c>
      <c r="I41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413" s="88">
        <v>43631</v>
      </c>
      <c r="K413" s="99" t="s">
        <v>461</v>
      </c>
      <c r="L413" s="132" t="s">
        <v>387</v>
      </c>
      <c r="M413" s="99"/>
      <c r="N413" s="90"/>
      <c r="O413" s="255">
        <f>MONTH(LstMachines[[#This Row],[Delivery]])</f>
        <v>6</v>
      </c>
      <c r="P413" s="256" t="str">
        <f>FIXED(YEAR(LstMachines[[#This Row],[Delivery]]),0,TRUE)</f>
        <v>2019</v>
      </c>
      <c r="Q413" s="73"/>
      <c r="R413" s="93"/>
      <c r="S413" s="90"/>
      <c r="T413" s="90"/>
      <c r="U413" s="90" t="s">
        <v>104</v>
      </c>
      <c r="V413" s="72"/>
      <c r="W413" s="99" t="s">
        <v>383</v>
      </c>
      <c r="X413" s="258">
        <f>LstMachines[[#This Row],[Delivery]]</f>
        <v>43631</v>
      </c>
      <c r="Y413" s="258" t="str">
        <f xml:space="preserve"> IF(MONTH(LstMachines[[#This Row],[DateLivr]])&lt;10,"0","") &amp; MONTH(LstMachines[[#This Row],[DateLivr]]) &amp;"-"&amp;YEAR(LstMachines[[#This Row],[DateLivr]])</f>
        <v>06-2019</v>
      </c>
      <c r="Z413" s="258">
        <f>LstMachines[[#This Row],[Delivery]]+Rglt_à_HCME</f>
        <v>43691</v>
      </c>
      <c r="AA413" s="258" t="str">
        <f xml:space="preserve"> IF(MONTH(LstMachines[[#This Row],[DatePaie]])&lt;10,"0","") &amp; MONTH(LstMachines[[#This Row],[DatePaie]])&amp;"-"&amp;YEAR(LstMachines[[#This Row],[DatePaie]])</f>
        <v>08-2019</v>
      </c>
      <c r="AB413" s="258">
        <f>LstMachines[[#This Row],[DateLivr]]+1</f>
        <v>43632</v>
      </c>
      <c r="AC413" s="258" t="str">
        <f xml:space="preserve"> IF(MONTH(LstMachines[[#This Row],[Distrib]])&lt;10,"0","") &amp; MONTH(LstMachines[[#This Row],[Distrib]]) &amp; "-" &amp; YEAR(LstMachines[[#This Row],[Distrib]])</f>
        <v>06-2019</v>
      </c>
      <c r="AD413" s="258">
        <f>LstMachines[[#This Row],[DateLivr]]+Délai_Vente</f>
        <v>43751</v>
      </c>
      <c r="AE413" s="258" t="str">
        <f xml:space="preserve"> IF(MONTH(LstMachines[[#This Row],[VteESM]])&lt;10,"0","") &amp; MONTH(LstMachines[[#This Row],[VteESM]]) &amp; "-" &amp; YEAR(LstMachines[[#This Row],[VteESM]])</f>
        <v>10-2019</v>
      </c>
      <c r="AF413" s="258">
        <f>LstMachines[[#This Row],[DateLivr]]+Rglt_à_ESMTP</f>
        <v>43691</v>
      </c>
      <c r="AG413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413" s="258">
        <f>LstMachines[[#This Row],[VteESM]]+Rglt_à_ESMTP</f>
        <v>43811</v>
      </c>
      <c r="AI413" s="258" t="str">
        <f xml:space="preserve"> IF(MONTH(LstMachines[[#This Row],[RgltVteESM]])&lt;10,"0","") &amp; MONTH(LstMachines[[#This Row],[RgltVteESM]]) &amp; "-" &amp; YEAR(LstMachines[[#This Row],[RgltVteESM]])</f>
        <v>12-2019</v>
      </c>
      <c r="AJ413" s="140">
        <f>MONTH(LstMachines[[#This Row],[DatePaie]])</f>
        <v>8</v>
      </c>
      <c r="AK413" s="88" t="str">
        <f>FIXED(YEAR(LstMachines[[#This Row],[DatePaie]]),0,TRUE)</f>
        <v>2019</v>
      </c>
      <c r="AL413" s="140"/>
      <c r="AM413" s="414"/>
    </row>
    <row r="414" spans="2:39" hidden="1">
      <c r="B414" s="104" t="s">
        <v>263</v>
      </c>
      <c r="C414" s="104" t="s">
        <v>250</v>
      </c>
      <c r="D414" s="87">
        <v>145</v>
      </c>
      <c r="E414" s="86" t="s">
        <v>228</v>
      </c>
      <c r="F414" s="87" t="s">
        <v>100</v>
      </c>
      <c r="G414" s="87" t="s">
        <v>592</v>
      </c>
      <c r="H414" s="89">
        <v>1</v>
      </c>
      <c r="I41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115</v>
      </c>
      <c r="J414" s="88">
        <v>43631</v>
      </c>
      <c r="K414" s="99" t="s">
        <v>461</v>
      </c>
      <c r="L414" s="132" t="s">
        <v>387</v>
      </c>
      <c r="M414" s="99"/>
      <c r="N414" s="90"/>
      <c r="O414" s="255">
        <f>MONTH(LstMachines[[#This Row],[Delivery]])</f>
        <v>6</v>
      </c>
      <c r="P414" s="256" t="str">
        <f>FIXED(YEAR(LstMachines[[#This Row],[Delivery]]),0,TRUE)</f>
        <v>2019</v>
      </c>
      <c r="Q414" s="73"/>
      <c r="R414" s="93"/>
      <c r="S414" s="90"/>
      <c r="T414" s="90"/>
      <c r="U414" s="90" t="s">
        <v>104</v>
      </c>
      <c r="V414" s="72"/>
      <c r="W414" s="99" t="s">
        <v>383</v>
      </c>
      <c r="X414" s="258">
        <f>LstMachines[[#This Row],[Delivery]]</f>
        <v>43631</v>
      </c>
      <c r="Y414" s="258" t="str">
        <f xml:space="preserve"> IF(MONTH(LstMachines[[#This Row],[DateLivr]])&lt;10,"0","") &amp; MONTH(LstMachines[[#This Row],[DateLivr]]) &amp;"-"&amp;YEAR(LstMachines[[#This Row],[DateLivr]])</f>
        <v>06-2019</v>
      </c>
      <c r="Z414" s="258">
        <f>LstMachines[[#This Row],[Delivery]]+Rglt_à_HCME</f>
        <v>43691</v>
      </c>
      <c r="AA414" s="258" t="str">
        <f xml:space="preserve"> IF(MONTH(LstMachines[[#This Row],[DatePaie]])&lt;10,"0","") &amp; MONTH(LstMachines[[#This Row],[DatePaie]])&amp;"-"&amp;YEAR(LstMachines[[#This Row],[DatePaie]])</f>
        <v>08-2019</v>
      </c>
      <c r="AB414" s="258">
        <f>LstMachines[[#This Row],[DateLivr]]+1</f>
        <v>43632</v>
      </c>
      <c r="AC414" s="258" t="str">
        <f xml:space="preserve"> IF(MONTH(LstMachines[[#This Row],[Distrib]])&lt;10,"0","") &amp; MONTH(LstMachines[[#This Row],[Distrib]]) &amp; "-" &amp; YEAR(LstMachines[[#This Row],[Distrib]])</f>
        <v>06-2019</v>
      </c>
      <c r="AD414" s="258">
        <f>LstMachines[[#This Row],[DateLivr]]+Délai_Vente</f>
        <v>43751</v>
      </c>
      <c r="AE414" s="258" t="str">
        <f xml:space="preserve"> IF(MONTH(LstMachines[[#This Row],[VteESM]])&lt;10,"0","") &amp; MONTH(LstMachines[[#This Row],[VteESM]]) &amp; "-" &amp; YEAR(LstMachines[[#This Row],[VteESM]])</f>
        <v>10-2019</v>
      </c>
      <c r="AF414" s="258">
        <f>LstMachines[[#This Row],[DateLivr]]+Rglt_à_ESMTP</f>
        <v>43691</v>
      </c>
      <c r="AG414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414" s="258">
        <f>LstMachines[[#This Row],[VteESM]]+Rglt_à_ESMTP</f>
        <v>43811</v>
      </c>
      <c r="AI414" s="258" t="str">
        <f xml:space="preserve"> IF(MONTH(LstMachines[[#This Row],[RgltVteESM]])&lt;10,"0","") &amp; MONTH(LstMachines[[#This Row],[RgltVteESM]]) &amp; "-" &amp; YEAR(LstMachines[[#This Row],[RgltVteESM]])</f>
        <v>12-2019</v>
      </c>
      <c r="AJ414" s="140">
        <f>MONTH(LstMachines[[#This Row],[DatePaie]])</f>
        <v>8</v>
      </c>
      <c r="AK414" s="88" t="str">
        <f>FIXED(YEAR(LstMachines[[#This Row],[DatePaie]]),0,TRUE)</f>
        <v>2019</v>
      </c>
      <c r="AL414" s="140"/>
      <c r="AM414" s="414"/>
    </row>
    <row r="415" spans="2:39" hidden="1">
      <c r="B415" s="104" t="s">
        <v>262</v>
      </c>
      <c r="C415" s="104" t="s">
        <v>43</v>
      </c>
      <c r="D415" s="87">
        <v>210</v>
      </c>
      <c r="E415" s="104" t="s">
        <v>89</v>
      </c>
      <c r="F415" s="87" t="s">
        <v>100</v>
      </c>
      <c r="G415" s="87" t="s">
        <v>592</v>
      </c>
      <c r="H415" s="89">
        <v>1</v>
      </c>
      <c r="I41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118</v>
      </c>
      <c r="J415" s="88">
        <v>43631</v>
      </c>
      <c r="K415" s="99" t="s">
        <v>461</v>
      </c>
      <c r="L415" s="132" t="s">
        <v>387</v>
      </c>
      <c r="M415" s="99"/>
      <c r="N415" s="90"/>
      <c r="O415" s="255">
        <f>MONTH(LstMachines[[#This Row],[Delivery]])</f>
        <v>6</v>
      </c>
      <c r="P415" s="256" t="str">
        <f>FIXED(YEAR(LstMachines[[#This Row],[Delivery]]),0,TRUE)</f>
        <v>2019</v>
      </c>
      <c r="Q415" s="73"/>
      <c r="R415" s="93"/>
      <c r="S415" s="90"/>
      <c r="T415" s="90"/>
      <c r="U415" s="90" t="s">
        <v>104</v>
      </c>
      <c r="V415" s="72"/>
      <c r="W415" s="99" t="s">
        <v>383</v>
      </c>
      <c r="X415" s="258">
        <f>LstMachines[[#This Row],[Delivery]]</f>
        <v>43631</v>
      </c>
      <c r="Y415" s="258" t="str">
        <f xml:space="preserve"> IF(MONTH(LstMachines[[#This Row],[DateLivr]])&lt;10,"0","") &amp; MONTH(LstMachines[[#This Row],[DateLivr]]) &amp;"-"&amp;YEAR(LstMachines[[#This Row],[DateLivr]])</f>
        <v>06-2019</v>
      </c>
      <c r="Z415" s="258">
        <f>LstMachines[[#This Row],[Delivery]]+Rglt_à_HCME</f>
        <v>43691</v>
      </c>
      <c r="AA415" s="258" t="str">
        <f xml:space="preserve"> IF(MONTH(LstMachines[[#This Row],[DatePaie]])&lt;10,"0","") &amp; MONTH(LstMachines[[#This Row],[DatePaie]])&amp;"-"&amp;YEAR(LstMachines[[#This Row],[DatePaie]])</f>
        <v>08-2019</v>
      </c>
      <c r="AB415" s="258">
        <f>LstMachines[[#This Row],[DateLivr]]+1</f>
        <v>43632</v>
      </c>
      <c r="AC415" s="258" t="str">
        <f xml:space="preserve"> IF(MONTH(LstMachines[[#This Row],[Distrib]])&lt;10,"0","") &amp; MONTH(LstMachines[[#This Row],[Distrib]]) &amp; "-" &amp; YEAR(LstMachines[[#This Row],[Distrib]])</f>
        <v>06-2019</v>
      </c>
      <c r="AD415" s="258">
        <f>LstMachines[[#This Row],[DateLivr]]+Délai_Vente</f>
        <v>43751</v>
      </c>
      <c r="AE415" s="258" t="str">
        <f xml:space="preserve"> IF(MONTH(LstMachines[[#This Row],[VteESM]])&lt;10,"0","") &amp; MONTH(LstMachines[[#This Row],[VteESM]]) &amp; "-" &amp; YEAR(LstMachines[[#This Row],[VteESM]])</f>
        <v>10-2019</v>
      </c>
      <c r="AF415" s="258">
        <f>LstMachines[[#This Row],[DateLivr]]+Rglt_à_ESMTP</f>
        <v>43691</v>
      </c>
      <c r="AG415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415" s="258">
        <f>LstMachines[[#This Row],[VteESM]]+Rglt_à_ESMTP</f>
        <v>43811</v>
      </c>
      <c r="AI415" s="258" t="str">
        <f xml:space="preserve"> IF(MONTH(LstMachines[[#This Row],[RgltVteESM]])&lt;10,"0","") &amp; MONTH(LstMachines[[#This Row],[RgltVteESM]]) &amp; "-" &amp; YEAR(LstMachines[[#This Row],[RgltVteESM]])</f>
        <v>12-2019</v>
      </c>
      <c r="AJ415" s="140">
        <f>MONTH(LstMachines[[#This Row],[DatePaie]])</f>
        <v>8</v>
      </c>
      <c r="AK415" s="88" t="str">
        <f>FIXED(YEAR(LstMachines[[#This Row],[DatePaie]]),0,TRUE)</f>
        <v>2019</v>
      </c>
      <c r="AL415" s="140"/>
      <c r="AM415" s="414"/>
    </row>
    <row r="416" spans="2:39" hidden="1">
      <c r="B416" s="104" t="s">
        <v>75</v>
      </c>
      <c r="C416" s="104" t="s">
        <v>37</v>
      </c>
      <c r="D416" s="87">
        <v>48</v>
      </c>
      <c r="E416" s="104" t="s">
        <v>363</v>
      </c>
      <c r="F416" s="87" t="s">
        <v>100</v>
      </c>
      <c r="G416" s="87" t="s">
        <v>592</v>
      </c>
      <c r="H416" s="89">
        <v>3</v>
      </c>
      <c r="I41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123</v>
      </c>
      <c r="J416" s="88">
        <v>43631</v>
      </c>
      <c r="K416" s="99" t="s">
        <v>461</v>
      </c>
      <c r="L416" s="132" t="s">
        <v>387</v>
      </c>
      <c r="M416" s="99"/>
      <c r="N416" s="90"/>
      <c r="O416" s="255">
        <f>MONTH(LstMachines[[#This Row],[Delivery]])</f>
        <v>6</v>
      </c>
      <c r="P416" s="256" t="str">
        <f>FIXED(YEAR(LstMachines[[#This Row],[Delivery]]),0,TRUE)</f>
        <v>2019</v>
      </c>
      <c r="Q416" s="73"/>
      <c r="R416" s="93"/>
      <c r="S416" s="90"/>
      <c r="T416" s="90"/>
      <c r="U416" s="90" t="s">
        <v>104</v>
      </c>
      <c r="V416" s="72"/>
      <c r="W416" s="99" t="s">
        <v>383</v>
      </c>
      <c r="X416" s="258">
        <f>LstMachines[[#This Row],[Delivery]]</f>
        <v>43631</v>
      </c>
      <c r="Y416" s="258" t="str">
        <f xml:space="preserve"> IF(MONTH(LstMachines[[#This Row],[DateLivr]])&lt;10,"0","") &amp; MONTH(LstMachines[[#This Row],[DateLivr]]) &amp;"-"&amp;YEAR(LstMachines[[#This Row],[DateLivr]])</f>
        <v>06-2019</v>
      </c>
      <c r="Z416" s="258">
        <f>LstMachines[[#This Row],[Delivery]]+Rglt_à_HCME</f>
        <v>43691</v>
      </c>
      <c r="AA416" s="258" t="str">
        <f xml:space="preserve"> IF(MONTH(LstMachines[[#This Row],[DatePaie]])&lt;10,"0","") &amp; MONTH(LstMachines[[#This Row],[DatePaie]])&amp;"-"&amp;YEAR(LstMachines[[#This Row],[DatePaie]])</f>
        <v>08-2019</v>
      </c>
      <c r="AB416" s="258">
        <f>LstMachines[[#This Row],[DateLivr]]+1</f>
        <v>43632</v>
      </c>
      <c r="AC416" s="258" t="str">
        <f xml:space="preserve"> IF(MONTH(LstMachines[[#This Row],[Distrib]])&lt;10,"0","") &amp; MONTH(LstMachines[[#This Row],[Distrib]]) &amp; "-" &amp; YEAR(LstMachines[[#This Row],[Distrib]])</f>
        <v>06-2019</v>
      </c>
      <c r="AD416" s="258">
        <f>LstMachines[[#This Row],[DateLivr]]+Délai_Vente</f>
        <v>43751</v>
      </c>
      <c r="AE416" s="258" t="str">
        <f xml:space="preserve"> IF(MONTH(LstMachines[[#This Row],[VteESM]])&lt;10,"0","") &amp; MONTH(LstMachines[[#This Row],[VteESM]]) &amp; "-" &amp; YEAR(LstMachines[[#This Row],[VteESM]])</f>
        <v>10-2019</v>
      </c>
      <c r="AF416" s="258">
        <f>LstMachines[[#This Row],[DateLivr]]+Rglt_à_ESMTP</f>
        <v>43691</v>
      </c>
      <c r="AG416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416" s="258">
        <f>LstMachines[[#This Row],[VteESM]]+Rglt_à_ESMTP</f>
        <v>43811</v>
      </c>
      <c r="AI416" s="258" t="str">
        <f xml:space="preserve"> IF(MONTH(LstMachines[[#This Row],[RgltVteESM]])&lt;10,"0","") &amp; MONTH(LstMachines[[#This Row],[RgltVteESM]]) &amp; "-" &amp; YEAR(LstMachines[[#This Row],[RgltVteESM]])</f>
        <v>12-2019</v>
      </c>
      <c r="AJ416" s="140">
        <f>MONTH(LstMachines[[#This Row],[DatePaie]])</f>
        <v>8</v>
      </c>
      <c r="AK416" s="88" t="str">
        <f>FIXED(YEAR(LstMachines[[#This Row],[DatePaie]]),0,TRUE)</f>
        <v>2019</v>
      </c>
      <c r="AL416" s="140"/>
      <c r="AM416" s="414"/>
    </row>
    <row r="417" spans="2:39" hidden="1">
      <c r="B417" s="104" t="s">
        <v>75</v>
      </c>
      <c r="C417" s="104" t="s">
        <v>38</v>
      </c>
      <c r="D417" s="87">
        <v>65</v>
      </c>
      <c r="E417" s="104" t="s">
        <v>364</v>
      </c>
      <c r="F417" s="87" t="s">
        <v>100</v>
      </c>
      <c r="G417" s="87" t="s">
        <v>592</v>
      </c>
      <c r="H417" s="89">
        <v>3</v>
      </c>
      <c r="I41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135</v>
      </c>
      <c r="J417" s="88">
        <v>43631</v>
      </c>
      <c r="K417" s="99" t="s">
        <v>461</v>
      </c>
      <c r="L417" s="132" t="s">
        <v>387</v>
      </c>
      <c r="M417" s="99"/>
      <c r="N417" s="90"/>
      <c r="O417" s="255">
        <f>MONTH(LstMachines[[#This Row],[Delivery]])</f>
        <v>6</v>
      </c>
      <c r="P417" s="256" t="str">
        <f>FIXED(YEAR(LstMachines[[#This Row],[Delivery]]),0,TRUE)</f>
        <v>2019</v>
      </c>
      <c r="Q417" s="73"/>
      <c r="R417" s="93"/>
      <c r="S417" s="90"/>
      <c r="T417" s="90"/>
      <c r="U417" s="90" t="s">
        <v>104</v>
      </c>
      <c r="V417" s="72"/>
      <c r="W417" s="99" t="s">
        <v>383</v>
      </c>
      <c r="X417" s="258">
        <f>LstMachines[[#This Row],[Delivery]]</f>
        <v>43631</v>
      </c>
      <c r="Y417" s="258" t="str">
        <f xml:space="preserve"> IF(MONTH(LstMachines[[#This Row],[DateLivr]])&lt;10,"0","") &amp; MONTH(LstMachines[[#This Row],[DateLivr]]) &amp;"-"&amp;YEAR(LstMachines[[#This Row],[DateLivr]])</f>
        <v>06-2019</v>
      </c>
      <c r="Z417" s="258">
        <f>LstMachines[[#This Row],[Delivery]]+Rglt_à_HCME</f>
        <v>43691</v>
      </c>
      <c r="AA417" s="258" t="str">
        <f xml:space="preserve"> IF(MONTH(LstMachines[[#This Row],[DatePaie]])&lt;10,"0","") &amp; MONTH(LstMachines[[#This Row],[DatePaie]])&amp;"-"&amp;YEAR(LstMachines[[#This Row],[DatePaie]])</f>
        <v>08-2019</v>
      </c>
      <c r="AB417" s="258">
        <f>LstMachines[[#This Row],[DateLivr]]+1</f>
        <v>43632</v>
      </c>
      <c r="AC417" s="258" t="str">
        <f xml:space="preserve"> IF(MONTH(LstMachines[[#This Row],[Distrib]])&lt;10,"0","") &amp; MONTH(LstMachines[[#This Row],[Distrib]]) &amp; "-" &amp; YEAR(LstMachines[[#This Row],[Distrib]])</f>
        <v>06-2019</v>
      </c>
      <c r="AD417" s="258">
        <f>LstMachines[[#This Row],[DateLivr]]+Délai_Vente</f>
        <v>43751</v>
      </c>
      <c r="AE417" s="258" t="str">
        <f xml:space="preserve"> IF(MONTH(LstMachines[[#This Row],[VteESM]])&lt;10,"0","") &amp; MONTH(LstMachines[[#This Row],[VteESM]]) &amp; "-" &amp; YEAR(LstMachines[[#This Row],[VteESM]])</f>
        <v>10-2019</v>
      </c>
      <c r="AF417" s="258">
        <f>LstMachines[[#This Row],[DateLivr]]+Rglt_à_ESMTP</f>
        <v>43691</v>
      </c>
      <c r="AG417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417" s="258">
        <f>LstMachines[[#This Row],[VteESM]]+Rglt_à_ESMTP</f>
        <v>43811</v>
      </c>
      <c r="AI417" s="258" t="str">
        <f xml:space="preserve"> IF(MONTH(LstMachines[[#This Row],[RgltVteESM]])&lt;10,"0","") &amp; MONTH(LstMachines[[#This Row],[RgltVteESM]]) &amp; "-" &amp; YEAR(LstMachines[[#This Row],[RgltVteESM]])</f>
        <v>12-2019</v>
      </c>
      <c r="AJ417" s="140">
        <f>MONTH(LstMachines[[#This Row],[DatePaie]])</f>
        <v>8</v>
      </c>
      <c r="AK417" s="88" t="str">
        <f>FIXED(YEAR(LstMachines[[#This Row],[DatePaie]]),0,TRUE)</f>
        <v>2019</v>
      </c>
      <c r="AL417" s="140"/>
      <c r="AM417" s="414"/>
    </row>
    <row r="418" spans="2:39" hidden="1">
      <c r="B418" s="104" t="s">
        <v>262</v>
      </c>
      <c r="C418" s="104" t="s">
        <v>47</v>
      </c>
      <c r="D418" s="87">
        <v>490</v>
      </c>
      <c r="E418" s="86" t="s">
        <v>360</v>
      </c>
      <c r="F418" s="87" t="s">
        <v>100</v>
      </c>
      <c r="G418" s="87" t="s">
        <v>592</v>
      </c>
      <c r="H418" s="89">
        <v>2</v>
      </c>
      <c r="I41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520</v>
      </c>
      <c r="J418" s="88">
        <v>43631</v>
      </c>
      <c r="K418" s="99" t="s">
        <v>461</v>
      </c>
      <c r="L418" s="132" t="s">
        <v>387</v>
      </c>
      <c r="M418" s="99"/>
      <c r="N418" s="90"/>
      <c r="O418" s="255">
        <f>MONTH(LstMachines[[#This Row],[Delivery]])</f>
        <v>6</v>
      </c>
      <c r="P418" s="256" t="str">
        <f>FIXED(YEAR(LstMachines[[#This Row],[Delivery]]),0,TRUE)</f>
        <v>2019</v>
      </c>
      <c r="Q418" s="73"/>
      <c r="R418" s="93"/>
      <c r="S418" s="90"/>
      <c r="T418" s="90"/>
      <c r="U418" s="90" t="s">
        <v>104</v>
      </c>
      <c r="V418" s="72"/>
      <c r="W418" s="99" t="s">
        <v>383</v>
      </c>
      <c r="X418" s="258">
        <f>LstMachines[[#This Row],[Delivery]]</f>
        <v>43631</v>
      </c>
      <c r="Y418" s="258" t="str">
        <f xml:space="preserve"> IF(MONTH(LstMachines[[#This Row],[DateLivr]])&lt;10,"0","") &amp; MONTH(LstMachines[[#This Row],[DateLivr]]) &amp;"-"&amp;YEAR(LstMachines[[#This Row],[DateLivr]])</f>
        <v>06-2019</v>
      </c>
      <c r="Z418" s="258">
        <f>LstMachines[[#This Row],[Delivery]]+Rglt_à_HCME</f>
        <v>43691</v>
      </c>
      <c r="AA418" s="258" t="str">
        <f xml:space="preserve"> IF(MONTH(LstMachines[[#This Row],[DatePaie]])&lt;10,"0","") &amp; MONTH(LstMachines[[#This Row],[DatePaie]])&amp;"-"&amp;YEAR(LstMachines[[#This Row],[DatePaie]])</f>
        <v>08-2019</v>
      </c>
      <c r="AB418" s="258">
        <f>LstMachines[[#This Row],[DateLivr]]+1</f>
        <v>43632</v>
      </c>
      <c r="AC418" s="258" t="str">
        <f xml:space="preserve"> IF(MONTH(LstMachines[[#This Row],[Distrib]])&lt;10,"0","") &amp; MONTH(LstMachines[[#This Row],[Distrib]]) &amp; "-" &amp; YEAR(LstMachines[[#This Row],[Distrib]])</f>
        <v>06-2019</v>
      </c>
      <c r="AD418" s="258">
        <f>LstMachines[[#This Row],[DateLivr]]+Délai_Vente</f>
        <v>43751</v>
      </c>
      <c r="AE418" s="258" t="str">
        <f xml:space="preserve"> IF(MONTH(LstMachines[[#This Row],[VteESM]])&lt;10,"0","") &amp; MONTH(LstMachines[[#This Row],[VteESM]]) &amp; "-" &amp; YEAR(LstMachines[[#This Row],[VteESM]])</f>
        <v>10-2019</v>
      </c>
      <c r="AF418" s="258">
        <f>LstMachines[[#This Row],[DateLivr]]+Rglt_à_ESMTP</f>
        <v>43691</v>
      </c>
      <c r="AG418" s="258" t="str">
        <f xml:space="preserve"> IF(MONTH(LstMachines[[#This Row],[RgltDistrib]])&lt;10,"0","") &amp; MONTH(LstMachines[[#This Row],[RgltDistrib]]) &amp; "-" &amp; YEAR(LstMachines[[#This Row],[RgltDistrib]])</f>
        <v>08-2019</v>
      </c>
      <c r="AH418" s="258">
        <f>LstMachines[[#This Row],[VteESM]]+Rglt_à_ESMTP</f>
        <v>43811</v>
      </c>
      <c r="AI418" s="258" t="str">
        <f xml:space="preserve"> IF(MONTH(LstMachines[[#This Row],[RgltVteESM]])&lt;10,"0","") &amp; MONTH(LstMachines[[#This Row],[RgltVteESM]]) &amp; "-" &amp; YEAR(LstMachines[[#This Row],[RgltVteESM]])</f>
        <v>12-2019</v>
      </c>
      <c r="AJ418" s="140">
        <f>MONTH(LstMachines[[#This Row],[DatePaie]])</f>
        <v>8</v>
      </c>
      <c r="AK418" s="88" t="str">
        <f>FIXED(YEAR(LstMachines[[#This Row],[DatePaie]]),0,TRUE)</f>
        <v>2019</v>
      </c>
      <c r="AL418" s="140"/>
      <c r="AM418" s="414"/>
    </row>
    <row r="419" spans="2:39" hidden="1">
      <c r="B419" s="243" t="s">
        <v>262</v>
      </c>
      <c r="C419" s="243" t="s">
        <v>43</v>
      </c>
      <c r="D419" s="245">
        <v>210</v>
      </c>
      <c r="E419" s="243" t="s">
        <v>89</v>
      </c>
      <c r="F419" s="89" t="s">
        <v>468</v>
      </c>
      <c r="G419" s="89" t="s">
        <v>469</v>
      </c>
      <c r="H419" s="246">
        <v>1</v>
      </c>
      <c r="I419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118</v>
      </c>
      <c r="J419" s="88">
        <v>43647</v>
      </c>
      <c r="K419" s="248" t="s">
        <v>461</v>
      </c>
      <c r="L419" s="244" t="s">
        <v>470</v>
      </c>
      <c r="M419" s="248"/>
      <c r="N419" s="249"/>
      <c r="O419" s="270">
        <f>MONTH(LstMachines[[#This Row],[Delivery]])</f>
        <v>7</v>
      </c>
      <c r="P419" s="247" t="str">
        <f>FIXED(YEAR(LstMachines[[#This Row],[Delivery]]),0,TRUE)</f>
        <v>2019</v>
      </c>
      <c r="Q419" s="250"/>
      <c r="R419" s="251"/>
      <c r="S419" s="249"/>
      <c r="T419" s="249"/>
      <c r="U419" s="249"/>
      <c r="V419" s="246"/>
      <c r="W419" s="248"/>
      <c r="X419" s="249">
        <f>LstMachines[[#This Row],[Delivery]]</f>
        <v>43647</v>
      </c>
      <c r="Y419" s="271" t="str">
        <f xml:space="preserve"> IF(MONTH(LstMachines[[#This Row],[DateLivr]])&lt;10,"0","") &amp; MONTH(LstMachines[[#This Row],[DateLivr]]) &amp;"-"&amp;YEAR(LstMachines[[#This Row],[DateLivr]])</f>
        <v>07-2019</v>
      </c>
      <c r="Z419" s="247">
        <f>LstMachines[[#This Row],[Delivery]]+Rglt_à_HCME</f>
        <v>43707</v>
      </c>
      <c r="AA419" s="271" t="str">
        <f xml:space="preserve"> IF(MONTH(LstMachines[[#This Row],[DatePaie]])&lt;10,"0","") &amp; MONTH(LstMachines[[#This Row],[DatePaie]])&amp;"-"&amp;YEAR(LstMachines[[#This Row],[DatePaie]])</f>
        <v>08-2019</v>
      </c>
      <c r="AB419" s="271">
        <f>LstMachines[[#This Row],[DateLivr]]+1</f>
        <v>43648</v>
      </c>
      <c r="AC419" s="271" t="str">
        <f xml:space="preserve"> IF(MONTH(LstMachines[[#This Row],[Distrib]])&lt;10,"0","") &amp; MONTH(LstMachines[[#This Row],[Distrib]]) &amp; "-" &amp; YEAR(LstMachines[[#This Row],[Distrib]])</f>
        <v>07-2019</v>
      </c>
      <c r="AD419" s="271">
        <f>LstMachines[[#This Row],[DateLivr]]+Délai_Vente</f>
        <v>43767</v>
      </c>
      <c r="AE419" s="271" t="str">
        <f xml:space="preserve"> IF(MONTH(LstMachines[[#This Row],[VteESM]])&lt;10,"0","") &amp; MONTH(LstMachines[[#This Row],[VteESM]]) &amp; "-" &amp; YEAR(LstMachines[[#This Row],[VteESM]])</f>
        <v>10-2019</v>
      </c>
      <c r="AF419" s="271">
        <f>LstMachines[[#This Row],[DateLivr]]+Rglt_à_ESMTP</f>
        <v>43707</v>
      </c>
      <c r="AG419" s="271" t="str">
        <f xml:space="preserve"> IF(MONTH(LstMachines[[#This Row],[RgltDistrib]])&lt;10,"0","") &amp; MONTH(LstMachines[[#This Row],[RgltDistrib]]) &amp; "-" &amp; YEAR(LstMachines[[#This Row],[RgltDistrib]])</f>
        <v>08-2019</v>
      </c>
      <c r="AH419" s="271">
        <f>LstMachines[[#This Row],[VteESM]]+Rglt_à_ESMTP</f>
        <v>43827</v>
      </c>
      <c r="AI419" s="271" t="str">
        <f xml:space="preserve"> IF(MONTH(LstMachines[[#This Row],[RgltVteESM]])&lt;10,"0","") &amp; MONTH(LstMachines[[#This Row],[RgltVteESM]]) &amp; "-" &amp; YEAR(LstMachines[[#This Row],[RgltVteESM]])</f>
        <v>12-2019</v>
      </c>
      <c r="AJ419" s="270">
        <f>MONTH(LstMachines[[#This Row],[DatePaie]])</f>
        <v>8</v>
      </c>
      <c r="AK419" s="247" t="str">
        <f>FIXED(YEAR(LstMachines[[#This Row],[DatePaie]]),0,TRUE)</f>
        <v>2019</v>
      </c>
      <c r="AL419" s="270"/>
      <c r="AM419" s="414"/>
    </row>
    <row r="420" spans="2:39" hidden="1">
      <c r="B420" s="243" t="s">
        <v>75</v>
      </c>
      <c r="C420" s="243" t="s">
        <v>35</v>
      </c>
      <c r="D420" s="245">
        <v>19</v>
      </c>
      <c r="E420" s="243" t="s">
        <v>76</v>
      </c>
      <c r="F420" s="89" t="s">
        <v>468</v>
      </c>
      <c r="G420" s="89" t="s">
        <v>469</v>
      </c>
      <c r="H420" s="246">
        <v>1</v>
      </c>
      <c r="I420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420" s="88">
        <v>43661</v>
      </c>
      <c r="K420" s="248" t="s">
        <v>461</v>
      </c>
      <c r="L420" s="244" t="s">
        <v>470</v>
      </c>
      <c r="M420" s="248"/>
      <c r="N420" s="249"/>
      <c r="O420" s="270">
        <f>MONTH(LstMachines[[#This Row],[Delivery]])</f>
        <v>7</v>
      </c>
      <c r="P420" s="247" t="str">
        <f>FIXED(YEAR(LstMachines[[#This Row],[Delivery]]),0,TRUE)</f>
        <v>2019</v>
      </c>
      <c r="Q420" s="250"/>
      <c r="R420" s="251"/>
      <c r="S420" s="249"/>
      <c r="T420" s="249"/>
      <c r="U420" s="249"/>
      <c r="V420" s="246"/>
      <c r="W420" s="248"/>
      <c r="X420" s="249">
        <f>LstMachines[[#This Row],[Delivery]]</f>
        <v>43661</v>
      </c>
      <c r="Y420" s="271" t="str">
        <f xml:space="preserve"> IF(MONTH(LstMachines[[#This Row],[DateLivr]])&lt;10,"0","") &amp; MONTH(LstMachines[[#This Row],[DateLivr]]) &amp;"-"&amp;YEAR(LstMachines[[#This Row],[DateLivr]])</f>
        <v>07-2019</v>
      </c>
      <c r="Z420" s="247">
        <f>LstMachines[[#This Row],[Delivery]]+Rglt_à_HCME</f>
        <v>43721</v>
      </c>
      <c r="AA420" s="271" t="str">
        <f xml:space="preserve"> IF(MONTH(LstMachines[[#This Row],[DatePaie]])&lt;10,"0","") &amp; MONTH(LstMachines[[#This Row],[DatePaie]])&amp;"-"&amp;YEAR(LstMachines[[#This Row],[DatePaie]])</f>
        <v>09-2019</v>
      </c>
      <c r="AB420" s="271">
        <f>LstMachines[[#This Row],[DateLivr]]+1</f>
        <v>43662</v>
      </c>
      <c r="AC420" s="271" t="str">
        <f xml:space="preserve"> IF(MONTH(LstMachines[[#This Row],[Distrib]])&lt;10,"0","") &amp; MONTH(LstMachines[[#This Row],[Distrib]]) &amp; "-" &amp; YEAR(LstMachines[[#This Row],[Distrib]])</f>
        <v>07-2019</v>
      </c>
      <c r="AD420" s="271">
        <f>LstMachines[[#This Row],[DateLivr]]+Délai_Vente</f>
        <v>43781</v>
      </c>
      <c r="AE420" s="271" t="str">
        <f xml:space="preserve"> IF(MONTH(LstMachines[[#This Row],[VteESM]])&lt;10,"0","") &amp; MONTH(LstMachines[[#This Row],[VteESM]]) &amp; "-" &amp; YEAR(LstMachines[[#This Row],[VteESM]])</f>
        <v>11-2019</v>
      </c>
      <c r="AF420" s="271">
        <f>LstMachines[[#This Row],[DateLivr]]+Rglt_à_ESMTP</f>
        <v>43721</v>
      </c>
      <c r="AG420" s="271" t="str">
        <f xml:space="preserve"> IF(MONTH(LstMachines[[#This Row],[RgltDistrib]])&lt;10,"0","") &amp; MONTH(LstMachines[[#This Row],[RgltDistrib]]) &amp; "-" &amp; YEAR(LstMachines[[#This Row],[RgltDistrib]])</f>
        <v>09-2019</v>
      </c>
      <c r="AH420" s="271">
        <f>LstMachines[[#This Row],[VteESM]]+Rglt_à_ESMTP</f>
        <v>43841</v>
      </c>
      <c r="AI420" s="271" t="str">
        <f xml:space="preserve"> IF(MONTH(LstMachines[[#This Row],[RgltVteESM]])&lt;10,"0","") &amp; MONTH(LstMachines[[#This Row],[RgltVteESM]]) &amp; "-" &amp; YEAR(LstMachines[[#This Row],[RgltVteESM]])</f>
        <v>01-2020</v>
      </c>
      <c r="AJ420" s="270">
        <f>MONTH(LstMachines[[#This Row],[DatePaie]])</f>
        <v>9</v>
      </c>
      <c r="AK420" s="247" t="str">
        <f>FIXED(YEAR(LstMachines[[#This Row],[DatePaie]]),0,TRUE)</f>
        <v>2019</v>
      </c>
      <c r="AL420" s="270"/>
      <c r="AM420" s="414"/>
    </row>
    <row r="421" spans="2:39" hidden="1">
      <c r="B421" s="243" t="s">
        <v>75</v>
      </c>
      <c r="C421" s="243" t="s">
        <v>36</v>
      </c>
      <c r="D421" s="245">
        <v>26</v>
      </c>
      <c r="E421" s="243" t="s">
        <v>355</v>
      </c>
      <c r="F421" s="89" t="s">
        <v>468</v>
      </c>
      <c r="G421" s="89" t="s">
        <v>469</v>
      </c>
      <c r="H421" s="246">
        <v>1</v>
      </c>
      <c r="I421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421" s="88">
        <v>43661</v>
      </c>
      <c r="K421" s="248" t="s">
        <v>461</v>
      </c>
      <c r="L421" s="244" t="s">
        <v>470</v>
      </c>
      <c r="M421" s="248"/>
      <c r="N421" s="249"/>
      <c r="O421" s="270">
        <f>MONTH(LstMachines[[#This Row],[Delivery]])</f>
        <v>7</v>
      </c>
      <c r="P421" s="247" t="str">
        <f>FIXED(YEAR(LstMachines[[#This Row],[Delivery]]),0,TRUE)</f>
        <v>2019</v>
      </c>
      <c r="Q421" s="250"/>
      <c r="R421" s="251"/>
      <c r="S421" s="249"/>
      <c r="T421" s="249"/>
      <c r="U421" s="249"/>
      <c r="V421" s="246"/>
      <c r="W421" s="248"/>
      <c r="X421" s="249">
        <f>LstMachines[[#This Row],[Delivery]]</f>
        <v>43661</v>
      </c>
      <c r="Y421" s="271" t="str">
        <f xml:space="preserve"> IF(MONTH(LstMachines[[#This Row],[DateLivr]])&lt;10,"0","") &amp; MONTH(LstMachines[[#This Row],[DateLivr]]) &amp;"-"&amp;YEAR(LstMachines[[#This Row],[DateLivr]])</f>
        <v>07-2019</v>
      </c>
      <c r="Z421" s="247">
        <f>LstMachines[[#This Row],[Delivery]]+Rglt_à_HCME</f>
        <v>43721</v>
      </c>
      <c r="AA421" s="271" t="str">
        <f xml:space="preserve"> IF(MONTH(LstMachines[[#This Row],[DatePaie]])&lt;10,"0","") &amp; MONTH(LstMachines[[#This Row],[DatePaie]])&amp;"-"&amp;YEAR(LstMachines[[#This Row],[DatePaie]])</f>
        <v>09-2019</v>
      </c>
      <c r="AB421" s="271">
        <f>LstMachines[[#This Row],[DateLivr]]+1</f>
        <v>43662</v>
      </c>
      <c r="AC421" s="271" t="str">
        <f xml:space="preserve"> IF(MONTH(LstMachines[[#This Row],[Distrib]])&lt;10,"0","") &amp; MONTH(LstMachines[[#This Row],[Distrib]]) &amp; "-" &amp; YEAR(LstMachines[[#This Row],[Distrib]])</f>
        <v>07-2019</v>
      </c>
      <c r="AD421" s="271">
        <f>LstMachines[[#This Row],[DateLivr]]+Délai_Vente</f>
        <v>43781</v>
      </c>
      <c r="AE421" s="271" t="str">
        <f xml:space="preserve"> IF(MONTH(LstMachines[[#This Row],[VteESM]])&lt;10,"0","") &amp; MONTH(LstMachines[[#This Row],[VteESM]]) &amp; "-" &amp; YEAR(LstMachines[[#This Row],[VteESM]])</f>
        <v>11-2019</v>
      </c>
      <c r="AF421" s="271">
        <f>LstMachines[[#This Row],[DateLivr]]+Rglt_à_ESMTP</f>
        <v>43721</v>
      </c>
      <c r="AG421" s="271" t="str">
        <f xml:space="preserve"> IF(MONTH(LstMachines[[#This Row],[RgltDistrib]])&lt;10,"0","") &amp; MONTH(LstMachines[[#This Row],[RgltDistrib]]) &amp; "-" &amp; YEAR(LstMachines[[#This Row],[RgltDistrib]])</f>
        <v>09-2019</v>
      </c>
      <c r="AH421" s="271">
        <f>LstMachines[[#This Row],[VteESM]]+Rglt_à_ESMTP</f>
        <v>43841</v>
      </c>
      <c r="AI421" s="271" t="str">
        <f xml:space="preserve"> IF(MONTH(LstMachines[[#This Row],[RgltVteESM]])&lt;10,"0","") &amp; MONTH(LstMachines[[#This Row],[RgltVteESM]]) &amp; "-" &amp; YEAR(LstMachines[[#This Row],[RgltVteESM]])</f>
        <v>01-2020</v>
      </c>
      <c r="AJ421" s="270">
        <f>MONTH(LstMachines[[#This Row],[DatePaie]])</f>
        <v>9</v>
      </c>
      <c r="AK421" s="247" t="str">
        <f>FIXED(YEAR(LstMachines[[#This Row],[DatePaie]]),0,TRUE)</f>
        <v>2019</v>
      </c>
      <c r="AL421" s="270"/>
      <c r="AM421" s="414"/>
    </row>
    <row r="422" spans="2:39" hidden="1">
      <c r="B422" s="243" t="s">
        <v>75</v>
      </c>
      <c r="C422" s="243" t="s">
        <v>38</v>
      </c>
      <c r="D422" s="245">
        <v>65</v>
      </c>
      <c r="E422" s="243" t="s">
        <v>364</v>
      </c>
      <c r="F422" s="89" t="s">
        <v>468</v>
      </c>
      <c r="G422" s="89" t="s">
        <v>469</v>
      </c>
      <c r="H422" s="246">
        <v>1</v>
      </c>
      <c r="I422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422" s="88">
        <v>43661</v>
      </c>
      <c r="K422" s="248" t="s">
        <v>461</v>
      </c>
      <c r="L422" s="244" t="s">
        <v>470</v>
      </c>
      <c r="M422" s="248"/>
      <c r="N422" s="249"/>
      <c r="O422" s="270">
        <f>MONTH(LstMachines[[#This Row],[Delivery]])</f>
        <v>7</v>
      </c>
      <c r="P422" s="247" t="str">
        <f>FIXED(YEAR(LstMachines[[#This Row],[Delivery]]),0,TRUE)</f>
        <v>2019</v>
      </c>
      <c r="Q422" s="250"/>
      <c r="R422" s="251"/>
      <c r="S422" s="249"/>
      <c r="T422" s="249"/>
      <c r="U422" s="249"/>
      <c r="V422" s="246"/>
      <c r="W422" s="248"/>
      <c r="X422" s="249">
        <f>LstMachines[[#This Row],[Delivery]]</f>
        <v>43661</v>
      </c>
      <c r="Y422" s="271" t="str">
        <f xml:space="preserve"> IF(MONTH(LstMachines[[#This Row],[DateLivr]])&lt;10,"0","") &amp; MONTH(LstMachines[[#This Row],[DateLivr]]) &amp;"-"&amp;YEAR(LstMachines[[#This Row],[DateLivr]])</f>
        <v>07-2019</v>
      </c>
      <c r="Z422" s="247">
        <f>LstMachines[[#This Row],[Delivery]]+Rglt_à_HCME</f>
        <v>43721</v>
      </c>
      <c r="AA422" s="271" t="str">
        <f xml:space="preserve"> IF(MONTH(LstMachines[[#This Row],[DatePaie]])&lt;10,"0","") &amp; MONTH(LstMachines[[#This Row],[DatePaie]])&amp;"-"&amp;YEAR(LstMachines[[#This Row],[DatePaie]])</f>
        <v>09-2019</v>
      </c>
      <c r="AB422" s="271">
        <f>LstMachines[[#This Row],[DateLivr]]+1</f>
        <v>43662</v>
      </c>
      <c r="AC422" s="271" t="str">
        <f xml:space="preserve"> IF(MONTH(LstMachines[[#This Row],[Distrib]])&lt;10,"0","") &amp; MONTH(LstMachines[[#This Row],[Distrib]]) &amp; "-" &amp; YEAR(LstMachines[[#This Row],[Distrib]])</f>
        <v>07-2019</v>
      </c>
      <c r="AD422" s="271">
        <f>LstMachines[[#This Row],[DateLivr]]+Délai_Vente</f>
        <v>43781</v>
      </c>
      <c r="AE422" s="271" t="str">
        <f xml:space="preserve"> IF(MONTH(LstMachines[[#This Row],[VteESM]])&lt;10,"0","") &amp; MONTH(LstMachines[[#This Row],[VteESM]]) &amp; "-" &amp; YEAR(LstMachines[[#This Row],[VteESM]])</f>
        <v>11-2019</v>
      </c>
      <c r="AF422" s="271">
        <f>LstMachines[[#This Row],[DateLivr]]+Rglt_à_ESMTP</f>
        <v>43721</v>
      </c>
      <c r="AG422" s="271" t="str">
        <f xml:space="preserve"> IF(MONTH(LstMachines[[#This Row],[RgltDistrib]])&lt;10,"0","") &amp; MONTH(LstMachines[[#This Row],[RgltDistrib]]) &amp; "-" &amp; YEAR(LstMachines[[#This Row],[RgltDistrib]])</f>
        <v>09-2019</v>
      </c>
      <c r="AH422" s="271">
        <f>LstMachines[[#This Row],[VteESM]]+Rglt_à_ESMTP</f>
        <v>43841</v>
      </c>
      <c r="AI422" s="271" t="str">
        <f xml:space="preserve"> IF(MONTH(LstMachines[[#This Row],[RgltVteESM]])&lt;10,"0","") &amp; MONTH(LstMachines[[#This Row],[RgltVteESM]]) &amp; "-" &amp; YEAR(LstMachines[[#This Row],[RgltVteESM]])</f>
        <v>01-2020</v>
      </c>
      <c r="AJ422" s="270">
        <f>MONTH(LstMachines[[#This Row],[DatePaie]])</f>
        <v>9</v>
      </c>
      <c r="AK422" s="247" t="str">
        <f>FIXED(YEAR(LstMachines[[#This Row],[DatePaie]]),0,TRUE)</f>
        <v>2019</v>
      </c>
      <c r="AL422" s="270"/>
      <c r="AM422" s="414"/>
    </row>
    <row r="423" spans="2:39" hidden="1">
      <c r="B423" s="243" t="s">
        <v>262</v>
      </c>
      <c r="C423" s="243" t="s">
        <v>39</v>
      </c>
      <c r="D423" s="245">
        <v>85</v>
      </c>
      <c r="E423" s="243" t="s">
        <v>356</v>
      </c>
      <c r="F423" s="89" t="s">
        <v>468</v>
      </c>
      <c r="G423" s="89" t="s">
        <v>469</v>
      </c>
      <c r="H423" s="246">
        <v>1</v>
      </c>
      <c r="I423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423" s="88">
        <v>43661</v>
      </c>
      <c r="K423" s="248" t="s">
        <v>461</v>
      </c>
      <c r="L423" s="244" t="s">
        <v>470</v>
      </c>
      <c r="M423" s="248"/>
      <c r="N423" s="249"/>
      <c r="O423" s="270">
        <f>MONTH(LstMachines[[#This Row],[Delivery]])</f>
        <v>7</v>
      </c>
      <c r="P423" s="247" t="str">
        <f>FIXED(YEAR(LstMachines[[#This Row],[Delivery]]),0,TRUE)</f>
        <v>2019</v>
      </c>
      <c r="Q423" s="250"/>
      <c r="R423" s="251"/>
      <c r="S423" s="249"/>
      <c r="T423" s="249"/>
      <c r="U423" s="249"/>
      <c r="V423" s="246"/>
      <c r="W423" s="248"/>
      <c r="X423" s="249">
        <f>LstMachines[[#This Row],[Delivery]]</f>
        <v>43661</v>
      </c>
      <c r="Y423" s="271" t="str">
        <f xml:space="preserve"> IF(MONTH(LstMachines[[#This Row],[DateLivr]])&lt;10,"0","") &amp; MONTH(LstMachines[[#This Row],[DateLivr]]) &amp;"-"&amp;YEAR(LstMachines[[#This Row],[DateLivr]])</f>
        <v>07-2019</v>
      </c>
      <c r="Z423" s="247">
        <f>LstMachines[[#This Row],[Delivery]]+Rglt_à_HCME</f>
        <v>43721</v>
      </c>
      <c r="AA423" s="271" t="str">
        <f xml:space="preserve"> IF(MONTH(LstMachines[[#This Row],[DatePaie]])&lt;10,"0","") &amp; MONTH(LstMachines[[#This Row],[DatePaie]])&amp;"-"&amp;YEAR(LstMachines[[#This Row],[DatePaie]])</f>
        <v>09-2019</v>
      </c>
      <c r="AB423" s="271">
        <f>LstMachines[[#This Row],[DateLivr]]+1</f>
        <v>43662</v>
      </c>
      <c r="AC423" s="271" t="str">
        <f xml:space="preserve"> IF(MONTH(LstMachines[[#This Row],[Distrib]])&lt;10,"0","") &amp; MONTH(LstMachines[[#This Row],[Distrib]]) &amp; "-" &amp; YEAR(LstMachines[[#This Row],[Distrib]])</f>
        <v>07-2019</v>
      </c>
      <c r="AD423" s="271">
        <f>LstMachines[[#This Row],[DateLivr]]+Délai_Vente</f>
        <v>43781</v>
      </c>
      <c r="AE423" s="271" t="str">
        <f xml:space="preserve"> IF(MONTH(LstMachines[[#This Row],[VteESM]])&lt;10,"0","") &amp; MONTH(LstMachines[[#This Row],[VteESM]]) &amp; "-" &amp; YEAR(LstMachines[[#This Row],[VteESM]])</f>
        <v>11-2019</v>
      </c>
      <c r="AF423" s="271">
        <f>LstMachines[[#This Row],[DateLivr]]+Rglt_à_ESMTP</f>
        <v>43721</v>
      </c>
      <c r="AG423" s="271" t="str">
        <f xml:space="preserve"> IF(MONTH(LstMachines[[#This Row],[RgltDistrib]])&lt;10,"0","") &amp; MONTH(LstMachines[[#This Row],[RgltDistrib]]) &amp; "-" &amp; YEAR(LstMachines[[#This Row],[RgltDistrib]])</f>
        <v>09-2019</v>
      </c>
      <c r="AH423" s="271">
        <f>LstMachines[[#This Row],[VteESM]]+Rglt_à_ESMTP</f>
        <v>43841</v>
      </c>
      <c r="AI423" s="271" t="str">
        <f xml:space="preserve"> IF(MONTH(LstMachines[[#This Row],[RgltVteESM]])&lt;10,"0","") &amp; MONTH(LstMachines[[#This Row],[RgltVteESM]]) &amp; "-" &amp; YEAR(LstMachines[[#This Row],[RgltVteESM]])</f>
        <v>01-2020</v>
      </c>
      <c r="AJ423" s="270">
        <f>MONTH(LstMachines[[#This Row],[DatePaie]])</f>
        <v>9</v>
      </c>
      <c r="AK423" s="247" t="str">
        <f>FIXED(YEAR(LstMachines[[#This Row],[DatePaie]]),0,TRUE)</f>
        <v>2019</v>
      </c>
      <c r="AL423" s="270"/>
      <c r="AM423" s="414"/>
    </row>
    <row r="424" spans="2:39" hidden="1">
      <c r="B424" s="243" t="s">
        <v>262</v>
      </c>
      <c r="C424" s="243" t="s">
        <v>39</v>
      </c>
      <c r="D424" s="245">
        <v>85</v>
      </c>
      <c r="E424" s="243" t="s">
        <v>356</v>
      </c>
      <c r="F424" s="89" t="s">
        <v>468</v>
      </c>
      <c r="G424" s="89" t="s">
        <v>469</v>
      </c>
      <c r="H424" s="246">
        <v>1</v>
      </c>
      <c r="I424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424" s="88">
        <v>43661</v>
      </c>
      <c r="K424" s="248" t="s">
        <v>461</v>
      </c>
      <c r="L424" s="244" t="s">
        <v>470</v>
      </c>
      <c r="M424" s="248"/>
      <c r="N424" s="249"/>
      <c r="O424" s="270">
        <f>MONTH(LstMachines[[#This Row],[Delivery]])</f>
        <v>7</v>
      </c>
      <c r="P424" s="247" t="str">
        <f>FIXED(YEAR(LstMachines[[#This Row],[Delivery]]),0,TRUE)</f>
        <v>2019</v>
      </c>
      <c r="Q424" s="250"/>
      <c r="R424" s="251"/>
      <c r="S424" s="249"/>
      <c r="T424" s="249"/>
      <c r="U424" s="249"/>
      <c r="V424" s="246"/>
      <c r="W424" s="248"/>
      <c r="X424" s="249">
        <f>LstMachines[[#This Row],[Delivery]]</f>
        <v>43661</v>
      </c>
      <c r="Y424" s="271" t="str">
        <f xml:space="preserve"> IF(MONTH(LstMachines[[#This Row],[DateLivr]])&lt;10,"0","") &amp; MONTH(LstMachines[[#This Row],[DateLivr]]) &amp;"-"&amp;YEAR(LstMachines[[#This Row],[DateLivr]])</f>
        <v>07-2019</v>
      </c>
      <c r="Z424" s="247">
        <f>LstMachines[[#This Row],[Delivery]]+Rglt_à_HCME</f>
        <v>43721</v>
      </c>
      <c r="AA424" s="271" t="str">
        <f xml:space="preserve"> IF(MONTH(LstMachines[[#This Row],[DatePaie]])&lt;10,"0","") &amp; MONTH(LstMachines[[#This Row],[DatePaie]])&amp;"-"&amp;YEAR(LstMachines[[#This Row],[DatePaie]])</f>
        <v>09-2019</v>
      </c>
      <c r="AB424" s="271">
        <f>LstMachines[[#This Row],[DateLivr]]+1</f>
        <v>43662</v>
      </c>
      <c r="AC424" s="271" t="str">
        <f xml:space="preserve"> IF(MONTH(LstMachines[[#This Row],[Distrib]])&lt;10,"0","") &amp; MONTH(LstMachines[[#This Row],[Distrib]]) &amp; "-" &amp; YEAR(LstMachines[[#This Row],[Distrib]])</f>
        <v>07-2019</v>
      </c>
      <c r="AD424" s="271">
        <f>LstMachines[[#This Row],[DateLivr]]+Délai_Vente</f>
        <v>43781</v>
      </c>
      <c r="AE424" s="271" t="str">
        <f xml:space="preserve"> IF(MONTH(LstMachines[[#This Row],[VteESM]])&lt;10,"0","") &amp; MONTH(LstMachines[[#This Row],[VteESM]]) &amp; "-" &amp; YEAR(LstMachines[[#This Row],[VteESM]])</f>
        <v>11-2019</v>
      </c>
      <c r="AF424" s="271">
        <f>LstMachines[[#This Row],[DateLivr]]+Rglt_à_ESMTP</f>
        <v>43721</v>
      </c>
      <c r="AG424" s="271" t="str">
        <f xml:space="preserve"> IF(MONTH(LstMachines[[#This Row],[RgltDistrib]])&lt;10,"0","") &amp; MONTH(LstMachines[[#This Row],[RgltDistrib]]) &amp; "-" &amp; YEAR(LstMachines[[#This Row],[RgltDistrib]])</f>
        <v>09-2019</v>
      </c>
      <c r="AH424" s="271">
        <f>LstMachines[[#This Row],[VteESM]]+Rglt_à_ESMTP</f>
        <v>43841</v>
      </c>
      <c r="AI424" s="271" t="str">
        <f xml:space="preserve"> IF(MONTH(LstMachines[[#This Row],[RgltVteESM]])&lt;10,"0","") &amp; MONTH(LstMachines[[#This Row],[RgltVteESM]]) &amp; "-" &amp; YEAR(LstMachines[[#This Row],[RgltVteESM]])</f>
        <v>01-2020</v>
      </c>
      <c r="AJ424" s="270">
        <f>MONTH(LstMachines[[#This Row],[DatePaie]])</f>
        <v>9</v>
      </c>
      <c r="AK424" s="247" t="str">
        <f>FIXED(YEAR(LstMachines[[#This Row],[DatePaie]]),0,TRUE)</f>
        <v>2019</v>
      </c>
      <c r="AL424" s="270"/>
      <c r="AM424" s="414"/>
    </row>
    <row r="425" spans="2:39" hidden="1">
      <c r="B425" s="243" t="s">
        <v>262</v>
      </c>
      <c r="C425" s="243" t="s">
        <v>44</v>
      </c>
      <c r="D425" s="245">
        <v>225</v>
      </c>
      <c r="E425" s="243" t="s">
        <v>204</v>
      </c>
      <c r="F425" s="89" t="s">
        <v>468</v>
      </c>
      <c r="G425" s="89" t="s">
        <v>469</v>
      </c>
      <c r="H425" s="246">
        <v>1</v>
      </c>
      <c r="I425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425" s="88">
        <v>43661</v>
      </c>
      <c r="K425" s="248" t="s">
        <v>461</v>
      </c>
      <c r="L425" s="244" t="s">
        <v>470</v>
      </c>
      <c r="M425" s="248"/>
      <c r="N425" s="249"/>
      <c r="O425" s="270">
        <f>MONTH(LstMachines[[#This Row],[Delivery]])</f>
        <v>7</v>
      </c>
      <c r="P425" s="247" t="str">
        <f>FIXED(YEAR(LstMachines[[#This Row],[Delivery]]),0,TRUE)</f>
        <v>2019</v>
      </c>
      <c r="Q425" s="250"/>
      <c r="R425" s="251"/>
      <c r="S425" s="249"/>
      <c r="T425" s="249"/>
      <c r="U425" s="249"/>
      <c r="V425" s="246"/>
      <c r="W425" s="248"/>
      <c r="X425" s="249">
        <f>LstMachines[[#This Row],[Delivery]]</f>
        <v>43661</v>
      </c>
      <c r="Y425" s="271" t="str">
        <f xml:space="preserve"> IF(MONTH(LstMachines[[#This Row],[DateLivr]])&lt;10,"0","") &amp; MONTH(LstMachines[[#This Row],[DateLivr]]) &amp;"-"&amp;YEAR(LstMachines[[#This Row],[DateLivr]])</f>
        <v>07-2019</v>
      </c>
      <c r="Z425" s="247">
        <f>LstMachines[[#This Row],[Delivery]]+Rglt_à_HCME</f>
        <v>43721</v>
      </c>
      <c r="AA425" s="271" t="str">
        <f xml:space="preserve"> IF(MONTH(LstMachines[[#This Row],[DatePaie]])&lt;10,"0","") &amp; MONTH(LstMachines[[#This Row],[DatePaie]])&amp;"-"&amp;YEAR(LstMachines[[#This Row],[DatePaie]])</f>
        <v>09-2019</v>
      </c>
      <c r="AB425" s="271">
        <f>LstMachines[[#This Row],[DateLivr]]+1</f>
        <v>43662</v>
      </c>
      <c r="AC425" s="271" t="str">
        <f xml:space="preserve"> IF(MONTH(LstMachines[[#This Row],[Distrib]])&lt;10,"0","") &amp; MONTH(LstMachines[[#This Row],[Distrib]]) &amp; "-" &amp; YEAR(LstMachines[[#This Row],[Distrib]])</f>
        <v>07-2019</v>
      </c>
      <c r="AD425" s="271">
        <f>LstMachines[[#This Row],[DateLivr]]+Délai_Vente</f>
        <v>43781</v>
      </c>
      <c r="AE425" s="271" t="str">
        <f xml:space="preserve"> IF(MONTH(LstMachines[[#This Row],[VteESM]])&lt;10,"0","") &amp; MONTH(LstMachines[[#This Row],[VteESM]]) &amp; "-" &amp; YEAR(LstMachines[[#This Row],[VteESM]])</f>
        <v>11-2019</v>
      </c>
      <c r="AF425" s="271">
        <f>LstMachines[[#This Row],[DateLivr]]+Rglt_à_ESMTP</f>
        <v>43721</v>
      </c>
      <c r="AG425" s="271" t="str">
        <f xml:space="preserve"> IF(MONTH(LstMachines[[#This Row],[RgltDistrib]])&lt;10,"0","") &amp; MONTH(LstMachines[[#This Row],[RgltDistrib]]) &amp; "-" &amp; YEAR(LstMachines[[#This Row],[RgltDistrib]])</f>
        <v>09-2019</v>
      </c>
      <c r="AH425" s="271">
        <f>LstMachines[[#This Row],[VteESM]]+Rglt_à_ESMTP</f>
        <v>43841</v>
      </c>
      <c r="AI425" s="271" t="str">
        <f xml:space="preserve"> IF(MONTH(LstMachines[[#This Row],[RgltVteESM]])&lt;10,"0","") &amp; MONTH(LstMachines[[#This Row],[RgltVteESM]]) &amp; "-" &amp; YEAR(LstMachines[[#This Row],[RgltVteESM]])</f>
        <v>01-2020</v>
      </c>
      <c r="AJ425" s="270">
        <f>MONTH(LstMachines[[#This Row],[DatePaie]])</f>
        <v>9</v>
      </c>
      <c r="AK425" s="247" t="str">
        <f>FIXED(YEAR(LstMachines[[#This Row],[DatePaie]]),0,TRUE)</f>
        <v>2019</v>
      </c>
      <c r="AL425" s="270"/>
      <c r="AM425" s="414"/>
    </row>
    <row r="426" spans="2:39" hidden="1">
      <c r="B426" s="243" t="s">
        <v>75</v>
      </c>
      <c r="C426" s="243" t="s">
        <v>35</v>
      </c>
      <c r="D426" s="245">
        <v>19</v>
      </c>
      <c r="E426" s="243" t="s">
        <v>76</v>
      </c>
      <c r="F426" s="89" t="s">
        <v>468</v>
      </c>
      <c r="G426" s="89" t="s">
        <v>469</v>
      </c>
      <c r="H426" s="246">
        <v>1</v>
      </c>
      <c r="I426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426" s="88">
        <v>43692</v>
      </c>
      <c r="K426" s="248" t="s">
        <v>461</v>
      </c>
      <c r="L426" s="244" t="s">
        <v>470</v>
      </c>
      <c r="M426" s="248"/>
      <c r="N426" s="249"/>
      <c r="O426" s="270">
        <f>MONTH(LstMachines[[#This Row],[Delivery]])</f>
        <v>8</v>
      </c>
      <c r="P426" s="247" t="str">
        <f>FIXED(YEAR(LstMachines[[#This Row],[Delivery]]),0,TRUE)</f>
        <v>2019</v>
      </c>
      <c r="Q426" s="250"/>
      <c r="R426" s="251"/>
      <c r="S426" s="249"/>
      <c r="T426" s="249"/>
      <c r="U426" s="249"/>
      <c r="V426" s="246"/>
      <c r="W426" s="248"/>
      <c r="X426" s="249">
        <f>LstMachines[[#This Row],[Delivery]]</f>
        <v>43692</v>
      </c>
      <c r="Y426" s="271" t="str">
        <f xml:space="preserve"> IF(MONTH(LstMachines[[#This Row],[DateLivr]])&lt;10,"0","") &amp; MONTH(LstMachines[[#This Row],[DateLivr]]) &amp;"-"&amp;YEAR(LstMachines[[#This Row],[DateLivr]])</f>
        <v>08-2019</v>
      </c>
      <c r="Z426" s="247">
        <f>LstMachines[[#This Row],[Delivery]]+Rglt_à_HCME</f>
        <v>43752</v>
      </c>
      <c r="AA426" s="271" t="str">
        <f xml:space="preserve"> IF(MONTH(LstMachines[[#This Row],[DatePaie]])&lt;10,"0","") &amp; MONTH(LstMachines[[#This Row],[DatePaie]])&amp;"-"&amp;YEAR(LstMachines[[#This Row],[DatePaie]])</f>
        <v>10-2019</v>
      </c>
      <c r="AB426" s="271">
        <f>LstMachines[[#This Row],[DateLivr]]+1</f>
        <v>43693</v>
      </c>
      <c r="AC426" s="271" t="str">
        <f xml:space="preserve"> IF(MONTH(LstMachines[[#This Row],[Distrib]])&lt;10,"0","") &amp; MONTH(LstMachines[[#This Row],[Distrib]]) &amp; "-" &amp; YEAR(LstMachines[[#This Row],[Distrib]])</f>
        <v>08-2019</v>
      </c>
      <c r="AD426" s="271">
        <f>LstMachines[[#This Row],[DateLivr]]+Délai_Vente</f>
        <v>43812</v>
      </c>
      <c r="AE426" s="271" t="str">
        <f xml:space="preserve"> IF(MONTH(LstMachines[[#This Row],[VteESM]])&lt;10,"0","") &amp; MONTH(LstMachines[[#This Row],[VteESM]]) &amp; "-" &amp; YEAR(LstMachines[[#This Row],[VteESM]])</f>
        <v>12-2019</v>
      </c>
      <c r="AF426" s="271">
        <f>LstMachines[[#This Row],[DateLivr]]+Rglt_à_ESMTP</f>
        <v>43752</v>
      </c>
      <c r="AG426" s="271" t="str">
        <f xml:space="preserve"> IF(MONTH(LstMachines[[#This Row],[RgltDistrib]])&lt;10,"0","") &amp; MONTH(LstMachines[[#This Row],[RgltDistrib]]) &amp; "-" &amp; YEAR(LstMachines[[#This Row],[RgltDistrib]])</f>
        <v>10-2019</v>
      </c>
      <c r="AH426" s="271">
        <f>LstMachines[[#This Row],[VteESM]]+Rglt_à_ESMTP</f>
        <v>43872</v>
      </c>
      <c r="AI426" s="271" t="str">
        <f xml:space="preserve"> IF(MONTH(LstMachines[[#This Row],[RgltVteESM]])&lt;10,"0","") &amp; MONTH(LstMachines[[#This Row],[RgltVteESM]]) &amp; "-" &amp; YEAR(LstMachines[[#This Row],[RgltVteESM]])</f>
        <v>02-2020</v>
      </c>
      <c r="AJ426" s="270">
        <f>MONTH(LstMachines[[#This Row],[DatePaie]])</f>
        <v>10</v>
      </c>
      <c r="AK426" s="247" t="str">
        <f>FIXED(YEAR(LstMachines[[#This Row],[DatePaie]]),0,TRUE)</f>
        <v>2019</v>
      </c>
      <c r="AL426" s="270"/>
      <c r="AM426" s="414"/>
    </row>
    <row r="427" spans="2:39" hidden="1">
      <c r="B427" s="243" t="s">
        <v>75</v>
      </c>
      <c r="C427" s="243" t="s">
        <v>36</v>
      </c>
      <c r="D427" s="245">
        <v>26</v>
      </c>
      <c r="E427" s="243" t="s">
        <v>355</v>
      </c>
      <c r="F427" s="89" t="s">
        <v>468</v>
      </c>
      <c r="G427" s="89" t="s">
        <v>469</v>
      </c>
      <c r="H427" s="246">
        <v>1</v>
      </c>
      <c r="I427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427" s="88">
        <v>43692</v>
      </c>
      <c r="K427" s="248" t="s">
        <v>461</v>
      </c>
      <c r="L427" s="244" t="s">
        <v>470</v>
      </c>
      <c r="M427" s="248"/>
      <c r="N427" s="249"/>
      <c r="O427" s="270">
        <f>MONTH(LstMachines[[#This Row],[Delivery]])</f>
        <v>8</v>
      </c>
      <c r="P427" s="247" t="str">
        <f>FIXED(YEAR(LstMachines[[#This Row],[Delivery]]),0,TRUE)</f>
        <v>2019</v>
      </c>
      <c r="Q427" s="250"/>
      <c r="R427" s="251"/>
      <c r="S427" s="249"/>
      <c r="T427" s="249"/>
      <c r="U427" s="249"/>
      <c r="V427" s="246"/>
      <c r="W427" s="248"/>
      <c r="X427" s="249">
        <f>LstMachines[[#This Row],[Delivery]]</f>
        <v>43692</v>
      </c>
      <c r="Y427" s="271" t="str">
        <f xml:space="preserve"> IF(MONTH(LstMachines[[#This Row],[DateLivr]])&lt;10,"0","") &amp; MONTH(LstMachines[[#This Row],[DateLivr]]) &amp;"-"&amp;YEAR(LstMachines[[#This Row],[DateLivr]])</f>
        <v>08-2019</v>
      </c>
      <c r="Z427" s="247">
        <f>LstMachines[[#This Row],[Delivery]]+Rglt_à_HCME</f>
        <v>43752</v>
      </c>
      <c r="AA427" s="271" t="str">
        <f xml:space="preserve"> IF(MONTH(LstMachines[[#This Row],[DatePaie]])&lt;10,"0","") &amp; MONTH(LstMachines[[#This Row],[DatePaie]])&amp;"-"&amp;YEAR(LstMachines[[#This Row],[DatePaie]])</f>
        <v>10-2019</v>
      </c>
      <c r="AB427" s="271">
        <f>LstMachines[[#This Row],[DateLivr]]+1</f>
        <v>43693</v>
      </c>
      <c r="AC427" s="271" t="str">
        <f xml:space="preserve"> IF(MONTH(LstMachines[[#This Row],[Distrib]])&lt;10,"0","") &amp; MONTH(LstMachines[[#This Row],[Distrib]]) &amp; "-" &amp; YEAR(LstMachines[[#This Row],[Distrib]])</f>
        <v>08-2019</v>
      </c>
      <c r="AD427" s="271">
        <f>LstMachines[[#This Row],[DateLivr]]+Délai_Vente</f>
        <v>43812</v>
      </c>
      <c r="AE427" s="271" t="str">
        <f xml:space="preserve"> IF(MONTH(LstMachines[[#This Row],[VteESM]])&lt;10,"0","") &amp; MONTH(LstMachines[[#This Row],[VteESM]]) &amp; "-" &amp; YEAR(LstMachines[[#This Row],[VteESM]])</f>
        <v>12-2019</v>
      </c>
      <c r="AF427" s="271">
        <f>LstMachines[[#This Row],[DateLivr]]+Rglt_à_ESMTP</f>
        <v>43752</v>
      </c>
      <c r="AG427" s="271" t="str">
        <f xml:space="preserve"> IF(MONTH(LstMachines[[#This Row],[RgltDistrib]])&lt;10,"0","") &amp; MONTH(LstMachines[[#This Row],[RgltDistrib]]) &amp; "-" &amp; YEAR(LstMachines[[#This Row],[RgltDistrib]])</f>
        <v>10-2019</v>
      </c>
      <c r="AH427" s="271">
        <f>LstMachines[[#This Row],[VteESM]]+Rglt_à_ESMTP</f>
        <v>43872</v>
      </c>
      <c r="AI427" s="271" t="str">
        <f xml:space="preserve"> IF(MONTH(LstMachines[[#This Row],[RgltVteESM]])&lt;10,"0","") &amp; MONTH(LstMachines[[#This Row],[RgltVteESM]]) &amp; "-" &amp; YEAR(LstMachines[[#This Row],[RgltVteESM]])</f>
        <v>02-2020</v>
      </c>
      <c r="AJ427" s="270">
        <f>MONTH(LstMachines[[#This Row],[DatePaie]])</f>
        <v>10</v>
      </c>
      <c r="AK427" s="247" t="str">
        <f>FIXED(YEAR(LstMachines[[#This Row],[DatePaie]]),0,TRUE)</f>
        <v>2019</v>
      </c>
      <c r="AL427" s="270"/>
      <c r="AM427" s="414"/>
    </row>
    <row r="428" spans="2:39" hidden="1">
      <c r="B428" s="243" t="s">
        <v>262</v>
      </c>
      <c r="C428" s="243" t="s">
        <v>39</v>
      </c>
      <c r="D428" s="245">
        <v>85</v>
      </c>
      <c r="E428" s="243" t="s">
        <v>356</v>
      </c>
      <c r="F428" s="89" t="s">
        <v>468</v>
      </c>
      <c r="G428" s="89" t="s">
        <v>469</v>
      </c>
      <c r="H428" s="246">
        <v>1</v>
      </c>
      <c r="I428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428" s="88">
        <v>43692</v>
      </c>
      <c r="K428" s="248" t="s">
        <v>461</v>
      </c>
      <c r="L428" s="244" t="s">
        <v>470</v>
      </c>
      <c r="M428" s="248"/>
      <c r="N428" s="249"/>
      <c r="O428" s="270">
        <f>MONTH(LstMachines[[#This Row],[Delivery]])</f>
        <v>8</v>
      </c>
      <c r="P428" s="247" t="str">
        <f>FIXED(YEAR(LstMachines[[#This Row],[Delivery]]),0,TRUE)</f>
        <v>2019</v>
      </c>
      <c r="Q428" s="250"/>
      <c r="R428" s="251"/>
      <c r="S428" s="249"/>
      <c r="T428" s="249"/>
      <c r="U428" s="249"/>
      <c r="V428" s="246"/>
      <c r="W428" s="248"/>
      <c r="X428" s="249">
        <f>LstMachines[[#This Row],[Delivery]]</f>
        <v>43692</v>
      </c>
      <c r="Y428" s="271" t="str">
        <f xml:space="preserve"> IF(MONTH(LstMachines[[#This Row],[DateLivr]])&lt;10,"0","") &amp; MONTH(LstMachines[[#This Row],[DateLivr]]) &amp;"-"&amp;YEAR(LstMachines[[#This Row],[DateLivr]])</f>
        <v>08-2019</v>
      </c>
      <c r="Z428" s="247">
        <f>LstMachines[[#This Row],[Delivery]]+Rglt_à_HCME</f>
        <v>43752</v>
      </c>
      <c r="AA428" s="271" t="str">
        <f xml:space="preserve"> IF(MONTH(LstMachines[[#This Row],[DatePaie]])&lt;10,"0","") &amp; MONTH(LstMachines[[#This Row],[DatePaie]])&amp;"-"&amp;YEAR(LstMachines[[#This Row],[DatePaie]])</f>
        <v>10-2019</v>
      </c>
      <c r="AB428" s="271">
        <f>LstMachines[[#This Row],[DateLivr]]+1</f>
        <v>43693</v>
      </c>
      <c r="AC428" s="271" t="str">
        <f xml:space="preserve"> IF(MONTH(LstMachines[[#This Row],[Distrib]])&lt;10,"0","") &amp; MONTH(LstMachines[[#This Row],[Distrib]]) &amp; "-" &amp; YEAR(LstMachines[[#This Row],[Distrib]])</f>
        <v>08-2019</v>
      </c>
      <c r="AD428" s="271">
        <f>LstMachines[[#This Row],[DateLivr]]+Délai_Vente</f>
        <v>43812</v>
      </c>
      <c r="AE428" s="271" t="str">
        <f xml:space="preserve"> IF(MONTH(LstMachines[[#This Row],[VteESM]])&lt;10,"0","") &amp; MONTH(LstMachines[[#This Row],[VteESM]]) &amp; "-" &amp; YEAR(LstMachines[[#This Row],[VteESM]])</f>
        <v>12-2019</v>
      </c>
      <c r="AF428" s="271">
        <f>LstMachines[[#This Row],[DateLivr]]+Rglt_à_ESMTP</f>
        <v>43752</v>
      </c>
      <c r="AG428" s="271" t="str">
        <f xml:space="preserve"> IF(MONTH(LstMachines[[#This Row],[RgltDistrib]])&lt;10,"0","") &amp; MONTH(LstMachines[[#This Row],[RgltDistrib]]) &amp; "-" &amp; YEAR(LstMachines[[#This Row],[RgltDistrib]])</f>
        <v>10-2019</v>
      </c>
      <c r="AH428" s="271">
        <f>LstMachines[[#This Row],[VteESM]]+Rglt_à_ESMTP</f>
        <v>43872</v>
      </c>
      <c r="AI428" s="271" t="str">
        <f xml:space="preserve"> IF(MONTH(LstMachines[[#This Row],[RgltVteESM]])&lt;10,"0","") &amp; MONTH(LstMachines[[#This Row],[RgltVteESM]]) &amp; "-" &amp; YEAR(LstMachines[[#This Row],[RgltVteESM]])</f>
        <v>02-2020</v>
      </c>
      <c r="AJ428" s="270">
        <f>MONTH(LstMachines[[#This Row],[DatePaie]])</f>
        <v>10</v>
      </c>
      <c r="AK428" s="247" t="str">
        <f>FIXED(YEAR(LstMachines[[#This Row],[DatePaie]]),0,TRUE)</f>
        <v>2019</v>
      </c>
      <c r="AL428" s="270"/>
      <c r="AM428" s="414"/>
    </row>
    <row r="429" spans="2:39" hidden="1">
      <c r="B429" s="243" t="s">
        <v>262</v>
      </c>
      <c r="C429" s="243" t="s">
        <v>40</v>
      </c>
      <c r="D429" s="245">
        <v>135</v>
      </c>
      <c r="E429" s="243" t="s">
        <v>87</v>
      </c>
      <c r="F429" s="89" t="s">
        <v>468</v>
      </c>
      <c r="G429" s="89" t="s">
        <v>469</v>
      </c>
      <c r="H429" s="246">
        <v>1</v>
      </c>
      <c r="I429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429" s="88">
        <v>43692</v>
      </c>
      <c r="K429" s="248" t="s">
        <v>461</v>
      </c>
      <c r="L429" s="244" t="s">
        <v>470</v>
      </c>
      <c r="M429" s="248"/>
      <c r="N429" s="249"/>
      <c r="O429" s="270">
        <f>MONTH(LstMachines[[#This Row],[Delivery]])</f>
        <v>8</v>
      </c>
      <c r="P429" s="247" t="str">
        <f>FIXED(YEAR(LstMachines[[#This Row],[Delivery]]),0,TRUE)</f>
        <v>2019</v>
      </c>
      <c r="Q429" s="250"/>
      <c r="R429" s="251"/>
      <c r="S429" s="249"/>
      <c r="T429" s="249"/>
      <c r="U429" s="249"/>
      <c r="V429" s="246"/>
      <c r="W429" s="248"/>
      <c r="X429" s="249">
        <f>LstMachines[[#This Row],[Delivery]]</f>
        <v>43692</v>
      </c>
      <c r="Y429" s="271" t="str">
        <f xml:space="preserve"> IF(MONTH(LstMachines[[#This Row],[DateLivr]])&lt;10,"0","") &amp; MONTH(LstMachines[[#This Row],[DateLivr]]) &amp;"-"&amp;YEAR(LstMachines[[#This Row],[DateLivr]])</f>
        <v>08-2019</v>
      </c>
      <c r="Z429" s="247">
        <f>LstMachines[[#This Row],[Delivery]]+Rglt_à_HCME</f>
        <v>43752</v>
      </c>
      <c r="AA429" s="271" t="str">
        <f xml:space="preserve"> IF(MONTH(LstMachines[[#This Row],[DatePaie]])&lt;10,"0","") &amp; MONTH(LstMachines[[#This Row],[DatePaie]])&amp;"-"&amp;YEAR(LstMachines[[#This Row],[DatePaie]])</f>
        <v>10-2019</v>
      </c>
      <c r="AB429" s="271">
        <f>LstMachines[[#This Row],[DateLivr]]+1</f>
        <v>43693</v>
      </c>
      <c r="AC429" s="271" t="str">
        <f xml:space="preserve"> IF(MONTH(LstMachines[[#This Row],[Distrib]])&lt;10,"0","") &amp; MONTH(LstMachines[[#This Row],[Distrib]]) &amp; "-" &amp; YEAR(LstMachines[[#This Row],[Distrib]])</f>
        <v>08-2019</v>
      </c>
      <c r="AD429" s="271">
        <f>LstMachines[[#This Row],[DateLivr]]+Délai_Vente</f>
        <v>43812</v>
      </c>
      <c r="AE429" s="271" t="str">
        <f xml:space="preserve"> IF(MONTH(LstMachines[[#This Row],[VteESM]])&lt;10,"0","") &amp; MONTH(LstMachines[[#This Row],[VteESM]]) &amp; "-" &amp; YEAR(LstMachines[[#This Row],[VteESM]])</f>
        <v>12-2019</v>
      </c>
      <c r="AF429" s="271">
        <f>LstMachines[[#This Row],[DateLivr]]+Rglt_à_ESMTP</f>
        <v>43752</v>
      </c>
      <c r="AG429" s="271" t="str">
        <f xml:space="preserve"> IF(MONTH(LstMachines[[#This Row],[RgltDistrib]])&lt;10,"0","") &amp; MONTH(LstMachines[[#This Row],[RgltDistrib]]) &amp; "-" &amp; YEAR(LstMachines[[#This Row],[RgltDistrib]])</f>
        <v>10-2019</v>
      </c>
      <c r="AH429" s="271">
        <f>LstMachines[[#This Row],[VteESM]]+Rglt_à_ESMTP</f>
        <v>43872</v>
      </c>
      <c r="AI429" s="271" t="str">
        <f xml:space="preserve"> IF(MONTH(LstMachines[[#This Row],[RgltVteESM]])&lt;10,"0","") &amp; MONTH(LstMachines[[#This Row],[RgltVteESM]]) &amp; "-" &amp; YEAR(LstMachines[[#This Row],[RgltVteESM]])</f>
        <v>02-2020</v>
      </c>
      <c r="AJ429" s="270">
        <f>MONTH(LstMachines[[#This Row],[DatePaie]])</f>
        <v>10</v>
      </c>
      <c r="AK429" s="247" t="str">
        <f>FIXED(YEAR(LstMachines[[#This Row],[DatePaie]]),0,TRUE)</f>
        <v>2019</v>
      </c>
      <c r="AL429" s="270"/>
      <c r="AM429" s="414"/>
    </row>
    <row r="430" spans="2:39" hidden="1">
      <c r="B430" s="243" t="s">
        <v>75</v>
      </c>
      <c r="C430" s="243" t="s">
        <v>35</v>
      </c>
      <c r="D430" s="245">
        <v>19</v>
      </c>
      <c r="E430" s="243" t="s">
        <v>76</v>
      </c>
      <c r="F430" s="89" t="s">
        <v>468</v>
      </c>
      <c r="G430" s="89" t="s">
        <v>469</v>
      </c>
      <c r="H430" s="246">
        <v>1</v>
      </c>
      <c r="I430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430" s="88">
        <v>43723</v>
      </c>
      <c r="K430" s="248" t="s">
        <v>461</v>
      </c>
      <c r="L430" s="244" t="s">
        <v>470</v>
      </c>
      <c r="M430" s="248"/>
      <c r="N430" s="249"/>
      <c r="O430" s="270">
        <f>MONTH(LstMachines[[#This Row],[Delivery]])</f>
        <v>9</v>
      </c>
      <c r="P430" s="247" t="str">
        <f>FIXED(YEAR(LstMachines[[#This Row],[Delivery]]),0,TRUE)</f>
        <v>2019</v>
      </c>
      <c r="Q430" s="250"/>
      <c r="R430" s="251"/>
      <c r="S430" s="249"/>
      <c r="T430" s="249"/>
      <c r="U430" s="249"/>
      <c r="V430" s="246"/>
      <c r="W430" s="248"/>
      <c r="X430" s="249">
        <f>LstMachines[[#This Row],[Delivery]]</f>
        <v>43723</v>
      </c>
      <c r="Y430" s="271" t="str">
        <f xml:space="preserve"> IF(MONTH(LstMachines[[#This Row],[DateLivr]])&lt;10,"0","") &amp; MONTH(LstMachines[[#This Row],[DateLivr]]) &amp;"-"&amp;YEAR(LstMachines[[#This Row],[DateLivr]])</f>
        <v>09-2019</v>
      </c>
      <c r="Z430" s="247">
        <f>LstMachines[[#This Row],[Delivery]]+Rglt_à_HCME</f>
        <v>43783</v>
      </c>
      <c r="AA430" s="271" t="str">
        <f xml:space="preserve"> IF(MONTH(LstMachines[[#This Row],[DatePaie]])&lt;10,"0","") &amp; MONTH(LstMachines[[#This Row],[DatePaie]])&amp;"-"&amp;YEAR(LstMachines[[#This Row],[DatePaie]])</f>
        <v>11-2019</v>
      </c>
      <c r="AB430" s="271">
        <f>LstMachines[[#This Row],[DateLivr]]+1</f>
        <v>43724</v>
      </c>
      <c r="AC430" s="271" t="str">
        <f xml:space="preserve"> IF(MONTH(LstMachines[[#This Row],[Distrib]])&lt;10,"0","") &amp; MONTH(LstMachines[[#This Row],[Distrib]]) &amp; "-" &amp; YEAR(LstMachines[[#This Row],[Distrib]])</f>
        <v>09-2019</v>
      </c>
      <c r="AD430" s="271">
        <f>LstMachines[[#This Row],[DateLivr]]+Délai_Vente</f>
        <v>43843</v>
      </c>
      <c r="AE430" s="271" t="str">
        <f xml:space="preserve"> IF(MONTH(LstMachines[[#This Row],[VteESM]])&lt;10,"0","") &amp; MONTH(LstMachines[[#This Row],[VteESM]]) &amp; "-" &amp; YEAR(LstMachines[[#This Row],[VteESM]])</f>
        <v>01-2020</v>
      </c>
      <c r="AF430" s="271">
        <f>LstMachines[[#This Row],[DateLivr]]+Rglt_à_ESMTP</f>
        <v>43783</v>
      </c>
      <c r="AG430" s="271" t="str">
        <f xml:space="preserve"> IF(MONTH(LstMachines[[#This Row],[RgltDistrib]])&lt;10,"0","") &amp; MONTH(LstMachines[[#This Row],[RgltDistrib]]) &amp; "-" &amp; YEAR(LstMachines[[#This Row],[RgltDistrib]])</f>
        <v>11-2019</v>
      </c>
      <c r="AH430" s="271">
        <f>LstMachines[[#This Row],[VteESM]]+Rglt_à_ESMTP</f>
        <v>43903</v>
      </c>
      <c r="AI430" s="271" t="str">
        <f xml:space="preserve"> IF(MONTH(LstMachines[[#This Row],[RgltVteESM]])&lt;10,"0","") &amp; MONTH(LstMachines[[#This Row],[RgltVteESM]]) &amp; "-" &amp; YEAR(LstMachines[[#This Row],[RgltVteESM]])</f>
        <v>03-2020</v>
      </c>
      <c r="AJ430" s="270">
        <f>MONTH(LstMachines[[#This Row],[DatePaie]])</f>
        <v>11</v>
      </c>
      <c r="AK430" s="247" t="str">
        <f>FIXED(YEAR(LstMachines[[#This Row],[DatePaie]]),0,TRUE)</f>
        <v>2019</v>
      </c>
      <c r="AL430" s="270"/>
      <c r="AM430" s="414"/>
    </row>
    <row r="431" spans="2:39" hidden="1">
      <c r="B431" s="243" t="s">
        <v>75</v>
      </c>
      <c r="C431" s="243" t="s">
        <v>36</v>
      </c>
      <c r="D431" s="245">
        <v>26</v>
      </c>
      <c r="E431" s="243" t="s">
        <v>361</v>
      </c>
      <c r="F431" s="89" t="s">
        <v>468</v>
      </c>
      <c r="G431" s="89" t="s">
        <v>469</v>
      </c>
      <c r="H431" s="246">
        <v>1</v>
      </c>
      <c r="I431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431" s="88">
        <v>43723</v>
      </c>
      <c r="K431" s="248" t="s">
        <v>461</v>
      </c>
      <c r="L431" s="244" t="s">
        <v>470</v>
      </c>
      <c r="M431" s="248"/>
      <c r="N431" s="249"/>
      <c r="O431" s="270">
        <f>MONTH(LstMachines[[#This Row],[Delivery]])</f>
        <v>9</v>
      </c>
      <c r="P431" s="247" t="str">
        <f>FIXED(YEAR(LstMachines[[#This Row],[Delivery]]),0,TRUE)</f>
        <v>2019</v>
      </c>
      <c r="Q431" s="250"/>
      <c r="R431" s="251"/>
      <c r="S431" s="249"/>
      <c r="T431" s="249"/>
      <c r="U431" s="249"/>
      <c r="V431" s="246"/>
      <c r="W431" s="248"/>
      <c r="X431" s="249">
        <f>LstMachines[[#This Row],[Delivery]]</f>
        <v>43723</v>
      </c>
      <c r="Y431" s="271" t="str">
        <f xml:space="preserve"> IF(MONTH(LstMachines[[#This Row],[DateLivr]])&lt;10,"0","") &amp; MONTH(LstMachines[[#This Row],[DateLivr]]) &amp;"-"&amp;YEAR(LstMachines[[#This Row],[DateLivr]])</f>
        <v>09-2019</v>
      </c>
      <c r="Z431" s="247">
        <f>LstMachines[[#This Row],[Delivery]]+Rglt_à_HCME</f>
        <v>43783</v>
      </c>
      <c r="AA431" s="271" t="str">
        <f xml:space="preserve"> IF(MONTH(LstMachines[[#This Row],[DatePaie]])&lt;10,"0","") &amp; MONTH(LstMachines[[#This Row],[DatePaie]])&amp;"-"&amp;YEAR(LstMachines[[#This Row],[DatePaie]])</f>
        <v>11-2019</v>
      </c>
      <c r="AB431" s="271">
        <f>LstMachines[[#This Row],[DateLivr]]+1</f>
        <v>43724</v>
      </c>
      <c r="AC431" s="271" t="str">
        <f xml:space="preserve"> IF(MONTH(LstMachines[[#This Row],[Distrib]])&lt;10,"0","") &amp; MONTH(LstMachines[[#This Row],[Distrib]]) &amp; "-" &amp; YEAR(LstMachines[[#This Row],[Distrib]])</f>
        <v>09-2019</v>
      </c>
      <c r="AD431" s="271">
        <f>LstMachines[[#This Row],[DateLivr]]+Délai_Vente</f>
        <v>43843</v>
      </c>
      <c r="AE431" s="271" t="str">
        <f xml:space="preserve"> IF(MONTH(LstMachines[[#This Row],[VteESM]])&lt;10,"0","") &amp; MONTH(LstMachines[[#This Row],[VteESM]]) &amp; "-" &amp; YEAR(LstMachines[[#This Row],[VteESM]])</f>
        <v>01-2020</v>
      </c>
      <c r="AF431" s="271">
        <f>LstMachines[[#This Row],[DateLivr]]+Rglt_à_ESMTP</f>
        <v>43783</v>
      </c>
      <c r="AG431" s="271" t="str">
        <f xml:space="preserve"> IF(MONTH(LstMachines[[#This Row],[RgltDistrib]])&lt;10,"0","") &amp; MONTH(LstMachines[[#This Row],[RgltDistrib]]) &amp; "-" &amp; YEAR(LstMachines[[#This Row],[RgltDistrib]])</f>
        <v>11-2019</v>
      </c>
      <c r="AH431" s="271">
        <f>LstMachines[[#This Row],[VteESM]]+Rglt_à_ESMTP</f>
        <v>43903</v>
      </c>
      <c r="AI431" s="271" t="str">
        <f xml:space="preserve"> IF(MONTH(LstMachines[[#This Row],[RgltVteESM]])&lt;10,"0","") &amp; MONTH(LstMachines[[#This Row],[RgltVteESM]]) &amp; "-" &amp; YEAR(LstMachines[[#This Row],[RgltVteESM]])</f>
        <v>03-2020</v>
      </c>
      <c r="AJ431" s="270">
        <f>MONTH(LstMachines[[#This Row],[DatePaie]])</f>
        <v>11</v>
      </c>
      <c r="AK431" s="247" t="str">
        <f>FIXED(YEAR(LstMachines[[#This Row],[DatePaie]]),0,TRUE)</f>
        <v>2019</v>
      </c>
      <c r="AL431" s="270"/>
      <c r="AM431" s="414"/>
    </row>
    <row r="432" spans="2:39" hidden="1">
      <c r="B432" s="243" t="s">
        <v>75</v>
      </c>
      <c r="C432" s="243" t="s">
        <v>36</v>
      </c>
      <c r="D432" s="245">
        <v>26</v>
      </c>
      <c r="E432" s="243" t="s">
        <v>355</v>
      </c>
      <c r="F432" s="89" t="s">
        <v>468</v>
      </c>
      <c r="G432" s="89" t="s">
        <v>469</v>
      </c>
      <c r="H432" s="246">
        <v>1</v>
      </c>
      <c r="I432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432" s="88">
        <v>43723</v>
      </c>
      <c r="K432" s="248" t="s">
        <v>461</v>
      </c>
      <c r="L432" s="244" t="s">
        <v>470</v>
      </c>
      <c r="M432" s="248"/>
      <c r="N432" s="249"/>
      <c r="O432" s="270">
        <f>MONTH(LstMachines[[#This Row],[Delivery]])</f>
        <v>9</v>
      </c>
      <c r="P432" s="247" t="str">
        <f>FIXED(YEAR(LstMachines[[#This Row],[Delivery]]),0,TRUE)</f>
        <v>2019</v>
      </c>
      <c r="Q432" s="250"/>
      <c r="R432" s="251"/>
      <c r="S432" s="249"/>
      <c r="T432" s="249"/>
      <c r="U432" s="249"/>
      <c r="V432" s="246"/>
      <c r="W432" s="248"/>
      <c r="X432" s="249">
        <f>LstMachines[[#This Row],[Delivery]]</f>
        <v>43723</v>
      </c>
      <c r="Y432" s="271" t="str">
        <f xml:space="preserve"> IF(MONTH(LstMachines[[#This Row],[DateLivr]])&lt;10,"0","") &amp; MONTH(LstMachines[[#This Row],[DateLivr]]) &amp;"-"&amp;YEAR(LstMachines[[#This Row],[DateLivr]])</f>
        <v>09-2019</v>
      </c>
      <c r="Z432" s="247">
        <f>LstMachines[[#This Row],[Delivery]]+Rglt_à_HCME</f>
        <v>43783</v>
      </c>
      <c r="AA432" s="271" t="str">
        <f xml:space="preserve"> IF(MONTH(LstMachines[[#This Row],[DatePaie]])&lt;10,"0","") &amp; MONTH(LstMachines[[#This Row],[DatePaie]])&amp;"-"&amp;YEAR(LstMachines[[#This Row],[DatePaie]])</f>
        <v>11-2019</v>
      </c>
      <c r="AB432" s="271">
        <f>LstMachines[[#This Row],[DateLivr]]+1</f>
        <v>43724</v>
      </c>
      <c r="AC432" s="271" t="str">
        <f xml:space="preserve"> IF(MONTH(LstMachines[[#This Row],[Distrib]])&lt;10,"0","") &amp; MONTH(LstMachines[[#This Row],[Distrib]]) &amp; "-" &amp; YEAR(LstMachines[[#This Row],[Distrib]])</f>
        <v>09-2019</v>
      </c>
      <c r="AD432" s="271">
        <f>LstMachines[[#This Row],[DateLivr]]+Délai_Vente</f>
        <v>43843</v>
      </c>
      <c r="AE432" s="271" t="str">
        <f xml:space="preserve"> IF(MONTH(LstMachines[[#This Row],[VteESM]])&lt;10,"0","") &amp; MONTH(LstMachines[[#This Row],[VteESM]]) &amp; "-" &amp; YEAR(LstMachines[[#This Row],[VteESM]])</f>
        <v>01-2020</v>
      </c>
      <c r="AF432" s="271">
        <f>LstMachines[[#This Row],[DateLivr]]+Rglt_à_ESMTP</f>
        <v>43783</v>
      </c>
      <c r="AG432" s="271" t="str">
        <f xml:space="preserve"> IF(MONTH(LstMachines[[#This Row],[RgltDistrib]])&lt;10,"0","") &amp; MONTH(LstMachines[[#This Row],[RgltDistrib]]) &amp; "-" &amp; YEAR(LstMachines[[#This Row],[RgltDistrib]])</f>
        <v>11-2019</v>
      </c>
      <c r="AH432" s="271">
        <f>LstMachines[[#This Row],[VteESM]]+Rglt_à_ESMTP</f>
        <v>43903</v>
      </c>
      <c r="AI432" s="271" t="str">
        <f xml:space="preserve"> IF(MONTH(LstMachines[[#This Row],[RgltVteESM]])&lt;10,"0","") &amp; MONTH(LstMachines[[#This Row],[RgltVteESM]]) &amp; "-" &amp; YEAR(LstMachines[[#This Row],[RgltVteESM]])</f>
        <v>03-2020</v>
      </c>
      <c r="AJ432" s="270">
        <f>MONTH(LstMachines[[#This Row],[DatePaie]])</f>
        <v>11</v>
      </c>
      <c r="AK432" s="247" t="str">
        <f>FIXED(YEAR(LstMachines[[#This Row],[DatePaie]]),0,TRUE)</f>
        <v>2019</v>
      </c>
      <c r="AL432" s="270"/>
      <c r="AM432" s="414"/>
    </row>
    <row r="433" spans="2:39" hidden="1">
      <c r="B433" s="243" t="s">
        <v>75</v>
      </c>
      <c r="C433" s="243" t="s">
        <v>38</v>
      </c>
      <c r="D433" s="245">
        <v>65</v>
      </c>
      <c r="E433" s="243" t="s">
        <v>359</v>
      </c>
      <c r="F433" s="89" t="s">
        <v>468</v>
      </c>
      <c r="G433" s="89" t="s">
        <v>469</v>
      </c>
      <c r="H433" s="246">
        <v>1</v>
      </c>
      <c r="I433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433" s="88">
        <v>43723</v>
      </c>
      <c r="K433" s="248" t="s">
        <v>461</v>
      </c>
      <c r="L433" s="244" t="s">
        <v>470</v>
      </c>
      <c r="M433" s="248"/>
      <c r="N433" s="249"/>
      <c r="O433" s="270">
        <f>MONTH(LstMachines[[#This Row],[Delivery]])</f>
        <v>9</v>
      </c>
      <c r="P433" s="247" t="str">
        <f>FIXED(YEAR(LstMachines[[#This Row],[Delivery]]),0,TRUE)</f>
        <v>2019</v>
      </c>
      <c r="Q433" s="250"/>
      <c r="R433" s="251"/>
      <c r="S433" s="249"/>
      <c r="T433" s="249"/>
      <c r="U433" s="249"/>
      <c r="V433" s="246"/>
      <c r="W433" s="248"/>
      <c r="X433" s="249">
        <f>LstMachines[[#This Row],[Delivery]]</f>
        <v>43723</v>
      </c>
      <c r="Y433" s="271" t="str">
        <f xml:space="preserve"> IF(MONTH(LstMachines[[#This Row],[DateLivr]])&lt;10,"0","") &amp; MONTH(LstMachines[[#This Row],[DateLivr]]) &amp;"-"&amp;YEAR(LstMachines[[#This Row],[DateLivr]])</f>
        <v>09-2019</v>
      </c>
      <c r="Z433" s="247">
        <f>LstMachines[[#This Row],[Delivery]]+Rglt_à_HCME</f>
        <v>43783</v>
      </c>
      <c r="AA433" s="271" t="str">
        <f xml:space="preserve"> IF(MONTH(LstMachines[[#This Row],[DatePaie]])&lt;10,"0","") &amp; MONTH(LstMachines[[#This Row],[DatePaie]])&amp;"-"&amp;YEAR(LstMachines[[#This Row],[DatePaie]])</f>
        <v>11-2019</v>
      </c>
      <c r="AB433" s="271">
        <f>LstMachines[[#This Row],[DateLivr]]+1</f>
        <v>43724</v>
      </c>
      <c r="AC433" s="271" t="str">
        <f xml:space="preserve"> IF(MONTH(LstMachines[[#This Row],[Distrib]])&lt;10,"0","") &amp; MONTH(LstMachines[[#This Row],[Distrib]]) &amp; "-" &amp; YEAR(LstMachines[[#This Row],[Distrib]])</f>
        <v>09-2019</v>
      </c>
      <c r="AD433" s="271">
        <f>LstMachines[[#This Row],[DateLivr]]+Délai_Vente</f>
        <v>43843</v>
      </c>
      <c r="AE433" s="271" t="str">
        <f xml:space="preserve"> IF(MONTH(LstMachines[[#This Row],[VteESM]])&lt;10,"0","") &amp; MONTH(LstMachines[[#This Row],[VteESM]]) &amp; "-" &amp; YEAR(LstMachines[[#This Row],[VteESM]])</f>
        <v>01-2020</v>
      </c>
      <c r="AF433" s="271">
        <f>LstMachines[[#This Row],[DateLivr]]+Rglt_à_ESMTP</f>
        <v>43783</v>
      </c>
      <c r="AG433" s="271" t="str">
        <f xml:space="preserve"> IF(MONTH(LstMachines[[#This Row],[RgltDistrib]])&lt;10,"0","") &amp; MONTH(LstMachines[[#This Row],[RgltDistrib]]) &amp; "-" &amp; YEAR(LstMachines[[#This Row],[RgltDistrib]])</f>
        <v>11-2019</v>
      </c>
      <c r="AH433" s="271">
        <f>LstMachines[[#This Row],[VteESM]]+Rglt_à_ESMTP</f>
        <v>43903</v>
      </c>
      <c r="AI433" s="271" t="str">
        <f xml:space="preserve"> IF(MONTH(LstMachines[[#This Row],[RgltVteESM]])&lt;10,"0","") &amp; MONTH(LstMachines[[#This Row],[RgltVteESM]]) &amp; "-" &amp; YEAR(LstMachines[[#This Row],[RgltVteESM]])</f>
        <v>03-2020</v>
      </c>
      <c r="AJ433" s="270">
        <f>MONTH(LstMachines[[#This Row],[DatePaie]])</f>
        <v>11</v>
      </c>
      <c r="AK433" s="247" t="str">
        <f>FIXED(YEAR(LstMachines[[#This Row],[DatePaie]]),0,TRUE)</f>
        <v>2019</v>
      </c>
      <c r="AL433" s="270"/>
      <c r="AM433" s="414"/>
    </row>
    <row r="434" spans="2:39" hidden="1">
      <c r="B434" s="243" t="s">
        <v>262</v>
      </c>
      <c r="C434" s="243" t="s">
        <v>39</v>
      </c>
      <c r="D434" s="245">
        <v>85</v>
      </c>
      <c r="E434" s="243" t="s">
        <v>356</v>
      </c>
      <c r="F434" s="89" t="s">
        <v>468</v>
      </c>
      <c r="G434" s="89" t="s">
        <v>469</v>
      </c>
      <c r="H434" s="246">
        <v>1</v>
      </c>
      <c r="I434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434" s="88">
        <v>43723</v>
      </c>
      <c r="K434" s="248" t="s">
        <v>461</v>
      </c>
      <c r="L434" s="244" t="s">
        <v>470</v>
      </c>
      <c r="M434" s="248"/>
      <c r="N434" s="249"/>
      <c r="O434" s="270">
        <f>MONTH(LstMachines[[#This Row],[Delivery]])</f>
        <v>9</v>
      </c>
      <c r="P434" s="247" t="str">
        <f>FIXED(YEAR(LstMachines[[#This Row],[Delivery]]),0,TRUE)</f>
        <v>2019</v>
      </c>
      <c r="Q434" s="250"/>
      <c r="R434" s="251"/>
      <c r="S434" s="249"/>
      <c r="T434" s="249"/>
      <c r="U434" s="249"/>
      <c r="V434" s="246"/>
      <c r="W434" s="248"/>
      <c r="X434" s="249">
        <f>LstMachines[[#This Row],[Delivery]]</f>
        <v>43723</v>
      </c>
      <c r="Y434" s="271" t="str">
        <f xml:space="preserve"> IF(MONTH(LstMachines[[#This Row],[DateLivr]])&lt;10,"0","") &amp; MONTH(LstMachines[[#This Row],[DateLivr]]) &amp;"-"&amp;YEAR(LstMachines[[#This Row],[DateLivr]])</f>
        <v>09-2019</v>
      </c>
      <c r="Z434" s="247">
        <f>LstMachines[[#This Row],[Delivery]]+Rglt_à_HCME</f>
        <v>43783</v>
      </c>
      <c r="AA434" s="271" t="str">
        <f xml:space="preserve"> IF(MONTH(LstMachines[[#This Row],[DatePaie]])&lt;10,"0","") &amp; MONTH(LstMachines[[#This Row],[DatePaie]])&amp;"-"&amp;YEAR(LstMachines[[#This Row],[DatePaie]])</f>
        <v>11-2019</v>
      </c>
      <c r="AB434" s="271">
        <f>LstMachines[[#This Row],[DateLivr]]+1</f>
        <v>43724</v>
      </c>
      <c r="AC434" s="271" t="str">
        <f xml:space="preserve"> IF(MONTH(LstMachines[[#This Row],[Distrib]])&lt;10,"0","") &amp; MONTH(LstMachines[[#This Row],[Distrib]]) &amp; "-" &amp; YEAR(LstMachines[[#This Row],[Distrib]])</f>
        <v>09-2019</v>
      </c>
      <c r="AD434" s="271">
        <f>LstMachines[[#This Row],[DateLivr]]+Délai_Vente</f>
        <v>43843</v>
      </c>
      <c r="AE434" s="271" t="str">
        <f xml:space="preserve"> IF(MONTH(LstMachines[[#This Row],[VteESM]])&lt;10,"0","") &amp; MONTH(LstMachines[[#This Row],[VteESM]]) &amp; "-" &amp; YEAR(LstMachines[[#This Row],[VteESM]])</f>
        <v>01-2020</v>
      </c>
      <c r="AF434" s="271">
        <f>LstMachines[[#This Row],[DateLivr]]+Rglt_à_ESMTP</f>
        <v>43783</v>
      </c>
      <c r="AG434" s="271" t="str">
        <f xml:space="preserve"> IF(MONTH(LstMachines[[#This Row],[RgltDistrib]])&lt;10,"0","") &amp; MONTH(LstMachines[[#This Row],[RgltDistrib]]) &amp; "-" &amp; YEAR(LstMachines[[#This Row],[RgltDistrib]])</f>
        <v>11-2019</v>
      </c>
      <c r="AH434" s="271">
        <f>LstMachines[[#This Row],[VteESM]]+Rglt_à_ESMTP</f>
        <v>43903</v>
      </c>
      <c r="AI434" s="271" t="str">
        <f xml:space="preserve"> IF(MONTH(LstMachines[[#This Row],[RgltVteESM]])&lt;10,"0","") &amp; MONTH(LstMachines[[#This Row],[RgltVteESM]]) &amp; "-" &amp; YEAR(LstMachines[[#This Row],[RgltVteESM]])</f>
        <v>03-2020</v>
      </c>
      <c r="AJ434" s="270">
        <f>MONTH(LstMachines[[#This Row],[DatePaie]])</f>
        <v>11</v>
      </c>
      <c r="AK434" s="247" t="str">
        <f>FIXED(YEAR(LstMachines[[#This Row],[DatePaie]]),0,TRUE)</f>
        <v>2019</v>
      </c>
      <c r="AL434" s="270"/>
      <c r="AM434" s="414"/>
    </row>
    <row r="435" spans="2:39" hidden="1">
      <c r="B435" s="243" t="s">
        <v>262</v>
      </c>
      <c r="C435" s="243" t="s">
        <v>44</v>
      </c>
      <c r="D435" s="245">
        <v>225</v>
      </c>
      <c r="E435" s="243" t="s">
        <v>205</v>
      </c>
      <c r="F435" s="89" t="s">
        <v>468</v>
      </c>
      <c r="G435" s="89" t="s">
        <v>469</v>
      </c>
      <c r="H435" s="246">
        <v>1</v>
      </c>
      <c r="I435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435" s="88">
        <v>43723</v>
      </c>
      <c r="K435" s="248" t="s">
        <v>461</v>
      </c>
      <c r="L435" s="244" t="s">
        <v>470</v>
      </c>
      <c r="M435" s="248"/>
      <c r="N435" s="249"/>
      <c r="O435" s="270">
        <f>MONTH(LstMachines[[#This Row],[Delivery]])</f>
        <v>9</v>
      </c>
      <c r="P435" s="247" t="str">
        <f>FIXED(YEAR(LstMachines[[#This Row],[Delivery]]),0,TRUE)</f>
        <v>2019</v>
      </c>
      <c r="Q435" s="250"/>
      <c r="R435" s="251"/>
      <c r="S435" s="249"/>
      <c r="T435" s="249"/>
      <c r="U435" s="249"/>
      <c r="V435" s="246"/>
      <c r="W435" s="248"/>
      <c r="X435" s="249">
        <f>LstMachines[[#This Row],[Delivery]]</f>
        <v>43723</v>
      </c>
      <c r="Y435" s="271" t="str">
        <f xml:space="preserve"> IF(MONTH(LstMachines[[#This Row],[DateLivr]])&lt;10,"0","") &amp; MONTH(LstMachines[[#This Row],[DateLivr]]) &amp;"-"&amp;YEAR(LstMachines[[#This Row],[DateLivr]])</f>
        <v>09-2019</v>
      </c>
      <c r="Z435" s="247">
        <f>LstMachines[[#This Row],[Delivery]]+Rglt_à_HCME</f>
        <v>43783</v>
      </c>
      <c r="AA435" s="271" t="str">
        <f xml:space="preserve"> IF(MONTH(LstMachines[[#This Row],[DatePaie]])&lt;10,"0","") &amp; MONTH(LstMachines[[#This Row],[DatePaie]])&amp;"-"&amp;YEAR(LstMachines[[#This Row],[DatePaie]])</f>
        <v>11-2019</v>
      </c>
      <c r="AB435" s="271">
        <f>LstMachines[[#This Row],[DateLivr]]+1</f>
        <v>43724</v>
      </c>
      <c r="AC435" s="271" t="str">
        <f xml:space="preserve"> IF(MONTH(LstMachines[[#This Row],[Distrib]])&lt;10,"0","") &amp; MONTH(LstMachines[[#This Row],[Distrib]]) &amp; "-" &amp; YEAR(LstMachines[[#This Row],[Distrib]])</f>
        <v>09-2019</v>
      </c>
      <c r="AD435" s="271">
        <f>LstMachines[[#This Row],[DateLivr]]+Délai_Vente</f>
        <v>43843</v>
      </c>
      <c r="AE435" s="271" t="str">
        <f xml:space="preserve"> IF(MONTH(LstMachines[[#This Row],[VteESM]])&lt;10,"0","") &amp; MONTH(LstMachines[[#This Row],[VteESM]]) &amp; "-" &amp; YEAR(LstMachines[[#This Row],[VteESM]])</f>
        <v>01-2020</v>
      </c>
      <c r="AF435" s="271">
        <f>LstMachines[[#This Row],[DateLivr]]+Rglt_à_ESMTP</f>
        <v>43783</v>
      </c>
      <c r="AG435" s="271" t="str">
        <f xml:space="preserve"> IF(MONTH(LstMachines[[#This Row],[RgltDistrib]])&lt;10,"0","") &amp; MONTH(LstMachines[[#This Row],[RgltDistrib]]) &amp; "-" &amp; YEAR(LstMachines[[#This Row],[RgltDistrib]])</f>
        <v>11-2019</v>
      </c>
      <c r="AH435" s="271">
        <f>LstMachines[[#This Row],[VteESM]]+Rglt_à_ESMTP</f>
        <v>43903</v>
      </c>
      <c r="AI435" s="271" t="str">
        <f xml:space="preserve"> IF(MONTH(LstMachines[[#This Row],[RgltVteESM]])&lt;10,"0","") &amp; MONTH(LstMachines[[#This Row],[RgltVteESM]]) &amp; "-" &amp; YEAR(LstMachines[[#This Row],[RgltVteESM]])</f>
        <v>03-2020</v>
      </c>
      <c r="AJ435" s="270">
        <f>MONTH(LstMachines[[#This Row],[DatePaie]])</f>
        <v>11</v>
      </c>
      <c r="AK435" s="247" t="str">
        <f>FIXED(YEAR(LstMachines[[#This Row],[DatePaie]]),0,TRUE)</f>
        <v>2019</v>
      </c>
      <c r="AL435" s="270"/>
      <c r="AM435" s="414"/>
    </row>
    <row r="436" spans="2:39" hidden="1">
      <c r="B436" s="243" t="s">
        <v>262</v>
      </c>
      <c r="C436" s="243" t="s">
        <v>44</v>
      </c>
      <c r="D436" s="245">
        <v>225</v>
      </c>
      <c r="E436" s="243" t="s">
        <v>205</v>
      </c>
      <c r="F436" s="89" t="s">
        <v>468</v>
      </c>
      <c r="G436" s="89" t="s">
        <v>469</v>
      </c>
      <c r="H436" s="246">
        <v>2</v>
      </c>
      <c r="I436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256</v>
      </c>
      <c r="J436" s="88">
        <v>43723</v>
      </c>
      <c r="K436" s="248" t="s">
        <v>461</v>
      </c>
      <c r="L436" s="244" t="s">
        <v>470</v>
      </c>
      <c r="M436" s="248"/>
      <c r="N436" s="249"/>
      <c r="O436" s="270">
        <f>MONTH(LstMachines[[#This Row],[Delivery]])</f>
        <v>9</v>
      </c>
      <c r="P436" s="247" t="str">
        <f>FIXED(YEAR(LstMachines[[#This Row],[Delivery]]),0,TRUE)</f>
        <v>2019</v>
      </c>
      <c r="Q436" s="250"/>
      <c r="R436" s="251"/>
      <c r="S436" s="249"/>
      <c r="T436" s="249"/>
      <c r="U436" s="249"/>
      <c r="V436" s="246"/>
      <c r="W436" s="248"/>
      <c r="X436" s="249">
        <f>LstMachines[[#This Row],[Delivery]]</f>
        <v>43723</v>
      </c>
      <c r="Y436" s="271" t="str">
        <f xml:space="preserve"> IF(MONTH(LstMachines[[#This Row],[DateLivr]])&lt;10,"0","") &amp; MONTH(LstMachines[[#This Row],[DateLivr]]) &amp;"-"&amp;YEAR(LstMachines[[#This Row],[DateLivr]])</f>
        <v>09-2019</v>
      </c>
      <c r="Z436" s="247">
        <f>LstMachines[[#This Row],[Delivery]]+Rglt_à_HCME</f>
        <v>43783</v>
      </c>
      <c r="AA436" s="271" t="str">
        <f xml:space="preserve"> IF(MONTH(LstMachines[[#This Row],[DatePaie]])&lt;10,"0","") &amp; MONTH(LstMachines[[#This Row],[DatePaie]])&amp;"-"&amp;YEAR(LstMachines[[#This Row],[DatePaie]])</f>
        <v>11-2019</v>
      </c>
      <c r="AB436" s="271">
        <f>LstMachines[[#This Row],[DateLivr]]+1</f>
        <v>43724</v>
      </c>
      <c r="AC436" s="271" t="str">
        <f xml:space="preserve"> IF(MONTH(LstMachines[[#This Row],[Distrib]])&lt;10,"0","") &amp; MONTH(LstMachines[[#This Row],[Distrib]]) &amp; "-" &amp; YEAR(LstMachines[[#This Row],[Distrib]])</f>
        <v>09-2019</v>
      </c>
      <c r="AD436" s="271">
        <f>LstMachines[[#This Row],[DateLivr]]+Délai_Vente</f>
        <v>43843</v>
      </c>
      <c r="AE436" s="271" t="str">
        <f xml:space="preserve"> IF(MONTH(LstMachines[[#This Row],[VteESM]])&lt;10,"0","") &amp; MONTH(LstMachines[[#This Row],[VteESM]]) &amp; "-" &amp; YEAR(LstMachines[[#This Row],[VteESM]])</f>
        <v>01-2020</v>
      </c>
      <c r="AF436" s="271">
        <f>LstMachines[[#This Row],[DateLivr]]+Rglt_à_ESMTP</f>
        <v>43783</v>
      </c>
      <c r="AG436" s="271" t="str">
        <f xml:space="preserve"> IF(MONTH(LstMachines[[#This Row],[RgltDistrib]])&lt;10,"0","") &amp; MONTH(LstMachines[[#This Row],[RgltDistrib]]) &amp; "-" &amp; YEAR(LstMachines[[#This Row],[RgltDistrib]])</f>
        <v>11-2019</v>
      </c>
      <c r="AH436" s="271">
        <f>LstMachines[[#This Row],[VteESM]]+Rglt_à_ESMTP</f>
        <v>43903</v>
      </c>
      <c r="AI436" s="271" t="str">
        <f xml:space="preserve"> IF(MONTH(LstMachines[[#This Row],[RgltVteESM]])&lt;10,"0","") &amp; MONTH(LstMachines[[#This Row],[RgltVteESM]]) &amp; "-" &amp; YEAR(LstMachines[[#This Row],[RgltVteESM]])</f>
        <v>03-2020</v>
      </c>
      <c r="AJ436" s="270">
        <f>MONTH(LstMachines[[#This Row],[DatePaie]])</f>
        <v>11</v>
      </c>
      <c r="AK436" s="247" t="str">
        <f>FIXED(YEAR(LstMachines[[#This Row],[DatePaie]]),0,TRUE)</f>
        <v>2019</v>
      </c>
      <c r="AL436" s="270"/>
      <c r="AM436" s="414"/>
    </row>
    <row r="437" spans="2:39" hidden="1">
      <c r="B437" s="243" t="s">
        <v>75</v>
      </c>
      <c r="C437" s="243" t="s">
        <v>35</v>
      </c>
      <c r="D437" s="245">
        <v>19</v>
      </c>
      <c r="E437" s="243" t="s">
        <v>76</v>
      </c>
      <c r="F437" s="89" t="s">
        <v>468</v>
      </c>
      <c r="G437" s="89" t="s">
        <v>469</v>
      </c>
      <c r="H437" s="246">
        <v>1</v>
      </c>
      <c r="I437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437" s="88">
        <v>43753</v>
      </c>
      <c r="K437" s="248" t="s">
        <v>461</v>
      </c>
      <c r="L437" s="244" t="s">
        <v>470</v>
      </c>
      <c r="M437" s="248"/>
      <c r="N437" s="249"/>
      <c r="O437" s="270">
        <f>MONTH(LstMachines[[#This Row],[Delivery]])</f>
        <v>10</v>
      </c>
      <c r="P437" s="247" t="str">
        <f>FIXED(YEAR(LstMachines[[#This Row],[Delivery]]),0,TRUE)</f>
        <v>2019</v>
      </c>
      <c r="Q437" s="250"/>
      <c r="R437" s="251"/>
      <c r="S437" s="249"/>
      <c r="T437" s="249"/>
      <c r="U437" s="249"/>
      <c r="V437" s="246"/>
      <c r="W437" s="248"/>
      <c r="X437" s="249">
        <f>LstMachines[[#This Row],[Delivery]]</f>
        <v>43753</v>
      </c>
      <c r="Y437" s="271" t="str">
        <f xml:space="preserve"> IF(MONTH(LstMachines[[#This Row],[DateLivr]])&lt;10,"0","") &amp; MONTH(LstMachines[[#This Row],[DateLivr]]) &amp;"-"&amp;YEAR(LstMachines[[#This Row],[DateLivr]])</f>
        <v>10-2019</v>
      </c>
      <c r="Z437" s="247">
        <f>LstMachines[[#This Row],[Delivery]]+Rglt_à_HCME</f>
        <v>43813</v>
      </c>
      <c r="AA437" s="271" t="str">
        <f xml:space="preserve"> IF(MONTH(LstMachines[[#This Row],[DatePaie]])&lt;10,"0","") &amp; MONTH(LstMachines[[#This Row],[DatePaie]])&amp;"-"&amp;YEAR(LstMachines[[#This Row],[DatePaie]])</f>
        <v>12-2019</v>
      </c>
      <c r="AB437" s="271">
        <f>LstMachines[[#This Row],[DateLivr]]+1</f>
        <v>43754</v>
      </c>
      <c r="AC437" s="271" t="str">
        <f xml:space="preserve"> IF(MONTH(LstMachines[[#This Row],[Distrib]])&lt;10,"0","") &amp; MONTH(LstMachines[[#This Row],[Distrib]]) &amp; "-" &amp; YEAR(LstMachines[[#This Row],[Distrib]])</f>
        <v>10-2019</v>
      </c>
      <c r="AD437" s="271">
        <f>LstMachines[[#This Row],[DateLivr]]+Délai_Vente</f>
        <v>43873</v>
      </c>
      <c r="AE437" s="271" t="str">
        <f xml:space="preserve"> IF(MONTH(LstMachines[[#This Row],[VteESM]])&lt;10,"0","") &amp; MONTH(LstMachines[[#This Row],[VteESM]]) &amp; "-" &amp; YEAR(LstMachines[[#This Row],[VteESM]])</f>
        <v>02-2020</v>
      </c>
      <c r="AF437" s="271">
        <f>LstMachines[[#This Row],[DateLivr]]+Rglt_à_ESMTP</f>
        <v>43813</v>
      </c>
      <c r="AG437" s="271" t="str">
        <f xml:space="preserve"> IF(MONTH(LstMachines[[#This Row],[RgltDistrib]])&lt;10,"0","") &amp; MONTH(LstMachines[[#This Row],[RgltDistrib]]) &amp; "-" &amp; YEAR(LstMachines[[#This Row],[RgltDistrib]])</f>
        <v>12-2019</v>
      </c>
      <c r="AH437" s="271">
        <f>LstMachines[[#This Row],[VteESM]]+Rglt_à_ESMTP</f>
        <v>43933</v>
      </c>
      <c r="AI437" s="271" t="str">
        <f xml:space="preserve"> IF(MONTH(LstMachines[[#This Row],[RgltVteESM]])&lt;10,"0","") &amp; MONTH(LstMachines[[#This Row],[RgltVteESM]]) &amp; "-" &amp; YEAR(LstMachines[[#This Row],[RgltVteESM]])</f>
        <v>04-2020</v>
      </c>
      <c r="AJ437" s="270">
        <f>MONTH(LstMachines[[#This Row],[DatePaie]])</f>
        <v>12</v>
      </c>
      <c r="AK437" s="247" t="str">
        <f>FIXED(YEAR(LstMachines[[#This Row],[DatePaie]]),0,TRUE)</f>
        <v>2019</v>
      </c>
      <c r="AL437" s="270"/>
      <c r="AM437" s="414"/>
    </row>
    <row r="438" spans="2:39" hidden="1">
      <c r="B438" s="243" t="s">
        <v>75</v>
      </c>
      <c r="C438" s="243" t="s">
        <v>36</v>
      </c>
      <c r="D438" s="245">
        <v>26</v>
      </c>
      <c r="E438" s="243" t="s">
        <v>361</v>
      </c>
      <c r="F438" s="89" t="s">
        <v>468</v>
      </c>
      <c r="G438" s="89" t="s">
        <v>469</v>
      </c>
      <c r="H438" s="246">
        <v>1</v>
      </c>
      <c r="I438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438" s="88">
        <v>43753</v>
      </c>
      <c r="K438" s="248" t="s">
        <v>461</v>
      </c>
      <c r="L438" s="244" t="s">
        <v>470</v>
      </c>
      <c r="M438" s="248"/>
      <c r="N438" s="249"/>
      <c r="O438" s="270">
        <f>MONTH(LstMachines[[#This Row],[Delivery]])</f>
        <v>10</v>
      </c>
      <c r="P438" s="247" t="str">
        <f>FIXED(YEAR(LstMachines[[#This Row],[Delivery]]),0,TRUE)</f>
        <v>2019</v>
      </c>
      <c r="Q438" s="250"/>
      <c r="R438" s="251"/>
      <c r="S438" s="249"/>
      <c r="T438" s="249"/>
      <c r="U438" s="249"/>
      <c r="V438" s="246"/>
      <c r="W438" s="248"/>
      <c r="X438" s="249">
        <f>LstMachines[[#This Row],[Delivery]]</f>
        <v>43753</v>
      </c>
      <c r="Y438" s="271" t="str">
        <f xml:space="preserve"> IF(MONTH(LstMachines[[#This Row],[DateLivr]])&lt;10,"0","") &amp; MONTH(LstMachines[[#This Row],[DateLivr]]) &amp;"-"&amp;YEAR(LstMachines[[#This Row],[DateLivr]])</f>
        <v>10-2019</v>
      </c>
      <c r="Z438" s="247">
        <f>LstMachines[[#This Row],[Delivery]]+Rglt_à_HCME</f>
        <v>43813</v>
      </c>
      <c r="AA438" s="271" t="str">
        <f xml:space="preserve"> IF(MONTH(LstMachines[[#This Row],[DatePaie]])&lt;10,"0","") &amp; MONTH(LstMachines[[#This Row],[DatePaie]])&amp;"-"&amp;YEAR(LstMachines[[#This Row],[DatePaie]])</f>
        <v>12-2019</v>
      </c>
      <c r="AB438" s="271">
        <f>LstMachines[[#This Row],[DateLivr]]+1</f>
        <v>43754</v>
      </c>
      <c r="AC438" s="271" t="str">
        <f xml:space="preserve"> IF(MONTH(LstMachines[[#This Row],[Distrib]])&lt;10,"0","") &amp; MONTH(LstMachines[[#This Row],[Distrib]]) &amp; "-" &amp; YEAR(LstMachines[[#This Row],[Distrib]])</f>
        <v>10-2019</v>
      </c>
      <c r="AD438" s="271">
        <f>LstMachines[[#This Row],[DateLivr]]+Délai_Vente</f>
        <v>43873</v>
      </c>
      <c r="AE438" s="271" t="str">
        <f xml:space="preserve"> IF(MONTH(LstMachines[[#This Row],[VteESM]])&lt;10,"0","") &amp; MONTH(LstMachines[[#This Row],[VteESM]]) &amp; "-" &amp; YEAR(LstMachines[[#This Row],[VteESM]])</f>
        <v>02-2020</v>
      </c>
      <c r="AF438" s="271">
        <f>LstMachines[[#This Row],[DateLivr]]+Rglt_à_ESMTP</f>
        <v>43813</v>
      </c>
      <c r="AG438" s="271" t="str">
        <f xml:space="preserve"> IF(MONTH(LstMachines[[#This Row],[RgltDistrib]])&lt;10,"0","") &amp; MONTH(LstMachines[[#This Row],[RgltDistrib]]) &amp; "-" &amp; YEAR(LstMachines[[#This Row],[RgltDistrib]])</f>
        <v>12-2019</v>
      </c>
      <c r="AH438" s="271">
        <f>LstMachines[[#This Row],[VteESM]]+Rglt_à_ESMTP</f>
        <v>43933</v>
      </c>
      <c r="AI438" s="271" t="str">
        <f xml:space="preserve"> IF(MONTH(LstMachines[[#This Row],[RgltVteESM]])&lt;10,"0","") &amp; MONTH(LstMachines[[#This Row],[RgltVteESM]]) &amp; "-" &amp; YEAR(LstMachines[[#This Row],[RgltVteESM]])</f>
        <v>04-2020</v>
      </c>
      <c r="AJ438" s="270">
        <f>MONTH(LstMachines[[#This Row],[DatePaie]])</f>
        <v>12</v>
      </c>
      <c r="AK438" s="247" t="str">
        <f>FIXED(YEAR(LstMachines[[#This Row],[DatePaie]]),0,TRUE)</f>
        <v>2019</v>
      </c>
      <c r="AL438" s="270"/>
      <c r="AM438" s="414"/>
    </row>
    <row r="439" spans="2:39" hidden="1">
      <c r="B439" s="243" t="s">
        <v>262</v>
      </c>
      <c r="C439" s="243" t="s">
        <v>39</v>
      </c>
      <c r="D439" s="245">
        <v>85</v>
      </c>
      <c r="E439" s="243" t="s">
        <v>356</v>
      </c>
      <c r="F439" s="89" t="s">
        <v>468</v>
      </c>
      <c r="G439" s="89" t="s">
        <v>469</v>
      </c>
      <c r="H439" s="246">
        <v>1</v>
      </c>
      <c r="I439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439" s="88">
        <v>43753</v>
      </c>
      <c r="K439" s="248" t="s">
        <v>461</v>
      </c>
      <c r="L439" s="244" t="s">
        <v>470</v>
      </c>
      <c r="M439" s="248"/>
      <c r="N439" s="249"/>
      <c r="O439" s="270">
        <f>MONTH(LstMachines[[#This Row],[Delivery]])</f>
        <v>10</v>
      </c>
      <c r="P439" s="247" t="str">
        <f>FIXED(YEAR(LstMachines[[#This Row],[Delivery]]),0,TRUE)</f>
        <v>2019</v>
      </c>
      <c r="Q439" s="250"/>
      <c r="R439" s="251"/>
      <c r="S439" s="249"/>
      <c r="T439" s="249"/>
      <c r="U439" s="249"/>
      <c r="V439" s="246"/>
      <c r="W439" s="248"/>
      <c r="X439" s="249">
        <f>LstMachines[[#This Row],[Delivery]]</f>
        <v>43753</v>
      </c>
      <c r="Y439" s="271" t="str">
        <f xml:space="preserve"> IF(MONTH(LstMachines[[#This Row],[DateLivr]])&lt;10,"0","") &amp; MONTH(LstMachines[[#This Row],[DateLivr]]) &amp;"-"&amp;YEAR(LstMachines[[#This Row],[DateLivr]])</f>
        <v>10-2019</v>
      </c>
      <c r="Z439" s="247">
        <f>LstMachines[[#This Row],[Delivery]]+Rglt_à_HCME</f>
        <v>43813</v>
      </c>
      <c r="AA439" s="271" t="str">
        <f xml:space="preserve"> IF(MONTH(LstMachines[[#This Row],[DatePaie]])&lt;10,"0","") &amp; MONTH(LstMachines[[#This Row],[DatePaie]])&amp;"-"&amp;YEAR(LstMachines[[#This Row],[DatePaie]])</f>
        <v>12-2019</v>
      </c>
      <c r="AB439" s="271">
        <f>LstMachines[[#This Row],[DateLivr]]+1</f>
        <v>43754</v>
      </c>
      <c r="AC439" s="271" t="str">
        <f xml:space="preserve"> IF(MONTH(LstMachines[[#This Row],[Distrib]])&lt;10,"0","") &amp; MONTH(LstMachines[[#This Row],[Distrib]]) &amp; "-" &amp; YEAR(LstMachines[[#This Row],[Distrib]])</f>
        <v>10-2019</v>
      </c>
      <c r="AD439" s="271">
        <f>LstMachines[[#This Row],[DateLivr]]+Délai_Vente</f>
        <v>43873</v>
      </c>
      <c r="AE439" s="271" t="str">
        <f xml:space="preserve"> IF(MONTH(LstMachines[[#This Row],[VteESM]])&lt;10,"0","") &amp; MONTH(LstMachines[[#This Row],[VteESM]]) &amp; "-" &amp; YEAR(LstMachines[[#This Row],[VteESM]])</f>
        <v>02-2020</v>
      </c>
      <c r="AF439" s="271">
        <f>LstMachines[[#This Row],[DateLivr]]+Rglt_à_ESMTP</f>
        <v>43813</v>
      </c>
      <c r="AG439" s="271" t="str">
        <f xml:space="preserve"> IF(MONTH(LstMachines[[#This Row],[RgltDistrib]])&lt;10,"0","") &amp; MONTH(LstMachines[[#This Row],[RgltDistrib]]) &amp; "-" &amp; YEAR(LstMachines[[#This Row],[RgltDistrib]])</f>
        <v>12-2019</v>
      </c>
      <c r="AH439" s="271">
        <f>LstMachines[[#This Row],[VteESM]]+Rglt_à_ESMTP</f>
        <v>43933</v>
      </c>
      <c r="AI439" s="271" t="str">
        <f xml:space="preserve"> IF(MONTH(LstMachines[[#This Row],[RgltVteESM]])&lt;10,"0","") &amp; MONTH(LstMachines[[#This Row],[RgltVteESM]]) &amp; "-" &amp; YEAR(LstMachines[[#This Row],[RgltVteESM]])</f>
        <v>04-2020</v>
      </c>
      <c r="AJ439" s="270">
        <f>MONTH(LstMachines[[#This Row],[DatePaie]])</f>
        <v>12</v>
      </c>
      <c r="AK439" s="247" t="str">
        <f>FIXED(YEAR(LstMachines[[#This Row],[DatePaie]]),0,TRUE)</f>
        <v>2019</v>
      </c>
      <c r="AL439" s="270"/>
      <c r="AM439" s="414"/>
    </row>
    <row r="440" spans="2:39" hidden="1">
      <c r="B440" s="243" t="s">
        <v>262</v>
      </c>
      <c r="C440" s="243" t="s">
        <v>40</v>
      </c>
      <c r="D440" s="245">
        <v>135</v>
      </c>
      <c r="E440" s="243" t="s">
        <v>194</v>
      </c>
      <c r="F440" s="89" t="s">
        <v>468</v>
      </c>
      <c r="G440" s="89" t="s">
        <v>469</v>
      </c>
      <c r="H440" s="246">
        <v>1</v>
      </c>
      <c r="I440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440" s="88">
        <v>43753</v>
      </c>
      <c r="K440" s="248" t="s">
        <v>461</v>
      </c>
      <c r="L440" s="244" t="s">
        <v>470</v>
      </c>
      <c r="M440" s="248"/>
      <c r="N440" s="249"/>
      <c r="O440" s="270">
        <f>MONTH(LstMachines[[#This Row],[Delivery]])</f>
        <v>10</v>
      </c>
      <c r="P440" s="247" t="str">
        <f>FIXED(YEAR(LstMachines[[#This Row],[Delivery]]),0,TRUE)</f>
        <v>2019</v>
      </c>
      <c r="Q440" s="250"/>
      <c r="R440" s="251"/>
      <c r="S440" s="249"/>
      <c r="T440" s="249"/>
      <c r="U440" s="249"/>
      <c r="V440" s="246"/>
      <c r="W440" s="248"/>
      <c r="X440" s="249">
        <f>LstMachines[[#This Row],[Delivery]]</f>
        <v>43753</v>
      </c>
      <c r="Y440" s="271" t="str">
        <f xml:space="preserve"> IF(MONTH(LstMachines[[#This Row],[DateLivr]])&lt;10,"0","") &amp; MONTH(LstMachines[[#This Row],[DateLivr]]) &amp;"-"&amp;YEAR(LstMachines[[#This Row],[DateLivr]])</f>
        <v>10-2019</v>
      </c>
      <c r="Z440" s="247">
        <f>LstMachines[[#This Row],[Delivery]]+Rglt_à_HCME</f>
        <v>43813</v>
      </c>
      <c r="AA440" s="271" t="str">
        <f xml:space="preserve"> IF(MONTH(LstMachines[[#This Row],[DatePaie]])&lt;10,"0","") &amp; MONTH(LstMachines[[#This Row],[DatePaie]])&amp;"-"&amp;YEAR(LstMachines[[#This Row],[DatePaie]])</f>
        <v>12-2019</v>
      </c>
      <c r="AB440" s="271">
        <f>LstMachines[[#This Row],[DateLivr]]+1</f>
        <v>43754</v>
      </c>
      <c r="AC440" s="271" t="str">
        <f xml:space="preserve"> IF(MONTH(LstMachines[[#This Row],[Distrib]])&lt;10,"0","") &amp; MONTH(LstMachines[[#This Row],[Distrib]]) &amp; "-" &amp; YEAR(LstMachines[[#This Row],[Distrib]])</f>
        <v>10-2019</v>
      </c>
      <c r="AD440" s="271">
        <f>LstMachines[[#This Row],[DateLivr]]+Délai_Vente</f>
        <v>43873</v>
      </c>
      <c r="AE440" s="271" t="str">
        <f xml:space="preserve"> IF(MONTH(LstMachines[[#This Row],[VteESM]])&lt;10,"0","") &amp; MONTH(LstMachines[[#This Row],[VteESM]]) &amp; "-" &amp; YEAR(LstMachines[[#This Row],[VteESM]])</f>
        <v>02-2020</v>
      </c>
      <c r="AF440" s="271">
        <f>LstMachines[[#This Row],[DateLivr]]+Rglt_à_ESMTP</f>
        <v>43813</v>
      </c>
      <c r="AG440" s="271" t="str">
        <f xml:space="preserve"> IF(MONTH(LstMachines[[#This Row],[RgltDistrib]])&lt;10,"0","") &amp; MONTH(LstMachines[[#This Row],[RgltDistrib]]) &amp; "-" &amp; YEAR(LstMachines[[#This Row],[RgltDistrib]])</f>
        <v>12-2019</v>
      </c>
      <c r="AH440" s="271">
        <f>LstMachines[[#This Row],[VteESM]]+Rglt_à_ESMTP</f>
        <v>43933</v>
      </c>
      <c r="AI440" s="271" t="str">
        <f xml:space="preserve"> IF(MONTH(LstMachines[[#This Row],[RgltVteESM]])&lt;10,"0","") &amp; MONTH(LstMachines[[#This Row],[RgltVteESM]]) &amp; "-" &amp; YEAR(LstMachines[[#This Row],[RgltVteESM]])</f>
        <v>04-2020</v>
      </c>
      <c r="AJ440" s="270">
        <f>MONTH(LstMachines[[#This Row],[DatePaie]])</f>
        <v>12</v>
      </c>
      <c r="AK440" s="247" t="str">
        <f>FIXED(YEAR(LstMachines[[#This Row],[DatePaie]]),0,TRUE)</f>
        <v>2019</v>
      </c>
      <c r="AL440" s="270"/>
      <c r="AM440" s="414"/>
    </row>
    <row r="441" spans="2:39" hidden="1">
      <c r="B441" s="243" t="s">
        <v>75</v>
      </c>
      <c r="C441" s="243" t="s">
        <v>35</v>
      </c>
      <c r="D441" s="245">
        <v>19</v>
      </c>
      <c r="E441" s="243" t="s">
        <v>76</v>
      </c>
      <c r="F441" s="89" t="s">
        <v>468</v>
      </c>
      <c r="G441" s="89" t="s">
        <v>469</v>
      </c>
      <c r="H441" s="246">
        <v>1</v>
      </c>
      <c r="I441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441" s="88">
        <v>43784</v>
      </c>
      <c r="K441" s="248" t="s">
        <v>461</v>
      </c>
      <c r="L441" s="244" t="s">
        <v>470</v>
      </c>
      <c r="M441" s="248"/>
      <c r="N441" s="249"/>
      <c r="O441" s="270">
        <f>MONTH(LstMachines[[#This Row],[Delivery]])</f>
        <v>11</v>
      </c>
      <c r="P441" s="247" t="str">
        <f>FIXED(YEAR(LstMachines[[#This Row],[Delivery]]),0,TRUE)</f>
        <v>2019</v>
      </c>
      <c r="Q441" s="250"/>
      <c r="R441" s="251"/>
      <c r="S441" s="249"/>
      <c r="T441" s="249"/>
      <c r="U441" s="249"/>
      <c r="V441" s="246"/>
      <c r="W441" s="248"/>
      <c r="X441" s="249">
        <f>LstMachines[[#This Row],[Delivery]]</f>
        <v>43784</v>
      </c>
      <c r="Y441" s="271" t="str">
        <f xml:space="preserve"> IF(MONTH(LstMachines[[#This Row],[DateLivr]])&lt;10,"0","") &amp; MONTH(LstMachines[[#This Row],[DateLivr]]) &amp;"-"&amp;YEAR(LstMachines[[#This Row],[DateLivr]])</f>
        <v>11-2019</v>
      </c>
      <c r="Z441" s="247">
        <f>LstMachines[[#This Row],[Delivery]]+Rglt_à_HCME</f>
        <v>43844</v>
      </c>
      <c r="AA441" s="271" t="str">
        <f xml:space="preserve"> IF(MONTH(LstMachines[[#This Row],[DatePaie]])&lt;10,"0","") &amp; MONTH(LstMachines[[#This Row],[DatePaie]])&amp;"-"&amp;YEAR(LstMachines[[#This Row],[DatePaie]])</f>
        <v>01-2020</v>
      </c>
      <c r="AB441" s="271">
        <f>LstMachines[[#This Row],[DateLivr]]+1</f>
        <v>43785</v>
      </c>
      <c r="AC441" s="271" t="str">
        <f xml:space="preserve"> IF(MONTH(LstMachines[[#This Row],[Distrib]])&lt;10,"0","") &amp; MONTH(LstMachines[[#This Row],[Distrib]]) &amp; "-" &amp; YEAR(LstMachines[[#This Row],[Distrib]])</f>
        <v>11-2019</v>
      </c>
      <c r="AD441" s="271">
        <f>LstMachines[[#This Row],[DateLivr]]+Délai_Vente</f>
        <v>43904</v>
      </c>
      <c r="AE441" s="271" t="str">
        <f xml:space="preserve"> IF(MONTH(LstMachines[[#This Row],[VteESM]])&lt;10,"0","") &amp; MONTH(LstMachines[[#This Row],[VteESM]]) &amp; "-" &amp; YEAR(LstMachines[[#This Row],[VteESM]])</f>
        <v>03-2020</v>
      </c>
      <c r="AF441" s="271">
        <f>LstMachines[[#This Row],[DateLivr]]+Rglt_à_ESMTP</f>
        <v>43844</v>
      </c>
      <c r="AG441" s="271" t="str">
        <f xml:space="preserve"> IF(MONTH(LstMachines[[#This Row],[RgltDistrib]])&lt;10,"0","") &amp; MONTH(LstMachines[[#This Row],[RgltDistrib]]) &amp; "-" &amp; YEAR(LstMachines[[#This Row],[RgltDistrib]])</f>
        <v>01-2020</v>
      </c>
      <c r="AH441" s="271">
        <f>LstMachines[[#This Row],[VteESM]]+Rglt_à_ESMTP</f>
        <v>43964</v>
      </c>
      <c r="AI441" s="271" t="str">
        <f xml:space="preserve"> IF(MONTH(LstMachines[[#This Row],[RgltVteESM]])&lt;10,"0","") &amp; MONTH(LstMachines[[#This Row],[RgltVteESM]]) &amp; "-" &amp; YEAR(LstMachines[[#This Row],[RgltVteESM]])</f>
        <v>05-2020</v>
      </c>
      <c r="AJ441" s="270">
        <f>MONTH(LstMachines[[#This Row],[DatePaie]])</f>
        <v>1</v>
      </c>
      <c r="AK441" s="247" t="str">
        <f>FIXED(YEAR(LstMachines[[#This Row],[DatePaie]]),0,TRUE)</f>
        <v>2020</v>
      </c>
      <c r="AL441" s="270"/>
      <c r="AM441" s="414"/>
    </row>
    <row r="442" spans="2:39" hidden="1">
      <c r="B442" s="243" t="s">
        <v>75</v>
      </c>
      <c r="C442" s="243" t="s">
        <v>36</v>
      </c>
      <c r="D442" s="245">
        <v>26</v>
      </c>
      <c r="E442" s="243" t="s">
        <v>361</v>
      </c>
      <c r="F442" s="89" t="s">
        <v>468</v>
      </c>
      <c r="G442" s="89" t="s">
        <v>469</v>
      </c>
      <c r="H442" s="246">
        <v>1</v>
      </c>
      <c r="I442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442" s="88">
        <v>43784</v>
      </c>
      <c r="K442" s="248" t="s">
        <v>461</v>
      </c>
      <c r="L442" s="244" t="s">
        <v>470</v>
      </c>
      <c r="M442" s="248"/>
      <c r="N442" s="249"/>
      <c r="O442" s="270">
        <f>MONTH(LstMachines[[#This Row],[Delivery]])</f>
        <v>11</v>
      </c>
      <c r="P442" s="247" t="str">
        <f>FIXED(YEAR(LstMachines[[#This Row],[Delivery]]),0,TRUE)</f>
        <v>2019</v>
      </c>
      <c r="Q442" s="250"/>
      <c r="R442" s="251"/>
      <c r="S442" s="249"/>
      <c r="T442" s="249"/>
      <c r="U442" s="249"/>
      <c r="V442" s="246"/>
      <c r="W442" s="248"/>
      <c r="X442" s="249">
        <f>LstMachines[[#This Row],[Delivery]]</f>
        <v>43784</v>
      </c>
      <c r="Y442" s="271" t="str">
        <f xml:space="preserve"> IF(MONTH(LstMachines[[#This Row],[DateLivr]])&lt;10,"0","") &amp; MONTH(LstMachines[[#This Row],[DateLivr]]) &amp;"-"&amp;YEAR(LstMachines[[#This Row],[DateLivr]])</f>
        <v>11-2019</v>
      </c>
      <c r="Z442" s="247">
        <f>LstMachines[[#This Row],[Delivery]]+Rglt_à_HCME</f>
        <v>43844</v>
      </c>
      <c r="AA442" s="271" t="str">
        <f xml:space="preserve"> IF(MONTH(LstMachines[[#This Row],[DatePaie]])&lt;10,"0","") &amp; MONTH(LstMachines[[#This Row],[DatePaie]])&amp;"-"&amp;YEAR(LstMachines[[#This Row],[DatePaie]])</f>
        <v>01-2020</v>
      </c>
      <c r="AB442" s="271">
        <f>LstMachines[[#This Row],[DateLivr]]+1</f>
        <v>43785</v>
      </c>
      <c r="AC442" s="271" t="str">
        <f xml:space="preserve"> IF(MONTH(LstMachines[[#This Row],[Distrib]])&lt;10,"0","") &amp; MONTH(LstMachines[[#This Row],[Distrib]]) &amp; "-" &amp; YEAR(LstMachines[[#This Row],[Distrib]])</f>
        <v>11-2019</v>
      </c>
      <c r="AD442" s="271">
        <f>LstMachines[[#This Row],[DateLivr]]+Délai_Vente</f>
        <v>43904</v>
      </c>
      <c r="AE442" s="271" t="str">
        <f xml:space="preserve"> IF(MONTH(LstMachines[[#This Row],[VteESM]])&lt;10,"0","") &amp; MONTH(LstMachines[[#This Row],[VteESM]]) &amp; "-" &amp; YEAR(LstMachines[[#This Row],[VteESM]])</f>
        <v>03-2020</v>
      </c>
      <c r="AF442" s="271">
        <f>LstMachines[[#This Row],[DateLivr]]+Rglt_à_ESMTP</f>
        <v>43844</v>
      </c>
      <c r="AG442" s="271" t="str">
        <f xml:space="preserve"> IF(MONTH(LstMachines[[#This Row],[RgltDistrib]])&lt;10,"0","") &amp; MONTH(LstMachines[[#This Row],[RgltDistrib]]) &amp; "-" &amp; YEAR(LstMachines[[#This Row],[RgltDistrib]])</f>
        <v>01-2020</v>
      </c>
      <c r="AH442" s="271">
        <f>LstMachines[[#This Row],[VteESM]]+Rglt_à_ESMTP</f>
        <v>43964</v>
      </c>
      <c r="AI442" s="271" t="str">
        <f xml:space="preserve"> IF(MONTH(LstMachines[[#This Row],[RgltVteESM]])&lt;10,"0","") &amp; MONTH(LstMachines[[#This Row],[RgltVteESM]]) &amp; "-" &amp; YEAR(LstMachines[[#This Row],[RgltVteESM]])</f>
        <v>05-2020</v>
      </c>
      <c r="AJ442" s="270">
        <f>MONTH(LstMachines[[#This Row],[DatePaie]])</f>
        <v>1</v>
      </c>
      <c r="AK442" s="247" t="str">
        <f>FIXED(YEAR(LstMachines[[#This Row],[DatePaie]]),0,TRUE)</f>
        <v>2020</v>
      </c>
      <c r="AL442" s="270"/>
      <c r="AM442" s="414"/>
    </row>
    <row r="443" spans="2:39" hidden="1">
      <c r="B443" s="243" t="s">
        <v>75</v>
      </c>
      <c r="C443" s="243" t="s">
        <v>36</v>
      </c>
      <c r="D443" s="245">
        <v>26</v>
      </c>
      <c r="E443" s="243" t="s">
        <v>355</v>
      </c>
      <c r="F443" s="89" t="s">
        <v>468</v>
      </c>
      <c r="G443" s="89" t="s">
        <v>469</v>
      </c>
      <c r="H443" s="246">
        <v>1</v>
      </c>
      <c r="I443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443" s="88">
        <v>43784</v>
      </c>
      <c r="K443" s="248" t="s">
        <v>461</v>
      </c>
      <c r="L443" s="244" t="s">
        <v>470</v>
      </c>
      <c r="M443" s="248"/>
      <c r="N443" s="249"/>
      <c r="O443" s="270">
        <f>MONTH(LstMachines[[#This Row],[Delivery]])</f>
        <v>11</v>
      </c>
      <c r="P443" s="247" t="str">
        <f>FIXED(YEAR(LstMachines[[#This Row],[Delivery]]),0,TRUE)</f>
        <v>2019</v>
      </c>
      <c r="Q443" s="250"/>
      <c r="R443" s="251"/>
      <c r="S443" s="249"/>
      <c r="T443" s="249"/>
      <c r="U443" s="249"/>
      <c r="V443" s="246"/>
      <c r="W443" s="248"/>
      <c r="X443" s="249">
        <f>LstMachines[[#This Row],[Delivery]]</f>
        <v>43784</v>
      </c>
      <c r="Y443" s="271" t="str">
        <f xml:space="preserve"> IF(MONTH(LstMachines[[#This Row],[DateLivr]])&lt;10,"0","") &amp; MONTH(LstMachines[[#This Row],[DateLivr]]) &amp;"-"&amp;YEAR(LstMachines[[#This Row],[DateLivr]])</f>
        <v>11-2019</v>
      </c>
      <c r="Z443" s="247">
        <f>LstMachines[[#This Row],[Delivery]]+Rglt_à_HCME</f>
        <v>43844</v>
      </c>
      <c r="AA443" s="271" t="str">
        <f xml:space="preserve"> IF(MONTH(LstMachines[[#This Row],[DatePaie]])&lt;10,"0","") &amp; MONTH(LstMachines[[#This Row],[DatePaie]])&amp;"-"&amp;YEAR(LstMachines[[#This Row],[DatePaie]])</f>
        <v>01-2020</v>
      </c>
      <c r="AB443" s="271">
        <f>LstMachines[[#This Row],[DateLivr]]+1</f>
        <v>43785</v>
      </c>
      <c r="AC443" s="271" t="str">
        <f xml:space="preserve"> IF(MONTH(LstMachines[[#This Row],[Distrib]])&lt;10,"0","") &amp; MONTH(LstMachines[[#This Row],[Distrib]]) &amp; "-" &amp; YEAR(LstMachines[[#This Row],[Distrib]])</f>
        <v>11-2019</v>
      </c>
      <c r="AD443" s="271">
        <f>LstMachines[[#This Row],[DateLivr]]+Délai_Vente</f>
        <v>43904</v>
      </c>
      <c r="AE443" s="271" t="str">
        <f xml:space="preserve"> IF(MONTH(LstMachines[[#This Row],[VteESM]])&lt;10,"0","") &amp; MONTH(LstMachines[[#This Row],[VteESM]]) &amp; "-" &amp; YEAR(LstMachines[[#This Row],[VteESM]])</f>
        <v>03-2020</v>
      </c>
      <c r="AF443" s="271">
        <f>LstMachines[[#This Row],[DateLivr]]+Rglt_à_ESMTP</f>
        <v>43844</v>
      </c>
      <c r="AG443" s="271" t="str">
        <f xml:space="preserve"> IF(MONTH(LstMachines[[#This Row],[RgltDistrib]])&lt;10,"0","") &amp; MONTH(LstMachines[[#This Row],[RgltDistrib]]) &amp; "-" &amp; YEAR(LstMachines[[#This Row],[RgltDistrib]])</f>
        <v>01-2020</v>
      </c>
      <c r="AH443" s="271">
        <f>LstMachines[[#This Row],[VteESM]]+Rglt_à_ESMTP</f>
        <v>43964</v>
      </c>
      <c r="AI443" s="271" t="str">
        <f xml:space="preserve"> IF(MONTH(LstMachines[[#This Row],[RgltVteESM]])&lt;10,"0","") &amp; MONTH(LstMachines[[#This Row],[RgltVteESM]]) &amp; "-" &amp; YEAR(LstMachines[[#This Row],[RgltVteESM]])</f>
        <v>05-2020</v>
      </c>
      <c r="AJ443" s="270">
        <f>MONTH(LstMachines[[#This Row],[DatePaie]])</f>
        <v>1</v>
      </c>
      <c r="AK443" s="247" t="str">
        <f>FIXED(YEAR(LstMachines[[#This Row],[DatePaie]]),0,TRUE)</f>
        <v>2020</v>
      </c>
      <c r="AL443" s="270"/>
      <c r="AM443" s="414"/>
    </row>
    <row r="444" spans="2:39" hidden="1">
      <c r="B444" s="243" t="s">
        <v>75</v>
      </c>
      <c r="C444" s="243" t="s">
        <v>38</v>
      </c>
      <c r="D444" s="245">
        <v>65</v>
      </c>
      <c r="E444" s="243" t="s">
        <v>364</v>
      </c>
      <c r="F444" s="89" t="s">
        <v>468</v>
      </c>
      <c r="G444" s="89" t="s">
        <v>469</v>
      </c>
      <c r="H444" s="246">
        <v>1</v>
      </c>
      <c r="I444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444" s="88">
        <v>43784</v>
      </c>
      <c r="K444" s="248" t="s">
        <v>461</v>
      </c>
      <c r="L444" s="244" t="s">
        <v>470</v>
      </c>
      <c r="M444" s="248"/>
      <c r="N444" s="249"/>
      <c r="O444" s="270">
        <f>MONTH(LstMachines[[#This Row],[Delivery]])</f>
        <v>11</v>
      </c>
      <c r="P444" s="247" t="str">
        <f>FIXED(YEAR(LstMachines[[#This Row],[Delivery]]),0,TRUE)</f>
        <v>2019</v>
      </c>
      <c r="Q444" s="250"/>
      <c r="R444" s="251"/>
      <c r="S444" s="249"/>
      <c r="T444" s="249"/>
      <c r="U444" s="249"/>
      <c r="V444" s="246"/>
      <c r="W444" s="248"/>
      <c r="X444" s="249">
        <f>LstMachines[[#This Row],[Delivery]]</f>
        <v>43784</v>
      </c>
      <c r="Y444" s="271" t="str">
        <f xml:space="preserve"> IF(MONTH(LstMachines[[#This Row],[DateLivr]])&lt;10,"0","") &amp; MONTH(LstMachines[[#This Row],[DateLivr]]) &amp;"-"&amp;YEAR(LstMachines[[#This Row],[DateLivr]])</f>
        <v>11-2019</v>
      </c>
      <c r="Z444" s="247">
        <f>LstMachines[[#This Row],[Delivery]]+Rglt_à_HCME</f>
        <v>43844</v>
      </c>
      <c r="AA444" s="271" t="str">
        <f xml:space="preserve"> IF(MONTH(LstMachines[[#This Row],[DatePaie]])&lt;10,"0","") &amp; MONTH(LstMachines[[#This Row],[DatePaie]])&amp;"-"&amp;YEAR(LstMachines[[#This Row],[DatePaie]])</f>
        <v>01-2020</v>
      </c>
      <c r="AB444" s="271">
        <f>LstMachines[[#This Row],[DateLivr]]+1</f>
        <v>43785</v>
      </c>
      <c r="AC444" s="271" t="str">
        <f xml:space="preserve"> IF(MONTH(LstMachines[[#This Row],[Distrib]])&lt;10,"0","") &amp; MONTH(LstMachines[[#This Row],[Distrib]]) &amp; "-" &amp; YEAR(LstMachines[[#This Row],[Distrib]])</f>
        <v>11-2019</v>
      </c>
      <c r="AD444" s="271">
        <f>LstMachines[[#This Row],[DateLivr]]+Délai_Vente</f>
        <v>43904</v>
      </c>
      <c r="AE444" s="271" t="str">
        <f xml:space="preserve"> IF(MONTH(LstMachines[[#This Row],[VteESM]])&lt;10,"0","") &amp; MONTH(LstMachines[[#This Row],[VteESM]]) &amp; "-" &amp; YEAR(LstMachines[[#This Row],[VteESM]])</f>
        <v>03-2020</v>
      </c>
      <c r="AF444" s="271">
        <f>LstMachines[[#This Row],[DateLivr]]+Rglt_à_ESMTP</f>
        <v>43844</v>
      </c>
      <c r="AG444" s="271" t="str">
        <f xml:space="preserve"> IF(MONTH(LstMachines[[#This Row],[RgltDistrib]])&lt;10,"0","") &amp; MONTH(LstMachines[[#This Row],[RgltDistrib]]) &amp; "-" &amp; YEAR(LstMachines[[#This Row],[RgltDistrib]])</f>
        <v>01-2020</v>
      </c>
      <c r="AH444" s="271">
        <f>LstMachines[[#This Row],[VteESM]]+Rglt_à_ESMTP</f>
        <v>43964</v>
      </c>
      <c r="AI444" s="271" t="str">
        <f xml:space="preserve"> IF(MONTH(LstMachines[[#This Row],[RgltVteESM]])&lt;10,"0","") &amp; MONTH(LstMachines[[#This Row],[RgltVteESM]]) &amp; "-" &amp; YEAR(LstMachines[[#This Row],[RgltVteESM]])</f>
        <v>05-2020</v>
      </c>
      <c r="AJ444" s="270">
        <f>MONTH(LstMachines[[#This Row],[DatePaie]])</f>
        <v>1</v>
      </c>
      <c r="AK444" s="247" t="str">
        <f>FIXED(YEAR(LstMachines[[#This Row],[DatePaie]]),0,TRUE)</f>
        <v>2020</v>
      </c>
      <c r="AL444" s="270"/>
      <c r="AM444" s="414"/>
    </row>
    <row r="445" spans="2:39" hidden="1">
      <c r="B445" s="243" t="s">
        <v>262</v>
      </c>
      <c r="C445" s="243" t="s">
        <v>39</v>
      </c>
      <c r="D445" s="245">
        <v>85</v>
      </c>
      <c r="E445" s="243" t="s">
        <v>356</v>
      </c>
      <c r="F445" s="89" t="s">
        <v>468</v>
      </c>
      <c r="G445" s="89" t="s">
        <v>469</v>
      </c>
      <c r="H445" s="246">
        <v>1</v>
      </c>
      <c r="I445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445" s="88">
        <v>43784</v>
      </c>
      <c r="K445" s="248" t="s">
        <v>461</v>
      </c>
      <c r="L445" s="244" t="s">
        <v>470</v>
      </c>
      <c r="M445" s="248"/>
      <c r="N445" s="249"/>
      <c r="O445" s="270">
        <f>MONTH(LstMachines[[#This Row],[Delivery]])</f>
        <v>11</v>
      </c>
      <c r="P445" s="247" t="str">
        <f>FIXED(YEAR(LstMachines[[#This Row],[Delivery]]),0,TRUE)</f>
        <v>2019</v>
      </c>
      <c r="Q445" s="250"/>
      <c r="R445" s="251"/>
      <c r="S445" s="249"/>
      <c r="T445" s="249"/>
      <c r="U445" s="249"/>
      <c r="V445" s="246"/>
      <c r="W445" s="248"/>
      <c r="X445" s="249">
        <f>LstMachines[[#This Row],[Delivery]]</f>
        <v>43784</v>
      </c>
      <c r="Y445" s="271" t="str">
        <f xml:space="preserve"> IF(MONTH(LstMachines[[#This Row],[DateLivr]])&lt;10,"0","") &amp; MONTH(LstMachines[[#This Row],[DateLivr]]) &amp;"-"&amp;YEAR(LstMachines[[#This Row],[DateLivr]])</f>
        <v>11-2019</v>
      </c>
      <c r="Z445" s="247">
        <f>LstMachines[[#This Row],[Delivery]]+Rglt_à_HCME</f>
        <v>43844</v>
      </c>
      <c r="AA445" s="271" t="str">
        <f xml:space="preserve"> IF(MONTH(LstMachines[[#This Row],[DatePaie]])&lt;10,"0","") &amp; MONTH(LstMachines[[#This Row],[DatePaie]])&amp;"-"&amp;YEAR(LstMachines[[#This Row],[DatePaie]])</f>
        <v>01-2020</v>
      </c>
      <c r="AB445" s="271">
        <f>LstMachines[[#This Row],[DateLivr]]+1</f>
        <v>43785</v>
      </c>
      <c r="AC445" s="271" t="str">
        <f xml:space="preserve"> IF(MONTH(LstMachines[[#This Row],[Distrib]])&lt;10,"0","") &amp; MONTH(LstMachines[[#This Row],[Distrib]]) &amp; "-" &amp; YEAR(LstMachines[[#This Row],[Distrib]])</f>
        <v>11-2019</v>
      </c>
      <c r="AD445" s="271">
        <f>LstMachines[[#This Row],[DateLivr]]+Délai_Vente</f>
        <v>43904</v>
      </c>
      <c r="AE445" s="271" t="str">
        <f xml:space="preserve"> IF(MONTH(LstMachines[[#This Row],[VteESM]])&lt;10,"0","") &amp; MONTH(LstMachines[[#This Row],[VteESM]]) &amp; "-" &amp; YEAR(LstMachines[[#This Row],[VteESM]])</f>
        <v>03-2020</v>
      </c>
      <c r="AF445" s="271">
        <f>LstMachines[[#This Row],[DateLivr]]+Rglt_à_ESMTP</f>
        <v>43844</v>
      </c>
      <c r="AG445" s="271" t="str">
        <f xml:space="preserve"> IF(MONTH(LstMachines[[#This Row],[RgltDistrib]])&lt;10,"0","") &amp; MONTH(LstMachines[[#This Row],[RgltDistrib]]) &amp; "-" &amp; YEAR(LstMachines[[#This Row],[RgltDistrib]])</f>
        <v>01-2020</v>
      </c>
      <c r="AH445" s="271">
        <f>LstMachines[[#This Row],[VteESM]]+Rglt_à_ESMTP</f>
        <v>43964</v>
      </c>
      <c r="AI445" s="271" t="str">
        <f xml:space="preserve"> IF(MONTH(LstMachines[[#This Row],[RgltVteESM]])&lt;10,"0","") &amp; MONTH(LstMachines[[#This Row],[RgltVteESM]]) &amp; "-" &amp; YEAR(LstMachines[[#This Row],[RgltVteESM]])</f>
        <v>05-2020</v>
      </c>
      <c r="AJ445" s="270">
        <f>MONTH(LstMachines[[#This Row],[DatePaie]])</f>
        <v>1</v>
      </c>
      <c r="AK445" s="247" t="str">
        <f>FIXED(YEAR(LstMachines[[#This Row],[DatePaie]]),0,TRUE)</f>
        <v>2020</v>
      </c>
      <c r="AL445" s="270"/>
      <c r="AM445" s="414"/>
    </row>
    <row r="446" spans="2:39" hidden="1">
      <c r="B446" s="243" t="s">
        <v>262</v>
      </c>
      <c r="C446" s="243" t="s">
        <v>43</v>
      </c>
      <c r="D446" s="245">
        <v>210</v>
      </c>
      <c r="E446" s="243" t="s">
        <v>89</v>
      </c>
      <c r="F446" s="89" t="s">
        <v>468</v>
      </c>
      <c r="G446" s="89" t="s">
        <v>469</v>
      </c>
      <c r="H446" s="246">
        <v>1</v>
      </c>
      <c r="I446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118</v>
      </c>
      <c r="J446" s="88">
        <v>43784</v>
      </c>
      <c r="K446" s="248" t="s">
        <v>461</v>
      </c>
      <c r="L446" s="244" t="s">
        <v>470</v>
      </c>
      <c r="M446" s="248"/>
      <c r="N446" s="249"/>
      <c r="O446" s="270">
        <f>MONTH(LstMachines[[#This Row],[Delivery]])</f>
        <v>11</v>
      </c>
      <c r="P446" s="247" t="str">
        <f>FIXED(YEAR(LstMachines[[#This Row],[Delivery]]),0,TRUE)</f>
        <v>2019</v>
      </c>
      <c r="Q446" s="250"/>
      <c r="R446" s="251"/>
      <c r="S446" s="249"/>
      <c r="T446" s="249"/>
      <c r="U446" s="249"/>
      <c r="V446" s="246"/>
      <c r="W446" s="248"/>
      <c r="X446" s="249">
        <f>LstMachines[[#This Row],[Delivery]]</f>
        <v>43784</v>
      </c>
      <c r="Y446" s="271" t="str">
        <f xml:space="preserve"> IF(MONTH(LstMachines[[#This Row],[DateLivr]])&lt;10,"0","") &amp; MONTH(LstMachines[[#This Row],[DateLivr]]) &amp;"-"&amp;YEAR(LstMachines[[#This Row],[DateLivr]])</f>
        <v>11-2019</v>
      </c>
      <c r="Z446" s="247">
        <f>LstMachines[[#This Row],[Delivery]]+Rglt_à_HCME</f>
        <v>43844</v>
      </c>
      <c r="AA446" s="271" t="str">
        <f xml:space="preserve"> IF(MONTH(LstMachines[[#This Row],[DatePaie]])&lt;10,"0","") &amp; MONTH(LstMachines[[#This Row],[DatePaie]])&amp;"-"&amp;YEAR(LstMachines[[#This Row],[DatePaie]])</f>
        <v>01-2020</v>
      </c>
      <c r="AB446" s="271">
        <f>LstMachines[[#This Row],[DateLivr]]+1</f>
        <v>43785</v>
      </c>
      <c r="AC446" s="271" t="str">
        <f xml:space="preserve"> IF(MONTH(LstMachines[[#This Row],[Distrib]])&lt;10,"0","") &amp; MONTH(LstMachines[[#This Row],[Distrib]]) &amp; "-" &amp; YEAR(LstMachines[[#This Row],[Distrib]])</f>
        <v>11-2019</v>
      </c>
      <c r="AD446" s="271">
        <f>LstMachines[[#This Row],[DateLivr]]+Délai_Vente</f>
        <v>43904</v>
      </c>
      <c r="AE446" s="271" t="str">
        <f xml:space="preserve"> IF(MONTH(LstMachines[[#This Row],[VteESM]])&lt;10,"0","") &amp; MONTH(LstMachines[[#This Row],[VteESM]]) &amp; "-" &amp; YEAR(LstMachines[[#This Row],[VteESM]])</f>
        <v>03-2020</v>
      </c>
      <c r="AF446" s="271">
        <f>LstMachines[[#This Row],[DateLivr]]+Rglt_à_ESMTP</f>
        <v>43844</v>
      </c>
      <c r="AG446" s="271" t="str">
        <f xml:space="preserve"> IF(MONTH(LstMachines[[#This Row],[RgltDistrib]])&lt;10,"0","") &amp; MONTH(LstMachines[[#This Row],[RgltDistrib]]) &amp; "-" &amp; YEAR(LstMachines[[#This Row],[RgltDistrib]])</f>
        <v>01-2020</v>
      </c>
      <c r="AH446" s="271">
        <f>LstMachines[[#This Row],[VteESM]]+Rglt_à_ESMTP</f>
        <v>43964</v>
      </c>
      <c r="AI446" s="271" t="str">
        <f xml:space="preserve"> IF(MONTH(LstMachines[[#This Row],[RgltVteESM]])&lt;10,"0","") &amp; MONTH(LstMachines[[#This Row],[RgltVteESM]]) &amp; "-" &amp; YEAR(LstMachines[[#This Row],[RgltVteESM]])</f>
        <v>05-2020</v>
      </c>
      <c r="AJ446" s="270">
        <f>MONTH(LstMachines[[#This Row],[DatePaie]])</f>
        <v>1</v>
      </c>
      <c r="AK446" s="247" t="str">
        <f>FIXED(YEAR(LstMachines[[#This Row],[DatePaie]]),0,TRUE)</f>
        <v>2020</v>
      </c>
      <c r="AL446" s="270"/>
      <c r="AM446" s="414"/>
    </row>
    <row r="447" spans="2:39" hidden="1">
      <c r="B447" s="243" t="s">
        <v>75</v>
      </c>
      <c r="C447" s="243" t="s">
        <v>35</v>
      </c>
      <c r="D447" s="245">
        <v>19</v>
      </c>
      <c r="E447" s="243" t="s">
        <v>76</v>
      </c>
      <c r="F447" s="89" t="s">
        <v>468</v>
      </c>
      <c r="G447" s="89" t="s">
        <v>469</v>
      </c>
      <c r="H447" s="246">
        <v>1</v>
      </c>
      <c r="I447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447" s="88">
        <v>43814</v>
      </c>
      <c r="K447" s="248" t="s">
        <v>461</v>
      </c>
      <c r="L447" s="244" t="s">
        <v>470</v>
      </c>
      <c r="M447" s="248"/>
      <c r="N447" s="249"/>
      <c r="O447" s="270">
        <f>MONTH(LstMachines[[#This Row],[Delivery]])</f>
        <v>12</v>
      </c>
      <c r="P447" s="247" t="str">
        <f>FIXED(YEAR(LstMachines[[#This Row],[Delivery]]),0,TRUE)</f>
        <v>2019</v>
      </c>
      <c r="Q447" s="250"/>
      <c r="R447" s="251"/>
      <c r="S447" s="249"/>
      <c r="T447" s="249"/>
      <c r="U447" s="249"/>
      <c r="V447" s="246"/>
      <c r="W447" s="248"/>
      <c r="X447" s="249">
        <f>LstMachines[[#This Row],[Delivery]]</f>
        <v>43814</v>
      </c>
      <c r="Y447" s="271" t="str">
        <f xml:space="preserve"> IF(MONTH(LstMachines[[#This Row],[DateLivr]])&lt;10,"0","") &amp; MONTH(LstMachines[[#This Row],[DateLivr]]) &amp;"-"&amp;YEAR(LstMachines[[#This Row],[DateLivr]])</f>
        <v>12-2019</v>
      </c>
      <c r="Z447" s="247">
        <f>LstMachines[[#This Row],[Delivery]]+Rglt_à_HCME</f>
        <v>43874</v>
      </c>
      <c r="AA447" s="271" t="str">
        <f xml:space="preserve"> IF(MONTH(LstMachines[[#This Row],[DatePaie]])&lt;10,"0","") &amp; MONTH(LstMachines[[#This Row],[DatePaie]])&amp;"-"&amp;YEAR(LstMachines[[#This Row],[DatePaie]])</f>
        <v>02-2020</v>
      </c>
      <c r="AB447" s="271">
        <f>LstMachines[[#This Row],[DateLivr]]+1</f>
        <v>43815</v>
      </c>
      <c r="AC447" s="271" t="str">
        <f xml:space="preserve"> IF(MONTH(LstMachines[[#This Row],[Distrib]])&lt;10,"0","") &amp; MONTH(LstMachines[[#This Row],[Distrib]]) &amp; "-" &amp; YEAR(LstMachines[[#This Row],[Distrib]])</f>
        <v>12-2019</v>
      </c>
      <c r="AD447" s="271">
        <f>LstMachines[[#This Row],[DateLivr]]+Délai_Vente</f>
        <v>43934</v>
      </c>
      <c r="AE447" s="271" t="str">
        <f xml:space="preserve"> IF(MONTH(LstMachines[[#This Row],[VteESM]])&lt;10,"0","") &amp; MONTH(LstMachines[[#This Row],[VteESM]]) &amp; "-" &amp; YEAR(LstMachines[[#This Row],[VteESM]])</f>
        <v>04-2020</v>
      </c>
      <c r="AF447" s="271">
        <f>LstMachines[[#This Row],[DateLivr]]+Rglt_à_ESMTP</f>
        <v>43874</v>
      </c>
      <c r="AG447" s="271" t="str">
        <f xml:space="preserve"> IF(MONTH(LstMachines[[#This Row],[RgltDistrib]])&lt;10,"0","") &amp; MONTH(LstMachines[[#This Row],[RgltDistrib]]) &amp; "-" &amp; YEAR(LstMachines[[#This Row],[RgltDistrib]])</f>
        <v>02-2020</v>
      </c>
      <c r="AH447" s="271">
        <f>LstMachines[[#This Row],[VteESM]]+Rglt_à_ESMTP</f>
        <v>43994</v>
      </c>
      <c r="AI447" s="271" t="str">
        <f xml:space="preserve"> IF(MONTH(LstMachines[[#This Row],[RgltVteESM]])&lt;10,"0","") &amp; MONTH(LstMachines[[#This Row],[RgltVteESM]]) &amp; "-" &amp; YEAR(LstMachines[[#This Row],[RgltVteESM]])</f>
        <v>06-2020</v>
      </c>
      <c r="AJ447" s="270">
        <f>MONTH(LstMachines[[#This Row],[DatePaie]])</f>
        <v>2</v>
      </c>
      <c r="AK447" s="247" t="str">
        <f>FIXED(YEAR(LstMachines[[#This Row],[DatePaie]]),0,TRUE)</f>
        <v>2020</v>
      </c>
      <c r="AL447" s="270"/>
      <c r="AM447" s="414"/>
    </row>
    <row r="448" spans="2:39" hidden="1">
      <c r="B448" s="243" t="s">
        <v>75</v>
      </c>
      <c r="C448" s="243" t="s">
        <v>36</v>
      </c>
      <c r="D448" s="245">
        <v>26</v>
      </c>
      <c r="E448" s="243" t="s">
        <v>355</v>
      </c>
      <c r="F448" s="89" t="s">
        <v>468</v>
      </c>
      <c r="G448" s="89" t="s">
        <v>469</v>
      </c>
      <c r="H448" s="246">
        <v>1</v>
      </c>
      <c r="I448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448" s="88">
        <v>43814</v>
      </c>
      <c r="K448" s="248" t="s">
        <v>461</v>
      </c>
      <c r="L448" s="244" t="s">
        <v>470</v>
      </c>
      <c r="M448" s="248"/>
      <c r="N448" s="249"/>
      <c r="O448" s="270">
        <f>MONTH(LstMachines[[#This Row],[Delivery]])</f>
        <v>12</v>
      </c>
      <c r="P448" s="247" t="str">
        <f>FIXED(YEAR(LstMachines[[#This Row],[Delivery]]),0,TRUE)</f>
        <v>2019</v>
      </c>
      <c r="Q448" s="250"/>
      <c r="R448" s="251"/>
      <c r="S448" s="249"/>
      <c r="T448" s="249"/>
      <c r="U448" s="249"/>
      <c r="V448" s="246"/>
      <c r="W448" s="248"/>
      <c r="X448" s="249">
        <f>LstMachines[[#This Row],[Delivery]]</f>
        <v>43814</v>
      </c>
      <c r="Y448" s="271" t="str">
        <f xml:space="preserve"> IF(MONTH(LstMachines[[#This Row],[DateLivr]])&lt;10,"0","") &amp; MONTH(LstMachines[[#This Row],[DateLivr]]) &amp;"-"&amp;YEAR(LstMachines[[#This Row],[DateLivr]])</f>
        <v>12-2019</v>
      </c>
      <c r="Z448" s="247">
        <f>LstMachines[[#This Row],[Delivery]]+Rglt_à_HCME</f>
        <v>43874</v>
      </c>
      <c r="AA448" s="271" t="str">
        <f xml:space="preserve"> IF(MONTH(LstMachines[[#This Row],[DatePaie]])&lt;10,"0","") &amp; MONTH(LstMachines[[#This Row],[DatePaie]])&amp;"-"&amp;YEAR(LstMachines[[#This Row],[DatePaie]])</f>
        <v>02-2020</v>
      </c>
      <c r="AB448" s="271">
        <f>LstMachines[[#This Row],[DateLivr]]+1</f>
        <v>43815</v>
      </c>
      <c r="AC448" s="271" t="str">
        <f xml:space="preserve"> IF(MONTH(LstMachines[[#This Row],[Distrib]])&lt;10,"0","") &amp; MONTH(LstMachines[[#This Row],[Distrib]]) &amp; "-" &amp; YEAR(LstMachines[[#This Row],[Distrib]])</f>
        <v>12-2019</v>
      </c>
      <c r="AD448" s="271">
        <f>LstMachines[[#This Row],[DateLivr]]+Délai_Vente</f>
        <v>43934</v>
      </c>
      <c r="AE448" s="271" t="str">
        <f xml:space="preserve"> IF(MONTH(LstMachines[[#This Row],[VteESM]])&lt;10,"0","") &amp; MONTH(LstMachines[[#This Row],[VteESM]]) &amp; "-" &amp; YEAR(LstMachines[[#This Row],[VteESM]])</f>
        <v>04-2020</v>
      </c>
      <c r="AF448" s="271">
        <f>LstMachines[[#This Row],[DateLivr]]+Rglt_à_ESMTP</f>
        <v>43874</v>
      </c>
      <c r="AG448" s="271" t="str">
        <f xml:space="preserve"> IF(MONTH(LstMachines[[#This Row],[RgltDistrib]])&lt;10,"0","") &amp; MONTH(LstMachines[[#This Row],[RgltDistrib]]) &amp; "-" &amp; YEAR(LstMachines[[#This Row],[RgltDistrib]])</f>
        <v>02-2020</v>
      </c>
      <c r="AH448" s="271">
        <f>LstMachines[[#This Row],[VteESM]]+Rglt_à_ESMTP</f>
        <v>43994</v>
      </c>
      <c r="AI448" s="271" t="str">
        <f xml:space="preserve"> IF(MONTH(LstMachines[[#This Row],[RgltVteESM]])&lt;10,"0","") &amp; MONTH(LstMachines[[#This Row],[RgltVteESM]]) &amp; "-" &amp; YEAR(LstMachines[[#This Row],[RgltVteESM]])</f>
        <v>06-2020</v>
      </c>
      <c r="AJ448" s="270">
        <f>MONTH(LstMachines[[#This Row],[DatePaie]])</f>
        <v>2</v>
      </c>
      <c r="AK448" s="247" t="str">
        <f>FIXED(YEAR(LstMachines[[#This Row],[DatePaie]]),0,TRUE)</f>
        <v>2020</v>
      </c>
      <c r="AL448" s="270"/>
      <c r="AM448" s="414"/>
    </row>
    <row r="449" spans="2:39" hidden="1">
      <c r="B449" s="243" t="s">
        <v>262</v>
      </c>
      <c r="C449" s="243" t="s">
        <v>39</v>
      </c>
      <c r="D449" s="245">
        <v>85</v>
      </c>
      <c r="E449" s="243" t="s">
        <v>356</v>
      </c>
      <c r="F449" s="89" t="s">
        <v>468</v>
      </c>
      <c r="G449" s="89" t="s">
        <v>469</v>
      </c>
      <c r="H449" s="246">
        <v>1</v>
      </c>
      <c r="I449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449" s="88">
        <v>43814</v>
      </c>
      <c r="K449" s="248" t="s">
        <v>461</v>
      </c>
      <c r="L449" s="244" t="s">
        <v>470</v>
      </c>
      <c r="M449" s="248"/>
      <c r="N449" s="249"/>
      <c r="O449" s="270">
        <f>MONTH(LstMachines[[#This Row],[Delivery]])</f>
        <v>12</v>
      </c>
      <c r="P449" s="247" t="str">
        <f>FIXED(YEAR(LstMachines[[#This Row],[Delivery]]),0,TRUE)</f>
        <v>2019</v>
      </c>
      <c r="Q449" s="250"/>
      <c r="R449" s="251"/>
      <c r="S449" s="249"/>
      <c r="T449" s="249"/>
      <c r="U449" s="249"/>
      <c r="V449" s="246"/>
      <c r="W449" s="248"/>
      <c r="X449" s="249">
        <f>LstMachines[[#This Row],[Delivery]]</f>
        <v>43814</v>
      </c>
      <c r="Y449" s="271" t="str">
        <f xml:space="preserve"> IF(MONTH(LstMachines[[#This Row],[DateLivr]])&lt;10,"0","") &amp; MONTH(LstMachines[[#This Row],[DateLivr]]) &amp;"-"&amp;YEAR(LstMachines[[#This Row],[DateLivr]])</f>
        <v>12-2019</v>
      </c>
      <c r="Z449" s="247">
        <f>LstMachines[[#This Row],[Delivery]]+Rglt_à_HCME</f>
        <v>43874</v>
      </c>
      <c r="AA449" s="271" t="str">
        <f xml:space="preserve"> IF(MONTH(LstMachines[[#This Row],[DatePaie]])&lt;10,"0","") &amp; MONTH(LstMachines[[#This Row],[DatePaie]])&amp;"-"&amp;YEAR(LstMachines[[#This Row],[DatePaie]])</f>
        <v>02-2020</v>
      </c>
      <c r="AB449" s="271">
        <f>LstMachines[[#This Row],[DateLivr]]+1</f>
        <v>43815</v>
      </c>
      <c r="AC449" s="271" t="str">
        <f xml:space="preserve"> IF(MONTH(LstMachines[[#This Row],[Distrib]])&lt;10,"0","") &amp; MONTH(LstMachines[[#This Row],[Distrib]]) &amp; "-" &amp; YEAR(LstMachines[[#This Row],[Distrib]])</f>
        <v>12-2019</v>
      </c>
      <c r="AD449" s="271">
        <f>LstMachines[[#This Row],[DateLivr]]+Délai_Vente</f>
        <v>43934</v>
      </c>
      <c r="AE449" s="271" t="str">
        <f xml:space="preserve"> IF(MONTH(LstMachines[[#This Row],[VteESM]])&lt;10,"0","") &amp; MONTH(LstMachines[[#This Row],[VteESM]]) &amp; "-" &amp; YEAR(LstMachines[[#This Row],[VteESM]])</f>
        <v>04-2020</v>
      </c>
      <c r="AF449" s="271">
        <f>LstMachines[[#This Row],[DateLivr]]+Rglt_à_ESMTP</f>
        <v>43874</v>
      </c>
      <c r="AG449" s="271" t="str">
        <f xml:space="preserve"> IF(MONTH(LstMachines[[#This Row],[RgltDistrib]])&lt;10,"0","") &amp; MONTH(LstMachines[[#This Row],[RgltDistrib]]) &amp; "-" &amp; YEAR(LstMachines[[#This Row],[RgltDistrib]])</f>
        <v>02-2020</v>
      </c>
      <c r="AH449" s="271">
        <f>LstMachines[[#This Row],[VteESM]]+Rglt_à_ESMTP</f>
        <v>43994</v>
      </c>
      <c r="AI449" s="271" t="str">
        <f xml:space="preserve"> IF(MONTH(LstMachines[[#This Row],[RgltVteESM]])&lt;10,"0","") &amp; MONTH(LstMachines[[#This Row],[RgltVteESM]]) &amp; "-" &amp; YEAR(LstMachines[[#This Row],[RgltVteESM]])</f>
        <v>06-2020</v>
      </c>
      <c r="AJ449" s="270">
        <f>MONTH(LstMachines[[#This Row],[DatePaie]])</f>
        <v>2</v>
      </c>
      <c r="AK449" s="247" t="str">
        <f>FIXED(YEAR(LstMachines[[#This Row],[DatePaie]]),0,TRUE)</f>
        <v>2020</v>
      </c>
      <c r="AL449" s="270"/>
      <c r="AM449" s="414"/>
    </row>
    <row r="450" spans="2:39" hidden="1">
      <c r="B450" s="243" t="s">
        <v>262</v>
      </c>
      <c r="C450" s="243" t="s">
        <v>39</v>
      </c>
      <c r="D450" s="245">
        <v>85</v>
      </c>
      <c r="E450" s="243" t="s">
        <v>356</v>
      </c>
      <c r="F450" s="89" t="s">
        <v>468</v>
      </c>
      <c r="G450" s="89" t="s">
        <v>469</v>
      </c>
      <c r="H450" s="246">
        <v>1</v>
      </c>
      <c r="I450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450" s="88">
        <v>43814</v>
      </c>
      <c r="K450" s="248" t="s">
        <v>461</v>
      </c>
      <c r="L450" s="244" t="s">
        <v>470</v>
      </c>
      <c r="M450" s="248"/>
      <c r="N450" s="249"/>
      <c r="O450" s="270">
        <f>MONTH(LstMachines[[#This Row],[Delivery]])</f>
        <v>12</v>
      </c>
      <c r="P450" s="247" t="str">
        <f>FIXED(YEAR(LstMachines[[#This Row],[Delivery]]),0,TRUE)</f>
        <v>2019</v>
      </c>
      <c r="Q450" s="250"/>
      <c r="R450" s="251"/>
      <c r="S450" s="249"/>
      <c r="T450" s="249"/>
      <c r="U450" s="249"/>
      <c r="V450" s="246"/>
      <c r="W450" s="248"/>
      <c r="X450" s="249">
        <f>LstMachines[[#This Row],[Delivery]]</f>
        <v>43814</v>
      </c>
      <c r="Y450" s="271" t="str">
        <f xml:space="preserve"> IF(MONTH(LstMachines[[#This Row],[DateLivr]])&lt;10,"0","") &amp; MONTH(LstMachines[[#This Row],[DateLivr]]) &amp;"-"&amp;YEAR(LstMachines[[#This Row],[DateLivr]])</f>
        <v>12-2019</v>
      </c>
      <c r="Z450" s="247">
        <f>LstMachines[[#This Row],[Delivery]]+Rglt_à_HCME</f>
        <v>43874</v>
      </c>
      <c r="AA450" s="271" t="str">
        <f xml:space="preserve"> IF(MONTH(LstMachines[[#This Row],[DatePaie]])&lt;10,"0","") &amp; MONTH(LstMachines[[#This Row],[DatePaie]])&amp;"-"&amp;YEAR(LstMachines[[#This Row],[DatePaie]])</f>
        <v>02-2020</v>
      </c>
      <c r="AB450" s="271">
        <f>LstMachines[[#This Row],[DateLivr]]+1</f>
        <v>43815</v>
      </c>
      <c r="AC450" s="271" t="str">
        <f xml:space="preserve"> IF(MONTH(LstMachines[[#This Row],[Distrib]])&lt;10,"0","") &amp; MONTH(LstMachines[[#This Row],[Distrib]]) &amp; "-" &amp; YEAR(LstMachines[[#This Row],[Distrib]])</f>
        <v>12-2019</v>
      </c>
      <c r="AD450" s="271">
        <f>LstMachines[[#This Row],[DateLivr]]+Délai_Vente</f>
        <v>43934</v>
      </c>
      <c r="AE450" s="271" t="str">
        <f xml:space="preserve"> IF(MONTH(LstMachines[[#This Row],[VteESM]])&lt;10,"0","") &amp; MONTH(LstMachines[[#This Row],[VteESM]]) &amp; "-" &amp; YEAR(LstMachines[[#This Row],[VteESM]])</f>
        <v>04-2020</v>
      </c>
      <c r="AF450" s="271">
        <f>LstMachines[[#This Row],[DateLivr]]+Rglt_à_ESMTP</f>
        <v>43874</v>
      </c>
      <c r="AG450" s="271" t="str">
        <f xml:space="preserve"> IF(MONTH(LstMachines[[#This Row],[RgltDistrib]])&lt;10,"0","") &amp; MONTH(LstMachines[[#This Row],[RgltDistrib]]) &amp; "-" &amp; YEAR(LstMachines[[#This Row],[RgltDistrib]])</f>
        <v>02-2020</v>
      </c>
      <c r="AH450" s="271">
        <f>LstMachines[[#This Row],[VteESM]]+Rglt_à_ESMTP</f>
        <v>43994</v>
      </c>
      <c r="AI450" s="271" t="str">
        <f xml:space="preserve"> IF(MONTH(LstMachines[[#This Row],[RgltVteESM]])&lt;10,"0","") &amp; MONTH(LstMachines[[#This Row],[RgltVteESM]]) &amp; "-" &amp; YEAR(LstMachines[[#This Row],[RgltVteESM]])</f>
        <v>06-2020</v>
      </c>
      <c r="AJ450" s="270">
        <f>MONTH(LstMachines[[#This Row],[DatePaie]])</f>
        <v>2</v>
      </c>
      <c r="AK450" s="247" t="str">
        <f>FIXED(YEAR(LstMachines[[#This Row],[DatePaie]]),0,TRUE)</f>
        <v>2020</v>
      </c>
      <c r="AL450" s="270"/>
      <c r="AM450" s="414"/>
    </row>
    <row r="451" spans="2:39" hidden="1">
      <c r="B451" s="243" t="s">
        <v>262</v>
      </c>
      <c r="C451" s="243" t="s">
        <v>40</v>
      </c>
      <c r="D451" s="245">
        <v>135</v>
      </c>
      <c r="E451" s="243" t="s">
        <v>87</v>
      </c>
      <c r="F451" s="89" t="s">
        <v>468</v>
      </c>
      <c r="G451" s="89" t="s">
        <v>469</v>
      </c>
      <c r="H451" s="246">
        <v>1</v>
      </c>
      <c r="I451" s="246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451" s="88">
        <v>43814</v>
      </c>
      <c r="K451" s="248" t="s">
        <v>461</v>
      </c>
      <c r="L451" s="244" t="s">
        <v>470</v>
      </c>
      <c r="M451" s="248"/>
      <c r="N451" s="249"/>
      <c r="O451" s="270">
        <f>MONTH(LstMachines[[#This Row],[Delivery]])</f>
        <v>12</v>
      </c>
      <c r="P451" s="247" t="str">
        <f>FIXED(YEAR(LstMachines[[#This Row],[Delivery]]),0,TRUE)</f>
        <v>2019</v>
      </c>
      <c r="Q451" s="250"/>
      <c r="R451" s="251"/>
      <c r="S451" s="249"/>
      <c r="T451" s="249"/>
      <c r="U451" s="249"/>
      <c r="V451" s="246"/>
      <c r="W451" s="248"/>
      <c r="X451" s="249">
        <f>LstMachines[[#This Row],[Delivery]]</f>
        <v>43814</v>
      </c>
      <c r="Y451" s="271" t="str">
        <f xml:space="preserve"> IF(MONTH(LstMachines[[#This Row],[DateLivr]])&lt;10,"0","") &amp; MONTH(LstMachines[[#This Row],[DateLivr]]) &amp;"-"&amp;YEAR(LstMachines[[#This Row],[DateLivr]])</f>
        <v>12-2019</v>
      </c>
      <c r="Z451" s="247">
        <f>LstMachines[[#This Row],[Delivery]]+Rglt_à_HCME</f>
        <v>43874</v>
      </c>
      <c r="AA451" s="271" t="str">
        <f xml:space="preserve"> IF(MONTH(LstMachines[[#This Row],[DatePaie]])&lt;10,"0","") &amp; MONTH(LstMachines[[#This Row],[DatePaie]])&amp;"-"&amp;YEAR(LstMachines[[#This Row],[DatePaie]])</f>
        <v>02-2020</v>
      </c>
      <c r="AB451" s="271">
        <f>LstMachines[[#This Row],[DateLivr]]+1</f>
        <v>43815</v>
      </c>
      <c r="AC451" s="271" t="str">
        <f xml:space="preserve"> IF(MONTH(LstMachines[[#This Row],[Distrib]])&lt;10,"0","") &amp; MONTH(LstMachines[[#This Row],[Distrib]]) &amp; "-" &amp; YEAR(LstMachines[[#This Row],[Distrib]])</f>
        <v>12-2019</v>
      </c>
      <c r="AD451" s="271">
        <f>LstMachines[[#This Row],[DateLivr]]+Délai_Vente</f>
        <v>43934</v>
      </c>
      <c r="AE451" s="271" t="str">
        <f xml:space="preserve"> IF(MONTH(LstMachines[[#This Row],[VteESM]])&lt;10,"0","") &amp; MONTH(LstMachines[[#This Row],[VteESM]]) &amp; "-" &amp; YEAR(LstMachines[[#This Row],[VteESM]])</f>
        <v>04-2020</v>
      </c>
      <c r="AF451" s="271">
        <f>LstMachines[[#This Row],[DateLivr]]+Rglt_à_ESMTP</f>
        <v>43874</v>
      </c>
      <c r="AG451" s="271" t="str">
        <f xml:space="preserve"> IF(MONTH(LstMachines[[#This Row],[RgltDistrib]])&lt;10,"0","") &amp; MONTH(LstMachines[[#This Row],[RgltDistrib]]) &amp; "-" &amp; YEAR(LstMachines[[#This Row],[RgltDistrib]])</f>
        <v>02-2020</v>
      </c>
      <c r="AH451" s="271">
        <f>LstMachines[[#This Row],[VteESM]]+Rglt_à_ESMTP</f>
        <v>43994</v>
      </c>
      <c r="AI451" s="271" t="str">
        <f xml:space="preserve"> IF(MONTH(LstMachines[[#This Row],[RgltVteESM]])&lt;10,"0","") &amp; MONTH(LstMachines[[#This Row],[RgltVteESM]]) &amp; "-" &amp; YEAR(LstMachines[[#This Row],[RgltVteESM]])</f>
        <v>06-2020</v>
      </c>
      <c r="AJ451" s="270">
        <f>MONTH(LstMachines[[#This Row],[DatePaie]])</f>
        <v>2</v>
      </c>
      <c r="AK451" s="247" t="str">
        <f>FIXED(YEAR(LstMachines[[#This Row],[DatePaie]]),0,TRUE)</f>
        <v>2020</v>
      </c>
      <c r="AL451" s="270"/>
      <c r="AM451" s="414"/>
    </row>
    <row r="452" spans="2:39" hidden="1">
      <c r="B452" s="194" t="s">
        <v>75</v>
      </c>
      <c r="C452" s="194" t="s">
        <v>35</v>
      </c>
      <c r="D452" s="195">
        <v>19</v>
      </c>
      <c r="E452" s="194" t="s">
        <v>76</v>
      </c>
      <c r="F452" s="204" t="s">
        <v>468</v>
      </c>
      <c r="G452" s="89" t="s">
        <v>469</v>
      </c>
      <c r="H452" s="193">
        <v>1</v>
      </c>
      <c r="I452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452" s="88">
        <v>43935</v>
      </c>
      <c r="K452" s="139" t="s">
        <v>461</v>
      </c>
      <c r="L452" s="198" t="s">
        <v>470</v>
      </c>
      <c r="M452" s="139"/>
      <c r="N452" s="197"/>
      <c r="O452" s="316">
        <f>MONTH(LstMachines[[#This Row],[Delivery]])</f>
        <v>4</v>
      </c>
      <c r="P452" s="196" t="str">
        <f>FIXED(YEAR(LstMachines[[#This Row],[Delivery]]),0,TRUE)</f>
        <v>2020</v>
      </c>
      <c r="Q452" s="205"/>
      <c r="R452" s="241"/>
      <c r="S452" s="197"/>
      <c r="T452" s="197"/>
      <c r="U452" s="197"/>
      <c r="V452" s="193"/>
      <c r="W452" s="139"/>
      <c r="X452" s="197">
        <f>LstMachines[[#This Row],[Delivery]]</f>
        <v>43935</v>
      </c>
      <c r="Y452" s="317" t="str">
        <f xml:space="preserve"> IF(MONTH(LstMachines[[#This Row],[DateLivr]])&lt;10,"0","") &amp; MONTH(LstMachines[[#This Row],[DateLivr]]) &amp;"-"&amp;YEAR(LstMachines[[#This Row],[DateLivr]])</f>
        <v>04-2020</v>
      </c>
      <c r="Z452" s="196">
        <f>LstMachines[[#This Row],[Delivery]]+Rglt_à_HCME</f>
        <v>43995</v>
      </c>
      <c r="AA452" s="317" t="str">
        <f xml:space="preserve"> IF(MONTH(LstMachines[[#This Row],[DatePaie]])&lt;10,"0","") &amp; MONTH(LstMachines[[#This Row],[DatePaie]])&amp;"-"&amp;YEAR(LstMachines[[#This Row],[DatePaie]])</f>
        <v>06-2020</v>
      </c>
      <c r="AB452" s="317">
        <f>LstMachines[[#This Row],[DateLivr]]+1</f>
        <v>43936</v>
      </c>
      <c r="AC452" s="317" t="str">
        <f xml:space="preserve"> IF(MONTH(LstMachines[[#This Row],[Distrib]])&lt;10,"0","") &amp; MONTH(LstMachines[[#This Row],[Distrib]]) &amp; "-" &amp; YEAR(LstMachines[[#This Row],[Distrib]])</f>
        <v>04-2020</v>
      </c>
      <c r="AD452" s="317">
        <f>LstMachines[[#This Row],[DateLivr]]+Délai_Vente</f>
        <v>44055</v>
      </c>
      <c r="AE452" s="317" t="str">
        <f xml:space="preserve"> IF(MONTH(LstMachines[[#This Row],[VteESM]])&lt;10,"0","") &amp; MONTH(LstMachines[[#This Row],[VteESM]]) &amp; "-" &amp; YEAR(LstMachines[[#This Row],[VteESM]])</f>
        <v>08-2020</v>
      </c>
      <c r="AF452" s="317">
        <f>LstMachines[[#This Row],[DateLivr]]+Rglt_à_ESMTP</f>
        <v>43995</v>
      </c>
      <c r="AG452" s="317" t="str">
        <f xml:space="preserve"> IF(MONTH(LstMachines[[#This Row],[RgltDistrib]])&lt;10,"0","") &amp; MONTH(LstMachines[[#This Row],[RgltDistrib]]) &amp; "-" &amp; YEAR(LstMachines[[#This Row],[RgltDistrib]])</f>
        <v>06-2020</v>
      </c>
      <c r="AH452" s="317">
        <f>LstMachines[[#This Row],[VteESM]]+Rglt_à_ESMTP</f>
        <v>44115</v>
      </c>
      <c r="AI452" s="317" t="str">
        <f xml:space="preserve"> IF(MONTH(LstMachines[[#This Row],[RgltVteESM]])&lt;10,"0","") &amp; MONTH(LstMachines[[#This Row],[RgltVteESM]]) &amp; "-" &amp; YEAR(LstMachines[[#This Row],[RgltVteESM]])</f>
        <v>10-2020</v>
      </c>
      <c r="AJ452" s="316">
        <f>MONTH(LstMachines[[#This Row],[DatePaie]])</f>
        <v>6</v>
      </c>
      <c r="AK452" s="196" t="str">
        <f>FIXED(YEAR(LstMachines[[#This Row],[DatePaie]]),0,TRUE)</f>
        <v>2020</v>
      </c>
      <c r="AL452" s="316"/>
      <c r="AM452" s="414"/>
    </row>
    <row r="453" spans="2:39" hidden="1">
      <c r="B453" s="194" t="s">
        <v>75</v>
      </c>
      <c r="C453" s="194" t="s">
        <v>35</v>
      </c>
      <c r="D453" s="195">
        <v>19</v>
      </c>
      <c r="E453" s="194" t="s">
        <v>76</v>
      </c>
      <c r="F453" s="204" t="s">
        <v>468</v>
      </c>
      <c r="G453" s="89" t="s">
        <v>469</v>
      </c>
      <c r="H453" s="193">
        <v>1</v>
      </c>
      <c r="I453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453" s="88">
        <v>43935</v>
      </c>
      <c r="K453" s="139" t="s">
        <v>461</v>
      </c>
      <c r="L453" s="198" t="s">
        <v>470</v>
      </c>
      <c r="M453" s="139"/>
      <c r="N453" s="197"/>
      <c r="O453" s="316">
        <f>MONTH(LstMachines[[#This Row],[Delivery]])</f>
        <v>4</v>
      </c>
      <c r="P453" s="196" t="str">
        <f>FIXED(YEAR(LstMachines[[#This Row],[Delivery]]),0,TRUE)</f>
        <v>2020</v>
      </c>
      <c r="Q453" s="205"/>
      <c r="R453" s="241"/>
      <c r="S453" s="197"/>
      <c r="T453" s="197"/>
      <c r="U453" s="197"/>
      <c r="V453" s="193"/>
      <c r="W453" s="139"/>
      <c r="X453" s="197">
        <f>LstMachines[[#This Row],[Delivery]]</f>
        <v>43935</v>
      </c>
      <c r="Y453" s="317" t="str">
        <f xml:space="preserve"> IF(MONTH(LstMachines[[#This Row],[DateLivr]])&lt;10,"0","") &amp; MONTH(LstMachines[[#This Row],[DateLivr]]) &amp;"-"&amp;YEAR(LstMachines[[#This Row],[DateLivr]])</f>
        <v>04-2020</v>
      </c>
      <c r="Z453" s="196">
        <f>LstMachines[[#This Row],[Delivery]]+Rglt_à_HCME</f>
        <v>43995</v>
      </c>
      <c r="AA453" s="317" t="str">
        <f xml:space="preserve"> IF(MONTH(LstMachines[[#This Row],[DatePaie]])&lt;10,"0","") &amp; MONTH(LstMachines[[#This Row],[DatePaie]])&amp;"-"&amp;YEAR(LstMachines[[#This Row],[DatePaie]])</f>
        <v>06-2020</v>
      </c>
      <c r="AB453" s="317">
        <f>LstMachines[[#This Row],[DateLivr]]+1</f>
        <v>43936</v>
      </c>
      <c r="AC453" s="317" t="str">
        <f xml:space="preserve"> IF(MONTH(LstMachines[[#This Row],[Distrib]])&lt;10,"0","") &amp; MONTH(LstMachines[[#This Row],[Distrib]]) &amp; "-" &amp; YEAR(LstMachines[[#This Row],[Distrib]])</f>
        <v>04-2020</v>
      </c>
      <c r="AD453" s="317">
        <f>LstMachines[[#This Row],[DateLivr]]+Délai_Vente</f>
        <v>44055</v>
      </c>
      <c r="AE453" s="317" t="str">
        <f xml:space="preserve"> IF(MONTH(LstMachines[[#This Row],[VteESM]])&lt;10,"0","") &amp; MONTH(LstMachines[[#This Row],[VteESM]]) &amp; "-" &amp; YEAR(LstMachines[[#This Row],[VteESM]])</f>
        <v>08-2020</v>
      </c>
      <c r="AF453" s="317">
        <f>LstMachines[[#This Row],[DateLivr]]+Rglt_à_ESMTP</f>
        <v>43995</v>
      </c>
      <c r="AG453" s="317" t="str">
        <f xml:space="preserve"> IF(MONTH(LstMachines[[#This Row],[RgltDistrib]])&lt;10,"0","") &amp; MONTH(LstMachines[[#This Row],[RgltDistrib]]) &amp; "-" &amp; YEAR(LstMachines[[#This Row],[RgltDistrib]])</f>
        <v>06-2020</v>
      </c>
      <c r="AH453" s="317">
        <f>LstMachines[[#This Row],[VteESM]]+Rglt_à_ESMTP</f>
        <v>44115</v>
      </c>
      <c r="AI453" s="317" t="str">
        <f xml:space="preserve"> IF(MONTH(LstMachines[[#This Row],[RgltVteESM]])&lt;10,"0","") &amp; MONTH(LstMachines[[#This Row],[RgltVteESM]]) &amp; "-" &amp; YEAR(LstMachines[[#This Row],[RgltVteESM]])</f>
        <v>10-2020</v>
      </c>
      <c r="AJ453" s="316">
        <f>MONTH(LstMachines[[#This Row],[DatePaie]])</f>
        <v>6</v>
      </c>
      <c r="AK453" s="196" t="str">
        <f>FIXED(YEAR(LstMachines[[#This Row],[DatePaie]]),0,TRUE)</f>
        <v>2020</v>
      </c>
      <c r="AL453" s="316"/>
      <c r="AM453" s="414"/>
    </row>
    <row r="454" spans="2:39" hidden="1">
      <c r="B454" s="194" t="s">
        <v>262</v>
      </c>
      <c r="C454" s="194" t="s">
        <v>40</v>
      </c>
      <c r="D454" s="195">
        <v>135</v>
      </c>
      <c r="E454" s="194" t="s">
        <v>87</v>
      </c>
      <c r="F454" s="204" t="s">
        <v>468</v>
      </c>
      <c r="G454" s="204" t="s">
        <v>469</v>
      </c>
      <c r="H454" s="193">
        <v>1</v>
      </c>
      <c r="I454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454" s="88">
        <v>43935</v>
      </c>
      <c r="K454" s="139" t="s">
        <v>461</v>
      </c>
      <c r="L454" s="198" t="s">
        <v>470</v>
      </c>
      <c r="M454" s="139"/>
      <c r="N454" s="197"/>
      <c r="O454" s="316">
        <f>MONTH(LstMachines[[#This Row],[Delivery]])</f>
        <v>4</v>
      </c>
      <c r="P454" s="196" t="str">
        <f>FIXED(YEAR(LstMachines[[#This Row],[Delivery]]),0,TRUE)</f>
        <v>2020</v>
      </c>
      <c r="Q454" s="205"/>
      <c r="R454" s="241"/>
      <c r="S454" s="197"/>
      <c r="T454" s="197"/>
      <c r="U454" s="197"/>
      <c r="V454" s="193"/>
      <c r="W454" s="139"/>
      <c r="X454" s="197">
        <f>LstMachines[[#This Row],[Delivery]]</f>
        <v>43935</v>
      </c>
      <c r="Y454" s="317" t="str">
        <f xml:space="preserve"> IF(MONTH(LstMachines[[#This Row],[DateLivr]])&lt;10,"0","") &amp; MONTH(LstMachines[[#This Row],[DateLivr]]) &amp;"-"&amp;YEAR(LstMachines[[#This Row],[DateLivr]])</f>
        <v>04-2020</v>
      </c>
      <c r="Z454" s="196">
        <f>LstMachines[[#This Row],[Delivery]]+Rglt_à_HCME</f>
        <v>43995</v>
      </c>
      <c r="AA454" s="317" t="str">
        <f xml:space="preserve"> IF(MONTH(LstMachines[[#This Row],[DatePaie]])&lt;10,"0","") &amp; MONTH(LstMachines[[#This Row],[DatePaie]])&amp;"-"&amp;YEAR(LstMachines[[#This Row],[DatePaie]])</f>
        <v>06-2020</v>
      </c>
      <c r="AB454" s="317">
        <f>LstMachines[[#This Row],[DateLivr]]+1</f>
        <v>43936</v>
      </c>
      <c r="AC454" s="317" t="str">
        <f xml:space="preserve"> IF(MONTH(LstMachines[[#This Row],[Distrib]])&lt;10,"0","") &amp; MONTH(LstMachines[[#This Row],[Distrib]]) &amp; "-" &amp; YEAR(LstMachines[[#This Row],[Distrib]])</f>
        <v>04-2020</v>
      </c>
      <c r="AD454" s="317">
        <f>LstMachines[[#This Row],[DateLivr]]+Délai_Vente</f>
        <v>44055</v>
      </c>
      <c r="AE454" s="317" t="str">
        <f xml:space="preserve"> IF(MONTH(LstMachines[[#This Row],[VteESM]])&lt;10,"0","") &amp; MONTH(LstMachines[[#This Row],[VteESM]]) &amp; "-" &amp; YEAR(LstMachines[[#This Row],[VteESM]])</f>
        <v>08-2020</v>
      </c>
      <c r="AF454" s="317">
        <f>LstMachines[[#This Row],[DateLivr]]+Rglt_à_ESMTP</f>
        <v>43995</v>
      </c>
      <c r="AG454" s="317" t="str">
        <f xml:space="preserve"> IF(MONTH(LstMachines[[#This Row],[RgltDistrib]])&lt;10,"0","") &amp; MONTH(LstMachines[[#This Row],[RgltDistrib]]) &amp; "-" &amp; YEAR(LstMachines[[#This Row],[RgltDistrib]])</f>
        <v>06-2020</v>
      </c>
      <c r="AH454" s="317">
        <f>LstMachines[[#This Row],[VteESM]]+Rglt_à_ESMTP</f>
        <v>44115</v>
      </c>
      <c r="AI454" s="317" t="str">
        <f xml:space="preserve"> IF(MONTH(LstMachines[[#This Row],[RgltVteESM]])&lt;10,"0","") &amp; MONTH(LstMachines[[#This Row],[RgltVteESM]]) &amp; "-" &amp; YEAR(LstMachines[[#This Row],[RgltVteESM]])</f>
        <v>10-2020</v>
      </c>
      <c r="AJ454" s="316">
        <f>MONTH(LstMachines[[#This Row],[DatePaie]])</f>
        <v>6</v>
      </c>
      <c r="AK454" s="196" t="str">
        <f>FIXED(YEAR(LstMachines[[#This Row],[DatePaie]]),0,TRUE)</f>
        <v>2020</v>
      </c>
      <c r="AL454" s="316"/>
      <c r="AM454" s="414"/>
    </row>
    <row r="455" spans="2:39" hidden="1">
      <c r="B455" s="194" t="s">
        <v>262</v>
      </c>
      <c r="C455" s="194" t="s">
        <v>43</v>
      </c>
      <c r="D455" s="195">
        <v>210</v>
      </c>
      <c r="E455" s="194" t="s">
        <v>89</v>
      </c>
      <c r="F455" s="204" t="s">
        <v>468</v>
      </c>
      <c r="G455" s="204" t="s">
        <v>469</v>
      </c>
      <c r="H455" s="193">
        <v>1</v>
      </c>
      <c r="I455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118</v>
      </c>
      <c r="J455" s="88">
        <v>43935</v>
      </c>
      <c r="K455" s="139" t="s">
        <v>461</v>
      </c>
      <c r="L455" s="198" t="s">
        <v>470</v>
      </c>
      <c r="M455" s="139"/>
      <c r="N455" s="197"/>
      <c r="O455" s="316">
        <f>MONTH(LstMachines[[#This Row],[Delivery]])</f>
        <v>4</v>
      </c>
      <c r="P455" s="196" t="str">
        <f>FIXED(YEAR(LstMachines[[#This Row],[Delivery]]),0,TRUE)</f>
        <v>2020</v>
      </c>
      <c r="Q455" s="205"/>
      <c r="R455" s="241"/>
      <c r="S455" s="197"/>
      <c r="T455" s="197"/>
      <c r="U455" s="197"/>
      <c r="V455" s="193"/>
      <c r="W455" s="139"/>
      <c r="X455" s="197">
        <f>LstMachines[[#This Row],[Delivery]]</f>
        <v>43935</v>
      </c>
      <c r="Y455" s="317" t="str">
        <f xml:space="preserve"> IF(MONTH(LstMachines[[#This Row],[DateLivr]])&lt;10,"0","") &amp; MONTH(LstMachines[[#This Row],[DateLivr]]) &amp;"-"&amp;YEAR(LstMachines[[#This Row],[DateLivr]])</f>
        <v>04-2020</v>
      </c>
      <c r="Z455" s="196">
        <f>LstMachines[[#This Row],[Delivery]]+Rglt_à_HCME</f>
        <v>43995</v>
      </c>
      <c r="AA455" s="317" t="str">
        <f xml:space="preserve"> IF(MONTH(LstMachines[[#This Row],[DatePaie]])&lt;10,"0","") &amp; MONTH(LstMachines[[#This Row],[DatePaie]])&amp;"-"&amp;YEAR(LstMachines[[#This Row],[DatePaie]])</f>
        <v>06-2020</v>
      </c>
      <c r="AB455" s="317">
        <f>LstMachines[[#This Row],[DateLivr]]+1</f>
        <v>43936</v>
      </c>
      <c r="AC455" s="317" t="str">
        <f xml:space="preserve"> IF(MONTH(LstMachines[[#This Row],[Distrib]])&lt;10,"0","") &amp; MONTH(LstMachines[[#This Row],[Distrib]]) &amp; "-" &amp; YEAR(LstMachines[[#This Row],[Distrib]])</f>
        <v>04-2020</v>
      </c>
      <c r="AD455" s="317">
        <f>LstMachines[[#This Row],[DateLivr]]+Délai_Vente</f>
        <v>44055</v>
      </c>
      <c r="AE455" s="317" t="str">
        <f xml:space="preserve"> IF(MONTH(LstMachines[[#This Row],[VteESM]])&lt;10,"0","") &amp; MONTH(LstMachines[[#This Row],[VteESM]]) &amp; "-" &amp; YEAR(LstMachines[[#This Row],[VteESM]])</f>
        <v>08-2020</v>
      </c>
      <c r="AF455" s="317">
        <f>LstMachines[[#This Row],[DateLivr]]+Rglt_à_ESMTP</f>
        <v>43995</v>
      </c>
      <c r="AG455" s="317" t="str">
        <f xml:space="preserve"> IF(MONTH(LstMachines[[#This Row],[RgltDistrib]])&lt;10,"0","") &amp; MONTH(LstMachines[[#This Row],[RgltDistrib]]) &amp; "-" &amp; YEAR(LstMachines[[#This Row],[RgltDistrib]])</f>
        <v>06-2020</v>
      </c>
      <c r="AH455" s="317">
        <f>LstMachines[[#This Row],[VteESM]]+Rglt_à_ESMTP</f>
        <v>44115</v>
      </c>
      <c r="AI455" s="317" t="str">
        <f xml:space="preserve"> IF(MONTH(LstMachines[[#This Row],[RgltVteESM]])&lt;10,"0","") &amp; MONTH(LstMachines[[#This Row],[RgltVteESM]]) &amp; "-" &amp; YEAR(LstMachines[[#This Row],[RgltVteESM]])</f>
        <v>10-2020</v>
      </c>
      <c r="AJ455" s="316">
        <f>MONTH(LstMachines[[#This Row],[DatePaie]])</f>
        <v>6</v>
      </c>
      <c r="AK455" s="196" t="str">
        <f>FIXED(YEAR(LstMachines[[#This Row],[DatePaie]]),0,TRUE)</f>
        <v>2020</v>
      </c>
      <c r="AL455" s="316"/>
      <c r="AM455" s="414"/>
    </row>
    <row r="456" spans="2:39" hidden="1">
      <c r="B456" s="194" t="s">
        <v>75</v>
      </c>
      <c r="C456" s="194" t="s">
        <v>35</v>
      </c>
      <c r="D456" s="195">
        <v>19</v>
      </c>
      <c r="E456" s="194" t="s">
        <v>76</v>
      </c>
      <c r="F456" s="204" t="s">
        <v>468</v>
      </c>
      <c r="G456" s="89" t="s">
        <v>469</v>
      </c>
      <c r="H456" s="193">
        <v>1</v>
      </c>
      <c r="I456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456" s="88">
        <v>43965</v>
      </c>
      <c r="K456" s="139" t="s">
        <v>461</v>
      </c>
      <c r="L456" s="198" t="s">
        <v>470</v>
      </c>
      <c r="M456" s="139"/>
      <c r="N456" s="197"/>
      <c r="O456" s="316">
        <f>MONTH(LstMachines[[#This Row],[Delivery]])</f>
        <v>5</v>
      </c>
      <c r="P456" s="196" t="str">
        <f>FIXED(YEAR(LstMachines[[#This Row],[Delivery]]),0,TRUE)</f>
        <v>2020</v>
      </c>
      <c r="Q456" s="205"/>
      <c r="R456" s="241"/>
      <c r="S456" s="197"/>
      <c r="T456" s="197"/>
      <c r="U456" s="197"/>
      <c r="V456" s="193"/>
      <c r="W456" s="139"/>
      <c r="X456" s="197">
        <f>LstMachines[[#This Row],[Delivery]]</f>
        <v>43965</v>
      </c>
      <c r="Y456" s="317" t="str">
        <f xml:space="preserve"> IF(MONTH(LstMachines[[#This Row],[DateLivr]])&lt;10,"0","") &amp; MONTH(LstMachines[[#This Row],[DateLivr]]) &amp;"-"&amp;YEAR(LstMachines[[#This Row],[DateLivr]])</f>
        <v>05-2020</v>
      </c>
      <c r="Z456" s="196">
        <f>LstMachines[[#This Row],[Delivery]]+Rglt_à_HCME</f>
        <v>44025</v>
      </c>
      <c r="AA456" s="317" t="str">
        <f xml:space="preserve"> IF(MONTH(LstMachines[[#This Row],[DatePaie]])&lt;10,"0","") &amp; MONTH(LstMachines[[#This Row],[DatePaie]])&amp;"-"&amp;YEAR(LstMachines[[#This Row],[DatePaie]])</f>
        <v>07-2020</v>
      </c>
      <c r="AB456" s="317">
        <f>LstMachines[[#This Row],[DateLivr]]+1</f>
        <v>43966</v>
      </c>
      <c r="AC456" s="317" t="str">
        <f xml:space="preserve"> IF(MONTH(LstMachines[[#This Row],[Distrib]])&lt;10,"0","") &amp; MONTH(LstMachines[[#This Row],[Distrib]]) &amp; "-" &amp; YEAR(LstMachines[[#This Row],[Distrib]])</f>
        <v>05-2020</v>
      </c>
      <c r="AD456" s="317">
        <f>LstMachines[[#This Row],[DateLivr]]+Délai_Vente</f>
        <v>44085</v>
      </c>
      <c r="AE456" s="317" t="str">
        <f xml:space="preserve"> IF(MONTH(LstMachines[[#This Row],[VteESM]])&lt;10,"0","") &amp; MONTH(LstMachines[[#This Row],[VteESM]]) &amp; "-" &amp; YEAR(LstMachines[[#This Row],[VteESM]])</f>
        <v>09-2020</v>
      </c>
      <c r="AF456" s="317">
        <f>LstMachines[[#This Row],[DateLivr]]+Rglt_à_ESMTP</f>
        <v>44025</v>
      </c>
      <c r="AG456" s="317" t="str">
        <f xml:space="preserve"> IF(MONTH(LstMachines[[#This Row],[RgltDistrib]])&lt;10,"0","") &amp; MONTH(LstMachines[[#This Row],[RgltDistrib]]) &amp; "-" &amp; YEAR(LstMachines[[#This Row],[RgltDistrib]])</f>
        <v>07-2020</v>
      </c>
      <c r="AH456" s="317">
        <f>LstMachines[[#This Row],[VteESM]]+Rglt_à_ESMTP</f>
        <v>44145</v>
      </c>
      <c r="AI456" s="317" t="str">
        <f xml:space="preserve"> IF(MONTH(LstMachines[[#This Row],[RgltVteESM]])&lt;10,"0","") &amp; MONTH(LstMachines[[#This Row],[RgltVteESM]]) &amp; "-" &amp; YEAR(LstMachines[[#This Row],[RgltVteESM]])</f>
        <v>11-2020</v>
      </c>
      <c r="AJ456" s="316">
        <f>MONTH(LstMachines[[#This Row],[DatePaie]])</f>
        <v>7</v>
      </c>
      <c r="AK456" s="196" t="str">
        <f>FIXED(YEAR(LstMachines[[#This Row],[DatePaie]]),0,TRUE)</f>
        <v>2020</v>
      </c>
      <c r="AL456" s="316"/>
      <c r="AM456" s="414"/>
    </row>
    <row r="457" spans="2:39" hidden="1">
      <c r="B457" s="194" t="s">
        <v>75</v>
      </c>
      <c r="C457" s="194" t="s">
        <v>36</v>
      </c>
      <c r="D457" s="195">
        <v>26</v>
      </c>
      <c r="E457" s="194" t="s">
        <v>361</v>
      </c>
      <c r="F457" s="204" t="s">
        <v>468</v>
      </c>
      <c r="G457" s="89" t="s">
        <v>469</v>
      </c>
      <c r="H457" s="193">
        <v>1</v>
      </c>
      <c r="I457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457" s="88">
        <v>43965</v>
      </c>
      <c r="K457" s="139" t="s">
        <v>461</v>
      </c>
      <c r="L457" s="198" t="s">
        <v>470</v>
      </c>
      <c r="M457" s="139"/>
      <c r="N457" s="197"/>
      <c r="O457" s="316">
        <f>MONTH(LstMachines[[#This Row],[Delivery]])</f>
        <v>5</v>
      </c>
      <c r="P457" s="196" t="str">
        <f>FIXED(YEAR(LstMachines[[#This Row],[Delivery]]),0,TRUE)</f>
        <v>2020</v>
      </c>
      <c r="Q457" s="205"/>
      <c r="R457" s="241"/>
      <c r="S457" s="197"/>
      <c r="T457" s="197"/>
      <c r="U457" s="197"/>
      <c r="V457" s="193"/>
      <c r="W457" s="139"/>
      <c r="X457" s="197">
        <f>LstMachines[[#This Row],[Delivery]]</f>
        <v>43965</v>
      </c>
      <c r="Y457" s="317" t="str">
        <f xml:space="preserve"> IF(MONTH(LstMachines[[#This Row],[DateLivr]])&lt;10,"0","") &amp; MONTH(LstMachines[[#This Row],[DateLivr]]) &amp;"-"&amp;YEAR(LstMachines[[#This Row],[DateLivr]])</f>
        <v>05-2020</v>
      </c>
      <c r="Z457" s="196">
        <f>LstMachines[[#This Row],[Delivery]]+Rglt_à_HCME</f>
        <v>44025</v>
      </c>
      <c r="AA457" s="317" t="str">
        <f xml:space="preserve"> IF(MONTH(LstMachines[[#This Row],[DatePaie]])&lt;10,"0","") &amp; MONTH(LstMachines[[#This Row],[DatePaie]])&amp;"-"&amp;YEAR(LstMachines[[#This Row],[DatePaie]])</f>
        <v>07-2020</v>
      </c>
      <c r="AB457" s="317">
        <f>LstMachines[[#This Row],[DateLivr]]+1</f>
        <v>43966</v>
      </c>
      <c r="AC457" s="317" t="str">
        <f xml:space="preserve"> IF(MONTH(LstMachines[[#This Row],[Distrib]])&lt;10,"0","") &amp; MONTH(LstMachines[[#This Row],[Distrib]]) &amp; "-" &amp; YEAR(LstMachines[[#This Row],[Distrib]])</f>
        <v>05-2020</v>
      </c>
      <c r="AD457" s="317">
        <f>LstMachines[[#This Row],[DateLivr]]+Délai_Vente</f>
        <v>44085</v>
      </c>
      <c r="AE457" s="317" t="str">
        <f xml:space="preserve"> IF(MONTH(LstMachines[[#This Row],[VteESM]])&lt;10,"0","") &amp; MONTH(LstMachines[[#This Row],[VteESM]]) &amp; "-" &amp; YEAR(LstMachines[[#This Row],[VteESM]])</f>
        <v>09-2020</v>
      </c>
      <c r="AF457" s="317">
        <f>LstMachines[[#This Row],[DateLivr]]+Rglt_à_ESMTP</f>
        <v>44025</v>
      </c>
      <c r="AG457" s="317" t="str">
        <f xml:space="preserve"> IF(MONTH(LstMachines[[#This Row],[RgltDistrib]])&lt;10,"0","") &amp; MONTH(LstMachines[[#This Row],[RgltDistrib]]) &amp; "-" &amp; YEAR(LstMachines[[#This Row],[RgltDistrib]])</f>
        <v>07-2020</v>
      </c>
      <c r="AH457" s="317">
        <f>LstMachines[[#This Row],[VteESM]]+Rglt_à_ESMTP</f>
        <v>44145</v>
      </c>
      <c r="AI457" s="317" t="str">
        <f xml:space="preserve"> IF(MONTH(LstMachines[[#This Row],[RgltVteESM]])&lt;10,"0","") &amp; MONTH(LstMachines[[#This Row],[RgltVteESM]]) &amp; "-" &amp; YEAR(LstMachines[[#This Row],[RgltVteESM]])</f>
        <v>11-2020</v>
      </c>
      <c r="AJ457" s="316">
        <f>MONTH(LstMachines[[#This Row],[DatePaie]])</f>
        <v>7</v>
      </c>
      <c r="AK457" s="196" t="str">
        <f>FIXED(YEAR(LstMachines[[#This Row],[DatePaie]]),0,TRUE)</f>
        <v>2020</v>
      </c>
      <c r="AL457" s="316"/>
      <c r="AM457" s="414"/>
    </row>
    <row r="458" spans="2:39" hidden="1">
      <c r="B458" s="194" t="s">
        <v>75</v>
      </c>
      <c r="C458" s="194" t="s">
        <v>36</v>
      </c>
      <c r="D458" s="195">
        <v>26</v>
      </c>
      <c r="E458" s="194" t="s">
        <v>355</v>
      </c>
      <c r="F458" s="204" t="s">
        <v>468</v>
      </c>
      <c r="G458" s="89" t="s">
        <v>469</v>
      </c>
      <c r="H458" s="193">
        <v>1</v>
      </c>
      <c r="I458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458" s="88">
        <v>43965</v>
      </c>
      <c r="K458" s="139" t="s">
        <v>461</v>
      </c>
      <c r="L458" s="198" t="s">
        <v>470</v>
      </c>
      <c r="M458" s="139"/>
      <c r="N458" s="197"/>
      <c r="O458" s="316">
        <f>MONTH(LstMachines[[#This Row],[Delivery]])</f>
        <v>5</v>
      </c>
      <c r="P458" s="196" t="str">
        <f>FIXED(YEAR(LstMachines[[#This Row],[Delivery]]),0,TRUE)</f>
        <v>2020</v>
      </c>
      <c r="Q458" s="205"/>
      <c r="R458" s="241"/>
      <c r="S458" s="197"/>
      <c r="T458" s="197"/>
      <c r="U458" s="197"/>
      <c r="V458" s="193"/>
      <c r="W458" s="139"/>
      <c r="X458" s="197">
        <f>LstMachines[[#This Row],[Delivery]]</f>
        <v>43965</v>
      </c>
      <c r="Y458" s="317" t="str">
        <f xml:space="preserve"> IF(MONTH(LstMachines[[#This Row],[DateLivr]])&lt;10,"0","") &amp; MONTH(LstMachines[[#This Row],[DateLivr]]) &amp;"-"&amp;YEAR(LstMachines[[#This Row],[DateLivr]])</f>
        <v>05-2020</v>
      </c>
      <c r="Z458" s="196">
        <f>LstMachines[[#This Row],[Delivery]]+Rglt_à_HCME</f>
        <v>44025</v>
      </c>
      <c r="AA458" s="317" t="str">
        <f xml:space="preserve"> IF(MONTH(LstMachines[[#This Row],[DatePaie]])&lt;10,"0","") &amp; MONTH(LstMachines[[#This Row],[DatePaie]])&amp;"-"&amp;YEAR(LstMachines[[#This Row],[DatePaie]])</f>
        <v>07-2020</v>
      </c>
      <c r="AB458" s="317">
        <f>LstMachines[[#This Row],[DateLivr]]+1</f>
        <v>43966</v>
      </c>
      <c r="AC458" s="317" t="str">
        <f xml:space="preserve"> IF(MONTH(LstMachines[[#This Row],[Distrib]])&lt;10,"0","") &amp; MONTH(LstMachines[[#This Row],[Distrib]]) &amp; "-" &amp; YEAR(LstMachines[[#This Row],[Distrib]])</f>
        <v>05-2020</v>
      </c>
      <c r="AD458" s="317">
        <f>LstMachines[[#This Row],[DateLivr]]+Délai_Vente</f>
        <v>44085</v>
      </c>
      <c r="AE458" s="317" t="str">
        <f xml:space="preserve"> IF(MONTH(LstMachines[[#This Row],[VteESM]])&lt;10,"0","") &amp; MONTH(LstMachines[[#This Row],[VteESM]]) &amp; "-" &amp; YEAR(LstMachines[[#This Row],[VteESM]])</f>
        <v>09-2020</v>
      </c>
      <c r="AF458" s="317">
        <f>LstMachines[[#This Row],[DateLivr]]+Rglt_à_ESMTP</f>
        <v>44025</v>
      </c>
      <c r="AG458" s="317" t="str">
        <f xml:space="preserve"> IF(MONTH(LstMachines[[#This Row],[RgltDistrib]])&lt;10,"0","") &amp; MONTH(LstMachines[[#This Row],[RgltDistrib]]) &amp; "-" &amp; YEAR(LstMachines[[#This Row],[RgltDistrib]])</f>
        <v>07-2020</v>
      </c>
      <c r="AH458" s="317">
        <f>LstMachines[[#This Row],[VteESM]]+Rglt_à_ESMTP</f>
        <v>44145</v>
      </c>
      <c r="AI458" s="317" t="str">
        <f xml:space="preserve"> IF(MONTH(LstMachines[[#This Row],[RgltVteESM]])&lt;10,"0","") &amp; MONTH(LstMachines[[#This Row],[RgltVteESM]]) &amp; "-" &amp; YEAR(LstMachines[[#This Row],[RgltVteESM]])</f>
        <v>11-2020</v>
      </c>
      <c r="AJ458" s="316">
        <f>MONTH(LstMachines[[#This Row],[DatePaie]])</f>
        <v>7</v>
      </c>
      <c r="AK458" s="196" t="str">
        <f>FIXED(YEAR(LstMachines[[#This Row],[DatePaie]]),0,TRUE)</f>
        <v>2020</v>
      </c>
      <c r="AL458" s="316"/>
      <c r="AM458" s="414"/>
    </row>
    <row r="459" spans="2:39" hidden="1">
      <c r="B459" s="194" t="s">
        <v>75</v>
      </c>
      <c r="C459" s="194" t="s">
        <v>36</v>
      </c>
      <c r="D459" s="195">
        <v>26</v>
      </c>
      <c r="E459" s="194" t="s">
        <v>355</v>
      </c>
      <c r="F459" s="204" t="s">
        <v>468</v>
      </c>
      <c r="G459" s="89" t="s">
        <v>469</v>
      </c>
      <c r="H459" s="193">
        <v>1</v>
      </c>
      <c r="I459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459" s="88">
        <v>43965</v>
      </c>
      <c r="K459" s="139" t="s">
        <v>461</v>
      </c>
      <c r="L459" s="198" t="s">
        <v>470</v>
      </c>
      <c r="M459" s="139"/>
      <c r="N459" s="197"/>
      <c r="O459" s="316">
        <f>MONTH(LstMachines[[#This Row],[Delivery]])</f>
        <v>5</v>
      </c>
      <c r="P459" s="196" t="str">
        <f>FIXED(YEAR(LstMachines[[#This Row],[Delivery]]),0,TRUE)</f>
        <v>2020</v>
      </c>
      <c r="Q459" s="205"/>
      <c r="R459" s="241"/>
      <c r="S459" s="197"/>
      <c r="T459" s="197"/>
      <c r="U459" s="197"/>
      <c r="V459" s="193"/>
      <c r="W459" s="139"/>
      <c r="X459" s="197">
        <f>LstMachines[[#This Row],[Delivery]]</f>
        <v>43965</v>
      </c>
      <c r="Y459" s="317" t="str">
        <f xml:space="preserve"> IF(MONTH(LstMachines[[#This Row],[DateLivr]])&lt;10,"0","") &amp; MONTH(LstMachines[[#This Row],[DateLivr]]) &amp;"-"&amp;YEAR(LstMachines[[#This Row],[DateLivr]])</f>
        <v>05-2020</v>
      </c>
      <c r="Z459" s="196">
        <f>LstMachines[[#This Row],[Delivery]]+Rglt_à_HCME</f>
        <v>44025</v>
      </c>
      <c r="AA459" s="317" t="str">
        <f xml:space="preserve"> IF(MONTH(LstMachines[[#This Row],[DatePaie]])&lt;10,"0","") &amp; MONTH(LstMachines[[#This Row],[DatePaie]])&amp;"-"&amp;YEAR(LstMachines[[#This Row],[DatePaie]])</f>
        <v>07-2020</v>
      </c>
      <c r="AB459" s="317">
        <f>LstMachines[[#This Row],[DateLivr]]+1</f>
        <v>43966</v>
      </c>
      <c r="AC459" s="317" t="str">
        <f xml:space="preserve"> IF(MONTH(LstMachines[[#This Row],[Distrib]])&lt;10,"0","") &amp; MONTH(LstMachines[[#This Row],[Distrib]]) &amp; "-" &amp; YEAR(LstMachines[[#This Row],[Distrib]])</f>
        <v>05-2020</v>
      </c>
      <c r="AD459" s="317">
        <f>LstMachines[[#This Row],[DateLivr]]+Délai_Vente</f>
        <v>44085</v>
      </c>
      <c r="AE459" s="317" t="str">
        <f xml:space="preserve"> IF(MONTH(LstMachines[[#This Row],[VteESM]])&lt;10,"0","") &amp; MONTH(LstMachines[[#This Row],[VteESM]]) &amp; "-" &amp; YEAR(LstMachines[[#This Row],[VteESM]])</f>
        <v>09-2020</v>
      </c>
      <c r="AF459" s="317">
        <f>LstMachines[[#This Row],[DateLivr]]+Rglt_à_ESMTP</f>
        <v>44025</v>
      </c>
      <c r="AG459" s="317" t="str">
        <f xml:space="preserve"> IF(MONTH(LstMachines[[#This Row],[RgltDistrib]])&lt;10,"0","") &amp; MONTH(LstMachines[[#This Row],[RgltDistrib]]) &amp; "-" &amp; YEAR(LstMachines[[#This Row],[RgltDistrib]])</f>
        <v>07-2020</v>
      </c>
      <c r="AH459" s="317">
        <f>LstMachines[[#This Row],[VteESM]]+Rglt_à_ESMTP</f>
        <v>44145</v>
      </c>
      <c r="AI459" s="317" t="str">
        <f xml:space="preserve"> IF(MONTH(LstMachines[[#This Row],[RgltVteESM]])&lt;10,"0","") &amp; MONTH(LstMachines[[#This Row],[RgltVteESM]]) &amp; "-" &amp; YEAR(LstMachines[[#This Row],[RgltVteESM]])</f>
        <v>11-2020</v>
      </c>
      <c r="AJ459" s="316">
        <f>MONTH(LstMachines[[#This Row],[DatePaie]])</f>
        <v>7</v>
      </c>
      <c r="AK459" s="196" t="str">
        <f>FIXED(YEAR(LstMachines[[#This Row],[DatePaie]]),0,TRUE)</f>
        <v>2020</v>
      </c>
      <c r="AL459" s="316"/>
      <c r="AM459" s="414"/>
    </row>
    <row r="460" spans="2:39" hidden="1">
      <c r="B460" s="194" t="s">
        <v>75</v>
      </c>
      <c r="C460" s="194" t="s">
        <v>38</v>
      </c>
      <c r="D460" s="195">
        <v>65</v>
      </c>
      <c r="E460" s="194" t="s">
        <v>359</v>
      </c>
      <c r="F460" s="204" t="s">
        <v>468</v>
      </c>
      <c r="G460" s="89" t="s">
        <v>469</v>
      </c>
      <c r="H460" s="193">
        <v>1</v>
      </c>
      <c r="I460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460" s="88">
        <v>43965</v>
      </c>
      <c r="K460" s="139" t="s">
        <v>461</v>
      </c>
      <c r="L460" s="198" t="s">
        <v>470</v>
      </c>
      <c r="M460" s="139"/>
      <c r="N460" s="197"/>
      <c r="O460" s="316">
        <f>MONTH(LstMachines[[#This Row],[Delivery]])</f>
        <v>5</v>
      </c>
      <c r="P460" s="196" t="str">
        <f>FIXED(YEAR(LstMachines[[#This Row],[Delivery]]),0,TRUE)</f>
        <v>2020</v>
      </c>
      <c r="Q460" s="205"/>
      <c r="R460" s="241"/>
      <c r="S460" s="197"/>
      <c r="T460" s="197"/>
      <c r="U460" s="197"/>
      <c r="V460" s="193"/>
      <c r="W460" s="139"/>
      <c r="X460" s="197">
        <f>LstMachines[[#This Row],[Delivery]]</f>
        <v>43965</v>
      </c>
      <c r="Y460" s="317" t="str">
        <f xml:space="preserve"> IF(MONTH(LstMachines[[#This Row],[DateLivr]])&lt;10,"0","") &amp; MONTH(LstMachines[[#This Row],[DateLivr]]) &amp;"-"&amp;YEAR(LstMachines[[#This Row],[DateLivr]])</f>
        <v>05-2020</v>
      </c>
      <c r="Z460" s="196">
        <f>LstMachines[[#This Row],[Delivery]]+Rglt_à_HCME</f>
        <v>44025</v>
      </c>
      <c r="AA460" s="317" t="str">
        <f xml:space="preserve"> IF(MONTH(LstMachines[[#This Row],[DatePaie]])&lt;10,"0","") &amp; MONTH(LstMachines[[#This Row],[DatePaie]])&amp;"-"&amp;YEAR(LstMachines[[#This Row],[DatePaie]])</f>
        <v>07-2020</v>
      </c>
      <c r="AB460" s="317">
        <f>LstMachines[[#This Row],[DateLivr]]+1</f>
        <v>43966</v>
      </c>
      <c r="AC460" s="317" t="str">
        <f xml:space="preserve"> IF(MONTH(LstMachines[[#This Row],[Distrib]])&lt;10,"0","") &amp; MONTH(LstMachines[[#This Row],[Distrib]]) &amp; "-" &amp; YEAR(LstMachines[[#This Row],[Distrib]])</f>
        <v>05-2020</v>
      </c>
      <c r="AD460" s="317">
        <f>LstMachines[[#This Row],[DateLivr]]+Délai_Vente</f>
        <v>44085</v>
      </c>
      <c r="AE460" s="317" t="str">
        <f xml:space="preserve"> IF(MONTH(LstMachines[[#This Row],[VteESM]])&lt;10,"0","") &amp; MONTH(LstMachines[[#This Row],[VteESM]]) &amp; "-" &amp; YEAR(LstMachines[[#This Row],[VteESM]])</f>
        <v>09-2020</v>
      </c>
      <c r="AF460" s="317">
        <f>LstMachines[[#This Row],[DateLivr]]+Rglt_à_ESMTP</f>
        <v>44025</v>
      </c>
      <c r="AG460" s="317" t="str">
        <f xml:space="preserve"> IF(MONTH(LstMachines[[#This Row],[RgltDistrib]])&lt;10,"0","") &amp; MONTH(LstMachines[[#This Row],[RgltDistrib]]) &amp; "-" &amp; YEAR(LstMachines[[#This Row],[RgltDistrib]])</f>
        <v>07-2020</v>
      </c>
      <c r="AH460" s="317">
        <f>LstMachines[[#This Row],[VteESM]]+Rglt_à_ESMTP</f>
        <v>44145</v>
      </c>
      <c r="AI460" s="317" t="str">
        <f xml:space="preserve"> IF(MONTH(LstMachines[[#This Row],[RgltVteESM]])&lt;10,"0","") &amp; MONTH(LstMachines[[#This Row],[RgltVteESM]]) &amp; "-" &amp; YEAR(LstMachines[[#This Row],[RgltVteESM]])</f>
        <v>11-2020</v>
      </c>
      <c r="AJ460" s="316">
        <f>MONTH(LstMachines[[#This Row],[DatePaie]])</f>
        <v>7</v>
      </c>
      <c r="AK460" s="196" t="str">
        <f>FIXED(YEAR(LstMachines[[#This Row],[DatePaie]]),0,TRUE)</f>
        <v>2020</v>
      </c>
      <c r="AL460" s="316"/>
      <c r="AM460" s="414"/>
    </row>
    <row r="461" spans="2:39" hidden="1">
      <c r="B461" s="194" t="s">
        <v>262</v>
      </c>
      <c r="C461" s="194" t="s">
        <v>44</v>
      </c>
      <c r="D461" s="195">
        <v>225</v>
      </c>
      <c r="E461" s="194" t="s">
        <v>204</v>
      </c>
      <c r="F461" s="204" t="s">
        <v>468</v>
      </c>
      <c r="G461" s="204" t="s">
        <v>469</v>
      </c>
      <c r="H461" s="193">
        <v>1</v>
      </c>
      <c r="I461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461" s="88">
        <v>43965</v>
      </c>
      <c r="K461" s="139" t="s">
        <v>461</v>
      </c>
      <c r="L461" s="198" t="s">
        <v>470</v>
      </c>
      <c r="M461" s="139"/>
      <c r="N461" s="197"/>
      <c r="O461" s="316">
        <f>MONTH(LstMachines[[#This Row],[Delivery]])</f>
        <v>5</v>
      </c>
      <c r="P461" s="196" t="str">
        <f>FIXED(YEAR(LstMachines[[#This Row],[Delivery]]),0,TRUE)</f>
        <v>2020</v>
      </c>
      <c r="Q461" s="205"/>
      <c r="R461" s="241"/>
      <c r="S461" s="197"/>
      <c r="T461" s="197"/>
      <c r="U461" s="197"/>
      <c r="V461" s="193"/>
      <c r="W461" s="139"/>
      <c r="X461" s="197">
        <f>LstMachines[[#This Row],[Delivery]]</f>
        <v>43965</v>
      </c>
      <c r="Y461" s="317" t="str">
        <f xml:space="preserve"> IF(MONTH(LstMachines[[#This Row],[DateLivr]])&lt;10,"0","") &amp; MONTH(LstMachines[[#This Row],[DateLivr]]) &amp;"-"&amp;YEAR(LstMachines[[#This Row],[DateLivr]])</f>
        <v>05-2020</v>
      </c>
      <c r="Z461" s="196">
        <f>LstMachines[[#This Row],[Delivery]]+Rglt_à_HCME</f>
        <v>44025</v>
      </c>
      <c r="AA461" s="317" t="str">
        <f xml:space="preserve"> IF(MONTH(LstMachines[[#This Row],[DatePaie]])&lt;10,"0","") &amp; MONTH(LstMachines[[#This Row],[DatePaie]])&amp;"-"&amp;YEAR(LstMachines[[#This Row],[DatePaie]])</f>
        <v>07-2020</v>
      </c>
      <c r="AB461" s="317">
        <f>LstMachines[[#This Row],[DateLivr]]+1</f>
        <v>43966</v>
      </c>
      <c r="AC461" s="317" t="str">
        <f xml:space="preserve"> IF(MONTH(LstMachines[[#This Row],[Distrib]])&lt;10,"0","") &amp; MONTH(LstMachines[[#This Row],[Distrib]]) &amp; "-" &amp; YEAR(LstMachines[[#This Row],[Distrib]])</f>
        <v>05-2020</v>
      </c>
      <c r="AD461" s="317">
        <f>LstMachines[[#This Row],[DateLivr]]+Délai_Vente</f>
        <v>44085</v>
      </c>
      <c r="AE461" s="317" t="str">
        <f xml:space="preserve"> IF(MONTH(LstMachines[[#This Row],[VteESM]])&lt;10,"0","") &amp; MONTH(LstMachines[[#This Row],[VteESM]]) &amp; "-" &amp; YEAR(LstMachines[[#This Row],[VteESM]])</f>
        <v>09-2020</v>
      </c>
      <c r="AF461" s="317">
        <f>LstMachines[[#This Row],[DateLivr]]+Rglt_à_ESMTP</f>
        <v>44025</v>
      </c>
      <c r="AG461" s="317" t="str">
        <f xml:space="preserve"> IF(MONTH(LstMachines[[#This Row],[RgltDistrib]])&lt;10,"0","") &amp; MONTH(LstMachines[[#This Row],[RgltDistrib]]) &amp; "-" &amp; YEAR(LstMachines[[#This Row],[RgltDistrib]])</f>
        <v>07-2020</v>
      </c>
      <c r="AH461" s="317">
        <f>LstMachines[[#This Row],[VteESM]]+Rglt_à_ESMTP</f>
        <v>44145</v>
      </c>
      <c r="AI461" s="317" t="str">
        <f xml:space="preserve"> IF(MONTH(LstMachines[[#This Row],[RgltVteESM]])&lt;10,"0","") &amp; MONTH(LstMachines[[#This Row],[RgltVteESM]]) &amp; "-" &amp; YEAR(LstMachines[[#This Row],[RgltVteESM]])</f>
        <v>11-2020</v>
      </c>
      <c r="AJ461" s="316">
        <f>MONTH(LstMachines[[#This Row],[DatePaie]])</f>
        <v>7</v>
      </c>
      <c r="AK461" s="196" t="str">
        <f>FIXED(YEAR(LstMachines[[#This Row],[DatePaie]]),0,TRUE)</f>
        <v>2020</v>
      </c>
      <c r="AL461" s="316"/>
      <c r="AM461" s="414"/>
    </row>
    <row r="462" spans="2:39" hidden="1">
      <c r="B462" s="194" t="s">
        <v>75</v>
      </c>
      <c r="C462" s="194" t="s">
        <v>35</v>
      </c>
      <c r="D462" s="195">
        <v>19</v>
      </c>
      <c r="E462" s="194" t="s">
        <v>76</v>
      </c>
      <c r="F462" s="204" t="s">
        <v>468</v>
      </c>
      <c r="G462" s="89" t="s">
        <v>469</v>
      </c>
      <c r="H462" s="193">
        <v>1</v>
      </c>
      <c r="I462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462" s="88">
        <v>43996</v>
      </c>
      <c r="K462" s="139" t="s">
        <v>461</v>
      </c>
      <c r="L462" s="198" t="s">
        <v>470</v>
      </c>
      <c r="M462" s="139"/>
      <c r="N462" s="197"/>
      <c r="O462" s="316">
        <f>MONTH(LstMachines[[#This Row],[Delivery]])</f>
        <v>6</v>
      </c>
      <c r="P462" s="196" t="str">
        <f>FIXED(YEAR(LstMachines[[#This Row],[Delivery]]),0,TRUE)</f>
        <v>2020</v>
      </c>
      <c r="Q462" s="205"/>
      <c r="R462" s="241"/>
      <c r="S462" s="197"/>
      <c r="T462" s="197"/>
      <c r="U462" s="197"/>
      <c r="V462" s="193"/>
      <c r="W462" s="139"/>
      <c r="X462" s="197">
        <f>LstMachines[[#This Row],[Delivery]]</f>
        <v>43996</v>
      </c>
      <c r="Y462" s="317" t="str">
        <f xml:space="preserve"> IF(MONTH(LstMachines[[#This Row],[DateLivr]])&lt;10,"0","") &amp; MONTH(LstMachines[[#This Row],[DateLivr]]) &amp;"-"&amp;YEAR(LstMachines[[#This Row],[DateLivr]])</f>
        <v>06-2020</v>
      </c>
      <c r="Z462" s="196">
        <f>LstMachines[[#This Row],[Delivery]]+Rglt_à_HCME</f>
        <v>44056</v>
      </c>
      <c r="AA462" s="317" t="str">
        <f xml:space="preserve"> IF(MONTH(LstMachines[[#This Row],[DatePaie]])&lt;10,"0","") &amp; MONTH(LstMachines[[#This Row],[DatePaie]])&amp;"-"&amp;YEAR(LstMachines[[#This Row],[DatePaie]])</f>
        <v>08-2020</v>
      </c>
      <c r="AB462" s="317">
        <f>LstMachines[[#This Row],[DateLivr]]+1</f>
        <v>43997</v>
      </c>
      <c r="AC462" s="317" t="str">
        <f xml:space="preserve"> IF(MONTH(LstMachines[[#This Row],[Distrib]])&lt;10,"0","") &amp; MONTH(LstMachines[[#This Row],[Distrib]]) &amp; "-" &amp; YEAR(LstMachines[[#This Row],[Distrib]])</f>
        <v>06-2020</v>
      </c>
      <c r="AD462" s="317">
        <f>LstMachines[[#This Row],[DateLivr]]+Délai_Vente</f>
        <v>44116</v>
      </c>
      <c r="AE462" s="317" t="str">
        <f xml:space="preserve"> IF(MONTH(LstMachines[[#This Row],[VteESM]])&lt;10,"0","") &amp; MONTH(LstMachines[[#This Row],[VteESM]]) &amp; "-" &amp; YEAR(LstMachines[[#This Row],[VteESM]])</f>
        <v>10-2020</v>
      </c>
      <c r="AF462" s="317">
        <f>LstMachines[[#This Row],[DateLivr]]+Rglt_à_ESMTP</f>
        <v>44056</v>
      </c>
      <c r="AG462" s="317" t="str">
        <f xml:space="preserve"> IF(MONTH(LstMachines[[#This Row],[RgltDistrib]])&lt;10,"0","") &amp; MONTH(LstMachines[[#This Row],[RgltDistrib]]) &amp; "-" &amp; YEAR(LstMachines[[#This Row],[RgltDistrib]])</f>
        <v>08-2020</v>
      </c>
      <c r="AH462" s="317">
        <f>LstMachines[[#This Row],[VteESM]]+Rglt_à_ESMTP</f>
        <v>44176</v>
      </c>
      <c r="AI462" s="317" t="str">
        <f xml:space="preserve"> IF(MONTH(LstMachines[[#This Row],[RgltVteESM]])&lt;10,"0","") &amp; MONTH(LstMachines[[#This Row],[RgltVteESM]]) &amp; "-" &amp; YEAR(LstMachines[[#This Row],[RgltVteESM]])</f>
        <v>12-2020</v>
      </c>
      <c r="AJ462" s="316">
        <f>MONTH(LstMachines[[#This Row],[DatePaie]])</f>
        <v>8</v>
      </c>
      <c r="AK462" s="196" t="str">
        <f>FIXED(YEAR(LstMachines[[#This Row],[DatePaie]]),0,TRUE)</f>
        <v>2020</v>
      </c>
      <c r="AL462" s="316"/>
      <c r="AM462" s="414"/>
    </row>
    <row r="463" spans="2:39" hidden="1">
      <c r="B463" s="194" t="s">
        <v>75</v>
      </c>
      <c r="C463" s="194" t="s">
        <v>38</v>
      </c>
      <c r="D463" s="195">
        <v>65</v>
      </c>
      <c r="E463" s="194" t="s">
        <v>364</v>
      </c>
      <c r="F463" s="204" t="s">
        <v>468</v>
      </c>
      <c r="G463" s="89" t="s">
        <v>469</v>
      </c>
      <c r="H463" s="193">
        <v>1</v>
      </c>
      <c r="I463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463" s="88">
        <v>43996</v>
      </c>
      <c r="K463" s="139" t="s">
        <v>461</v>
      </c>
      <c r="L463" s="198" t="s">
        <v>470</v>
      </c>
      <c r="M463" s="139"/>
      <c r="N463" s="197"/>
      <c r="O463" s="316">
        <f>MONTH(LstMachines[[#This Row],[Delivery]])</f>
        <v>6</v>
      </c>
      <c r="P463" s="196" t="str">
        <f>FIXED(YEAR(LstMachines[[#This Row],[Delivery]]),0,TRUE)</f>
        <v>2020</v>
      </c>
      <c r="Q463" s="205"/>
      <c r="R463" s="241"/>
      <c r="S463" s="197"/>
      <c r="T463" s="197"/>
      <c r="U463" s="197"/>
      <c r="V463" s="193"/>
      <c r="W463" s="139"/>
      <c r="X463" s="197">
        <f>LstMachines[[#This Row],[Delivery]]</f>
        <v>43996</v>
      </c>
      <c r="Y463" s="317" t="str">
        <f xml:space="preserve"> IF(MONTH(LstMachines[[#This Row],[DateLivr]])&lt;10,"0","") &amp; MONTH(LstMachines[[#This Row],[DateLivr]]) &amp;"-"&amp;YEAR(LstMachines[[#This Row],[DateLivr]])</f>
        <v>06-2020</v>
      </c>
      <c r="Z463" s="196">
        <f>LstMachines[[#This Row],[Delivery]]+Rglt_à_HCME</f>
        <v>44056</v>
      </c>
      <c r="AA463" s="317" t="str">
        <f xml:space="preserve"> IF(MONTH(LstMachines[[#This Row],[DatePaie]])&lt;10,"0","") &amp; MONTH(LstMachines[[#This Row],[DatePaie]])&amp;"-"&amp;YEAR(LstMachines[[#This Row],[DatePaie]])</f>
        <v>08-2020</v>
      </c>
      <c r="AB463" s="317">
        <f>LstMachines[[#This Row],[DateLivr]]+1</f>
        <v>43997</v>
      </c>
      <c r="AC463" s="317" t="str">
        <f xml:space="preserve"> IF(MONTH(LstMachines[[#This Row],[Distrib]])&lt;10,"0","") &amp; MONTH(LstMachines[[#This Row],[Distrib]]) &amp; "-" &amp; YEAR(LstMachines[[#This Row],[Distrib]])</f>
        <v>06-2020</v>
      </c>
      <c r="AD463" s="317">
        <f>LstMachines[[#This Row],[DateLivr]]+Délai_Vente</f>
        <v>44116</v>
      </c>
      <c r="AE463" s="317" t="str">
        <f xml:space="preserve"> IF(MONTH(LstMachines[[#This Row],[VteESM]])&lt;10,"0","") &amp; MONTH(LstMachines[[#This Row],[VteESM]]) &amp; "-" &amp; YEAR(LstMachines[[#This Row],[VteESM]])</f>
        <v>10-2020</v>
      </c>
      <c r="AF463" s="317">
        <f>LstMachines[[#This Row],[DateLivr]]+Rglt_à_ESMTP</f>
        <v>44056</v>
      </c>
      <c r="AG463" s="317" t="str">
        <f xml:space="preserve"> IF(MONTH(LstMachines[[#This Row],[RgltDistrib]])&lt;10,"0","") &amp; MONTH(LstMachines[[#This Row],[RgltDistrib]]) &amp; "-" &amp; YEAR(LstMachines[[#This Row],[RgltDistrib]])</f>
        <v>08-2020</v>
      </c>
      <c r="AH463" s="317">
        <f>LstMachines[[#This Row],[VteESM]]+Rglt_à_ESMTP</f>
        <v>44176</v>
      </c>
      <c r="AI463" s="317" t="str">
        <f xml:space="preserve"> IF(MONTH(LstMachines[[#This Row],[RgltVteESM]])&lt;10,"0","") &amp; MONTH(LstMachines[[#This Row],[RgltVteESM]]) &amp; "-" &amp; YEAR(LstMachines[[#This Row],[RgltVteESM]])</f>
        <v>12-2020</v>
      </c>
      <c r="AJ463" s="316">
        <f>MONTH(LstMachines[[#This Row],[DatePaie]])</f>
        <v>8</v>
      </c>
      <c r="AK463" s="196" t="str">
        <f>FIXED(YEAR(LstMachines[[#This Row],[DatePaie]]),0,TRUE)</f>
        <v>2020</v>
      </c>
      <c r="AL463" s="316"/>
      <c r="AM463" s="414"/>
    </row>
    <row r="464" spans="2:39" hidden="1">
      <c r="B464" s="194" t="s">
        <v>262</v>
      </c>
      <c r="C464" s="194" t="s">
        <v>40</v>
      </c>
      <c r="D464" s="195">
        <v>135</v>
      </c>
      <c r="E464" s="194" t="s">
        <v>194</v>
      </c>
      <c r="F464" s="204" t="s">
        <v>468</v>
      </c>
      <c r="G464" s="204" t="s">
        <v>469</v>
      </c>
      <c r="H464" s="193">
        <v>1</v>
      </c>
      <c r="I464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464" s="88">
        <v>43996</v>
      </c>
      <c r="K464" s="139" t="s">
        <v>461</v>
      </c>
      <c r="L464" s="198" t="s">
        <v>470</v>
      </c>
      <c r="M464" s="139"/>
      <c r="N464" s="197"/>
      <c r="O464" s="316">
        <f>MONTH(LstMachines[[#This Row],[Delivery]])</f>
        <v>6</v>
      </c>
      <c r="P464" s="196" t="str">
        <f>FIXED(YEAR(LstMachines[[#This Row],[Delivery]]),0,TRUE)</f>
        <v>2020</v>
      </c>
      <c r="Q464" s="205"/>
      <c r="R464" s="241"/>
      <c r="S464" s="197"/>
      <c r="T464" s="197"/>
      <c r="U464" s="197"/>
      <c r="V464" s="193"/>
      <c r="W464" s="139"/>
      <c r="X464" s="197">
        <f>LstMachines[[#This Row],[Delivery]]</f>
        <v>43996</v>
      </c>
      <c r="Y464" s="317" t="str">
        <f xml:space="preserve"> IF(MONTH(LstMachines[[#This Row],[DateLivr]])&lt;10,"0","") &amp; MONTH(LstMachines[[#This Row],[DateLivr]]) &amp;"-"&amp;YEAR(LstMachines[[#This Row],[DateLivr]])</f>
        <v>06-2020</v>
      </c>
      <c r="Z464" s="196">
        <f>LstMachines[[#This Row],[Delivery]]+Rglt_à_HCME</f>
        <v>44056</v>
      </c>
      <c r="AA464" s="317" t="str">
        <f xml:space="preserve"> IF(MONTH(LstMachines[[#This Row],[DatePaie]])&lt;10,"0","") &amp; MONTH(LstMachines[[#This Row],[DatePaie]])&amp;"-"&amp;YEAR(LstMachines[[#This Row],[DatePaie]])</f>
        <v>08-2020</v>
      </c>
      <c r="AB464" s="317">
        <f>LstMachines[[#This Row],[DateLivr]]+1</f>
        <v>43997</v>
      </c>
      <c r="AC464" s="317" t="str">
        <f xml:space="preserve"> IF(MONTH(LstMachines[[#This Row],[Distrib]])&lt;10,"0","") &amp; MONTH(LstMachines[[#This Row],[Distrib]]) &amp; "-" &amp; YEAR(LstMachines[[#This Row],[Distrib]])</f>
        <v>06-2020</v>
      </c>
      <c r="AD464" s="317">
        <f>LstMachines[[#This Row],[DateLivr]]+Délai_Vente</f>
        <v>44116</v>
      </c>
      <c r="AE464" s="317" t="str">
        <f xml:space="preserve"> IF(MONTH(LstMachines[[#This Row],[VteESM]])&lt;10,"0","") &amp; MONTH(LstMachines[[#This Row],[VteESM]]) &amp; "-" &amp; YEAR(LstMachines[[#This Row],[VteESM]])</f>
        <v>10-2020</v>
      </c>
      <c r="AF464" s="317">
        <f>LstMachines[[#This Row],[DateLivr]]+Rglt_à_ESMTP</f>
        <v>44056</v>
      </c>
      <c r="AG464" s="317" t="str">
        <f xml:space="preserve"> IF(MONTH(LstMachines[[#This Row],[RgltDistrib]])&lt;10,"0","") &amp; MONTH(LstMachines[[#This Row],[RgltDistrib]]) &amp; "-" &amp; YEAR(LstMachines[[#This Row],[RgltDistrib]])</f>
        <v>08-2020</v>
      </c>
      <c r="AH464" s="317">
        <f>LstMachines[[#This Row],[VteESM]]+Rglt_à_ESMTP</f>
        <v>44176</v>
      </c>
      <c r="AI464" s="317" t="str">
        <f xml:space="preserve"> IF(MONTH(LstMachines[[#This Row],[RgltVteESM]])&lt;10,"0","") &amp; MONTH(LstMachines[[#This Row],[RgltVteESM]]) &amp; "-" &amp; YEAR(LstMachines[[#This Row],[RgltVteESM]])</f>
        <v>12-2020</v>
      </c>
      <c r="AJ464" s="316">
        <f>MONTH(LstMachines[[#This Row],[DatePaie]])</f>
        <v>8</v>
      </c>
      <c r="AK464" s="196" t="str">
        <f>FIXED(YEAR(LstMachines[[#This Row],[DatePaie]]),0,TRUE)</f>
        <v>2020</v>
      </c>
      <c r="AL464" s="316"/>
      <c r="AM464" s="414"/>
    </row>
    <row r="465" spans="2:39" hidden="1">
      <c r="B465" s="194" t="s">
        <v>262</v>
      </c>
      <c r="C465" s="194" t="s">
        <v>40</v>
      </c>
      <c r="D465" s="195">
        <v>135</v>
      </c>
      <c r="E465" s="194" t="s">
        <v>194</v>
      </c>
      <c r="F465" s="204" t="s">
        <v>468</v>
      </c>
      <c r="G465" s="204" t="s">
        <v>469</v>
      </c>
      <c r="H465" s="193">
        <v>1</v>
      </c>
      <c r="I465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465" s="88">
        <v>43996</v>
      </c>
      <c r="K465" s="139" t="s">
        <v>461</v>
      </c>
      <c r="L465" s="198" t="s">
        <v>470</v>
      </c>
      <c r="M465" s="139"/>
      <c r="N465" s="197"/>
      <c r="O465" s="316">
        <f>MONTH(LstMachines[[#This Row],[Delivery]])</f>
        <v>6</v>
      </c>
      <c r="P465" s="196" t="str">
        <f>FIXED(YEAR(LstMachines[[#This Row],[Delivery]]),0,TRUE)</f>
        <v>2020</v>
      </c>
      <c r="Q465" s="205"/>
      <c r="R465" s="241"/>
      <c r="S465" s="197"/>
      <c r="T465" s="197"/>
      <c r="U465" s="197"/>
      <c r="V465" s="193"/>
      <c r="W465" s="139"/>
      <c r="X465" s="197">
        <f>LstMachines[[#This Row],[Delivery]]</f>
        <v>43996</v>
      </c>
      <c r="Y465" s="317" t="str">
        <f xml:space="preserve"> IF(MONTH(LstMachines[[#This Row],[DateLivr]])&lt;10,"0","") &amp; MONTH(LstMachines[[#This Row],[DateLivr]]) &amp;"-"&amp;YEAR(LstMachines[[#This Row],[DateLivr]])</f>
        <v>06-2020</v>
      </c>
      <c r="Z465" s="196">
        <f>LstMachines[[#This Row],[Delivery]]+Rglt_à_HCME</f>
        <v>44056</v>
      </c>
      <c r="AA465" s="317" t="str">
        <f xml:space="preserve"> IF(MONTH(LstMachines[[#This Row],[DatePaie]])&lt;10,"0","") &amp; MONTH(LstMachines[[#This Row],[DatePaie]])&amp;"-"&amp;YEAR(LstMachines[[#This Row],[DatePaie]])</f>
        <v>08-2020</v>
      </c>
      <c r="AB465" s="317">
        <f>LstMachines[[#This Row],[DateLivr]]+1</f>
        <v>43997</v>
      </c>
      <c r="AC465" s="317" t="str">
        <f xml:space="preserve"> IF(MONTH(LstMachines[[#This Row],[Distrib]])&lt;10,"0","") &amp; MONTH(LstMachines[[#This Row],[Distrib]]) &amp; "-" &amp; YEAR(LstMachines[[#This Row],[Distrib]])</f>
        <v>06-2020</v>
      </c>
      <c r="AD465" s="317">
        <f>LstMachines[[#This Row],[DateLivr]]+Délai_Vente</f>
        <v>44116</v>
      </c>
      <c r="AE465" s="317" t="str">
        <f xml:space="preserve"> IF(MONTH(LstMachines[[#This Row],[VteESM]])&lt;10,"0","") &amp; MONTH(LstMachines[[#This Row],[VteESM]]) &amp; "-" &amp; YEAR(LstMachines[[#This Row],[VteESM]])</f>
        <v>10-2020</v>
      </c>
      <c r="AF465" s="317">
        <f>LstMachines[[#This Row],[DateLivr]]+Rglt_à_ESMTP</f>
        <v>44056</v>
      </c>
      <c r="AG465" s="317" t="str">
        <f xml:space="preserve"> IF(MONTH(LstMachines[[#This Row],[RgltDistrib]])&lt;10,"0","") &amp; MONTH(LstMachines[[#This Row],[RgltDistrib]]) &amp; "-" &amp; YEAR(LstMachines[[#This Row],[RgltDistrib]])</f>
        <v>08-2020</v>
      </c>
      <c r="AH465" s="317">
        <f>LstMachines[[#This Row],[VteESM]]+Rglt_à_ESMTP</f>
        <v>44176</v>
      </c>
      <c r="AI465" s="317" t="str">
        <f xml:space="preserve"> IF(MONTH(LstMachines[[#This Row],[RgltVteESM]])&lt;10,"0","") &amp; MONTH(LstMachines[[#This Row],[RgltVteESM]]) &amp; "-" &amp; YEAR(LstMachines[[#This Row],[RgltVteESM]])</f>
        <v>12-2020</v>
      </c>
      <c r="AJ465" s="316">
        <f>MONTH(LstMachines[[#This Row],[DatePaie]])</f>
        <v>8</v>
      </c>
      <c r="AK465" s="196" t="str">
        <f>FIXED(YEAR(LstMachines[[#This Row],[DatePaie]]),0,TRUE)</f>
        <v>2020</v>
      </c>
      <c r="AL465" s="316"/>
      <c r="AM465" s="414"/>
    </row>
    <row r="466" spans="2:39" hidden="1">
      <c r="B466" s="104" t="s">
        <v>75</v>
      </c>
      <c r="C466" s="104" t="s">
        <v>37</v>
      </c>
      <c r="D466" s="87">
        <v>48</v>
      </c>
      <c r="E466" s="86"/>
      <c r="F466" s="87" t="s">
        <v>67</v>
      </c>
      <c r="G466" s="87" t="s">
        <v>107</v>
      </c>
      <c r="H466" s="89">
        <v>3</v>
      </c>
      <c r="I46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123</v>
      </c>
      <c r="J466" s="88">
        <v>43997</v>
      </c>
      <c r="K466" s="99" t="s">
        <v>461</v>
      </c>
      <c r="L466" s="85" t="s">
        <v>390</v>
      </c>
      <c r="M466" s="99"/>
      <c r="N466" s="90"/>
      <c r="O466" s="255">
        <f>MONTH(LstMachines[[#This Row],[Delivery]])</f>
        <v>6</v>
      </c>
      <c r="P466" s="256" t="str">
        <f>FIXED(YEAR(LstMachines[[#This Row],[Delivery]]),0,TRUE)</f>
        <v>2020</v>
      </c>
      <c r="Q466" s="73"/>
      <c r="R466" s="93"/>
      <c r="S466" s="90"/>
      <c r="T466" s="90"/>
      <c r="U466" s="90" t="s">
        <v>105</v>
      </c>
      <c r="V466" s="72"/>
      <c r="W466" s="99" t="s">
        <v>384</v>
      </c>
      <c r="X466" s="258">
        <f>LstMachines[[#This Row],[Delivery]]</f>
        <v>43997</v>
      </c>
      <c r="Y466" s="258" t="str">
        <f xml:space="preserve"> IF(MONTH(LstMachines[[#This Row],[DateLivr]])&lt;10,"0","") &amp; MONTH(LstMachines[[#This Row],[DateLivr]]) &amp;"-"&amp;YEAR(LstMachines[[#This Row],[DateLivr]])</f>
        <v>06-2020</v>
      </c>
      <c r="Z466" s="258">
        <f>LstMachines[[#This Row],[Delivery]]+Rglt_à_HCME</f>
        <v>44057</v>
      </c>
      <c r="AA466" s="258" t="str">
        <f xml:space="preserve"> IF(MONTH(LstMachines[[#This Row],[DatePaie]])&lt;10,"0","") &amp; MONTH(LstMachines[[#This Row],[DatePaie]])&amp;"-"&amp;YEAR(LstMachines[[#This Row],[DatePaie]])</f>
        <v>08-2020</v>
      </c>
      <c r="AB466" s="258">
        <f>LstMachines[[#This Row],[DateLivr]]+1</f>
        <v>43998</v>
      </c>
      <c r="AC466" s="258" t="str">
        <f xml:space="preserve"> IF(MONTH(LstMachines[[#This Row],[Distrib]])&lt;10,"0","") &amp; MONTH(LstMachines[[#This Row],[Distrib]]) &amp; "-" &amp; YEAR(LstMachines[[#This Row],[Distrib]])</f>
        <v>06-2020</v>
      </c>
      <c r="AD466" s="258">
        <f>LstMachines[[#This Row],[DateLivr]]+Délai_Vente</f>
        <v>44117</v>
      </c>
      <c r="AE466" s="258" t="str">
        <f xml:space="preserve"> IF(MONTH(LstMachines[[#This Row],[VteESM]])&lt;10,"0","") &amp; MONTH(LstMachines[[#This Row],[VteESM]]) &amp; "-" &amp; YEAR(LstMachines[[#This Row],[VteESM]])</f>
        <v>10-2020</v>
      </c>
      <c r="AF466" s="258">
        <f>LstMachines[[#This Row],[DateLivr]]+Rglt_à_ESMTP</f>
        <v>44057</v>
      </c>
      <c r="AG466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66" s="258">
        <f>LstMachines[[#This Row],[VteESM]]+Rglt_à_ESMTP</f>
        <v>44177</v>
      </c>
      <c r="AI466" s="258" t="str">
        <f xml:space="preserve"> IF(MONTH(LstMachines[[#This Row],[RgltVteESM]])&lt;10,"0","") &amp; MONTH(LstMachines[[#This Row],[RgltVteESM]]) &amp; "-" &amp; YEAR(LstMachines[[#This Row],[RgltVteESM]])</f>
        <v>12-2020</v>
      </c>
      <c r="AJ466" s="140">
        <f>MONTH(LstMachines[[#This Row],[DatePaie]])</f>
        <v>8</v>
      </c>
      <c r="AK466" s="88" t="str">
        <f>FIXED(YEAR(LstMachines[[#This Row],[DatePaie]]),0,TRUE)</f>
        <v>2020</v>
      </c>
      <c r="AL466" s="140"/>
      <c r="AM466" s="414"/>
    </row>
    <row r="467" spans="2:39" hidden="1">
      <c r="B467" s="104" t="s">
        <v>75</v>
      </c>
      <c r="C467" s="104" t="s">
        <v>35</v>
      </c>
      <c r="D467" s="87">
        <v>19</v>
      </c>
      <c r="E467" s="86"/>
      <c r="F467" s="87" t="s">
        <v>67</v>
      </c>
      <c r="G467" s="87" t="s">
        <v>107</v>
      </c>
      <c r="H467" s="89">
        <v>8</v>
      </c>
      <c r="I46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144</v>
      </c>
      <c r="J467" s="88">
        <v>43997</v>
      </c>
      <c r="K467" s="99" t="s">
        <v>461</v>
      </c>
      <c r="L467" s="85" t="s">
        <v>390</v>
      </c>
      <c r="M467" s="99"/>
      <c r="N467" s="90"/>
      <c r="O467" s="255">
        <f>MONTH(LstMachines[[#This Row],[Delivery]])</f>
        <v>6</v>
      </c>
      <c r="P467" s="256" t="str">
        <f>FIXED(YEAR(LstMachines[[#This Row],[Delivery]]),0,TRUE)</f>
        <v>2020</v>
      </c>
      <c r="Q467" s="73"/>
      <c r="R467" s="93"/>
      <c r="S467" s="90"/>
      <c r="T467" s="90"/>
      <c r="U467" s="90" t="s">
        <v>105</v>
      </c>
      <c r="V467" s="72"/>
      <c r="W467" s="99" t="s">
        <v>384</v>
      </c>
      <c r="X467" s="258">
        <f>LstMachines[[#This Row],[Delivery]]</f>
        <v>43997</v>
      </c>
      <c r="Y467" s="258" t="str">
        <f xml:space="preserve"> IF(MONTH(LstMachines[[#This Row],[DateLivr]])&lt;10,"0","") &amp; MONTH(LstMachines[[#This Row],[DateLivr]]) &amp;"-"&amp;YEAR(LstMachines[[#This Row],[DateLivr]])</f>
        <v>06-2020</v>
      </c>
      <c r="Z467" s="258">
        <f>LstMachines[[#This Row],[Delivery]]+Rglt_à_HCME</f>
        <v>44057</v>
      </c>
      <c r="AA467" s="258" t="str">
        <f xml:space="preserve"> IF(MONTH(LstMachines[[#This Row],[DatePaie]])&lt;10,"0","") &amp; MONTH(LstMachines[[#This Row],[DatePaie]])&amp;"-"&amp;YEAR(LstMachines[[#This Row],[DatePaie]])</f>
        <v>08-2020</v>
      </c>
      <c r="AB467" s="258">
        <f>LstMachines[[#This Row],[DateLivr]]+1</f>
        <v>43998</v>
      </c>
      <c r="AC467" s="258" t="str">
        <f xml:space="preserve"> IF(MONTH(LstMachines[[#This Row],[Distrib]])&lt;10,"0","") &amp; MONTH(LstMachines[[#This Row],[Distrib]]) &amp; "-" &amp; YEAR(LstMachines[[#This Row],[Distrib]])</f>
        <v>06-2020</v>
      </c>
      <c r="AD467" s="258">
        <f>LstMachines[[#This Row],[DateLivr]]+Délai_Vente</f>
        <v>44117</v>
      </c>
      <c r="AE467" s="258" t="str">
        <f xml:space="preserve"> IF(MONTH(LstMachines[[#This Row],[VteESM]])&lt;10,"0","") &amp; MONTH(LstMachines[[#This Row],[VteESM]]) &amp; "-" &amp; YEAR(LstMachines[[#This Row],[VteESM]])</f>
        <v>10-2020</v>
      </c>
      <c r="AF467" s="258">
        <f>LstMachines[[#This Row],[DateLivr]]+Rglt_à_ESMTP</f>
        <v>44057</v>
      </c>
      <c r="AG467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67" s="258">
        <f>LstMachines[[#This Row],[VteESM]]+Rglt_à_ESMTP</f>
        <v>44177</v>
      </c>
      <c r="AI467" s="258" t="str">
        <f xml:space="preserve"> IF(MONTH(LstMachines[[#This Row],[RgltVteESM]])&lt;10,"0","") &amp; MONTH(LstMachines[[#This Row],[RgltVteESM]]) &amp; "-" &amp; YEAR(LstMachines[[#This Row],[RgltVteESM]])</f>
        <v>12-2020</v>
      </c>
      <c r="AJ467" s="140">
        <f>MONTH(LstMachines[[#This Row],[DatePaie]])</f>
        <v>8</v>
      </c>
      <c r="AK467" s="88" t="str">
        <f>FIXED(YEAR(LstMachines[[#This Row],[DatePaie]]),0,TRUE)</f>
        <v>2020</v>
      </c>
      <c r="AL467" s="140"/>
      <c r="AM467" s="414"/>
    </row>
    <row r="468" spans="2:39" hidden="1">
      <c r="B468" s="104" t="s">
        <v>75</v>
      </c>
      <c r="C468" s="104" t="s">
        <v>38</v>
      </c>
      <c r="D468" s="87">
        <v>65</v>
      </c>
      <c r="E468" s="86"/>
      <c r="F468" s="87" t="s">
        <v>67</v>
      </c>
      <c r="G468" s="87" t="s">
        <v>107</v>
      </c>
      <c r="H468" s="89">
        <v>4</v>
      </c>
      <c r="I46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180</v>
      </c>
      <c r="J468" s="88">
        <v>43997</v>
      </c>
      <c r="K468" s="99" t="s">
        <v>461</v>
      </c>
      <c r="L468" s="85" t="s">
        <v>390</v>
      </c>
      <c r="M468" s="99"/>
      <c r="N468" s="90"/>
      <c r="O468" s="255">
        <f>MONTH(LstMachines[[#This Row],[Delivery]])</f>
        <v>6</v>
      </c>
      <c r="P468" s="256" t="str">
        <f>FIXED(YEAR(LstMachines[[#This Row],[Delivery]]),0,TRUE)</f>
        <v>2020</v>
      </c>
      <c r="Q468" s="73"/>
      <c r="R468" s="93"/>
      <c r="S468" s="90"/>
      <c r="T468" s="90"/>
      <c r="U468" s="90" t="s">
        <v>105</v>
      </c>
      <c r="V468" s="72"/>
      <c r="W468" s="99" t="s">
        <v>384</v>
      </c>
      <c r="X468" s="258">
        <f>LstMachines[[#This Row],[Delivery]]</f>
        <v>43997</v>
      </c>
      <c r="Y468" s="258" t="str">
        <f xml:space="preserve"> IF(MONTH(LstMachines[[#This Row],[DateLivr]])&lt;10,"0","") &amp; MONTH(LstMachines[[#This Row],[DateLivr]]) &amp;"-"&amp;YEAR(LstMachines[[#This Row],[DateLivr]])</f>
        <v>06-2020</v>
      </c>
      <c r="Z468" s="258">
        <f>LstMachines[[#This Row],[Delivery]]+Rglt_à_HCME</f>
        <v>44057</v>
      </c>
      <c r="AA468" s="258" t="str">
        <f xml:space="preserve"> IF(MONTH(LstMachines[[#This Row],[DatePaie]])&lt;10,"0","") &amp; MONTH(LstMachines[[#This Row],[DatePaie]])&amp;"-"&amp;YEAR(LstMachines[[#This Row],[DatePaie]])</f>
        <v>08-2020</v>
      </c>
      <c r="AB468" s="258">
        <f>LstMachines[[#This Row],[DateLivr]]+1</f>
        <v>43998</v>
      </c>
      <c r="AC468" s="258" t="str">
        <f xml:space="preserve"> IF(MONTH(LstMachines[[#This Row],[Distrib]])&lt;10,"0","") &amp; MONTH(LstMachines[[#This Row],[Distrib]]) &amp; "-" &amp; YEAR(LstMachines[[#This Row],[Distrib]])</f>
        <v>06-2020</v>
      </c>
      <c r="AD468" s="258">
        <f>LstMachines[[#This Row],[DateLivr]]+Délai_Vente</f>
        <v>44117</v>
      </c>
      <c r="AE468" s="258" t="str">
        <f xml:space="preserve"> IF(MONTH(LstMachines[[#This Row],[VteESM]])&lt;10,"0","") &amp; MONTH(LstMachines[[#This Row],[VteESM]]) &amp; "-" &amp; YEAR(LstMachines[[#This Row],[VteESM]])</f>
        <v>10-2020</v>
      </c>
      <c r="AF468" s="258">
        <f>LstMachines[[#This Row],[DateLivr]]+Rglt_à_ESMTP</f>
        <v>44057</v>
      </c>
      <c r="AG468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68" s="258">
        <f>LstMachines[[#This Row],[VteESM]]+Rglt_à_ESMTP</f>
        <v>44177</v>
      </c>
      <c r="AI468" s="258" t="str">
        <f xml:space="preserve"> IF(MONTH(LstMachines[[#This Row],[RgltVteESM]])&lt;10,"0","") &amp; MONTH(LstMachines[[#This Row],[RgltVteESM]]) &amp; "-" &amp; YEAR(LstMachines[[#This Row],[RgltVteESM]])</f>
        <v>12-2020</v>
      </c>
      <c r="AJ468" s="140">
        <f>MONTH(LstMachines[[#This Row],[DatePaie]])</f>
        <v>8</v>
      </c>
      <c r="AK468" s="88" t="str">
        <f>FIXED(YEAR(LstMachines[[#This Row],[DatePaie]]),0,TRUE)</f>
        <v>2020</v>
      </c>
      <c r="AL468" s="140"/>
      <c r="AM468" s="414"/>
    </row>
    <row r="469" spans="2:39" hidden="1">
      <c r="B469" s="104" t="s">
        <v>262</v>
      </c>
      <c r="C469" s="104" t="s">
        <v>46</v>
      </c>
      <c r="D469" s="87">
        <v>350</v>
      </c>
      <c r="E469" s="86"/>
      <c r="F469" s="87" t="s">
        <v>67</v>
      </c>
      <c r="G469" s="87" t="s">
        <v>107</v>
      </c>
      <c r="H469" s="89">
        <v>1</v>
      </c>
      <c r="I46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188</v>
      </c>
      <c r="J469" s="88">
        <v>43997</v>
      </c>
      <c r="K469" s="99" t="s">
        <v>461</v>
      </c>
      <c r="L469" s="85" t="s">
        <v>390</v>
      </c>
      <c r="M469" s="99"/>
      <c r="N469" s="90"/>
      <c r="O469" s="255">
        <f>MONTH(LstMachines[[#This Row],[Delivery]])</f>
        <v>6</v>
      </c>
      <c r="P469" s="256" t="str">
        <f>FIXED(YEAR(LstMachines[[#This Row],[Delivery]]),0,TRUE)</f>
        <v>2020</v>
      </c>
      <c r="Q469" s="73"/>
      <c r="R469" s="93"/>
      <c r="S469" s="90"/>
      <c r="T469" s="90"/>
      <c r="U469" s="90" t="s">
        <v>105</v>
      </c>
      <c r="V469" s="72"/>
      <c r="W469" s="99" t="s">
        <v>384</v>
      </c>
      <c r="X469" s="258">
        <f>LstMachines[[#This Row],[Delivery]]</f>
        <v>43997</v>
      </c>
      <c r="Y469" s="258" t="str">
        <f xml:space="preserve"> IF(MONTH(LstMachines[[#This Row],[DateLivr]])&lt;10,"0","") &amp; MONTH(LstMachines[[#This Row],[DateLivr]]) &amp;"-"&amp;YEAR(LstMachines[[#This Row],[DateLivr]])</f>
        <v>06-2020</v>
      </c>
      <c r="Z469" s="258">
        <f>LstMachines[[#This Row],[Delivery]]+Rglt_à_HCME</f>
        <v>44057</v>
      </c>
      <c r="AA469" s="258" t="str">
        <f xml:space="preserve"> IF(MONTH(LstMachines[[#This Row],[DatePaie]])&lt;10,"0","") &amp; MONTH(LstMachines[[#This Row],[DatePaie]])&amp;"-"&amp;YEAR(LstMachines[[#This Row],[DatePaie]])</f>
        <v>08-2020</v>
      </c>
      <c r="AB469" s="258">
        <f>LstMachines[[#This Row],[DateLivr]]+1</f>
        <v>43998</v>
      </c>
      <c r="AC469" s="258" t="str">
        <f xml:space="preserve"> IF(MONTH(LstMachines[[#This Row],[Distrib]])&lt;10,"0","") &amp; MONTH(LstMachines[[#This Row],[Distrib]]) &amp; "-" &amp; YEAR(LstMachines[[#This Row],[Distrib]])</f>
        <v>06-2020</v>
      </c>
      <c r="AD469" s="258">
        <f>LstMachines[[#This Row],[DateLivr]]+Délai_Vente</f>
        <v>44117</v>
      </c>
      <c r="AE469" s="258" t="str">
        <f xml:space="preserve"> IF(MONTH(LstMachines[[#This Row],[VteESM]])&lt;10,"0","") &amp; MONTH(LstMachines[[#This Row],[VteESM]]) &amp; "-" &amp; YEAR(LstMachines[[#This Row],[VteESM]])</f>
        <v>10-2020</v>
      </c>
      <c r="AF469" s="258">
        <f>LstMachines[[#This Row],[DateLivr]]+Rglt_à_ESMTP</f>
        <v>44057</v>
      </c>
      <c r="AG469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69" s="258">
        <f>LstMachines[[#This Row],[VteESM]]+Rglt_à_ESMTP</f>
        <v>44177</v>
      </c>
      <c r="AI469" s="258" t="str">
        <f xml:space="preserve"> IF(MONTH(LstMachines[[#This Row],[RgltVteESM]])&lt;10,"0","") &amp; MONTH(LstMachines[[#This Row],[RgltVteESM]]) &amp; "-" &amp; YEAR(LstMachines[[#This Row],[RgltVteESM]])</f>
        <v>12-2020</v>
      </c>
      <c r="AJ469" s="140">
        <f>MONTH(LstMachines[[#This Row],[DatePaie]])</f>
        <v>8</v>
      </c>
      <c r="AK469" s="88" t="str">
        <f>FIXED(YEAR(LstMachines[[#This Row],[DatePaie]]),0,TRUE)</f>
        <v>2020</v>
      </c>
      <c r="AL469" s="140"/>
      <c r="AM469" s="414"/>
    </row>
    <row r="470" spans="2:39" hidden="1">
      <c r="B470" s="104" t="s">
        <v>75</v>
      </c>
      <c r="C470" s="104" t="s">
        <v>69</v>
      </c>
      <c r="D470" s="87">
        <v>55</v>
      </c>
      <c r="E470" s="86"/>
      <c r="F470" s="87" t="s">
        <v>67</v>
      </c>
      <c r="G470" s="87" t="s">
        <v>107</v>
      </c>
      <c r="H470" s="89">
        <v>5</v>
      </c>
      <c r="I47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215</v>
      </c>
      <c r="J470" s="88">
        <v>43997</v>
      </c>
      <c r="K470" s="99" t="s">
        <v>461</v>
      </c>
      <c r="L470" s="85" t="s">
        <v>390</v>
      </c>
      <c r="M470" s="99"/>
      <c r="N470" s="90"/>
      <c r="O470" s="255">
        <f>MONTH(LstMachines[[#This Row],[Delivery]])</f>
        <v>6</v>
      </c>
      <c r="P470" s="256" t="str">
        <f>FIXED(YEAR(LstMachines[[#This Row],[Delivery]]),0,TRUE)</f>
        <v>2020</v>
      </c>
      <c r="Q470" s="73"/>
      <c r="R470" s="93"/>
      <c r="S470" s="90"/>
      <c r="T470" s="90"/>
      <c r="U470" s="90" t="s">
        <v>105</v>
      </c>
      <c r="V470" s="72"/>
      <c r="W470" s="99" t="s">
        <v>384</v>
      </c>
      <c r="X470" s="258">
        <f>LstMachines[[#This Row],[Delivery]]</f>
        <v>43997</v>
      </c>
      <c r="Y470" s="258" t="str">
        <f xml:space="preserve"> IF(MONTH(LstMachines[[#This Row],[DateLivr]])&lt;10,"0","") &amp; MONTH(LstMachines[[#This Row],[DateLivr]]) &amp;"-"&amp;YEAR(LstMachines[[#This Row],[DateLivr]])</f>
        <v>06-2020</v>
      </c>
      <c r="Z470" s="258">
        <f>LstMachines[[#This Row],[Delivery]]+Rglt_à_HCME</f>
        <v>44057</v>
      </c>
      <c r="AA470" s="258" t="str">
        <f xml:space="preserve"> IF(MONTH(LstMachines[[#This Row],[DatePaie]])&lt;10,"0","") &amp; MONTH(LstMachines[[#This Row],[DatePaie]])&amp;"-"&amp;YEAR(LstMachines[[#This Row],[DatePaie]])</f>
        <v>08-2020</v>
      </c>
      <c r="AB470" s="258">
        <f>LstMachines[[#This Row],[DateLivr]]+1</f>
        <v>43998</v>
      </c>
      <c r="AC470" s="258" t="str">
        <f xml:space="preserve"> IF(MONTH(LstMachines[[#This Row],[Distrib]])&lt;10,"0","") &amp; MONTH(LstMachines[[#This Row],[Distrib]]) &amp; "-" &amp; YEAR(LstMachines[[#This Row],[Distrib]])</f>
        <v>06-2020</v>
      </c>
      <c r="AD470" s="258">
        <f>LstMachines[[#This Row],[DateLivr]]+Délai_Vente</f>
        <v>44117</v>
      </c>
      <c r="AE470" s="258" t="str">
        <f xml:space="preserve"> IF(MONTH(LstMachines[[#This Row],[VteESM]])&lt;10,"0","") &amp; MONTH(LstMachines[[#This Row],[VteESM]]) &amp; "-" &amp; YEAR(LstMachines[[#This Row],[VteESM]])</f>
        <v>10-2020</v>
      </c>
      <c r="AF470" s="258">
        <f>LstMachines[[#This Row],[DateLivr]]+Rglt_à_ESMTP</f>
        <v>44057</v>
      </c>
      <c r="AG470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70" s="258">
        <f>LstMachines[[#This Row],[VteESM]]+Rglt_à_ESMTP</f>
        <v>44177</v>
      </c>
      <c r="AI470" s="258" t="str">
        <f xml:space="preserve"> IF(MONTH(LstMachines[[#This Row],[RgltVteESM]])&lt;10,"0","") &amp; MONTH(LstMachines[[#This Row],[RgltVteESM]]) &amp; "-" &amp; YEAR(LstMachines[[#This Row],[RgltVteESM]])</f>
        <v>12-2020</v>
      </c>
      <c r="AJ470" s="140">
        <f>MONTH(LstMachines[[#This Row],[DatePaie]])</f>
        <v>8</v>
      </c>
      <c r="AK470" s="88" t="str">
        <f>FIXED(YEAR(LstMachines[[#This Row],[DatePaie]]),0,TRUE)</f>
        <v>2020</v>
      </c>
      <c r="AL470" s="140"/>
      <c r="AM470" s="414"/>
    </row>
    <row r="471" spans="2:39" hidden="1">
      <c r="B471" s="104" t="s">
        <v>75</v>
      </c>
      <c r="C471" s="104" t="s">
        <v>36</v>
      </c>
      <c r="D471" s="87">
        <v>26</v>
      </c>
      <c r="E471" s="86"/>
      <c r="F471" s="87" t="s">
        <v>67</v>
      </c>
      <c r="G471" s="87" t="s">
        <v>107</v>
      </c>
      <c r="H471" s="89">
        <v>10</v>
      </c>
      <c r="I47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220</v>
      </c>
      <c r="J471" s="88">
        <v>43997</v>
      </c>
      <c r="K471" s="99" t="s">
        <v>461</v>
      </c>
      <c r="L471" s="85" t="s">
        <v>390</v>
      </c>
      <c r="M471" s="99"/>
      <c r="N471" s="90"/>
      <c r="O471" s="255">
        <f>MONTH(LstMachines[[#This Row],[Delivery]])</f>
        <v>6</v>
      </c>
      <c r="P471" s="256" t="str">
        <f>FIXED(YEAR(LstMachines[[#This Row],[Delivery]]),0,TRUE)</f>
        <v>2020</v>
      </c>
      <c r="Q471" s="73"/>
      <c r="R471" s="93"/>
      <c r="S471" s="90"/>
      <c r="T471" s="90"/>
      <c r="U471" s="90" t="s">
        <v>105</v>
      </c>
      <c r="V471" s="72"/>
      <c r="W471" s="99" t="s">
        <v>384</v>
      </c>
      <c r="X471" s="258">
        <f>LstMachines[[#This Row],[Delivery]]</f>
        <v>43997</v>
      </c>
      <c r="Y471" s="258" t="str">
        <f xml:space="preserve"> IF(MONTH(LstMachines[[#This Row],[DateLivr]])&lt;10,"0","") &amp; MONTH(LstMachines[[#This Row],[DateLivr]]) &amp;"-"&amp;YEAR(LstMachines[[#This Row],[DateLivr]])</f>
        <v>06-2020</v>
      </c>
      <c r="Z471" s="258">
        <f>LstMachines[[#This Row],[Delivery]]+Rglt_à_HCME</f>
        <v>44057</v>
      </c>
      <c r="AA471" s="258" t="str">
        <f xml:space="preserve"> IF(MONTH(LstMachines[[#This Row],[DatePaie]])&lt;10,"0","") &amp; MONTH(LstMachines[[#This Row],[DatePaie]])&amp;"-"&amp;YEAR(LstMachines[[#This Row],[DatePaie]])</f>
        <v>08-2020</v>
      </c>
      <c r="AB471" s="258">
        <f>LstMachines[[#This Row],[DateLivr]]+1</f>
        <v>43998</v>
      </c>
      <c r="AC471" s="258" t="str">
        <f xml:space="preserve"> IF(MONTH(LstMachines[[#This Row],[Distrib]])&lt;10,"0","") &amp; MONTH(LstMachines[[#This Row],[Distrib]]) &amp; "-" &amp; YEAR(LstMachines[[#This Row],[Distrib]])</f>
        <v>06-2020</v>
      </c>
      <c r="AD471" s="258">
        <f>LstMachines[[#This Row],[DateLivr]]+Délai_Vente</f>
        <v>44117</v>
      </c>
      <c r="AE471" s="258" t="str">
        <f xml:space="preserve"> IF(MONTH(LstMachines[[#This Row],[VteESM]])&lt;10,"0","") &amp; MONTH(LstMachines[[#This Row],[VteESM]]) &amp; "-" &amp; YEAR(LstMachines[[#This Row],[VteESM]])</f>
        <v>10-2020</v>
      </c>
      <c r="AF471" s="258">
        <f>LstMachines[[#This Row],[DateLivr]]+Rglt_à_ESMTP</f>
        <v>44057</v>
      </c>
      <c r="AG471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71" s="258">
        <f>LstMachines[[#This Row],[VteESM]]+Rglt_à_ESMTP</f>
        <v>44177</v>
      </c>
      <c r="AI471" s="258" t="str">
        <f xml:space="preserve"> IF(MONTH(LstMachines[[#This Row],[RgltVteESM]])&lt;10,"0","") &amp; MONTH(LstMachines[[#This Row],[RgltVteESM]]) &amp; "-" &amp; YEAR(LstMachines[[#This Row],[RgltVteESM]])</f>
        <v>12-2020</v>
      </c>
      <c r="AJ471" s="140">
        <f>MONTH(LstMachines[[#This Row],[DatePaie]])</f>
        <v>8</v>
      </c>
      <c r="AK471" s="88" t="str">
        <f>FIXED(YEAR(LstMachines[[#This Row],[DatePaie]]),0,TRUE)</f>
        <v>2020</v>
      </c>
      <c r="AL471" s="140"/>
      <c r="AM471" s="414"/>
    </row>
    <row r="472" spans="2:39" hidden="1">
      <c r="B472" s="104" t="s">
        <v>262</v>
      </c>
      <c r="C472" s="104" t="s">
        <v>47</v>
      </c>
      <c r="D472" s="87">
        <v>490</v>
      </c>
      <c r="E472" s="86"/>
      <c r="F472" s="87" t="s">
        <v>67</v>
      </c>
      <c r="G472" s="87" t="s">
        <v>107</v>
      </c>
      <c r="H472" s="89">
        <v>1</v>
      </c>
      <c r="I47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260</v>
      </c>
      <c r="J472" s="88">
        <v>43997</v>
      </c>
      <c r="K472" s="99" t="s">
        <v>461</v>
      </c>
      <c r="L472" s="85" t="s">
        <v>390</v>
      </c>
      <c r="M472" s="99"/>
      <c r="N472" s="90"/>
      <c r="O472" s="255">
        <f>MONTH(LstMachines[[#This Row],[Delivery]])</f>
        <v>6</v>
      </c>
      <c r="P472" s="256" t="str">
        <f>FIXED(YEAR(LstMachines[[#This Row],[Delivery]]),0,TRUE)</f>
        <v>2020</v>
      </c>
      <c r="Q472" s="73"/>
      <c r="R472" s="93"/>
      <c r="S472" s="90"/>
      <c r="T472" s="90"/>
      <c r="U472" s="90" t="s">
        <v>105</v>
      </c>
      <c r="V472" s="72"/>
      <c r="W472" s="99" t="s">
        <v>384</v>
      </c>
      <c r="X472" s="258">
        <f>LstMachines[[#This Row],[Delivery]]</f>
        <v>43997</v>
      </c>
      <c r="Y472" s="258" t="str">
        <f xml:space="preserve"> IF(MONTH(LstMachines[[#This Row],[DateLivr]])&lt;10,"0","") &amp; MONTH(LstMachines[[#This Row],[DateLivr]]) &amp;"-"&amp;YEAR(LstMachines[[#This Row],[DateLivr]])</f>
        <v>06-2020</v>
      </c>
      <c r="Z472" s="258">
        <f>LstMachines[[#This Row],[Delivery]]+Rglt_à_HCME</f>
        <v>44057</v>
      </c>
      <c r="AA472" s="258" t="str">
        <f xml:space="preserve"> IF(MONTH(LstMachines[[#This Row],[DatePaie]])&lt;10,"0","") &amp; MONTH(LstMachines[[#This Row],[DatePaie]])&amp;"-"&amp;YEAR(LstMachines[[#This Row],[DatePaie]])</f>
        <v>08-2020</v>
      </c>
      <c r="AB472" s="258">
        <f>LstMachines[[#This Row],[DateLivr]]+1</f>
        <v>43998</v>
      </c>
      <c r="AC472" s="258" t="str">
        <f xml:space="preserve"> IF(MONTH(LstMachines[[#This Row],[Distrib]])&lt;10,"0","") &amp; MONTH(LstMachines[[#This Row],[Distrib]]) &amp; "-" &amp; YEAR(LstMachines[[#This Row],[Distrib]])</f>
        <v>06-2020</v>
      </c>
      <c r="AD472" s="258">
        <f>LstMachines[[#This Row],[DateLivr]]+Délai_Vente</f>
        <v>44117</v>
      </c>
      <c r="AE472" s="258" t="str">
        <f xml:space="preserve"> IF(MONTH(LstMachines[[#This Row],[VteESM]])&lt;10,"0","") &amp; MONTH(LstMachines[[#This Row],[VteESM]]) &amp; "-" &amp; YEAR(LstMachines[[#This Row],[VteESM]])</f>
        <v>10-2020</v>
      </c>
      <c r="AF472" s="258">
        <f>LstMachines[[#This Row],[DateLivr]]+Rglt_à_ESMTP</f>
        <v>44057</v>
      </c>
      <c r="AG472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72" s="258">
        <f>LstMachines[[#This Row],[VteESM]]+Rglt_à_ESMTP</f>
        <v>44177</v>
      </c>
      <c r="AI472" s="258" t="str">
        <f xml:space="preserve"> IF(MONTH(LstMachines[[#This Row],[RgltVteESM]])&lt;10,"0","") &amp; MONTH(LstMachines[[#This Row],[RgltVteESM]]) &amp; "-" &amp; YEAR(LstMachines[[#This Row],[RgltVteESM]])</f>
        <v>12-2020</v>
      </c>
      <c r="AJ472" s="140">
        <f>MONTH(LstMachines[[#This Row],[DatePaie]])</f>
        <v>8</v>
      </c>
      <c r="AK472" s="88" t="str">
        <f>FIXED(YEAR(LstMachines[[#This Row],[DatePaie]]),0,TRUE)</f>
        <v>2020</v>
      </c>
      <c r="AL472" s="140"/>
      <c r="AM472" s="414"/>
    </row>
    <row r="473" spans="2:39" hidden="1">
      <c r="B473" s="104" t="s">
        <v>259</v>
      </c>
      <c r="C473" s="104" t="s">
        <v>48</v>
      </c>
      <c r="D473" s="87">
        <v>180</v>
      </c>
      <c r="E473" s="86"/>
      <c r="F473" s="87" t="s">
        <v>67</v>
      </c>
      <c r="G473" s="87" t="s">
        <v>107</v>
      </c>
      <c r="H473" s="89">
        <v>3</v>
      </c>
      <c r="I47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315</v>
      </c>
      <c r="J473" s="88">
        <v>43997</v>
      </c>
      <c r="K473" s="99" t="s">
        <v>461</v>
      </c>
      <c r="L473" s="85" t="s">
        <v>390</v>
      </c>
      <c r="M473" s="99"/>
      <c r="N473" s="90"/>
      <c r="O473" s="255">
        <f>MONTH(LstMachines[[#This Row],[Delivery]])</f>
        <v>6</v>
      </c>
      <c r="P473" s="256" t="str">
        <f>FIXED(YEAR(LstMachines[[#This Row],[Delivery]]),0,TRUE)</f>
        <v>2020</v>
      </c>
      <c r="Q473" s="73"/>
      <c r="R473" s="93"/>
      <c r="S473" s="90"/>
      <c r="T473" s="90"/>
      <c r="U473" s="90" t="s">
        <v>105</v>
      </c>
      <c r="V473" s="72"/>
      <c r="W473" s="99" t="s">
        <v>384</v>
      </c>
      <c r="X473" s="258">
        <f>LstMachines[[#This Row],[Delivery]]</f>
        <v>43997</v>
      </c>
      <c r="Y473" s="258" t="str">
        <f xml:space="preserve"> IF(MONTH(LstMachines[[#This Row],[DateLivr]])&lt;10,"0","") &amp; MONTH(LstMachines[[#This Row],[DateLivr]]) &amp;"-"&amp;YEAR(LstMachines[[#This Row],[DateLivr]])</f>
        <v>06-2020</v>
      </c>
      <c r="Z473" s="258">
        <f>LstMachines[[#This Row],[Delivery]]+Rglt_à_HCME</f>
        <v>44057</v>
      </c>
      <c r="AA473" s="258" t="str">
        <f xml:space="preserve"> IF(MONTH(LstMachines[[#This Row],[DatePaie]])&lt;10,"0","") &amp; MONTH(LstMachines[[#This Row],[DatePaie]])&amp;"-"&amp;YEAR(LstMachines[[#This Row],[DatePaie]])</f>
        <v>08-2020</v>
      </c>
      <c r="AB473" s="258">
        <f>LstMachines[[#This Row],[DateLivr]]+1</f>
        <v>43998</v>
      </c>
      <c r="AC473" s="258" t="str">
        <f xml:space="preserve"> IF(MONTH(LstMachines[[#This Row],[Distrib]])&lt;10,"0","") &amp; MONTH(LstMachines[[#This Row],[Distrib]]) &amp; "-" &amp; YEAR(LstMachines[[#This Row],[Distrib]])</f>
        <v>06-2020</v>
      </c>
      <c r="AD473" s="258">
        <f>LstMachines[[#This Row],[DateLivr]]+Délai_Vente</f>
        <v>44117</v>
      </c>
      <c r="AE473" s="258" t="str">
        <f xml:space="preserve"> IF(MONTH(LstMachines[[#This Row],[VteESM]])&lt;10,"0","") &amp; MONTH(LstMachines[[#This Row],[VteESM]]) &amp; "-" &amp; YEAR(LstMachines[[#This Row],[VteESM]])</f>
        <v>10-2020</v>
      </c>
      <c r="AF473" s="258">
        <f>LstMachines[[#This Row],[DateLivr]]+Rglt_à_ESMTP</f>
        <v>44057</v>
      </c>
      <c r="AG473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73" s="258">
        <f>LstMachines[[#This Row],[VteESM]]+Rglt_à_ESMTP</f>
        <v>44177</v>
      </c>
      <c r="AI473" s="258" t="str">
        <f xml:space="preserve"> IF(MONTH(LstMachines[[#This Row],[RgltVteESM]])&lt;10,"0","") &amp; MONTH(LstMachines[[#This Row],[RgltVteESM]]) &amp; "-" &amp; YEAR(LstMachines[[#This Row],[RgltVteESM]])</f>
        <v>12-2020</v>
      </c>
      <c r="AJ473" s="140">
        <f>MONTH(LstMachines[[#This Row],[DatePaie]])</f>
        <v>8</v>
      </c>
      <c r="AK473" s="88" t="str">
        <f>FIXED(YEAR(LstMachines[[#This Row],[DatePaie]]),0,TRUE)</f>
        <v>2020</v>
      </c>
      <c r="AL473" s="140"/>
      <c r="AM473" s="414"/>
    </row>
    <row r="474" spans="2:39" hidden="1">
      <c r="B474" s="104" t="s">
        <v>262</v>
      </c>
      <c r="C474" s="104" t="s">
        <v>45</v>
      </c>
      <c r="D474" s="87">
        <v>300</v>
      </c>
      <c r="E474" s="86"/>
      <c r="F474" s="87" t="s">
        <v>67</v>
      </c>
      <c r="G474" s="87" t="s">
        <v>107</v>
      </c>
      <c r="H474" s="89">
        <v>2</v>
      </c>
      <c r="I47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336</v>
      </c>
      <c r="J474" s="88">
        <v>43997</v>
      </c>
      <c r="K474" s="99" t="s">
        <v>461</v>
      </c>
      <c r="L474" s="85" t="s">
        <v>390</v>
      </c>
      <c r="M474" s="99"/>
      <c r="N474" s="90"/>
      <c r="O474" s="255">
        <f>MONTH(LstMachines[[#This Row],[Delivery]])</f>
        <v>6</v>
      </c>
      <c r="P474" s="256" t="str">
        <f>FIXED(YEAR(LstMachines[[#This Row],[Delivery]]),0,TRUE)</f>
        <v>2020</v>
      </c>
      <c r="Q474" s="73"/>
      <c r="R474" s="93"/>
      <c r="S474" s="90"/>
      <c r="T474" s="90"/>
      <c r="U474" s="90" t="s">
        <v>105</v>
      </c>
      <c r="V474" s="72"/>
      <c r="W474" s="99" t="s">
        <v>384</v>
      </c>
      <c r="X474" s="258">
        <f>LstMachines[[#This Row],[Delivery]]</f>
        <v>43997</v>
      </c>
      <c r="Y474" s="258" t="str">
        <f xml:space="preserve"> IF(MONTH(LstMachines[[#This Row],[DateLivr]])&lt;10,"0","") &amp; MONTH(LstMachines[[#This Row],[DateLivr]]) &amp;"-"&amp;YEAR(LstMachines[[#This Row],[DateLivr]])</f>
        <v>06-2020</v>
      </c>
      <c r="Z474" s="258">
        <f>LstMachines[[#This Row],[Delivery]]+Rglt_à_HCME</f>
        <v>44057</v>
      </c>
      <c r="AA474" s="258" t="str">
        <f xml:space="preserve"> IF(MONTH(LstMachines[[#This Row],[DatePaie]])&lt;10,"0","") &amp; MONTH(LstMachines[[#This Row],[DatePaie]])&amp;"-"&amp;YEAR(LstMachines[[#This Row],[DatePaie]])</f>
        <v>08-2020</v>
      </c>
      <c r="AB474" s="258">
        <f>LstMachines[[#This Row],[DateLivr]]+1</f>
        <v>43998</v>
      </c>
      <c r="AC474" s="258" t="str">
        <f xml:space="preserve"> IF(MONTH(LstMachines[[#This Row],[Distrib]])&lt;10,"0","") &amp; MONTH(LstMachines[[#This Row],[Distrib]]) &amp; "-" &amp; YEAR(LstMachines[[#This Row],[Distrib]])</f>
        <v>06-2020</v>
      </c>
      <c r="AD474" s="258">
        <f>LstMachines[[#This Row],[DateLivr]]+Délai_Vente</f>
        <v>44117</v>
      </c>
      <c r="AE474" s="258" t="str">
        <f xml:space="preserve"> IF(MONTH(LstMachines[[#This Row],[VteESM]])&lt;10,"0","") &amp; MONTH(LstMachines[[#This Row],[VteESM]]) &amp; "-" &amp; YEAR(LstMachines[[#This Row],[VteESM]])</f>
        <v>10-2020</v>
      </c>
      <c r="AF474" s="258">
        <f>LstMachines[[#This Row],[DateLivr]]+Rglt_à_ESMTP</f>
        <v>44057</v>
      </c>
      <c r="AG474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74" s="258">
        <f>LstMachines[[#This Row],[VteESM]]+Rglt_à_ESMTP</f>
        <v>44177</v>
      </c>
      <c r="AI474" s="258" t="str">
        <f xml:space="preserve"> IF(MONTH(LstMachines[[#This Row],[RgltVteESM]])&lt;10,"0","") &amp; MONTH(LstMachines[[#This Row],[RgltVteESM]]) &amp; "-" &amp; YEAR(LstMachines[[#This Row],[RgltVteESM]])</f>
        <v>12-2020</v>
      </c>
      <c r="AJ474" s="140">
        <f>MONTH(LstMachines[[#This Row],[DatePaie]])</f>
        <v>8</v>
      </c>
      <c r="AK474" s="88" t="str">
        <f>FIXED(YEAR(LstMachines[[#This Row],[DatePaie]]),0,TRUE)</f>
        <v>2020</v>
      </c>
      <c r="AL474" s="140"/>
      <c r="AM474" s="414"/>
    </row>
    <row r="475" spans="2:39" hidden="1">
      <c r="B475" s="104" t="s">
        <v>262</v>
      </c>
      <c r="C475" s="104" t="s">
        <v>40</v>
      </c>
      <c r="D475" s="87">
        <v>135</v>
      </c>
      <c r="E475" s="86"/>
      <c r="F475" s="87" t="s">
        <v>67</v>
      </c>
      <c r="G475" s="87" t="s">
        <v>107</v>
      </c>
      <c r="H475" s="89">
        <v>4</v>
      </c>
      <c r="I47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408</v>
      </c>
      <c r="J475" s="88">
        <v>43997</v>
      </c>
      <c r="K475" s="99" t="s">
        <v>461</v>
      </c>
      <c r="L475" s="85" t="s">
        <v>390</v>
      </c>
      <c r="M475" s="99"/>
      <c r="N475" s="90"/>
      <c r="O475" s="255">
        <f>MONTH(LstMachines[[#This Row],[Delivery]])</f>
        <v>6</v>
      </c>
      <c r="P475" s="256" t="str">
        <f>FIXED(YEAR(LstMachines[[#This Row],[Delivery]]),0,TRUE)</f>
        <v>2020</v>
      </c>
      <c r="Q475" s="73"/>
      <c r="R475" s="93"/>
      <c r="S475" s="90"/>
      <c r="T475" s="90"/>
      <c r="U475" s="90" t="s">
        <v>105</v>
      </c>
      <c r="V475" s="72"/>
      <c r="W475" s="99" t="s">
        <v>384</v>
      </c>
      <c r="X475" s="258">
        <f>LstMachines[[#This Row],[Delivery]]</f>
        <v>43997</v>
      </c>
      <c r="Y475" s="258" t="str">
        <f xml:space="preserve"> IF(MONTH(LstMachines[[#This Row],[DateLivr]])&lt;10,"0","") &amp; MONTH(LstMachines[[#This Row],[DateLivr]]) &amp;"-"&amp;YEAR(LstMachines[[#This Row],[DateLivr]])</f>
        <v>06-2020</v>
      </c>
      <c r="Z475" s="258">
        <f>LstMachines[[#This Row],[Delivery]]+Rglt_à_HCME</f>
        <v>44057</v>
      </c>
      <c r="AA475" s="258" t="str">
        <f xml:space="preserve"> IF(MONTH(LstMachines[[#This Row],[DatePaie]])&lt;10,"0","") &amp; MONTH(LstMachines[[#This Row],[DatePaie]])&amp;"-"&amp;YEAR(LstMachines[[#This Row],[DatePaie]])</f>
        <v>08-2020</v>
      </c>
      <c r="AB475" s="258">
        <f>LstMachines[[#This Row],[DateLivr]]+1</f>
        <v>43998</v>
      </c>
      <c r="AC475" s="258" t="str">
        <f xml:space="preserve"> IF(MONTH(LstMachines[[#This Row],[Distrib]])&lt;10,"0","") &amp; MONTH(LstMachines[[#This Row],[Distrib]]) &amp; "-" &amp; YEAR(LstMachines[[#This Row],[Distrib]])</f>
        <v>06-2020</v>
      </c>
      <c r="AD475" s="258">
        <f>LstMachines[[#This Row],[DateLivr]]+Délai_Vente</f>
        <v>44117</v>
      </c>
      <c r="AE475" s="258" t="str">
        <f xml:space="preserve"> IF(MONTH(LstMachines[[#This Row],[VteESM]])&lt;10,"0","") &amp; MONTH(LstMachines[[#This Row],[VteESM]]) &amp; "-" &amp; YEAR(LstMachines[[#This Row],[VteESM]])</f>
        <v>10-2020</v>
      </c>
      <c r="AF475" s="258">
        <f>LstMachines[[#This Row],[DateLivr]]+Rglt_à_ESMTP</f>
        <v>44057</v>
      </c>
      <c r="AG475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75" s="258">
        <f>LstMachines[[#This Row],[VteESM]]+Rglt_à_ESMTP</f>
        <v>44177</v>
      </c>
      <c r="AI475" s="258" t="str">
        <f xml:space="preserve"> IF(MONTH(LstMachines[[#This Row],[RgltVteESM]])&lt;10,"0","") &amp; MONTH(LstMachines[[#This Row],[RgltVteESM]]) &amp; "-" &amp; YEAR(LstMachines[[#This Row],[RgltVteESM]])</f>
        <v>12-2020</v>
      </c>
      <c r="AJ475" s="140">
        <f>MONTH(LstMachines[[#This Row],[DatePaie]])</f>
        <v>8</v>
      </c>
      <c r="AK475" s="88" t="str">
        <f>FIXED(YEAR(LstMachines[[#This Row],[DatePaie]]),0,TRUE)</f>
        <v>2020</v>
      </c>
      <c r="AL475" s="140"/>
      <c r="AM475" s="414"/>
    </row>
    <row r="476" spans="2:39" hidden="1">
      <c r="B476" s="104" t="s">
        <v>262</v>
      </c>
      <c r="C476" s="104" t="s">
        <v>43</v>
      </c>
      <c r="D476" s="87">
        <v>210</v>
      </c>
      <c r="E476" s="86"/>
      <c r="F476" s="87" t="s">
        <v>67</v>
      </c>
      <c r="G476" s="87" t="s">
        <v>107</v>
      </c>
      <c r="H476" s="89">
        <v>4</v>
      </c>
      <c r="I47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472</v>
      </c>
      <c r="J476" s="88">
        <v>43997</v>
      </c>
      <c r="K476" s="99" t="s">
        <v>461</v>
      </c>
      <c r="L476" s="85" t="s">
        <v>390</v>
      </c>
      <c r="M476" s="99"/>
      <c r="N476" s="90"/>
      <c r="O476" s="255">
        <f>MONTH(LstMachines[[#This Row],[Delivery]])</f>
        <v>6</v>
      </c>
      <c r="P476" s="256" t="str">
        <f>FIXED(YEAR(LstMachines[[#This Row],[Delivery]]),0,TRUE)</f>
        <v>2020</v>
      </c>
      <c r="Q476" s="73"/>
      <c r="R476" s="93"/>
      <c r="S476" s="90"/>
      <c r="T476" s="90"/>
      <c r="U476" s="90" t="s">
        <v>105</v>
      </c>
      <c r="V476" s="72"/>
      <c r="W476" s="99" t="s">
        <v>384</v>
      </c>
      <c r="X476" s="258">
        <f>LstMachines[[#This Row],[Delivery]]</f>
        <v>43997</v>
      </c>
      <c r="Y476" s="258" t="str">
        <f xml:space="preserve"> IF(MONTH(LstMachines[[#This Row],[DateLivr]])&lt;10,"0","") &amp; MONTH(LstMachines[[#This Row],[DateLivr]]) &amp;"-"&amp;YEAR(LstMachines[[#This Row],[DateLivr]])</f>
        <v>06-2020</v>
      </c>
      <c r="Z476" s="258">
        <f>LstMachines[[#This Row],[Delivery]]+Rglt_à_HCME</f>
        <v>44057</v>
      </c>
      <c r="AA476" s="258" t="str">
        <f xml:space="preserve"> IF(MONTH(LstMachines[[#This Row],[DatePaie]])&lt;10,"0","") &amp; MONTH(LstMachines[[#This Row],[DatePaie]])&amp;"-"&amp;YEAR(LstMachines[[#This Row],[DatePaie]])</f>
        <v>08-2020</v>
      </c>
      <c r="AB476" s="258">
        <f>LstMachines[[#This Row],[DateLivr]]+1</f>
        <v>43998</v>
      </c>
      <c r="AC476" s="258" t="str">
        <f xml:space="preserve"> IF(MONTH(LstMachines[[#This Row],[Distrib]])&lt;10,"0","") &amp; MONTH(LstMachines[[#This Row],[Distrib]]) &amp; "-" &amp; YEAR(LstMachines[[#This Row],[Distrib]])</f>
        <v>06-2020</v>
      </c>
      <c r="AD476" s="258">
        <f>LstMachines[[#This Row],[DateLivr]]+Délai_Vente</f>
        <v>44117</v>
      </c>
      <c r="AE476" s="258" t="str">
        <f xml:space="preserve"> IF(MONTH(LstMachines[[#This Row],[VteESM]])&lt;10,"0","") &amp; MONTH(LstMachines[[#This Row],[VteESM]]) &amp; "-" &amp; YEAR(LstMachines[[#This Row],[VteESM]])</f>
        <v>10-2020</v>
      </c>
      <c r="AF476" s="258">
        <f>LstMachines[[#This Row],[DateLivr]]+Rglt_à_ESMTP</f>
        <v>44057</v>
      </c>
      <c r="AG476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76" s="258">
        <f>LstMachines[[#This Row],[VteESM]]+Rglt_à_ESMTP</f>
        <v>44177</v>
      </c>
      <c r="AI476" s="258" t="str">
        <f xml:space="preserve"> IF(MONTH(LstMachines[[#This Row],[RgltVteESM]])&lt;10,"0","") &amp; MONTH(LstMachines[[#This Row],[RgltVteESM]]) &amp; "-" &amp; YEAR(LstMachines[[#This Row],[RgltVteESM]])</f>
        <v>12-2020</v>
      </c>
      <c r="AJ476" s="140">
        <f>MONTH(LstMachines[[#This Row],[DatePaie]])</f>
        <v>8</v>
      </c>
      <c r="AK476" s="88" t="str">
        <f>FIXED(YEAR(LstMachines[[#This Row],[DatePaie]]),0,TRUE)</f>
        <v>2020</v>
      </c>
      <c r="AL476" s="140"/>
      <c r="AM476" s="414"/>
    </row>
    <row r="477" spans="2:39" hidden="1">
      <c r="B477" s="104" t="s">
        <v>262</v>
      </c>
      <c r="C477" s="104" t="s">
        <v>39</v>
      </c>
      <c r="D477" s="87">
        <v>85</v>
      </c>
      <c r="E477" s="86"/>
      <c r="F477" s="87" t="s">
        <v>67</v>
      </c>
      <c r="G477" s="87" t="s">
        <v>107</v>
      </c>
      <c r="H477" s="89">
        <v>11</v>
      </c>
      <c r="I47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704</v>
      </c>
      <c r="J477" s="88">
        <v>43997</v>
      </c>
      <c r="K477" s="99" t="s">
        <v>461</v>
      </c>
      <c r="L477" s="85" t="s">
        <v>390</v>
      </c>
      <c r="M477" s="99"/>
      <c r="N477" s="90"/>
      <c r="O477" s="255">
        <f>MONTH(LstMachines[[#This Row],[Delivery]])</f>
        <v>6</v>
      </c>
      <c r="P477" s="256" t="str">
        <f>FIXED(YEAR(LstMachines[[#This Row],[Delivery]]),0,TRUE)</f>
        <v>2020</v>
      </c>
      <c r="Q477" s="73"/>
      <c r="R477" s="93"/>
      <c r="S477" s="90"/>
      <c r="T477" s="90"/>
      <c r="U477" s="90" t="s">
        <v>105</v>
      </c>
      <c r="V477" s="72"/>
      <c r="W477" s="99" t="s">
        <v>384</v>
      </c>
      <c r="X477" s="258">
        <f>LstMachines[[#This Row],[Delivery]]</f>
        <v>43997</v>
      </c>
      <c r="Y477" s="258" t="str">
        <f xml:space="preserve"> IF(MONTH(LstMachines[[#This Row],[DateLivr]])&lt;10,"0","") &amp; MONTH(LstMachines[[#This Row],[DateLivr]]) &amp;"-"&amp;YEAR(LstMachines[[#This Row],[DateLivr]])</f>
        <v>06-2020</v>
      </c>
      <c r="Z477" s="258">
        <f>LstMachines[[#This Row],[Delivery]]+Rglt_à_HCME</f>
        <v>44057</v>
      </c>
      <c r="AA477" s="258" t="str">
        <f xml:space="preserve"> IF(MONTH(LstMachines[[#This Row],[DatePaie]])&lt;10,"0","") &amp; MONTH(LstMachines[[#This Row],[DatePaie]])&amp;"-"&amp;YEAR(LstMachines[[#This Row],[DatePaie]])</f>
        <v>08-2020</v>
      </c>
      <c r="AB477" s="258">
        <f>LstMachines[[#This Row],[DateLivr]]+1</f>
        <v>43998</v>
      </c>
      <c r="AC477" s="258" t="str">
        <f xml:space="preserve"> IF(MONTH(LstMachines[[#This Row],[Distrib]])&lt;10,"0","") &amp; MONTH(LstMachines[[#This Row],[Distrib]]) &amp; "-" &amp; YEAR(LstMachines[[#This Row],[Distrib]])</f>
        <v>06-2020</v>
      </c>
      <c r="AD477" s="258">
        <f>LstMachines[[#This Row],[DateLivr]]+Délai_Vente</f>
        <v>44117</v>
      </c>
      <c r="AE477" s="258" t="str">
        <f xml:space="preserve"> IF(MONTH(LstMachines[[#This Row],[VteESM]])&lt;10,"0","") &amp; MONTH(LstMachines[[#This Row],[VteESM]]) &amp; "-" &amp; YEAR(LstMachines[[#This Row],[VteESM]])</f>
        <v>10-2020</v>
      </c>
      <c r="AF477" s="258">
        <f>LstMachines[[#This Row],[DateLivr]]+Rglt_à_ESMTP</f>
        <v>44057</v>
      </c>
      <c r="AG477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77" s="258">
        <f>LstMachines[[#This Row],[VteESM]]+Rglt_à_ESMTP</f>
        <v>44177</v>
      </c>
      <c r="AI477" s="258" t="str">
        <f xml:space="preserve"> IF(MONTH(LstMachines[[#This Row],[RgltVteESM]])&lt;10,"0","") &amp; MONTH(LstMachines[[#This Row],[RgltVteESM]]) &amp; "-" &amp; YEAR(LstMachines[[#This Row],[RgltVteESM]])</f>
        <v>12-2020</v>
      </c>
      <c r="AJ477" s="140">
        <f>MONTH(LstMachines[[#This Row],[DatePaie]])</f>
        <v>8</v>
      </c>
      <c r="AK477" s="88" t="str">
        <f>FIXED(YEAR(LstMachines[[#This Row],[DatePaie]]),0,TRUE)</f>
        <v>2020</v>
      </c>
      <c r="AL477" s="140"/>
      <c r="AM477" s="414"/>
    </row>
    <row r="478" spans="2:39" hidden="1">
      <c r="B478" s="104" t="s">
        <v>75</v>
      </c>
      <c r="C478" s="104" t="s">
        <v>35</v>
      </c>
      <c r="D478" s="87">
        <v>19</v>
      </c>
      <c r="E478" s="104" t="s">
        <v>76</v>
      </c>
      <c r="F478" s="87" t="s">
        <v>297</v>
      </c>
      <c r="G478" s="87" t="s">
        <v>32</v>
      </c>
      <c r="H478" s="89">
        <v>1</v>
      </c>
      <c r="I47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478" s="88">
        <v>43997</v>
      </c>
      <c r="K478" s="99" t="s">
        <v>461</v>
      </c>
      <c r="L478" s="132" t="s">
        <v>387</v>
      </c>
      <c r="M478" s="99"/>
      <c r="N478" s="90"/>
      <c r="O478" s="255">
        <f>MONTH(LstMachines[[#This Row],[Delivery]])</f>
        <v>6</v>
      </c>
      <c r="P478" s="256" t="str">
        <f>FIXED(YEAR(LstMachines[[#This Row],[Delivery]]),0,TRUE)</f>
        <v>2020</v>
      </c>
      <c r="Q478" s="73"/>
      <c r="R478" s="93"/>
      <c r="S478" s="90"/>
      <c r="T478" s="90"/>
      <c r="U478" s="90" t="s">
        <v>105</v>
      </c>
      <c r="V478" s="72"/>
      <c r="W478" s="99" t="s">
        <v>384</v>
      </c>
      <c r="X478" s="258">
        <f>LstMachines[[#This Row],[Delivery]]</f>
        <v>43997</v>
      </c>
      <c r="Y478" s="258" t="str">
        <f xml:space="preserve"> IF(MONTH(LstMachines[[#This Row],[DateLivr]])&lt;10,"0","") &amp; MONTH(LstMachines[[#This Row],[DateLivr]]) &amp;"-"&amp;YEAR(LstMachines[[#This Row],[DateLivr]])</f>
        <v>06-2020</v>
      </c>
      <c r="Z478" s="258">
        <f>LstMachines[[#This Row],[Delivery]]+Rglt_à_HCME</f>
        <v>44057</v>
      </c>
      <c r="AA478" s="258" t="str">
        <f xml:space="preserve"> IF(MONTH(LstMachines[[#This Row],[DatePaie]])&lt;10,"0","") &amp; MONTH(LstMachines[[#This Row],[DatePaie]])&amp;"-"&amp;YEAR(LstMachines[[#This Row],[DatePaie]])</f>
        <v>08-2020</v>
      </c>
      <c r="AB478" s="258">
        <f>LstMachines[[#This Row],[DateLivr]]+1</f>
        <v>43998</v>
      </c>
      <c r="AC478" s="258" t="str">
        <f xml:space="preserve"> IF(MONTH(LstMachines[[#This Row],[Distrib]])&lt;10,"0","") &amp; MONTH(LstMachines[[#This Row],[Distrib]]) &amp; "-" &amp; YEAR(LstMachines[[#This Row],[Distrib]])</f>
        <v>06-2020</v>
      </c>
      <c r="AD478" s="258">
        <f>LstMachines[[#This Row],[DateLivr]]+Délai_Vente</f>
        <v>44117</v>
      </c>
      <c r="AE478" s="258" t="str">
        <f xml:space="preserve"> IF(MONTH(LstMachines[[#This Row],[VteESM]])&lt;10,"0","") &amp; MONTH(LstMachines[[#This Row],[VteESM]]) &amp; "-" &amp; YEAR(LstMachines[[#This Row],[VteESM]])</f>
        <v>10-2020</v>
      </c>
      <c r="AF478" s="258">
        <f>LstMachines[[#This Row],[DateLivr]]+Rglt_à_ESMTP</f>
        <v>44057</v>
      </c>
      <c r="AG478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78" s="258">
        <f>LstMachines[[#This Row],[VteESM]]+Rglt_à_ESMTP</f>
        <v>44177</v>
      </c>
      <c r="AI478" s="258" t="str">
        <f xml:space="preserve"> IF(MONTH(LstMachines[[#This Row],[RgltVteESM]])&lt;10,"0","") &amp; MONTH(LstMachines[[#This Row],[RgltVteESM]]) &amp; "-" &amp; YEAR(LstMachines[[#This Row],[RgltVteESM]])</f>
        <v>12-2020</v>
      </c>
      <c r="AJ478" s="140">
        <f>MONTH(LstMachines[[#This Row],[DatePaie]])</f>
        <v>8</v>
      </c>
      <c r="AK478" s="88" t="str">
        <f>FIXED(YEAR(LstMachines[[#This Row],[DatePaie]]),0,TRUE)</f>
        <v>2020</v>
      </c>
      <c r="AL478" s="140"/>
      <c r="AM478" s="414"/>
    </row>
    <row r="479" spans="2:39" hidden="1">
      <c r="B479" s="104" t="s">
        <v>75</v>
      </c>
      <c r="C479" s="104" t="s">
        <v>38</v>
      </c>
      <c r="D479" s="87">
        <v>65</v>
      </c>
      <c r="E479" s="104" t="s">
        <v>364</v>
      </c>
      <c r="F479" s="87" t="s">
        <v>297</v>
      </c>
      <c r="G479" s="87" t="s">
        <v>32</v>
      </c>
      <c r="H479" s="89">
        <v>1</v>
      </c>
      <c r="I47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479" s="88">
        <v>43997</v>
      </c>
      <c r="K479" s="99" t="s">
        <v>461</v>
      </c>
      <c r="L479" s="132" t="s">
        <v>387</v>
      </c>
      <c r="M479" s="99"/>
      <c r="N479" s="90"/>
      <c r="O479" s="255">
        <f>MONTH(LstMachines[[#This Row],[Delivery]])</f>
        <v>6</v>
      </c>
      <c r="P479" s="256" t="str">
        <f>FIXED(YEAR(LstMachines[[#This Row],[Delivery]]),0,TRUE)</f>
        <v>2020</v>
      </c>
      <c r="Q479" s="73"/>
      <c r="R479" s="93"/>
      <c r="S479" s="90"/>
      <c r="T479" s="90"/>
      <c r="U479" s="90" t="s">
        <v>105</v>
      </c>
      <c r="V479" s="72"/>
      <c r="W479" s="99" t="s">
        <v>384</v>
      </c>
      <c r="X479" s="258">
        <f>LstMachines[[#This Row],[Delivery]]</f>
        <v>43997</v>
      </c>
      <c r="Y479" s="258" t="str">
        <f xml:space="preserve"> IF(MONTH(LstMachines[[#This Row],[DateLivr]])&lt;10,"0","") &amp; MONTH(LstMachines[[#This Row],[DateLivr]]) &amp;"-"&amp;YEAR(LstMachines[[#This Row],[DateLivr]])</f>
        <v>06-2020</v>
      </c>
      <c r="Z479" s="258">
        <f>LstMachines[[#This Row],[Delivery]]+Rglt_à_HCME</f>
        <v>44057</v>
      </c>
      <c r="AA479" s="258" t="str">
        <f xml:space="preserve"> IF(MONTH(LstMachines[[#This Row],[DatePaie]])&lt;10,"0","") &amp; MONTH(LstMachines[[#This Row],[DatePaie]])&amp;"-"&amp;YEAR(LstMachines[[#This Row],[DatePaie]])</f>
        <v>08-2020</v>
      </c>
      <c r="AB479" s="258">
        <f>LstMachines[[#This Row],[DateLivr]]+1</f>
        <v>43998</v>
      </c>
      <c r="AC479" s="258" t="str">
        <f xml:space="preserve"> IF(MONTH(LstMachines[[#This Row],[Distrib]])&lt;10,"0","") &amp; MONTH(LstMachines[[#This Row],[Distrib]]) &amp; "-" &amp; YEAR(LstMachines[[#This Row],[Distrib]])</f>
        <v>06-2020</v>
      </c>
      <c r="AD479" s="258">
        <f>LstMachines[[#This Row],[DateLivr]]+Délai_Vente</f>
        <v>44117</v>
      </c>
      <c r="AE479" s="258" t="str">
        <f xml:space="preserve"> IF(MONTH(LstMachines[[#This Row],[VteESM]])&lt;10,"0","") &amp; MONTH(LstMachines[[#This Row],[VteESM]]) &amp; "-" &amp; YEAR(LstMachines[[#This Row],[VteESM]])</f>
        <v>10-2020</v>
      </c>
      <c r="AF479" s="258">
        <f>LstMachines[[#This Row],[DateLivr]]+Rglt_à_ESMTP</f>
        <v>44057</v>
      </c>
      <c r="AG479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79" s="258">
        <f>LstMachines[[#This Row],[VteESM]]+Rglt_à_ESMTP</f>
        <v>44177</v>
      </c>
      <c r="AI479" s="258" t="str">
        <f xml:space="preserve"> IF(MONTH(LstMachines[[#This Row],[RgltVteESM]])&lt;10,"0","") &amp; MONTH(LstMachines[[#This Row],[RgltVteESM]]) &amp; "-" &amp; YEAR(LstMachines[[#This Row],[RgltVteESM]])</f>
        <v>12-2020</v>
      </c>
      <c r="AJ479" s="140">
        <f>MONTH(LstMachines[[#This Row],[DatePaie]])</f>
        <v>8</v>
      </c>
      <c r="AK479" s="88" t="str">
        <f>FIXED(YEAR(LstMachines[[#This Row],[DatePaie]]),0,TRUE)</f>
        <v>2020</v>
      </c>
      <c r="AL479" s="140"/>
      <c r="AM479" s="414"/>
    </row>
    <row r="480" spans="2:39" hidden="1">
      <c r="B480" s="104" t="s">
        <v>75</v>
      </c>
      <c r="C480" s="104" t="s">
        <v>36</v>
      </c>
      <c r="D480" s="87">
        <v>26</v>
      </c>
      <c r="E480" s="104" t="s">
        <v>361</v>
      </c>
      <c r="F480" s="87" t="s">
        <v>297</v>
      </c>
      <c r="G480" s="87" t="s">
        <v>32</v>
      </c>
      <c r="H480" s="89">
        <v>4</v>
      </c>
      <c r="I48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88</v>
      </c>
      <c r="J480" s="88">
        <v>43997</v>
      </c>
      <c r="K480" s="99" t="s">
        <v>461</v>
      </c>
      <c r="L480" s="132" t="s">
        <v>387</v>
      </c>
      <c r="M480" s="99"/>
      <c r="N480" s="90"/>
      <c r="O480" s="255">
        <f>MONTH(LstMachines[[#This Row],[Delivery]])</f>
        <v>6</v>
      </c>
      <c r="P480" s="256" t="str">
        <f>FIXED(YEAR(LstMachines[[#This Row],[Delivery]]),0,TRUE)</f>
        <v>2020</v>
      </c>
      <c r="Q480" s="73"/>
      <c r="R480" s="93"/>
      <c r="S480" s="90"/>
      <c r="T480" s="90"/>
      <c r="U480" s="90" t="s">
        <v>105</v>
      </c>
      <c r="V480" s="72"/>
      <c r="W480" s="99" t="s">
        <v>384</v>
      </c>
      <c r="X480" s="258">
        <f>LstMachines[[#This Row],[Delivery]]</f>
        <v>43997</v>
      </c>
      <c r="Y480" s="258" t="str">
        <f xml:space="preserve"> IF(MONTH(LstMachines[[#This Row],[DateLivr]])&lt;10,"0","") &amp; MONTH(LstMachines[[#This Row],[DateLivr]]) &amp;"-"&amp;YEAR(LstMachines[[#This Row],[DateLivr]])</f>
        <v>06-2020</v>
      </c>
      <c r="Z480" s="258">
        <f>LstMachines[[#This Row],[Delivery]]+Rglt_à_HCME</f>
        <v>44057</v>
      </c>
      <c r="AA480" s="258" t="str">
        <f xml:space="preserve"> IF(MONTH(LstMachines[[#This Row],[DatePaie]])&lt;10,"0","") &amp; MONTH(LstMachines[[#This Row],[DatePaie]])&amp;"-"&amp;YEAR(LstMachines[[#This Row],[DatePaie]])</f>
        <v>08-2020</v>
      </c>
      <c r="AB480" s="258">
        <f>LstMachines[[#This Row],[DateLivr]]+1</f>
        <v>43998</v>
      </c>
      <c r="AC480" s="258" t="str">
        <f xml:space="preserve"> IF(MONTH(LstMachines[[#This Row],[Distrib]])&lt;10,"0","") &amp; MONTH(LstMachines[[#This Row],[Distrib]]) &amp; "-" &amp; YEAR(LstMachines[[#This Row],[Distrib]])</f>
        <v>06-2020</v>
      </c>
      <c r="AD480" s="258">
        <f>LstMachines[[#This Row],[DateLivr]]+Délai_Vente</f>
        <v>44117</v>
      </c>
      <c r="AE480" s="258" t="str">
        <f xml:space="preserve"> IF(MONTH(LstMachines[[#This Row],[VteESM]])&lt;10,"0","") &amp; MONTH(LstMachines[[#This Row],[VteESM]]) &amp; "-" &amp; YEAR(LstMachines[[#This Row],[VteESM]])</f>
        <v>10-2020</v>
      </c>
      <c r="AF480" s="258">
        <f>LstMachines[[#This Row],[DateLivr]]+Rglt_à_ESMTP</f>
        <v>44057</v>
      </c>
      <c r="AG480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80" s="258">
        <f>LstMachines[[#This Row],[VteESM]]+Rglt_à_ESMTP</f>
        <v>44177</v>
      </c>
      <c r="AI480" s="258" t="str">
        <f xml:space="preserve"> IF(MONTH(LstMachines[[#This Row],[RgltVteESM]])&lt;10,"0","") &amp; MONTH(LstMachines[[#This Row],[RgltVteESM]]) &amp; "-" &amp; YEAR(LstMachines[[#This Row],[RgltVteESM]])</f>
        <v>12-2020</v>
      </c>
      <c r="AJ480" s="140">
        <f>MONTH(LstMachines[[#This Row],[DatePaie]])</f>
        <v>8</v>
      </c>
      <c r="AK480" s="88" t="str">
        <f>FIXED(YEAR(LstMachines[[#This Row],[DatePaie]]),0,TRUE)</f>
        <v>2020</v>
      </c>
      <c r="AL480" s="140"/>
      <c r="AM480" s="414"/>
    </row>
    <row r="481" spans="2:39" hidden="1">
      <c r="B481" s="104" t="s">
        <v>262</v>
      </c>
      <c r="C481" s="104" t="s">
        <v>40</v>
      </c>
      <c r="D481" s="87">
        <v>135</v>
      </c>
      <c r="E481" s="104" t="s">
        <v>194</v>
      </c>
      <c r="F481" s="87" t="s">
        <v>297</v>
      </c>
      <c r="G481" s="87" t="s">
        <v>32</v>
      </c>
      <c r="H481" s="89">
        <v>1</v>
      </c>
      <c r="I48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481" s="88">
        <v>43997</v>
      </c>
      <c r="K481" s="99" t="s">
        <v>461</v>
      </c>
      <c r="L481" s="132" t="s">
        <v>387</v>
      </c>
      <c r="M481" s="99"/>
      <c r="N481" s="90"/>
      <c r="O481" s="255">
        <f>MONTH(LstMachines[[#This Row],[Delivery]])</f>
        <v>6</v>
      </c>
      <c r="P481" s="256" t="str">
        <f>FIXED(YEAR(LstMachines[[#This Row],[Delivery]]),0,TRUE)</f>
        <v>2020</v>
      </c>
      <c r="Q481" s="73"/>
      <c r="R481" s="93"/>
      <c r="S481" s="90"/>
      <c r="T481" s="90"/>
      <c r="U481" s="90" t="s">
        <v>105</v>
      </c>
      <c r="V481" s="72"/>
      <c r="W481" s="99" t="s">
        <v>384</v>
      </c>
      <c r="X481" s="258">
        <f>LstMachines[[#This Row],[Delivery]]</f>
        <v>43997</v>
      </c>
      <c r="Y481" s="258" t="str">
        <f xml:space="preserve"> IF(MONTH(LstMachines[[#This Row],[DateLivr]])&lt;10,"0","") &amp; MONTH(LstMachines[[#This Row],[DateLivr]]) &amp;"-"&amp;YEAR(LstMachines[[#This Row],[DateLivr]])</f>
        <v>06-2020</v>
      </c>
      <c r="Z481" s="258">
        <f>LstMachines[[#This Row],[Delivery]]+Rglt_à_HCME</f>
        <v>44057</v>
      </c>
      <c r="AA481" s="258" t="str">
        <f xml:space="preserve"> IF(MONTH(LstMachines[[#This Row],[DatePaie]])&lt;10,"0","") &amp; MONTH(LstMachines[[#This Row],[DatePaie]])&amp;"-"&amp;YEAR(LstMachines[[#This Row],[DatePaie]])</f>
        <v>08-2020</v>
      </c>
      <c r="AB481" s="258">
        <f>LstMachines[[#This Row],[DateLivr]]+1</f>
        <v>43998</v>
      </c>
      <c r="AC481" s="258" t="str">
        <f xml:space="preserve"> IF(MONTH(LstMachines[[#This Row],[Distrib]])&lt;10,"0","") &amp; MONTH(LstMachines[[#This Row],[Distrib]]) &amp; "-" &amp; YEAR(LstMachines[[#This Row],[Distrib]])</f>
        <v>06-2020</v>
      </c>
      <c r="AD481" s="258">
        <f>LstMachines[[#This Row],[DateLivr]]+Délai_Vente</f>
        <v>44117</v>
      </c>
      <c r="AE481" s="258" t="str">
        <f xml:space="preserve"> IF(MONTH(LstMachines[[#This Row],[VteESM]])&lt;10,"0","") &amp; MONTH(LstMachines[[#This Row],[VteESM]]) &amp; "-" &amp; YEAR(LstMachines[[#This Row],[VteESM]])</f>
        <v>10-2020</v>
      </c>
      <c r="AF481" s="258">
        <f>LstMachines[[#This Row],[DateLivr]]+Rglt_à_ESMTP</f>
        <v>44057</v>
      </c>
      <c r="AG481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81" s="258">
        <f>LstMachines[[#This Row],[VteESM]]+Rglt_à_ESMTP</f>
        <v>44177</v>
      </c>
      <c r="AI481" s="258" t="str">
        <f xml:space="preserve"> IF(MONTH(LstMachines[[#This Row],[RgltVteESM]])&lt;10,"0","") &amp; MONTH(LstMachines[[#This Row],[RgltVteESM]]) &amp; "-" &amp; YEAR(LstMachines[[#This Row],[RgltVteESM]])</f>
        <v>12-2020</v>
      </c>
      <c r="AJ481" s="140">
        <f>MONTH(LstMachines[[#This Row],[DatePaie]])</f>
        <v>8</v>
      </c>
      <c r="AK481" s="88" t="str">
        <f>FIXED(YEAR(LstMachines[[#This Row],[DatePaie]]),0,TRUE)</f>
        <v>2020</v>
      </c>
      <c r="AL481" s="140"/>
      <c r="AM481" s="414"/>
    </row>
    <row r="482" spans="2:39" hidden="1">
      <c r="B482" s="104" t="s">
        <v>262</v>
      </c>
      <c r="C482" s="104" t="s">
        <v>42</v>
      </c>
      <c r="D482" s="87">
        <v>190</v>
      </c>
      <c r="E482" s="86" t="s">
        <v>200</v>
      </c>
      <c r="F482" s="87" t="s">
        <v>297</v>
      </c>
      <c r="G482" s="87" t="s">
        <v>32</v>
      </c>
      <c r="H482" s="89">
        <v>1</v>
      </c>
      <c r="I48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113</v>
      </c>
      <c r="J482" s="88">
        <v>43997</v>
      </c>
      <c r="K482" s="99" t="s">
        <v>461</v>
      </c>
      <c r="L482" s="132" t="s">
        <v>387</v>
      </c>
      <c r="M482" s="99"/>
      <c r="N482" s="90"/>
      <c r="O482" s="255">
        <f>MONTH(LstMachines[[#This Row],[Delivery]])</f>
        <v>6</v>
      </c>
      <c r="P482" s="256" t="str">
        <f>FIXED(YEAR(LstMachines[[#This Row],[Delivery]]),0,TRUE)</f>
        <v>2020</v>
      </c>
      <c r="Q482" s="73"/>
      <c r="R482" s="93"/>
      <c r="S482" s="90"/>
      <c r="T482" s="90"/>
      <c r="U482" s="90" t="s">
        <v>105</v>
      </c>
      <c r="V482" s="72"/>
      <c r="W482" s="99" t="s">
        <v>384</v>
      </c>
      <c r="X482" s="258">
        <f>LstMachines[[#This Row],[Delivery]]</f>
        <v>43997</v>
      </c>
      <c r="Y482" s="258" t="str">
        <f xml:space="preserve"> IF(MONTH(LstMachines[[#This Row],[DateLivr]])&lt;10,"0","") &amp; MONTH(LstMachines[[#This Row],[DateLivr]]) &amp;"-"&amp;YEAR(LstMachines[[#This Row],[DateLivr]])</f>
        <v>06-2020</v>
      </c>
      <c r="Z482" s="258">
        <f>LstMachines[[#This Row],[Delivery]]+Rglt_à_HCME</f>
        <v>44057</v>
      </c>
      <c r="AA482" s="258" t="str">
        <f xml:space="preserve"> IF(MONTH(LstMachines[[#This Row],[DatePaie]])&lt;10,"0","") &amp; MONTH(LstMachines[[#This Row],[DatePaie]])&amp;"-"&amp;YEAR(LstMachines[[#This Row],[DatePaie]])</f>
        <v>08-2020</v>
      </c>
      <c r="AB482" s="258">
        <f>LstMachines[[#This Row],[DateLivr]]+1</f>
        <v>43998</v>
      </c>
      <c r="AC482" s="258" t="str">
        <f xml:space="preserve"> IF(MONTH(LstMachines[[#This Row],[Distrib]])&lt;10,"0","") &amp; MONTH(LstMachines[[#This Row],[Distrib]]) &amp; "-" &amp; YEAR(LstMachines[[#This Row],[Distrib]])</f>
        <v>06-2020</v>
      </c>
      <c r="AD482" s="258">
        <f>LstMachines[[#This Row],[DateLivr]]+Délai_Vente</f>
        <v>44117</v>
      </c>
      <c r="AE482" s="258" t="str">
        <f xml:space="preserve"> IF(MONTH(LstMachines[[#This Row],[VteESM]])&lt;10,"0","") &amp; MONTH(LstMachines[[#This Row],[VteESM]]) &amp; "-" &amp; YEAR(LstMachines[[#This Row],[VteESM]])</f>
        <v>10-2020</v>
      </c>
      <c r="AF482" s="258">
        <f>LstMachines[[#This Row],[DateLivr]]+Rglt_à_ESMTP</f>
        <v>44057</v>
      </c>
      <c r="AG482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82" s="258">
        <f>LstMachines[[#This Row],[VteESM]]+Rglt_à_ESMTP</f>
        <v>44177</v>
      </c>
      <c r="AI482" s="258" t="str">
        <f xml:space="preserve"> IF(MONTH(LstMachines[[#This Row],[RgltVteESM]])&lt;10,"0","") &amp; MONTH(LstMachines[[#This Row],[RgltVteESM]]) &amp; "-" &amp; YEAR(LstMachines[[#This Row],[RgltVteESM]])</f>
        <v>12-2020</v>
      </c>
      <c r="AJ482" s="140">
        <f>MONTH(LstMachines[[#This Row],[DatePaie]])</f>
        <v>8</v>
      </c>
      <c r="AK482" s="88" t="str">
        <f>FIXED(YEAR(LstMachines[[#This Row],[DatePaie]]),0,TRUE)</f>
        <v>2020</v>
      </c>
      <c r="AL482" s="140"/>
      <c r="AM482" s="414"/>
    </row>
    <row r="483" spans="2:39" hidden="1">
      <c r="B483" s="104" t="s">
        <v>263</v>
      </c>
      <c r="C483" s="104" t="s">
        <v>250</v>
      </c>
      <c r="D483" s="87">
        <v>145</v>
      </c>
      <c r="E483" s="86" t="s">
        <v>228</v>
      </c>
      <c r="F483" s="87" t="s">
        <v>297</v>
      </c>
      <c r="G483" s="87" t="s">
        <v>32</v>
      </c>
      <c r="H483" s="89">
        <v>1</v>
      </c>
      <c r="I48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115</v>
      </c>
      <c r="J483" s="88">
        <v>43997</v>
      </c>
      <c r="K483" s="99" t="s">
        <v>461</v>
      </c>
      <c r="L483" s="132" t="s">
        <v>387</v>
      </c>
      <c r="M483" s="99"/>
      <c r="N483" s="90"/>
      <c r="O483" s="255">
        <f>MONTH(LstMachines[[#This Row],[Delivery]])</f>
        <v>6</v>
      </c>
      <c r="P483" s="256" t="str">
        <f>FIXED(YEAR(LstMachines[[#This Row],[Delivery]]),0,TRUE)</f>
        <v>2020</v>
      </c>
      <c r="Q483" s="73"/>
      <c r="R483" s="93"/>
      <c r="S483" s="90"/>
      <c r="T483" s="90"/>
      <c r="U483" s="90" t="s">
        <v>105</v>
      </c>
      <c r="V483" s="72"/>
      <c r="W483" s="99" t="s">
        <v>384</v>
      </c>
      <c r="X483" s="258">
        <f>LstMachines[[#This Row],[Delivery]]</f>
        <v>43997</v>
      </c>
      <c r="Y483" s="258" t="str">
        <f xml:space="preserve"> IF(MONTH(LstMachines[[#This Row],[DateLivr]])&lt;10,"0","") &amp; MONTH(LstMachines[[#This Row],[DateLivr]]) &amp;"-"&amp;YEAR(LstMachines[[#This Row],[DateLivr]])</f>
        <v>06-2020</v>
      </c>
      <c r="Z483" s="258">
        <f>LstMachines[[#This Row],[Delivery]]+Rglt_à_HCME</f>
        <v>44057</v>
      </c>
      <c r="AA483" s="258" t="str">
        <f xml:space="preserve"> IF(MONTH(LstMachines[[#This Row],[DatePaie]])&lt;10,"0","") &amp; MONTH(LstMachines[[#This Row],[DatePaie]])&amp;"-"&amp;YEAR(LstMachines[[#This Row],[DatePaie]])</f>
        <v>08-2020</v>
      </c>
      <c r="AB483" s="258">
        <f>LstMachines[[#This Row],[DateLivr]]+1</f>
        <v>43998</v>
      </c>
      <c r="AC483" s="258" t="str">
        <f xml:space="preserve"> IF(MONTH(LstMachines[[#This Row],[Distrib]])&lt;10,"0","") &amp; MONTH(LstMachines[[#This Row],[Distrib]]) &amp; "-" &amp; YEAR(LstMachines[[#This Row],[Distrib]])</f>
        <v>06-2020</v>
      </c>
      <c r="AD483" s="258">
        <f>LstMachines[[#This Row],[DateLivr]]+Délai_Vente</f>
        <v>44117</v>
      </c>
      <c r="AE483" s="258" t="str">
        <f xml:space="preserve"> IF(MONTH(LstMachines[[#This Row],[VteESM]])&lt;10,"0","") &amp; MONTH(LstMachines[[#This Row],[VteESM]]) &amp; "-" &amp; YEAR(LstMachines[[#This Row],[VteESM]])</f>
        <v>10-2020</v>
      </c>
      <c r="AF483" s="258">
        <f>LstMachines[[#This Row],[DateLivr]]+Rglt_à_ESMTP</f>
        <v>44057</v>
      </c>
      <c r="AG483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83" s="258">
        <f>LstMachines[[#This Row],[VteESM]]+Rglt_à_ESMTP</f>
        <v>44177</v>
      </c>
      <c r="AI483" s="258" t="str">
        <f xml:space="preserve"> IF(MONTH(LstMachines[[#This Row],[RgltVteESM]])&lt;10,"0","") &amp; MONTH(LstMachines[[#This Row],[RgltVteESM]]) &amp; "-" &amp; YEAR(LstMachines[[#This Row],[RgltVteESM]])</f>
        <v>12-2020</v>
      </c>
      <c r="AJ483" s="140">
        <f>MONTH(LstMachines[[#This Row],[DatePaie]])</f>
        <v>8</v>
      </c>
      <c r="AK483" s="88" t="str">
        <f>FIXED(YEAR(LstMachines[[#This Row],[DatePaie]]),0,TRUE)</f>
        <v>2020</v>
      </c>
      <c r="AL483" s="140"/>
      <c r="AM483" s="414"/>
    </row>
    <row r="484" spans="2:39" hidden="1">
      <c r="B484" s="104" t="s">
        <v>262</v>
      </c>
      <c r="C484" s="104" t="s">
        <v>43</v>
      </c>
      <c r="D484" s="87">
        <v>210</v>
      </c>
      <c r="E484" s="104" t="s">
        <v>89</v>
      </c>
      <c r="F484" s="87" t="s">
        <v>297</v>
      </c>
      <c r="G484" s="87" t="s">
        <v>32</v>
      </c>
      <c r="H484" s="89">
        <v>1</v>
      </c>
      <c r="I48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118</v>
      </c>
      <c r="J484" s="88">
        <v>43997</v>
      </c>
      <c r="K484" s="99" t="s">
        <v>461</v>
      </c>
      <c r="L484" s="132" t="s">
        <v>387</v>
      </c>
      <c r="M484" s="99"/>
      <c r="N484" s="90"/>
      <c r="O484" s="255">
        <f>MONTH(LstMachines[[#This Row],[Delivery]])</f>
        <v>6</v>
      </c>
      <c r="P484" s="256" t="str">
        <f>FIXED(YEAR(LstMachines[[#This Row],[Delivery]]),0,TRUE)</f>
        <v>2020</v>
      </c>
      <c r="Q484" s="73"/>
      <c r="R484" s="93"/>
      <c r="S484" s="90"/>
      <c r="T484" s="90"/>
      <c r="U484" s="90" t="s">
        <v>105</v>
      </c>
      <c r="V484" s="72"/>
      <c r="W484" s="99" t="s">
        <v>384</v>
      </c>
      <c r="X484" s="258">
        <f>LstMachines[[#This Row],[Delivery]]</f>
        <v>43997</v>
      </c>
      <c r="Y484" s="258" t="str">
        <f xml:space="preserve"> IF(MONTH(LstMachines[[#This Row],[DateLivr]])&lt;10,"0","") &amp; MONTH(LstMachines[[#This Row],[DateLivr]]) &amp;"-"&amp;YEAR(LstMachines[[#This Row],[DateLivr]])</f>
        <v>06-2020</v>
      </c>
      <c r="Z484" s="258">
        <f>LstMachines[[#This Row],[Delivery]]+Rglt_à_HCME</f>
        <v>44057</v>
      </c>
      <c r="AA484" s="258" t="str">
        <f xml:space="preserve"> IF(MONTH(LstMachines[[#This Row],[DatePaie]])&lt;10,"0","") &amp; MONTH(LstMachines[[#This Row],[DatePaie]])&amp;"-"&amp;YEAR(LstMachines[[#This Row],[DatePaie]])</f>
        <v>08-2020</v>
      </c>
      <c r="AB484" s="258">
        <f>LstMachines[[#This Row],[DateLivr]]+1</f>
        <v>43998</v>
      </c>
      <c r="AC484" s="258" t="str">
        <f xml:space="preserve"> IF(MONTH(LstMachines[[#This Row],[Distrib]])&lt;10,"0","") &amp; MONTH(LstMachines[[#This Row],[Distrib]]) &amp; "-" &amp; YEAR(LstMachines[[#This Row],[Distrib]])</f>
        <v>06-2020</v>
      </c>
      <c r="AD484" s="258">
        <f>LstMachines[[#This Row],[DateLivr]]+Délai_Vente</f>
        <v>44117</v>
      </c>
      <c r="AE484" s="258" t="str">
        <f xml:space="preserve"> IF(MONTH(LstMachines[[#This Row],[VteESM]])&lt;10,"0","") &amp; MONTH(LstMachines[[#This Row],[VteESM]]) &amp; "-" &amp; YEAR(LstMachines[[#This Row],[VteESM]])</f>
        <v>10-2020</v>
      </c>
      <c r="AF484" s="258">
        <f>LstMachines[[#This Row],[DateLivr]]+Rglt_à_ESMTP</f>
        <v>44057</v>
      </c>
      <c r="AG484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84" s="258">
        <f>LstMachines[[#This Row],[VteESM]]+Rglt_à_ESMTP</f>
        <v>44177</v>
      </c>
      <c r="AI484" s="258" t="str">
        <f xml:space="preserve"> IF(MONTH(LstMachines[[#This Row],[RgltVteESM]])&lt;10,"0","") &amp; MONTH(LstMachines[[#This Row],[RgltVteESM]]) &amp; "-" &amp; YEAR(LstMachines[[#This Row],[RgltVteESM]])</f>
        <v>12-2020</v>
      </c>
      <c r="AJ484" s="140">
        <f>MONTH(LstMachines[[#This Row],[DatePaie]])</f>
        <v>8</v>
      </c>
      <c r="AK484" s="88" t="str">
        <f>FIXED(YEAR(LstMachines[[#This Row],[DatePaie]]),0,TRUE)</f>
        <v>2020</v>
      </c>
      <c r="AL484" s="140"/>
      <c r="AM484" s="414"/>
    </row>
    <row r="485" spans="2:39" hidden="1">
      <c r="B485" s="104" t="s">
        <v>75</v>
      </c>
      <c r="C485" s="104" t="s">
        <v>37</v>
      </c>
      <c r="D485" s="87">
        <v>48</v>
      </c>
      <c r="E485" s="104" t="s">
        <v>363</v>
      </c>
      <c r="F485" s="87" t="s">
        <v>297</v>
      </c>
      <c r="G485" s="87" t="s">
        <v>32</v>
      </c>
      <c r="H485" s="89">
        <v>3</v>
      </c>
      <c r="I48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123</v>
      </c>
      <c r="J485" s="88">
        <v>43997</v>
      </c>
      <c r="K485" s="99" t="s">
        <v>461</v>
      </c>
      <c r="L485" s="132" t="s">
        <v>387</v>
      </c>
      <c r="M485" s="99"/>
      <c r="N485" s="90"/>
      <c r="O485" s="255">
        <f>MONTH(LstMachines[[#This Row],[Delivery]])</f>
        <v>6</v>
      </c>
      <c r="P485" s="256" t="str">
        <f>FIXED(YEAR(LstMachines[[#This Row],[Delivery]]),0,TRUE)</f>
        <v>2020</v>
      </c>
      <c r="Q485" s="73"/>
      <c r="R485" s="93"/>
      <c r="S485" s="90"/>
      <c r="T485" s="90"/>
      <c r="U485" s="90" t="s">
        <v>105</v>
      </c>
      <c r="V485" s="72"/>
      <c r="W485" s="99" t="s">
        <v>384</v>
      </c>
      <c r="X485" s="258">
        <f>LstMachines[[#This Row],[Delivery]]</f>
        <v>43997</v>
      </c>
      <c r="Y485" s="258" t="str">
        <f xml:space="preserve"> IF(MONTH(LstMachines[[#This Row],[DateLivr]])&lt;10,"0","") &amp; MONTH(LstMachines[[#This Row],[DateLivr]]) &amp;"-"&amp;YEAR(LstMachines[[#This Row],[DateLivr]])</f>
        <v>06-2020</v>
      </c>
      <c r="Z485" s="258">
        <f>LstMachines[[#This Row],[Delivery]]+Rglt_à_HCME</f>
        <v>44057</v>
      </c>
      <c r="AA485" s="258" t="str">
        <f xml:space="preserve"> IF(MONTH(LstMachines[[#This Row],[DatePaie]])&lt;10,"0","") &amp; MONTH(LstMachines[[#This Row],[DatePaie]])&amp;"-"&amp;YEAR(LstMachines[[#This Row],[DatePaie]])</f>
        <v>08-2020</v>
      </c>
      <c r="AB485" s="258">
        <f>LstMachines[[#This Row],[DateLivr]]+1</f>
        <v>43998</v>
      </c>
      <c r="AC485" s="258" t="str">
        <f xml:space="preserve"> IF(MONTH(LstMachines[[#This Row],[Distrib]])&lt;10,"0","") &amp; MONTH(LstMachines[[#This Row],[Distrib]]) &amp; "-" &amp; YEAR(LstMachines[[#This Row],[Distrib]])</f>
        <v>06-2020</v>
      </c>
      <c r="AD485" s="258">
        <f>LstMachines[[#This Row],[DateLivr]]+Délai_Vente</f>
        <v>44117</v>
      </c>
      <c r="AE485" s="258" t="str">
        <f xml:space="preserve"> IF(MONTH(LstMachines[[#This Row],[VteESM]])&lt;10,"0","") &amp; MONTH(LstMachines[[#This Row],[VteESM]]) &amp; "-" &amp; YEAR(LstMachines[[#This Row],[VteESM]])</f>
        <v>10-2020</v>
      </c>
      <c r="AF485" s="258">
        <f>LstMachines[[#This Row],[DateLivr]]+Rglt_à_ESMTP</f>
        <v>44057</v>
      </c>
      <c r="AG485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85" s="258">
        <f>LstMachines[[#This Row],[VteESM]]+Rglt_à_ESMTP</f>
        <v>44177</v>
      </c>
      <c r="AI485" s="258" t="str">
        <f xml:space="preserve"> IF(MONTH(LstMachines[[#This Row],[RgltVteESM]])&lt;10,"0","") &amp; MONTH(LstMachines[[#This Row],[RgltVteESM]]) &amp; "-" &amp; YEAR(LstMachines[[#This Row],[RgltVteESM]])</f>
        <v>12-2020</v>
      </c>
      <c r="AJ485" s="140">
        <f>MONTH(LstMachines[[#This Row],[DatePaie]])</f>
        <v>8</v>
      </c>
      <c r="AK485" s="88" t="str">
        <f>FIXED(YEAR(LstMachines[[#This Row],[DatePaie]]),0,TRUE)</f>
        <v>2020</v>
      </c>
      <c r="AL485" s="140"/>
      <c r="AM485" s="414"/>
    </row>
    <row r="486" spans="2:39" hidden="1">
      <c r="B486" s="104" t="s">
        <v>262</v>
      </c>
      <c r="C486" s="104" t="s">
        <v>39</v>
      </c>
      <c r="D486" s="87">
        <v>85</v>
      </c>
      <c r="E486" s="86" t="s">
        <v>356</v>
      </c>
      <c r="F486" s="87" t="s">
        <v>297</v>
      </c>
      <c r="G486" s="87" t="s">
        <v>32</v>
      </c>
      <c r="H486" s="89">
        <v>2</v>
      </c>
      <c r="I48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486" s="88">
        <v>43997</v>
      </c>
      <c r="K486" s="99" t="s">
        <v>461</v>
      </c>
      <c r="L486" s="132" t="s">
        <v>387</v>
      </c>
      <c r="M486" s="99"/>
      <c r="N486" s="90"/>
      <c r="O486" s="255">
        <f>MONTH(LstMachines[[#This Row],[Delivery]])</f>
        <v>6</v>
      </c>
      <c r="P486" s="256" t="str">
        <f>FIXED(YEAR(LstMachines[[#This Row],[Delivery]]),0,TRUE)</f>
        <v>2020</v>
      </c>
      <c r="Q486" s="73"/>
      <c r="R486" s="93"/>
      <c r="S486" s="90"/>
      <c r="T486" s="90"/>
      <c r="U486" s="90" t="s">
        <v>105</v>
      </c>
      <c r="V486" s="72"/>
      <c r="W486" s="99" t="s">
        <v>384</v>
      </c>
      <c r="X486" s="258">
        <f>LstMachines[[#This Row],[Delivery]]</f>
        <v>43997</v>
      </c>
      <c r="Y486" s="258" t="str">
        <f xml:space="preserve"> IF(MONTH(LstMachines[[#This Row],[DateLivr]])&lt;10,"0","") &amp; MONTH(LstMachines[[#This Row],[DateLivr]]) &amp;"-"&amp;YEAR(LstMachines[[#This Row],[DateLivr]])</f>
        <v>06-2020</v>
      </c>
      <c r="Z486" s="258">
        <f>LstMachines[[#This Row],[Delivery]]+Rglt_à_HCME</f>
        <v>44057</v>
      </c>
      <c r="AA486" s="258" t="str">
        <f xml:space="preserve"> IF(MONTH(LstMachines[[#This Row],[DatePaie]])&lt;10,"0","") &amp; MONTH(LstMachines[[#This Row],[DatePaie]])&amp;"-"&amp;YEAR(LstMachines[[#This Row],[DatePaie]])</f>
        <v>08-2020</v>
      </c>
      <c r="AB486" s="258">
        <f>LstMachines[[#This Row],[DateLivr]]+1</f>
        <v>43998</v>
      </c>
      <c r="AC486" s="258" t="str">
        <f xml:space="preserve"> IF(MONTH(LstMachines[[#This Row],[Distrib]])&lt;10,"0","") &amp; MONTH(LstMachines[[#This Row],[Distrib]]) &amp; "-" &amp; YEAR(LstMachines[[#This Row],[Distrib]])</f>
        <v>06-2020</v>
      </c>
      <c r="AD486" s="258">
        <f>LstMachines[[#This Row],[DateLivr]]+Délai_Vente</f>
        <v>44117</v>
      </c>
      <c r="AE486" s="258" t="str">
        <f xml:space="preserve"> IF(MONTH(LstMachines[[#This Row],[VteESM]])&lt;10,"0","") &amp; MONTH(LstMachines[[#This Row],[VteESM]]) &amp; "-" &amp; YEAR(LstMachines[[#This Row],[VteESM]])</f>
        <v>10-2020</v>
      </c>
      <c r="AF486" s="258">
        <f>LstMachines[[#This Row],[DateLivr]]+Rglt_à_ESMTP</f>
        <v>44057</v>
      </c>
      <c r="AG486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86" s="258">
        <f>LstMachines[[#This Row],[VteESM]]+Rglt_à_ESMTP</f>
        <v>44177</v>
      </c>
      <c r="AI486" s="258" t="str">
        <f xml:space="preserve"> IF(MONTH(LstMachines[[#This Row],[RgltVteESM]])&lt;10,"0","") &amp; MONTH(LstMachines[[#This Row],[RgltVteESM]]) &amp; "-" &amp; YEAR(LstMachines[[#This Row],[RgltVteESM]])</f>
        <v>12-2020</v>
      </c>
      <c r="AJ486" s="140">
        <f>MONTH(LstMachines[[#This Row],[DatePaie]])</f>
        <v>8</v>
      </c>
      <c r="AK486" s="88" t="str">
        <f>FIXED(YEAR(LstMachines[[#This Row],[DatePaie]]),0,TRUE)</f>
        <v>2020</v>
      </c>
      <c r="AL486" s="140"/>
      <c r="AM486" s="414"/>
    </row>
    <row r="487" spans="2:39" hidden="1">
      <c r="B487" s="104" t="s">
        <v>259</v>
      </c>
      <c r="C487" s="104" t="s">
        <v>49</v>
      </c>
      <c r="D487" s="87">
        <v>310</v>
      </c>
      <c r="E487" s="86" t="s">
        <v>177</v>
      </c>
      <c r="F487" s="87" t="s">
        <v>297</v>
      </c>
      <c r="G487" s="87" t="s">
        <v>32</v>
      </c>
      <c r="H487" s="89">
        <v>1</v>
      </c>
      <c r="I48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180</v>
      </c>
      <c r="J487" s="88">
        <v>43997</v>
      </c>
      <c r="K487" s="99" t="s">
        <v>461</v>
      </c>
      <c r="L487" s="132" t="s">
        <v>387</v>
      </c>
      <c r="M487" s="99"/>
      <c r="N487" s="90"/>
      <c r="O487" s="255">
        <f>MONTH(LstMachines[[#This Row],[Delivery]])</f>
        <v>6</v>
      </c>
      <c r="P487" s="256" t="str">
        <f>FIXED(YEAR(LstMachines[[#This Row],[Delivery]]),0,TRUE)</f>
        <v>2020</v>
      </c>
      <c r="Q487" s="73"/>
      <c r="R487" s="93"/>
      <c r="S487" s="90"/>
      <c r="T487" s="90"/>
      <c r="U487" s="90" t="s">
        <v>105</v>
      </c>
      <c r="V487" s="72"/>
      <c r="W487" s="99" t="s">
        <v>384</v>
      </c>
      <c r="X487" s="258">
        <f>LstMachines[[#This Row],[Delivery]]</f>
        <v>43997</v>
      </c>
      <c r="Y487" s="258" t="str">
        <f xml:space="preserve"> IF(MONTH(LstMachines[[#This Row],[DateLivr]])&lt;10,"0","") &amp; MONTH(LstMachines[[#This Row],[DateLivr]]) &amp;"-"&amp;YEAR(LstMachines[[#This Row],[DateLivr]])</f>
        <v>06-2020</v>
      </c>
      <c r="Z487" s="258">
        <f>LstMachines[[#This Row],[Delivery]]+Rglt_à_HCME</f>
        <v>44057</v>
      </c>
      <c r="AA487" s="258" t="str">
        <f xml:space="preserve"> IF(MONTH(LstMachines[[#This Row],[DatePaie]])&lt;10,"0","") &amp; MONTH(LstMachines[[#This Row],[DatePaie]])&amp;"-"&amp;YEAR(LstMachines[[#This Row],[DatePaie]])</f>
        <v>08-2020</v>
      </c>
      <c r="AB487" s="258">
        <f>LstMachines[[#This Row],[DateLivr]]+1</f>
        <v>43998</v>
      </c>
      <c r="AC487" s="258" t="str">
        <f xml:space="preserve"> IF(MONTH(LstMachines[[#This Row],[Distrib]])&lt;10,"0","") &amp; MONTH(LstMachines[[#This Row],[Distrib]]) &amp; "-" &amp; YEAR(LstMachines[[#This Row],[Distrib]])</f>
        <v>06-2020</v>
      </c>
      <c r="AD487" s="258">
        <f>LstMachines[[#This Row],[DateLivr]]+Délai_Vente</f>
        <v>44117</v>
      </c>
      <c r="AE487" s="258" t="str">
        <f xml:space="preserve"> IF(MONTH(LstMachines[[#This Row],[VteESM]])&lt;10,"0","") &amp; MONTH(LstMachines[[#This Row],[VteESM]]) &amp; "-" &amp; YEAR(LstMachines[[#This Row],[VteESM]])</f>
        <v>10-2020</v>
      </c>
      <c r="AF487" s="258">
        <f>LstMachines[[#This Row],[DateLivr]]+Rglt_à_ESMTP</f>
        <v>44057</v>
      </c>
      <c r="AG487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87" s="258">
        <f>LstMachines[[#This Row],[VteESM]]+Rglt_à_ESMTP</f>
        <v>44177</v>
      </c>
      <c r="AI487" s="258" t="str">
        <f xml:space="preserve"> IF(MONTH(LstMachines[[#This Row],[RgltVteESM]])&lt;10,"0","") &amp; MONTH(LstMachines[[#This Row],[RgltVteESM]]) &amp; "-" &amp; YEAR(LstMachines[[#This Row],[RgltVteESM]])</f>
        <v>12-2020</v>
      </c>
      <c r="AJ487" s="140">
        <f>MONTH(LstMachines[[#This Row],[DatePaie]])</f>
        <v>8</v>
      </c>
      <c r="AK487" s="88" t="str">
        <f>FIXED(YEAR(LstMachines[[#This Row],[DatePaie]]),0,TRUE)</f>
        <v>2020</v>
      </c>
      <c r="AL487" s="140"/>
      <c r="AM487" s="414"/>
    </row>
    <row r="488" spans="2:39" hidden="1">
      <c r="B488" s="104" t="s">
        <v>75</v>
      </c>
      <c r="C488" s="104" t="s">
        <v>35</v>
      </c>
      <c r="D488" s="87">
        <v>19</v>
      </c>
      <c r="E488" s="104" t="s">
        <v>76</v>
      </c>
      <c r="F488" s="87" t="s">
        <v>100</v>
      </c>
      <c r="G488" s="87" t="s">
        <v>31</v>
      </c>
      <c r="H488" s="89">
        <v>1</v>
      </c>
      <c r="I48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488" s="88">
        <v>43997</v>
      </c>
      <c r="K488" s="99" t="s">
        <v>461</v>
      </c>
      <c r="L488" s="132" t="s">
        <v>387</v>
      </c>
      <c r="M488" s="99"/>
      <c r="N488" s="90"/>
      <c r="O488" s="255">
        <f>MONTH(LstMachines[[#This Row],[Delivery]])</f>
        <v>6</v>
      </c>
      <c r="P488" s="256" t="str">
        <f>FIXED(YEAR(LstMachines[[#This Row],[Delivery]]),0,TRUE)</f>
        <v>2020</v>
      </c>
      <c r="Q488" s="73"/>
      <c r="R488" s="93"/>
      <c r="S488" s="90"/>
      <c r="T488" s="90"/>
      <c r="U488" s="90" t="s">
        <v>104</v>
      </c>
      <c r="V488" s="72"/>
      <c r="W488" s="99" t="s">
        <v>383</v>
      </c>
      <c r="X488" s="258">
        <f>LstMachines[[#This Row],[Delivery]]</f>
        <v>43997</v>
      </c>
      <c r="Y488" s="258" t="str">
        <f xml:space="preserve"> IF(MONTH(LstMachines[[#This Row],[DateLivr]])&lt;10,"0","") &amp; MONTH(LstMachines[[#This Row],[DateLivr]]) &amp;"-"&amp;YEAR(LstMachines[[#This Row],[DateLivr]])</f>
        <v>06-2020</v>
      </c>
      <c r="Z488" s="258">
        <f>LstMachines[[#This Row],[Delivery]]+Rglt_à_HCME</f>
        <v>44057</v>
      </c>
      <c r="AA488" s="258" t="str">
        <f xml:space="preserve"> IF(MONTH(LstMachines[[#This Row],[DatePaie]])&lt;10,"0","") &amp; MONTH(LstMachines[[#This Row],[DatePaie]])&amp;"-"&amp;YEAR(LstMachines[[#This Row],[DatePaie]])</f>
        <v>08-2020</v>
      </c>
      <c r="AB488" s="258">
        <f>LstMachines[[#This Row],[DateLivr]]+1</f>
        <v>43998</v>
      </c>
      <c r="AC488" s="258" t="str">
        <f xml:space="preserve"> IF(MONTH(LstMachines[[#This Row],[Distrib]])&lt;10,"0","") &amp; MONTH(LstMachines[[#This Row],[Distrib]]) &amp; "-" &amp; YEAR(LstMachines[[#This Row],[Distrib]])</f>
        <v>06-2020</v>
      </c>
      <c r="AD488" s="258">
        <f>LstMachines[[#This Row],[DateLivr]]+Délai_Vente</f>
        <v>44117</v>
      </c>
      <c r="AE488" s="258" t="str">
        <f xml:space="preserve"> IF(MONTH(LstMachines[[#This Row],[VteESM]])&lt;10,"0","") &amp; MONTH(LstMachines[[#This Row],[VteESM]]) &amp; "-" &amp; YEAR(LstMachines[[#This Row],[VteESM]])</f>
        <v>10-2020</v>
      </c>
      <c r="AF488" s="258">
        <f>LstMachines[[#This Row],[DateLivr]]+Rglt_à_ESMTP</f>
        <v>44057</v>
      </c>
      <c r="AG488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88" s="258">
        <f>LstMachines[[#This Row],[VteESM]]+Rglt_à_ESMTP</f>
        <v>44177</v>
      </c>
      <c r="AI488" s="258" t="str">
        <f xml:space="preserve"> IF(MONTH(LstMachines[[#This Row],[RgltVteESM]])&lt;10,"0","") &amp; MONTH(LstMachines[[#This Row],[RgltVteESM]]) &amp; "-" &amp; YEAR(LstMachines[[#This Row],[RgltVteESM]])</f>
        <v>12-2020</v>
      </c>
      <c r="AJ488" s="140">
        <f>MONTH(LstMachines[[#This Row],[DatePaie]])</f>
        <v>8</v>
      </c>
      <c r="AK488" s="88" t="str">
        <f>FIXED(YEAR(LstMachines[[#This Row],[DatePaie]]),0,TRUE)</f>
        <v>2020</v>
      </c>
      <c r="AL488" s="140"/>
      <c r="AM488" s="414"/>
    </row>
    <row r="489" spans="2:39" hidden="1">
      <c r="B489" s="104" t="s">
        <v>75</v>
      </c>
      <c r="C489" s="104" t="s">
        <v>36</v>
      </c>
      <c r="D489" s="87">
        <v>26</v>
      </c>
      <c r="E489" s="104" t="s">
        <v>361</v>
      </c>
      <c r="F489" s="87" t="s">
        <v>100</v>
      </c>
      <c r="G489" s="87" t="s">
        <v>31</v>
      </c>
      <c r="H489" s="89">
        <v>4</v>
      </c>
      <c r="I48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88</v>
      </c>
      <c r="J489" s="88">
        <v>43997</v>
      </c>
      <c r="K489" s="99" t="s">
        <v>461</v>
      </c>
      <c r="L489" s="132" t="s">
        <v>387</v>
      </c>
      <c r="M489" s="99"/>
      <c r="N489" s="90"/>
      <c r="O489" s="255">
        <f>MONTH(LstMachines[[#This Row],[Delivery]])</f>
        <v>6</v>
      </c>
      <c r="P489" s="256" t="str">
        <f>FIXED(YEAR(LstMachines[[#This Row],[Delivery]]),0,TRUE)</f>
        <v>2020</v>
      </c>
      <c r="Q489" s="73"/>
      <c r="R489" s="93"/>
      <c r="S489" s="90"/>
      <c r="T489" s="90"/>
      <c r="U489" s="90" t="s">
        <v>104</v>
      </c>
      <c r="V489" s="72"/>
      <c r="W489" s="99" t="s">
        <v>383</v>
      </c>
      <c r="X489" s="258">
        <f>LstMachines[[#This Row],[Delivery]]</f>
        <v>43997</v>
      </c>
      <c r="Y489" s="258" t="str">
        <f xml:space="preserve"> IF(MONTH(LstMachines[[#This Row],[DateLivr]])&lt;10,"0","") &amp; MONTH(LstMachines[[#This Row],[DateLivr]]) &amp;"-"&amp;YEAR(LstMachines[[#This Row],[DateLivr]])</f>
        <v>06-2020</v>
      </c>
      <c r="Z489" s="258">
        <f>LstMachines[[#This Row],[Delivery]]+Rglt_à_HCME</f>
        <v>44057</v>
      </c>
      <c r="AA489" s="258" t="str">
        <f xml:space="preserve"> IF(MONTH(LstMachines[[#This Row],[DatePaie]])&lt;10,"0","") &amp; MONTH(LstMachines[[#This Row],[DatePaie]])&amp;"-"&amp;YEAR(LstMachines[[#This Row],[DatePaie]])</f>
        <v>08-2020</v>
      </c>
      <c r="AB489" s="258">
        <f>LstMachines[[#This Row],[DateLivr]]+1</f>
        <v>43998</v>
      </c>
      <c r="AC489" s="258" t="str">
        <f xml:space="preserve"> IF(MONTH(LstMachines[[#This Row],[Distrib]])&lt;10,"0","") &amp; MONTH(LstMachines[[#This Row],[Distrib]]) &amp; "-" &amp; YEAR(LstMachines[[#This Row],[Distrib]])</f>
        <v>06-2020</v>
      </c>
      <c r="AD489" s="258">
        <f>LstMachines[[#This Row],[DateLivr]]+Délai_Vente</f>
        <v>44117</v>
      </c>
      <c r="AE489" s="258" t="str">
        <f xml:space="preserve"> IF(MONTH(LstMachines[[#This Row],[VteESM]])&lt;10,"0","") &amp; MONTH(LstMachines[[#This Row],[VteESM]]) &amp; "-" &amp; YEAR(LstMachines[[#This Row],[VteESM]])</f>
        <v>10-2020</v>
      </c>
      <c r="AF489" s="258">
        <f>LstMachines[[#This Row],[DateLivr]]+Rglt_à_ESMTP</f>
        <v>44057</v>
      </c>
      <c r="AG489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89" s="258">
        <f>LstMachines[[#This Row],[VteESM]]+Rglt_à_ESMTP</f>
        <v>44177</v>
      </c>
      <c r="AI489" s="258" t="str">
        <f xml:space="preserve"> IF(MONTH(LstMachines[[#This Row],[RgltVteESM]])&lt;10,"0","") &amp; MONTH(LstMachines[[#This Row],[RgltVteESM]]) &amp; "-" &amp; YEAR(LstMachines[[#This Row],[RgltVteESM]])</f>
        <v>12-2020</v>
      </c>
      <c r="AJ489" s="140">
        <f>MONTH(LstMachines[[#This Row],[DatePaie]])</f>
        <v>8</v>
      </c>
      <c r="AK489" s="88" t="str">
        <f>FIXED(YEAR(LstMachines[[#This Row],[DatePaie]]),0,TRUE)</f>
        <v>2020</v>
      </c>
      <c r="AL489" s="140"/>
      <c r="AM489" s="414"/>
    </row>
    <row r="490" spans="2:39" hidden="1">
      <c r="B490" s="104" t="s">
        <v>262</v>
      </c>
      <c r="C490" s="104" t="s">
        <v>42</v>
      </c>
      <c r="D490" s="87">
        <v>190</v>
      </c>
      <c r="E490" s="86" t="s">
        <v>200</v>
      </c>
      <c r="F490" s="87" t="s">
        <v>100</v>
      </c>
      <c r="G490" s="87" t="s">
        <v>31</v>
      </c>
      <c r="H490" s="89">
        <v>1</v>
      </c>
      <c r="I49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113</v>
      </c>
      <c r="J490" s="88">
        <v>43997</v>
      </c>
      <c r="K490" s="99" t="s">
        <v>461</v>
      </c>
      <c r="L490" s="132" t="s">
        <v>387</v>
      </c>
      <c r="M490" s="99"/>
      <c r="N490" s="90"/>
      <c r="O490" s="255">
        <f>MONTH(LstMachines[[#This Row],[Delivery]])</f>
        <v>6</v>
      </c>
      <c r="P490" s="256" t="str">
        <f>FIXED(YEAR(LstMachines[[#This Row],[Delivery]]),0,TRUE)</f>
        <v>2020</v>
      </c>
      <c r="Q490" s="73"/>
      <c r="R490" s="93"/>
      <c r="S490" s="90"/>
      <c r="T490" s="90"/>
      <c r="U490" s="90" t="s">
        <v>104</v>
      </c>
      <c r="V490" s="72"/>
      <c r="W490" s="99" t="s">
        <v>383</v>
      </c>
      <c r="X490" s="258">
        <f>LstMachines[[#This Row],[Delivery]]</f>
        <v>43997</v>
      </c>
      <c r="Y490" s="258" t="str">
        <f xml:space="preserve"> IF(MONTH(LstMachines[[#This Row],[DateLivr]])&lt;10,"0","") &amp; MONTH(LstMachines[[#This Row],[DateLivr]]) &amp;"-"&amp;YEAR(LstMachines[[#This Row],[DateLivr]])</f>
        <v>06-2020</v>
      </c>
      <c r="Z490" s="258">
        <f>LstMachines[[#This Row],[Delivery]]+Rglt_à_HCME</f>
        <v>44057</v>
      </c>
      <c r="AA490" s="258" t="str">
        <f xml:space="preserve"> IF(MONTH(LstMachines[[#This Row],[DatePaie]])&lt;10,"0","") &amp; MONTH(LstMachines[[#This Row],[DatePaie]])&amp;"-"&amp;YEAR(LstMachines[[#This Row],[DatePaie]])</f>
        <v>08-2020</v>
      </c>
      <c r="AB490" s="258">
        <f>LstMachines[[#This Row],[DateLivr]]+1</f>
        <v>43998</v>
      </c>
      <c r="AC490" s="258" t="str">
        <f xml:space="preserve"> IF(MONTH(LstMachines[[#This Row],[Distrib]])&lt;10,"0","") &amp; MONTH(LstMachines[[#This Row],[Distrib]]) &amp; "-" &amp; YEAR(LstMachines[[#This Row],[Distrib]])</f>
        <v>06-2020</v>
      </c>
      <c r="AD490" s="258">
        <f>LstMachines[[#This Row],[DateLivr]]+Délai_Vente</f>
        <v>44117</v>
      </c>
      <c r="AE490" s="258" t="str">
        <f xml:space="preserve"> IF(MONTH(LstMachines[[#This Row],[VteESM]])&lt;10,"0","") &amp; MONTH(LstMachines[[#This Row],[VteESM]]) &amp; "-" &amp; YEAR(LstMachines[[#This Row],[VteESM]])</f>
        <v>10-2020</v>
      </c>
      <c r="AF490" s="258">
        <f>LstMachines[[#This Row],[DateLivr]]+Rglt_à_ESMTP</f>
        <v>44057</v>
      </c>
      <c r="AG490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90" s="258">
        <f>LstMachines[[#This Row],[VteESM]]+Rglt_à_ESMTP</f>
        <v>44177</v>
      </c>
      <c r="AI490" s="258" t="str">
        <f xml:space="preserve"> IF(MONTH(LstMachines[[#This Row],[RgltVteESM]])&lt;10,"0","") &amp; MONTH(LstMachines[[#This Row],[RgltVteESM]]) &amp; "-" &amp; YEAR(LstMachines[[#This Row],[RgltVteESM]])</f>
        <v>12-2020</v>
      </c>
      <c r="AJ490" s="140">
        <f>MONTH(LstMachines[[#This Row],[DatePaie]])</f>
        <v>8</v>
      </c>
      <c r="AK490" s="88" t="str">
        <f>FIXED(YEAR(LstMachines[[#This Row],[DatePaie]]),0,TRUE)</f>
        <v>2020</v>
      </c>
      <c r="AL490" s="140"/>
      <c r="AM490" s="414"/>
    </row>
    <row r="491" spans="2:39" hidden="1">
      <c r="B491" s="104" t="s">
        <v>262</v>
      </c>
      <c r="C491" s="104" t="s">
        <v>43</v>
      </c>
      <c r="D491" s="87">
        <v>210</v>
      </c>
      <c r="E491" s="104" t="s">
        <v>89</v>
      </c>
      <c r="F491" s="87" t="s">
        <v>100</v>
      </c>
      <c r="G491" s="87" t="s">
        <v>31</v>
      </c>
      <c r="H491" s="89">
        <v>1</v>
      </c>
      <c r="I49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118</v>
      </c>
      <c r="J491" s="88">
        <v>43997</v>
      </c>
      <c r="K491" s="99" t="s">
        <v>461</v>
      </c>
      <c r="L491" s="132" t="s">
        <v>387</v>
      </c>
      <c r="M491" s="99"/>
      <c r="N491" s="90"/>
      <c r="O491" s="255">
        <f>MONTH(LstMachines[[#This Row],[Delivery]])</f>
        <v>6</v>
      </c>
      <c r="P491" s="256" t="str">
        <f>FIXED(YEAR(LstMachines[[#This Row],[Delivery]]),0,TRUE)</f>
        <v>2020</v>
      </c>
      <c r="Q491" s="73"/>
      <c r="R491" s="93"/>
      <c r="S491" s="90"/>
      <c r="T491" s="90"/>
      <c r="U491" s="90" t="s">
        <v>104</v>
      </c>
      <c r="V491" s="72"/>
      <c r="W491" s="99" t="s">
        <v>383</v>
      </c>
      <c r="X491" s="258">
        <f>LstMachines[[#This Row],[Delivery]]</f>
        <v>43997</v>
      </c>
      <c r="Y491" s="258" t="str">
        <f xml:space="preserve"> IF(MONTH(LstMachines[[#This Row],[DateLivr]])&lt;10,"0","") &amp; MONTH(LstMachines[[#This Row],[DateLivr]]) &amp;"-"&amp;YEAR(LstMachines[[#This Row],[DateLivr]])</f>
        <v>06-2020</v>
      </c>
      <c r="Z491" s="258">
        <f>LstMachines[[#This Row],[Delivery]]+Rglt_à_HCME</f>
        <v>44057</v>
      </c>
      <c r="AA491" s="258" t="str">
        <f xml:space="preserve"> IF(MONTH(LstMachines[[#This Row],[DatePaie]])&lt;10,"0","") &amp; MONTH(LstMachines[[#This Row],[DatePaie]])&amp;"-"&amp;YEAR(LstMachines[[#This Row],[DatePaie]])</f>
        <v>08-2020</v>
      </c>
      <c r="AB491" s="258">
        <f>LstMachines[[#This Row],[DateLivr]]+1</f>
        <v>43998</v>
      </c>
      <c r="AC491" s="258" t="str">
        <f xml:space="preserve"> IF(MONTH(LstMachines[[#This Row],[Distrib]])&lt;10,"0","") &amp; MONTH(LstMachines[[#This Row],[Distrib]]) &amp; "-" &amp; YEAR(LstMachines[[#This Row],[Distrib]])</f>
        <v>06-2020</v>
      </c>
      <c r="AD491" s="258">
        <f>LstMachines[[#This Row],[DateLivr]]+Délai_Vente</f>
        <v>44117</v>
      </c>
      <c r="AE491" s="258" t="str">
        <f xml:space="preserve"> IF(MONTH(LstMachines[[#This Row],[VteESM]])&lt;10,"0","") &amp; MONTH(LstMachines[[#This Row],[VteESM]]) &amp; "-" &amp; YEAR(LstMachines[[#This Row],[VteESM]])</f>
        <v>10-2020</v>
      </c>
      <c r="AF491" s="258">
        <f>LstMachines[[#This Row],[DateLivr]]+Rglt_à_ESMTP</f>
        <v>44057</v>
      </c>
      <c r="AG491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91" s="258">
        <f>LstMachines[[#This Row],[VteESM]]+Rglt_à_ESMTP</f>
        <v>44177</v>
      </c>
      <c r="AI491" s="258" t="str">
        <f xml:space="preserve"> IF(MONTH(LstMachines[[#This Row],[RgltVteESM]])&lt;10,"0","") &amp; MONTH(LstMachines[[#This Row],[RgltVteESM]]) &amp; "-" &amp; YEAR(LstMachines[[#This Row],[RgltVteESM]])</f>
        <v>12-2020</v>
      </c>
      <c r="AJ491" s="140">
        <f>MONTH(LstMachines[[#This Row],[DatePaie]])</f>
        <v>8</v>
      </c>
      <c r="AK491" s="88" t="str">
        <f>FIXED(YEAR(LstMachines[[#This Row],[DatePaie]]),0,TRUE)</f>
        <v>2020</v>
      </c>
      <c r="AL491" s="140"/>
      <c r="AM491" s="414"/>
    </row>
    <row r="492" spans="2:39" hidden="1">
      <c r="B492" s="104" t="s">
        <v>75</v>
      </c>
      <c r="C492" s="104" t="s">
        <v>35</v>
      </c>
      <c r="D492" s="87">
        <v>19</v>
      </c>
      <c r="E492" s="104" t="s">
        <v>76</v>
      </c>
      <c r="F492" s="87" t="s">
        <v>100</v>
      </c>
      <c r="G492" s="87" t="s">
        <v>31</v>
      </c>
      <c r="H492" s="89">
        <v>7</v>
      </c>
      <c r="I49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126</v>
      </c>
      <c r="J492" s="88">
        <v>43997</v>
      </c>
      <c r="K492" s="99" t="s">
        <v>461</v>
      </c>
      <c r="L492" s="132" t="s">
        <v>387</v>
      </c>
      <c r="M492" s="99"/>
      <c r="N492" s="90"/>
      <c r="O492" s="255">
        <f>MONTH(LstMachines[[#This Row],[Delivery]])</f>
        <v>6</v>
      </c>
      <c r="P492" s="256" t="str">
        <f>FIXED(YEAR(LstMachines[[#This Row],[Delivery]]),0,TRUE)</f>
        <v>2020</v>
      </c>
      <c r="Q492" s="73"/>
      <c r="R492" s="93"/>
      <c r="S492" s="90"/>
      <c r="T492" s="90"/>
      <c r="U492" s="90" t="s">
        <v>105</v>
      </c>
      <c r="V492" s="72"/>
      <c r="W492" s="99" t="s">
        <v>384</v>
      </c>
      <c r="X492" s="258">
        <f>LstMachines[[#This Row],[Delivery]]</f>
        <v>43997</v>
      </c>
      <c r="Y492" s="258" t="str">
        <f xml:space="preserve"> IF(MONTH(LstMachines[[#This Row],[DateLivr]])&lt;10,"0","") &amp; MONTH(LstMachines[[#This Row],[DateLivr]]) &amp;"-"&amp;YEAR(LstMachines[[#This Row],[DateLivr]])</f>
        <v>06-2020</v>
      </c>
      <c r="Z492" s="258">
        <f>LstMachines[[#This Row],[Delivery]]+Rglt_à_HCME</f>
        <v>44057</v>
      </c>
      <c r="AA492" s="258" t="str">
        <f xml:space="preserve"> IF(MONTH(LstMachines[[#This Row],[DatePaie]])&lt;10,"0","") &amp; MONTH(LstMachines[[#This Row],[DatePaie]])&amp;"-"&amp;YEAR(LstMachines[[#This Row],[DatePaie]])</f>
        <v>08-2020</v>
      </c>
      <c r="AB492" s="258">
        <f>LstMachines[[#This Row],[DateLivr]]+1</f>
        <v>43998</v>
      </c>
      <c r="AC492" s="258" t="str">
        <f xml:space="preserve"> IF(MONTH(LstMachines[[#This Row],[Distrib]])&lt;10,"0","") &amp; MONTH(LstMachines[[#This Row],[Distrib]]) &amp; "-" &amp; YEAR(LstMachines[[#This Row],[Distrib]])</f>
        <v>06-2020</v>
      </c>
      <c r="AD492" s="258">
        <f>LstMachines[[#This Row],[DateLivr]]+Délai_Vente</f>
        <v>44117</v>
      </c>
      <c r="AE492" s="258" t="str">
        <f xml:space="preserve"> IF(MONTH(LstMachines[[#This Row],[VteESM]])&lt;10,"0","") &amp; MONTH(LstMachines[[#This Row],[VteESM]]) &amp; "-" &amp; YEAR(LstMachines[[#This Row],[VteESM]])</f>
        <v>10-2020</v>
      </c>
      <c r="AF492" s="258">
        <f>LstMachines[[#This Row],[DateLivr]]+Rglt_à_ESMTP</f>
        <v>44057</v>
      </c>
      <c r="AG492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92" s="258">
        <f>LstMachines[[#This Row],[VteESM]]+Rglt_à_ESMTP</f>
        <v>44177</v>
      </c>
      <c r="AI492" s="258" t="str">
        <f xml:space="preserve"> IF(MONTH(LstMachines[[#This Row],[RgltVteESM]])&lt;10,"0","") &amp; MONTH(LstMachines[[#This Row],[RgltVteESM]]) &amp; "-" &amp; YEAR(LstMachines[[#This Row],[RgltVteESM]])</f>
        <v>12-2020</v>
      </c>
      <c r="AJ492" s="140">
        <f>MONTH(LstMachines[[#This Row],[DatePaie]])</f>
        <v>8</v>
      </c>
      <c r="AK492" s="88" t="str">
        <f>FIXED(YEAR(LstMachines[[#This Row],[DatePaie]]),0,TRUE)</f>
        <v>2020</v>
      </c>
      <c r="AL492" s="140"/>
      <c r="AM492" s="414"/>
    </row>
    <row r="493" spans="2:39" hidden="1">
      <c r="B493" s="104" t="s">
        <v>262</v>
      </c>
      <c r="C493" s="104" t="s">
        <v>44</v>
      </c>
      <c r="D493" s="87">
        <v>225</v>
      </c>
      <c r="E493" s="86" t="s">
        <v>204</v>
      </c>
      <c r="F493" s="87" t="s">
        <v>100</v>
      </c>
      <c r="G493" s="87" t="s">
        <v>31</v>
      </c>
      <c r="H493" s="89">
        <v>1</v>
      </c>
      <c r="I49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493" s="88">
        <v>43997</v>
      </c>
      <c r="K493" s="99" t="s">
        <v>461</v>
      </c>
      <c r="L493" s="132" t="s">
        <v>387</v>
      </c>
      <c r="M493" s="99"/>
      <c r="N493" s="90"/>
      <c r="O493" s="255">
        <f>MONTH(LstMachines[[#This Row],[Delivery]])</f>
        <v>6</v>
      </c>
      <c r="P493" s="256" t="str">
        <f>FIXED(YEAR(LstMachines[[#This Row],[Delivery]]),0,TRUE)</f>
        <v>2020</v>
      </c>
      <c r="Q493" s="73"/>
      <c r="R493" s="93"/>
      <c r="S493" s="90"/>
      <c r="T493" s="90"/>
      <c r="U493" s="90" t="s">
        <v>104</v>
      </c>
      <c r="V493" s="72"/>
      <c r="W493" s="99" t="s">
        <v>383</v>
      </c>
      <c r="X493" s="258">
        <f>LstMachines[[#This Row],[Delivery]]</f>
        <v>43997</v>
      </c>
      <c r="Y493" s="258" t="str">
        <f xml:space="preserve"> IF(MONTH(LstMachines[[#This Row],[DateLivr]])&lt;10,"0","") &amp; MONTH(LstMachines[[#This Row],[DateLivr]]) &amp;"-"&amp;YEAR(LstMachines[[#This Row],[DateLivr]])</f>
        <v>06-2020</v>
      </c>
      <c r="Z493" s="258">
        <f>LstMachines[[#This Row],[Delivery]]+Rglt_à_HCME</f>
        <v>44057</v>
      </c>
      <c r="AA493" s="258" t="str">
        <f xml:space="preserve"> IF(MONTH(LstMachines[[#This Row],[DatePaie]])&lt;10,"0","") &amp; MONTH(LstMachines[[#This Row],[DatePaie]])&amp;"-"&amp;YEAR(LstMachines[[#This Row],[DatePaie]])</f>
        <v>08-2020</v>
      </c>
      <c r="AB493" s="258">
        <f>LstMachines[[#This Row],[DateLivr]]+1</f>
        <v>43998</v>
      </c>
      <c r="AC493" s="258" t="str">
        <f xml:space="preserve"> IF(MONTH(LstMachines[[#This Row],[Distrib]])&lt;10,"0","") &amp; MONTH(LstMachines[[#This Row],[Distrib]]) &amp; "-" &amp; YEAR(LstMachines[[#This Row],[Distrib]])</f>
        <v>06-2020</v>
      </c>
      <c r="AD493" s="258">
        <f>LstMachines[[#This Row],[DateLivr]]+Délai_Vente</f>
        <v>44117</v>
      </c>
      <c r="AE493" s="258" t="str">
        <f xml:space="preserve"> IF(MONTH(LstMachines[[#This Row],[VteESM]])&lt;10,"0","") &amp; MONTH(LstMachines[[#This Row],[VteESM]]) &amp; "-" &amp; YEAR(LstMachines[[#This Row],[VteESM]])</f>
        <v>10-2020</v>
      </c>
      <c r="AF493" s="258">
        <f>LstMachines[[#This Row],[DateLivr]]+Rglt_à_ESMTP</f>
        <v>44057</v>
      </c>
      <c r="AG493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93" s="258">
        <f>LstMachines[[#This Row],[VteESM]]+Rglt_à_ESMTP</f>
        <v>44177</v>
      </c>
      <c r="AI493" s="258" t="str">
        <f xml:space="preserve"> IF(MONTH(LstMachines[[#This Row],[RgltVteESM]])&lt;10,"0","") &amp; MONTH(LstMachines[[#This Row],[RgltVteESM]]) &amp; "-" &amp; YEAR(LstMachines[[#This Row],[RgltVteESM]])</f>
        <v>12-2020</v>
      </c>
      <c r="AJ493" s="140">
        <f>MONTH(LstMachines[[#This Row],[DatePaie]])</f>
        <v>8</v>
      </c>
      <c r="AK493" s="88" t="str">
        <f>FIXED(YEAR(LstMachines[[#This Row],[DatePaie]]),0,TRUE)</f>
        <v>2020</v>
      </c>
      <c r="AL493" s="140"/>
      <c r="AM493" s="414"/>
    </row>
    <row r="494" spans="2:39" hidden="1">
      <c r="B494" s="104" t="s">
        <v>262</v>
      </c>
      <c r="C494" s="104" t="s">
        <v>39</v>
      </c>
      <c r="D494" s="87">
        <v>85</v>
      </c>
      <c r="E494" s="86" t="s">
        <v>356</v>
      </c>
      <c r="F494" s="87" t="s">
        <v>100</v>
      </c>
      <c r="G494" s="87" t="s">
        <v>31</v>
      </c>
      <c r="H494" s="89">
        <v>2</v>
      </c>
      <c r="I49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494" s="88">
        <v>43997</v>
      </c>
      <c r="K494" s="99" t="s">
        <v>461</v>
      </c>
      <c r="L494" s="132" t="s">
        <v>387</v>
      </c>
      <c r="M494" s="99"/>
      <c r="N494" s="90"/>
      <c r="O494" s="255">
        <f>MONTH(LstMachines[[#This Row],[Delivery]])</f>
        <v>6</v>
      </c>
      <c r="P494" s="256" t="str">
        <f>FIXED(YEAR(LstMachines[[#This Row],[Delivery]]),0,TRUE)</f>
        <v>2020</v>
      </c>
      <c r="Q494" s="73"/>
      <c r="R494" s="93"/>
      <c r="S494" s="90"/>
      <c r="T494" s="90"/>
      <c r="U494" s="90" t="s">
        <v>104</v>
      </c>
      <c r="V494" s="72"/>
      <c r="W494" s="99" t="s">
        <v>383</v>
      </c>
      <c r="X494" s="258">
        <f>LstMachines[[#This Row],[Delivery]]</f>
        <v>43997</v>
      </c>
      <c r="Y494" s="258" t="str">
        <f xml:space="preserve"> IF(MONTH(LstMachines[[#This Row],[DateLivr]])&lt;10,"0","") &amp; MONTH(LstMachines[[#This Row],[DateLivr]]) &amp;"-"&amp;YEAR(LstMachines[[#This Row],[DateLivr]])</f>
        <v>06-2020</v>
      </c>
      <c r="Z494" s="258">
        <f>LstMachines[[#This Row],[Delivery]]+Rglt_à_HCME</f>
        <v>44057</v>
      </c>
      <c r="AA494" s="258" t="str">
        <f xml:space="preserve"> IF(MONTH(LstMachines[[#This Row],[DatePaie]])&lt;10,"0","") &amp; MONTH(LstMachines[[#This Row],[DatePaie]])&amp;"-"&amp;YEAR(LstMachines[[#This Row],[DatePaie]])</f>
        <v>08-2020</v>
      </c>
      <c r="AB494" s="258">
        <f>LstMachines[[#This Row],[DateLivr]]+1</f>
        <v>43998</v>
      </c>
      <c r="AC494" s="258" t="str">
        <f xml:space="preserve"> IF(MONTH(LstMachines[[#This Row],[Distrib]])&lt;10,"0","") &amp; MONTH(LstMachines[[#This Row],[Distrib]]) &amp; "-" &amp; YEAR(LstMachines[[#This Row],[Distrib]])</f>
        <v>06-2020</v>
      </c>
      <c r="AD494" s="258">
        <f>LstMachines[[#This Row],[DateLivr]]+Délai_Vente</f>
        <v>44117</v>
      </c>
      <c r="AE494" s="258" t="str">
        <f xml:space="preserve"> IF(MONTH(LstMachines[[#This Row],[VteESM]])&lt;10,"0","") &amp; MONTH(LstMachines[[#This Row],[VteESM]]) &amp; "-" &amp; YEAR(LstMachines[[#This Row],[VteESM]])</f>
        <v>10-2020</v>
      </c>
      <c r="AF494" s="258">
        <f>LstMachines[[#This Row],[DateLivr]]+Rglt_à_ESMTP</f>
        <v>44057</v>
      </c>
      <c r="AG494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94" s="258">
        <f>LstMachines[[#This Row],[VteESM]]+Rglt_à_ESMTP</f>
        <v>44177</v>
      </c>
      <c r="AI494" s="258" t="str">
        <f xml:space="preserve"> IF(MONTH(LstMachines[[#This Row],[RgltVteESM]])&lt;10,"0","") &amp; MONTH(LstMachines[[#This Row],[RgltVteESM]]) &amp; "-" &amp; YEAR(LstMachines[[#This Row],[RgltVteESM]])</f>
        <v>12-2020</v>
      </c>
      <c r="AJ494" s="140">
        <f>MONTH(LstMachines[[#This Row],[DatePaie]])</f>
        <v>8</v>
      </c>
      <c r="AK494" s="88" t="str">
        <f>FIXED(YEAR(LstMachines[[#This Row],[DatePaie]]),0,TRUE)</f>
        <v>2020</v>
      </c>
      <c r="AL494" s="140"/>
      <c r="AM494" s="414"/>
    </row>
    <row r="495" spans="2:39" hidden="1">
      <c r="B495" s="104" t="s">
        <v>75</v>
      </c>
      <c r="C495" s="104" t="s">
        <v>38</v>
      </c>
      <c r="D495" s="87">
        <v>65</v>
      </c>
      <c r="E495" s="104" t="s">
        <v>364</v>
      </c>
      <c r="F495" s="87" t="s">
        <v>100</v>
      </c>
      <c r="G495" s="87" t="s">
        <v>31</v>
      </c>
      <c r="H495" s="89">
        <v>3</v>
      </c>
      <c r="I49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135</v>
      </c>
      <c r="J495" s="88">
        <v>43997</v>
      </c>
      <c r="K495" s="99" t="s">
        <v>461</v>
      </c>
      <c r="L495" s="132" t="s">
        <v>387</v>
      </c>
      <c r="M495" s="99"/>
      <c r="N495" s="90"/>
      <c r="O495" s="255">
        <f>MONTH(LstMachines[[#This Row],[Delivery]])</f>
        <v>6</v>
      </c>
      <c r="P495" s="256" t="str">
        <f>FIXED(YEAR(LstMachines[[#This Row],[Delivery]]),0,TRUE)</f>
        <v>2020</v>
      </c>
      <c r="Q495" s="73"/>
      <c r="R495" s="93"/>
      <c r="S495" s="90"/>
      <c r="T495" s="90"/>
      <c r="U495" s="90" t="s">
        <v>104</v>
      </c>
      <c r="V495" s="72"/>
      <c r="W495" s="99" t="s">
        <v>383</v>
      </c>
      <c r="X495" s="258">
        <f>LstMachines[[#This Row],[Delivery]]</f>
        <v>43997</v>
      </c>
      <c r="Y495" s="258" t="str">
        <f xml:space="preserve"> IF(MONTH(LstMachines[[#This Row],[DateLivr]])&lt;10,"0","") &amp; MONTH(LstMachines[[#This Row],[DateLivr]]) &amp;"-"&amp;YEAR(LstMachines[[#This Row],[DateLivr]])</f>
        <v>06-2020</v>
      </c>
      <c r="Z495" s="258">
        <f>LstMachines[[#This Row],[Delivery]]+Rglt_à_HCME</f>
        <v>44057</v>
      </c>
      <c r="AA495" s="258" t="str">
        <f xml:space="preserve"> IF(MONTH(LstMachines[[#This Row],[DatePaie]])&lt;10,"0","") &amp; MONTH(LstMachines[[#This Row],[DatePaie]])&amp;"-"&amp;YEAR(LstMachines[[#This Row],[DatePaie]])</f>
        <v>08-2020</v>
      </c>
      <c r="AB495" s="258">
        <f>LstMachines[[#This Row],[DateLivr]]+1</f>
        <v>43998</v>
      </c>
      <c r="AC495" s="258" t="str">
        <f xml:space="preserve"> IF(MONTH(LstMachines[[#This Row],[Distrib]])&lt;10,"0","") &amp; MONTH(LstMachines[[#This Row],[Distrib]]) &amp; "-" &amp; YEAR(LstMachines[[#This Row],[Distrib]])</f>
        <v>06-2020</v>
      </c>
      <c r="AD495" s="258">
        <f>LstMachines[[#This Row],[DateLivr]]+Délai_Vente</f>
        <v>44117</v>
      </c>
      <c r="AE495" s="258" t="str">
        <f xml:space="preserve"> IF(MONTH(LstMachines[[#This Row],[VteESM]])&lt;10,"0","") &amp; MONTH(LstMachines[[#This Row],[VteESM]]) &amp; "-" &amp; YEAR(LstMachines[[#This Row],[VteESM]])</f>
        <v>10-2020</v>
      </c>
      <c r="AF495" s="258">
        <f>LstMachines[[#This Row],[DateLivr]]+Rglt_à_ESMTP</f>
        <v>44057</v>
      </c>
      <c r="AG495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95" s="258">
        <f>LstMachines[[#This Row],[VteESM]]+Rglt_à_ESMTP</f>
        <v>44177</v>
      </c>
      <c r="AI495" s="258" t="str">
        <f xml:space="preserve"> IF(MONTH(LstMachines[[#This Row],[RgltVteESM]])&lt;10,"0","") &amp; MONTH(LstMachines[[#This Row],[RgltVteESM]]) &amp; "-" &amp; YEAR(LstMachines[[#This Row],[RgltVteESM]])</f>
        <v>12-2020</v>
      </c>
      <c r="AJ495" s="140">
        <f>MONTH(LstMachines[[#This Row],[DatePaie]])</f>
        <v>8</v>
      </c>
      <c r="AK495" s="88" t="str">
        <f>FIXED(YEAR(LstMachines[[#This Row],[DatePaie]]),0,TRUE)</f>
        <v>2020</v>
      </c>
      <c r="AL495" s="140"/>
      <c r="AM495" s="414"/>
    </row>
    <row r="496" spans="2:39" hidden="1">
      <c r="B496" s="104" t="s">
        <v>75</v>
      </c>
      <c r="C496" s="104" t="s">
        <v>37</v>
      </c>
      <c r="D496" s="87">
        <v>48</v>
      </c>
      <c r="E496" s="104" t="s">
        <v>363</v>
      </c>
      <c r="F496" s="87" t="s">
        <v>100</v>
      </c>
      <c r="G496" s="87" t="s">
        <v>31</v>
      </c>
      <c r="H496" s="89">
        <v>4</v>
      </c>
      <c r="I49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164</v>
      </c>
      <c r="J496" s="88">
        <v>43997</v>
      </c>
      <c r="K496" s="99" t="s">
        <v>461</v>
      </c>
      <c r="L496" s="132" t="s">
        <v>387</v>
      </c>
      <c r="M496" s="99"/>
      <c r="N496" s="90"/>
      <c r="O496" s="255">
        <f>MONTH(LstMachines[[#This Row],[Delivery]])</f>
        <v>6</v>
      </c>
      <c r="P496" s="256" t="str">
        <f>FIXED(YEAR(LstMachines[[#This Row],[Delivery]]),0,TRUE)</f>
        <v>2020</v>
      </c>
      <c r="Q496" s="73"/>
      <c r="R496" s="93"/>
      <c r="S496" s="90"/>
      <c r="T496" s="90"/>
      <c r="U496" s="90" t="s">
        <v>104</v>
      </c>
      <c r="V496" s="72"/>
      <c r="W496" s="99" t="s">
        <v>383</v>
      </c>
      <c r="X496" s="258">
        <f>LstMachines[[#This Row],[Delivery]]</f>
        <v>43997</v>
      </c>
      <c r="Y496" s="258" t="str">
        <f xml:space="preserve"> IF(MONTH(LstMachines[[#This Row],[DateLivr]])&lt;10,"0","") &amp; MONTH(LstMachines[[#This Row],[DateLivr]]) &amp;"-"&amp;YEAR(LstMachines[[#This Row],[DateLivr]])</f>
        <v>06-2020</v>
      </c>
      <c r="Z496" s="258">
        <f>LstMachines[[#This Row],[Delivery]]+Rglt_à_HCME</f>
        <v>44057</v>
      </c>
      <c r="AA496" s="258" t="str">
        <f xml:space="preserve"> IF(MONTH(LstMachines[[#This Row],[DatePaie]])&lt;10,"0","") &amp; MONTH(LstMachines[[#This Row],[DatePaie]])&amp;"-"&amp;YEAR(LstMachines[[#This Row],[DatePaie]])</f>
        <v>08-2020</v>
      </c>
      <c r="AB496" s="258">
        <f>LstMachines[[#This Row],[DateLivr]]+1</f>
        <v>43998</v>
      </c>
      <c r="AC496" s="258" t="str">
        <f xml:space="preserve"> IF(MONTH(LstMachines[[#This Row],[Distrib]])&lt;10,"0","") &amp; MONTH(LstMachines[[#This Row],[Distrib]]) &amp; "-" &amp; YEAR(LstMachines[[#This Row],[Distrib]])</f>
        <v>06-2020</v>
      </c>
      <c r="AD496" s="258">
        <f>LstMachines[[#This Row],[DateLivr]]+Délai_Vente</f>
        <v>44117</v>
      </c>
      <c r="AE496" s="258" t="str">
        <f xml:space="preserve"> IF(MONTH(LstMachines[[#This Row],[VteESM]])&lt;10,"0","") &amp; MONTH(LstMachines[[#This Row],[VteESM]]) &amp; "-" &amp; YEAR(LstMachines[[#This Row],[VteESM]])</f>
        <v>10-2020</v>
      </c>
      <c r="AF496" s="258">
        <f>LstMachines[[#This Row],[DateLivr]]+Rglt_à_ESMTP</f>
        <v>44057</v>
      </c>
      <c r="AG496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96" s="258">
        <f>LstMachines[[#This Row],[VteESM]]+Rglt_à_ESMTP</f>
        <v>44177</v>
      </c>
      <c r="AI496" s="258" t="str">
        <f xml:space="preserve"> IF(MONTH(LstMachines[[#This Row],[RgltVteESM]])&lt;10,"0","") &amp; MONTH(LstMachines[[#This Row],[RgltVteESM]]) &amp; "-" &amp; YEAR(LstMachines[[#This Row],[RgltVteESM]])</f>
        <v>12-2020</v>
      </c>
      <c r="AJ496" s="140">
        <f>MONTH(LstMachines[[#This Row],[DatePaie]])</f>
        <v>8</v>
      </c>
      <c r="AK496" s="88" t="str">
        <f>FIXED(YEAR(LstMachines[[#This Row],[DatePaie]]),0,TRUE)</f>
        <v>2020</v>
      </c>
      <c r="AL496" s="140"/>
      <c r="AM496" s="414"/>
    </row>
    <row r="497" spans="2:39" hidden="1">
      <c r="B497" s="104" t="s">
        <v>262</v>
      </c>
      <c r="C497" s="104" t="s">
        <v>46</v>
      </c>
      <c r="D497" s="87">
        <v>350</v>
      </c>
      <c r="E497" s="86" t="s">
        <v>218</v>
      </c>
      <c r="F497" s="87" t="s">
        <v>100</v>
      </c>
      <c r="G497" s="87" t="s">
        <v>31</v>
      </c>
      <c r="H497" s="89">
        <v>1</v>
      </c>
      <c r="I49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188</v>
      </c>
      <c r="J497" s="88">
        <v>43997</v>
      </c>
      <c r="K497" s="99" t="s">
        <v>461</v>
      </c>
      <c r="L497" s="132" t="s">
        <v>387</v>
      </c>
      <c r="M497" s="99"/>
      <c r="N497" s="90"/>
      <c r="O497" s="255">
        <f>MONTH(LstMachines[[#This Row],[Delivery]])</f>
        <v>6</v>
      </c>
      <c r="P497" s="256" t="str">
        <f>FIXED(YEAR(LstMachines[[#This Row],[Delivery]]),0,TRUE)</f>
        <v>2020</v>
      </c>
      <c r="Q497" s="73"/>
      <c r="R497" s="93"/>
      <c r="S497" s="90"/>
      <c r="T497" s="90"/>
      <c r="U497" s="90" t="s">
        <v>105</v>
      </c>
      <c r="V497" s="72"/>
      <c r="W497" s="99" t="s">
        <v>384</v>
      </c>
      <c r="X497" s="258">
        <f>LstMachines[[#This Row],[Delivery]]</f>
        <v>43997</v>
      </c>
      <c r="Y497" s="258" t="str">
        <f xml:space="preserve"> IF(MONTH(LstMachines[[#This Row],[DateLivr]])&lt;10,"0","") &amp; MONTH(LstMachines[[#This Row],[DateLivr]]) &amp;"-"&amp;YEAR(LstMachines[[#This Row],[DateLivr]])</f>
        <v>06-2020</v>
      </c>
      <c r="Z497" s="258">
        <f>LstMachines[[#This Row],[Delivery]]+Rglt_à_HCME</f>
        <v>44057</v>
      </c>
      <c r="AA497" s="258" t="str">
        <f xml:space="preserve"> IF(MONTH(LstMachines[[#This Row],[DatePaie]])&lt;10,"0","") &amp; MONTH(LstMachines[[#This Row],[DatePaie]])&amp;"-"&amp;YEAR(LstMachines[[#This Row],[DatePaie]])</f>
        <v>08-2020</v>
      </c>
      <c r="AB497" s="258">
        <f>LstMachines[[#This Row],[DateLivr]]+1</f>
        <v>43998</v>
      </c>
      <c r="AC497" s="258" t="str">
        <f xml:space="preserve"> IF(MONTH(LstMachines[[#This Row],[Distrib]])&lt;10,"0","") &amp; MONTH(LstMachines[[#This Row],[Distrib]]) &amp; "-" &amp; YEAR(LstMachines[[#This Row],[Distrib]])</f>
        <v>06-2020</v>
      </c>
      <c r="AD497" s="258">
        <f>LstMachines[[#This Row],[DateLivr]]+Délai_Vente</f>
        <v>44117</v>
      </c>
      <c r="AE497" s="258" t="str">
        <f xml:space="preserve"> IF(MONTH(LstMachines[[#This Row],[VteESM]])&lt;10,"0","") &amp; MONTH(LstMachines[[#This Row],[VteESM]]) &amp; "-" &amp; YEAR(LstMachines[[#This Row],[VteESM]])</f>
        <v>10-2020</v>
      </c>
      <c r="AF497" s="258">
        <f>LstMachines[[#This Row],[DateLivr]]+Rglt_à_ESMTP</f>
        <v>44057</v>
      </c>
      <c r="AG497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97" s="258">
        <f>LstMachines[[#This Row],[VteESM]]+Rglt_à_ESMTP</f>
        <v>44177</v>
      </c>
      <c r="AI497" s="258" t="str">
        <f xml:space="preserve"> IF(MONTH(LstMachines[[#This Row],[RgltVteESM]])&lt;10,"0","") &amp; MONTH(LstMachines[[#This Row],[RgltVteESM]]) &amp; "-" &amp; YEAR(LstMachines[[#This Row],[RgltVteESM]])</f>
        <v>12-2020</v>
      </c>
      <c r="AJ497" s="140">
        <f>MONTH(LstMachines[[#This Row],[DatePaie]])</f>
        <v>8</v>
      </c>
      <c r="AK497" s="88" t="str">
        <f>FIXED(YEAR(LstMachines[[#This Row],[DatePaie]]),0,TRUE)</f>
        <v>2020</v>
      </c>
      <c r="AL497" s="140"/>
      <c r="AM497" s="414"/>
    </row>
    <row r="498" spans="2:39" hidden="1">
      <c r="B498" s="104" t="s">
        <v>262</v>
      </c>
      <c r="C498" s="104" t="s">
        <v>40</v>
      </c>
      <c r="D498" s="87">
        <v>135</v>
      </c>
      <c r="E498" s="104" t="s">
        <v>194</v>
      </c>
      <c r="F498" s="87" t="s">
        <v>100</v>
      </c>
      <c r="G498" s="87" t="s">
        <v>31</v>
      </c>
      <c r="H498" s="89">
        <v>2</v>
      </c>
      <c r="I49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204</v>
      </c>
      <c r="J498" s="88">
        <v>43997</v>
      </c>
      <c r="K498" s="99" t="s">
        <v>461</v>
      </c>
      <c r="L498" s="132" t="s">
        <v>387</v>
      </c>
      <c r="M498" s="99"/>
      <c r="N498" s="90"/>
      <c r="O498" s="255">
        <f>MONTH(LstMachines[[#This Row],[Delivery]])</f>
        <v>6</v>
      </c>
      <c r="P498" s="256" t="str">
        <f>FIXED(YEAR(LstMachines[[#This Row],[Delivery]]),0,TRUE)</f>
        <v>2020</v>
      </c>
      <c r="Q498" s="73"/>
      <c r="R498" s="93"/>
      <c r="S498" s="90"/>
      <c r="T498" s="90"/>
      <c r="U498" s="90" t="s">
        <v>104</v>
      </c>
      <c r="V498" s="72"/>
      <c r="W498" s="99" t="s">
        <v>383</v>
      </c>
      <c r="X498" s="258">
        <f>LstMachines[[#This Row],[Delivery]]</f>
        <v>43997</v>
      </c>
      <c r="Y498" s="258" t="str">
        <f xml:space="preserve"> IF(MONTH(LstMachines[[#This Row],[DateLivr]])&lt;10,"0","") &amp; MONTH(LstMachines[[#This Row],[DateLivr]]) &amp;"-"&amp;YEAR(LstMachines[[#This Row],[DateLivr]])</f>
        <v>06-2020</v>
      </c>
      <c r="Z498" s="258">
        <f>LstMachines[[#This Row],[Delivery]]+Rglt_à_HCME</f>
        <v>44057</v>
      </c>
      <c r="AA498" s="258" t="str">
        <f xml:space="preserve"> IF(MONTH(LstMachines[[#This Row],[DatePaie]])&lt;10,"0","") &amp; MONTH(LstMachines[[#This Row],[DatePaie]])&amp;"-"&amp;YEAR(LstMachines[[#This Row],[DatePaie]])</f>
        <v>08-2020</v>
      </c>
      <c r="AB498" s="258">
        <f>LstMachines[[#This Row],[DateLivr]]+1</f>
        <v>43998</v>
      </c>
      <c r="AC498" s="258" t="str">
        <f xml:space="preserve"> IF(MONTH(LstMachines[[#This Row],[Distrib]])&lt;10,"0","") &amp; MONTH(LstMachines[[#This Row],[Distrib]]) &amp; "-" &amp; YEAR(LstMachines[[#This Row],[Distrib]])</f>
        <v>06-2020</v>
      </c>
      <c r="AD498" s="258">
        <f>LstMachines[[#This Row],[DateLivr]]+Délai_Vente</f>
        <v>44117</v>
      </c>
      <c r="AE498" s="258" t="str">
        <f xml:space="preserve"> IF(MONTH(LstMachines[[#This Row],[VteESM]])&lt;10,"0","") &amp; MONTH(LstMachines[[#This Row],[VteESM]]) &amp; "-" &amp; YEAR(LstMachines[[#This Row],[VteESM]])</f>
        <v>10-2020</v>
      </c>
      <c r="AF498" s="258">
        <f>LstMachines[[#This Row],[DateLivr]]+Rglt_à_ESMTP</f>
        <v>44057</v>
      </c>
      <c r="AG498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98" s="258">
        <f>LstMachines[[#This Row],[VteESM]]+Rglt_à_ESMTP</f>
        <v>44177</v>
      </c>
      <c r="AI498" s="258" t="str">
        <f xml:space="preserve"> IF(MONTH(LstMachines[[#This Row],[RgltVteESM]])&lt;10,"0","") &amp; MONTH(LstMachines[[#This Row],[RgltVteESM]]) &amp; "-" &amp; YEAR(LstMachines[[#This Row],[RgltVteESM]])</f>
        <v>12-2020</v>
      </c>
      <c r="AJ498" s="140">
        <f>MONTH(LstMachines[[#This Row],[DatePaie]])</f>
        <v>8</v>
      </c>
      <c r="AK498" s="88" t="str">
        <f>FIXED(YEAR(LstMachines[[#This Row],[DatePaie]]),0,TRUE)</f>
        <v>2020</v>
      </c>
      <c r="AL498" s="140"/>
      <c r="AM498" s="414"/>
    </row>
    <row r="499" spans="2:39" hidden="1">
      <c r="B499" s="104" t="s">
        <v>262</v>
      </c>
      <c r="C499" s="104" t="s">
        <v>41</v>
      </c>
      <c r="D499" s="87">
        <v>160</v>
      </c>
      <c r="E499" s="104" t="s">
        <v>197</v>
      </c>
      <c r="F499" s="87" t="s">
        <v>100</v>
      </c>
      <c r="G499" s="87" t="s">
        <v>31</v>
      </c>
      <c r="H499" s="89">
        <v>2</v>
      </c>
      <c r="I49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220</v>
      </c>
      <c r="J499" s="88">
        <v>43997</v>
      </c>
      <c r="K499" s="99" t="s">
        <v>461</v>
      </c>
      <c r="L499" s="132" t="s">
        <v>387</v>
      </c>
      <c r="M499" s="99"/>
      <c r="N499" s="90"/>
      <c r="O499" s="255">
        <f>MONTH(LstMachines[[#This Row],[Delivery]])</f>
        <v>6</v>
      </c>
      <c r="P499" s="256" t="str">
        <f>FIXED(YEAR(LstMachines[[#This Row],[Delivery]]),0,TRUE)</f>
        <v>2020</v>
      </c>
      <c r="Q499" s="73"/>
      <c r="R499" s="93"/>
      <c r="S499" s="90"/>
      <c r="T499" s="90"/>
      <c r="U499" s="90" t="s">
        <v>105</v>
      </c>
      <c r="V499" s="72"/>
      <c r="W499" s="99" t="s">
        <v>384</v>
      </c>
      <c r="X499" s="258">
        <f>LstMachines[[#This Row],[Delivery]]</f>
        <v>43997</v>
      </c>
      <c r="Y499" s="258" t="str">
        <f xml:space="preserve"> IF(MONTH(LstMachines[[#This Row],[DateLivr]])&lt;10,"0","") &amp; MONTH(LstMachines[[#This Row],[DateLivr]]) &amp;"-"&amp;YEAR(LstMachines[[#This Row],[DateLivr]])</f>
        <v>06-2020</v>
      </c>
      <c r="Z499" s="258">
        <f>LstMachines[[#This Row],[Delivery]]+Rglt_à_HCME</f>
        <v>44057</v>
      </c>
      <c r="AA499" s="258" t="str">
        <f xml:space="preserve"> IF(MONTH(LstMachines[[#This Row],[DatePaie]])&lt;10,"0","") &amp; MONTH(LstMachines[[#This Row],[DatePaie]])&amp;"-"&amp;YEAR(LstMachines[[#This Row],[DatePaie]])</f>
        <v>08-2020</v>
      </c>
      <c r="AB499" s="258">
        <f>LstMachines[[#This Row],[DateLivr]]+1</f>
        <v>43998</v>
      </c>
      <c r="AC499" s="258" t="str">
        <f xml:space="preserve"> IF(MONTH(LstMachines[[#This Row],[Distrib]])&lt;10,"0","") &amp; MONTH(LstMachines[[#This Row],[Distrib]]) &amp; "-" &amp; YEAR(LstMachines[[#This Row],[Distrib]])</f>
        <v>06-2020</v>
      </c>
      <c r="AD499" s="258">
        <f>LstMachines[[#This Row],[DateLivr]]+Délai_Vente</f>
        <v>44117</v>
      </c>
      <c r="AE499" s="258" t="str">
        <f xml:space="preserve"> IF(MONTH(LstMachines[[#This Row],[VteESM]])&lt;10,"0","") &amp; MONTH(LstMachines[[#This Row],[VteESM]]) &amp; "-" &amp; YEAR(LstMachines[[#This Row],[VteESM]])</f>
        <v>10-2020</v>
      </c>
      <c r="AF499" s="258">
        <f>LstMachines[[#This Row],[DateLivr]]+Rglt_à_ESMTP</f>
        <v>44057</v>
      </c>
      <c r="AG499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499" s="258">
        <f>LstMachines[[#This Row],[VteESM]]+Rglt_à_ESMTP</f>
        <v>44177</v>
      </c>
      <c r="AI499" s="258" t="str">
        <f xml:space="preserve"> IF(MONTH(LstMachines[[#This Row],[RgltVteESM]])&lt;10,"0","") &amp; MONTH(LstMachines[[#This Row],[RgltVteESM]]) &amp; "-" &amp; YEAR(LstMachines[[#This Row],[RgltVteESM]])</f>
        <v>12-2020</v>
      </c>
      <c r="AJ499" s="140">
        <f>MONTH(LstMachines[[#This Row],[DatePaie]])</f>
        <v>8</v>
      </c>
      <c r="AK499" s="88" t="str">
        <f>FIXED(YEAR(LstMachines[[#This Row],[DatePaie]]),0,TRUE)</f>
        <v>2020</v>
      </c>
      <c r="AL499" s="140"/>
      <c r="AM499" s="414"/>
    </row>
    <row r="500" spans="2:39" hidden="1">
      <c r="B500" s="104" t="s">
        <v>262</v>
      </c>
      <c r="C500" s="104" t="s">
        <v>42</v>
      </c>
      <c r="D500" s="87">
        <v>190</v>
      </c>
      <c r="E500" s="86" t="s">
        <v>200</v>
      </c>
      <c r="F500" s="87" t="s">
        <v>100</v>
      </c>
      <c r="G500" s="87" t="s">
        <v>31</v>
      </c>
      <c r="H500" s="89">
        <v>2</v>
      </c>
      <c r="I50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226</v>
      </c>
      <c r="J500" s="88">
        <v>43997</v>
      </c>
      <c r="K500" s="99" t="s">
        <v>461</v>
      </c>
      <c r="L500" s="132" t="s">
        <v>387</v>
      </c>
      <c r="M500" s="99"/>
      <c r="N500" s="90"/>
      <c r="O500" s="255">
        <f>MONTH(LstMachines[[#This Row],[Delivery]])</f>
        <v>6</v>
      </c>
      <c r="P500" s="256" t="str">
        <f>FIXED(YEAR(LstMachines[[#This Row],[Delivery]]),0,TRUE)</f>
        <v>2020</v>
      </c>
      <c r="Q500" s="73"/>
      <c r="R500" s="93"/>
      <c r="S500" s="90"/>
      <c r="T500" s="90"/>
      <c r="U500" s="90" t="s">
        <v>105</v>
      </c>
      <c r="V500" s="72"/>
      <c r="W500" s="99" t="s">
        <v>384</v>
      </c>
      <c r="X500" s="258">
        <f>LstMachines[[#This Row],[Delivery]]</f>
        <v>43997</v>
      </c>
      <c r="Y500" s="258" t="str">
        <f xml:space="preserve"> IF(MONTH(LstMachines[[#This Row],[DateLivr]])&lt;10,"0","") &amp; MONTH(LstMachines[[#This Row],[DateLivr]]) &amp;"-"&amp;YEAR(LstMachines[[#This Row],[DateLivr]])</f>
        <v>06-2020</v>
      </c>
      <c r="Z500" s="258">
        <f>LstMachines[[#This Row],[Delivery]]+Rglt_à_HCME</f>
        <v>44057</v>
      </c>
      <c r="AA500" s="258" t="str">
        <f xml:space="preserve"> IF(MONTH(LstMachines[[#This Row],[DatePaie]])&lt;10,"0","") &amp; MONTH(LstMachines[[#This Row],[DatePaie]])&amp;"-"&amp;YEAR(LstMachines[[#This Row],[DatePaie]])</f>
        <v>08-2020</v>
      </c>
      <c r="AB500" s="258">
        <f>LstMachines[[#This Row],[DateLivr]]+1</f>
        <v>43998</v>
      </c>
      <c r="AC500" s="258" t="str">
        <f xml:space="preserve"> IF(MONTH(LstMachines[[#This Row],[Distrib]])&lt;10,"0","") &amp; MONTH(LstMachines[[#This Row],[Distrib]]) &amp; "-" &amp; YEAR(LstMachines[[#This Row],[Distrib]])</f>
        <v>06-2020</v>
      </c>
      <c r="AD500" s="258">
        <f>LstMachines[[#This Row],[DateLivr]]+Délai_Vente</f>
        <v>44117</v>
      </c>
      <c r="AE500" s="258" t="str">
        <f xml:space="preserve"> IF(MONTH(LstMachines[[#This Row],[VteESM]])&lt;10,"0","") &amp; MONTH(LstMachines[[#This Row],[VteESM]]) &amp; "-" &amp; YEAR(LstMachines[[#This Row],[VteESM]])</f>
        <v>10-2020</v>
      </c>
      <c r="AF500" s="258">
        <f>LstMachines[[#This Row],[DateLivr]]+Rglt_à_ESMTP</f>
        <v>44057</v>
      </c>
      <c r="AG500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00" s="258">
        <f>LstMachines[[#This Row],[VteESM]]+Rglt_à_ESMTP</f>
        <v>44177</v>
      </c>
      <c r="AI500" s="258" t="str">
        <f xml:space="preserve"> IF(MONTH(LstMachines[[#This Row],[RgltVteESM]])&lt;10,"0","") &amp; MONTH(LstMachines[[#This Row],[RgltVteESM]]) &amp; "-" &amp; YEAR(LstMachines[[#This Row],[RgltVteESM]])</f>
        <v>12-2020</v>
      </c>
      <c r="AJ500" s="140">
        <f>MONTH(LstMachines[[#This Row],[DatePaie]])</f>
        <v>8</v>
      </c>
      <c r="AK500" s="88" t="str">
        <f>FIXED(YEAR(LstMachines[[#This Row],[DatePaie]]),0,TRUE)</f>
        <v>2020</v>
      </c>
      <c r="AL500" s="140"/>
      <c r="AM500" s="414"/>
    </row>
    <row r="501" spans="2:39" hidden="1">
      <c r="B501" s="104" t="s">
        <v>262</v>
      </c>
      <c r="C501" s="104" t="s">
        <v>44</v>
      </c>
      <c r="D501" s="87">
        <v>225</v>
      </c>
      <c r="E501" s="104" t="s">
        <v>205</v>
      </c>
      <c r="F501" s="87" t="s">
        <v>100</v>
      </c>
      <c r="G501" s="87" t="s">
        <v>31</v>
      </c>
      <c r="H501" s="89">
        <v>2</v>
      </c>
      <c r="I50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256</v>
      </c>
      <c r="J501" s="88">
        <v>43997</v>
      </c>
      <c r="K501" s="99" t="s">
        <v>461</v>
      </c>
      <c r="L501" s="132" t="s">
        <v>387</v>
      </c>
      <c r="M501" s="99"/>
      <c r="N501" s="90"/>
      <c r="O501" s="255">
        <f>MONTH(LstMachines[[#This Row],[Delivery]])</f>
        <v>6</v>
      </c>
      <c r="P501" s="256" t="str">
        <f>FIXED(YEAR(LstMachines[[#This Row],[Delivery]]),0,TRUE)</f>
        <v>2020</v>
      </c>
      <c r="Q501" s="73"/>
      <c r="R501" s="93"/>
      <c r="S501" s="90"/>
      <c r="T501" s="90"/>
      <c r="U501" s="90" t="s">
        <v>105</v>
      </c>
      <c r="V501" s="72"/>
      <c r="W501" s="99" t="s">
        <v>384</v>
      </c>
      <c r="X501" s="258">
        <f>LstMachines[[#This Row],[Delivery]]</f>
        <v>43997</v>
      </c>
      <c r="Y501" s="258" t="str">
        <f xml:space="preserve"> IF(MONTH(LstMachines[[#This Row],[DateLivr]])&lt;10,"0","") &amp; MONTH(LstMachines[[#This Row],[DateLivr]]) &amp;"-"&amp;YEAR(LstMachines[[#This Row],[DateLivr]])</f>
        <v>06-2020</v>
      </c>
      <c r="Z501" s="258">
        <f>LstMachines[[#This Row],[Delivery]]+Rglt_à_HCME</f>
        <v>44057</v>
      </c>
      <c r="AA501" s="258" t="str">
        <f xml:space="preserve"> IF(MONTH(LstMachines[[#This Row],[DatePaie]])&lt;10,"0","") &amp; MONTH(LstMachines[[#This Row],[DatePaie]])&amp;"-"&amp;YEAR(LstMachines[[#This Row],[DatePaie]])</f>
        <v>08-2020</v>
      </c>
      <c r="AB501" s="258">
        <f>LstMachines[[#This Row],[DateLivr]]+1</f>
        <v>43998</v>
      </c>
      <c r="AC501" s="258" t="str">
        <f xml:space="preserve"> IF(MONTH(LstMachines[[#This Row],[Distrib]])&lt;10,"0","") &amp; MONTH(LstMachines[[#This Row],[Distrib]]) &amp; "-" &amp; YEAR(LstMachines[[#This Row],[Distrib]])</f>
        <v>06-2020</v>
      </c>
      <c r="AD501" s="258">
        <f>LstMachines[[#This Row],[DateLivr]]+Délai_Vente</f>
        <v>44117</v>
      </c>
      <c r="AE501" s="258" t="str">
        <f xml:space="preserve"> IF(MONTH(LstMachines[[#This Row],[VteESM]])&lt;10,"0","") &amp; MONTH(LstMachines[[#This Row],[VteESM]]) &amp; "-" &amp; YEAR(LstMachines[[#This Row],[VteESM]])</f>
        <v>10-2020</v>
      </c>
      <c r="AF501" s="258">
        <f>LstMachines[[#This Row],[DateLivr]]+Rglt_à_ESMTP</f>
        <v>44057</v>
      </c>
      <c r="AG501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01" s="258">
        <f>LstMachines[[#This Row],[VteESM]]+Rglt_à_ESMTP</f>
        <v>44177</v>
      </c>
      <c r="AI501" s="258" t="str">
        <f xml:space="preserve"> IF(MONTH(LstMachines[[#This Row],[RgltVteESM]])&lt;10,"0","") &amp; MONTH(LstMachines[[#This Row],[RgltVteESM]]) &amp; "-" &amp; YEAR(LstMachines[[#This Row],[RgltVteESM]])</f>
        <v>12-2020</v>
      </c>
      <c r="AJ501" s="140">
        <f>MONTH(LstMachines[[#This Row],[DatePaie]])</f>
        <v>8</v>
      </c>
      <c r="AK501" s="88" t="str">
        <f>FIXED(YEAR(LstMachines[[#This Row],[DatePaie]]),0,TRUE)</f>
        <v>2020</v>
      </c>
      <c r="AL501" s="140"/>
      <c r="AM501" s="414"/>
    </row>
    <row r="502" spans="2:39" hidden="1">
      <c r="B502" s="104" t="s">
        <v>75</v>
      </c>
      <c r="C502" s="104" t="s">
        <v>38</v>
      </c>
      <c r="D502" s="87">
        <v>65</v>
      </c>
      <c r="E502" s="104" t="s">
        <v>376</v>
      </c>
      <c r="F502" s="87" t="s">
        <v>100</v>
      </c>
      <c r="G502" s="87" t="s">
        <v>31</v>
      </c>
      <c r="H502" s="89">
        <v>7</v>
      </c>
      <c r="I50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315</v>
      </c>
      <c r="J502" s="88">
        <v>43997</v>
      </c>
      <c r="K502" s="99" t="s">
        <v>461</v>
      </c>
      <c r="L502" s="132" t="s">
        <v>387</v>
      </c>
      <c r="M502" s="99"/>
      <c r="N502" s="90"/>
      <c r="O502" s="255">
        <f>MONTH(LstMachines[[#This Row],[Delivery]])</f>
        <v>6</v>
      </c>
      <c r="P502" s="256" t="str">
        <f>FIXED(YEAR(LstMachines[[#This Row],[Delivery]]),0,TRUE)</f>
        <v>2020</v>
      </c>
      <c r="Q502" s="73"/>
      <c r="R502" s="93"/>
      <c r="S502" s="90"/>
      <c r="T502" s="90"/>
      <c r="U502" s="90" t="s">
        <v>105</v>
      </c>
      <c r="V502" s="72"/>
      <c r="W502" s="99" t="s">
        <v>384</v>
      </c>
      <c r="X502" s="258">
        <f>LstMachines[[#This Row],[Delivery]]</f>
        <v>43997</v>
      </c>
      <c r="Y502" s="258" t="str">
        <f xml:space="preserve"> IF(MONTH(LstMachines[[#This Row],[DateLivr]])&lt;10,"0","") &amp; MONTH(LstMachines[[#This Row],[DateLivr]]) &amp;"-"&amp;YEAR(LstMachines[[#This Row],[DateLivr]])</f>
        <v>06-2020</v>
      </c>
      <c r="Z502" s="258">
        <f>LstMachines[[#This Row],[Delivery]]+Rglt_à_HCME</f>
        <v>44057</v>
      </c>
      <c r="AA502" s="258" t="str">
        <f xml:space="preserve"> IF(MONTH(LstMachines[[#This Row],[DatePaie]])&lt;10,"0","") &amp; MONTH(LstMachines[[#This Row],[DatePaie]])&amp;"-"&amp;YEAR(LstMachines[[#This Row],[DatePaie]])</f>
        <v>08-2020</v>
      </c>
      <c r="AB502" s="258">
        <f>LstMachines[[#This Row],[DateLivr]]+1</f>
        <v>43998</v>
      </c>
      <c r="AC502" s="258" t="str">
        <f xml:space="preserve"> IF(MONTH(LstMachines[[#This Row],[Distrib]])&lt;10,"0","") &amp; MONTH(LstMachines[[#This Row],[Distrib]]) &amp; "-" &amp; YEAR(LstMachines[[#This Row],[Distrib]])</f>
        <v>06-2020</v>
      </c>
      <c r="AD502" s="258">
        <f>LstMachines[[#This Row],[DateLivr]]+Délai_Vente</f>
        <v>44117</v>
      </c>
      <c r="AE502" s="258" t="str">
        <f xml:space="preserve"> IF(MONTH(LstMachines[[#This Row],[VteESM]])&lt;10,"0","") &amp; MONTH(LstMachines[[#This Row],[VteESM]]) &amp; "-" &amp; YEAR(LstMachines[[#This Row],[VteESM]])</f>
        <v>10-2020</v>
      </c>
      <c r="AF502" s="258">
        <f>LstMachines[[#This Row],[DateLivr]]+Rglt_à_ESMTP</f>
        <v>44057</v>
      </c>
      <c r="AG502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02" s="258">
        <f>LstMachines[[#This Row],[VteESM]]+Rglt_à_ESMTP</f>
        <v>44177</v>
      </c>
      <c r="AI502" s="258" t="str">
        <f xml:space="preserve"> IF(MONTH(LstMachines[[#This Row],[RgltVteESM]])&lt;10,"0","") &amp; MONTH(LstMachines[[#This Row],[RgltVteESM]]) &amp; "-" &amp; YEAR(LstMachines[[#This Row],[RgltVteESM]])</f>
        <v>12-2020</v>
      </c>
      <c r="AJ502" s="140">
        <f>MONTH(LstMachines[[#This Row],[DatePaie]])</f>
        <v>8</v>
      </c>
      <c r="AK502" s="88" t="str">
        <f>FIXED(YEAR(LstMachines[[#This Row],[DatePaie]]),0,TRUE)</f>
        <v>2020</v>
      </c>
      <c r="AL502" s="140"/>
      <c r="AM502" s="414"/>
    </row>
    <row r="503" spans="2:39" hidden="1">
      <c r="B503" s="104" t="s">
        <v>262</v>
      </c>
      <c r="C503" s="104" t="s">
        <v>43</v>
      </c>
      <c r="D503" s="87">
        <v>210</v>
      </c>
      <c r="E503" s="104" t="s">
        <v>89</v>
      </c>
      <c r="F503" s="87" t="s">
        <v>100</v>
      </c>
      <c r="G503" s="87" t="s">
        <v>31</v>
      </c>
      <c r="H503" s="89">
        <v>3</v>
      </c>
      <c r="I50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354</v>
      </c>
      <c r="J503" s="88">
        <v>43997</v>
      </c>
      <c r="K503" s="99" t="s">
        <v>461</v>
      </c>
      <c r="L503" s="132" t="s">
        <v>387</v>
      </c>
      <c r="M503" s="99"/>
      <c r="N503" s="90"/>
      <c r="O503" s="255">
        <f>MONTH(LstMachines[[#This Row],[Delivery]])</f>
        <v>6</v>
      </c>
      <c r="P503" s="256" t="str">
        <f>FIXED(YEAR(LstMachines[[#This Row],[Delivery]]),0,TRUE)</f>
        <v>2020</v>
      </c>
      <c r="Q503" s="73"/>
      <c r="R503" s="93"/>
      <c r="S503" s="90"/>
      <c r="T503" s="90"/>
      <c r="U503" s="90" t="s">
        <v>105</v>
      </c>
      <c r="V503" s="72"/>
      <c r="W503" s="99" t="s">
        <v>384</v>
      </c>
      <c r="X503" s="258">
        <f>LstMachines[[#This Row],[Delivery]]</f>
        <v>43997</v>
      </c>
      <c r="Y503" s="258" t="str">
        <f xml:space="preserve"> IF(MONTH(LstMachines[[#This Row],[DateLivr]])&lt;10,"0","") &amp; MONTH(LstMachines[[#This Row],[DateLivr]]) &amp;"-"&amp;YEAR(LstMachines[[#This Row],[DateLivr]])</f>
        <v>06-2020</v>
      </c>
      <c r="Z503" s="258">
        <f>LstMachines[[#This Row],[Delivery]]+Rglt_à_HCME</f>
        <v>44057</v>
      </c>
      <c r="AA503" s="258" t="str">
        <f xml:space="preserve"> IF(MONTH(LstMachines[[#This Row],[DatePaie]])&lt;10,"0","") &amp; MONTH(LstMachines[[#This Row],[DatePaie]])&amp;"-"&amp;YEAR(LstMachines[[#This Row],[DatePaie]])</f>
        <v>08-2020</v>
      </c>
      <c r="AB503" s="258">
        <f>LstMachines[[#This Row],[DateLivr]]+1</f>
        <v>43998</v>
      </c>
      <c r="AC503" s="258" t="str">
        <f xml:space="preserve"> IF(MONTH(LstMachines[[#This Row],[Distrib]])&lt;10,"0","") &amp; MONTH(LstMachines[[#This Row],[Distrib]]) &amp; "-" &amp; YEAR(LstMachines[[#This Row],[Distrib]])</f>
        <v>06-2020</v>
      </c>
      <c r="AD503" s="258">
        <f>LstMachines[[#This Row],[DateLivr]]+Délai_Vente</f>
        <v>44117</v>
      </c>
      <c r="AE503" s="258" t="str">
        <f xml:space="preserve"> IF(MONTH(LstMachines[[#This Row],[VteESM]])&lt;10,"0","") &amp; MONTH(LstMachines[[#This Row],[VteESM]]) &amp; "-" &amp; YEAR(LstMachines[[#This Row],[VteESM]])</f>
        <v>10-2020</v>
      </c>
      <c r="AF503" s="258">
        <f>LstMachines[[#This Row],[DateLivr]]+Rglt_à_ESMTP</f>
        <v>44057</v>
      </c>
      <c r="AG503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03" s="258">
        <f>LstMachines[[#This Row],[VteESM]]+Rglt_à_ESMTP</f>
        <v>44177</v>
      </c>
      <c r="AI503" s="258" t="str">
        <f xml:space="preserve"> IF(MONTH(LstMachines[[#This Row],[RgltVteESM]])&lt;10,"0","") &amp; MONTH(LstMachines[[#This Row],[RgltVteESM]]) &amp; "-" &amp; YEAR(LstMachines[[#This Row],[RgltVteESM]])</f>
        <v>12-2020</v>
      </c>
      <c r="AJ503" s="140">
        <f>MONTH(LstMachines[[#This Row],[DatePaie]])</f>
        <v>8</v>
      </c>
      <c r="AK503" s="88" t="str">
        <f>FIXED(YEAR(LstMachines[[#This Row],[DatePaie]]),0,TRUE)</f>
        <v>2020</v>
      </c>
      <c r="AL503" s="140"/>
      <c r="AM503" s="414"/>
    </row>
    <row r="504" spans="2:39" hidden="1">
      <c r="B504" s="104" t="s">
        <v>259</v>
      </c>
      <c r="C504" s="104" t="s">
        <v>49</v>
      </c>
      <c r="D504" s="87">
        <v>310</v>
      </c>
      <c r="E504" s="86" t="s">
        <v>177</v>
      </c>
      <c r="F504" s="87" t="s">
        <v>100</v>
      </c>
      <c r="G504" s="87" t="s">
        <v>31</v>
      </c>
      <c r="H504" s="89">
        <v>2</v>
      </c>
      <c r="I50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360</v>
      </c>
      <c r="J504" s="88">
        <v>43997</v>
      </c>
      <c r="K504" s="99" t="s">
        <v>461</v>
      </c>
      <c r="L504" s="132" t="s">
        <v>387</v>
      </c>
      <c r="M504" s="99"/>
      <c r="N504" s="90"/>
      <c r="O504" s="255">
        <f>MONTH(LstMachines[[#This Row],[Delivery]])</f>
        <v>6</v>
      </c>
      <c r="P504" s="256" t="str">
        <f>FIXED(YEAR(LstMachines[[#This Row],[Delivery]]),0,TRUE)</f>
        <v>2020</v>
      </c>
      <c r="Q504" s="73"/>
      <c r="R504" s="93"/>
      <c r="S504" s="90"/>
      <c r="T504" s="90"/>
      <c r="U504" s="90" t="s">
        <v>105</v>
      </c>
      <c r="V504" s="72"/>
      <c r="W504" s="99" t="s">
        <v>384</v>
      </c>
      <c r="X504" s="258">
        <f>LstMachines[[#This Row],[Delivery]]</f>
        <v>43997</v>
      </c>
      <c r="Y504" s="258" t="str">
        <f xml:space="preserve"> IF(MONTH(LstMachines[[#This Row],[DateLivr]])&lt;10,"0","") &amp; MONTH(LstMachines[[#This Row],[DateLivr]]) &amp;"-"&amp;YEAR(LstMachines[[#This Row],[DateLivr]])</f>
        <v>06-2020</v>
      </c>
      <c r="Z504" s="258">
        <f>LstMachines[[#This Row],[Delivery]]+Rglt_à_HCME</f>
        <v>44057</v>
      </c>
      <c r="AA504" s="258" t="str">
        <f xml:space="preserve"> IF(MONTH(LstMachines[[#This Row],[DatePaie]])&lt;10,"0","") &amp; MONTH(LstMachines[[#This Row],[DatePaie]])&amp;"-"&amp;YEAR(LstMachines[[#This Row],[DatePaie]])</f>
        <v>08-2020</v>
      </c>
      <c r="AB504" s="258">
        <f>LstMachines[[#This Row],[DateLivr]]+1</f>
        <v>43998</v>
      </c>
      <c r="AC504" s="258" t="str">
        <f xml:space="preserve"> IF(MONTH(LstMachines[[#This Row],[Distrib]])&lt;10,"0","") &amp; MONTH(LstMachines[[#This Row],[Distrib]]) &amp; "-" &amp; YEAR(LstMachines[[#This Row],[Distrib]])</f>
        <v>06-2020</v>
      </c>
      <c r="AD504" s="258">
        <f>LstMachines[[#This Row],[DateLivr]]+Délai_Vente</f>
        <v>44117</v>
      </c>
      <c r="AE504" s="258" t="str">
        <f xml:space="preserve"> IF(MONTH(LstMachines[[#This Row],[VteESM]])&lt;10,"0","") &amp; MONTH(LstMachines[[#This Row],[VteESM]]) &amp; "-" &amp; YEAR(LstMachines[[#This Row],[VteESM]])</f>
        <v>10-2020</v>
      </c>
      <c r="AF504" s="258">
        <f>LstMachines[[#This Row],[DateLivr]]+Rglt_à_ESMTP</f>
        <v>44057</v>
      </c>
      <c r="AG504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04" s="258">
        <f>LstMachines[[#This Row],[VteESM]]+Rglt_à_ESMTP</f>
        <v>44177</v>
      </c>
      <c r="AI504" s="258" t="str">
        <f xml:space="preserve"> IF(MONTH(LstMachines[[#This Row],[RgltVteESM]])&lt;10,"0","") &amp; MONTH(LstMachines[[#This Row],[RgltVteESM]]) &amp; "-" &amp; YEAR(LstMachines[[#This Row],[RgltVteESM]])</f>
        <v>12-2020</v>
      </c>
      <c r="AJ504" s="140">
        <f>MONTH(LstMachines[[#This Row],[DatePaie]])</f>
        <v>8</v>
      </c>
      <c r="AK504" s="88" t="str">
        <f>FIXED(YEAR(LstMachines[[#This Row],[DatePaie]]),0,TRUE)</f>
        <v>2020</v>
      </c>
      <c r="AL504" s="140"/>
      <c r="AM504" s="414"/>
    </row>
    <row r="505" spans="2:39" hidden="1">
      <c r="B505" s="104" t="s">
        <v>75</v>
      </c>
      <c r="C505" s="104" t="s">
        <v>37</v>
      </c>
      <c r="D505" s="87">
        <v>48</v>
      </c>
      <c r="E505" s="104" t="s">
        <v>363</v>
      </c>
      <c r="F505" s="87" t="s">
        <v>100</v>
      </c>
      <c r="G505" s="87" t="s">
        <v>31</v>
      </c>
      <c r="H505" s="89">
        <v>10</v>
      </c>
      <c r="I50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410</v>
      </c>
      <c r="J505" s="88">
        <v>43997</v>
      </c>
      <c r="K505" s="99" t="s">
        <v>461</v>
      </c>
      <c r="L505" s="132" t="s">
        <v>387</v>
      </c>
      <c r="M505" s="99"/>
      <c r="N505" s="90"/>
      <c r="O505" s="255">
        <f>MONTH(LstMachines[[#This Row],[Delivery]])</f>
        <v>6</v>
      </c>
      <c r="P505" s="256" t="str">
        <f>FIXED(YEAR(LstMachines[[#This Row],[Delivery]]),0,TRUE)</f>
        <v>2020</v>
      </c>
      <c r="Q505" s="73"/>
      <c r="R505" s="93"/>
      <c r="S505" s="90"/>
      <c r="T505" s="90"/>
      <c r="U505" s="90" t="s">
        <v>105</v>
      </c>
      <c r="V505" s="72"/>
      <c r="W505" s="99" t="s">
        <v>384</v>
      </c>
      <c r="X505" s="258">
        <f>LstMachines[[#This Row],[Delivery]]</f>
        <v>43997</v>
      </c>
      <c r="Y505" s="258" t="str">
        <f xml:space="preserve"> IF(MONTH(LstMachines[[#This Row],[DateLivr]])&lt;10,"0","") &amp; MONTH(LstMachines[[#This Row],[DateLivr]]) &amp;"-"&amp;YEAR(LstMachines[[#This Row],[DateLivr]])</f>
        <v>06-2020</v>
      </c>
      <c r="Z505" s="258">
        <f>LstMachines[[#This Row],[Delivery]]+Rglt_à_HCME</f>
        <v>44057</v>
      </c>
      <c r="AA505" s="258" t="str">
        <f xml:space="preserve"> IF(MONTH(LstMachines[[#This Row],[DatePaie]])&lt;10,"0","") &amp; MONTH(LstMachines[[#This Row],[DatePaie]])&amp;"-"&amp;YEAR(LstMachines[[#This Row],[DatePaie]])</f>
        <v>08-2020</v>
      </c>
      <c r="AB505" s="258">
        <f>LstMachines[[#This Row],[DateLivr]]+1</f>
        <v>43998</v>
      </c>
      <c r="AC505" s="258" t="str">
        <f xml:space="preserve"> IF(MONTH(LstMachines[[#This Row],[Distrib]])&lt;10,"0","") &amp; MONTH(LstMachines[[#This Row],[Distrib]]) &amp; "-" &amp; YEAR(LstMachines[[#This Row],[Distrib]])</f>
        <v>06-2020</v>
      </c>
      <c r="AD505" s="258">
        <f>LstMachines[[#This Row],[DateLivr]]+Délai_Vente</f>
        <v>44117</v>
      </c>
      <c r="AE505" s="258" t="str">
        <f xml:space="preserve"> IF(MONTH(LstMachines[[#This Row],[VteESM]])&lt;10,"0","") &amp; MONTH(LstMachines[[#This Row],[VteESM]]) &amp; "-" &amp; YEAR(LstMachines[[#This Row],[VteESM]])</f>
        <v>10-2020</v>
      </c>
      <c r="AF505" s="258">
        <f>LstMachines[[#This Row],[DateLivr]]+Rglt_à_ESMTP</f>
        <v>44057</v>
      </c>
      <c r="AG505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05" s="258">
        <f>LstMachines[[#This Row],[VteESM]]+Rglt_à_ESMTP</f>
        <v>44177</v>
      </c>
      <c r="AI505" s="258" t="str">
        <f xml:space="preserve"> IF(MONTH(LstMachines[[#This Row],[RgltVteESM]])&lt;10,"0","") &amp; MONTH(LstMachines[[#This Row],[RgltVteESM]]) &amp; "-" &amp; YEAR(LstMachines[[#This Row],[RgltVteESM]])</f>
        <v>12-2020</v>
      </c>
      <c r="AJ505" s="140">
        <f>MONTH(LstMachines[[#This Row],[DatePaie]])</f>
        <v>8</v>
      </c>
      <c r="AK505" s="88" t="str">
        <f>FIXED(YEAR(LstMachines[[#This Row],[DatePaie]]),0,TRUE)</f>
        <v>2020</v>
      </c>
      <c r="AL505" s="140"/>
      <c r="AM505" s="414"/>
    </row>
    <row r="506" spans="2:39" hidden="1">
      <c r="B506" s="104" t="s">
        <v>262</v>
      </c>
      <c r="C506" s="104" t="s">
        <v>40</v>
      </c>
      <c r="D506" s="87">
        <v>135</v>
      </c>
      <c r="E506" s="104" t="s">
        <v>87</v>
      </c>
      <c r="F506" s="87" t="s">
        <v>100</v>
      </c>
      <c r="G506" s="87" t="s">
        <v>31</v>
      </c>
      <c r="H506" s="89">
        <v>4</v>
      </c>
      <c r="I50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408</v>
      </c>
      <c r="J506" s="88">
        <v>43997</v>
      </c>
      <c r="K506" s="99" t="s">
        <v>461</v>
      </c>
      <c r="L506" s="132" t="s">
        <v>387</v>
      </c>
      <c r="M506" s="99"/>
      <c r="N506" s="90"/>
      <c r="O506" s="255">
        <f>MONTH(LstMachines[[#This Row],[Delivery]])</f>
        <v>6</v>
      </c>
      <c r="P506" s="256" t="str">
        <f>FIXED(YEAR(LstMachines[[#This Row],[Delivery]]),0,TRUE)</f>
        <v>2020</v>
      </c>
      <c r="Q506" s="73"/>
      <c r="R506" s="93"/>
      <c r="S506" s="90"/>
      <c r="T506" s="90"/>
      <c r="U506" s="90" t="s">
        <v>105</v>
      </c>
      <c r="V506" s="72"/>
      <c r="W506" s="99" t="s">
        <v>384</v>
      </c>
      <c r="X506" s="258">
        <f>LstMachines[[#This Row],[Delivery]]</f>
        <v>43997</v>
      </c>
      <c r="Y506" s="258" t="str">
        <f xml:space="preserve"> IF(MONTH(LstMachines[[#This Row],[DateLivr]])&lt;10,"0","") &amp; MONTH(LstMachines[[#This Row],[DateLivr]]) &amp;"-"&amp;YEAR(LstMachines[[#This Row],[DateLivr]])</f>
        <v>06-2020</v>
      </c>
      <c r="Z506" s="258">
        <f>LstMachines[[#This Row],[Delivery]]+Rglt_à_HCME</f>
        <v>44057</v>
      </c>
      <c r="AA506" s="258" t="str">
        <f xml:space="preserve"> IF(MONTH(LstMachines[[#This Row],[DatePaie]])&lt;10,"0","") &amp; MONTH(LstMachines[[#This Row],[DatePaie]])&amp;"-"&amp;YEAR(LstMachines[[#This Row],[DatePaie]])</f>
        <v>08-2020</v>
      </c>
      <c r="AB506" s="258">
        <f>LstMachines[[#This Row],[DateLivr]]+1</f>
        <v>43998</v>
      </c>
      <c r="AC506" s="258" t="str">
        <f xml:space="preserve"> IF(MONTH(LstMachines[[#This Row],[Distrib]])&lt;10,"0","") &amp; MONTH(LstMachines[[#This Row],[Distrib]]) &amp; "-" &amp; YEAR(LstMachines[[#This Row],[Distrib]])</f>
        <v>06-2020</v>
      </c>
      <c r="AD506" s="258">
        <f>LstMachines[[#This Row],[DateLivr]]+Délai_Vente</f>
        <v>44117</v>
      </c>
      <c r="AE506" s="258" t="str">
        <f xml:space="preserve"> IF(MONTH(LstMachines[[#This Row],[VteESM]])&lt;10,"0","") &amp; MONTH(LstMachines[[#This Row],[VteESM]]) &amp; "-" &amp; YEAR(LstMachines[[#This Row],[VteESM]])</f>
        <v>10-2020</v>
      </c>
      <c r="AF506" s="258">
        <f>LstMachines[[#This Row],[DateLivr]]+Rglt_à_ESMTP</f>
        <v>44057</v>
      </c>
      <c r="AG506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06" s="258">
        <f>LstMachines[[#This Row],[VteESM]]+Rglt_à_ESMTP</f>
        <v>44177</v>
      </c>
      <c r="AI506" s="258" t="str">
        <f xml:space="preserve"> IF(MONTH(LstMachines[[#This Row],[RgltVteESM]])&lt;10,"0","") &amp; MONTH(LstMachines[[#This Row],[RgltVteESM]]) &amp; "-" &amp; YEAR(LstMachines[[#This Row],[RgltVteESM]])</f>
        <v>12-2020</v>
      </c>
      <c r="AJ506" s="140">
        <f>MONTH(LstMachines[[#This Row],[DatePaie]])</f>
        <v>8</v>
      </c>
      <c r="AK506" s="88" t="str">
        <f>FIXED(YEAR(LstMachines[[#This Row],[DatePaie]]),0,TRUE)</f>
        <v>2020</v>
      </c>
      <c r="AL506" s="140"/>
      <c r="AM506" s="414"/>
    </row>
    <row r="507" spans="2:39" hidden="1">
      <c r="B507" s="104" t="s">
        <v>263</v>
      </c>
      <c r="C507" s="104" t="s">
        <v>250</v>
      </c>
      <c r="D507" s="87">
        <v>145</v>
      </c>
      <c r="E507" s="86" t="s">
        <v>228</v>
      </c>
      <c r="F507" s="87" t="s">
        <v>100</v>
      </c>
      <c r="G507" s="87" t="s">
        <v>31</v>
      </c>
      <c r="H507" s="89">
        <v>4</v>
      </c>
      <c r="I50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460</v>
      </c>
      <c r="J507" s="88">
        <v>43997</v>
      </c>
      <c r="K507" s="99" t="s">
        <v>461</v>
      </c>
      <c r="L507" s="132" t="s">
        <v>387</v>
      </c>
      <c r="M507" s="99"/>
      <c r="N507" s="90"/>
      <c r="O507" s="255">
        <f>MONTH(LstMachines[[#This Row],[Delivery]])</f>
        <v>6</v>
      </c>
      <c r="P507" s="256" t="str">
        <f>FIXED(YEAR(LstMachines[[#This Row],[Delivery]]),0,TRUE)</f>
        <v>2020</v>
      </c>
      <c r="Q507" s="73"/>
      <c r="R507" s="93"/>
      <c r="S507" s="90"/>
      <c r="T507" s="90"/>
      <c r="U507" s="90" t="s">
        <v>105</v>
      </c>
      <c r="V507" s="72"/>
      <c r="W507" s="99" t="s">
        <v>384</v>
      </c>
      <c r="X507" s="258">
        <f>LstMachines[[#This Row],[Delivery]]</f>
        <v>43997</v>
      </c>
      <c r="Y507" s="258" t="str">
        <f xml:space="preserve"> IF(MONTH(LstMachines[[#This Row],[DateLivr]])&lt;10,"0","") &amp; MONTH(LstMachines[[#This Row],[DateLivr]]) &amp;"-"&amp;YEAR(LstMachines[[#This Row],[DateLivr]])</f>
        <v>06-2020</v>
      </c>
      <c r="Z507" s="258">
        <f>LstMachines[[#This Row],[Delivery]]+Rglt_à_HCME</f>
        <v>44057</v>
      </c>
      <c r="AA507" s="258" t="str">
        <f xml:space="preserve"> IF(MONTH(LstMachines[[#This Row],[DatePaie]])&lt;10,"0","") &amp; MONTH(LstMachines[[#This Row],[DatePaie]])&amp;"-"&amp;YEAR(LstMachines[[#This Row],[DatePaie]])</f>
        <v>08-2020</v>
      </c>
      <c r="AB507" s="258">
        <f>LstMachines[[#This Row],[DateLivr]]+1</f>
        <v>43998</v>
      </c>
      <c r="AC507" s="258" t="str">
        <f xml:space="preserve"> IF(MONTH(LstMachines[[#This Row],[Distrib]])&lt;10,"0","") &amp; MONTH(LstMachines[[#This Row],[Distrib]]) &amp; "-" &amp; YEAR(LstMachines[[#This Row],[Distrib]])</f>
        <v>06-2020</v>
      </c>
      <c r="AD507" s="258">
        <f>LstMachines[[#This Row],[DateLivr]]+Délai_Vente</f>
        <v>44117</v>
      </c>
      <c r="AE507" s="258" t="str">
        <f xml:space="preserve"> IF(MONTH(LstMachines[[#This Row],[VteESM]])&lt;10,"0","") &amp; MONTH(LstMachines[[#This Row],[VteESM]]) &amp; "-" &amp; YEAR(LstMachines[[#This Row],[VteESM]])</f>
        <v>10-2020</v>
      </c>
      <c r="AF507" s="258">
        <f>LstMachines[[#This Row],[DateLivr]]+Rglt_à_ESMTP</f>
        <v>44057</v>
      </c>
      <c r="AG507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07" s="258">
        <f>LstMachines[[#This Row],[VteESM]]+Rglt_à_ESMTP</f>
        <v>44177</v>
      </c>
      <c r="AI507" s="258" t="str">
        <f xml:space="preserve"> IF(MONTH(LstMachines[[#This Row],[RgltVteESM]])&lt;10,"0","") &amp; MONTH(LstMachines[[#This Row],[RgltVteESM]]) &amp; "-" &amp; YEAR(LstMachines[[#This Row],[RgltVteESM]])</f>
        <v>12-2020</v>
      </c>
      <c r="AJ507" s="140">
        <f>MONTH(LstMachines[[#This Row],[DatePaie]])</f>
        <v>8</v>
      </c>
      <c r="AK507" s="88" t="str">
        <f>FIXED(YEAR(LstMachines[[#This Row],[DatePaie]]),0,TRUE)</f>
        <v>2020</v>
      </c>
      <c r="AL507" s="140"/>
      <c r="AM507" s="414"/>
    </row>
    <row r="508" spans="2:39" hidden="1">
      <c r="B508" s="104" t="s">
        <v>75</v>
      </c>
      <c r="C508" s="104" t="s">
        <v>36</v>
      </c>
      <c r="D508" s="87">
        <v>26</v>
      </c>
      <c r="E508" s="86" t="s">
        <v>355</v>
      </c>
      <c r="F508" s="87" t="s">
        <v>100</v>
      </c>
      <c r="G508" s="87" t="s">
        <v>31</v>
      </c>
      <c r="H508" s="89">
        <v>21</v>
      </c>
      <c r="I50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462</v>
      </c>
      <c r="J508" s="88">
        <v>43997</v>
      </c>
      <c r="K508" s="99" t="s">
        <v>461</v>
      </c>
      <c r="L508" s="132" t="s">
        <v>387</v>
      </c>
      <c r="M508" s="99"/>
      <c r="N508" s="90"/>
      <c r="O508" s="255">
        <f>MONTH(LstMachines[[#This Row],[Delivery]])</f>
        <v>6</v>
      </c>
      <c r="P508" s="256" t="str">
        <f>FIXED(YEAR(LstMachines[[#This Row],[Delivery]]),0,TRUE)</f>
        <v>2020</v>
      </c>
      <c r="Q508" s="73"/>
      <c r="R508" s="93"/>
      <c r="S508" s="90"/>
      <c r="T508" s="90"/>
      <c r="U508" s="90" t="s">
        <v>105</v>
      </c>
      <c r="V508" s="72"/>
      <c r="W508" s="99" t="s">
        <v>384</v>
      </c>
      <c r="X508" s="258">
        <f>LstMachines[[#This Row],[Delivery]]</f>
        <v>43997</v>
      </c>
      <c r="Y508" s="258" t="str">
        <f xml:space="preserve"> IF(MONTH(LstMachines[[#This Row],[DateLivr]])&lt;10,"0","") &amp; MONTH(LstMachines[[#This Row],[DateLivr]]) &amp;"-"&amp;YEAR(LstMachines[[#This Row],[DateLivr]])</f>
        <v>06-2020</v>
      </c>
      <c r="Z508" s="258">
        <f>LstMachines[[#This Row],[Delivery]]+Rglt_à_HCME</f>
        <v>44057</v>
      </c>
      <c r="AA508" s="258" t="str">
        <f xml:space="preserve"> IF(MONTH(LstMachines[[#This Row],[DatePaie]])&lt;10,"0","") &amp; MONTH(LstMachines[[#This Row],[DatePaie]])&amp;"-"&amp;YEAR(LstMachines[[#This Row],[DatePaie]])</f>
        <v>08-2020</v>
      </c>
      <c r="AB508" s="258">
        <f>LstMachines[[#This Row],[DateLivr]]+1</f>
        <v>43998</v>
      </c>
      <c r="AC508" s="258" t="str">
        <f xml:space="preserve"> IF(MONTH(LstMachines[[#This Row],[Distrib]])&lt;10,"0","") &amp; MONTH(LstMachines[[#This Row],[Distrib]]) &amp; "-" &amp; YEAR(LstMachines[[#This Row],[Distrib]])</f>
        <v>06-2020</v>
      </c>
      <c r="AD508" s="258">
        <f>LstMachines[[#This Row],[DateLivr]]+Délai_Vente</f>
        <v>44117</v>
      </c>
      <c r="AE508" s="258" t="str">
        <f xml:space="preserve"> IF(MONTH(LstMachines[[#This Row],[VteESM]])&lt;10,"0","") &amp; MONTH(LstMachines[[#This Row],[VteESM]]) &amp; "-" &amp; YEAR(LstMachines[[#This Row],[VteESM]])</f>
        <v>10-2020</v>
      </c>
      <c r="AF508" s="258">
        <f>LstMachines[[#This Row],[DateLivr]]+Rglt_à_ESMTP</f>
        <v>44057</v>
      </c>
      <c r="AG508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08" s="258">
        <f>LstMachines[[#This Row],[VteESM]]+Rglt_à_ESMTP</f>
        <v>44177</v>
      </c>
      <c r="AI508" s="258" t="str">
        <f xml:space="preserve"> IF(MONTH(LstMachines[[#This Row],[RgltVteESM]])&lt;10,"0","") &amp; MONTH(LstMachines[[#This Row],[RgltVteESM]]) &amp; "-" &amp; YEAR(LstMachines[[#This Row],[RgltVteESM]])</f>
        <v>12-2020</v>
      </c>
      <c r="AJ508" s="140">
        <f>MONTH(LstMachines[[#This Row],[DatePaie]])</f>
        <v>8</v>
      </c>
      <c r="AK508" s="88" t="str">
        <f>FIXED(YEAR(LstMachines[[#This Row],[DatePaie]]),0,TRUE)</f>
        <v>2020</v>
      </c>
      <c r="AL508" s="140"/>
      <c r="AM508" s="414"/>
    </row>
    <row r="509" spans="2:39" hidden="1">
      <c r="B509" s="104" t="s">
        <v>262</v>
      </c>
      <c r="C509" s="104" t="s">
        <v>47</v>
      </c>
      <c r="D509" s="87">
        <v>490</v>
      </c>
      <c r="E509" s="86" t="s">
        <v>360</v>
      </c>
      <c r="F509" s="87" t="s">
        <v>100</v>
      </c>
      <c r="G509" s="87" t="s">
        <v>31</v>
      </c>
      <c r="H509" s="89">
        <v>2</v>
      </c>
      <c r="I50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520</v>
      </c>
      <c r="J509" s="88">
        <v>43997</v>
      </c>
      <c r="K509" s="99" t="s">
        <v>461</v>
      </c>
      <c r="L509" s="132" t="s">
        <v>387</v>
      </c>
      <c r="M509" s="99"/>
      <c r="N509" s="90"/>
      <c r="O509" s="255">
        <f>MONTH(LstMachines[[#This Row],[Delivery]])</f>
        <v>6</v>
      </c>
      <c r="P509" s="256" t="str">
        <f>FIXED(YEAR(LstMachines[[#This Row],[Delivery]]),0,TRUE)</f>
        <v>2020</v>
      </c>
      <c r="Q509" s="73"/>
      <c r="R509" s="93"/>
      <c r="S509" s="90"/>
      <c r="T509" s="90"/>
      <c r="U509" s="90" t="s">
        <v>105</v>
      </c>
      <c r="V509" s="72"/>
      <c r="W509" s="99" t="s">
        <v>384</v>
      </c>
      <c r="X509" s="258">
        <f>LstMachines[[#This Row],[Delivery]]</f>
        <v>43997</v>
      </c>
      <c r="Y509" s="258" t="str">
        <f xml:space="preserve"> IF(MONTH(LstMachines[[#This Row],[DateLivr]])&lt;10,"0","") &amp; MONTH(LstMachines[[#This Row],[DateLivr]]) &amp;"-"&amp;YEAR(LstMachines[[#This Row],[DateLivr]])</f>
        <v>06-2020</v>
      </c>
      <c r="Z509" s="258">
        <f>LstMachines[[#This Row],[Delivery]]+Rglt_à_HCME</f>
        <v>44057</v>
      </c>
      <c r="AA509" s="258" t="str">
        <f xml:space="preserve"> IF(MONTH(LstMachines[[#This Row],[DatePaie]])&lt;10,"0","") &amp; MONTH(LstMachines[[#This Row],[DatePaie]])&amp;"-"&amp;YEAR(LstMachines[[#This Row],[DatePaie]])</f>
        <v>08-2020</v>
      </c>
      <c r="AB509" s="258">
        <f>LstMachines[[#This Row],[DateLivr]]+1</f>
        <v>43998</v>
      </c>
      <c r="AC509" s="258" t="str">
        <f xml:space="preserve"> IF(MONTH(LstMachines[[#This Row],[Distrib]])&lt;10,"0","") &amp; MONTH(LstMachines[[#This Row],[Distrib]]) &amp; "-" &amp; YEAR(LstMachines[[#This Row],[Distrib]])</f>
        <v>06-2020</v>
      </c>
      <c r="AD509" s="258">
        <f>LstMachines[[#This Row],[DateLivr]]+Délai_Vente</f>
        <v>44117</v>
      </c>
      <c r="AE509" s="258" t="str">
        <f xml:space="preserve"> IF(MONTH(LstMachines[[#This Row],[VteESM]])&lt;10,"0","") &amp; MONTH(LstMachines[[#This Row],[VteESM]]) &amp; "-" &amp; YEAR(LstMachines[[#This Row],[VteESM]])</f>
        <v>10-2020</v>
      </c>
      <c r="AF509" s="258">
        <f>LstMachines[[#This Row],[DateLivr]]+Rglt_à_ESMTP</f>
        <v>44057</v>
      </c>
      <c r="AG509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09" s="258">
        <f>LstMachines[[#This Row],[VteESM]]+Rglt_à_ESMTP</f>
        <v>44177</v>
      </c>
      <c r="AI509" s="258" t="str">
        <f xml:space="preserve"> IF(MONTH(LstMachines[[#This Row],[RgltVteESM]])&lt;10,"0","") &amp; MONTH(LstMachines[[#This Row],[RgltVteESM]]) &amp; "-" &amp; YEAR(LstMachines[[#This Row],[RgltVteESM]])</f>
        <v>12-2020</v>
      </c>
      <c r="AJ509" s="140">
        <f>MONTH(LstMachines[[#This Row],[DatePaie]])</f>
        <v>8</v>
      </c>
      <c r="AK509" s="88" t="str">
        <f>FIXED(YEAR(LstMachines[[#This Row],[DatePaie]]),0,TRUE)</f>
        <v>2020</v>
      </c>
      <c r="AL509" s="140"/>
      <c r="AM509" s="414"/>
    </row>
    <row r="510" spans="2:39" hidden="1">
      <c r="B510" s="104" t="s">
        <v>262</v>
      </c>
      <c r="C510" s="104" t="s">
        <v>39</v>
      </c>
      <c r="D510" s="87">
        <v>85</v>
      </c>
      <c r="E510" s="86" t="s">
        <v>356</v>
      </c>
      <c r="F510" s="87" t="s">
        <v>100</v>
      </c>
      <c r="G510" s="87" t="s">
        <v>31</v>
      </c>
      <c r="H510" s="89">
        <v>9</v>
      </c>
      <c r="I51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576</v>
      </c>
      <c r="J510" s="88">
        <v>43997</v>
      </c>
      <c r="K510" s="99" t="s">
        <v>461</v>
      </c>
      <c r="L510" s="132" t="s">
        <v>387</v>
      </c>
      <c r="M510" s="99"/>
      <c r="N510" s="90"/>
      <c r="O510" s="255">
        <f>MONTH(LstMachines[[#This Row],[Delivery]])</f>
        <v>6</v>
      </c>
      <c r="P510" s="256" t="str">
        <f>FIXED(YEAR(LstMachines[[#This Row],[Delivery]]),0,TRUE)</f>
        <v>2020</v>
      </c>
      <c r="Q510" s="73"/>
      <c r="R510" s="93"/>
      <c r="S510" s="90"/>
      <c r="T510" s="90"/>
      <c r="U510" s="90" t="s">
        <v>105</v>
      </c>
      <c r="V510" s="72"/>
      <c r="W510" s="99" t="s">
        <v>384</v>
      </c>
      <c r="X510" s="258">
        <f>LstMachines[[#This Row],[Delivery]]</f>
        <v>43997</v>
      </c>
      <c r="Y510" s="258" t="str">
        <f xml:space="preserve"> IF(MONTH(LstMachines[[#This Row],[DateLivr]])&lt;10,"0","") &amp; MONTH(LstMachines[[#This Row],[DateLivr]]) &amp;"-"&amp;YEAR(LstMachines[[#This Row],[DateLivr]])</f>
        <v>06-2020</v>
      </c>
      <c r="Z510" s="258">
        <f>LstMachines[[#This Row],[Delivery]]+Rglt_à_HCME</f>
        <v>44057</v>
      </c>
      <c r="AA510" s="258" t="str">
        <f xml:space="preserve"> IF(MONTH(LstMachines[[#This Row],[DatePaie]])&lt;10,"0","") &amp; MONTH(LstMachines[[#This Row],[DatePaie]])&amp;"-"&amp;YEAR(LstMachines[[#This Row],[DatePaie]])</f>
        <v>08-2020</v>
      </c>
      <c r="AB510" s="258">
        <f>LstMachines[[#This Row],[DateLivr]]+1</f>
        <v>43998</v>
      </c>
      <c r="AC510" s="258" t="str">
        <f xml:space="preserve"> IF(MONTH(LstMachines[[#This Row],[Distrib]])&lt;10,"0","") &amp; MONTH(LstMachines[[#This Row],[Distrib]]) &amp; "-" &amp; YEAR(LstMachines[[#This Row],[Distrib]])</f>
        <v>06-2020</v>
      </c>
      <c r="AD510" s="258">
        <f>LstMachines[[#This Row],[DateLivr]]+Délai_Vente</f>
        <v>44117</v>
      </c>
      <c r="AE510" s="258" t="str">
        <f xml:space="preserve"> IF(MONTH(LstMachines[[#This Row],[VteESM]])&lt;10,"0","") &amp; MONTH(LstMachines[[#This Row],[VteESM]]) &amp; "-" &amp; YEAR(LstMachines[[#This Row],[VteESM]])</f>
        <v>10-2020</v>
      </c>
      <c r="AF510" s="258">
        <f>LstMachines[[#This Row],[DateLivr]]+Rglt_à_ESMTP</f>
        <v>44057</v>
      </c>
      <c r="AG510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10" s="258">
        <f>LstMachines[[#This Row],[VteESM]]+Rglt_à_ESMTP</f>
        <v>44177</v>
      </c>
      <c r="AI510" s="258" t="str">
        <f xml:space="preserve"> IF(MONTH(LstMachines[[#This Row],[RgltVteESM]])&lt;10,"0","") &amp; MONTH(LstMachines[[#This Row],[RgltVteESM]]) &amp; "-" &amp; YEAR(LstMachines[[#This Row],[RgltVteESM]])</f>
        <v>12-2020</v>
      </c>
      <c r="AJ510" s="140">
        <f>MONTH(LstMachines[[#This Row],[DatePaie]])</f>
        <v>8</v>
      </c>
      <c r="AK510" s="88" t="str">
        <f>FIXED(YEAR(LstMachines[[#This Row],[DatePaie]]),0,TRUE)</f>
        <v>2020</v>
      </c>
      <c r="AL510" s="140"/>
      <c r="AM510" s="414"/>
    </row>
    <row r="511" spans="2:39" hidden="1">
      <c r="B511" s="104" t="s">
        <v>75</v>
      </c>
      <c r="C511" s="104" t="s">
        <v>35</v>
      </c>
      <c r="D511" s="87">
        <v>19</v>
      </c>
      <c r="E511" s="104" t="s">
        <v>76</v>
      </c>
      <c r="F511" s="87" t="s">
        <v>100</v>
      </c>
      <c r="G511" s="87" t="s">
        <v>33</v>
      </c>
      <c r="H511" s="89">
        <v>1</v>
      </c>
      <c r="I51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511" s="88">
        <v>43997</v>
      </c>
      <c r="K511" s="99" t="s">
        <v>461</v>
      </c>
      <c r="L511" s="132" t="s">
        <v>387</v>
      </c>
      <c r="M511" s="99"/>
      <c r="N511" s="90"/>
      <c r="O511" s="255">
        <f>MONTH(LstMachines[[#This Row],[Delivery]])</f>
        <v>6</v>
      </c>
      <c r="P511" s="256" t="str">
        <f>FIXED(YEAR(LstMachines[[#This Row],[Delivery]]),0,TRUE)</f>
        <v>2020</v>
      </c>
      <c r="Q511" s="73"/>
      <c r="R511" s="93"/>
      <c r="S511" s="90"/>
      <c r="T511" s="90"/>
      <c r="U511" s="90" t="s">
        <v>104</v>
      </c>
      <c r="V511" s="72"/>
      <c r="W511" s="99" t="s">
        <v>383</v>
      </c>
      <c r="X511" s="258">
        <f>LstMachines[[#This Row],[Delivery]]</f>
        <v>43997</v>
      </c>
      <c r="Y511" s="258" t="str">
        <f xml:space="preserve"> IF(MONTH(LstMachines[[#This Row],[DateLivr]])&lt;10,"0","") &amp; MONTH(LstMachines[[#This Row],[DateLivr]]) &amp;"-"&amp;YEAR(LstMachines[[#This Row],[DateLivr]])</f>
        <v>06-2020</v>
      </c>
      <c r="Z511" s="258">
        <f>LstMachines[[#This Row],[Delivery]]+Rglt_à_HCME</f>
        <v>44057</v>
      </c>
      <c r="AA511" s="258" t="str">
        <f xml:space="preserve"> IF(MONTH(LstMachines[[#This Row],[DatePaie]])&lt;10,"0","") &amp; MONTH(LstMachines[[#This Row],[DatePaie]])&amp;"-"&amp;YEAR(LstMachines[[#This Row],[DatePaie]])</f>
        <v>08-2020</v>
      </c>
      <c r="AB511" s="258">
        <f>LstMachines[[#This Row],[DateLivr]]+1</f>
        <v>43998</v>
      </c>
      <c r="AC511" s="258" t="str">
        <f xml:space="preserve"> IF(MONTH(LstMachines[[#This Row],[Distrib]])&lt;10,"0","") &amp; MONTH(LstMachines[[#This Row],[Distrib]]) &amp; "-" &amp; YEAR(LstMachines[[#This Row],[Distrib]])</f>
        <v>06-2020</v>
      </c>
      <c r="AD511" s="258">
        <f>LstMachines[[#This Row],[DateLivr]]+Délai_Vente</f>
        <v>44117</v>
      </c>
      <c r="AE511" s="258" t="str">
        <f xml:space="preserve"> IF(MONTH(LstMachines[[#This Row],[VteESM]])&lt;10,"0","") &amp; MONTH(LstMachines[[#This Row],[VteESM]]) &amp; "-" &amp; YEAR(LstMachines[[#This Row],[VteESM]])</f>
        <v>10-2020</v>
      </c>
      <c r="AF511" s="258">
        <f>LstMachines[[#This Row],[DateLivr]]+Rglt_à_ESMTP</f>
        <v>44057</v>
      </c>
      <c r="AG511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11" s="258">
        <f>LstMachines[[#This Row],[VteESM]]+Rglt_à_ESMTP</f>
        <v>44177</v>
      </c>
      <c r="AI511" s="258" t="str">
        <f xml:space="preserve"> IF(MONTH(LstMachines[[#This Row],[RgltVteESM]])&lt;10,"0","") &amp; MONTH(LstMachines[[#This Row],[RgltVteESM]]) &amp; "-" &amp; YEAR(LstMachines[[#This Row],[RgltVteESM]])</f>
        <v>12-2020</v>
      </c>
      <c r="AJ511" s="140">
        <f>MONTH(LstMachines[[#This Row],[DatePaie]])</f>
        <v>8</v>
      </c>
      <c r="AK511" s="88" t="str">
        <f>FIXED(YEAR(LstMachines[[#This Row],[DatePaie]]),0,TRUE)</f>
        <v>2020</v>
      </c>
      <c r="AL511" s="140"/>
      <c r="AM511" s="414"/>
    </row>
    <row r="512" spans="2:39" hidden="1">
      <c r="B512" s="104" t="s">
        <v>75</v>
      </c>
      <c r="C512" s="104" t="s">
        <v>37</v>
      </c>
      <c r="D512" s="87">
        <v>48</v>
      </c>
      <c r="E512" s="104" t="s">
        <v>363</v>
      </c>
      <c r="F512" s="87" t="s">
        <v>100</v>
      </c>
      <c r="G512" s="87" t="s">
        <v>33</v>
      </c>
      <c r="H512" s="89">
        <v>1</v>
      </c>
      <c r="I51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41</v>
      </c>
      <c r="J512" s="88">
        <v>43997</v>
      </c>
      <c r="K512" s="99" t="s">
        <v>461</v>
      </c>
      <c r="L512" s="132" t="s">
        <v>387</v>
      </c>
      <c r="M512" s="99"/>
      <c r="N512" s="90"/>
      <c r="O512" s="255">
        <f>MONTH(LstMachines[[#This Row],[Delivery]])</f>
        <v>6</v>
      </c>
      <c r="P512" s="256" t="str">
        <f>FIXED(YEAR(LstMachines[[#This Row],[Delivery]]),0,TRUE)</f>
        <v>2020</v>
      </c>
      <c r="Q512" s="73"/>
      <c r="R512" s="93"/>
      <c r="S512" s="90"/>
      <c r="T512" s="90"/>
      <c r="U512" s="90" t="s">
        <v>104</v>
      </c>
      <c r="V512" s="72"/>
      <c r="W512" s="99" t="s">
        <v>383</v>
      </c>
      <c r="X512" s="258">
        <f>LstMachines[[#This Row],[Delivery]]</f>
        <v>43997</v>
      </c>
      <c r="Y512" s="258" t="str">
        <f xml:space="preserve"> IF(MONTH(LstMachines[[#This Row],[DateLivr]])&lt;10,"0","") &amp; MONTH(LstMachines[[#This Row],[DateLivr]]) &amp;"-"&amp;YEAR(LstMachines[[#This Row],[DateLivr]])</f>
        <v>06-2020</v>
      </c>
      <c r="Z512" s="258">
        <f>LstMachines[[#This Row],[Delivery]]+Rglt_à_HCME</f>
        <v>44057</v>
      </c>
      <c r="AA512" s="258" t="str">
        <f xml:space="preserve"> IF(MONTH(LstMachines[[#This Row],[DatePaie]])&lt;10,"0","") &amp; MONTH(LstMachines[[#This Row],[DatePaie]])&amp;"-"&amp;YEAR(LstMachines[[#This Row],[DatePaie]])</f>
        <v>08-2020</v>
      </c>
      <c r="AB512" s="258">
        <f>LstMachines[[#This Row],[DateLivr]]+1</f>
        <v>43998</v>
      </c>
      <c r="AC512" s="258" t="str">
        <f xml:space="preserve"> IF(MONTH(LstMachines[[#This Row],[Distrib]])&lt;10,"0","") &amp; MONTH(LstMachines[[#This Row],[Distrib]]) &amp; "-" &amp; YEAR(LstMachines[[#This Row],[Distrib]])</f>
        <v>06-2020</v>
      </c>
      <c r="AD512" s="258">
        <f>LstMachines[[#This Row],[DateLivr]]+Délai_Vente</f>
        <v>44117</v>
      </c>
      <c r="AE512" s="258" t="str">
        <f xml:space="preserve"> IF(MONTH(LstMachines[[#This Row],[VteESM]])&lt;10,"0","") &amp; MONTH(LstMachines[[#This Row],[VteESM]]) &amp; "-" &amp; YEAR(LstMachines[[#This Row],[VteESM]])</f>
        <v>10-2020</v>
      </c>
      <c r="AF512" s="258">
        <f>LstMachines[[#This Row],[DateLivr]]+Rglt_à_ESMTP</f>
        <v>44057</v>
      </c>
      <c r="AG512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12" s="258">
        <f>LstMachines[[#This Row],[VteESM]]+Rglt_à_ESMTP</f>
        <v>44177</v>
      </c>
      <c r="AI512" s="258" t="str">
        <f xml:space="preserve"> IF(MONTH(LstMachines[[#This Row],[RgltVteESM]])&lt;10,"0","") &amp; MONTH(LstMachines[[#This Row],[RgltVteESM]]) &amp; "-" &amp; YEAR(LstMachines[[#This Row],[RgltVteESM]])</f>
        <v>12-2020</v>
      </c>
      <c r="AJ512" s="140">
        <f>MONTH(LstMachines[[#This Row],[DatePaie]])</f>
        <v>8</v>
      </c>
      <c r="AK512" s="88" t="str">
        <f>FIXED(YEAR(LstMachines[[#This Row],[DatePaie]]),0,TRUE)</f>
        <v>2020</v>
      </c>
      <c r="AL512" s="140"/>
      <c r="AM512" s="414"/>
    </row>
    <row r="513" spans="2:39" hidden="1">
      <c r="B513" s="104" t="s">
        <v>75</v>
      </c>
      <c r="C513" s="104" t="s">
        <v>36</v>
      </c>
      <c r="D513" s="87">
        <v>26</v>
      </c>
      <c r="E513" s="104" t="s">
        <v>361</v>
      </c>
      <c r="F513" s="87" t="s">
        <v>100</v>
      </c>
      <c r="G513" s="87" t="s">
        <v>33</v>
      </c>
      <c r="H513" s="89">
        <v>2</v>
      </c>
      <c r="I51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44</v>
      </c>
      <c r="J513" s="88">
        <v>43997</v>
      </c>
      <c r="K513" s="99" t="s">
        <v>461</v>
      </c>
      <c r="L513" s="132" t="s">
        <v>387</v>
      </c>
      <c r="M513" s="99"/>
      <c r="N513" s="90"/>
      <c r="O513" s="255">
        <f>MONTH(LstMachines[[#This Row],[Delivery]])</f>
        <v>6</v>
      </c>
      <c r="P513" s="256" t="str">
        <f>FIXED(YEAR(LstMachines[[#This Row],[Delivery]]),0,TRUE)</f>
        <v>2020</v>
      </c>
      <c r="Q513" s="73"/>
      <c r="R513" s="93"/>
      <c r="S513" s="90"/>
      <c r="T513" s="90"/>
      <c r="U513" s="90" t="s">
        <v>104</v>
      </c>
      <c r="V513" s="72"/>
      <c r="W513" s="99" t="s">
        <v>383</v>
      </c>
      <c r="X513" s="258">
        <f>LstMachines[[#This Row],[Delivery]]</f>
        <v>43997</v>
      </c>
      <c r="Y513" s="258" t="str">
        <f xml:space="preserve"> IF(MONTH(LstMachines[[#This Row],[DateLivr]])&lt;10,"0","") &amp; MONTH(LstMachines[[#This Row],[DateLivr]]) &amp;"-"&amp;YEAR(LstMachines[[#This Row],[DateLivr]])</f>
        <v>06-2020</v>
      </c>
      <c r="Z513" s="258">
        <f>LstMachines[[#This Row],[Delivery]]+Rglt_à_HCME</f>
        <v>44057</v>
      </c>
      <c r="AA513" s="258" t="str">
        <f xml:space="preserve"> IF(MONTH(LstMachines[[#This Row],[DatePaie]])&lt;10,"0","") &amp; MONTH(LstMachines[[#This Row],[DatePaie]])&amp;"-"&amp;YEAR(LstMachines[[#This Row],[DatePaie]])</f>
        <v>08-2020</v>
      </c>
      <c r="AB513" s="258">
        <f>LstMachines[[#This Row],[DateLivr]]+1</f>
        <v>43998</v>
      </c>
      <c r="AC513" s="258" t="str">
        <f xml:space="preserve"> IF(MONTH(LstMachines[[#This Row],[Distrib]])&lt;10,"0","") &amp; MONTH(LstMachines[[#This Row],[Distrib]]) &amp; "-" &amp; YEAR(LstMachines[[#This Row],[Distrib]])</f>
        <v>06-2020</v>
      </c>
      <c r="AD513" s="258">
        <f>LstMachines[[#This Row],[DateLivr]]+Délai_Vente</f>
        <v>44117</v>
      </c>
      <c r="AE513" s="258" t="str">
        <f xml:space="preserve"> IF(MONTH(LstMachines[[#This Row],[VteESM]])&lt;10,"0","") &amp; MONTH(LstMachines[[#This Row],[VteESM]]) &amp; "-" &amp; YEAR(LstMachines[[#This Row],[VteESM]])</f>
        <v>10-2020</v>
      </c>
      <c r="AF513" s="258">
        <f>LstMachines[[#This Row],[DateLivr]]+Rglt_à_ESMTP</f>
        <v>44057</v>
      </c>
      <c r="AG513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13" s="258">
        <f>LstMachines[[#This Row],[VteESM]]+Rglt_à_ESMTP</f>
        <v>44177</v>
      </c>
      <c r="AI513" s="258" t="str">
        <f xml:space="preserve"> IF(MONTH(LstMachines[[#This Row],[RgltVteESM]])&lt;10,"0","") &amp; MONTH(LstMachines[[#This Row],[RgltVteESM]]) &amp; "-" &amp; YEAR(LstMachines[[#This Row],[RgltVteESM]])</f>
        <v>12-2020</v>
      </c>
      <c r="AJ513" s="140">
        <f>MONTH(LstMachines[[#This Row],[DatePaie]])</f>
        <v>8</v>
      </c>
      <c r="AK513" s="88" t="str">
        <f>FIXED(YEAR(LstMachines[[#This Row],[DatePaie]]),0,TRUE)</f>
        <v>2020</v>
      </c>
      <c r="AL513" s="140"/>
      <c r="AM513" s="414"/>
    </row>
    <row r="514" spans="2:39" hidden="1">
      <c r="B514" s="104" t="s">
        <v>262</v>
      </c>
      <c r="C514" s="104" t="s">
        <v>39</v>
      </c>
      <c r="D514" s="87">
        <v>85</v>
      </c>
      <c r="E514" s="86" t="s">
        <v>356</v>
      </c>
      <c r="F514" s="397" t="s">
        <v>100</v>
      </c>
      <c r="G514" s="397" t="s">
        <v>33</v>
      </c>
      <c r="H514" s="89">
        <v>1</v>
      </c>
      <c r="I51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514" s="88">
        <v>43997</v>
      </c>
      <c r="K514" s="99" t="s">
        <v>461</v>
      </c>
      <c r="L514" s="132" t="s">
        <v>387</v>
      </c>
      <c r="M514" s="99"/>
      <c r="N514" s="90"/>
      <c r="O514" s="255">
        <f>MONTH(LstMachines[[#This Row],[Delivery]])</f>
        <v>6</v>
      </c>
      <c r="P514" s="256" t="str">
        <f>FIXED(YEAR(LstMachines[[#This Row],[Delivery]]),0,TRUE)</f>
        <v>2020</v>
      </c>
      <c r="Q514" s="73"/>
      <c r="R514" s="93"/>
      <c r="S514" s="90"/>
      <c r="T514" s="90"/>
      <c r="U514" s="90" t="s">
        <v>104</v>
      </c>
      <c r="V514" s="72"/>
      <c r="W514" s="99" t="s">
        <v>383</v>
      </c>
      <c r="X514" s="258">
        <f>LstMachines[[#This Row],[Delivery]]</f>
        <v>43997</v>
      </c>
      <c r="Y514" s="258" t="str">
        <f xml:space="preserve"> IF(MONTH(LstMachines[[#This Row],[DateLivr]])&lt;10,"0","") &amp; MONTH(LstMachines[[#This Row],[DateLivr]]) &amp;"-"&amp;YEAR(LstMachines[[#This Row],[DateLivr]])</f>
        <v>06-2020</v>
      </c>
      <c r="Z514" s="258">
        <f>LstMachines[[#This Row],[Delivery]]+Rglt_à_HCME</f>
        <v>44057</v>
      </c>
      <c r="AA514" s="258" t="str">
        <f xml:space="preserve"> IF(MONTH(LstMachines[[#This Row],[DatePaie]])&lt;10,"0","") &amp; MONTH(LstMachines[[#This Row],[DatePaie]])&amp;"-"&amp;YEAR(LstMachines[[#This Row],[DatePaie]])</f>
        <v>08-2020</v>
      </c>
      <c r="AB514" s="258">
        <f>LstMachines[[#This Row],[DateLivr]]+1</f>
        <v>43998</v>
      </c>
      <c r="AC514" s="258" t="str">
        <f xml:space="preserve"> IF(MONTH(LstMachines[[#This Row],[Distrib]])&lt;10,"0","") &amp; MONTH(LstMachines[[#This Row],[Distrib]]) &amp; "-" &amp; YEAR(LstMachines[[#This Row],[Distrib]])</f>
        <v>06-2020</v>
      </c>
      <c r="AD514" s="258">
        <f>LstMachines[[#This Row],[DateLivr]]+Délai_Vente</f>
        <v>44117</v>
      </c>
      <c r="AE514" s="258" t="str">
        <f xml:space="preserve"> IF(MONTH(LstMachines[[#This Row],[VteESM]])&lt;10,"0","") &amp; MONTH(LstMachines[[#This Row],[VteESM]]) &amp; "-" &amp; YEAR(LstMachines[[#This Row],[VteESM]])</f>
        <v>10-2020</v>
      </c>
      <c r="AF514" s="258">
        <f>LstMachines[[#This Row],[DateLivr]]+Rglt_à_ESMTP</f>
        <v>44057</v>
      </c>
      <c r="AG514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14" s="258">
        <f>LstMachines[[#This Row],[VteESM]]+Rglt_à_ESMTP</f>
        <v>44177</v>
      </c>
      <c r="AI514" s="258" t="str">
        <f xml:space="preserve"> IF(MONTH(LstMachines[[#This Row],[RgltVteESM]])&lt;10,"0","") &amp; MONTH(LstMachines[[#This Row],[RgltVteESM]]) &amp; "-" &amp; YEAR(LstMachines[[#This Row],[RgltVteESM]])</f>
        <v>12-2020</v>
      </c>
      <c r="AJ514" s="140">
        <f>MONTH(LstMachines[[#This Row],[DatePaie]])</f>
        <v>8</v>
      </c>
      <c r="AK514" s="88" t="str">
        <f>FIXED(YEAR(LstMachines[[#This Row],[DatePaie]]),0,TRUE)</f>
        <v>2020</v>
      </c>
      <c r="AL514" s="140"/>
      <c r="AM514" s="414"/>
    </row>
    <row r="515" spans="2:39" hidden="1">
      <c r="B515" s="104" t="s">
        <v>75</v>
      </c>
      <c r="C515" s="104" t="s">
        <v>38</v>
      </c>
      <c r="D515" s="87">
        <v>65</v>
      </c>
      <c r="E515" s="104" t="s">
        <v>376</v>
      </c>
      <c r="F515" s="397" t="s">
        <v>100</v>
      </c>
      <c r="G515" s="397" t="s">
        <v>33</v>
      </c>
      <c r="H515" s="89">
        <v>2</v>
      </c>
      <c r="I51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90</v>
      </c>
      <c r="J515" s="88">
        <v>43997</v>
      </c>
      <c r="K515" s="99" t="s">
        <v>461</v>
      </c>
      <c r="L515" s="132" t="s">
        <v>387</v>
      </c>
      <c r="M515" s="99"/>
      <c r="N515" s="90"/>
      <c r="O515" s="255">
        <f>MONTH(LstMachines[[#This Row],[Delivery]])</f>
        <v>6</v>
      </c>
      <c r="P515" s="256" t="str">
        <f>FIXED(YEAR(LstMachines[[#This Row],[Delivery]]),0,TRUE)</f>
        <v>2020</v>
      </c>
      <c r="Q515" s="73"/>
      <c r="R515" s="93"/>
      <c r="S515" s="90"/>
      <c r="T515" s="90"/>
      <c r="U515" s="90" t="s">
        <v>104</v>
      </c>
      <c r="V515" s="72"/>
      <c r="W515" s="99" t="s">
        <v>383</v>
      </c>
      <c r="X515" s="258">
        <f>LstMachines[[#This Row],[Delivery]]</f>
        <v>43997</v>
      </c>
      <c r="Y515" s="258" t="str">
        <f xml:space="preserve"> IF(MONTH(LstMachines[[#This Row],[DateLivr]])&lt;10,"0","") &amp; MONTH(LstMachines[[#This Row],[DateLivr]]) &amp;"-"&amp;YEAR(LstMachines[[#This Row],[DateLivr]])</f>
        <v>06-2020</v>
      </c>
      <c r="Z515" s="258">
        <f>LstMachines[[#This Row],[Delivery]]+Rglt_à_HCME</f>
        <v>44057</v>
      </c>
      <c r="AA515" s="258" t="str">
        <f xml:space="preserve"> IF(MONTH(LstMachines[[#This Row],[DatePaie]])&lt;10,"0","") &amp; MONTH(LstMachines[[#This Row],[DatePaie]])&amp;"-"&amp;YEAR(LstMachines[[#This Row],[DatePaie]])</f>
        <v>08-2020</v>
      </c>
      <c r="AB515" s="258">
        <f>LstMachines[[#This Row],[DateLivr]]+1</f>
        <v>43998</v>
      </c>
      <c r="AC515" s="258" t="str">
        <f xml:space="preserve"> IF(MONTH(LstMachines[[#This Row],[Distrib]])&lt;10,"0","") &amp; MONTH(LstMachines[[#This Row],[Distrib]]) &amp; "-" &amp; YEAR(LstMachines[[#This Row],[Distrib]])</f>
        <v>06-2020</v>
      </c>
      <c r="AD515" s="258">
        <f>LstMachines[[#This Row],[DateLivr]]+Délai_Vente</f>
        <v>44117</v>
      </c>
      <c r="AE515" s="258" t="str">
        <f xml:space="preserve"> IF(MONTH(LstMachines[[#This Row],[VteESM]])&lt;10,"0","") &amp; MONTH(LstMachines[[#This Row],[VteESM]]) &amp; "-" &amp; YEAR(LstMachines[[#This Row],[VteESM]])</f>
        <v>10-2020</v>
      </c>
      <c r="AF515" s="258">
        <f>LstMachines[[#This Row],[DateLivr]]+Rglt_à_ESMTP</f>
        <v>44057</v>
      </c>
      <c r="AG515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15" s="258">
        <f>LstMachines[[#This Row],[VteESM]]+Rglt_à_ESMTP</f>
        <v>44177</v>
      </c>
      <c r="AI515" s="258" t="str">
        <f xml:space="preserve"> IF(MONTH(LstMachines[[#This Row],[RgltVteESM]])&lt;10,"0","") &amp; MONTH(LstMachines[[#This Row],[RgltVteESM]]) &amp; "-" &amp; YEAR(LstMachines[[#This Row],[RgltVteESM]])</f>
        <v>12-2020</v>
      </c>
      <c r="AJ515" s="140">
        <f>MONTH(LstMachines[[#This Row],[DatePaie]])</f>
        <v>8</v>
      </c>
      <c r="AK515" s="88" t="str">
        <f>FIXED(YEAR(LstMachines[[#This Row],[DatePaie]]),0,TRUE)</f>
        <v>2020</v>
      </c>
      <c r="AL515" s="140"/>
      <c r="AM515" s="414"/>
    </row>
    <row r="516" spans="2:39" hidden="1">
      <c r="B516" s="104" t="s">
        <v>262</v>
      </c>
      <c r="C516" s="104" t="s">
        <v>44</v>
      </c>
      <c r="D516" s="87">
        <v>225</v>
      </c>
      <c r="E516" s="104" t="s">
        <v>205</v>
      </c>
      <c r="F516" s="397" t="s">
        <v>100</v>
      </c>
      <c r="G516" s="397" t="s">
        <v>33</v>
      </c>
      <c r="H516" s="89">
        <v>1</v>
      </c>
      <c r="I51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516" s="88">
        <v>43997</v>
      </c>
      <c r="K516" s="99" t="s">
        <v>461</v>
      </c>
      <c r="L516" s="132" t="s">
        <v>387</v>
      </c>
      <c r="M516" s="99"/>
      <c r="N516" s="90"/>
      <c r="O516" s="255">
        <f>MONTH(LstMachines[[#This Row],[Delivery]])</f>
        <v>6</v>
      </c>
      <c r="P516" s="256" t="str">
        <f>FIXED(YEAR(LstMachines[[#This Row],[Delivery]]),0,TRUE)</f>
        <v>2020</v>
      </c>
      <c r="Q516" s="73"/>
      <c r="R516" s="93"/>
      <c r="S516" s="90"/>
      <c r="T516" s="90"/>
      <c r="U516" s="90" t="s">
        <v>104</v>
      </c>
      <c r="V516" s="72"/>
      <c r="W516" s="99" t="s">
        <v>383</v>
      </c>
      <c r="X516" s="258">
        <f>LstMachines[[#This Row],[Delivery]]</f>
        <v>43997</v>
      </c>
      <c r="Y516" s="258" t="str">
        <f xml:space="preserve"> IF(MONTH(LstMachines[[#This Row],[DateLivr]])&lt;10,"0","") &amp; MONTH(LstMachines[[#This Row],[DateLivr]]) &amp;"-"&amp;YEAR(LstMachines[[#This Row],[DateLivr]])</f>
        <v>06-2020</v>
      </c>
      <c r="Z516" s="258">
        <f>LstMachines[[#This Row],[Delivery]]+Rglt_à_HCME</f>
        <v>44057</v>
      </c>
      <c r="AA516" s="258" t="str">
        <f xml:space="preserve"> IF(MONTH(LstMachines[[#This Row],[DatePaie]])&lt;10,"0","") &amp; MONTH(LstMachines[[#This Row],[DatePaie]])&amp;"-"&amp;YEAR(LstMachines[[#This Row],[DatePaie]])</f>
        <v>08-2020</v>
      </c>
      <c r="AB516" s="258">
        <f>LstMachines[[#This Row],[DateLivr]]+1</f>
        <v>43998</v>
      </c>
      <c r="AC516" s="258" t="str">
        <f xml:space="preserve"> IF(MONTH(LstMachines[[#This Row],[Distrib]])&lt;10,"0","") &amp; MONTH(LstMachines[[#This Row],[Distrib]]) &amp; "-" &amp; YEAR(LstMachines[[#This Row],[Distrib]])</f>
        <v>06-2020</v>
      </c>
      <c r="AD516" s="258">
        <f>LstMachines[[#This Row],[DateLivr]]+Délai_Vente</f>
        <v>44117</v>
      </c>
      <c r="AE516" s="258" t="str">
        <f xml:space="preserve"> IF(MONTH(LstMachines[[#This Row],[VteESM]])&lt;10,"0","") &amp; MONTH(LstMachines[[#This Row],[VteESM]]) &amp; "-" &amp; YEAR(LstMachines[[#This Row],[VteESM]])</f>
        <v>10-2020</v>
      </c>
      <c r="AF516" s="258">
        <f>LstMachines[[#This Row],[DateLivr]]+Rglt_à_ESMTP</f>
        <v>44057</v>
      </c>
      <c r="AG516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16" s="258">
        <f>LstMachines[[#This Row],[VteESM]]+Rglt_à_ESMTP</f>
        <v>44177</v>
      </c>
      <c r="AI516" s="258" t="str">
        <f xml:space="preserve"> IF(MONTH(LstMachines[[#This Row],[RgltVteESM]])&lt;10,"0","") &amp; MONTH(LstMachines[[#This Row],[RgltVteESM]]) &amp; "-" &amp; YEAR(LstMachines[[#This Row],[RgltVteESM]])</f>
        <v>12-2020</v>
      </c>
      <c r="AJ516" s="140">
        <f>MONTH(LstMachines[[#This Row],[DatePaie]])</f>
        <v>8</v>
      </c>
      <c r="AK516" s="88" t="str">
        <f>FIXED(YEAR(LstMachines[[#This Row],[DatePaie]]),0,TRUE)</f>
        <v>2020</v>
      </c>
      <c r="AL516" s="140"/>
      <c r="AM516" s="414"/>
    </row>
    <row r="517" spans="2:39" hidden="1">
      <c r="B517" s="104" t="s">
        <v>75</v>
      </c>
      <c r="C517" s="104" t="s">
        <v>34</v>
      </c>
      <c r="D517" s="87">
        <v>10</v>
      </c>
      <c r="E517" s="86" t="s">
        <v>178</v>
      </c>
      <c r="F517" s="397" t="s">
        <v>100</v>
      </c>
      <c r="G517" s="397" t="s">
        <v>592</v>
      </c>
      <c r="H517" s="89">
        <v>1</v>
      </c>
      <c r="I517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15</v>
      </c>
      <c r="J517" s="88">
        <v>43997</v>
      </c>
      <c r="K517" s="99" t="s">
        <v>461</v>
      </c>
      <c r="L517" s="132" t="s">
        <v>387</v>
      </c>
      <c r="M517" s="99"/>
      <c r="N517" s="90"/>
      <c r="O517" s="255">
        <f>MONTH(LstMachines[[#This Row],[Delivery]])</f>
        <v>6</v>
      </c>
      <c r="P517" s="256" t="str">
        <f>FIXED(YEAR(LstMachines[[#This Row],[Delivery]]),0,TRUE)</f>
        <v>2020</v>
      </c>
      <c r="Q517" s="73"/>
      <c r="R517" s="93"/>
      <c r="S517" s="90"/>
      <c r="T517" s="90"/>
      <c r="U517" s="90" t="s">
        <v>104</v>
      </c>
      <c r="V517" s="72"/>
      <c r="W517" s="99" t="s">
        <v>383</v>
      </c>
      <c r="X517" s="258">
        <f>LstMachines[[#This Row],[Delivery]]</f>
        <v>43997</v>
      </c>
      <c r="Y517" s="258" t="str">
        <f xml:space="preserve"> IF(MONTH(LstMachines[[#This Row],[DateLivr]])&lt;10,"0","") &amp; MONTH(LstMachines[[#This Row],[DateLivr]]) &amp;"-"&amp;YEAR(LstMachines[[#This Row],[DateLivr]])</f>
        <v>06-2020</v>
      </c>
      <c r="Z517" s="258">
        <f>LstMachines[[#This Row],[Delivery]]+Rglt_à_HCME</f>
        <v>44057</v>
      </c>
      <c r="AA517" s="258" t="str">
        <f xml:space="preserve"> IF(MONTH(LstMachines[[#This Row],[DatePaie]])&lt;10,"0","") &amp; MONTH(LstMachines[[#This Row],[DatePaie]])&amp;"-"&amp;YEAR(LstMachines[[#This Row],[DatePaie]])</f>
        <v>08-2020</v>
      </c>
      <c r="AB517" s="258">
        <f>LstMachines[[#This Row],[DateLivr]]+1</f>
        <v>43998</v>
      </c>
      <c r="AC517" s="258" t="str">
        <f xml:space="preserve"> IF(MONTH(LstMachines[[#This Row],[Distrib]])&lt;10,"0","") &amp; MONTH(LstMachines[[#This Row],[Distrib]]) &amp; "-" &amp; YEAR(LstMachines[[#This Row],[Distrib]])</f>
        <v>06-2020</v>
      </c>
      <c r="AD517" s="258">
        <f>LstMachines[[#This Row],[DateLivr]]+Délai_Vente</f>
        <v>44117</v>
      </c>
      <c r="AE517" s="258" t="str">
        <f xml:space="preserve"> IF(MONTH(LstMachines[[#This Row],[VteESM]])&lt;10,"0","") &amp; MONTH(LstMachines[[#This Row],[VteESM]]) &amp; "-" &amp; YEAR(LstMachines[[#This Row],[VteESM]])</f>
        <v>10-2020</v>
      </c>
      <c r="AF517" s="258">
        <f>LstMachines[[#This Row],[DateLivr]]+Rglt_à_ESMTP</f>
        <v>44057</v>
      </c>
      <c r="AG517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17" s="258">
        <f>LstMachines[[#This Row],[VteESM]]+Rglt_à_ESMTP</f>
        <v>44177</v>
      </c>
      <c r="AI517" s="258" t="str">
        <f xml:space="preserve"> IF(MONTH(LstMachines[[#This Row],[RgltVteESM]])&lt;10,"0","") &amp; MONTH(LstMachines[[#This Row],[RgltVteESM]]) &amp; "-" &amp; YEAR(LstMachines[[#This Row],[RgltVteESM]])</f>
        <v>12-2020</v>
      </c>
      <c r="AJ517" s="140">
        <f>MONTH(LstMachines[[#This Row],[DatePaie]])</f>
        <v>8</v>
      </c>
      <c r="AK517" s="88" t="str">
        <f>FIXED(YEAR(LstMachines[[#This Row],[DatePaie]]),0,TRUE)</f>
        <v>2020</v>
      </c>
      <c r="AL517" s="140"/>
      <c r="AM517" s="414"/>
    </row>
    <row r="518" spans="2:39" hidden="1">
      <c r="B518" s="104" t="s">
        <v>75</v>
      </c>
      <c r="C518" s="104" t="s">
        <v>35</v>
      </c>
      <c r="D518" s="87">
        <v>19</v>
      </c>
      <c r="E518" s="104" t="s">
        <v>76</v>
      </c>
      <c r="F518" s="397" t="s">
        <v>100</v>
      </c>
      <c r="G518" s="397" t="s">
        <v>592</v>
      </c>
      <c r="H518" s="89">
        <v>2</v>
      </c>
      <c r="I518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36</v>
      </c>
      <c r="J518" s="88">
        <v>43997</v>
      </c>
      <c r="K518" s="99" t="s">
        <v>461</v>
      </c>
      <c r="L518" s="132" t="s">
        <v>387</v>
      </c>
      <c r="M518" s="99"/>
      <c r="N518" s="90"/>
      <c r="O518" s="255">
        <f>MONTH(LstMachines[[#This Row],[Delivery]])</f>
        <v>6</v>
      </c>
      <c r="P518" s="256" t="str">
        <f>FIXED(YEAR(LstMachines[[#This Row],[Delivery]]),0,TRUE)</f>
        <v>2020</v>
      </c>
      <c r="Q518" s="73"/>
      <c r="R518" s="93"/>
      <c r="S518" s="90"/>
      <c r="T518" s="90"/>
      <c r="U518" s="90" t="s">
        <v>104</v>
      </c>
      <c r="V518" s="72"/>
      <c r="W518" s="99" t="s">
        <v>383</v>
      </c>
      <c r="X518" s="258">
        <f>LstMachines[[#This Row],[Delivery]]</f>
        <v>43997</v>
      </c>
      <c r="Y518" s="258" t="str">
        <f xml:space="preserve"> IF(MONTH(LstMachines[[#This Row],[DateLivr]])&lt;10,"0","") &amp; MONTH(LstMachines[[#This Row],[DateLivr]]) &amp;"-"&amp;YEAR(LstMachines[[#This Row],[DateLivr]])</f>
        <v>06-2020</v>
      </c>
      <c r="Z518" s="258">
        <f>LstMachines[[#This Row],[Delivery]]+Rglt_à_HCME</f>
        <v>44057</v>
      </c>
      <c r="AA518" s="258" t="str">
        <f xml:space="preserve"> IF(MONTH(LstMachines[[#This Row],[DatePaie]])&lt;10,"0","") &amp; MONTH(LstMachines[[#This Row],[DatePaie]])&amp;"-"&amp;YEAR(LstMachines[[#This Row],[DatePaie]])</f>
        <v>08-2020</v>
      </c>
      <c r="AB518" s="258">
        <f>LstMachines[[#This Row],[DateLivr]]+1</f>
        <v>43998</v>
      </c>
      <c r="AC518" s="258" t="str">
        <f xml:space="preserve"> IF(MONTH(LstMachines[[#This Row],[Distrib]])&lt;10,"0","") &amp; MONTH(LstMachines[[#This Row],[Distrib]]) &amp; "-" &amp; YEAR(LstMachines[[#This Row],[Distrib]])</f>
        <v>06-2020</v>
      </c>
      <c r="AD518" s="258">
        <f>LstMachines[[#This Row],[DateLivr]]+Délai_Vente</f>
        <v>44117</v>
      </c>
      <c r="AE518" s="258" t="str">
        <f xml:space="preserve"> IF(MONTH(LstMachines[[#This Row],[VteESM]])&lt;10,"0","") &amp; MONTH(LstMachines[[#This Row],[VteESM]]) &amp; "-" &amp; YEAR(LstMachines[[#This Row],[VteESM]])</f>
        <v>10-2020</v>
      </c>
      <c r="AF518" s="258">
        <f>LstMachines[[#This Row],[DateLivr]]+Rglt_à_ESMTP</f>
        <v>44057</v>
      </c>
      <c r="AG518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18" s="258">
        <f>LstMachines[[#This Row],[VteESM]]+Rglt_à_ESMTP</f>
        <v>44177</v>
      </c>
      <c r="AI518" s="258" t="str">
        <f xml:space="preserve"> IF(MONTH(LstMachines[[#This Row],[RgltVteESM]])&lt;10,"0","") &amp; MONTH(LstMachines[[#This Row],[RgltVteESM]]) &amp; "-" &amp; YEAR(LstMachines[[#This Row],[RgltVteESM]])</f>
        <v>12-2020</v>
      </c>
      <c r="AJ518" s="140">
        <f>MONTH(LstMachines[[#This Row],[DatePaie]])</f>
        <v>8</v>
      </c>
      <c r="AK518" s="88" t="str">
        <f>FIXED(YEAR(LstMachines[[#This Row],[DatePaie]]),0,TRUE)</f>
        <v>2020</v>
      </c>
      <c r="AL518" s="140"/>
      <c r="AM518" s="414"/>
    </row>
    <row r="519" spans="2:39" hidden="1">
      <c r="B519" s="104" t="s">
        <v>75</v>
      </c>
      <c r="C519" s="104" t="s">
        <v>36</v>
      </c>
      <c r="D519" s="87">
        <v>26</v>
      </c>
      <c r="E519" s="86" t="s">
        <v>355</v>
      </c>
      <c r="F519" s="397" t="s">
        <v>100</v>
      </c>
      <c r="G519" s="397" t="s">
        <v>592</v>
      </c>
      <c r="H519" s="89">
        <v>3</v>
      </c>
      <c r="I519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66</v>
      </c>
      <c r="J519" s="88">
        <v>43997</v>
      </c>
      <c r="K519" s="99" t="s">
        <v>461</v>
      </c>
      <c r="L519" s="132" t="s">
        <v>387</v>
      </c>
      <c r="M519" s="99"/>
      <c r="N519" s="90"/>
      <c r="O519" s="255">
        <f>MONTH(LstMachines[[#This Row],[Delivery]])</f>
        <v>6</v>
      </c>
      <c r="P519" s="256" t="str">
        <f>FIXED(YEAR(LstMachines[[#This Row],[Delivery]]),0,TRUE)</f>
        <v>2020</v>
      </c>
      <c r="Q519" s="73"/>
      <c r="R519" s="93"/>
      <c r="S519" s="90"/>
      <c r="T519" s="90"/>
      <c r="U519" s="90" t="s">
        <v>104</v>
      </c>
      <c r="V519" s="72"/>
      <c r="W519" s="99" t="s">
        <v>383</v>
      </c>
      <c r="X519" s="258">
        <f>LstMachines[[#This Row],[Delivery]]</f>
        <v>43997</v>
      </c>
      <c r="Y519" s="258" t="str">
        <f xml:space="preserve"> IF(MONTH(LstMachines[[#This Row],[DateLivr]])&lt;10,"0","") &amp; MONTH(LstMachines[[#This Row],[DateLivr]]) &amp;"-"&amp;YEAR(LstMachines[[#This Row],[DateLivr]])</f>
        <v>06-2020</v>
      </c>
      <c r="Z519" s="258">
        <f>LstMachines[[#This Row],[Delivery]]+Rglt_à_HCME</f>
        <v>44057</v>
      </c>
      <c r="AA519" s="258" t="str">
        <f xml:space="preserve"> IF(MONTH(LstMachines[[#This Row],[DatePaie]])&lt;10,"0","") &amp; MONTH(LstMachines[[#This Row],[DatePaie]])&amp;"-"&amp;YEAR(LstMachines[[#This Row],[DatePaie]])</f>
        <v>08-2020</v>
      </c>
      <c r="AB519" s="258">
        <f>LstMachines[[#This Row],[DateLivr]]+1</f>
        <v>43998</v>
      </c>
      <c r="AC519" s="258" t="str">
        <f xml:space="preserve"> IF(MONTH(LstMachines[[#This Row],[Distrib]])&lt;10,"0","") &amp; MONTH(LstMachines[[#This Row],[Distrib]]) &amp; "-" &amp; YEAR(LstMachines[[#This Row],[Distrib]])</f>
        <v>06-2020</v>
      </c>
      <c r="AD519" s="258">
        <f>LstMachines[[#This Row],[DateLivr]]+Délai_Vente</f>
        <v>44117</v>
      </c>
      <c r="AE519" s="258" t="str">
        <f xml:space="preserve"> IF(MONTH(LstMachines[[#This Row],[VteESM]])&lt;10,"0","") &amp; MONTH(LstMachines[[#This Row],[VteESM]]) &amp; "-" &amp; YEAR(LstMachines[[#This Row],[VteESM]])</f>
        <v>10-2020</v>
      </c>
      <c r="AF519" s="258">
        <f>LstMachines[[#This Row],[DateLivr]]+Rglt_à_ESMTP</f>
        <v>44057</v>
      </c>
      <c r="AG519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19" s="258">
        <f>LstMachines[[#This Row],[VteESM]]+Rglt_à_ESMTP</f>
        <v>44177</v>
      </c>
      <c r="AI519" s="258" t="str">
        <f xml:space="preserve"> IF(MONTH(LstMachines[[#This Row],[RgltVteESM]])&lt;10,"0","") &amp; MONTH(LstMachines[[#This Row],[RgltVteESM]]) &amp; "-" &amp; YEAR(LstMachines[[#This Row],[RgltVteESM]])</f>
        <v>12-2020</v>
      </c>
      <c r="AJ519" s="140">
        <f>MONTH(LstMachines[[#This Row],[DatePaie]])</f>
        <v>8</v>
      </c>
      <c r="AK519" s="88" t="str">
        <f>FIXED(YEAR(LstMachines[[#This Row],[DatePaie]]),0,TRUE)</f>
        <v>2020</v>
      </c>
      <c r="AL519" s="140"/>
      <c r="AM519" s="414"/>
    </row>
    <row r="520" spans="2:39" hidden="1">
      <c r="B520" s="104" t="s">
        <v>262</v>
      </c>
      <c r="C520" s="104" t="s">
        <v>41</v>
      </c>
      <c r="D520" s="87">
        <v>160</v>
      </c>
      <c r="E520" s="104" t="s">
        <v>197</v>
      </c>
      <c r="F520" s="87" t="s">
        <v>100</v>
      </c>
      <c r="G520" s="397" t="s">
        <v>592</v>
      </c>
      <c r="H520" s="89">
        <v>1</v>
      </c>
      <c r="I520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110</v>
      </c>
      <c r="J520" s="88">
        <v>43997</v>
      </c>
      <c r="K520" s="99" t="s">
        <v>461</v>
      </c>
      <c r="L520" s="132" t="s">
        <v>387</v>
      </c>
      <c r="M520" s="99"/>
      <c r="N520" s="90"/>
      <c r="O520" s="255">
        <f>MONTH(LstMachines[[#This Row],[Delivery]])</f>
        <v>6</v>
      </c>
      <c r="P520" s="256" t="str">
        <f>FIXED(YEAR(LstMachines[[#This Row],[Delivery]]),0,TRUE)</f>
        <v>2020</v>
      </c>
      <c r="Q520" s="73"/>
      <c r="R520" s="93"/>
      <c r="S520" s="90"/>
      <c r="T520" s="90"/>
      <c r="U520" s="90" t="s">
        <v>104</v>
      </c>
      <c r="V520" s="72"/>
      <c r="W520" s="99" t="s">
        <v>383</v>
      </c>
      <c r="X520" s="258">
        <f>LstMachines[[#This Row],[Delivery]]</f>
        <v>43997</v>
      </c>
      <c r="Y520" s="258" t="str">
        <f xml:space="preserve"> IF(MONTH(LstMachines[[#This Row],[DateLivr]])&lt;10,"0","") &amp; MONTH(LstMachines[[#This Row],[DateLivr]]) &amp;"-"&amp;YEAR(LstMachines[[#This Row],[DateLivr]])</f>
        <v>06-2020</v>
      </c>
      <c r="Z520" s="258">
        <f>LstMachines[[#This Row],[Delivery]]+Rglt_à_HCME</f>
        <v>44057</v>
      </c>
      <c r="AA520" s="258" t="str">
        <f xml:space="preserve"> IF(MONTH(LstMachines[[#This Row],[DatePaie]])&lt;10,"0","") &amp; MONTH(LstMachines[[#This Row],[DatePaie]])&amp;"-"&amp;YEAR(LstMachines[[#This Row],[DatePaie]])</f>
        <v>08-2020</v>
      </c>
      <c r="AB520" s="258">
        <f>LstMachines[[#This Row],[DateLivr]]+1</f>
        <v>43998</v>
      </c>
      <c r="AC520" s="258" t="str">
        <f xml:space="preserve"> IF(MONTH(LstMachines[[#This Row],[Distrib]])&lt;10,"0","") &amp; MONTH(LstMachines[[#This Row],[Distrib]]) &amp; "-" &amp; YEAR(LstMachines[[#This Row],[Distrib]])</f>
        <v>06-2020</v>
      </c>
      <c r="AD520" s="258">
        <f>LstMachines[[#This Row],[DateLivr]]+Délai_Vente</f>
        <v>44117</v>
      </c>
      <c r="AE520" s="258" t="str">
        <f xml:space="preserve"> IF(MONTH(LstMachines[[#This Row],[VteESM]])&lt;10,"0","") &amp; MONTH(LstMachines[[#This Row],[VteESM]]) &amp; "-" &amp; YEAR(LstMachines[[#This Row],[VteESM]])</f>
        <v>10-2020</v>
      </c>
      <c r="AF520" s="258">
        <f>LstMachines[[#This Row],[DateLivr]]+Rglt_à_ESMTP</f>
        <v>44057</v>
      </c>
      <c r="AG520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20" s="258">
        <f>LstMachines[[#This Row],[VteESM]]+Rglt_à_ESMTP</f>
        <v>44177</v>
      </c>
      <c r="AI520" s="258" t="str">
        <f xml:space="preserve"> IF(MONTH(LstMachines[[#This Row],[RgltVteESM]])&lt;10,"0","") &amp; MONTH(LstMachines[[#This Row],[RgltVteESM]]) &amp; "-" &amp; YEAR(LstMachines[[#This Row],[RgltVteESM]])</f>
        <v>12-2020</v>
      </c>
      <c r="AJ520" s="140">
        <f>MONTH(LstMachines[[#This Row],[DatePaie]])</f>
        <v>8</v>
      </c>
      <c r="AK520" s="88" t="str">
        <f>FIXED(YEAR(LstMachines[[#This Row],[DatePaie]]),0,TRUE)</f>
        <v>2020</v>
      </c>
      <c r="AL520" s="140"/>
      <c r="AM520" s="414"/>
    </row>
    <row r="521" spans="2:39" hidden="1">
      <c r="B521" s="104" t="s">
        <v>262</v>
      </c>
      <c r="C521" s="104" t="s">
        <v>44</v>
      </c>
      <c r="D521" s="87">
        <v>225</v>
      </c>
      <c r="E521" s="86" t="s">
        <v>204</v>
      </c>
      <c r="F521" s="87" t="s">
        <v>100</v>
      </c>
      <c r="G521" s="397" t="s">
        <v>592</v>
      </c>
      <c r="H521" s="89">
        <v>1</v>
      </c>
      <c r="I521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521" s="88">
        <v>43997</v>
      </c>
      <c r="K521" s="99" t="s">
        <v>461</v>
      </c>
      <c r="L521" s="132" t="s">
        <v>387</v>
      </c>
      <c r="M521" s="99"/>
      <c r="N521" s="90"/>
      <c r="O521" s="255">
        <f>MONTH(LstMachines[[#This Row],[Delivery]])</f>
        <v>6</v>
      </c>
      <c r="P521" s="256" t="str">
        <f>FIXED(YEAR(LstMachines[[#This Row],[Delivery]]),0,TRUE)</f>
        <v>2020</v>
      </c>
      <c r="Q521" s="73"/>
      <c r="R521" s="93"/>
      <c r="S521" s="90"/>
      <c r="T521" s="90"/>
      <c r="U521" s="90" t="s">
        <v>104</v>
      </c>
      <c r="V521" s="72"/>
      <c r="W521" s="99" t="s">
        <v>383</v>
      </c>
      <c r="X521" s="258">
        <f>LstMachines[[#This Row],[Delivery]]</f>
        <v>43997</v>
      </c>
      <c r="Y521" s="258" t="str">
        <f xml:space="preserve"> IF(MONTH(LstMachines[[#This Row],[DateLivr]])&lt;10,"0","") &amp; MONTH(LstMachines[[#This Row],[DateLivr]]) &amp;"-"&amp;YEAR(LstMachines[[#This Row],[DateLivr]])</f>
        <v>06-2020</v>
      </c>
      <c r="Z521" s="258">
        <f>LstMachines[[#This Row],[Delivery]]+Rglt_à_HCME</f>
        <v>44057</v>
      </c>
      <c r="AA521" s="258" t="str">
        <f xml:space="preserve"> IF(MONTH(LstMachines[[#This Row],[DatePaie]])&lt;10,"0","") &amp; MONTH(LstMachines[[#This Row],[DatePaie]])&amp;"-"&amp;YEAR(LstMachines[[#This Row],[DatePaie]])</f>
        <v>08-2020</v>
      </c>
      <c r="AB521" s="258">
        <f>LstMachines[[#This Row],[DateLivr]]+1</f>
        <v>43998</v>
      </c>
      <c r="AC521" s="258" t="str">
        <f xml:space="preserve"> IF(MONTH(LstMachines[[#This Row],[Distrib]])&lt;10,"0","") &amp; MONTH(LstMachines[[#This Row],[Distrib]]) &amp; "-" &amp; YEAR(LstMachines[[#This Row],[Distrib]])</f>
        <v>06-2020</v>
      </c>
      <c r="AD521" s="258">
        <f>LstMachines[[#This Row],[DateLivr]]+Délai_Vente</f>
        <v>44117</v>
      </c>
      <c r="AE521" s="258" t="str">
        <f xml:space="preserve"> IF(MONTH(LstMachines[[#This Row],[VteESM]])&lt;10,"0","") &amp; MONTH(LstMachines[[#This Row],[VteESM]]) &amp; "-" &amp; YEAR(LstMachines[[#This Row],[VteESM]])</f>
        <v>10-2020</v>
      </c>
      <c r="AF521" s="258">
        <f>LstMachines[[#This Row],[DateLivr]]+Rglt_à_ESMTP</f>
        <v>44057</v>
      </c>
      <c r="AG521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21" s="258">
        <f>LstMachines[[#This Row],[VteESM]]+Rglt_à_ESMTP</f>
        <v>44177</v>
      </c>
      <c r="AI521" s="258" t="str">
        <f xml:space="preserve"> IF(MONTH(LstMachines[[#This Row],[RgltVteESM]])&lt;10,"0","") &amp; MONTH(LstMachines[[#This Row],[RgltVteESM]]) &amp; "-" &amp; YEAR(LstMachines[[#This Row],[RgltVteESM]])</f>
        <v>12-2020</v>
      </c>
      <c r="AJ521" s="140">
        <f>MONTH(LstMachines[[#This Row],[DatePaie]])</f>
        <v>8</v>
      </c>
      <c r="AK521" s="88" t="str">
        <f>FIXED(YEAR(LstMachines[[#This Row],[DatePaie]]),0,TRUE)</f>
        <v>2020</v>
      </c>
      <c r="AL521" s="140"/>
      <c r="AM521" s="414"/>
    </row>
    <row r="522" spans="2:39" hidden="1">
      <c r="B522" s="104" t="s">
        <v>262</v>
      </c>
      <c r="C522" s="104" t="s">
        <v>39</v>
      </c>
      <c r="D522" s="87">
        <v>85</v>
      </c>
      <c r="E522" s="86" t="s">
        <v>356</v>
      </c>
      <c r="F522" s="87" t="s">
        <v>100</v>
      </c>
      <c r="G522" s="397" t="s">
        <v>592</v>
      </c>
      <c r="H522" s="89">
        <v>2</v>
      </c>
      <c r="I522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522" s="88">
        <v>43997</v>
      </c>
      <c r="K522" s="99" t="s">
        <v>461</v>
      </c>
      <c r="L522" s="132" t="s">
        <v>387</v>
      </c>
      <c r="M522" s="99"/>
      <c r="N522" s="90"/>
      <c r="O522" s="255">
        <f>MONTH(LstMachines[[#This Row],[Delivery]])</f>
        <v>6</v>
      </c>
      <c r="P522" s="256" t="str">
        <f>FIXED(YEAR(LstMachines[[#This Row],[Delivery]]),0,TRUE)</f>
        <v>2020</v>
      </c>
      <c r="Q522" s="73"/>
      <c r="R522" s="93"/>
      <c r="S522" s="90"/>
      <c r="T522" s="90"/>
      <c r="U522" s="90" t="s">
        <v>104</v>
      </c>
      <c r="V522" s="72"/>
      <c r="W522" s="99" t="s">
        <v>383</v>
      </c>
      <c r="X522" s="258">
        <f>LstMachines[[#This Row],[Delivery]]</f>
        <v>43997</v>
      </c>
      <c r="Y522" s="258" t="str">
        <f xml:space="preserve"> IF(MONTH(LstMachines[[#This Row],[DateLivr]])&lt;10,"0","") &amp; MONTH(LstMachines[[#This Row],[DateLivr]]) &amp;"-"&amp;YEAR(LstMachines[[#This Row],[DateLivr]])</f>
        <v>06-2020</v>
      </c>
      <c r="Z522" s="258">
        <f>LstMachines[[#This Row],[Delivery]]+Rglt_à_HCME</f>
        <v>44057</v>
      </c>
      <c r="AA522" s="258" t="str">
        <f xml:space="preserve"> IF(MONTH(LstMachines[[#This Row],[DatePaie]])&lt;10,"0","") &amp; MONTH(LstMachines[[#This Row],[DatePaie]])&amp;"-"&amp;YEAR(LstMachines[[#This Row],[DatePaie]])</f>
        <v>08-2020</v>
      </c>
      <c r="AB522" s="258">
        <f>LstMachines[[#This Row],[DateLivr]]+1</f>
        <v>43998</v>
      </c>
      <c r="AC522" s="258" t="str">
        <f xml:space="preserve"> IF(MONTH(LstMachines[[#This Row],[Distrib]])&lt;10,"0","") &amp; MONTH(LstMachines[[#This Row],[Distrib]]) &amp; "-" &amp; YEAR(LstMachines[[#This Row],[Distrib]])</f>
        <v>06-2020</v>
      </c>
      <c r="AD522" s="258">
        <f>LstMachines[[#This Row],[DateLivr]]+Délai_Vente</f>
        <v>44117</v>
      </c>
      <c r="AE522" s="258" t="str">
        <f xml:space="preserve"> IF(MONTH(LstMachines[[#This Row],[VteESM]])&lt;10,"0","") &amp; MONTH(LstMachines[[#This Row],[VteESM]]) &amp; "-" &amp; YEAR(LstMachines[[#This Row],[VteESM]])</f>
        <v>10-2020</v>
      </c>
      <c r="AF522" s="258">
        <f>LstMachines[[#This Row],[DateLivr]]+Rglt_à_ESMTP</f>
        <v>44057</v>
      </c>
      <c r="AG522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22" s="258">
        <f>LstMachines[[#This Row],[VteESM]]+Rglt_à_ESMTP</f>
        <v>44177</v>
      </c>
      <c r="AI522" s="258" t="str">
        <f xml:space="preserve"> IF(MONTH(LstMachines[[#This Row],[RgltVteESM]])&lt;10,"0","") &amp; MONTH(LstMachines[[#This Row],[RgltVteESM]]) &amp; "-" &amp; YEAR(LstMachines[[#This Row],[RgltVteESM]])</f>
        <v>12-2020</v>
      </c>
      <c r="AJ522" s="140">
        <f>MONTH(LstMachines[[#This Row],[DatePaie]])</f>
        <v>8</v>
      </c>
      <c r="AK522" s="88" t="str">
        <f>FIXED(YEAR(LstMachines[[#This Row],[DatePaie]]),0,TRUE)</f>
        <v>2020</v>
      </c>
      <c r="AL522" s="140"/>
      <c r="AM522" s="414"/>
    </row>
    <row r="523" spans="2:39" hidden="1">
      <c r="B523" s="104" t="s">
        <v>75</v>
      </c>
      <c r="C523" s="104" t="s">
        <v>37</v>
      </c>
      <c r="D523" s="87">
        <v>48</v>
      </c>
      <c r="E523" s="104" t="s">
        <v>363</v>
      </c>
      <c r="F523" s="87" t="s">
        <v>100</v>
      </c>
      <c r="G523" s="397" t="s">
        <v>592</v>
      </c>
      <c r="H523" s="89">
        <v>4</v>
      </c>
      <c r="I523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164</v>
      </c>
      <c r="J523" s="88">
        <v>43997</v>
      </c>
      <c r="K523" s="99" t="s">
        <v>461</v>
      </c>
      <c r="L523" s="132" t="s">
        <v>387</v>
      </c>
      <c r="M523" s="99"/>
      <c r="N523" s="90"/>
      <c r="O523" s="255">
        <f>MONTH(LstMachines[[#This Row],[Delivery]])</f>
        <v>6</v>
      </c>
      <c r="P523" s="256" t="str">
        <f>FIXED(YEAR(LstMachines[[#This Row],[Delivery]]),0,TRUE)</f>
        <v>2020</v>
      </c>
      <c r="Q523" s="73"/>
      <c r="R523" s="93"/>
      <c r="S523" s="90"/>
      <c r="T523" s="90"/>
      <c r="U523" s="90" t="s">
        <v>104</v>
      </c>
      <c r="V523" s="72"/>
      <c r="W523" s="99" t="s">
        <v>383</v>
      </c>
      <c r="X523" s="258">
        <f>LstMachines[[#This Row],[Delivery]]</f>
        <v>43997</v>
      </c>
      <c r="Y523" s="258" t="str">
        <f xml:space="preserve"> IF(MONTH(LstMachines[[#This Row],[DateLivr]])&lt;10,"0","") &amp; MONTH(LstMachines[[#This Row],[DateLivr]]) &amp;"-"&amp;YEAR(LstMachines[[#This Row],[DateLivr]])</f>
        <v>06-2020</v>
      </c>
      <c r="Z523" s="258">
        <f>LstMachines[[#This Row],[Delivery]]+Rglt_à_HCME</f>
        <v>44057</v>
      </c>
      <c r="AA523" s="258" t="str">
        <f xml:space="preserve"> IF(MONTH(LstMachines[[#This Row],[DatePaie]])&lt;10,"0","") &amp; MONTH(LstMachines[[#This Row],[DatePaie]])&amp;"-"&amp;YEAR(LstMachines[[#This Row],[DatePaie]])</f>
        <v>08-2020</v>
      </c>
      <c r="AB523" s="258">
        <f>LstMachines[[#This Row],[DateLivr]]+1</f>
        <v>43998</v>
      </c>
      <c r="AC523" s="258" t="str">
        <f xml:space="preserve"> IF(MONTH(LstMachines[[#This Row],[Distrib]])&lt;10,"0","") &amp; MONTH(LstMachines[[#This Row],[Distrib]]) &amp; "-" &amp; YEAR(LstMachines[[#This Row],[Distrib]])</f>
        <v>06-2020</v>
      </c>
      <c r="AD523" s="258">
        <f>LstMachines[[#This Row],[DateLivr]]+Délai_Vente</f>
        <v>44117</v>
      </c>
      <c r="AE523" s="258" t="str">
        <f xml:space="preserve"> IF(MONTH(LstMachines[[#This Row],[VteESM]])&lt;10,"0","") &amp; MONTH(LstMachines[[#This Row],[VteESM]]) &amp; "-" &amp; YEAR(LstMachines[[#This Row],[VteESM]])</f>
        <v>10-2020</v>
      </c>
      <c r="AF523" s="258">
        <f>LstMachines[[#This Row],[DateLivr]]+Rglt_à_ESMTP</f>
        <v>44057</v>
      </c>
      <c r="AG523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23" s="258">
        <f>LstMachines[[#This Row],[VteESM]]+Rglt_à_ESMTP</f>
        <v>44177</v>
      </c>
      <c r="AI523" s="258" t="str">
        <f xml:space="preserve"> IF(MONTH(LstMachines[[#This Row],[RgltVteESM]])&lt;10,"0","") &amp; MONTH(LstMachines[[#This Row],[RgltVteESM]]) &amp; "-" &amp; YEAR(LstMachines[[#This Row],[RgltVteESM]])</f>
        <v>12-2020</v>
      </c>
      <c r="AJ523" s="140">
        <f>MONTH(LstMachines[[#This Row],[DatePaie]])</f>
        <v>8</v>
      </c>
      <c r="AK523" s="88" t="str">
        <f>FIXED(YEAR(LstMachines[[#This Row],[DatePaie]]),0,TRUE)</f>
        <v>2020</v>
      </c>
      <c r="AL523" s="140"/>
      <c r="AM523" s="414"/>
    </row>
    <row r="524" spans="2:39" hidden="1">
      <c r="B524" s="104" t="s">
        <v>259</v>
      </c>
      <c r="C524" s="104" t="s">
        <v>49</v>
      </c>
      <c r="D524" s="87">
        <v>310</v>
      </c>
      <c r="E524" s="86" t="s">
        <v>177</v>
      </c>
      <c r="F524" s="87" t="s">
        <v>100</v>
      </c>
      <c r="G524" s="397" t="s">
        <v>592</v>
      </c>
      <c r="H524" s="89">
        <v>1</v>
      </c>
      <c r="I524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180</v>
      </c>
      <c r="J524" s="88">
        <v>43997</v>
      </c>
      <c r="K524" s="99" t="s">
        <v>461</v>
      </c>
      <c r="L524" s="132" t="s">
        <v>387</v>
      </c>
      <c r="M524" s="99"/>
      <c r="N524" s="90"/>
      <c r="O524" s="255">
        <f>MONTH(LstMachines[[#This Row],[Delivery]])</f>
        <v>6</v>
      </c>
      <c r="P524" s="256" t="str">
        <f>FIXED(YEAR(LstMachines[[#This Row],[Delivery]]),0,TRUE)</f>
        <v>2020</v>
      </c>
      <c r="Q524" s="73"/>
      <c r="R524" s="93"/>
      <c r="S524" s="90"/>
      <c r="T524" s="90"/>
      <c r="U524" s="90" t="s">
        <v>104</v>
      </c>
      <c r="V524" s="72"/>
      <c r="W524" s="99" t="s">
        <v>383</v>
      </c>
      <c r="X524" s="258">
        <f>LstMachines[[#This Row],[Delivery]]</f>
        <v>43997</v>
      </c>
      <c r="Y524" s="258" t="str">
        <f xml:space="preserve"> IF(MONTH(LstMachines[[#This Row],[DateLivr]])&lt;10,"0","") &amp; MONTH(LstMachines[[#This Row],[DateLivr]]) &amp;"-"&amp;YEAR(LstMachines[[#This Row],[DateLivr]])</f>
        <v>06-2020</v>
      </c>
      <c r="Z524" s="258">
        <f>LstMachines[[#This Row],[Delivery]]+Rglt_à_HCME</f>
        <v>44057</v>
      </c>
      <c r="AA524" s="258" t="str">
        <f xml:space="preserve"> IF(MONTH(LstMachines[[#This Row],[DatePaie]])&lt;10,"0","") &amp; MONTH(LstMachines[[#This Row],[DatePaie]])&amp;"-"&amp;YEAR(LstMachines[[#This Row],[DatePaie]])</f>
        <v>08-2020</v>
      </c>
      <c r="AB524" s="258">
        <f>LstMachines[[#This Row],[DateLivr]]+1</f>
        <v>43998</v>
      </c>
      <c r="AC524" s="258" t="str">
        <f xml:space="preserve"> IF(MONTH(LstMachines[[#This Row],[Distrib]])&lt;10,"0","") &amp; MONTH(LstMachines[[#This Row],[Distrib]]) &amp; "-" &amp; YEAR(LstMachines[[#This Row],[Distrib]])</f>
        <v>06-2020</v>
      </c>
      <c r="AD524" s="258">
        <f>LstMachines[[#This Row],[DateLivr]]+Délai_Vente</f>
        <v>44117</v>
      </c>
      <c r="AE524" s="258" t="str">
        <f xml:space="preserve"> IF(MONTH(LstMachines[[#This Row],[VteESM]])&lt;10,"0","") &amp; MONTH(LstMachines[[#This Row],[VteESM]]) &amp; "-" &amp; YEAR(LstMachines[[#This Row],[VteESM]])</f>
        <v>10-2020</v>
      </c>
      <c r="AF524" s="258">
        <f>LstMachines[[#This Row],[DateLivr]]+Rglt_à_ESMTP</f>
        <v>44057</v>
      </c>
      <c r="AG524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24" s="258">
        <f>LstMachines[[#This Row],[VteESM]]+Rglt_à_ESMTP</f>
        <v>44177</v>
      </c>
      <c r="AI524" s="258" t="str">
        <f xml:space="preserve"> IF(MONTH(LstMachines[[#This Row],[RgltVteESM]])&lt;10,"0","") &amp; MONTH(LstMachines[[#This Row],[RgltVteESM]]) &amp; "-" &amp; YEAR(LstMachines[[#This Row],[RgltVteESM]])</f>
        <v>12-2020</v>
      </c>
      <c r="AJ524" s="140">
        <f>MONTH(LstMachines[[#This Row],[DatePaie]])</f>
        <v>8</v>
      </c>
      <c r="AK524" s="88" t="str">
        <f>FIXED(YEAR(LstMachines[[#This Row],[DatePaie]]),0,TRUE)</f>
        <v>2020</v>
      </c>
      <c r="AL524" s="140"/>
      <c r="AM524" s="414"/>
    </row>
    <row r="525" spans="2:39" hidden="1">
      <c r="B525" s="104" t="s">
        <v>75</v>
      </c>
      <c r="C525" s="104" t="s">
        <v>38</v>
      </c>
      <c r="D525" s="87">
        <v>65</v>
      </c>
      <c r="E525" s="104" t="s">
        <v>364</v>
      </c>
      <c r="F525" s="87" t="s">
        <v>100</v>
      </c>
      <c r="G525" s="397" t="s">
        <v>592</v>
      </c>
      <c r="H525" s="89">
        <v>4</v>
      </c>
      <c r="I525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180</v>
      </c>
      <c r="J525" s="88">
        <v>43997</v>
      </c>
      <c r="K525" s="99" t="s">
        <v>461</v>
      </c>
      <c r="L525" s="132" t="s">
        <v>387</v>
      </c>
      <c r="M525" s="99"/>
      <c r="N525" s="90"/>
      <c r="O525" s="255">
        <f>MONTH(LstMachines[[#This Row],[Delivery]])</f>
        <v>6</v>
      </c>
      <c r="P525" s="256" t="str">
        <f>FIXED(YEAR(LstMachines[[#This Row],[Delivery]]),0,TRUE)</f>
        <v>2020</v>
      </c>
      <c r="Q525" s="73"/>
      <c r="R525" s="93"/>
      <c r="S525" s="90"/>
      <c r="T525" s="90"/>
      <c r="U525" s="90" t="s">
        <v>104</v>
      </c>
      <c r="V525" s="72"/>
      <c r="W525" s="99" t="s">
        <v>383</v>
      </c>
      <c r="X525" s="258">
        <f>LstMachines[[#This Row],[Delivery]]</f>
        <v>43997</v>
      </c>
      <c r="Y525" s="258" t="str">
        <f xml:space="preserve"> IF(MONTH(LstMachines[[#This Row],[DateLivr]])&lt;10,"0","") &amp; MONTH(LstMachines[[#This Row],[DateLivr]]) &amp;"-"&amp;YEAR(LstMachines[[#This Row],[DateLivr]])</f>
        <v>06-2020</v>
      </c>
      <c r="Z525" s="258">
        <f>LstMachines[[#This Row],[Delivery]]+Rglt_à_HCME</f>
        <v>44057</v>
      </c>
      <c r="AA525" s="258" t="str">
        <f xml:space="preserve"> IF(MONTH(LstMachines[[#This Row],[DatePaie]])&lt;10,"0","") &amp; MONTH(LstMachines[[#This Row],[DatePaie]])&amp;"-"&amp;YEAR(LstMachines[[#This Row],[DatePaie]])</f>
        <v>08-2020</v>
      </c>
      <c r="AB525" s="258">
        <f>LstMachines[[#This Row],[DateLivr]]+1</f>
        <v>43998</v>
      </c>
      <c r="AC525" s="258" t="str">
        <f xml:space="preserve"> IF(MONTH(LstMachines[[#This Row],[Distrib]])&lt;10,"0","") &amp; MONTH(LstMachines[[#This Row],[Distrib]]) &amp; "-" &amp; YEAR(LstMachines[[#This Row],[Distrib]])</f>
        <v>06-2020</v>
      </c>
      <c r="AD525" s="258">
        <f>LstMachines[[#This Row],[DateLivr]]+Délai_Vente</f>
        <v>44117</v>
      </c>
      <c r="AE525" s="258" t="str">
        <f xml:space="preserve"> IF(MONTH(LstMachines[[#This Row],[VteESM]])&lt;10,"0","") &amp; MONTH(LstMachines[[#This Row],[VteESM]]) &amp; "-" &amp; YEAR(LstMachines[[#This Row],[VteESM]])</f>
        <v>10-2020</v>
      </c>
      <c r="AF525" s="258">
        <f>LstMachines[[#This Row],[DateLivr]]+Rglt_à_ESMTP</f>
        <v>44057</v>
      </c>
      <c r="AG525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25" s="258">
        <f>LstMachines[[#This Row],[VteESM]]+Rglt_à_ESMTP</f>
        <v>44177</v>
      </c>
      <c r="AI525" s="258" t="str">
        <f xml:space="preserve"> IF(MONTH(LstMachines[[#This Row],[RgltVteESM]])&lt;10,"0","") &amp; MONTH(LstMachines[[#This Row],[RgltVteESM]]) &amp; "-" &amp; YEAR(LstMachines[[#This Row],[RgltVteESM]])</f>
        <v>12-2020</v>
      </c>
      <c r="AJ525" s="140">
        <f>MONTH(LstMachines[[#This Row],[DatePaie]])</f>
        <v>8</v>
      </c>
      <c r="AK525" s="88" t="str">
        <f>FIXED(YEAR(LstMachines[[#This Row],[DatePaie]]),0,TRUE)</f>
        <v>2020</v>
      </c>
      <c r="AL525" s="140"/>
      <c r="AM525" s="414"/>
    </row>
    <row r="526" spans="2:39" hidden="1">
      <c r="B526" s="104" t="s">
        <v>262</v>
      </c>
      <c r="C526" s="104" t="s">
        <v>47</v>
      </c>
      <c r="D526" s="87">
        <v>490</v>
      </c>
      <c r="E526" s="86" t="s">
        <v>360</v>
      </c>
      <c r="F526" s="87" t="s">
        <v>100</v>
      </c>
      <c r="G526" s="397" t="s">
        <v>592</v>
      </c>
      <c r="H526" s="89">
        <v>3</v>
      </c>
      <c r="I526" s="89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780</v>
      </c>
      <c r="J526" s="88">
        <v>43997</v>
      </c>
      <c r="K526" s="99" t="s">
        <v>461</v>
      </c>
      <c r="L526" s="132" t="s">
        <v>387</v>
      </c>
      <c r="M526" s="99"/>
      <c r="N526" s="90"/>
      <c r="O526" s="255">
        <f>MONTH(LstMachines[[#This Row],[Delivery]])</f>
        <v>6</v>
      </c>
      <c r="P526" s="256" t="str">
        <f>FIXED(YEAR(LstMachines[[#This Row],[Delivery]]),0,TRUE)</f>
        <v>2020</v>
      </c>
      <c r="Q526" s="73"/>
      <c r="R526" s="93"/>
      <c r="S526" s="90"/>
      <c r="T526" s="90"/>
      <c r="U526" s="90" t="s">
        <v>104</v>
      </c>
      <c r="V526" s="72"/>
      <c r="W526" s="99" t="s">
        <v>383</v>
      </c>
      <c r="X526" s="258">
        <f>LstMachines[[#This Row],[Delivery]]</f>
        <v>43997</v>
      </c>
      <c r="Y526" s="258" t="str">
        <f xml:space="preserve"> IF(MONTH(LstMachines[[#This Row],[DateLivr]])&lt;10,"0","") &amp; MONTH(LstMachines[[#This Row],[DateLivr]]) &amp;"-"&amp;YEAR(LstMachines[[#This Row],[DateLivr]])</f>
        <v>06-2020</v>
      </c>
      <c r="Z526" s="258">
        <f>LstMachines[[#This Row],[Delivery]]+Rglt_à_HCME</f>
        <v>44057</v>
      </c>
      <c r="AA526" s="258" t="str">
        <f xml:space="preserve"> IF(MONTH(LstMachines[[#This Row],[DatePaie]])&lt;10,"0","") &amp; MONTH(LstMachines[[#This Row],[DatePaie]])&amp;"-"&amp;YEAR(LstMachines[[#This Row],[DatePaie]])</f>
        <v>08-2020</v>
      </c>
      <c r="AB526" s="258">
        <f>LstMachines[[#This Row],[DateLivr]]+1</f>
        <v>43998</v>
      </c>
      <c r="AC526" s="258" t="str">
        <f xml:space="preserve"> IF(MONTH(LstMachines[[#This Row],[Distrib]])&lt;10,"0","") &amp; MONTH(LstMachines[[#This Row],[Distrib]]) &amp; "-" &amp; YEAR(LstMachines[[#This Row],[Distrib]])</f>
        <v>06-2020</v>
      </c>
      <c r="AD526" s="258">
        <f>LstMachines[[#This Row],[DateLivr]]+Délai_Vente</f>
        <v>44117</v>
      </c>
      <c r="AE526" s="258" t="str">
        <f xml:space="preserve"> IF(MONTH(LstMachines[[#This Row],[VteESM]])&lt;10,"0","") &amp; MONTH(LstMachines[[#This Row],[VteESM]]) &amp; "-" &amp; YEAR(LstMachines[[#This Row],[VteESM]])</f>
        <v>10-2020</v>
      </c>
      <c r="AF526" s="258">
        <f>LstMachines[[#This Row],[DateLivr]]+Rglt_à_ESMTP</f>
        <v>44057</v>
      </c>
      <c r="AG526" s="258" t="str">
        <f xml:space="preserve"> IF(MONTH(LstMachines[[#This Row],[RgltDistrib]])&lt;10,"0","") &amp; MONTH(LstMachines[[#This Row],[RgltDistrib]]) &amp; "-" &amp; YEAR(LstMachines[[#This Row],[RgltDistrib]])</f>
        <v>08-2020</v>
      </c>
      <c r="AH526" s="258">
        <f>LstMachines[[#This Row],[VteESM]]+Rglt_à_ESMTP</f>
        <v>44177</v>
      </c>
      <c r="AI526" s="258" t="str">
        <f xml:space="preserve"> IF(MONTH(LstMachines[[#This Row],[RgltVteESM]])&lt;10,"0","") &amp; MONTH(LstMachines[[#This Row],[RgltVteESM]]) &amp; "-" &amp; YEAR(LstMachines[[#This Row],[RgltVteESM]])</f>
        <v>12-2020</v>
      </c>
      <c r="AJ526" s="140">
        <f>MONTH(LstMachines[[#This Row],[DatePaie]])</f>
        <v>8</v>
      </c>
      <c r="AK526" s="88" t="str">
        <f>FIXED(YEAR(LstMachines[[#This Row],[DatePaie]]),0,TRUE)</f>
        <v>2020</v>
      </c>
      <c r="AL526" s="140"/>
      <c r="AM526" s="414"/>
    </row>
    <row r="527" spans="2:39" hidden="1">
      <c r="B527" s="194" t="s">
        <v>262</v>
      </c>
      <c r="C527" s="194" t="s">
        <v>43</v>
      </c>
      <c r="D527" s="195">
        <v>210</v>
      </c>
      <c r="E527" s="194" t="s">
        <v>89</v>
      </c>
      <c r="F527" s="204" t="s">
        <v>468</v>
      </c>
      <c r="G527" s="401" t="s">
        <v>469</v>
      </c>
      <c r="H527" s="193">
        <v>1</v>
      </c>
      <c r="I527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118</v>
      </c>
      <c r="J527" s="88">
        <v>44012</v>
      </c>
      <c r="K527" s="139" t="s">
        <v>461</v>
      </c>
      <c r="L527" s="198" t="s">
        <v>470</v>
      </c>
      <c r="M527" s="139"/>
      <c r="N527" s="197"/>
      <c r="O527" s="316">
        <f>MONTH(LstMachines[[#This Row],[Delivery]])</f>
        <v>6</v>
      </c>
      <c r="P527" s="196" t="str">
        <f>FIXED(YEAR(LstMachines[[#This Row],[Delivery]]),0,TRUE)</f>
        <v>2020</v>
      </c>
      <c r="Q527" s="205"/>
      <c r="R527" s="241"/>
      <c r="S527" s="197"/>
      <c r="T527" s="197"/>
      <c r="U527" s="197"/>
      <c r="V527" s="193"/>
      <c r="W527" s="139"/>
      <c r="X527" s="197">
        <f>LstMachines[[#This Row],[Delivery]]</f>
        <v>44012</v>
      </c>
      <c r="Y527" s="317" t="str">
        <f xml:space="preserve"> IF(MONTH(LstMachines[[#This Row],[DateLivr]])&lt;10,"0","") &amp; MONTH(LstMachines[[#This Row],[DateLivr]]) &amp;"-"&amp;YEAR(LstMachines[[#This Row],[DateLivr]])</f>
        <v>06-2020</v>
      </c>
      <c r="Z527" s="196">
        <f>LstMachines[[#This Row],[Delivery]]+Rglt_à_HCME</f>
        <v>44072</v>
      </c>
      <c r="AA527" s="317" t="str">
        <f xml:space="preserve"> IF(MONTH(LstMachines[[#This Row],[DatePaie]])&lt;10,"0","") &amp; MONTH(LstMachines[[#This Row],[DatePaie]])&amp;"-"&amp;YEAR(LstMachines[[#This Row],[DatePaie]])</f>
        <v>08-2020</v>
      </c>
      <c r="AB527" s="317">
        <f>LstMachines[[#This Row],[DateLivr]]+1</f>
        <v>44013</v>
      </c>
      <c r="AC527" s="317" t="str">
        <f xml:space="preserve"> IF(MONTH(LstMachines[[#This Row],[Distrib]])&lt;10,"0","") &amp; MONTH(LstMachines[[#This Row],[Distrib]]) &amp; "-" &amp; YEAR(LstMachines[[#This Row],[Distrib]])</f>
        <v>07-2020</v>
      </c>
      <c r="AD527" s="317">
        <f>LstMachines[[#This Row],[DateLivr]]+Délai_Vente</f>
        <v>44132</v>
      </c>
      <c r="AE527" s="317" t="str">
        <f xml:space="preserve"> IF(MONTH(LstMachines[[#This Row],[VteESM]])&lt;10,"0","") &amp; MONTH(LstMachines[[#This Row],[VteESM]]) &amp; "-" &amp; YEAR(LstMachines[[#This Row],[VteESM]])</f>
        <v>10-2020</v>
      </c>
      <c r="AF527" s="317">
        <f>LstMachines[[#This Row],[DateLivr]]+Rglt_à_ESMTP</f>
        <v>44072</v>
      </c>
      <c r="AG527" s="317" t="str">
        <f xml:space="preserve"> IF(MONTH(LstMachines[[#This Row],[RgltDistrib]])&lt;10,"0","") &amp; MONTH(LstMachines[[#This Row],[RgltDistrib]]) &amp; "-" &amp; YEAR(LstMachines[[#This Row],[RgltDistrib]])</f>
        <v>08-2020</v>
      </c>
      <c r="AH527" s="317">
        <f>LstMachines[[#This Row],[VteESM]]+Rglt_à_ESMTP</f>
        <v>44192</v>
      </c>
      <c r="AI527" s="317" t="str">
        <f xml:space="preserve"> IF(MONTH(LstMachines[[#This Row],[RgltVteESM]])&lt;10,"0","") &amp; MONTH(LstMachines[[#This Row],[RgltVteESM]]) &amp; "-" &amp; YEAR(LstMachines[[#This Row],[RgltVteESM]])</f>
        <v>12-2020</v>
      </c>
      <c r="AJ527" s="316">
        <f>MONTH(LstMachines[[#This Row],[DatePaie]])</f>
        <v>8</v>
      </c>
      <c r="AK527" s="196" t="str">
        <f>FIXED(YEAR(LstMachines[[#This Row],[DatePaie]]),0,TRUE)</f>
        <v>2020</v>
      </c>
      <c r="AL527" s="316"/>
      <c r="AM527" s="414"/>
    </row>
    <row r="528" spans="2:39" hidden="1">
      <c r="B528" s="194" t="s">
        <v>75</v>
      </c>
      <c r="C528" s="194" t="s">
        <v>35</v>
      </c>
      <c r="D528" s="195">
        <v>19</v>
      </c>
      <c r="E528" s="194" t="s">
        <v>76</v>
      </c>
      <c r="F528" s="204" t="s">
        <v>468</v>
      </c>
      <c r="G528" s="399" t="s">
        <v>469</v>
      </c>
      <c r="H528" s="193">
        <v>1</v>
      </c>
      <c r="I528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528" s="88">
        <v>44026</v>
      </c>
      <c r="K528" s="139" t="s">
        <v>461</v>
      </c>
      <c r="L528" s="198" t="s">
        <v>470</v>
      </c>
      <c r="M528" s="139"/>
      <c r="N528" s="197"/>
      <c r="O528" s="316">
        <f>MONTH(LstMachines[[#This Row],[Delivery]])</f>
        <v>7</v>
      </c>
      <c r="P528" s="196" t="str">
        <f>FIXED(YEAR(LstMachines[[#This Row],[Delivery]]),0,TRUE)</f>
        <v>2020</v>
      </c>
      <c r="Q528" s="205"/>
      <c r="R528" s="241"/>
      <c r="S528" s="197"/>
      <c r="T528" s="197"/>
      <c r="U528" s="197"/>
      <c r="V528" s="193"/>
      <c r="W528" s="139"/>
      <c r="X528" s="197">
        <f>LstMachines[[#This Row],[Delivery]]</f>
        <v>44026</v>
      </c>
      <c r="Y528" s="317" t="str">
        <f xml:space="preserve"> IF(MONTH(LstMachines[[#This Row],[DateLivr]])&lt;10,"0","") &amp; MONTH(LstMachines[[#This Row],[DateLivr]]) &amp;"-"&amp;YEAR(LstMachines[[#This Row],[DateLivr]])</f>
        <v>07-2020</v>
      </c>
      <c r="Z528" s="196">
        <f>LstMachines[[#This Row],[Delivery]]+Rglt_à_HCME</f>
        <v>44086</v>
      </c>
      <c r="AA528" s="317" t="str">
        <f xml:space="preserve"> IF(MONTH(LstMachines[[#This Row],[DatePaie]])&lt;10,"0","") &amp; MONTH(LstMachines[[#This Row],[DatePaie]])&amp;"-"&amp;YEAR(LstMachines[[#This Row],[DatePaie]])</f>
        <v>09-2020</v>
      </c>
      <c r="AB528" s="317">
        <f>LstMachines[[#This Row],[DateLivr]]+1</f>
        <v>44027</v>
      </c>
      <c r="AC528" s="317" t="str">
        <f xml:space="preserve"> IF(MONTH(LstMachines[[#This Row],[Distrib]])&lt;10,"0","") &amp; MONTH(LstMachines[[#This Row],[Distrib]]) &amp; "-" &amp; YEAR(LstMachines[[#This Row],[Distrib]])</f>
        <v>07-2020</v>
      </c>
      <c r="AD528" s="317">
        <f>LstMachines[[#This Row],[DateLivr]]+Délai_Vente</f>
        <v>44146</v>
      </c>
      <c r="AE528" s="317" t="str">
        <f xml:space="preserve"> IF(MONTH(LstMachines[[#This Row],[VteESM]])&lt;10,"0","") &amp; MONTH(LstMachines[[#This Row],[VteESM]]) &amp; "-" &amp; YEAR(LstMachines[[#This Row],[VteESM]])</f>
        <v>11-2020</v>
      </c>
      <c r="AF528" s="317">
        <f>LstMachines[[#This Row],[DateLivr]]+Rglt_à_ESMTP</f>
        <v>44086</v>
      </c>
      <c r="AG528" s="317" t="str">
        <f xml:space="preserve"> IF(MONTH(LstMachines[[#This Row],[RgltDistrib]])&lt;10,"0","") &amp; MONTH(LstMachines[[#This Row],[RgltDistrib]]) &amp; "-" &amp; YEAR(LstMachines[[#This Row],[RgltDistrib]])</f>
        <v>09-2020</v>
      </c>
      <c r="AH528" s="317">
        <f>LstMachines[[#This Row],[VteESM]]+Rglt_à_ESMTP</f>
        <v>44206</v>
      </c>
      <c r="AI528" s="317" t="str">
        <f xml:space="preserve"> IF(MONTH(LstMachines[[#This Row],[RgltVteESM]])&lt;10,"0","") &amp; MONTH(LstMachines[[#This Row],[RgltVteESM]]) &amp; "-" &amp; YEAR(LstMachines[[#This Row],[RgltVteESM]])</f>
        <v>01-2021</v>
      </c>
      <c r="AJ528" s="316">
        <f>MONTH(LstMachines[[#This Row],[DatePaie]])</f>
        <v>9</v>
      </c>
      <c r="AK528" s="196" t="str">
        <f>FIXED(YEAR(LstMachines[[#This Row],[DatePaie]]),0,TRUE)</f>
        <v>2020</v>
      </c>
      <c r="AL528" s="316"/>
      <c r="AM528" s="414"/>
    </row>
    <row r="529" spans="2:39" hidden="1">
      <c r="B529" s="194" t="s">
        <v>75</v>
      </c>
      <c r="C529" s="194" t="s">
        <v>36</v>
      </c>
      <c r="D529" s="195">
        <v>26</v>
      </c>
      <c r="E529" s="194" t="s">
        <v>355</v>
      </c>
      <c r="F529" s="204" t="s">
        <v>468</v>
      </c>
      <c r="G529" s="89" t="s">
        <v>469</v>
      </c>
      <c r="H529" s="193">
        <v>1</v>
      </c>
      <c r="I529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529" s="88">
        <v>44026</v>
      </c>
      <c r="K529" s="139" t="s">
        <v>461</v>
      </c>
      <c r="L529" s="198" t="s">
        <v>470</v>
      </c>
      <c r="M529" s="139"/>
      <c r="N529" s="197"/>
      <c r="O529" s="316">
        <f>MONTH(LstMachines[[#This Row],[Delivery]])</f>
        <v>7</v>
      </c>
      <c r="P529" s="196" t="str">
        <f>FIXED(YEAR(LstMachines[[#This Row],[Delivery]]),0,TRUE)</f>
        <v>2020</v>
      </c>
      <c r="Q529" s="205"/>
      <c r="R529" s="241"/>
      <c r="S529" s="197"/>
      <c r="T529" s="197"/>
      <c r="U529" s="197"/>
      <c r="V529" s="193"/>
      <c r="W529" s="139"/>
      <c r="X529" s="197">
        <f>LstMachines[[#This Row],[Delivery]]</f>
        <v>44026</v>
      </c>
      <c r="Y529" s="317" t="str">
        <f xml:space="preserve"> IF(MONTH(LstMachines[[#This Row],[DateLivr]])&lt;10,"0","") &amp; MONTH(LstMachines[[#This Row],[DateLivr]]) &amp;"-"&amp;YEAR(LstMachines[[#This Row],[DateLivr]])</f>
        <v>07-2020</v>
      </c>
      <c r="Z529" s="196">
        <f>LstMachines[[#This Row],[Delivery]]+Rglt_à_HCME</f>
        <v>44086</v>
      </c>
      <c r="AA529" s="317" t="str">
        <f xml:space="preserve"> IF(MONTH(LstMachines[[#This Row],[DatePaie]])&lt;10,"0","") &amp; MONTH(LstMachines[[#This Row],[DatePaie]])&amp;"-"&amp;YEAR(LstMachines[[#This Row],[DatePaie]])</f>
        <v>09-2020</v>
      </c>
      <c r="AB529" s="317">
        <f>LstMachines[[#This Row],[DateLivr]]+1</f>
        <v>44027</v>
      </c>
      <c r="AC529" s="317" t="str">
        <f xml:space="preserve"> IF(MONTH(LstMachines[[#This Row],[Distrib]])&lt;10,"0","") &amp; MONTH(LstMachines[[#This Row],[Distrib]]) &amp; "-" &amp; YEAR(LstMachines[[#This Row],[Distrib]])</f>
        <v>07-2020</v>
      </c>
      <c r="AD529" s="317">
        <f>LstMachines[[#This Row],[DateLivr]]+Délai_Vente</f>
        <v>44146</v>
      </c>
      <c r="AE529" s="317" t="str">
        <f xml:space="preserve"> IF(MONTH(LstMachines[[#This Row],[VteESM]])&lt;10,"0","") &amp; MONTH(LstMachines[[#This Row],[VteESM]]) &amp; "-" &amp; YEAR(LstMachines[[#This Row],[VteESM]])</f>
        <v>11-2020</v>
      </c>
      <c r="AF529" s="317">
        <f>LstMachines[[#This Row],[DateLivr]]+Rglt_à_ESMTP</f>
        <v>44086</v>
      </c>
      <c r="AG529" s="317" t="str">
        <f xml:space="preserve"> IF(MONTH(LstMachines[[#This Row],[RgltDistrib]])&lt;10,"0","") &amp; MONTH(LstMachines[[#This Row],[RgltDistrib]]) &amp; "-" &amp; YEAR(LstMachines[[#This Row],[RgltDistrib]])</f>
        <v>09-2020</v>
      </c>
      <c r="AH529" s="317">
        <f>LstMachines[[#This Row],[VteESM]]+Rglt_à_ESMTP</f>
        <v>44206</v>
      </c>
      <c r="AI529" s="317" t="str">
        <f xml:space="preserve"> IF(MONTH(LstMachines[[#This Row],[RgltVteESM]])&lt;10,"0","") &amp; MONTH(LstMachines[[#This Row],[RgltVteESM]]) &amp; "-" &amp; YEAR(LstMachines[[#This Row],[RgltVteESM]])</f>
        <v>01-2021</v>
      </c>
      <c r="AJ529" s="316">
        <f>MONTH(LstMachines[[#This Row],[DatePaie]])</f>
        <v>9</v>
      </c>
      <c r="AK529" s="196" t="str">
        <f>FIXED(YEAR(LstMachines[[#This Row],[DatePaie]]),0,TRUE)</f>
        <v>2020</v>
      </c>
      <c r="AL529" s="316"/>
      <c r="AM529" s="414"/>
    </row>
    <row r="530" spans="2:39" hidden="1">
      <c r="B530" s="194" t="s">
        <v>75</v>
      </c>
      <c r="C530" s="194" t="s">
        <v>38</v>
      </c>
      <c r="D530" s="195">
        <v>65</v>
      </c>
      <c r="E530" s="194" t="s">
        <v>364</v>
      </c>
      <c r="F530" s="204" t="s">
        <v>468</v>
      </c>
      <c r="G530" s="89" t="s">
        <v>469</v>
      </c>
      <c r="H530" s="193">
        <v>1</v>
      </c>
      <c r="I530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530" s="88">
        <v>44026</v>
      </c>
      <c r="K530" s="139" t="s">
        <v>461</v>
      </c>
      <c r="L530" s="198" t="s">
        <v>470</v>
      </c>
      <c r="M530" s="139"/>
      <c r="N530" s="197"/>
      <c r="O530" s="316">
        <f>MONTH(LstMachines[[#This Row],[Delivery]])</f>
        <v>7</v>
      </c>
      <c r="P530" s="196" t="str">
        <f>FIXED(YEAR(LstMachines[[#This Row],[Delivery]]),0,TRUE)</f>
        <v>2020</v>
      </c>
      <c r="Q530" s="205"/>
      <c r="R530" s="241"/>
      <c r="S530" s="197"/>
      <c r="T530" s="197"/>
      <c r="U530" s="197"/>
      <c r="V530" s="193"/>
      <c r="W530" s="139"/>
      <c r="X530" s="197">
        <f>LstMachines[[#This Row],[Delivery]]</f>
        <v>44026</v>
      </c>
      <c r="Y530" s="317" t="str">
        <f xml:space="preserve"> IF(MONTH(LstMachines[[#This Row],[DateLivr]])&lt;10,"0","") &amp; MONTH(LstMachines[[#This Row],[DateLivr]]) &amp;"-"&amp;YEAR(LstMachines[[#This Row],[DateLivr]])</f>
        <v>07-2020</v>
      </c>
      <c r="Z530" s="196">
        <f>LstMachines[[#This Row],[Delivery]]+Rglt_à_HCME</f>
        <v>44086</v>
      </c>
      <c r="AA530" s="317" t="str">
        <f xml:space="preserve"> IF(MONTH(LstMachines[[#This Row],[DatePaie]])&lt;10,"0","") &amp; MONTH(LstMachines[[#This Row],[DatePaie]])&amp;"-"&amp;YEAR(LstMachines[[#This Row],[DatePaie]])</f>
        <v>09-2020</v>
      </c>
      <c r="AB530" s="317">
        <f>LstMachines[[#This Row],[DateLivr]]+1</f>
        <v>44027</v>
      </c>
      <c r="AC530" s="317" t="str">
        <f xml:space="preserve"> IF(MONTH(LstMachines[[#This Row],[Distrib]])&lt;10,"0","") &amp; MONTH(LstMachines[[#This Row],[Distrib]]) &amp; "-" &amp; YEAR(LstMachines[[#This Row],[Distrib]])</f>
        <v>07-2020</v>
      </c>
      <c r="AD530" s="317">
        <f>LstMachines[[#This Row],[DateLivr]]+Délai_Vente</f>
        <v>44146</v>
      </c>
      <c r="AE530" s="317" t="str">
        <f xml:space="preserve"> IF(MONTH(LstMachines[[#This Row],[VteESM]])&lt;10,"0","") &amp; MONTH(LstMachines[[#This Row],[VteESM]]) &amp; "-" &amp; YEAR(LstMachines[[#This Row],[VteESM]])</f>
        <v>11-2020</v>
      </c>
      <c r="AF530" s="317">
        <f>LstMachines[[#This Row],[DateLivr]]+Rglt_à_ESMTP</f>
        <v>44086</v>
      </c>
      <c r="AG530" s="317" t="str">
        <f xml:space="preserve"> IF(MONTH(LstMachines[[#This Row],[RgltDistrib]])&lt;10,"0","") &amp; MONTH(LstMachines[[#This Row],[RgltDistrib]]) &amp; "-" &amp; YEAR(LstMachines[[#This Row],[RgltDistrib]])</f>
        <v>09-2020</v>
      </c>
      <c r="AH530" s="317">
        <f>LstMachines[[#This Row],[VteESM]]+Rglt_à_ESMTP</f>
        <v>44206</v>
      </c>
      <c r="AI530" s="317" t="str">
        <f xml:space="preserve"> IF(MONTH(LstMachines[[#This Row],[RgltVteESM]])&lt;10,"0","") &amp; MONTH(LstMachines[[#This Row],[RgltVteESM]]) &amp; "-" &amp; YEAR(LstMachines[[#This Row],[RgltVteESM]])</f>
        <v>01-2021</v>
      </c>
      <c r="AJ530" s="316">
        <f>MONTH(LstMachines[[#This Row],[DatePaie]])</f>
        <v>9</v>
      </c>
      <c r="AK530" s="196" t="str">
        <f>FIXED(YEAR(LstMachines[[#This Row],[DatePaie]]),0,TRUE)</f>
        <v>2020</v>
      </c>
      <c r="AL530" s="316"/>
      <c r="AM530" s="414"/>
    </row>
    <row r="531" spans="2:39" hidden="1">
      <c r="B531" s="194" t="s">
        <v>262</v>
      </c>
      <c r="C531" s="194" t="s">
        <v>39</v>
      </c>
      <c r="D531" s="195">
        <v>85</v>
      </c>
      <c r="E531" s="194" t="s">
        <v>356</v>
      </c>
      <c r="F531" s="204" t="s">
        <v>468</v>
      </c>
      <c r="G531" s="204" t="s">
        <v>469</v>
      </c>
      <c r="H531" s="193">
        <v>1</v>
      </c>
      <c r="I531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531" s="88">
        <v>44026</v>
      </c>
      <c r="K531" s="139" t="s">
        <v>461</v>
      </c>
      <c r="L531" s="198" t="s">
        <v>470</v>
      </c>
      <c r="M531" s="139"/>
      <c r="N531" s="197"/>
      <c r="O531" s="316">
        <f>MONTH(LstMachines[[#This Row],[Delivery]])</f>
        <v>7</v>
      </c>
      <c r="P531" s="196" t="str">
        <f>FIXED(YEAR(LstMachines[[#This Row],[Delivery]]),0,TRUE)</f>
        <v>2020</v>
      </c>
      <c r="Q531" s="205"/>
      <c r="R531" s="241"/>
      <c r="S531" s="197"/>
      <c r="T531" s="197"/>
      <c r="U531" s="197"/>
      <c r="V531" s="193"/>
      <c r="W531" s="139"/>
      <c r="X531" s="197">
        <f>LstMachines[[#This Row],[Delivery]]</f>
        <v>44026</v>
      </c>
      <c r="Y531" s="317" t="str">
        <f xml:space="preserve"> IF(MONTH(LstMachines[[#This Row],[DateLivr]])&lt;10,"0","") &amp; MONTH(LstMachines[[#This Row],[DateLivr]]) &amp;"-"&amp;YEAR(LstMachines[[#This Row],[DateLivr]])</f>
        <v>07-2020</v>
      </c>
      <c r="Z531" s="196">
        <f>LstMachines[[#This Row],[Delivery]]+Rglt_à_HCME</f>
        <v>44086</v>
      </c>
      <c r="AA531" s="317" t="str">
        <f xml:space="preserve"> IF(MONTH(LstMachines[[#This Row],[DatePaie]])&lt;10,"0","") &amp; MONTH(LstMachines[[#This Row],[DatePaie]])&amp;"-"&amp;YEAR(LstMachines[[#This Row],[DatePaie]])</f>
        <v>09-2020</v>
      </c>
      <c r="AB531" s="317">
        <f>LstMachines[[#This Row],[DateLivr]]+1</f>
        <v>44027</v>
      </c>
      <c r="AC531" s="317" t="str">
        <f xml:space="preserve"> IF(MONTH(LstMachines[[#This Row],[Distrib]])&lt;10,"0","") &amp; MONTH(LstMachines[[#This Row],[Distrib]]) &amp; "-" &amp; YEAR(LstMachines[[#This Row],[Distrib]])</f>
        <v>07-2020</v>
      </c>
      <c r="AD531" s="317">
        <f>LstMachines[[#This Row],[DateLivr]]+Délai_Vente</f>
        <v>44146</v>
      </c>
      <c r="AE531" s="317" t="str">
        <f xml:space="preserve"> IF(MONTH(LstMachines[[#This Row],[VteESM]])&lt;10,"0","") &amp; MONTH(LstMachines[[#This Row],[VteESM]]) &amp; "-" &amp; YEAR(LstMachines[[#This Row],[VteESM]])</f>
        <v>11-2020</v>
      </c>
      <c r="AF531" s="317">
        <f>LstMachines[[#This Row],[DateLivr]]+Rglt_à_ESMTP</f>
        <v>44086</v>
      </c>
      <c r="AG531" s="317" t="str">
        <f xml:space="preserve"> IF(MONTH(LstMachines[[#This Row],[RgltDistrib]])&lt;10,"0","") &amp; MONTH(LstMachines[[#This Row],[RgltDistrib]]) &amp; "-" &amp; YEAR(LstMachines[[#This Row],[RgltDistrib]])</f>
        <v>09-2020</v>
      </c>
      <c r="AH531" s="317">
        <f>LstMachines[[#This Row],[VteESM]]+Rglt_à_ESMTP</f>
        <v>44206</v>
      </c>
      <c r="AI531" s="317" t="str">
        <f xml:space="preserve"> IF(MONTH(LstMachines[[#This Row],[RgltVteESM]])&lt;10,"0","") &amp; MONTH(LstMachines[[#This Row],[RgltVteESM]]) &amp; "-" &amp; YEAR(LstMachines[[#This Row],[RgltVteESM]])</f>
        <v>01-2021</v>
      </c>
      <c r="AJ531" s="316">
        <f>MONTH(LstMachines[[#This Row],[DatePaie]])</f>
        <v>9</v>
      </c>
      <c r="AK531" s="196" t="str">
        <f>FIXED(YEAR(LstMachines[[#This Row],[DatePaie]]),0,TRUE)</f>
        <v>2020</v>
      </c>
      <c r="AL531" s="316"/>
      <c r="AM531" s="414"/>
    </row>
    <row r="532" spans="2:39" hidden="1">
      <c r="B532" s="194" t="s">
        <v>262</v>
      </c>
      <c r="C532" s="194" t="s">
        <v>39</v>
      </c>
      <c r="D532" s="195">
        <v>85</v>
      </c>
      <c r="E532" s="194" t="s">
        <v>356</v>
      </c>
      <c r="F532" s="204" t="s">
        <v>468</v>
      </c>
      <c r="G532" s="204" t="s">
        <v>469</v>
      </c>
      <c r="H532" s="193">
        <v>1</v>
      </c>
      <c r="I532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532" s="88">
        <v>44026</v>
      </c>
      <c r="K532" s="139" t="s">
        <v>461</v>
      </c>
      <c r="L532" s="198" t="s">
        <v>470</v>
      </c>
      <c r="M532" s="139"/>
      <c r="N532" s="197"/>
      <c r="O532" s="316">
        <f>MONTH(LstMachines[[#This Row],[Delivery]])</f>
        <v>7</v>
      </c>
      <c r="P532" s="196" t="str">
        <f>FIXED(YEAR(LstMachines[[#This Row],[Delivery]]),0,TRUE)</f>
        <v>2020</v>
      </c>
      <c r="Q532" s="205"/>
      <c r="R532" s="241"/>
      <c r="S532" s="197"/>
      <c r="T532" s="197"/>
      <c r="U532" s="197"/>
      <c r="V532" s="193"/>
      <c r="W532" s="139"/>
      <c r="X532" s="197">
        <f>LstMachines[[#This Row],[Delivery]]</f>
        <v>44026</v>
      </c>
      <c r="Y532" s="317" t="str">
        <f xml:space="preserve"> IF(MONTH(LstMachines[[#This Row],[DateLivr]])&lt;10,"0","") &amp; MONTH(LstMachines[[#This Row],[DateLivr]]) &amp;"-"&amp;YEAR(LstMachines[[#This Row],[DateLivr]])</f>
        <v>07-2020</v>
      </c>
      <c r="Z532" s="196">
        <f>LstMachines[[#This Row],[Delivery]]+Rglt_à_HCME</f>
        <v>44086</v>
      </c>
      <c r="AA532" s="317" t="str">
        <f xml:space="preserve"> IF(MONTH(LstMachines[[#This Row],[DatePaie]])&lt;10,"0","") &amp; MONTH(LstMachines[[#This Row],[DatePaie]])&amp;"-"&amp;YEAR(LstMachines[[#This Row],[DatePaie]])</f>
        <v>09-2020</v>
      </c>
      <c r="AB532" s="317">
        <f>LstMachines[[#This Row],[DateLivr]]+1</f>
        <v>44027</v>
      </c>
      <c r="AC532" s="317" t="str">
        <f xml:space="preserve"> IF(MONTH(LstMachines[[#This Row],[Distrib]])&lt;10,"0","") &amp; MONTH(LstMachines[[#This Row],[Distrib]]) &amp; "-" &amp; YEAR(LstMachines[[#This Row],[Distrib]])</f>
        <v>07-2020</v>
      </c>
      <c r="AD532" s="317">
        <f>LstMachines[[#This Row],[DateLivr]]+Délai_Vente</f>
        <v>44146</v>
      </c>
      <c r="AE532" s="317" t="str">
        <f xml:space="preserve"> IF(MONTH(LstMachines[[#This Row],[VteESM]])&lt;10,"0","") &amp; MONTH(LstMachines[[#This Row],[VteESM]]) &amp; "-" &amp; YEAR(LstMachines[[#This Row],[VteESM]])</f>
        <v>11-2020</v>
      </c>
      <c r="AF532" s="317">
        <f>LstMachines[[#This Row],[DateLivr]]+Rglt_à_ESMTP</f>
        <v>44086</v>
      </c>
      <c r="AG532" s="317" t="str">
        <f xml:space="preserve"> IF(MONTH(LstMachines[[#This Row],[RgltDistrib]])&lt;10,"0","") &amp; MONTH(LstMachines[[#This Row],[RgltDistrib]]) &amp; "-" &amp; YEAR(LstMachines[[#This Row],[RgltDistrib]])</f>
        <v>09-2020</v>
      </c>
      <c r="AH532" s="317">
        <f>LstMachines[[#This Row],[VteESM]]+Rglt_à_ESMTP</f>
        <v>44206</v>
      </c>
      <c r="AI532" s="317" t="str">
        <f xml:space="preserve"> IF(MONTH(LstMachines[[#This Row],[RgltVteESM]])&lt;10,"0","") &amp; MONTH(LstMachines[[#This Row],[RgltVteESM]]) &amp; "-" &amp; YEAR(LstMachines[[#This Row],[RgltVteESM]])</f>
        <v>01-2021</v>
      </c>
      <c r="AJ532" s="316">
        <f>MONTH(LstMachines[[#This Row],[DatePaie]])</f>
        <v>9</v>
      </c>
      <c r="AK532" s="196" t="str">
        <f>FIXED(YEAR(LstMachines[[#This Row],[DatePaie]]),0,TRUE)</f>
        <v>2020</v>
      </c>
      <c r="AL532" s="316"/>
      <c r="AM532" s="414"/>
    </row>
    <row r="533" spans="2:39" hidden="1">
      <c r="B533" s="194" t="s">
        <v>262</v>
      </c>
      <c r="C533" s="194" t="s">
        <v>44</v>
      </c>
      <c r="D533" s="195">
        <v>225</v>
      </c>
      <c r="E533" s="194" t="s">
        <v>204</v>
      </c>
      <c r="F533" s="204" t="s">
        <v>468</v>
      </c>
      <c r="G533" s="204" t="s">
        <v>469</v>
      </c>
      <c r="H533" s="193">
        <v>1</v>
      </c>
      <c r="I533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533" s="88">
        <v>44026</v>
      </c>
      <c r="K533" s="139" t="s">
        <v>461</v>
      </c>
      <c r="L533" s="198" t="s">
        <v>470</v>
      </c>
      <c r="M533" s="139"/>
      <c r="N533" s="197"/>
      <c r="O533" s="316">
        <f>MONTH(LstMachines[[#This Row],[Delivery]])</f>
        <v>7</v>
      </c>
      <c r="P533" s="196" t="str">
        <f>FIXED(YEAR(LstMachines[[#This Row],[Delivery]]),0,TRUE)</f>
        <v>2020</v>
      </c>
      <c r="Q533" s="205"/>
      <c r="R533" s="241"/>
      <c r="S533" s="197"/>
      <c r="T533" s="197"/>
      <c r="U533" s="197"/>
      <c r="V533" s="193"/>
      <c r="W533" s="139"/>
      <c r="X533" s="197">
        <f>LstMachines[[#This Row],[Delivery]]</f>
        <v>44026</v>
      </c>
      <c r="Y533" s="317" t="str">
        <f xml:space="preserve"> IF(MONTH(LstMachines[[#This Row],[DateLivr]])&lt;10,"0","") &amp; MONTH(LstMachines[[#This Row],[DateLivr]]) &amp;"-"&amp;YEAR(LstMachines[[#This Row],[DateLivr]])</f>
        <v>07-2020</v>
      </c>
      <c r="Z533" s="196">
        <f>LstMachines[[#This Row],[Delivery]]+Rglt_à_HCME</f>
        <v>44086</v>
      </c>
      <c r="AA533" s="317" t="str">
        <f xml:space="preserve"> IF(MONTH(LstMachines[[#This Row],[DatePaie]])&lt;10,"0","") &amp; MONTH(LstMachines[[#This Row],[DatePaie]])&amp;"-"&amp;YEAR(LstMachines[[#This Row],[DatePaie]])</f>
        <v>09-2020</v>
      </c>
      <c r="AB533" s="317">
        <f>LstMachines[[#This Row],[DateLivr]]+1</f>
        <v>44027</v>
      </c>
      <c r="AC533" s="317" t="str">
        <f xml:space="preserve"> IF(MONTH(LstMachines[[#This Row],[Distrib]])&lt;10,"0","") &amp; MONTH(LstMachines[[#This Row],[Distrib]]) &amp; "-" &amp; YEAR(LstMachines[[#This Row],[Distrib]])</f>
        <v>07-2020</v>
      </c>
      <c r="AD533" s="317">
        <f>LstMachines[[#This Row],[DateLivr]]+Délai_Vente</f>
        <v>44146</v>
      </c>
      <c r="AE533" s="317" t="str">
        <f xml:space="preserve"> IF(MONTH(LstMachines[[#This Row],[VteESM]])&lt;10,"0","") &amp; MONTH(LstMachines[[#This Row],[VteESM]]) &amp; "-" &amp; YEAR(LstMachines[[#This Row],[VteESM]])</f>
        <v>11-2020</v>
      </c>
      <c r="AF533" s="317">
        <f>LstMachines[[#This Row],[DateLivr]]+Rglt_à_ESMTP</f>
        <v>44086</v>
      </c>
      <c r="AG533" s="317" t="str">
        <f xml:space="preserve"> IF(MONTH(LstMachines[[#This Row],[RgltDistrib]])&lt;10,"0","") &amp; MONTH(LstMachines[[#This Row],[RgltDistrib]]) &amp; "-" &amp; YEAR(LstMachines[[#This Row],[RgltDistrib]])</f>
        <v>09-2020</v>
      </c>
      <c r="AH533" s="317">
        <f>LstMachines[[#This Row],[VteESM]]+Rglt_à_ESMTP</f>
        <v>44206</v>
      </c>
      <c r="AI533" s="317" t="str">
        <f xml:space="preserve"> IF(MONTH(LstMachines[[#This Row],[RgltVteESM]])&lt;10,"0","") &amp; MONTH(LstMachines[[#This Row],[RgltVteESM]]) &amp; "-" &amp; YEAR(LstMachines[[#This Row],[RgltVteESM]])</f>
        <v>01-2021</v>
      </c>
      <c r="AJ533" s="316">
        <f>MONTH(LstMachines[[#This Row],[DatePaie]])</f>
        <v>9</v>
      </c>
      <c r="AK533" s="196" t="str">
        <f>FIXED(YEAR(LstMachines[[#This Row],[DatePaie]]),0,TRUE)</f>
        <v>2020</v>
      </c>
      <c r="AL533" s="316"/>
      <c r="AM533" s="414"/>
    </row>
    <row r="534" spans="2:39" hidden="1">
      <c r="B534" s="194" t="s">
        <v>75</v>
      </c>
      <c r="C534" s="194" t="s">
        <v>35</v>
      </c>
      <c r="D534" s="195">
        <v>19</v>
      </c>
      <c r="E534" s="194" t="s">
        <v>76</v>
      </c>
      <c r="F534" s="204" t="s">
        <v>468</v>
      </c>
      <c r="G534" s="89" t="s">
        <v>469</v>
      </c>
      <c r="H534" s="193">
        <v>1</v>
      </c>
      <c r="I534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534" s="88">
        <v>44057</v>
      </c>
      <c r="K534" s="139" t="s">
        <v>461</v>
      </c>
      <c r="L534" s="198" t="s">
        <v>470</v>
      </c>
      <c r="M534" s="139"/>
      <c r="N534" s="197"/>
      <c r="O534" s="316">
        <f>MONTH(LstMachines[[#This Row],[Delivery]])</f>
        <v>8</v>
      </c>
      <c r="P534" s="196" t="str">
        <f>FIXED(YEAR(LstMachines[[#This Row],[Delivery]]),0,TRUE)</f>
        <v>2020</v>
      </c>
      <c r="Q534" s="205"/>
      <c r="R534" s="241"/>
      <c r="S534" s="197"/>
      <c r="T534" s="197"/>
      <c r="U534" s="197"/>
      <c r="V534" s="193"/>
      <c r="W534" s="139"/>
      <c r="X534" s="197">
        <f>LstMachines[[#This Row],[Delivery]]</f>
        <v>44057</v>
      </c>
      <c r="Y534" s="317" t="str">
        <f xml:space="preserve"> IF(MONTH(LstMachines[[#This Row],[DateLivr]])&lt;10,"0","") &amp; MONTH(LstMachines[[#This Row],[DateLivr]]) &amp;"-"&amp;YEAR(LstMachines[[#This Row],[DateLivr]])</f>
        <v>08-2020</v>
      </c>
      <c r="Z534" s="196">
        <f>LstMachines[[#This Row],[Delivery]]+Rglt_à_HCME</f>
        <v>44117</v>
      </c>
      <c r="AA534" s="317" t="str">
        <f xml:space="preserve"> IF(MONTH(LstMachines[[#This Row],[DatePaie]])&lt;10,"0","") &amp; MONTH(LstMachines[[#This Row],[DatePaie]])&amp;"-"&amp;YEAR(LstMachines[[#This Row],[DatePaie]])</f>
        <v>10-2020</v>
      </c>
      <c r="AB534" s="317">
        <f>LstMachines[[#This Row],[DateLivr]]+1</f>
        <v>44058</v>
      </c>
      <c r="AC534" s="317" t="str">
        <f xml:space="preserve"> IF(MONTH(LstMachines[[#This Row],[Distrib]])&lt;10,"0","") &amp; MONTH(LstMachines[[#This Row],[Distrib]]) &amp; "-" &amp; YEAR(LstMachines[[#This Row],[Distrib]])</f>
        <v>08-2020</v>
      </c>
      <c r="AD534" s="317">
        <f>LstMachines[[#This Row],[DateLivr]]+Délai_Vente</f>
        <v>44177</v>
      </c>
      <c r="AE534" s="317" t="str">
        <f xml:space="preserve"> IF(MONTH(LstMachines[[#This Row],[VteESM]])&lt;10,"0","") &amp; MONTH(LstMachines[[#This Row],[VteESM]]) &amp; "-" &amp; YEAR(LstMachines[[#This Row],[VteESM]])</f>
        <v>12-2020</v>
      </c>
      <c r="AF534" s="317">
        <f>LstMachines[[#This Row],[DateLivr]]+Rglt_à_ESMTP</f>
        <v>44117</v>
      </c>
      <c r="AG534" s="317" t="str">
        <f xml:space="preserve"> IF(MONTH(LstMachines[[#This Row],[RgltDistrib]])&lt;10,"0","") &amp; MONTH(LstMachines[[#This Row],[RgltDistrib]]) &amp; "-" &amp; YEAR(LstMachines[[#This Row],[RgltDistrib]])</f>
        <v>10-2020</v>
      </c>
      <c r="AH534" s="317">
        <f>LstMachines[[#This Row],[VteESM]]+Rglt_à_ESMTP</f>
        <v>44237</v>
      </c>
      <c r="AI534" s="317" t="str">
        <f xml:space="preserve"> IF(MONTH(LstMachines[[#This Row],[RgltVteESM]])&lt;10,"0","") &amp; MONTH(LstMachines[[#This Row],[RgltVteESM]]) &amp; "-" &amp; YEAR(LstMachines[[#This Row],[RgltVteESM]])</f>
        <v>02-2021</v>
      </c>
      <c r="AJ534" s="316">
        <f>MONTH(LstMachines[[#This Row],[DatePaie]])</f>
        <v>10</v>
      </c>
      <c r="AK534" s="196" t="str">
        <f>FIXED(YEAR(LstMachines[[#This Row],[DatePaie]]),0,TRUE)</f>
        <v>2020</v>
      </c>
      <c r="AL534" s="316"/>
      <c r="AM534" s="414"/>
    </row>
    <row r="535" spans="2:39" hidden="1">
      <c r="B535" s="194" t="s">
        <v>75</v>
      </c>
      <c r="C535" s="194" t="s">
        <v>36</v>
      </c>
      <c r="D535" s="195">
        <v>26</v>
      </c>
      <c r="E535" s="194" t="s">
        <v>355</v>
      </c>
      <c r="F535" s="204" t="s">
        <v>468</v>
      </c>
      <c r="G535" s="89" t="s">
        <v>469</v>
      </c>
      <c r="H535" s="193">
        <v>1</v>
      </c>
      <c r="I535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535" s="88">
        <v>44057</v>
      </c>
      <c r="K535" s="139" t="s">
        <v>461</v>
      </c>
      <c r="L535" s="198" t="s">
        <v>470</v>
      </c>
      <c r="M535" s="139"/>
      <c r="N535" s="197"/>
      <c r="O535" s="316">
        <f>MONTH(LstMachines[[#This Row],[Delivery]])</f>
        <v>8</v>
      </c>
      <c r="P535" s="196" t="str">
        <f>FIXED(YEAR(LstMachines[[#This Row],[Delivery]]),0,TRUE)</f>
        <v>2020</v>
      </c>
      <c r="Q535" s="205"/>
      <c r="R535" s="241"/>
      <c r="S535" s="197"/>
      <c r="T535" s="197"/>
      <c r="U535" s="197"/>
      <c r="V535" s="193"/>
      <c r="W535" s="139"/>
      <c r="X535" s="197">
        <f>LstMachines[[#This Row],[Delivery]]</f>
        <v>44057</v>
      </c>
      <c r="Y535" s="317" t="str">
        <f xml:space="preserve"> IF(MONTH(LstMachines[[#This Row],[DateLivr]])&lt;10,"0","") &amp; MONTH(LstMachines[[#This Row],[DateLivr]]) &amp;"-"&amp;YEAR(LstMachines[[#This Row],[DateLivr]])</f>
        <v>08-2020</v>
      </c>
      <c r="Z535" s="196">
        <f>LstMachines[[#This Row],[Delivery]]+Rglt_à_HCME</f>
        <v>44117</v>
      </c>
      <c r="AA535" s="317" t="str">
        <f xml:space="preserve"> IF(MONTH(LstMachines[[#This Row],[DatePaie]])&lt;10,"0","") &amp; MONTH(LstMachines[[#This Row],[DatePaie]])&amp;"-"&amp;YEAR(LstMachines[[#This Row],[DatePaie]])</f>
        <v>10-2020</v>
      </c>
      <c r="AB535" s="317">
        <f>LstMachines[[#This Row],[DateLivr]]+1</f>
        <v>44058</v>
      </c>
      <c r="AC535" s="317" t="str">
        <f xml:space="preserve"> IF(MONTH(LstMachines[[#This Row],[Distrib]])&lt;10,"0","") &amp; MONTH(LstMachines[[#This Row],[Distrib]]) &amp; "-" &amp; YEAR(LstMachines[[#This Row],[Distrib]])</f>
        <v>08-2020</v>
      </c>
      <c r="AD535" s="317">
        <f>LstMachines[[#This Row],[DateLivr]]+Délai_Vente</f>
        <v>44177</v>
      </c>
      <c r="AE535" s="317" t="str">
        <f xml:space="preserve"> IF(MONTH(LstMachines[[#This Row],[VteESM]])&lt;10,"0","") &amp; MONTH(LstMachines[[#This Row],[VteESM]]) &amp; "-" &amp; YEAR(LstMachines[[#This Row],[VteESM]])</f>
        <v>12-2020</v>
      </c>
      <c r="AF535" s="317">
        <f>LstMachines[[#This Row],[DateLivr]]+Rglt_à_ESMTP</f>
        <v>44117</v>
      </c>
      <c r="AG535" s="317" t="str">
        <f xml:space="preserve"> IF(MONTH(LstMachines[[#This Row],[RgltDistrib]])&lt;10,"0","") &amp; MONTH(LstMachines[[#This Row],[RgltDistrib]]) &amp; "-" &amp; YEAR(LstMachines[[#This Row],[RgltDistrib]])</f>
        <v>10-2020</v>
      </c>
      <c r="AH535" s="317">
        <f>LstMachines[[#This Row],[VteESM]]+Rglt_à_ESMTP</f>
        <v>44237</v>
      </c>
      <c r="AI535" s="317" t="str">
        <f xml:space="preserve"> IF(MONTH(LstMachines[[#This Row],[RgltVteESM]])&lt;10,"0","") &amp; MONTH(LstMachines[[#This Row],[RgltVteESM]]) &amp; "-" &amp; YEAR(LstMachines[[#This Row],[RgltVteESM]])</f>
        <v>02-2021</v>
      </c>
      <c r="AJ535" s="316">
        <f>MONTH(LstMachines[[#This Row],[DatePaie]])</f>
        <v>10</v>
      </c>
      <c r="AK535" s="196" t="str">
        <f>FIXED(YEAR(LstMachines[[#This Row],[DatePaie]]),0,TRUE)</f>
        <v>2020</v>
      </c>
      <c r="AL535" s="316"/>
      <c r="AM535" s="414"/>
    </row>
    <row r="536" spans="2:39" hidden="1">
      <c r="B536" s="194" t="s">
        <v>262</v>
      </c>
      <c r="C536" s="194" t="s">
        <v>39</v>
      </c>
      <c r="D536" s="195">
        <v>85</v>
      </c>
      <c r="E536" s="194" t="s">
        <v>356</v>
      </c>
      <c r="F536" s="204" t="s">
        <v>468</v>
      </c>
      <c r="G536" s="204" t="s">
        <v>469</v>
      </c>
      <c r="H536" s="193">
        <v>1</v>
      </c>
      <c r="I536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536" s="88">
        <v>44057</v>
      </c>
      <c r="K536" s="139" t="s">
        <v>461</v>
      </c>
      <c r="L536" s="198" t="s">
        <v>470</v>
      </c>
      <c r="M536" s="139"/>
      <c r="N536" s="197"/>
      <c r="O536" s="316">
        <f>MONTH(LstMachines[[#This Row],[Delivery]])</f>
        <v>8</v>
      </c>
      <c r="P536" s="196" t="str">
        <f>FIXED(YEAR(LstMachines[[#This Row],[Delivery]]),0,TRUE)</f>
        <v>2020</v>
      </c>
      <c r="Q536" s="205"/>
      <c r="R536" s="241"/>
      <c r="S536" s="197"/>
      <c r="T536" s="197"/>
      <c r="U536" s="197"/>
      <c r="V536" s="193"/>
      <c r="W536" s="139"/>
      <c r="X536" s="197">
        <f>LstMachines[[#This Row],[Delivery]]</f>
        <v>44057</v>
      </c>
      <c r="Y536" s="317" t="str">
        <f xml:space="preserve"> IF(MONTH(LstMachines[[#This Row],[DateLivr]])&lt;10,"0","") &amp; MONTH(LstMachines[[#This Row],[DateLivr]]) &amp;"-"&amp;YEAR(LstMachines[[#This Row],[DateLivr]])</f>
        <v>08-2020</v>
      </c>
      <c r="Z536" s="196">
        <f>LstMachines[[#This Row],[Delivery]]+Rglt_à_HCME</f>
        <v>44117</v>
      </c>
      <c r="AA536" s="317" t="str">
        <f xml:space="preserve"> IF(MONTH(LstMachines[[#This Row],[DatePaie]])&lt;10,"0","") &amp; MONTH(LstMachines[[#This Row],[DatePaie]])&amp;"-"&amp;YEAR(LstMachines[[#This Row],[DatePaie]])</f>
        <v>10-2020</v>
      </c>
      <c r="AB536" s="317">
        <f>LstMachines[[#This Row],[DateLivr]]+1</f>
        <v>44058</v>
      </c>
      <c r="AC536" s="317" t="str">
        <f xml:space="preserve"> IF(MONTH(LstMachines[[#This Row],[Distrib]])&lt;10,"0","") &amp; MONTH(LstMachines[[#This Row],[Distrib]]) &amp; "-" &amp; YEAR(LstMachines[[#This Row],[Distrib]])</f>
        <v>08-2020</v>
      </c>
      <c r="AD536" s="317">
        <f>LstMachines[[#This Row],[DateLivr]]+Délai_Vente</f>
        <v>44177</v>
      </c>
      <c r="AE536" s="317" t="str">
        <f xml:space="preserve"> IF(MONTH(LstMachines[[#This Row],[VteESM]])&lt;10,"0","") &amp; MONTH(LstMachines[[#This Row],[VteESM]]) &amp; "-" &amp; YEAR(LstMachines[[#This Row],[VteESM]])</f>
        <v>12-2020</v>
      </c>
      <c r="AF536" s="317">
        <f>LstMachines[[#This Row],[DateLivr]]+Rglt_à_ESMTP</f>
        <v>44117</v>
      </c>
      <c r="AG536" s="317" t="str">
        <f xml:space="preserve"> IF(MONTH(LstMachines[[#This Row],[RgltDistrib]])&lt;10,"0","") &amp; MONTH(LstMachines[[#This Row],[RgltDistrib]]) &amp; "-" &amp; YEAR(LstMachines[[#This Row],[RgltDistrib]])</f>
        <v>10-2020</v>
      </c>
      <c r="AH536" s="317">
        <f>LstMachines[[#This Row],[VteESM]]+Rglt_à_ESMTP</f>
        <v>44237</v>
      </c>
      <c r="AI536" s="317" t="str">
        <f xml:space="preserve"> IF(MONTH(LstMachines[[#This Row],[RgltVteESM]])&lt;10,"0","") &amp; MONTH(LstMachines[[#This Row],[RgltVteESM]]) &amp; "-" &amp; YEAR(LstMachines[[#This Row],[RgltVteESM]])</f>
        <v>02-2021</v>
      </c>
      <c r="AJ536" s="316">
        <f>MONTH(LstMachines[[#This Row],[DatePaie]])</f>
        <v>10</v>
      </c>
      <c r="AK536" s="196" t="str">
        <f>FIXED(YEAR(LstMachines[[#This Row],[DatePaie]]),0,TRUE)</f>
        <v>2020</v>
      </c>
      <c r="AL536" s="316"/>
      <c r="AM536" s="414"/>
    </row>
    <row r="537" spans="2:39" hidden="1">
      <c r="B537" s="194" t="s">
        <v>262</v>
      </c>
      <c r="C537" s="194" t="s">
        <v>40</v>
      </c>
      <c r="D537" s="195">
        <v>135</v>
      </c>
      <c r="E537" s="194" t="s">
        <v>87</v>
      </c>
      <c r="F537" s="204" t="s">
        <v>468</v>
      </c>
      <c r="G537" s="204" t="s">
        <v>469</v>
      </c>
      <c r="H537" s="193">
        <v>1</v>
      </c>
      <c r="I537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537" s="88">
        <v>44057</v>
      </c>
      <c r="K537" s="139" t="s">
        <v>461</v>
      </c>
      <c r="L537" s="198" t="s">
        <v>470</v>
      </c>
      <c r="M537" s="139"/>
      <c r="N537" s="197"/>
      <c r="O537" s="316">
        <f>MONTH(LstMachines[[#This Row],[Delivery]])</f>
        <v>8</v>
      </c>
      <c r="P537" s="196" t="str">
        <f>FIXED(YEAR(LstMachines[[#This Row],[Delivery]]),0,TRUE)</f>
        <v>2020</v>
      </c>
      <c r="Q537" s="205"/>
      <c r="R537" s="241"/>
      <c r="S537" s="197"/>
      <c r="T537" s="197"/>
      <c r="U537" s="197"/>
      <c r="V537" s="193"/>
      <c r="W537" s="139"/>
      <c r="X537" s="197">
        <f>LstMachines[[#This Row],[Delivery]]</f>
        <v>44057</v>
      </c>
      <c r="Y537" s="317" t="str">
        <f xml:space="preserve"> IF(MONTH(LstMachines[[#This Row],[DateLivr]])&lt;10,"0","") &amp; MONTH(LstMachines[[#This Row],[DateLivr]]) &amp;"-"&amp;YEAR(LstMachines[[#This Row],[DateLivr]])</f>
        <v>08-2020</v>
      </c>
      <c r="Z537" s="196">
        <f>LstMachines[[#This Row],[Delivery]]+Rglt_à_HCME</f>
        <v>44117</v>
      </c>
      <c r="AA537" s="317" t="str">
        <f xml:space="preserve"> IF(MONTH(LstMachines[[#This Row],[DatePaie]])&lt;10,"0","") &amp; MONTH(LstMachines[[#This Row],[DatePaie]])&amp;"-"&amp;YEAR(LstMachines[[#This Row],[DatePaie]])</f>
        <v>10-2020</v>
      </c>
      <c r="AB537" s="317">
        <f>LstMachines[[#This Row],[DateLivr]]+1</f>
        <v>44058</v>
      </c>
      <c r="AC537" s="317" t="str">
        <f xml:space="preserve"> IF(MONTH(LstMachines[[#This Row],[Distrib]])&lt;10,"0","") &amp; MONTH(LstMachines[[#This Row],[Distrib]]) &amp; "-" &amp; YEAR(LstMachines[[#This Row],[Distrib]])</f>
        <v>08-2020</v>
      </c>
      <c r="AD537" s="317">
        <f>LstMachines[[#This Row],[DateLivr]]+Délai_Vente</f>
        <v>44177</v>
      </c>
      <c r="AE537" s="317" t="str">
        <f xml:space="preserve"> IF(MONTH(LstMachines[[#This Row],[VteESM]])&lt;10,"0","") &amp; MONTH(LstMachines[[#This Row],[VteESM]]) &amp; "-" &amp; YEAR(LstMachines[[#This Row],[VteESM]])</f>
        <v>12-2020</v>
      </c>
      <c r="AF537" s="317">
        <f>LstMachines[[#This Row],[DateLivr]]+Rglt_à_ESMTP</f>
        <v>44117</v>
      </c>
      <c r="AG537" s="317" t="str">
        <f xml:space="preserve"> IF(MONTH(LstMachines[[#This Row],[RgltDistrib]])&lt;10,"0","") &amp; MONTH(LstMachines[[#This Row],[RgltDistrib]]) &amp; "-" &amp; YEAR(LstMachines[[#This Row],[RgltDistrib]])</f>
        <v>10-2020</v>
      </c>
      <c r="AH537" s="317">
        <f>LstMachines[[#This Row],[VteESM]]+Rglt_à_ESMTP</f>
        <v>44237</v>
      </c>
      <c r="AI537" s="317" t="str">
        <f xml:space="preserve"> IF(MONTH(LstMachines[[#This Row],[RgltVteESM]])&lt;10,"0","") &amp; MONTH(LstMachines[[#This Row],[RgltVteESM]]) &amp; "-" &amp; YEAR(LstMachines[[#This Row],[RgltVteESM]])</f>
        <v>02-2021</v>
      </c>
      <c r="AJ537" s="316">
        <f>MONTH(LstMachines[[#This Row],[DatePaie]])</f>
        <v>10</v>
      </c>
      <c r="AK537" s="196" t="str">
        <f>FIXED(YEAR(LstMachines[[#This Row],[DatePaie]]),0,TRUE)</f>
        <v>2020</v>
      </c>
      <c r="AL537" s="316"/>
      <c r="AM537" s="414"/>
    </row>
    <row r="538" spans="2:39" hidden="1">
      <c r="B538" s="194" t="s">
        <v>75</v>
      </c>
      <c r="C538" s="194" t="s">
        <v>35</v>
      </c>
      <c r="D538" s="195">
        <v>19</v>
      </c>
      <c r="E538" s="194" t="s">
        <v>76</v>
      </c>
      <c r="F538" s="204" t="s">
        <v>468</v>
      </c>
      <c r="G538" s="89" t="s">
        <v>469</v>
      </c>
      <c r="H538" s="193">
        <v>1</v>
      </c>
      <c r="I538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538" s="88">
        <v>44088</v>
      </c>
      <c r="K538" s="139" t="s">
        <v>461</v>
      </c>
      <c r="L538" s="198" t="s">
        <v>470</v>
      </c>
      <c r="M538" s="139"/>
      <c r="N538" s="197"/>
      <c r="O538" s="316">
        <f>MONTH(LstMachines[[#This Row],[Delivery]])</f>
        <v>9</v>
      </c>
      <c r="P538" s="196" t="str">
        <f>FIXED(YEAR(LstMachines[[#This Row],[Delivery]]),0,TRUE)</f>
        <v>2020</v>
      </c>
      <c r="Q538" s="205"/>
      <c r="R538" s="241"/>
      <c r="S538" s="197"/>
      <c r="T538" s="197"/>
      <c r="U538" s="197"/>
      <c r="V538" s="193"/>
      <c r="W538" s="139"/>
      <c r="X538" s="197">
        <f>LstMachines[[#This Row],[Delivery]]</f>
        <v>44088</v>
      </c>
      <c r="Y538" s="317" t="str">
        <f xml:space="preserve"> IF(MONTH(LstMachines[[#This Row],[DateLivr]])&lt;10,"0","") &amp; MONTH(LstMachines[[#This Row],[DateLivr]]) &amp;"-"&amp;YEAR(LstMachines[[#This Row],[DateLivr]])</f>
        <v>09-2020</v>
      </c>
      <c r="Z538" s="196">
        <f>LstMachines[[#This Row],[Delivery]]+Rglt_à_HCME</f>
        <v>44148</v>
      </c>
      <c r="AA538" s="317" t="str">
        <f xml:space="preserve"> IF(MONTH(LstMachines[[#This Row],[DatePaie]])&lt;10,"0","") &amp; MONTH(LstMachines[[#This Row],[DatePaie]])&amp;"-"&amp;YEAR(LstMachines[[#This Row],[DatePaie]])</f>
        <v>11-2020</v>
      </c>
      <c r="AB538" s="317">
        <f>LstMachines[[#This Row],[DateLivr]]+1</f>
        <v>44089</v>
      </c>
      <c r="AC538" s="317" t="str">
        <f xml:space="preserve"> IF(MONTH(LstMachines[[#This Row],[Distrib]])&lt;10,"0","") &amp; MONTH(LstMachines[[#This Row],[Distrib]]) &amp; "-" &amp; YEAR(LstMachines[[#This Row],[Distrib]])</f>
        <v>09-2020</v>
      </c>
      <c r="AD538" s="317">
        <f>LstMachines[[#This Row],[DateLivr]]+Délai_Vente</f>
        <v>44208</v>
      </c>
      <c r="AE538" s="317" t="str">
        <f xml:space="preserve"> IF(MONTH(LstMachines[[#This Row],[VteESM]])&lt;10,"0","") &amp; MONTH(LstMachines[[#This Row],[VteESM]]) &amp; "-" &amp; YEAR(LstMachines[[#This Row],[VteESM]])</f>
        <v>01-2021</v>
      </c>
      <c r="AF538" s="317">
        <f>LstMachines[[#This Row],[DateLivr]]+Rglt_à_ESMTP</f>
        <v>44148</v>
      </c>
      <c r="AG538" s="317" t="str">
        <f xml:space="preserve"> IF(MONTH(LstMachines[[#This Row],[RgltDistrib]])&lt;10,"0","") &amp; MONTH(LstMachines[[#This Row],[RgltDistrib]]) &amp; "-" &amp; YEAR(LstMachines[[#This Row],[RgltDistrib]])</f>
        <v>11-2020</v>
      </c>
      <c r="AH538" s="317">
        <f>LstMachines[[#This Row],[VteESM]]+Rglt_à_ESMTP</f>
        <v>44268</v>
      </c>
      <c r="AI538" s="317" t="str">
        <f xml:space="preserve"> IF(MONTH(LstMachines[[#This Row],[RgltVteESM]])&lt;10,"0","") &amp; MONTH(LstMachines[[#This Row],[RgltVteESM]]) &amp; "-" &amp; YEAR(LstMachines[[#This Row],[RgltVteESM]])</f>
        <v>03-2021</v>
      </c>
      <c r="AJ538" s="316">
        <f>MONTH(LstMachines[[#This Row],[DatePaie]])</f>
        <v>11</v>
      </c>
      <c r="AK538" s="196" t="str">
        <f>FIXED(YEAR(LstMachines[[#This Row],[DatePaie]]),0,TRUE)</f>
        <v>2020</v>
      </c>
      <c r="AL538" s="316"/>
      <c r="AM538" s="414"/>
    </row>
    <row r="539" spans="2:39" hidden="1">
      <c r="B539" s="194" t="s">
        <v>75</v>
      </c>
      <c r="C539" s="194" t="s">
        <v>36</v>
      </c>
      <c r="D539" s="195">
        <v>26</v>
      </c>
      <c r="E539" s="194" t="s">
        <v>361</v>
      </c>
      <c r="F539" s="204" t="s">
        <v>468</v>
      </c>
      <c r="G539" s="89" t="s">
        <v>469</v>
      </c>
      <c r="H539" s="193">
        <v>1</v>
      </c>
      <c r="I539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539" s="88">
        <v>44088</v>
      </c>
      <c r="K539" s="139" t="s">
        <v>461</v>
      </c>
      <c r="L539" s="198" t="s">
        <v>470</v>
      </c>
      <c r="M539" s="139"/>
      <c r="N539" s="197"/>
      <c r="O539" s="316">
        <f>MONTH(LstMachines[[#This Row],[Delivery]])</f>
        <v>9</v>
      </c>
      <c r="P539" s="196" t="str">
        <f>FIXED(YEAR(LstMachines[[#This Row],[Delivery]]),0,TRUE)</f>
        <v>2020</v>
      </c>
      <c r="Q539" s="205"/>
      <c r="R539" s="241"/>
      <c r="S539" s="197"/>
      <c r="T539" s="197"/>
      <c r="U539" s="197"/>
      <c r="V539" s="193"/>
      <c r="W539" s="139"/>
      <c r="X539" s="197">
        <f>LstMachines[[#This Row],[Delivery]]</f>
        <v>44088</v>
      </c>
      <c r="Y539" s="317" t="str">
        <f xml:space="preserve"> IF(MONTH(LstMachines[[#This Row],[DateLivr]])&lt;10,"0","") &amp; MONTH(LstMachines[[#This Row],[DateLivr]]) &amp;"-"&amp;YEAR(LstMachines[[#This Row],[DateLivr]])</f>
        <v>09-2020</v>
      </c>
      <c r="Z539" s="196">
        <f>LstMachines[[#This Row],[Delivery]]+Rglt_à_HCME</f>
        <v>44148</v>
      </c>
      <c r="AA539" s="317" t="str">
        <f xml:space="preserve"> IF(MONTH(LstMachines[[#This Row],[DatePaie]])&lt;10,"0","") &amp; MONTH(LstMachines[[#This Row],[DatePaie]])&amp;"-"&amp;YEAR(LstMachines[[#This Row],[DatePaie]])</f>
        <v>11-2020</v>
      </c>
      <c r="AB539" s="317">
        <f>LstMachines[[#This Row],[DateLivr]]+1</f>
        <v>44089</v>
      </c>
      <c r="AC539" s="317" t="str">
        <f xml:space="preserve"> IF(MONTH(LstMachines[[#This Row],[Distrib]])&lt;10,"0","") &amp; MONTH(LstMachines[[#This Row],[Distrib]]) &amp; "-" &amp; YEAR(LstMachines[[#This Row],[Distrib]])</f>
        <v>09-2020</v>
      </c>
      <c r="AD539" s="317">
        <f>LstMachines[[#This Row],[DateLivr]]+Délai_Vente</f>
        <v>44208</v>
      </c>
      <c r="AE539" s="317" t="str">
        <f xml:space="preserve"> IF(MONTH(LstMachines[[#This Row],[VteESM]])&lt;10,"0","") &amp; MONTH(LstMachines[[#This Row],[VteESM]]) &amp; "-" &amp; YEAR(LstMachines[[#This Row],[VteESM]])</f>
        <v>01-2021</v>
      </c>
      <c r="AF539" s="317">
        <f>LstMachines[[#This Row],[DateLivr]]+Rglt_à_ESMTP</f>
        <v>44148</v>
      </c>
      <c r="AG539" s="317" t="str">
        <f xml:space="preserve"> IF(MONTH(LstMachines[[#This Row],[RgltDistrib]])&lt;10,"0","") &amp; MONTH(LstMachines[[#This Row],[RgltDistrib]]) &amp; "-" &amp; YEAR(LstMachines[[#This Row],[RgltDistrib]])</f>
        <v>11-2020</v>
      </c>
      <c r="AH539" s="317">
        <f>LstMachines[[#This Row],[VteESM]]+Rglt_à_ESMTP</f>
        <v>44268</v>
      </c>
      <c r="AI539" s="317" t="str">
        <f xml:space="preserve"> IF(MONTH(LstMachines[[#This Row],[RgltVteESM]])&lt;10,"0","") &amp; MONTH(LstMachines[[#This Row],[RgltVteESM]]) &amp; "-" &amp; YEAR(LstMachines[[#This Row],[RgltVteESM]])</f>
        <v>03-2021</v>
      </c>
      <c r="AJ539" s="316">
        <f>MONTH(LstMachines[[#This Row],[DatePaie]])</f>
        <v>11</v>
      </c>
      <c r="AK539" s="196" t="str">
        <f>FIXED(YEAR(LstMachines[[#This Row],[DatePaie]]),0,TRUE)</f>
        <v>2020</v>
      </c>
      <c r="AL539" s="316"/>
      <c r="AM539" s="414"/>
    </row>
    <row r="540" spans="2:39" hidden="1">
      <c r="B540" s="194" t="s">
        <v>75</v>
      </c>
      <c r="C540" s="194" t="s">
        <v>36</v>
      </c>
      <c r="D540" s="195">
        <v>26</v>
      </c>
      <c r="E540" s="194" t="s">
        <v>355</v>
      </c>
      <c r="F540" s="204" t="s">
        <v>468</v>
      </c>
      <c r="G540" s="89" t="s">
        <v>469</v>
      </c>
      <c r="H540" s="193">
        <v>1</v>
      </c>
      <c r="I540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540" s="88">
        <v>44088</v>
      </c>
      <c r="K540" s="139" t="s">
        <v>461</v>
      </c>
      <c r="L540" s="198" t="s">
        <v>470</v>
      </c>
      <c r="M540" s="139"/>
      <c r="N540" s="197"/>
      <c r="O540" s="316">
        <f>MONTH(LstMachines[[#This Row],[Delivery]])</f>
        <v>9</v>
      </c>
      <c r="P540" s="196" t="str">
        <f>FIXED(YEAR(LstMachines[[#This Row],[Delivery]]),0,TRUE)</f>
        <v>2020</v>
      </c>
      <c r="Q540" s="205"/>
      <c r="R540" s="241"/>
      <c r="S540" s="197"/>
      <c r="T540" s="197"/>
      <c r="U540" s="197"/>
      <c r="V540" s="193"/>
      <c r="W540" s="139"/>
      <c r="X540" s="197">
        <f>LstMachines[[#This Row],[Delivery]]</f>
        <v>44088</v>
      </c>
      <c r="Y540" s="317" t="str">
        <f xml:space="preserve"> IF(MONTH(LstMachines[[#This Row],[DateLivr]])&lt;10,"0","") &amp; MONTH(LstMachines[[#This Row],[DateLivr]]) &amp;"-"&amp;YEAR(LstMachines[[#This Row],[DateLivr]])</f>
        <v>09-2020</v>
      </c>
      <c r="Z540" s="196">
        <f>LstMachines[[#This Row],[Delivery]]+Rglt_à_HCME</f>
        <v>44148</v>
      </c>
      <c r="AA540" s="317" t="str">
        <f xml:space="preserve"> IF(MONTH(LstMachines[[#This Row],[DatePaie]])&lt;10,"0","") &amp; MONTH(LstMachines[[#This Row],[DatePaie]])&amp;"-"&amp;YEAR(LstMachines[[#This Row],[DatePaie]])</f>
        <v>11-2020</v>
      </c>
      <c r="AB540" s="317">
        <f>LstMachines[[#This Row],[DateLivr]]+1</f>
        <v>44089</v>
      </c>
      <c r="AC540" s="317" t="str">
        <f xml:space="preserve"> IF(MONTH(LstMachines[[#This Row],[Distrib]])&lt;10,"0","") &amp; MONTH(LstMachines[[#This Row],[Distrib]]) &amp; "-" &amp; YEAR(LstMachines[[#This Row],[Distrib]])</f>
        <v>09-2020</v>
      </c>
      <c r="AD540" s="317">
        <f>LstMachines[[#This Row],[DateLivr]]+Délai_Vente</f>
        <v>44208</v>
      </c>
      <c r="AE540" s="317" t="str">
        <f xml:space="preserve"> IF(MONTH(LstMachines[[#This Row],[VteESM]])&lt;10,"0","") &amp; MONTH(LstMachines[[#This Row],[VteESM]]) &amp; "-" &amp; YEAR(LstMachines[[#This Row],[VteESM]])</f>
        <v>01-2021</v>
      </c>
      <c r="AF540" s="317">
        <f>LstMachines[[#This Row],[DateLivr]]+Rglt_à_ESMTP</f>
        <v>44148</v>
      </c>
      <c r="AG540" s="317" t="str">
        <f xml:space="preserve"> IF(MONTH(LstMachines[[#This Row],[RgltDistrib]])&lt;10,"0","") &amp; MONTH(LstMachines[[#This Row],[RgltDistrib]]) &amp; "-" &amp; YEAR(LstMachines[[#This Row],[RgltDistrib]])</f>
        <v>11-2020</v>
      </c>
      <c r="AH540" s="317">
        <f>LstMachines[[#This Row],[VteESM]]+Rglt_à_ESMTP</f>
        <v>44268</v>
      </c>
      <c r="AI540" s="317" t="str">
        <f xml:space="preserve"> IF(MONTH(LstMachines[[#This Row],[RgltVteESM]])&lt;10,"0","") &amp; MONTH(LstMachines[[#This Row],[RgltVteESM]]) &amp; "-" &amp; YEAR(LstMachines[[#This Row],[RgltVteESM]])</f>
        <v>03-2021</v>
      </c>
      <c r="AJ540" s="316">
        <f>MONTH(LstMachines[[#This Row],[DatePaie]])</f>
        <v>11</v>
      </c>
      <c r="AK540" s="196" t="str">
        <f>FIXED(YEAR(LstMachines[[#This Row],[DatePaie]]),0,TRUE)</f>
        <v>2020</v>
      </c>
      <c r="AL540" s="316"/>
      <c r="AM540" s="414"/>
    </row>
    <row r="541" spans="2:39" hidden="1">
      <c r="B541" s="194" t="s">
        <v>75</v>
      </c>
      <c r="C541" s="194" t="s">
        <v>38</v>
      </c>
      <c r="D541" s="195">
        <v>65</v>
      </c>
      <c r="E541" s="194" t="s">
        <v>359</v>
      </c>
      <c r="F541" s="204" t="s">
        <v>468</v>
      </c>
      <c r="G541" s="89" t="s">
        <v>469</v>
      </c>
      <c r="H541" s="193">
        <v>1</v>
      </c>
      <c r="I541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541" s="88">
        <v>44088</v>
      </c>
      <c r="K541" s="139" t="s">
        <v>461</v>
      </c>
      <c r="L541" s="198" t="s">
        <v>470</v>
      </c>
      <c r="M541" s="139"/>
      <c r="N541" s="197"/>
      <c r="O541" s="316">
        <f>MONTH(LstMachines[[#This Row],[Delivery]])</f>
        <v>9</v>
      </c>
      <c r="P541" s="196" t="str">
        <f>FIXED(YEAR(LstMachines[[#This Row],[Delivery]]),0,TRUE)</f>
        <v>2020</v>
      </c>
      <c r="Q541" s="205"/>
      <c r="R541" s="241"/>
      <c r="S541" s="197"/>
      <c r="T541" s="197"/>
      <c r="U541" s="197"/>
      <c r="V541" s="193"/>
      <c r="W541" s="139"/>
      <c r="X541" s="197">
        <f>LstMachines[[#This Row],[Delivery]]</f>
        <v>44088</v>
      </c>
      <c r="Y541" s="317" t="str">
        <f xml:space="preserve"> IF(MONTH(LstMachines[[#This Row],[DateLivr]])&lt;10,"0","") &amp; MONTH(LstMachines[[#This Row],[DateLivr]]) &amp;"-"&amp;YEAR(LstMachines[[#This Row],[DateLivr]])</f>
        <v>09-2020</v>
      </c>
      <c r="Z541" s="196">
        <f>LstMachines[[#This Row],[Delivery]]+Rglt_à_HCME</f>
        <v>44148</v>
      </c>
      <c r="AA541" s="317" t="str">
        <f xml:space="preserve"> IF(MONTH(LstMachines[[#This Row],[DatePaie]])&lt;10,"0","") &amp; MONTH(LstMachines[[#This Row],[DatePaie]])&amp;"-"&amp;YEAR(LstMachines[[#This Row],[DatePaie]])</f>
        <v>11-2020</v>
      </c>
      <c r="AB541" s="317">
        <f>LstMachines[[#This Row],[DateLivr]]+1</f>
        <v>44089</v>
      </c>
      <c r="AC541" s="317" t="str">
        <f xml:space="preserve"> IF(MONTH(LstMachines[[#This Row],[Distrib]])&lt;10,"0","") &amp; MONTH(LstMachines[[#This Row],[Distrib]]) &amp; "-" &amp; YEAR(LstMachines[[#This Row],[Distrib]])</f>
        <v>09-2020</v>
      </c>
      <c r="AD541" s="317">
        <f>LstMachines[[#This Row],[DateLivr]]+Délai_Vente</f>
        <v>44208</v>
      </c>
      <c r="AE541" s="317" t="str">
        <f xml:space="preserve"> IF(MONTH(LstMachines[[#This Row],[VteESM]])&lt;10,"0","") &amp; MONTH(LstMachines[[#This Row],[VteESM]]) &amp; "-" &amp; YEAR(LstMachines[[#This Row],[VteESM]])</f>
        <v>01-2021</v>
      </c>
      <c r="AF541" s="317">
        <f>LstMachines[[#This Row],[DateLivr]]+Rglt_à_ESMTP</f>
        <v>44148</v>
      </c>
      <c r="AG541" s="317" t="str">
        <f xml:space="preserve"> IF(MONTH(LstMachines[[#This Row],[RgltDistrib]])&lt;10,"0","") &amp; MONTH(LstMachines[[#This Row],[RgltDistrib]]) &amp; "-" &amp; YEAR(LstMachines[[#This Row],[RgltDistrib]])</f>
        <v>11-2020</v>
      </c>
      <c r="AH541" s="317">
        <f>LstMachines[[#This Row],[VteESM]]+Rglt_à_ESMTP</f>
        <v>44268</v>
      </c>
      <c r="AI541" s="317" t="str">
        <f xml:space="preserve"> IF(MONTH(LstMachines[[#This Row],[RgltVteESM]])&lt;10,"0","") &amp; MONTH(LstMachines[[#This Row],[RgltVteESM]]) &amp; "-" &amp; YEAR(LstMachines[[#This Row],[RgltVteESM]])</f>
        <v>03-2021</v>
      </c>
      <c r="AJ541" s="316">
        <f>MONTH(LstMachines[[#This Row],[DatePaie]])</f>
        <v>11</v>
      </c>
      <c r="AK541" s="196" t="str">
        <f>FIXED(YEAR(LstMachines[[#This Row],[DatePaie]]),0,TRUE)</f>
        <v>2020</v>
      </c>
      <c r="AL541" s="316"/>
      <c r="AM541" s="414"/>
    </row>
    <row r="542" spans="2:39" hidden="1">
      <c r="B542" s="194" t="s">
        <v>262</v>
      </c>
      <c r="C542" s="194" t="s">
        <v>39</v>
      </c>
      <c r="D542" s="195">
        <v>85</v>
      </c>
      <c r="E542" s="194" t="s">
        <v>356</v>
      </c>
      <c r="F542" s="204" t="s">
        <v>468</v>
      </c>
      <c r="G542" s="204" t="s">
        <v>469</v>
      </c>
      <c r="H542" s="193">
        <v>1</v>
      </c>
      <c r="I542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542" s="88">
        <v>44088</v>
      </c>
      <c r="K542" s="139" t="s">
        <v>461</v>
      </c>
      <c r="L542" s="198" t="s">
        <v>470</v>
      </c>
      <c r="M542" s="139"/>
      <c r="N542" s="197"/>
      <c r="O542" s="316">
        <f>MONTH(LstMachines[[#This Row],[Delivery]])</f>
        <v>9</v>
      </c>
      <c r="P542" s="196" t="str">
        <f>FIXED(YEAR(LstMachines[[#This Row],[Delivery]]),0,TRUE)</f>
        <v>2020</v>
      </c>
      <c r="Q542" s="205"/>
      <c r="R542" s="241"/>
      <c r="S542" s="197"/>
      <c r="T542" s="197"/>
      <c r="U542" s="197"/>
      <c r="V542" s="193"/>
      <c r="W542" s="139"/>
      <c r="X542" s="197">
        <f>LstMachines[[#This Row],[Delivery]]</f>
        <v>44088</v>
      </c>
      <c r="Y542" s="317" t="str">
        <f xml:space="preserve"> IF(MONTH(LstMachines[[#This Row],[DateLivr]])&lt;10,"0","") &amp; MONTH(LstMachines[[#This Row],[DateLivr]]) &amp;"-"&amp;YEAR(LstMachines[[#This Row],[DateLivr]])</f>
        <v>09-2020</v>
      </c>
      <c r="Z542" s="196">
        <f>LstMachines[[#This Row],[Delivery]]+Rglt_à_HCME</f>
        <v>44148</v>
      </c>
      <c r="AA542" s="317" t="str">
        <f xml:space="preserve"> IF(MONTH(LstMachines[[#This Row],[DatePaie]])&lt;10,"0","") &amp; MONTH(LstMachines[[#This Row],[DatePaie]])&amp;"-"&amp;YEAR(LstMachines[[#This Row],[DatePaie]])</f>
        <v>11-2020</v>
      </c>
      <c r="AB542" s="317">
        <f>LstMachines[[#This Row],[DateLivr]]+1</f>
        <v>44089</v>
      </c>
      <c r="AC542" s="317" t="str">
        <f xml:space="preserve"> IF(MONTH(LstMachines[[#This Row],[Distrib]])&lt;10,"0","") &amp; MONTH(LstMachines[[#This Row],[Distrib]]) &amp; "-" &amp; YEAR(LstMachines[[#This Row],[Distrib]])</f>
        <v>09-2020</v>
      </c>
      <c r="AD542" s="317">
        <f>LstMachines[[#This Row],[DateLivr]]+Délai_Vente</f>
        <v>44208</v>
      </c>
      <c r="AE542" s="317" t="str">
        <f xml:space="preserve"> IF(MONTH(LstMachines[[#This Row],[VteESM]])&lt;10,"0","") &amp; MONTH(LstMachines[[#This Row],[VteESM]]) &amp; "-" &amp; YEAR(LstMachines[[#This Row],[VteESM]])</f>
        <v>01-2021</v>
      </c>
      <c r="AF542" s="317">
        <f>LstMachines[[#This Row],[DateLivr]]+Rglt_à_ESMTP</f>
        <v>44148</v>
      </c>
      <c r="AG542" s="317" t="str">
        <f xml:space="preserve"> IF(MONTH(LstMachines[[#This Row],[RgltDistrib]])&lt;10,"0","") &amp; MONTH(LstMachines[[#This Row],[RgltDistrib]]) &amp; "-" &amp; YEAR(LstMachines[[#This Row],[RgltDistrib]])</f>
        <v>11-2020</v>
      </c>
      <c r="AH542" s="317">
        <f>LstMachines[[#This Row],[VteESM]]+Rglt_à_ESMTP</f>
        <v>44268</v>
      </c>
      <c r="AI542" s="317" t="str">
        <f xml:space="preserve"> IF(MONTH(LstMachines[[#This Row],[RgltVteESM]])&lt;10,"0","") &amp; MONTH(LstMachines[[#This Row],[RgltVteESM]]) &amp; "-" &amp; YEAR(LstMachines[[#This Row],[RgltVteESM]])</f>
        <v>03-2021</v>
      </c>
      <c r="AJ542" s="316">
        <f>MONTH(LstMachines[[#This Row],[DatePaie]])</f>
        <v>11</v>
      </c>
      <c r="AK542" s="196" t="str">
        <f>FIXED(YEAR(LstMachines[[#This Row],[DatePaie]]),0,TRUE)</f>
        <v>2020</v>
      </c>
      <c r="AL542" s="316"/>
      <c r="AM542" s="414"/>
    </row>
    <row r="543" spans="2:39" hidden="1">
      <c r="B543" s="194" t="s">
        <v>262</v>
      </c>
      <c r="C543" s="194" t="s">
        <v>44</v>
      </c>
      <c r="D543" s="195">
        <v>225</v>
      </c>
      <c r="E543" s="194" t="s">
        <v>205</v>
      </c>
      <c r="F543" s="204" t="s">
        <v>468</v>
      </c>
      <c r="G543" s="204" t="s">
        <v>469</v>
      </c>
      <c r="H543" s="193">
        <v>1</v>
      </c>
      <c r="I543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128</v>
      </c>
      <c r="J543" s="88">
        <v>44088</v>
      </c>
      <c r="K543" s="139" t="s">
        <v>461</v>
      </c>
      <c r="L543" s="198" t="s">
        <v>470</v>
      </c>
      <c r="M543" s="139"/>
      <c r="N543" s="197"/>
      <c r="O543" s="316">
        <f>MONTH(LstMachines[[#This Row],[Delivery]])</f>
        <v>9</v>
      </c>
      <c r="P543" s="196" t="str">
        <f>FIXED(YEAR(LstMachines[[#This Row],[Delivery]]),0,TRUE)</f>
        <v>2020</v>
      </c>
      <c r="Q543" s="205"/>
      <c r="R543" s="241"/>
      <c r="S543" s="197"/>
      <c r="T543" s="197"/>
      <c r="U543" s="197"/>
      <c r="V543" s="193"/>
      <c r="W543" s="139"/>
      <c r="X543" s="197">
        <f>LstMachines[[#This Row],[Delivery]]</f>
        <v>44088</v>
      </c>
      <c r="Y543" s="317" t="str">
        <f xml:space="preserve"> IF(MONTH(LstMachines[[#This Row],[DateLivr]])&lt;10,"0","") &amp; MONTH(LstMachines[[#This Row],[DateLivr]]) &amp;"-"&amp;YEAR(LstMachines[[#This Row],[DateLivr]])</f>
        <v>09-2020</v>
      </c>
      <c r="Z543" s="196">
        <f>LstMachines[[#This Row],[Delivery]]+Rglt_à_HCME</f>
        <v>44148</v>
      </c>
      <c r="AA543" s="317" t="str">
        <f xml:space="preserve"> IF(MONTH(LstMachines[[#This Row],[DatePaie]])&lt;10,"0","") &amp; MONTH(LstMachines[[#This Row],[DatePaie]])&amp;"-"&amp;YEAR(LstMachines[[#This Row],[DatePaie]])</f>
        <v>11-2020</v>
      </c>
      <c r="AB543" s="317">
        <f>LstMachines[[#This Row],[DateLivr]]+1</f>
        <v>44089</v>
      </c>
      <c r="AC543" s="317" t="str">
        <f xml:space="preserve"> IF(MONTH(LstMachines[[#This Row],[Distrib]])&lt;10,"0","") &amp; MONTH(LstMachines[[#This Row],[Distrib]]) &amp; "-" &amp; YEAR(LstMachines[[#This Row],[Distrib]])</f>
        <v>09-2020</v>
      </c>
      <c r="AD543" s="317">
        <f>LstMachines[[#This Row],[DateLivr]]+Délai_Vente</f>
        <v>44208</v>
      </c>
      <c r="AE543" s="317" t="str">
        <f xml:space="preserve"> IF(MONTH(LstMachines[[#This Row],[VteESM]])&lt;10,"0","") &amp; MONTH(LstMachines[[#This Row],[VteESM]]) &amp; "-" &amp; YEAR(LstMachines[[#This Row],[VteESM]])</f>
        <v>01-2021</v>
      </c>
      <c r="AF543" s="317">
        <f>LstMachines[[#This Row],[DateLivr]]+Rglt_à_ESMTP</f>
        <v>44148</v>
      </c>
      <c r="AG543" s="317" t="str">
        <f xml:space="preserve"> IF(MONTH(LstMachines[[#This Row],[RgltDistrib]])&lt;10,"0","") &amp; MONTH(LstMachines[[#This Row],[RgltDistrib]]) &amp; "-" &amp; YEAR(LstMachines[[#This Row],[RgltDistrib]])</f>
        <v>11-2020</v>
      </c>
      <c r="AH543" s="317">
        <f>LstMachines[[#This Row],[VteESM]]+Rglt_à_ESMTP</f>
        <v>44268</v>
      </c>
      <c r="AI543" s="317" t="str">
        <f xml:space="preserve"> IF(MONTH(LstMachines[[#This Row],[RgltVteESM]])&lt;10,"0","") &amp; MONTH(LstMachines[[#This Row],[RgltVteESM]]) &amp; "-" &amp; YEAR(LstMachines[[#This Row],[RgltVteESM]])</f>
        <v>03-2021</v>
      </c>
      <c r="AJ543" s="316">
        <f>MONTH(LstMachines[[#This Row],[DatePaie]])</f>
        <v>11</v>
      </c>
      <c r="AK543" s="196" t="str">
        <f>FIXED(YEAR(LstMachines[[#This Row],[DatePaie]]),0,TRUE)</f>
        <v>2020</v>
      </c>
      <c r="AL543" s="316"/>
      <c r="AM543" s="414"/>
    </row>
    <row r="544" spans="2:39" hidden="1">
      <c r="B544" s="194" t="s">
        <v>262</v>
      </c>
      <c r="C544" s="194" t="s">
        <v>44</v>
      </c>
      <c r="D544" s="195">
        <v>225</v>
      </c>
      <c r="E544" s="194" t="s">
        <v>205</v>
      </c>
      <c r="F544" s="204" t="s">
        <v>468</v>
      </c>
      <c r="G544" s="204" t="s">
        <v>469</v>
      </c>
      <c r="H544" s="193">
        <v>2</v>
      </c>
      <c r="I544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256</v>
      </c>
      <c r="J544" s="88">
        <v>44088</v>
      </c>
      <c r="K544" s="139" t="s">
        <v>461</v>
      </c>
      <c r="L544" s="198" t="s">
        <v>470</v>
      </c>
      <c r="M544" s="139"/>
      <c r="N544" s="197"/>
      <c r="O544" s="316">
        <f>MONTH(LstMachines[[#This Row],[Delivery]])</f>
        <v>9</v>
      </c>
      <c r="P544" s="196" t="str">
        <f>FIXED(YEAR(LstMachines[[#This Row],[Delivery]]),0,TRUE)</f>
        <v>2020</v>
      </c>
      <c r="Q544" s="205"/>
      <c r="R544" s="241"/>
      <c r="S544" s="197"/>
      <c r="T544" s="197"/>
      <c r="U544" s="197"/>
      <c r="V544" s="193"/>
      <c r="W544" s="139"/>
      <c r="X544" s="197">
        <f>LstMachines[[#This Row],[Delivery]]</f>
        <v>44088</v>
      </c>
      <c r="Y544" s="317" t="str">
        <f xml:space="preserve"> IF(MONTH(LstMachines[[#This Row],[DateLivr]])&lt;10,"0","") &amp; MONTH(LstMachines[[#This Row],[DateLivr]]) &amp;"-"&amp;YEAR(LstMachines[[#This Row],[DateLivr]])</f>
        <v>09-2020</v>
      </c>
      <c r="Z544" s="196">
        <f>LstMachines[[#This Row],[Delivery]]+Rglt_à_HCME</f>
        <v>44148</v>
      </c>
      <c r="AA544" s="317" t="str">
        <f xml:space="preserve"> IF(MONTH(LstMachines[[#This Row],[DatePaie]])&lt;10,"0","") &amp; MONTH(LstMachines[[#This Row],[DatePaie]])&amp;"-"&amp;YEAR(LstMachines[[#This Row],[DatePaie]])</f>
        <v>11-2020</v>
      </c>
      <c r="AB544" s="317">
        <f>LstMachines[[#This Row],[DateLivr]]+1</f>
        <v>44089</v>
      </c>
      <c r="AC544" s="317" t="str">
        <f xml:space="preserve"> IF(MONTH(LstMachines[[#This Row],[Distrib]])&lt;10,"0","") &amp; MONTH(LstMachines[[#This Row],[Distrib]]) &amp; "-" &amp; YEAR(LstMachines[[#This Row],[Distrib]])</f>
        <v>09-2020</v>
      </c>
      <c r="AD544" s="317">
        <f>LstMachines[[#This Row],[DateLivr]]+Délai_Vente</f>
        <v>44208</v>
      </c>
      <c r="AE544" s="317" t="str">
        <f xml:space="preserve"> IF(MONTH(LstMachines[[#This Row],[VteESM]])&lt;10,"0","") &amp; MONTH(LstMachines[[#This Row],[VteESM]]) &amp; "-" &amp; YEAR(LstMachines[[#This Row],[VteESM]])</f>
        <v>01-2021</v>
      </c>
      <c r="AF544" s="317">
        <f>LstMachines[[#This Row],[DateLivr]]+Rglt_à_ESMTP</f>
        <v>44148</v>
      </c>
      <c r="AG544" s="317" t="str">
        <f xml:space="preserve"> IF(MONTH(LstMachines[[#This Row],[RgltDistrib]])&lt;10,"0","") &amp; MONTH(LstMachines[[#This Row],[RgltDistrib]]) &amp; "-" &amp; YEAR(LstMachines[[#This Row],[RgltDistrib]])</f>
        <v>11-2020</v>
      </c>
      <c r="AH544" s="317">
        <f>LstMachines[[#This Row],[VteESM]]+Rglt_à_ESMTP</f>
        <v>44268</v>
      </c>
      <c r="AI544" s="317" t="str">
        <f xml:space="preserve"> IF(MONTH(LstMachines[[#This Row],[RgltVteESM]])&lt;10,"0","") &amp; MONTH(LstMachines[[#This Row],[RgltVteESM]]) &amp; "-" &amp; YEAR(LstMachines[[#This Row],[RgltVteESM]])</f>
        <v>03-2021</v>
      </c>
      <c r="AJ544" s="316">
        <f>MONTH(LstMachines[[#This Row],[DatePaie]])</f>
        <v>11</v>
      </c>
      <c r="AK544" s="196" t="str">
        <f>FIXED(YEAR(LstMachines[[#This Row],[DatePaie]]),0,TRUE)</f>
        <v>2020</v>
      </c>
      <c r="AL544" s="316"/>
      <c r="AM544" s="414"/>
    </row>
    <row r="545" spans="2:39" hidden="1">
      <c r="B545" s="194" t="s">
        <v>75</v>
      </c>
      <c r="C545" s="194" t="s">
        <v>35</v>
      </c>
      <c r="D545" s="195">
        <v>19</v>
      </c>
      <c r="E545" s="194" t="s">
        <v>76</v>
      </c>
      <c r="F545" s="204" t="s">
        <v>468</v>
      </c>
      <c r="G545" s="89" t="s">
        <v>469</v>
      </c>
      <c r="H545" s="193">
        <v>1</v>
      </c>
      <c r="I545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545" s="88">
        <v>44118</v>
      </c>
      <c r="K545" s="139" t="s">
        <v>461</v>
      </c>
      <c r="L545" s="198" t="s">
        <v>470</v>
      </c>
      <c r="M545" s="139"/>
      <c r="N545" s="197"/>
      <c r="O545" s="316">
        <f>MONTH(LstMachines[[#This Row],[Delivery]])</f>
        <v>10</v>
      </c>
      <c r="P545" s="196" t="str">
        <f>FIXED(YEAR(LstMachines[[#This Row],[Delivery]]),0,TRUE)</f>
        <v>2020</v>
      </c>
      <c r="Q545" s="205"/>
      <c r="R545" s="241"/>
      <c r="S545" s="197"/>
      <c r="T545" s="197"/>
      <c r="U545" s="197"/>
      <c r="V545" s="193"/>
      <c r="W545" s="139"/>
      <c r="X545" s="197">
        <f>LstMachines[[#This Row],[Delivery]]</f>
        <v>44118</v>
      </c>
      <c r="Y545" s="317" t="str">
        <f xml:space="preserve"> IF(MONTH(LstMachines[[#This Row],[DateLivr]])&lt;10,"0","") &amp; MONTH(LstMachines[[#This Row],[DateLivr]]) &amp;"-"&amp;YEAR(LstMachines[[#This Row],[DateLivr]])</f>
        <v>10-2020</v>
      </c>
      <c r="Z545" s="196">
        <f>LstMachines[[#This Row],[Delivery]]+Rglt_à_HCME</f>
        <v>44178</v>
      </c>
      <c r="AA545" s="317" t="str">
        <f xml:space="preserve"> IF(MONTH(LstMachines[[#This Row],[DatePaie]])&lt;10,"0","") &amp; MONTH(LstMachines[[#This Row],[DatePaie]])&amp;"-"&amp;YEAR(LstMachines[[#This Row],[DatePaie]])</f>
        <v>12-2020</v>
      </c>
      <c r="AB545" s="317">
        <f>LstMachines[[#This Row],[DateLivr]]+1</f>
        <v>44119</v>
      </c>
      <c r="AC545" s="317" t="str">
        <f xml:space="preserve"> IF(MONTH(LstMachines[[#This Row],[Distrib]])&lt;10,"0","") &amp; MONTH(LstMachines[[#This Row],[Distrib]]) &amp; "-" &amp; YEAR(LstMachines[[#This Row],[Distrib]])</f>
        <v>10-2020</v>
      </c>
      <c r="AD545" s="317">
        <f>LstMachines[[#This Row],[DateLivr]]+Délai_Vente</f>
        <v>44238</v>
      </c>
      <c r="AE545" s="317" t="str">
        <f xml:space="preserve"> IF(MONTH(LstMachines[[#This Row],[VteESM]])&lt;10,"0","") &amp; MONTH(LstMachines[[#This Row],[VteESM]]) &amp; "-" &amp; YEAR(LstMachines[[#This Row],[VteESM]])</f>
        <v>02-2021</v>
      </c>
      <c r="AF545" s="317">
        <f>LstMachines[[#This Row],[DateLivr]]+Rglt_à_ESMTP</f>
        <v>44178</v>
      </c>
      <c r="AG545" s="317" t="str">
        <f xml:space="preserve"> IF(MONTH(LstMachines[[#This Row],[RgltDistrib]])&lt;10,"0","") &amp; MONTH(LstMachines[[#This Row],[RgltDistrib]]) &amp; "-" &amp; YEAR(LstMachines[[#This Row],[RgltDistrib]])</f>
        <v>12-2020</v>
      </c>
      <c r="AH545" s="317">
        <f>LstMachines[[#This Row],[VteESM]]+Rglt_à_ESMTP</f>
        <v>44298</v>
      </c>
      <c r="AI545" s="317" t="str">
        <f xml:space="preserve"> IF(MONTH(LstMachines[[#This Row],[RgltVteESM]])&lt;10,"0","") &amp; MONTH(LstMachines[[#This Row],[RgltVteESM]]) &amp; "-" &amp; YEAR(LstMachines[[#This Row],[RgltVteESM]])</f>
        <v>04-2021</v>
      </c>
      <c r="AJ545" s="316">
        <f>MONTH(LstMachines[[#This Row],[DatePaie]])</f>
        <v>12</v>
      </c>
      <c r="AK545" s="196" t="str">
        <f>FIXED(YEAR(LstMachines[[#This Row],[DatePaie]]),0,TRUE)</f>
        <v>2020</v>
      </c>
      <c r="AL545" s="316"/>
      <c r="AM545" s="414"/>
    </row>
    <row r="546" spans="2:39" hidden="1">
      <c r="B546" s="194" t="s">
        <v>75</v>
      </c>
      <c r="C546" s="194" t="s">
        <v>36</v>
      </c>
      <c r="D546" s="195">
        <v>26</v>
      </c>
      <c r="E546" s="194" t="s">
        <v>361</v>
      </c>
      <c r="F546" s="204" t="s">
        <v>468</v>
      </c>
      <c r="G546" s="89" t="s">
        <v>469</v>
      </c>
      <c r="H546" s="193">
        <v>1</v>
      </c>
      <c r="I546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546" s="88">
        <v>44118</v>
      </c>
      <c r="K546" s="139" t="s">
        <v>461</v>
      </c>
      <c r="L546" s="198" t="s">
        <v>470</v>
      </c>
      <c r="M546" s="139"/>
      <c r="N546" s="197"/>
      <c r="O546" s="316">
        <f>MONTH(LstMachines[[#This Row],[Delivery]])</f>
        <v>10</v>
      </c>
      <c r="P546" s="196" t="str">
        <f>FIXED(YEAR(LstMachines[[#This Row],[Delivery]]),0,TRUE)</f>
        <v>2020</v>
      </c>
      <c r="Q546" s="205"/>
      <c r="R546" s="241"/>
      <c r="S546" s="197"/>
      <c r="T546" s="197"/>
      <c r="U546" s="197"/>
      <c r="V546" s="193"/>
      <c r="W546" s="139"/>
      <c r="X546" s="197">
        <f>LstMachines[[#This Row],[Delivery]]</f>
        <v>44118</v>
      </c>
      <c r="Y546" s="317" t="str">
        <f xml:space="preserve"> IF(MONTH(LstMachines[[#This Row],[DateLivr]])&lt;10,"0","") &amp; MONTH(LstMachines[[#This Row],[DateLivr]]) &amp;"-"&amp;YEAR(LstMachines[[#This Row],[DateLivr]])</f>
        <v>10-2020</v>
      </c>
      <c r="Z546" s="196">
        <f>LstMachines[[#This Row],[Delivery]]+Rglt_à_HCME</f>
        <v>44178</v>
      </c>
      <c r="AA546" s="317" t="str">
        <f xml:space="preserve"> IF(MONTH(LstMachines[[#This Row],[DatePaie]])&lt;10,"0","") &amp; MONTH(LstMachines[[#This Row],[DatePaie]])&amp;"-"&amp;YEAR(LstMachines[[#This Row],[DatePaie]])</f>
        <v>12-2020</v>
      </c>
      <c r="AB546" s="317">
        <f>LstMachines[[#This Row],[DateLivr]]+1</f>
        <v>44119</v>
      </c>
      <c r="AC546" s="317" t="str">
        <f xml:space="preserve"> IF(MONTH(LstMachines[[#This Row],[Distrib]])&lt;10,"0","") &amp; MONTH(LstMachines[[#This Row],[Distrib]]) &amp; "-" &amp; YEAR(LstMachines[[#This Row],[Distrib]])</f>
        <v>10-2020</v>
      </c>
      <c r="AD546" s="317">
        <f>LstMachines[[#This Row],[DateLivr]]+Délai_Vente</f>
        <v>44238</v>
      </c>
      <c r="AE546" s="317" t="str">
        <f xml:space="preserve"> IF(MONTH(LstMachines[[#This Row],[VteESM]])&lt;10,"0","") &amp; MONTH(LstMachines[[#This Row],[VteESM]]) &amp; "-" &amp; YEAR(LstMachines[[#This Row],[VteESM]])</f>
        <v>02-2021</v>
      </c>
      <c r="AF546" s="317">
        <f>LstMachines[[#This Row],[DateLivr]]+Rglt_à_ESMTP</f>
        <v>44178</v>
      </c>
      <c r="AG546" s="317" t="str">
        <f xml:space="preserve"> IF(MONTH(LstMachines[[#This Row],[RgltDistrib]])&lt;10,"0","") &amp; MONTH(LstMachines[[#This Row],[RgltDistrib]]) &amp; "-" &amp; YEAR(LstMachines[[#This Row],[RgltDistrib]])</f>
        <v>12-2020</v>
      </c>
      <c r="AH546" s="317">
        <f>LstMachines[[#This Row],[VteESM]]+Rglt_à_ESMTP</f>
        <v>44298</v>
      </c>
      <c r="AI546" s="317" t="str">
        <f xml:space="preserve"> IF(MONTH(LstMachines[[#This Row],[RgltVteESM]])&lt;10,"0","") &amp; MONTH(LstMachines[[#This Row],[RgltVteESM]]) &amp; "-" &amp; YEAR(LstMachines[[#This Row],[RgltVteESM]])</f>
        <v>04-2021</v>
      </c>
      <c r="AJ546" s="316">
        <f>MONTH(LstMachines[[#This Row],[DatePaie]])</f>
        <v>12</v>
      </c>
      <c r="AK546" s="196" t="str">
        <f>FIXED(YEAR(LstMachines[[#This Row],[DatePaie]]),0,TRUE)</f>
        <v>2020</v>
      </c>
      <c r="AL546" s="316"/>
      <c r="AM546" s="414"/>
    </row>
    <row r="547" spans="2:39" hidden="1">
      <c r="B547" s="194" t="s">
        <v>262</v>
      </c>
      <c r="C547" s="194" t="s">
        <v>39</v>
      </c>
      <c r="D547" s="195">
        <v>85</v>
      </c>
      <c r="E547" s="194" t="s">
        <v>356</v>
      </c>
      <c r="F547" s="204" t="s">
        <v>468</v>
      </c>
      <c r="G547" s="204" t="s">
        <v>469</v>
      </c>
      <c r="H547" s="193">
        <v>1</v>
      </c>
      <c r="I547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547" s="88">
        <v>44118</v>
      </c>
      <c r="K547" s="139" t="s">
        <v>461</v>
      </c>
      <c r="L547" s="198" t="s">
        <v>470</v>
      </c>
      <c r="M547" s="139"/>
      <c r="N547" s="197"/>
      <c r="O547" s="316">
        <f>MONTH(LstMachines[[#This Row],[Delivery]])</f>
        <v>10</v>
      </c>
      <c r="P547" s="196" t="str">
        <f>FIXED(YEAR(LstMachines[[#This Row],[Delivery]]),0,TRUE)</f>
        <v>2020</v>
      </c>
      <c r="Q547" s="205"/>
      <c r="R547" s="241"/>
      <c r="S547" s="197"/>
      <c r="T547" s="197"/>
      <c r="U547" s="197"/>
      <c r="V547" s="193"/>
      <c r="W547" s="139"/>
      <c r="X547" s="197">
        <f>LstMachines[[#This Row],[Delivery]]</f>
        <v>44118</v>
      </c>
      <c r="Y547" s="317" t="str">
        <f xml:space="preserve"> IF(MONTH(LstMachines[[#This Row],[DateLivr]])&lt;10,"0","") &amp; MONTH(LstMachines[[#This Row],[DateLivr]]) &amp;"-"&amp;YEAR(LstMachines[[#This Row],[DateLivr]])</f>
        <v>10-2020</v>
      </c>
      <c r="Z547" s="196">
        <f>LstMachines[[#This Row],[Delivery]]+Rglt_à_HCME</f>
        <v>44178</v>
      </c>
      <c r="AA547" s="317" t="str">
        <f xml:space="preserve"> IF(MONTH(LstMachines[[#This Row],[DatePaie]])&lt;10,"0","") &amp; MONTH(LstMachines[[#This Row],[DatePaie]])&amp;"-"&amp;YEAR(LstMachines[[#This Row],[DatePaie]])</f>
        <v>12-2020</v>
      </c>
      <c r="AB547" s="317">
        <f>LstMachines[[#This Row],[DateLivr]]+1</f>
        <v>44119</v>
      </c>
      <c r="AC547" s="317" t="str">
        <f xml:space="preserve"> IF(MONTH(LstMachines[[#This Row],[Distrib]])&lt;10,"0","") &amp; MONTH(LstMachines[[#This Row],[Distrib]]) &amp; "-" &amp; YEAR(LstMachines[[#This Row],[Distrib]])</f>
        <v>10-2020</v>
      </c>
      <c r="AD547" s="317">
        <f>LstMachines[[#This Row],[DateLivr]]+Délai_Vente</f>
        <v>44238</v>
      </c>
      <c r="AE547" s="317" t="str">
        <f xml:space="preserve"> IF(MONTH(LstMachines[[#This Row],[VteESM]])&lt;10,"0","") &amp; MONTH(LstMachines[[#This Row],[VteESM]]) &amp; "-" &amp; YEAR(LstMachines[[#This Row],[VteESM]])</f>
        <v>02-2021</v>
      </c>
      <c r="AF547" s="317">
        <f>LstMachines[[#This Row],[DateLivr]]+Rglt_à_ESMTP</f>
        <v>44178</v>
      </c>
      <c r="AG547" s="317" t="str">
        <f xml:space="preserve"> IF(MONTH(LstMachines[[#This Row],[RgltDistrib]])&lt;10,"0","") &amp; MONTH(LstMachines[[#This Row],[RgltDistrib]]) &amp; "-" &amp; YEAR(LstMachines[[#This Row],[RgltDistrib]])</f>
        <v>12-2020</v>
      </c>
      <c r="AH547" s="317">
        <f>LstMachines[[#This Row],[VteESM]]+Rglt_à_ESMTP</f>
        <v>44298</v>
      </c>
      <c r="AI547" s="317" t="str">
        <f xml:space="preserve"> IF(MONTH(LstMachines[[#This Row],[RgltVteESM]])&lt;10,"0","") &amp; MONTH(LstMachines[[#This Row],[RgltVteESM]]) &amp; "-" &amp; YEAR(LstMachines[[#This Row],[RgltVteESM]])</f>
        <v>04-2021</v>
      </c>
      <c r="AJ547" s="316">
        <f>MONTH(LstMachines[[#This Row],[DatePaie]])</f>
        <v>12</v>
      </c>
      <c r="AK547" s="196" t="str">
        <f>FIXED(YEAR(LstMachines[[#This Row],[DatePaie]]),0,TRUE)</f>
        <v>2020</v>
      </c>
      <c r="AL547" s="316"/>
      <c r="AM547" s="414"/>
    </row>
    <row r="548" spans="2:39" hidden="1">
      <c r="B548" s="194" t="s">
        <v>262</v>
      </c>
      <c r="C548" s="194" t="s">
        <v>40</v>
      </c>
      <c r="D548" s="195">
        <v>135</v>
      </c>
      <c r="E548" s="194" t="s">
        <v>194</v>
      </c>
      <c r="F548" s="204" t="s">
        <v>468</v>
      </c>
      <c r="G548" s="204" t="s">
        <v>469</v>
      </c>
      <c r="H548" s="193">
        <v>1</v>
      </c>
      <c r="I548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548" s="88">
        <v>44118</v>
      </c>
      <c r="K548" s="139" t="s">
        <v>461</v>
      </c>
      <c r="L548" s="198" t="s">
        <v>470</v>
      </c>
      <c r="M548" s="139"/>
      <c r="N548" s="197"/>
      <c r="O548" s="316">
        <f>MONTH(LstMachines[[#This Row],[Delivery]])</f>
        <v>10</v>
      </c>
      <c r="P548" s="196" t="str">
        <f>FIXED(YEAR(LstMachines[[#This Row],[Delivery]]),0,TRUE)</f>
        <v>2020</v>
      </c>
      <c r="Q548" s="205"/>
      <c r="R548" s="241"/>
      <c r="S548" s="197"/>
      <c r="T548" s="197"/>
      <c r="U548" s="197"/>
      <c r="V548" s="193"/>
      <c r="W548" s="139"/>
      <c r="X548" s="197">
        <f>LstMachines[[#This Row],[Delivery]]</f>
        <v>44118</v>
      </c>
      <c r="Y548" s="317" t="str">
        <f xml:space="preserve"> IF(MONTH(LstMachines[[#This Row],[DateLivr]])&lt;10,"0","") &amp; MONTH(LstMachines[[#This Row],[DateLivr]]) &amp;"-"&amp;YEAR(LstMachines[[#This Row],[DateLivr]])</f>
        <v>10-2020</v>
      </c>
      <c r="Z548" s="196">
        <f>LstMachines[[#This Row],[Delivery]]+Rglt_à_HCME</f>
        <v>44178</v>
      </c>
      <c r="AA548" s="317" t="str">
        <f xml:space="preserve"> IF(MONTH(LstMachines[[#This Row],[DatePaie]])&lt;10,"0","") &amp; MONTH(LstMachines[[#This Row],[DatePaie]])&amp;"-"&amp;YEAR(LstMachines[[#This Row],[DatePaie]])</f>
        <v>12-2020</v>
      </c>
      <c r="AB548" s="317">
        <f>LstMachines[[#This Row],[DateLivr]]+1</f>
        <v>44119</v>
      </c>
      <c r="AC548" s="317" t="str">
        <f xml:space="preserve"> IF(MONTH(LstMachines[[#This Row],[Distrib]])&lt;10,"0","") &amp; MONTH(LstMachines[[#This Row],[Distrib]]) &amp; "-" &amp; YEAR(LstMachines[[#This Row],[Distrib]])</f>
        <v>10-2020</v>
      </c>
      <c r="AD548" s="317">
        <f>LstMachines[[#This Row],[DateLivr]]+Délai_Vente</f>
        <v>44238</v>
      </c>
      <c r="AE548" s="317" t="str">
        <f xml:space="preserve"> IF(MONTH(LstMachines[[#This Row],[VteESM]])&lt;10,"0","") &amp; MONTH(LstMachines[[#This Row],[VteESM]]) &amp; "-" &amp; YEAR(LstMachines[[#This Row],[VteESM]])</f>
        <v>02-2021</v>
      </c>
      <c r="AF548" s="317">
        <f>LstMachines[[#This Row],[DateLivr]]+Rglt_à_ESMTP</f>
        <v>44178</v>
      </c>
      <c r="AG548" s="317" t="str">
        <f xml:space="preserve"> IF(MONTH(LstMachines[[#This Row],[RgltDistrib]])&lt;10,"0","") &amp; MONTH(LstMachines[[#This Row],[RgltDistrib]]) &amp; "-" &amp; YEAR(LstMachines[[#This Row],[RgltDistrib]])</f>
        <v>12-2020</v>
      </c>
      <c r="AH548" s="317">
        <f>LstMachines[[#This Row],[VteESM]]+Rglt_à_ESMTP</f>
        <v>44298</v>
      </c>
      <c r="AI548" s="317" t="str">
        <f xml:space="preserve"> IF(MONTH(LstMachines[[#This Row],[RgltVteESM]])&lt;10,"0","") &amp; MONTH(LstMachines[[#This Row],[RgltVteESM]]) &amp; "-" &amp; YEAR(LstMachines[[#This Row],[RgltVteESM]])</f>
        <v>04-2021</v>
      </c>
      <c r="AJ548" s="316">
        <f>MONTH(LstMachines[[#This Row],[DatePaie]])</f>
        <v>12</v>
      </c>
      <c r="AK548" s="196" t="str">
        <f>FIXED(YEAR(LstMachines[[#This Row],[DatePaie]]),0,TRUE)</f>
        <v>2020</v>
      </c>
      <c r="AL548" s="316"/>
      <c r="AM548" s="414"/>
    </row>
    <row r="549" spans="2:39" hidden="1">
      <c r="B549" s="194" t="s">
        <v>75</v>
      </c>
      <c r="C549" s="194" t="s">
        <v>35</v>
      </c>
      <c r="D549" s="195">
        <v>19</v>
      </c>
      <c r="E549" s="194" t="s">
        <v>76</v>
      </c>
      <c r="F549" s="204" t="s">
        <v>468</v>
      </c>
      <c r="G549" s="89" t="s">
        <v>469</v>
      </c>
      <c r="H549" s="193">
        <v>1</v>
      </c>
      <c r="I549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549" s="88">
        <v>44149</v>
      </c>
      <c r="K549" s="139" t="s">
        <v>461</v>
      </c>
      <c r="L549" s="198" t="s">
        <v>470</v>
      </c>
      <c r="M549" s="139"/>
      <c r="N549" s="197"/>
      <c r="O549" s="316">
        <f>MONTH(LstMachines[[#This Row],[Delivery]])</f>
        <v>11</v>
      </c>
      <c r="P549" s="196" t="str">
        <f>FIXED(YEAR(LstMachines[[#This Row],[Delivery]]),0,TRUE)</f>
        <v>2020</v>
      </c>
      <c r="Q549" s="205"/>
      <c r="R549" s="241"/>
      <c r="S549" s="197"/>
      <c r="T549" s="197"/>
      <c r="U549" s="197"/>
      <c r="V549" s="193"/>
      <c r="W549" s="139"/>
      <c r="X549" s="197">
        <f>LstMachines[[#This Row],[Delivery]]</f>
        <v>44149</v>
      </c>
      <c r="Y549" s="317" t="str">
        <f xml:space="preserve"> IF(MONTH(LstMachines[[#This Row],[DateLivr]])&lt;10,"0","") &amp; MONTH(LstMachines[[#This Row],[DateLivr]]) &amp;"-"&amp;YEAR(LstMachines[[#This Row],[DateLivr]])</f>
        <v>11-2020</v>
      </c>
      <c r="Z549" s="196">
        <f>LstMachines[[#This Row],[Delivery]]+Rglt_à_HCME</f>
        <v>44209</v>
      </c>
      <c r="AA549" s="317" t="str">
        <f xml:space="preserve"> IF(MONTH(LstMachines[[#This Row],[DatePaie]])&lt;10,"0","") &amp; MONTH(LstMachines[[#This Row],[DatePaie]])&amp;"-"&amp;YEAR(LstMachines[[#This Row],[DatePaie]])</f>
        <v>01-2021</v>
      </c>
      <c r="AB549" s="317">
        <f>LstMachines[[#This Row],[DateLivr]]+1</f>
        <v>44150</v>
      </c>
      <c r="AC549" s="317" t="str">
        <f xml:space="preserve"> IF(MONTH(LstMachines[[#This Row],[Distrib]])&lt;10,"0","") &amp; MONTH(LstMachines[[#This Row],[Distrib]]) &amp; "-" &amp; YEAR(LstMachines[[#This Row],[Distrib]])</f>
        <v>11-2020</v>
      </c>
      <c r="AD549" s="317">
        <f>LstMachines[[#This Row],[DateLivr]]+Délai_Vente</f>
        <v>44269</v>
      </c>
      <c r="AE549" s="317" t="str">
        <f xml:space="preserve"> IF(MONTH(LstMachines[[#This Row],[VteESM]])&lt;10,"0","") &amp; MONTH(LstMachines[[#This Row],[VteESM]]) &amp; "-" &amp; YEAR(LstMachines[[#This Row],[VteESM]])</f>
        <v>03-2021</v>
      </c>
      <c r="AF549" s="317">
        <f>LstMachines[[#This Row],[DateLivr]]+Rglt_à_ESMTP</f>
        <v>44209</v>
      </c>
      <c r="AG549" s="317" t="str">
        <f xml:space="preserve"> IF(MONTH(LstMachines[[#This Row],[RgltDistrib]])&lt;10,"0","") &amp; MONTH(LstMachines[[#This Row],[RgltDistrib]]) &amp; "-" &amp; YEAR(LstMachines[[#This Row],[RgltDistrib]])</f>
        <v>01-2021</v>
      </c>
      <c r="AH549" s="317">
        <f>LstMachines[[#This Row],[VteESM]]+Rglt_à_ESMTP</f>
        <v>44329</v>
      </c>
      <c r="AI549" s="317" t="str">
        <f xml:space="preserve"> IF(MONTH(LstMachines[[#This Row],[RgltVteESM]])&lt;10,"0","") &amp; MONTH(LstMachines[[#This Row],[RgltVteESM]]) &amp; "-" &amp; YEAR(LstMachines[[#This Row],[RgltVteESM]])</f>
        <v>05-2021</v>
      </c>
      <c r="AJ549" s="316">
        <f>MONTH(LstMachines[[#This Row],[DatePaie]])</f>
        <v>1</v>
      </c>
      <c r="AK549" s="196" t="str">
        <f>FIXED(YEAR(LstMachines[[#This Row],[DatePaie]]),0,TRUE)</f>
        <v>2021</v>
      </c>
      <c r="AL549" s="316"/>
      <c r="AM549" s="414"/>
    </row>
    <row r="550" spans="2:39" hidden="1">
      <c r="B550" s="194" t="s">
        <v>75</v>
      </c>
      <c r="C550" s="194" t="s">
        <v>36</v>
      </c>
      <c r="D550" s="195">
        <v>26</v>
      </c>
      <c r="E550" s="194" t="s">
        <v>361</v>
      </c>
      <c r="F550" s="204" t="s">
        <v>468</v>
      </c>
      <c r="G550" s="89" t="s">
        <v>469</v>
      </c>
      <c r="H550" s="193">
        <v>1</v>
      </c>
      <c r="I550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550" s="88">
        <v>44149</v>
      </c>
      <c r="K550" s="139" t="s">
        <v>461</v>
      </c>
      <c r="L550" s="198" t="s">
        <v>470</v>
      </c>
      <c r="M550" s="139"/>
      <c r="N550" s="197"/>
      <c r="O550" s="316">
        <f>MONTH(LstMachines[[#This Row],[Delivery]])</f>
        <v>11</v>
      </c>
      <c r="P550" s="196" t="str">
        <f>FIXED(YEAR(LstMachines[[#This Row],[Delivery]]),0,TRUE)</f>
        <v>2020</v>
      </c>
      <c r="Q550" s="205"/>
      <c r="R550" s="241"/>
      <c r="S550" s="197"/>
      <c r="T550" s="197"/>
      <c r="U550" s="197"/>
      <c r="V550" s="193"/>
      <c r="W550" s="139"/>
      <c r="X550" s="197">
        <f>LstMachines[[#This Row],[Delivery]]</f>
        <v>44149</v>
      </c>
      <c r="Y550" s="317" t="str">
        <f xml:space="preserve"> IF(MONTH(LstMachines[[#This Row],[DateLivr]])&lt;10,"0","") &amp; MONTH(LstMachines[[#This Row],[DateLivr]]) &amp;"-"&amp;YEAR(LstMachines[[#This Row],[DateLivr]])</f>
        <v>11-2020</v>
      </c>
      <c r="Z550" s="196">
        <f>LstMachines[[#This Row],[Delivery]]+Rglt_à_HCME</f>
        <v>44209</v>
      </c>
      <c r="AA550" s="317" t="str">
        <f xml:space="preserve"> IF(MONTH(LstMachines[[#This Row],[DatePaie]])&lt;10,"0","") &amp; MONTH(LstMachines[[#This Row],[DatePaie]])&amp;"-"&amp;YEAR(LstMachines[[#This Row],[DatePaie]])</f>
        <v>01-2021</v>
      </c>
      <c r="AB550" s="317">
        <f>LstMachines[[#This Row],[DateLivr]]+1</f>
        <v>44150</v>
      </c>
      <c r="AC550" s="317" t="str">
        <f xml:space="preserve"> IF(MONTH(LstMachines[[#This Row],[Distrib]])&lt;10,"0","") &amp; MONTH(LstMachines[[#This Row],[Distrib]]) &amp; "-" &amp; YEAR(LstMachines[[#This Row],[Distrib]])</f>
        <v>11-2020</v>
      </c>
      <c r="AD550" s="317">
        <f>LstMachines[[#This Row],[DateLivr]]+Délai_Vente</f>
        <v>44269</v>
      </c>
      <c r="AE550" s="317" t="str">
        <f xml:space="preserve"> IF(MONTH(LstMachines[[#This Row],[VteESM]])&lt;10,"0","") &amp; MONTH(LstMachines[[#This Row],[VteESM]]) &amp; "-" &amp; YEAR(LstMachines[[#This Row],[VteESM]])</f>
        <v>03-2021</v>
      </c>
      <c r="AF550" s="317">
        <f>LstMachines[[#This Row],[DateLivr]]+Rglt_à_ESMTP</f>
        <v>44209</v>
      </c>
      <c r="AG550" s="317" t="str">
        <f xml:space="preserve"> IF(MONTH(LstMachines[[#This Row],[RgltDistrib]])&lt;10,"0","") &amp; MONTH(LstMachines[[#This Row],[RgltDistrib]]) &amp; "-" &amp; YEAR(LstMachines[[#This Row],[RgltDistrib]])</f>
        <v>01-2021</v>
      </c>
      <c r="AH550" s="317">
        <f>LstMachines[[#This Row],[VteESM]]+Rglt_à_ESMTP</f>
        <v>44329</v>
      </c>
      <c r="AI550" s="317" t="str">
        <f xml:space="preserve"> IF(MONTH(LstMachines[[#This Row],[RgltVteESM]])&lt;10,"0","") &amp; MONTH(LstMachines[[#This Row],[RgltVteESM]]) &amp; "-" &amp; YEAR(LstMachines[[#This Row],[RgltVteESM]])</f>
        <v>05-2021</v>
      </c>
      <c r="AJ550" s="316">
        <f>MONTH(LstMachines[[#This Row],[DatePaie]])</f>
        <v>1</v>
      </c>
      <c r="AK550" s="196" t="str">
        <f>FIXED(YEAR(LstMachines[[#This Row],[DatePaie]]),0,TRUE)</f>
        <v>2021</v>
      </c>
      <c r="AL550" s="316"/>
      <c r="AM550" s="414"/>
    </row>
    <row r="551" spans="2:39" hidden="1">
      <c r="B551" s="194" t="s">
        <v>75</v>
      </c>
      <c r="C551" s="194" t="s">
        <v>36</v>
      </c>
      <c r="D551" s="195">
        <v>26</v>
      </c>
      <c r="E551" s="194" t="s">
        <v>355</v>
      </c>
      <c r="F551" s="204" t="s">
        <v>468</v>
      </c>
      <c r="G551" s="89" t="s">
        <v>469</v>
      </c>
      <c r="H551" s="193">
        <v>1</v>
      </c>
      <c r="I551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551" s="88">
        <v>44149</v>
      </c>
      <c r="K551" s="139" t="s">
        <v>461</v>
      </c>
      <c r="L551" s="198" t="s">
        <v>470</v>
      </c>
      <c r="M551" s="139"/>
      <c r="N551" s="197"/>
      <c r="O551" s="316">
        <f>MONTH(LstMachines[[#This Row],[Delivery]])</f>
        <v>11</v>
      </c>
      <c r="P551" s="196" t="str">
        <f>FIXED(YEAR(LstMachines[[#This Row],[Delivery]]),0,TRUE)</f>
        <v>2020</v>
      </c>
      <c r="Q551" s="205"/>
      <c r="R551" s="241"/>
      <c r="S551" s="197"/>
      <c r="T551" s="197"/>
      <c r="U551" s="197"/>
      <c r="V551" s="193"/>
      <c r="W551" s="139"/>
      <c r="X551" s="197">
        <f>LstMachines[[#This Row],[Delivery]]</f>
        <v>44149</v>
      </c>
      <c r="Y551" s="317" t="str">
        <f xml:space="preserve"> IF(MONTH(LstMachines[[#This Row],[DateLivr]])&lt;10,"0","") &amp; MONTH(LstMachines[[#This Row],[DateLivr]]) &amp;"-"&amp;YEAR(LstMachines[[#This Row],[DateLivr]])</f>
        <v>11-2020</v>
      </c>
      <c r="Z551" s="196">
        <f>LstMachines[[#This Row],[Delivery]]+Rglt_à_HCME</f>
        <v>44209</v>
      </c>
      <c r="AA551" s="317" t="str">
        <f xml:space="preserve"> IF(MONTH(LstMachines[[#This Row],[DatePaie]])&lt;10,"0","") &amp; MONTH(LstMachines[[#This Row],[DatePaie]])&amp;"-"&amp;YEAR(LstMachines[[#This Row],[DatePaie]])</f>
        <v>01-2021</v>
      </c>
      <c r="AB551" s="317">
        <f>LstMachines[[#This Row],[DateLivr]]+1</f>
        <v>44150</v>
      </c>
      <c r="AC551" s="317" t="str">
        <f xml:space="preserve"> IF(MONTH(LstMachines[[#This Row],[Distrib]])&lt;10,"0","") &amp; MONTH(LstMachines[[#This Row],[Distrib]]) &amp; "-" &amp; YEAR(LstMachines[[#This Row],[Distrib]])</f>
        <v>11-2020</v>
      </c>
      <c r="AD551" s="317">
        <f>LstMachines[[#This Row],[DateLivr]]+Délai_Vente</f>
        <v>44269</v>
      </c>
      <c r="AE551" s="317" t="str">
        <f xml:space="preserve"> IF(MONTH(LstMachines[[#This Row],[VteESM]])&lt;10,"0","") &amp; MONTH(LstMachines[[#This Row],[VteESM]]) &amp; "-" &amp; YEAR(LstMachines[[#This Row],[VteESM]])</f>
        <v>03-2021</v>
      </c>
      <c r="AF551" s="317">
        <f>LstMachines[[#This Row],[DateLivr]]+Rglt_à_ESMTP</f>
        <v>44209</v>
      </c>
      <c r="AG551" s="317" t="str">
        <f xml:space="preserve"> IF(MONTH(LstMachines[[#This Row],[RgltDistrib]])&lt;10,"0","") &amp; MONTH(LstMachines[[#This Row],[RgltDistrib]]) &amp; "-" &amp; YEAR(LstMachines[[#This Row],[RgltDistrib]])</f>
        <v>01-2021</v>
      </c>
      <c r="AH551" s="317">
        <f>LstMachines[[#This Row],[VteESM]]+Rglt_à_ESMTP</f>
        <v>44329</v>
      </c>
      <c r="AI551" s="317" t="str">
        <f xml:space="preserve"> IF(MONTH(LstMachines[[#This Row],[RgltVteESM]])&lt;10,"0","") &amp; MONTH(LstMachines[[#This Row],[RgltVteESM]]) &amp; "-" &amp; YEAR(LstMachines[[#This Row],[RgltVteESM]])</f>
        <v>05-2021</v>
      </c>
      <c r="AJ551" s="316">
        <f>MONTH(LstMachines[[#This Row],[DatePaie]])</f>
        <v>1</v>
      </c>
      <c r="AK551" s="196" t="str">
        <f>FIXED(YEAR(LstMachines[[#This Row],[DatePaie]]),0,TRUE)</f>
        <v>2021</v>
      </c>
      <c r="AL551" s="316"/>
      <c r="AM551" s="414"/>
    </row>
    <row r="552" spans="2:39" hidden="1">
      <c r="B552" s="194" t="s">
        <v>75</v>
      </c>
      <c r="C552" s="194" t="s">
        <v>38</v>
      </c>
      <c r="D552" s="195">
        <v>65</v>
      </c>
      <c r="E552" s="194" t="s">
        <v>364</v>
      </c>
      <c r="F552" s="204" t="s">
        <v>468</v>
      </c>
      <c r="G552" s="89" t="s">
        <v>469</v>
      </c>
      <c r="H552" s="193">
        <v>1</v>
      </c>
      <c r="I552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45</v>
      </c>
      <c r="J552" s="88">
        <v>44149</v>
      </c>
      <c r="K552" s="139" t="s">
        <v>461</v>
      </c>
      <c r="L552" s="198" t="s">
        <v>470</v>
      </c>
      <c r="M552" s="139"/>
      <c r="N552" s="197"/>
      <c r="O552" s="316">
        <f>MONTH(LstMachines[[#This Row],[Delivery]])</f>
        <v>11</v>
      </c>
      <c r="P552" s="196" t="str">
        <f>FIXED(YEAR(LstMachines[[#This Row],[Delivery]]),0,TRUE)</f>
        <v>2020</v>
      </c>
      <c r="Q552" s="205"/>
      <c r="R552" s="241"/>
      <c r="S552" s="197"/>
      <c r="T552" s="197"/>
      <c r="U552" s="197"/>
      <c r="V552" s="193"/>
      <c r="W552" s="139"/>
      <c r="X552" s="197">
        <f>LstMachines[[#This Row],[Delivery]]</f>
        <v>44149</v>
      </c>
      <c r="Y552" s="317" t="str">
        <f xml:space="preserve"> IF(MONTH(LstMachines[[#This Row],[DateLivr]])&lt;10,"0","") &amp; MONTH(LstMachines[[#This Row],[DateLivr]]) &amp;"-"&amp;YEAR(LstMachines[[#This Row],[DateLivr]])</f>
        <v>11-2020</v>
      </c>
      <c r="Z552" s="196">
        <f>LstMachines[[#This Row],[Delivery]]+Rglt_à_HCME</f>
        <v>44209</v>
      </c>
      <c r="AA552" s="317" t="str">
        <f xml:space="preserve"> IF(MONTH(LstMachines[[#This Row],[DatePaie]])&lt;10,"0","") &amp; MONTH(LstMachines[[#This Row],[DatePaie]])&amp;"-"&amp;YEAR(LstMachines[[#This Row],[DatePaie]])</f>
        <v>01-2021</v>
      </c>
      <c r="AB552" s="317">
        <f>LstMachines[[#This Row],[DateLivr]]+1</f>
        <v>44150</v>
      </c>
      <c r="AC552" s="317" t="str">
        <f xml:space="preserve"> IF(MONTH(LstMachines[[#This Row],[Distrib]])&lt;10,"0","") &amp; MONTH(LstMachines[[#This Row],[Distrib]]) &amp; "-" &amp; YEAR(LstMachines[[#This Row],[Distrib]])</f>
        <v>11-2020</v>
      </c>
      <c r="AD552" s="317">
        <f>LstMachines[[#This Row],[DateLivr]]+Délai_Vente</f>
        <v>44269</v>
      </c>
      <c r="AE552" s="317" t="str">
        <f xml:space="preserve"> IF(MONTH(LstMachines[[#This Row],[VteESM]])&lt;10,"0","") &amp; MONTH(LstMachines[[#This Row],[VteESM]]) &amp; "-" &amp; YEAR(LstMachines[[#This Row],[VteESM]])</f>
        <v>03-2021</v>
      </c>
      <c r="AF552" s="317">
        <f>LstMachines[[#This Row],[DateLivr]]+Rglt_à_ESMTP</f>
        <v>44209</v>
      </c>
      <c r="AG552" s="317" t="str">
        <f xml:space="preserve"> IF(MONTH(LstMachines[[#This Row],[RgltDistrib]])&lt;10,"0","") &amp; MONTH(LstMachines[[#This Row],[RgltDistrib]]) &amp; "-" &amp; YEAR(LstMachines[[#This Row],[RgltDistrib]])</f>
        <v>01-2021</v>
      </c>
      <c r="AH552" s="317">
        <f>LstMachines[[#This Row],[VteESM]]+Rglt_à_ESMTP</f>
        <v>44329</v>
      </c>
      <c r="AI552" s="317" t="str">
        <f xml:space="preserve"> IF(MONTH(LstMachines[[#This Row],[RgltVteESM]])&lt;10,"0","") &amp; MONTH(LstMachines[[#This Row],[RgltVteESM]]) &amp; "-" &amp; YEAR(LstMachines[[#This Row],[RgltVteESM]])</f>
        <v>05-2021</v>
      </c>
      <c r="AJ552" s="316">
        <f>MONTH(LstMachines[[#This Row],[DatePaie]])</f>
        <v>1</v>
      </c>
      <c r="AK552" s="196" t="str">
        <f>FIXED(YEAR(LstMachines[[#This Row],[DatePaie]]),0,TRUE)</f>
        <v>2021</v>
      </c>
      <c r="AL552" s="316"/>
      <c r="AM552" s="414"/>
    </row>
    <row r="553" spans="2:39" hidden="1">
      <c r="B553" s="194" t="s">
        <v>262</v>
      </c>
      <c r="C553" s="194" t="s">
        <v>39</v>
      </c>
      <c r="D553" s="195">
        <v>85</v>
      </c>
      <c r="E553" s="194" t="s">
        <v>356</v>
      </c>
      <c r="F553" s="204" t="s">
        <v>468</v>
      </c>
      <c r="G553" s="204" t="s">
        <v>469</v>
      </c>
      <c r="H553" s="193">
        <v>1</v>
      </c>
      <c r="I553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553" s="88">
        <v>44149</v>
      </c>
      <c r="K553" s="139" t="s">
        <v>461</v>
      </c>
      <c r="L553" s="198" t="s">
        <v>470</v>
      </c>
      <c r="M553" s="139"/>
      <c r="N553" s="197"/>
      <c r="O553" s="316">
        <f>MONTH(LstMachines[[#This Row],[Delivery]])</f>
        <v>11</v>
      </c>
      <c r="P553" s="196" t="str">
        <f>FIXED(YEAR(LstMachines[[#This Row],[Delivery]]),0,TRUE)</f>
        <v>2020</v>
      </c>
      <c r="Q553" s="205"/>
      <c r="R553" s="241"/>
      <c r="S553" s="197"/>
      <c r="T553" s="197"/>
      <c r="U553" s="197"/>
      <c r="V553" s="193"/>
      <c r="W553" s="139"/>
      <c r="X553" s="197">
        <f>LstMachines[[#This Row],[Delivery]]</f>
        <v>44149</v>
      </c>
      <c r="Y553" s="317" t="str">
        <f xml:space="preserve"> IF(MONTH(LstMachines[[#This Row],[DateLivr]])&lt;10,"0","") &amp; MONTH(LstMachines[[#This Row],[DateLivr]]) &amp;"-"&amp;YEAR(LstMachines[[#This Row],[DateLivr]])</f>
        <v>11-2020</v>
      </c>
      <c r="Z553" s="196">
        <f>LstMachines[[#This Row],[Delivery]]+Rglt_à_HCME</f>
        <v>44209</v>
      </c>
      <c r="AA553" s="317" t="str">
        <f xml:space="preserve"> IF(MONTH(LstMachines[[#This Row],[DatePaie]])&lt;10,"0","") &amp; MONTH(LstMachines[[#This Row],[DatePaie]])&amp;"-"&amp;YEAR(LstMachines[[#This Row],[DatePaie]])</f>
        <v>01-2021</v>
      </c>
      <c r="AB553" s="317">
        <f>LstMachines[[#This Row],[DateLivr]]+1</f>
        <v>44150</v>
      </c>
      <c r="AC553" s="317" t="str">
        <f xml:space="preserve"> IF(MONTH(LstMachines[[#This Row],[Distrib]])&lt;10,"0","") &amp; MONTH(LstMachines[[#This Row],[Distrib]]) &amp; "-" &amp; YEAR(LstMachines[[#This Row],[Distrib]])</f>
        <v>11-2020</v>
      </c>
      <c r="AD553" s="317">
        <f>LstMachines[[#This Row],[DateLivr]]+Délai_Vente</f>
        <v>44269</v>
      </c>
      <c r="AE553" s="317" t="str">
        <f xml:space="preserve"> IF(MONTH(LstMachines[[#This Row],[VteESM]])&lt;10,"0","") &amp; MONTH(LstMachines[[#This Row],[VteESM]]) &amp; "-" &amp; YEAR(LstMachines[[#This Row],[VteESM]])</f>
        <v>03-2021</v>
      </c>
      <c r="AF553" s="317">
        <f>LstMachines[[#This Row],[DateLivr]]+Rglt_à_ESMTP</f>
        <v>44209</v>
      </c>
      <c r="AG553" s="317" t="str">
        <f xml:space="preserve"> IF(MONTH(LstMachines[[#This Row],[RgltDistrib]])&lt;10,"0","") &amp; MONTH(LstMachines[[#This Row],[RgltDistrib]]) &amp; "-" &amp; YEAR(LstMachines[[#This Row],[RgltDistrib]])</f>
        <v>01-2021</v>
      </c>
      <c r="AH553" s="317">
        <f>LstMachines[[#This Row],[VteESM]]+Rglt_à_ESMTP</f>
        <v>44329</v>
      </c>
      <c r="AI553" s="317" t="str">
        <f xml:space="preserve"> IF(MONTH(LstMachines[[#This Row],[RgltVteESM]])&lt;10,"0","") &amp; MONTH(LstMachines[[#This Row],[RgltVteESM]]) &amp; "-" &amp; YEAR(LstMachines[[#This Row],[RgltVteESM]])</f>
        <v>05-2021</v>
      </c>
      <c r="AJ553" s="316">
        <f>MONTH(LstMachines[[#This Row],[DatePaie]])</f>
        <v>1</v>
      </c>
      <c r="AK553" s="196" t="str">
        <f>FIXED(YEAR(LstMachines[[#This Row],[DatePaie]]),0,TRUE)</f>
        <v>2021</v>
      </c>
      <c r="AL553" s="316"/>
      <c r="AM553" s="414"/>
    </row>
    <row r="554" spans="2:39" hidden="1">
      <c r="B554" s="194" t="s">
        <v>262</v>
      </c>
      <c r="C554" s="194" t="s">
        <v>43</v>
      </c>
      <c r="D554" s="195">
        <v>210</v>
      </c>
      <c r="E554" s="194" t="s">
        <v>89</v>
      </c>
      <c r="F554" s="204" t="s">
        <v>468</v>
      </c>
      <c r="G554" s="204" t="s">
        <v>469</v>
      </c>
      <c r="H554" s="193">
        <v>1</v>
      </c>
      <c r="I554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118</v>
      </c>
      <c r="J554" s="88">
        <v>44149</v>
      </c>
      <c r="K554" s="139" t="s">
        <v>461</v>
      </c>
      <c r="L554" s="198" t="s">
        <v>470</v>
      </c>
      <c r="M554" s="139"/>
      <c r="N554" s="197"/>
      <c r="O554" s="316">
        <f>MONTH(LstMachines[[#This Row],[Delivery]])</f>
        <v>11</v>
      </c>
      <c r="P554" s="196" t="str">
        <f>FIXED(YEAR(LstMachines[[#This Row],[Delivery]]),0,TRUE)</f>
        <v>2020</v>
      </c>
      <c r="Q554" s="205"/>
      <c r="R554" s="241"/>
      <c r="S554" s="197"/>
      <c r="T554" s="197"/>
      <c r="U554" s="197"/>
      <c r="V554" s="193"/>
      <c r="W554" s="139"/>
      <c r="X554" s="197">
        <f>LstMachines[[#This Row],[Delivery]]</f>
        <v>44149</v>
      </c>
      <c r="Y554" s="317" t="str">
        <f xml:space="preserve"> IF(MONTH(LstMachines[[#This Row],[DateLivr]])&lt;10,"0","") &amp; MONTH(LstMachines[[#This Row],[DateLivr]]) &amp;"-"&amp;YEAR(LstMachines[[#This Row],[DateLivr]])</f>
        <v>11-2020</v>
      </c>
      <c r="Z554" s="196">
        <f>LstMachines[[#This Row],[Delivery]]+Rglt_à_HCME</f>
        <v>44209</v>
      </c>
      <c r="AA554" s="317" t="str">
        <f xml:space="preserve"> IF(MONTH(LstMachines[[#This Row],[DatePaie]])&lt;10,"0","") &amp; MONTH(LstMachines[[#This Row],[DatePaie]])&amp;"-"&amp;YEAR(LstMachines[[#This Row],[DatePaie]])</f>
        <v>01-2021</v>
      </c>
      <c r="AB554" s="317">
        <f>LstMachines[[#This Row],[DateLivr]]+1</f>
        <v>44150</v>
      </c>
      <c r="AC554" s="317" t="str">
        <f xml:space="preserve"> IF(MONTH(LstMachines[[#This Row],[Distrib]])&lt;10,"0","") &amp; MONTH(LstMachines[[#This Row],[Distrib]]) &amp; "-" &amp; YEAR(LstMachines[[#This Row],[Distrib]])</f>
        <v>11-2020</v>
      </c>
      <c r="AD554" s="317">
        <f>LstMachines[[#This Row],[DateLivr]]+Délai_Vente</f>
        <v>44269</v>
      </c>
      <c r="AE554" s="317" t="str">
        <f xml:space="preserve"> IF(MONTH(LstMachines[[#This Row],[VteESM]])&lt;10,"0","") &amp; MONTH(LstMachines[[#This Row],[VteESM]]) &amp; "-" &amp; YEAR(LstMachines[[#This Row],[VteESM]])</f>
        <v>03-2021</v>
      </c>
      <c r="AF554" s="317">
        <f>LstMachines[[#This Row],[DateLivr]]+Rglt_à_ESMTP</f>
        <v>44209</v>
      </c>
      <c r="AG554" s="317" t="str">
        <f xml:space="preserve"> IF(MONTH(LstMachines[[#This Row],[RgltDistrib]])&lt;10,"0","") &amp; MONTH(LstMachines[[#This Row],[RgltDistrib]]) &amp; "-" &amp; YEAR(LstMachines[[#This Row],[RgltDistrib]])</f>
        <v>01-2021</v>
      </c>
      <c r="AH554" s="317">
        <f>LstMachines[[#This Row],[VteESM]]+Rglt_à_ESMTP</f>
        <v>44329</v>
      </c>
      <c r="AI554" s="317" t="str">
        <f xml:space="preserve"> IF(MONTH(LstMachines[[#This Row],[RgltVteESM]])&lt;10,"0","") &amp; MONTH(LstMachines[[#This Row],[RgltVteESM]]) &amp; "-" &amp; YEAR(LstMachines[[#This Row],[RgltVteESM]])</f>
        <v>05-2021</v>
      </c>
      <c r="AJ554" s="316">
        <f>MONTH(LstMachines[[#This Row],[DatePaie]])</f>
        <v>1</v>
      </c>
      <c r="AK554" s="196" t="str">
        <f>FIXED(YEAR(LstMachines[[#This Row],[DatePaie]]),0,TRUE)</f>
        <v>2021</v>
      </c>
      <c r="AL554" s="316"/>
      <c r="AM554" s="414"/>
    </row>
    <row r="555" spans="2:39" hidden="1">
      <c r="B555" s="194" t="s">
        <v>75</v>
      </c>
      <c r="C555" s="194" t="s">
        <v>35</v>
      </c>
      <c r="D555" s="195">
        <v>19</v>
      </c>
      <c r="E555" s="194" t="s">
        <v>76</v>
      </c>
      <c r="F555" s="204" t="s">
        <v>468</v>
      </c>
      <c r="G555" s="89" t="s">
        <v>469</v>
      </c>
      <c r="H555" s="193">
        <v>1</v>
      </c>
      <c r="I555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18</v>
      </c>
      <c r="J555" s="88">
        <v>44179</v>
      </c>
      <c r="K555" s="139" t="s">
        <v>461</v>
      </c>
      <c r="L555" s="198" t="s">
        <v>470</v>
      </c>
      <c r="M555" s="139"/>
      <c r="N555" s="197"/>
      <c r="O555" s="316">
        <f>MONTH(LstMachines[[#This Row],[Delivery]])</f>
        <v>12</v>
      </c>
      <c r="P555" s="196" t="str">
        <f>FIXED(YEAR(LstMachines[[#This Row],[Delivery]]),0,TRUE)</f>
        <v>2020</v>
      </c>
      <c r="Q555" s="205"/>
      <c r="R555" s="241"/>
      <c r="S555" s="197"/>
      <c r="T555" s="197"/>
      <c r="U555" s="197"/>
      <c r="V555" s="193"/>
      <c r="W555" s="139"/>
      <c r="X555" s="197">
        <f>LstMachines[[#This Row],[Delivery]]</f>
        <v>44179</v>
      </c>
      <c r="Y555" s="317" t="str">
        <f xml:space="preserve"> IF(MONTH(LstMachines[[#This Row],[DateLivr]])&lt;10,"0","") &amp; MONTH(LstMachines[[#This Row],[DateLivr]]) &amp;"-"&amp;YEAR(LstMachines[[#This Row],[DateLivr]])</f>
        <v>12-2020</v>
      </c>
      <c r="Z555" s="196">
        <f>LstMachines[[#This Row],[Delivery]]+Rglt_à_HCME</f>
        <v>44239</v>
      </c>
      <c r="AA555" s="317" t="str">
        <f xml:space="preserve"> IF(MONTH(LstMachines[[#This Row],[DatePaie]])&lt;10,"0","") &amp; MONTH(LstMachines[[#This Row],[DatePaie]])&amp;"-"&amp;YEAR(LstMachines[[#This Row],[DatePaie]])</f>
        <v>02-2021</v>
      </c>
      <c r="AB555" s="317">
        <f>LstMachines[[#This Row],[DateLivr]]+1</f>
        <v>44180</v>
      </c>
      <c r="AC555" s="317" t="str">
        <f xml:space="preserve"> IF(MONTH(LstMachines[[#This Row],[Distrib]])&lt;10,"0","") &amp; MONTH(LstMachines[[#This Row],[Distrib]]) &amp; "-" &amp; YEAR(LstMachines[[#This Row],[Distrib]])</f>
        <v>12-2020</v>
      </c>
      <c r="AD555" s="317">
        <f>LstMachines[[#This Row],[DateLivr]]+Délai_Vente</f>
        <v>44299</v>
      </c>
      <c r="AE555" s="317" t="str">
        <f xml:space="preserve"> IF(MONTH(LstMachines[[#This Row],[VteESM]])&lt;10,"0","") &amp; MONTH(LstMachines[[#This Row],[VteESM]]) &amp; "-" &amp; YEAR(LstMachines[[#This Row],[VteESM]])</f>
        <v>04-2021</v>
      </c>
      <c r="AF555" s="317">
        <f>LstMachines[[#This Row],[DateLivr]]+Rglt_à_ESMTP</f>
        <v>44239</v>
      </c>
      <c r="AG555" s="317" t="str">
        <f xml:space="preserve"> IF(MONTH(LstMachines[[#This Row],[RgltDistrib]])&lt;10,"0","") &amp; MONTH(LstMachines[[#This Row],[RgltDistrib]]) &amp; "-" &amp; YEAR(LstMachines[[#This Row],[RgltDistrib]])</f>
        <v>02-2021</v>
      </c>
      <c r="AH555" s="317">
        <f>LstMachines[[#This Row],[VteESM]]+Rglt_à_ESMTP</f>
        <v>44359</v>
      </c>
      <c r="AI555" s="317" t="str">
        <f xml:space="preserve"> IF(MONTH(LstMachines[[#This Row],[RgltVteESM]])&lt;10,"0","") &amp; MONTH(LstMachines[[#This Row],[RgltVteESM]]) &amp; "-" &amp; YEAR(LstMachines[[#This Row],[RgltVteESM]])</f>
        <v>06-2021</v>
      </c>
      <c r="AJ555" s="316">
        <f>MONTH(LstMachines[[#This Row],[DatePaie]])</f>
        <v>2</v>
      </c>
      <c r="AK555" s="196" t="str">
        <f>FIXED(YEAR(LstMachines[[#This Row],[DatePaie]]),0,TRUE)</f>
        <v>2021</v>
      </c>
      <c r="AL555" s="316"/>
      <c r="AM555" s="414"/>
    </row>
    <row r="556" spans="2:39" hidden="1">
      <c r="B556" s="194" t="s">
        <v>75</v>
      </c>
      <c r="C556" s="194" t="s">
        <v>36</v>
      </c>
      <c r="D556" s="195">
        <v>26</v>
      </c>
      <c r="E556" s="194" t="s">
        <v>355</v>
      </c>
      <c r="F556" s="204" t="s">
        <v>468</v>
      </c>
      <c r="G556" s="89" t="s">
        <v>469</v>
      </c>
      <c r="H556" s="193">
        <v>1</v>
      </c>
      <c r="I556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22</v>
      </c>
      <c r="J556" s="88">
        <v>44179</v>
      </c>
      <c r="K556" s="139" t="s">
        <v>461</v>
      </c>
      <c r="L556" s="198" t="s">
        <v>470</v>
      </c>
      <c r="M556" s="139"/>
      <c r="N556" s="197"/>
      <c r="O556" s="316">
        <f>MONTH(LstMachines[[#This Row],[Delivery]])</f>
        <v>12</v>
      </c>
      <c r="P556" s="196" t="str">
        <f>FIXED(YEAR(LstMachines[[#This Row],[Delivery]]),0,TRUE)</f>
        <v>2020</v>
      </c>
      <c r="Q556" s="205"/>
      <c r="R556" s="241"/>
      <c r="S556" s="197"/>
      <c r="T556" s="197"/>
      <c r="U556" s="197"/>
      <c r="V556" s="193"/>
      <c r="W556" s="139"/>
      <c r="X556" s="197">
        <f>LstMachines[[#This Row],[Delivery]]</f>
        <v>44179</v>
      </c>
      <c r="Y556" s="317" t="str">
        <f xml:space="preserve"> IF(MONTH(LstMachines[[#This Row],[DateLivr]])&lt;10,"0","") &amp; MONTH(LstMachines[[#This Row],[DateLivr]]) &amp;"-"&amp;YEAR(LstMachines[[#This Row],[DateLivr]])</f>
        <v>12-2020</v>
      </c>
      <c r="Z556" s="196">
        <f>LstMachines[[#This Row],[Delivery]]+Rglt_à_HCME</f>
        <v>44239</v>
      </c>
      <c r="AA556" s="317" t="str">
        <f xml:space="preserve"> IF(MONTH(LstMachines[[#This Row],[DatePaie]])&lt;10,"0","") &amp; MONTH(LstMachines[[#This Row],[DatePaie]])&amp;"-"&amp;YEAR(LstMachines[[#This Row],[DatePaie]])</f>
        <v>02-2021</v>
      </c>
      <c r="AB556" s="317">
        <f>LstMachines[[#This Row],[DateLivr]]+1</f>
        <v>44180</v>
      </c>
      <c r="AC556" s="317" t="str">
        <f xml:space="preserve"> IF(MONTH(LstMachines[[#This Row],[Distrib]])&lt;10,"0","") &amp; MONTH(LstMachines[[#This Row],[Distrib]]) &amp; "-" &amp; YEAR(LstMachines[[#This Row],[Distrib]])</f>
        <v>12-2020</v>
      </c>
      <c r="AD556" s="317">
        <f>LstMachines[[#This Row],[DateLivr]]+Délai_Vente</f>
        <v>44299</v>
      </c>
      <c r="AE556" s="317" t="str">
        <f xml:space="preserve"> IF(MONTH(LstMachines[[#This Row],[VteESM]])&lt;10,"0","") &amp; MONTH(LstMachines[[#This Row],[VteESM]]) &amp; "-" &amp; YEAR(LstMachines[[#This Row],[VteESM]])</f>
        <v>04-2021</v>
      </c>
      <c r="AF556" s="317">
        <f>LstMachines[[#This Row],[DateLivr]]+Rglt_à_ESMTP</f>
        <v>44239</v>
      </c>
      <c r="AG556" s="317" t="str">
        <f xml:space="preserve"> IF(MONTH(LstMachines[[#This Row],[RgltDistrib]])&lt;10,"0","") &amp; MONTH(LstMachines[[#This Row],[RgltDistrib]]) &amp; "-" &amp; YEAR(LstMachines[[#This Row],[RgltDistrib]])</f>
        <v>02-2021</v>
      </c>
      <c r="AH556" s="317">
        <f>LstMachines[[#This Row],[VteESM]]+Rglt_à_ESMTP</f>
        <v>44359</v>
      </c>
      <c r="AI556" s="317" t="str">
        <f xml:space="preserve"> IF(MONTH(LstMachines[[#This Row],[RgltVteESM]])&lt;10,"0","") &amp; MONTH(LstMachines[[#This Row],[RgltVteESM]]) &amp; "-" &amp; YEAR(LstMachines[[#This Row],[RgltVteESM]])</f>
        <v>06-2021</v>
      </c>
      <c r="AJ556" s="316">
        <f>MONTH(LstMachines[[#This Row],[DatePaie]])</f>
        <v>2</v>
      </c>
      <c r="AK556" s="196" t="str">
        <f>FIXED(YEAR(LstMachines[[#This Row],[DatePaie]]),0,TRUE)</f>
        <v>2021</v>
      </c>
      <c r="AL556" s="316"/>
      <c r="AM556" s="414"/>
    </row>
    <row r="557" spans="2:39" hidden="1">
      <c r="B557" s="194" t="s">
        <v>262</v>
      </c>
      <c r="C557" s="194" t="s">
        <v>39</v>
      </c>
      <c r="D557" s="195">
        <v>85</v>
      </c>
      <c r="E557" s="194" t="s">
        <v>356</v>
      </c>
      <c r="F557" s="204" t="s">
        <v>468</v>
      </c>
      <c r="G557" s="204" t="s">
        <v>469</v>
      </c>
      <c r="H557" s="193">
        <v>1</v>
      </c>
      <c r="I557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557" s="88">
        <v>44179</v>
      </c>
      <c r="K557" s="139" t="s">
        <v>461</v>
      </c>
      <c r="L557" s="198" t="s">
        <v>470</v>
      </c>
      <c r="M557" s="139"/>
      <c r="N557" s="197"/>
      <c r="O557" s="316">
        <f>MONTH(LstMachines[[#This Row],[Delivery]])</f>
        <v>12</v>
      </c>
      <c r="P557" s="196" t="str">
        <f>FIXED(YEAR(LstMachines[[#This Row],[Delivery]]),0,TRUE)</f>
        <v>2020</v>
      </c>
      <c r="Q557" s="205"/>
      <c r="R557" s="241"/>
      <c r="S557" s="197"/>
      <c r="T557" s="197"/>
      <c r="U557" s="197"/>
      <c r="V557" s="193"/>
      <c r="W557" s="139"/>
      <c r="X557" s="197">
        <f>LstMachines[[#This Row],[Delivery]]</f>
        <v>44179</v>
      </c>
      <c r="Y557" s="317" t="str">
        <f xml:space="preserve"> IF(MONTH(LstMachines[[#This Row],[DateLivr]])&lt;10,"0","") &amp; MONTH(LstMachines[[#This Row],[DateLivr]]) &amp;"-"&amp;YEAR(LstMachines[[#This Row],[DateLivr]])</f>
        <v>12-2020</v>
      </c>
      <c r="Z557" s="196">
        <f>LstMachines[[#This Row],[Delivery]]+Rglt_à_HCME</f>
        <v>44239</v>
      </c>
      <c r="AA557" s="317" t="str">
        <f xml:space="preserve"> IF(MONTH(LstMachines[[#This Row],[DatePaie]])&lt;10,"0","") &amp; MONTH(LstMachines[[#This Row],[DatePaie]])&amp;"-"&amp;YEAR(LstMachines[[#This Row],[DatePaie]])</f>
        <v>02-2021</v>
      </c>
      <c r="AB557" s="317">
        <f>LstMachines[[#This Row],[DateLivr]]+1</f>
        <v>44180</v>
      </c>
      <c r="AC557" s="317" t="str">
        <f xml:space="preserve"> IF(MONTH(LstMachines[[#This Row],[Distrib]])&lt;10,"0","") &amp; MONTH(LstMachines[[#This Row],[Distrib]]) &amp; "-" &amp; YEAR(LstMachines[[#This Row],[Distrib]])</f>
        <v>12-2020</v>
      </c>
      <c r="AD557" s="317">
        <f>LstMachines[[#This Row],[DateLivr]]+Délai_Vente</f>
        <v>44299</v>
      </c>
      <c r="AE557" s="317" t="str">
        <f xml:space="preserve"> IF(MONTH(LstMachines[[#This Row],[VteESM]])&lt;10,"0","") &amp; MONTH(LstMachines[[#This Row],[VteESM]]) &amp; "-" &amp; YEAR(LstMachines[[#This Row],[VteESM]])</f>
        <v>04-2021</v>
      </c>
      <c r="AF557" s="317">
        <f>LstMachines[[#This Row],[DateLivr]]+Rglt_à_ESMTP</f>
        <v>44239</v>
      </c>
      <c r="AG557" s="317" t="str">
        <f xml:space="preserve"> IF(MONTH(LstMachines[[#This Row],[RgltDistrib]])&lt;10,"0","") &amp; MONTH(LstMachines[[#This Row],[RgltDistrib]]) &amp; "-" &amp; YEAR(LstMachines[[#This Row],[RgltDistrib]])</f>
        <v>02-2021</v>
      </c>
      <c r="AH557" s="317">
        <f>LstMachines[[#This Row],[VteESM]]+Rglt_à_ESMTP</f>
        <v>44359</v>
      </c>
      <c r="AI557" s="317" t="str">
        <f xml:space="preserve"> IF(MONTH(LstMachines[[#This Row],[RgltVteESM]])&lt;10,"0","") &amp; MONTH(LstMachines[[#This Row],[RgltVteESM]]) &amp; "-" &amp; YEAR(LstMachines[[#This Row],[RgltVteESM]])</f>
        <v>06-2021</v>
      </c>
      <c r="AJ557" s="316">
        <f>MONTH(LstMachines[[#This Row],[DatePaie]])</f>
        <v>2</v>
      </c>
      <c r="AK557" s="196" t="str">
        <f>FIXED(YEAR(LstMachines[[#This Row],[DatePaie]]),0,TRUE)</f>
        <v>2021</v>
      </c>
      <c r="AL557" s="316"/>
      <c r="AM557" s="414"/>
    </row>
    <row r="558" spans="2:39" hidden="1">
      <c r="B558" s="194" t="s">
        <v>262</v>
      </c>
      <c r="C558" s="194" t="s">
        <v>39</v>
      </c>
      <c r="D558" s="195">
        <v>85</v>
      </c>
      <c r="E558" s="194" t="s">
        <v>356</v>
      </c>
      <c r="F558" s="204" t="s">
        <v>468</v>
      </c>
      <c r="G558" s="204" t="s">
        <v>469</v>
      </c>
      <c r="H558" s="193">
        <v>1</v>
      </c>
      <c r="I558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64</v>
      </c>
      <c r="J558" s="88">
        <v>44179</v>
      </c>
      <c r="K558" s="139" t="s">
        <v>461</v>
      </c>
      <c r="L558" s="198" t="s">
        <v>470</v>
      </c>
      <c r="M558" s="139"/>
      <c r="N558" s="197"/>
      <c r="O558" s="316">
        <f>MONTH(LstMachines[[#This Row],[Delivery]])</f>
        <v>12</v>
      </c>
      <c r="P558" s="196" t="str">
        <f>FIXED(YEAR(LstMachines[[#This Row],[Delivery]]),0,TRUE)</f>
        <v>2020</v>
      </c>
      <c r="Q558" s="205"/>
      <c r="R558" s="241"/>
      <c r="S558" s="197"/>
      <c r="T558" s="197"/>
      <c r="U558" s="197"/>
      <c r="V558" s="193"/>
      <c r="W558" s="139"/>
      <c r="X558" s="197">
        <f>LstMachines[[#This Row],[Delivery]]</f>
        <v>44179</v>
      </c>
      <c r="Y558" s="317" t="str">
        <f xml:space="preserve"> IF(MONTH(LstMachines[[#This Row],[DateLivr]])&lt;10,"0","") &amp; MONTH(LstMachines[[#This Row],[DateLivr]]) &amp;"-"&amp;YEAR(LstMachines[[#This Row],[DateLivr]])</f>
        <v>12-2020</v>
      </c>
      <c r="Z558" s="196">
        <f>LstMachines[[#This Row],[Delivery]]+Rglt_à_HCME</f>
        <v>44239</v>
      </c>
      <c r="AA558" s="317" t="str">
        <f xml:space="preserve"> IF(MONTH(LstMachines[[#This Row],[DatePaie]])&lt;10,"0","") &amp; MONTH(LstMachines[[#This Row],[DatePaie]])&amp;"-"&amp;YEAR(LstMachines[[#This Row],[DatePaie]])</f>
        <v>02-2021</v>
      </c>
      <c r="AB558" s="317">
        <f>LstMachines[[#This Row],[DateLivr]]+1</f>
        <v>44180</v>
      </c>
      <c r="AC558" s="317" t="str">
        <f xml:space="preserve"> IF(MONTH(LstMachines[[#This Row],[Distrib]])&lt;10,"0","") &amp; MONTH(LstMachines[[#This Row],[Distrib]]) &amp; "-" &amp; YEAR(LstMachines[[#This Row],[Distrib]])</f>
        <v>12-2020</v>
      </c>
      <c r="AD558" s="317">
        <f>LstMachines[[#This Row],[DateLivr]]+Délai_Vente</f>
        <v>44299</v>
      </c>
      <c r="AE558" s="317" t="str">
        <f xml:space="preserve"> IF(MONTH(LstMachines[[#This Row],[VteESM]])&lt;10,"0","") &amp; MONTH(LstMachines[[#This Row],[VteESM]]) &amp; "-" &amp; YEAR(LstMachines[[#This Row],[VteESM]])</f>
        <v>04-2021</v>
      </c>
      <c r="AF558" s="317">
        <f>LstMachines[[#This Row],[DateLivr]]+Rglt_à_ESMTP</f>
        <v>44239</v>
      </c>
      <c r="AG558" s="317" t="str">
        <f xml:space="preserve"> IF(MONTH(LstMachines[[#This Row],[RgltDistrib]])&lt;10,"0","") &amp; MONTH(LstMachines[[#This Row],[RgltDistrib]]) &amp; "-" &amp; YEAR(LstMachines[[#This Row],[RgltDistrib]])</f>
        <v>02-2021</v>
      </c>
      <c r="AH558" s="317">
        <f>LstMachines[[#This Row],[VteESM]]+Rglt_à_ESMTP</f>
        <v>44359</v>
      </c>
      <c r="AI558" s="317" t="str">
        <f xml:space="preserve"> IF(MONTH(LstMachines[[#This Row],[RgltVteESM]])&lt;10,"0","") &amp; MONTH(LstMachines[[#This Row],[RgltVteESM]]) &amp; "-" &amp; YEAR(LstMachines[[#This Row],[RgltVteESM]])</f>
        <v>06-2021</v>
      </c>
      <c r="AJ558" s="316">
        <f>MONTH(LstMachines[[#This Row],[DatePaie]])</f>
        <v>2</v>
      </c>
      <c r="AK558" s="196" t="str">
        <f>FIXED(YEAR(LstMachines[[#This Row],[DatePaie]]),0,TRUE)</f>
        <v>2021</v>
      </c>
      <c r="AL558" s="316"/>
      <c r="AM558" s="414"/>
    </row>
    <row r="559" spans="2:39" hidden="1">
      <c r="B559" s="194" t="s">
        <v>262</v>
      </c>
      <c r="C559" s="194" t="s">
        <v>40</v>
      </c>
      <c r="D559" s="195">
        <v>135</v>
      </c>
      <c r="E559" s="194" t="s">
        <v>87</v>
      </c>
      <c r="F559" s="204" t="s">
        <v>468</v>
      </c>
      <c r="G559" s="204" t="s">
        <v>469</v>
      </c>
      <c r="H559" s="193">
        <v>1</v>
      </c>
      <c r="I559" s="193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102</v>
      </c>
      <c r="J559" s="88">
        <v>44179</v>
      </c>
      <c r="K559" s="139" t="s">
        <v>461</v>
      </c>
      <c r="L559" s="198" t="s">
        <v>470</v>
      </c>
      <c r="M559" s="139"/>
      <c r="N559" s="197"/>
      <c r="O559" s="316">
        <f>MONTH(LstMachines[[#This Row],[Delivery]])</f>
        <v>12</v>
      </c>
      <c r="P559" s="196" t="str">
        <f>FIXED(YEAR(LstMachines[[#This Row],[Delivery]]),0,TRUE)</f>
        <v>2020</v>
      </c>
      <c r="Q559" s="205"/>
      <c r="R559" s="241"/>
      <c r="S559" s="197"/>
      <c r="T559" s="197"/>
      <c r="U559" s="197"/>
      <c r="V559" s="193"/>
      <c r="W559" s="139"/>
      <c r="X559" s="197">
        <f>LstMachines[[#This Row],[Delivery]]</f>
        <v>44179</v>
      </c>
      <c r="Y559" s="317" t="str">
        <f xml:space="preserve"> IF(MONTH(LstMachines[[#This Row],[DateLivr]])&lt;10,"0","") &amp; MONTH(LstMachines[[#This Row],[DateLivr]]) &amp;"-"&amp;YEAR(LstMachines[[#This Row],[DateLivr]])</f>
        <v>12-2020</v>
      </c>
      <c r="Z559" s="196">
        <f>LstMachines[[#This Row],[Delivery]]+Rglt_à_HCME</f>
        <v>44239</v>
      </c>
      <c r="AA559" s="317" t="str">
        <f xml:space="preserve"> IF(MONTH(LstMachines[[#This Row],[DatePaie]])&lt;10,"0","") &amp; MONTH(LstMachines[[#This Row],[DatePaie]])&amp;"-"&amp;YEAR(LstMachines[[#This Row],[DatePaie]])</f>
        <v>02-2021</v>
      </c>
      <c r="AB559" s="317">
        <f>LstMachines[[#This Row],[DateLivr]]+1</f>
        <v>44180</v>
      </c>
      <c r="AC559" s="317" t="str">
        <f xml:space="preserve"> IF(MONTH(LstMachines[[#This Row],[Distrib]])&lt;10,"0","") &amp; MONTH(LstMachines[[#This Row],[Distrib]]) &amp; "-" &amp; YEAR(LstMachines[[#This Row],[Distrib]])</f>
        <v>12-2020</v>
      </c>
      <c r="AD559" s="317">
        <f>LstMachines[[#This Row],[DateLivr]]+Délai_Vente</f>
        <v>44299</v>
      </c>
      <c r="AE559" s="317" t="str">
        <f xml:space="preserve"> IF(MONTH(LstMachines[[#This Row],[VteESM]])&lt;10,"0","") &amp; MONTH(LstMachines[[#This Row],[VteESM]]) &amp; "-" &amp; YEAR(LstMachines[[#This Row],[VteESM]])</f>
        <v>04-2021</v>
      </c>
      <c r="AF559" s="317">
        <f>LstMachines[[#This Row],[DateLivr]]+Rglt_à_ESMTP</f>
        <v>44239</v>
      </c>
      <c r="AG559" s="317" t="str">
        <f xml:space="preserve"> IF(MONTH(LstMachines[[#This Row],[RgltDistrib]])&lt;10,"0","") &amp; MONTH(LstMachines[[#This Row],[RgltDistrib]]) &amp; "-" &amp; YEAR(LstMachines[[#This Row],[RgltDistrib]])</f>
        <v>02-2021</v>
      </c>
      <c r="AH559" s="317">
        <f>LstMachines[[#This Row],[VteESM]]+Rglt_à_ESMTP</f>
        <v>44359</v>
      </c>
      <c r="AI559" s="317" t="str">
        <f xml:space="preserve"> IF(MONTH(LstMachines[[#This Row],[RgltVteESM]])&lt;10,"0","") &amp; MONTH(LstMachines[[#This Row],[RgltVteESM]]) &amp; "-" &amp; YEAR(LstMachines[[#This Row],[RgltVteESM]])</f>
        <v>06-2021</v>
      </c>
      <c r="AJ559" s="316">
        <f>MONTH(LstMachines[[#This Row],[DatePaie]])</f>
        <v>2</v>
      </c>
      <c r="AK559" s="196" t="str">
        <f>FIXED(YEAR(LstMachines[[#This Row],[DatePaie]]),0,TRUE)</f>
        <v>2021</v>
      </c>
      <c r="AL559" s="316"/>
      <c r="AM559" s="414"/>
    </row>
    <row r="560" spans="2:39" hidden="1">
      <c r="B560" s="402"/>
      <c r="C560" s="402"/>
      <c r="D560" s="403"/>
      <c r="E560" s="402" t="s">
        <v>89</v>
      </c>
      <c r="F560" s="87" t="s">
        <v>100</v>
      </c>
      <c r="G560" s="404"/>
      <c r="H560" s="405"/>
      <c r="I560" s="405">
        <f xml:space="preserve"> IF(LstMachines[[#This Row],[Delivery]]&lt;Début_HCME, 0,
           IFERROR(   LstMachines[[#This Row],[Nbre]]
                                 * INDEX(TabModelSpecs[],MATCH(LstMachines[[#This Row],[Model-Spec]],TabModelSpecs[ModelSpec],0),MATCH("2018",TabModelSpecs[#Headers],0)),
                                  LstMachines[[#This Row],[Nbre]]*ROUND(AVERAGEIF(TabModelSpecs[Machine],LstMachines[[#This Row],[Model]],TabModelSpecs[Price]),0)
         )                    )</f>
        <v>0</v>
      </c>
      <c r="J560" s="406"/>
      <c r="K560" s="407"/>
      <c r="L560" s="408"/>
      <c r="M560" s="407"/>
      <c r="N560" s="409"/>
      <c r="O560" s="410">
        <f>MONTH(LstMachines[[#This Row],[Delivery]])</f>
        <v>1</v>
      </c>
      <c r="P560" s="406" t="str">
        <f>FIXED(YEAR(LstMachines[[#This Row],[Delivery]]),0,TRUE)</f>
        <v>1900</v>
      </c>
      <c r="Q560" s="411"/>
      <c r="R560" s="412"/>
      <c r="S560" s="409"/>
      <c r="T560" s="409"/>
      <c r="U560" s="409"/>
      <c r="V560" s="405"/>
      <c r="W560" s="407"/>
      <c r="X560" s="409">
        <f>LstMachines[[#This Row],[Delivery]]</f>
        <v>0</v>
      </c>
      <c r="Y560" s="413" t="str">
        <f xml:space="preserve"> IF(MONTH(LstMachines[[#This Row],[DateLivr]])&lt;10,"0","") &amp; MONTH(LstMachines[[#This Row],[DateLivr]]) &amp;"-"&amp;YEAR(LstMachines[[#This Row],[DateLivr]])</f>
        <v>01-1900</v>
      </c>
      <c r="Z560" s="406">
        <f>LstMachines[[#This Row],[Delivery]]+Rglt_à_HCME</f>
        <v>60</v>
      </c>
      <c r="AA560" s="413" t="str">
        <f xml:space="preserve"> IF(MONTH(LstMachines[[#This Row],[DatePaie]])&lt;10,"0","") &amp; MONTH(LstMachines[[#This Row],[DatePaie]])&amp;"-"&amp;YEAR(LstMachines[[#This Row],[DatePaie]])</f>
        <v>02-1900</v>
      </c>
      <c r="AB560" s="413">
        <f>LstMachines[[#This Row],[DateLivr]]+1</f>
        <v>1</v>
      </c>
      <c r="AC560" s="413" t="str">
        <f xml:space="preserve"> IF(MONTH(LstMachines[[#This Row],[Distrib]])&lt;10,"0","") &amp; MONTH(LstMachines[[#This Row],[Distrib]]) &amp; "-" &amp; YEAR(LstMachines[[#This Row],[Distrib]])</f>
        <v>01-1900</v>
      </c>
      <c r="AD560" s="413">
        <f>LstMachines[[#This Row],[DateLivr]]+Délai_Vente</f>
        <v>120</v>
      </c>
      <c r="AE560" s="413" t="str">
        <f xml:space="preserve"> IF(MONTH(LstMachines[[#This Row],[VteESM]])&lt;10,"0","") &amp; MONTH(LstMachines[[#This Row],[VteESM]]) &amp; "-" &amp; YEAR(LstMachines[[#This Row],[VteESM]])</f>
        <v>04-1900</v>
      </c>
      <c r="AF560" s="413">
        <f>LstMachines[[#This Row],[DateLivr]]+Rglt_à_ESMTP</f>
        <v>60</v>
      </c>
      <c r="AG560" s="413" t="str">
        <f xml:space="preserve"> IF(MONTH(LstMachines[[#This Row],[RgltDistrib]])&lt;10,"0","") &amp; MONTH(LstMachines[[#This Row],[RgltDistrib]]) &amp; "-" &amp; YEAR(LstMachines[[#This Row],[RgltDistrib]])</f>
        <v>02-1900</v>
      </c>
      <c r="AH560" s="413">
        <f>LstMachines[[#This Row],[VteESM]]+Rglt_à_ESMTP</f>
        <v>180</v>
      </c>
      <c r="AI560" s="413" t="str">
        <f xml:space="preserve"> IF(MONTH(LstMachines[[#This Row],[RgltVteESM]])&lt;10,"0","") &amp; MONTH(LstMachines[[#This Row],[RgltVteESM]]) &amp; "-" &amp; YEAR(LstMachines[[#This Row],[RgltVteESM]])</f>
        <v>06-1900</v>
      </c>
      <c r="AJ560" s="410">
        <f>MONTH(LstMachines[[#This Row],[DatePaie]])</f>
        <v>2</v>
      </c>
      <c r="AK560" s="406" t="str">
        <f>FIXED(YEAR(LstMachines[[#This Row],[DatePaie]]),0,TRUE)</f>
        <v>1900</v>
      </c>
      <c r="AL560" s="410"/>
      <c r="AM560" s="414"/>
    </row>
  </sheetData>
  <dataValidations count="4">
    <dataValidation type="list" allowBlank="1" showInputMessage="1" showErrorMessage="1" sqref="B3 U314:U340">
      <formula1>test</formula1>
    </dataValidation>
    <dataValidation type="list" allowBlank="1" showInputMessage="1" showErrorMessage="1" sqref="M428:M429 M83 M475:M476 M46:M47 E561:E1048576">
      <formula1>#REF!</formula1>
    </dataValidation>
    <dataValidation type="list" allowBlank="1" showInputMessage="1" showErrorMessage="1" sqref="B560:B1048576">
      <formula1>"LstCatégories"</formula1>
    </dataValidation>
    <dataValidation type="list" allowBlank="1" showInputMessage="1" showErrorMessage="1" sqref="M527:M528">
      <formula1>$R$24:$R$30</formula1>
    </dataValidation>
  </dataValidations>
  <pageMargins left="0.23622047244094491" right="0.23622047244094491" top="0.74803149606299213" bottom="0.74803149606299213" header="0.31496062992125984" footer="0.31496062992125984"/>
  <pageSetup paperSize="9" scale="88" orientation="portrait" horizontalDpi="300" verticalDpi="300" r:id="rId1"/>
  <headerFooter>
    <oddHeader>&amp;C&amp;F / &amp;A</oddHeader>
    <oddFooter>&amp;L&amp;"-,Gras"Confidentiel ESM TP&amp;C&amp;D&amp;RPage &amp;P</oddFooter>
  </headerFooter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[1]Data!#REF!</xm:f>
          </x14:formula1>
          <xm:sqref>G529:G559</xm:sqref>
        </x14:dataValidation>
        <x14:dataValidation type="list" allowBlank="1" showInputMessage="1" showErrorMessage="1">
          <x14:formula1>
            <xm:f>Data!$M$10:$M$18</xm:f>
          </x14:formula1>
          <xm:sqref>G4:G528</xm:sqref>
        </x14:dataValidation>
        <x14:dataValidation type="list" allowBlank="1" showInputMessage="1" showErrorMessage="1">
          <x14:formula1>
            <xm:f>Data!$M$3:$M$6</xm:f>
          </x14:formula1>
          <xm:sqref>B4:B559</xm:sqref>
        </x14:dataValidation>
        <x14:dataValidation type="list" allowBlank="1" showInputMessage="1" showErrorMessage="1">
          <x14:formula1>
            <xm:f>Data!$L$22:$L$28</xm:f>
          </x14:formula1>
          <xm:sqref>K4:K560</xm:sqref>
        </x14:dataValidation>
        <x14:dataValidation type="list" allowBlank="1" showInputMessage="1" showErrorMessage="1">
          <x14:formula1>
            <xm:f>Data!$I$3:$I$117</xm:f>
          </x14:formula1>
          <xm:sqref>E4:E560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343"/>
  <sheetViews>
    <sheetView zoomScale="70" zoomScaleNormal="70" zoomScalePageLayoutView="70" workbookViewId="0"/>
  </sheetViews>
  <sheetFormatPr baseColWidth="10" defaultColWidth="9.109375" defaultRowHeight="15.6" outlineLevelCol="1"/>
  <cols>
    <col min="1" max="1" width="4.6640625" style="141" customWidth="1"/>
    <col min="2" max="2" width="13.6640625" style="141" customWidth="1"/>
    <col min="3" max="3" width="10.44140625" style="141" bestFit="1" customWidth="1"/>
    <col min="4" max="4" width="13.44140625" style="141" bestFit="1" customWidth="1"/>
    <col min="5" max="5" width="21.6640625" style="141" bestFit="1" customWidth="1"/>
    <col min="6" max="6" width="8.44140625" style="154" bestFit="1" customWidth="1"/>
    <col min="7" max="7" width="14.33203125" style="141" customWidth="1"/>
    <col min="8" max="8" width="11.44140625" style="141" hidden="1" customWidth="1" outlineLevel="1"/>
    <col min="9" max="9" width="14.33203125" style="141" hidden="1" customWidth="1" outlineLevel="1"/>
    <col min="10" max="10" width="13.44140625" style="141" bestFit="1" customWidth="1" collapsed="1"/>
    <col min="11" max="11" width="13.44140625" style="141" hidden="1" customWidth="1" outlineLevel="1"/>
    <col min="12" max="12" width="11.44140625" style="142" hidden="1" customWidth="1" outlineLevel="1"/>
    <col min="13" max="13" width="12.109375" style="143" hidden="1" customWidth="1" outlineLevel="1"/>
    <col min="14" max="14" width="11.109375" style="184" hidden="1" customWidth="1" outlineLevel="1"/>
    <col min="15" max="15" width="11.109375" style="145" hidden="1" customWidth="1" outlineLevel="1"/>
    <col min="16" max="16" width="11.33203125" style="185" hidden="1" customWidth="1" outlineLevel="1"/>
    <col min="17" max="17" width="11.33203125" style="184" hidden="1" customWidth="1" outlineLevel="1"/>
    <col min="18" max="18" width="11.6640625" style="145" hidden="1" customWidth="1" outlineLevel="1"/>
    <col min="19" max="19" width="11.6640625" style="146" hidden="1" customWidth="1" outlineLevel="1"/>
    <col min="20" max="20" width="11.6640625" style="144" hidden="1" customWidth="1" outlineLevel="1"/>
    <col min="21" max="21" width="11.6640625" style="145" hidden="1" customWidth="1" outlineLevel="1"/>
    <col min="22" max="22" width="11.6640625" style="146" customWidth="1" collapsed="1"/>
    <col min="23" max="23" width="11.6640625" style="144" hidden="1" customWidth="1" outlineLevel="1"/>
    <col min="24" max="24" width="11.6640625" style="145" hidden="1" customWidth="1" outlineLevel="1"/>
    <col min="25" max="25" width="11.6640625" style="146" hidden="1" customWidth="1" outlineLevel="1"/>
    <col min="26" max="26" width="11.6640625" style="144" hidden="1" customWidth="1" outlineLevel="1"/>
    <col min="27" max="27" width="11.6640625" style="145" hidden="1" customWidth="1" outlineLevel="1"/>
    <col min="28" max="28" width="11.6640625" style="146" hidden="1" customWidth="1" outlineLevel="1"/>
    <col min="29" max="29" width="11.6640625" style="144" hidden="1" customWidth="1" outlineLevel="1"/>
    <col min="30" max="30" width="11.6640625" style="145" hidden="1" customWidth="1" outlineLevel="1"/>
    <col min="31" max="31" width="11.6640625" style="146" hidden="1" customWidth="1" outlineLevel="1"/>
    <col min="32" max="32" width="11.6640625" style="144" hidden="1" customWidth="1" outlineLevel="1"/>
    <col min="33" max="33" width="11.6640625" style="145" hidden="1" customWidth="1" outlineLevel="1"/>
    <col min="34" max="34" width="11.6640625" style="146" customWidth="1" collapsed="1"/>
    <col min="35" max="35" width="11.6640625" style="144" hidden="1" customWidth="1" outlineLevel="1"/>
    <col min="36" max="36" width="11.6640625" style="145" hidden="1" customWidth="1" outlineLevel="1"/>
    <col min="37" max="37" width="11.6640625" style="146" hidden="1" customWidth="1" outlineLevel="1"/>
    <col min="38" max="38" width="11.6640625" style="144" hidden="1" customWidth="1" outlineLevel="1"/>
    <col min="39" max="39" width="11.6640625" style="145" hidden="1" customWidth="1" outlineLevel="1"/>
    <col min="40" max="40" width="11.6640625" style="146" hidden="1" customWidth="1" outlineLevel="1"/>
    <col min="41" max="41" width="11.6640625" style="144" hidden="1" customWidth="1" outlineLevel="1"/>
    <col min="42" max="42" width="11.6640625" style="145" hidden="1" customWidth="1" outlineLevel="1"/>
    <col min="43" max="43" width="11.6640625" style="146" hidden="1" customWidth="1" outlineLevel="1"/>
    <col min="44" max="44" width="11.6640625" style="144" hidden="1" customWidth="1" outlineLevel="1"/>
    <col min="45" max="45" width="11.6640625" style="145" hidden="1" customWidth="1" outlineLevel="1"/>
    <col min="46" max="46" width="11.6640625" style="146" customWidth="1" collapsed="1"/>
    <col min="47" max="47" width="11.6640625" style="146" customWidth="1"/>
    <col min="48" max="48" width="11.77734375" style="146" customWidth="1"/>
    <col min="49" max="49" width="11.6640625" style="146" customWidth="1"/>
    <col min="50" max="50" width="11.6640625" style="177" customWidth="1"/>
    <col min="51" max="51" width="9.33203125" style="174" hidden="1" customWidth="1" outlineLevel="1"/>
    <col min="52" max="53" width="9.33203125" style="175" hidden="1" customWidth="1" outlineLevel="1"/>
    <col min="54" max="54" width="9.33203125" style="176" hidden="1" customWidth="1" outlineLevel="1"/>
    <col min="55" max="55" width="9.109375" style="153" collapsed="1"/>
    <col min="56" max="56" width="9.33203125" style="174" hidden="1" customWidth="1" outlineLevel="1"/>
    <col min="57" max="58" width="9.33203125" style="175" hidden="1" customWidth="1" outlineLevel="1"/>
    <col min="59" max="59" width="9.33203125" style="176" hidden="1" customWidth="1" outlineLevel="1"/>
    <col min="60" max="60" width="9.109375" style="153" collapsed="1"/>
    <col min="61" max="61" width="9.33203125" style="174" hidden="1" customWidth="1" outlineLevel="1"/>
    <col min="62" max="63" width="9.33203125" style="175" hidden="1" customWidth="1" outlineLevel="1"/>
    <col min="64" max="64" width="9.33203125" style="176" hidden="1" customWidth="1" outlineLevel="1"/>
    <col min="65" max="66" width="9.109375" style="153" collapsed="1"/>
    <col min="67" max="67" width="10.109375" style="153" customWidth="1"/>
    <col min="68" max="68" width="9.109375" style="152"/>
    <col min="69" max="16384" width="9.109375" style="141"/>
  </cols>
  <sheetData>
    <row r="1" spans="1:76" ht="16.2" thickBot="1">
      <c r="H1" s="154" t="str">
        <f>MONTH(H2) &amp; "-" &amp; YEAR(H2)</f>
        <v>10-2017</v>
      </c>
      <c r="I1" s="154" t="str">
        <f t="shared" ref="I1:AT1" si="0">MONTH(I2) &amp; "-" &amp; YEAR(I2)</f>
        <v>11-2017</v>
      </c>
      <c r="J1" s="154" t="str">
        <f t="shared" si="0"/>
        <v>12-2017</v>
      </c>
      <c r="K1" s="154" t="str">
        <f t="shared" si="0"/>
        <v>1-2018</v>
      </c>
      <c r="L1" s="154" t="str">
        <f t="shared" si="0"/>
        <v>2-2018</v>
      </c>
      <c r="M1" s="154" t="str">
        <f t="shared" si="0"/>
        <v>3-2018</v>
      </c>
      <c r="N1" s="154" t="str">
        <f t="shared" si="0"/>
        <v>4-2018</v>
      </c>
      <c r="O1" s="154" t="str">
        <f t="shared" si="0"/>
        <v>5-2018</v>
      </c>
      <c r="P1" s="154" t="str">
        <f t="shared" si="0"/>
        <v>6-2018</v>
      </c>
      <c r="Q1" s="154" t="str">
        <f t="shared" si="0"/>
        <v>7-2018</v>
      </c>
      <c r="R1" s="154" t="str">
        <f t="shared" si="0"/>
        <v>8-2018</v>
      </c>
      <c r="S1" s="154" t="str">
        <f t="shared" si="0"/>
        <v>9-2018</v>
      </c>
      <c r="T1" s="154" t="str">
        <f t="shared" si="0"/>
        <v>10-2018</v>
      </c>
      <c r="U1" s="154" t="str">
        <f t="shared" si="0"/>
        <v>11-2018</v>
      </c>
      <c r="V1" s="154" t="str">
        <f t="shared" si="0"/>
        <v>12-2018</v>
      </c>
      <c r="W1" s="154" t="str">
        <f t="shared" si="0"/>
        <v>1-2019</v>
      </c>
      <c r="X1" s="154" t="str">
        <f t="shared" si="0"/>
        <v>2-2019</v>
      </c>
      <c r="Y1" s="154" t="str">
        <f t="shared" si="0"/>
        <v>3-2019</v>
      </c>
      <c r="Z1" s="154" t="str">
        <f t="shared" si="0"/>
        <v>4-2019</v>
      </c>
      <c r="AA1" s="154" t="str">
        <f t="shared" si="0"/>
        <v>5-2019</v>
      </c>
      <c r="AB1" s="154" t="str">
        <f t="shared" si="0"/>
        <v>6-2019</v>
      </c>
      <c r="AC1" s="154" t="str">
        <f t="shared" si="0"/>
        <v>7-2019</v>
      </c>
      <c r="AD1" s="154" t="str">
        <f t="shared" si="0"/>
        <v>8-2019</v>
      </c>
      <c r="AE1" s="154" t="str">
        <f t="shared" si="0"/>
        <v>9-2019</v>
      </c>
      <c r="AF1" s="154" t="str">
        <f t="shared" si="0"/>
        <v>10-2019</v>
      </c>
      <c r="AG1" s="154" t="str">
        <f t="shared" si="0"/>
        <v>11-2019</v>
      </c>
      <c r="AH1" s="154" t="str">
        <f t="shared" si="0"/>
        <v>12-2019</v>
      </c>
      <c r="AI1" s="154" t="str">
        <f t="shared" si="0"/>
        <v>1-2020</v>
      </c>
      <c r="AJ1" s="154" t="str">
        <f t="shared" si="0"/>
        <v>2-2020</v>
      </c>
      <c r="AK1" s="154" t="str">
        <f t="shared" si="0"/>
        <v>3-2020</v>
      </c>
      <c r="AL1" s="154" t="str">
        <f t="shared" si="0"/>
        <v>4-2020</v>
      </c>
      <c r="AM1" s="154" t="str">
        <f t="shared" si="0"/>
        <v>5-2020</v>
      </c>
      <c r="AN1" s="154" t="str">
        <f t="shared" si="0"/>
        <v>6-2020</v>
      </c>
      <c r="AO1" s="154" t="str">
        <f t="shared" si="0"/>
        <v>7-2020</v>
      </c>
      <c r="AP1" s="154" t="str">
        <f t="shared" si="0"/>
        <v>8-2020</v>
      </c>
      <c r="AQ1" s="154" t="str">
        <f t="shared" si="0"/>
        <v>9-2020</v>
      </c>
      <c r="AR1" s="154" t="str">
        <f t="shared" si="0"/>
        <v>10-2020</v>
      </c>
      <c r="AS1" s="154" t="str">
        <f t="shared" si="0"/>
        <v>11-2020</v>
      </c>
      <c r="AT1" s="154" t="str">
        <f t="shared" si="0"/>
        <v>12-2020</v>
      </c>
      <c r="AU1" s="185"/>
      <c r="AV1" s="185"/>
      <c r="AW1" s="178"/>
    </row>
    <row r="2" spans="1:76" ht="16.2" thickBot="1">
      <c r="H2" s="179">
        <v>43009</v>
      </c>
      <c r="I2" s="179">
        <v>43040</v>
      </c>
      <c r="J2" s="179">
        <v>43070</v>
      </c>
      <c r="K2" s="179">
        <v>43101</v>
      </c>
      <c r="L2" s="179">
        <v>43132</v>
      </c>
      <c r="M2" s="182">
        <v>43160</v>
      </c>
      <c r="N2" s="190">
        <v>43191</v>
      </c>
      <c r="O2" s="191">
        <v>43221</v>
      </c>
      <c r="P2" s="192">
        <v>43252</v>
      </c>
      <c r="Q2" s="183">
        <v>43282</v>
      </c>
      <c r="R2" s="179">
        <v>43313</v>
      </c>
      <c r="S2" s="179">
        <v>43344</v>
      </c>
      <c r="T2" s="179">
        <v>43374</v>
      </c>
      <c r="U2" s="179">
        <v>43405</v>
      </c>
      <c r="V2" s="179">
        <v>43435</v>
      </c>
      <c r="W2" s="179">
        <v>43466</v>
      </c>
      <c r="X2" s="179">
        <v>43497</v>
      </c>
      <c r="Y2" s="179">
        <v>43525</v>
      </c>
      <c r="Z2" s="179">
        <v>43556</v>
      </c>
      <c r="AA2" s="179">
        <v>43586</v>
      </c>
      <c r="AB2" s="179">
        <v>43617</v>
      </c>
      <c r="AC2" s="179">
        <v>43647</v>
      </c>
      <c r="AD2" s="179">
        <v>43678</v>
      </c>
      <c r="AE2" s="179">
        <v>43709</v>
      </c>
      <c r="AF2" s="179">
        <v>43739</v>
      </c>
      <c r="AG2" s="179">
        <v>43770</v>
      </c>
      <c r="AH2" s="179">
        <v>43800</v>
      </c>
      <c r="AI2" s="179">
        <v>43831</v>
      </c>
      <c r="AJ2" s="179">
        <v>43862</v>
      </c>
      <c r="AK2" s="179">
        <v>43891</v>
      </c>
      <c r="AL2" s="179">
        <v>43922</v>
      </c>
      <c r="AM2" s="179">
        <v>43952</v>
      </c>
      <c r="AN2" s="179">
        <v>43983</v>
      </c>
      <c r="AO2" s="179">
        <v>44013</v>
      </c>
      <c r="AP2" s="179">
        <v>44044</v>
      </c>
      <c r="AQ2" s="179">
        <v>44075</v>
      </c>
      <c r="AR2" s="179">
        <v>44105</v>
      </c>
      <c r="AS2" s="179">
        <v>44136</v>
      </c>
      <c r="AT2" s="179">
        <v>44166</v>
      </c>
      <c r="AU2" s="179">
        <v>44197</v>
      </c>
      <c r="AV2" s="179">
        <v>44593</v>
      </c>
      <c r="AW2" s="178"/>
      <c r="AY2" s="161" t="s">
        <v>135</v>
      </c>
      <c r="AZ2" s="162" t="s">
        <v>136</v>
      </c>
      <c r="BA2" s="162" t="s">
        <v>137</v>
      </c>
      <c r="BB2" s="163" t="s">
        <v>138</v>
      </c>
      <c r="BC2" s="181" t="s">
        <v>139</v>
      </c>
      <c r="BD2" s="161" t="s">
        <v>140</v>
      </c>
      <c r="BE2" s="162" t="s">
        <v>141</v>
      </c>
      <c r="BF2" s="162" t="s">
        <v>142</v>
      </c>
      <c r="BG2" s="163" t="s">
        <v>143</v>
      </c>
      <c r="BH2" s="181" t="s">
        <v>144</v>
      </c>
      <c r="BI2" s="161" t="s">
        <v>145</v>
      </c>
      <c r="BJ2" s="162" t="s">
        <v>146</v>
      </c>
      <c r="BK2" s="162" t="s">
        <v>147</v>
      </c>
      <c r="BL2" s="163" t="s">
        <v>148</v>
      </c>
      <c r="BM2" s="181" t="s">
        <v>149</v>
      </c>
      <c r="BN2" s="181" t="s">
        <v>150</v>
      </c>
    </row>
    <row r="3" spans="1:76">
      <c r="H3" s="187">
        <f>SUBTOTAL(9,'Cdes HITACHI'!$H$8:$H$340)</f>
        <v>0</v>
      </c>
      <c r="I3" s="188">
        <f>SUBTOTAL(9,'Cdes HITACHI'!$I$8:$I$340)</f>
        <v>8</v>
      </c>
      <c r="J3" s="189">
        <f>SUBTOTAL(9,PrévisionBoris[déc.-17])</f>
        <v>8</v>
      </c>
      <c r="K3" s="187">
        <f>SUBTOTAL(9,'Cdes HITACHI'!$K$8:$K$340)</f>
        <v>11</v>
      </c>
      <c r="L3" s="188">
        <f>SUBTOTAL(9,'Cdes HITACHI'!$L$8:$L$340)</f>
        <v>20</v>
      </c>
      <c r="M3" s="189">
        <f>SUBTOTAL(9,'Cdes HITACHI'!$M$8:$M$340)</f>
        <v>19</v>
      </c>
      <c r="N3" s="187">
        <f>SUBTOTAL(9,'Cdes HITACHI'!$N$8:$N$340)</f>
        <v>38</v>
      </c>
      <c r="O3" s="188">
        <f>SUBTOTAL(9,'Cdes HITACHI'!$O$8:$O$340)</f>
        <v>18</v>
      </c>
      <c r="P3" s="189">
        <f>SUBTOTAL(9,'Cdes HITACHI'!$P$8:$P$340)</f>
        <v>34</v>
      </c>
      <c r="Q3" s="154">
        <f>SUBTOTAL(9,'Cdes HITACHI'!$Q$8:$Q$340)</f>
        <v>30</v>
      </c>
      <c r="R3" s="154">
        <f>SUBTOTAL(9,'Cdes HITACHI'!$R$8:$R$340)</f>
        <v>15</v>
      </c>
      <c r="S3" s="154">
        <f>SUBTOTAL(9,'Cdes HITACHI'!$S$8:$S$340)</f>
        <v>22</v>
      </c>
      <c r="T3" s="154">
        <f>SUBTOTAL(9,'Cdes HITACHI'!$T$8:$T$340)</f>
        <v>36</v>
      </c>
      <c r="U3" s="154">
        <f>SUBTOTAL(9,'Cdes HITACHI'!$U$8:$U$340)</f>
        <v>18</v>
      </c>
      <c r="V3" s="154">
        <f>SUBTOTAL(9,'Cdes HITACHI'!$V$8:$V$340)</f>
        <v>14</v>
      </c>
      <c r="W3" s="154">
        <f>SUBTOTAL(9,'Cdes HITACHI'!$W$8:$W$340)</f>
        <v>8</v>
      </c>
      <c r="X3" s="154">
        <f>SUBTOTAL(9,'Cdes HITACHI'!$X$8:$X$340)</f>
        <v>12</v>
      </c>
      <c r="Y3" s="154">
        <f>SUBTOTAL(9,'Cdes HITACHI'!$Y$8:$Y$340)</f>
        <v>14</v>
      </c>
      <c r="Z3" s="154">
        <f>SUBTOTAL(9,'Cdes HITACHI'!$Z$8:$Z$340)</f>
        <v>12</v>
      </c>
      <c r="AA3" s="154">
        <f>SUBTOTAL(9,'Cdes HITACHI'!$AA$8:$AA$340)</f>
        <v>11</v>
      </c>
      <c r="AB3" s="154">
        <f>SUBTOTAL(9,'Cdes HITACHI'!$AB$8:$AB$340)</f>
        <v>160</v>
      </c>
      <c r="AC3" s="154">
        <f>SUBTOTAL(9,'Cdes HITACHI'!$AC$8:$AC$340)</f>
        <v>12</v>
      </c>
      <c r="AD3" s="154">
        <f>SUBTOTAL(9,'Cdes HITACHI'!$AD$8:$AD$340)</f>
        <v>8</v>
      </c>
      <c r="AE3" s="154">
        <f>SUBTOTAL(9,'Cdes HITACHI'!$AE$8:$AE$340)</f>
        <v>15</v>
      </c>
      <c r="AF3" s="154">
        <f>SUBTOTAL(9,'Cdes HITACHI'!$AF$8:$AF$340)</f>
        <v>5</v>
      </c>
      <c r="AG3" s="154">
        <f>SUBTOTAL(9,'Cdes HITACHI'!$AG$8:$AG$340)</f>
        <v>6</v>
      </c>
      <c r="AH3" s="154">
        <f>SUBTOTAL(9,'Cdes HITACHI'!$AH$8:$AH$340)</f>
        <v>5</v>
      </c>
      <c r="AI3" s="154">
        <f>SUBTOTAL(9,'Cdes HITACHI'!$AI$8:$AI$340)</f>
        <v>0</v>
      </c>
      <c r="AJ3" s="154">
        <f>SUBTOTAL(9,'Cdes HITACHI'!$AJ$8:$AJ$340)</f>
        <v>0</v>
      </c>
      <c r="AK3" s="154">
        <f>SUBTOTAL(9,'Cdes HITACHI'!$AK$8:$AK$340)</f>
        <v>0</v>
      </c>
      <c r="AL3" s="154">
        <f>SUBTOTAL(9,'Cdes HITACHI'!$AL$8:$AL$340)</f>
        <v>4</v>
      </c>
      <c r="AM3" s="154">
        <f>SUBTOTAL(9,'Cdes HITACHI'!$AM$8:$AM$340)</f>
        <v>6</v>
      </c>
      <c r="AN3" s="154">
        <f>SUBTOTAL(9,'Cdes HITACHI'!$AN$8:$AN$340)</f>
        <v>146</v>
      </c>
      <c r="AO3" s="154">
        <f>SUBTOTAL(9,'Cdes HITACHI'!$AO$8:$AO$340)</f>
        <v>6</v>
      </c>
      <c r="AP3" s="154">
        <f>SUBTOTAL(9,'Cdes HITACHI'!$AP$8:$AP$340)</f>
        <v>4</v>
      </c>
      <c r="AQ3" s="154">
        <f>SUBTOTAL(9,'Cdes HITACHI'!$AQ$8:$AQ$340)</f>
        <v>8</v>
      </c>
      <c r="AR3" s="154">
        <f>SUBTOTAL(9,'Cdes HITACHI'!$AR$8:$AR$340)</f>
        <v>4</v>
      </c>
      <c r="AS3" s="154">
        <f>SUBTOTAL(9,'Cdes HITACHI'!$AS$8:$AS$340)</f>
        <v>6</v>
      </c>
      <c r="AT3" s="154">
        <f>SUBTOTAL(9,'Cdes HITACHI'!$AT$8:$AT$340)</f>
        <v>5</v>
      </c>
      <c r="AU3" s="154">
        <f>SUBTOTAL(9,'Cdes HITACHI'!$AU$8:$AU$340)</f>
        <v>0</v>
      </c>
      <c r="AV3" s="154">
        <f>SUBTOTAL(9,'Cdes HITACHI'!$AU$8:$AU$340)</f>
        <v>0</v>
      </c>
      <c r="AW3" s="154"/>
      <c r="AX3" s="155" t="s">
        <v>110</v>
      </c>
      <c r="AY3" s="149">
        <f t="shared" ref="AY3:BN3" si="1">SUBTOTAL(9,AY7:AY340)</f>
        <v>50</v>
      </c>
      <c r="AZ3" s="150">
        <f t="shared" si="1"/>
        <v>90</v>
      </c>
      <c r="BA3" s="150">
        <f t="shared" si="1"/>
        <v>67</v>
      </c>
      <c r="BB3" s="151">
        <f t="shared" si="1"/>
        <v>68</v>
      </c>
      <c r="BC3" s="147">
        <f t="shared" si="1"/>
        <v>275</v>
      </c>
      <c r="BD3" s="149">
        <f t="shared" si="1"/>
        <v>34</v>
      </c>
      <c r="BE3" s="150">
        <f t="shared" si="1"/>
        <v>183</v>
      </c>
      <c r="BF3" s="150">
        <f t="shared" si="1"/>
        <v>35</v>
      </c>
      <c r="BG3" s="151">
        <f t="shared" si="1"/>
        <v>16</v>
      </c>
      <c r="BH3" s="147">
        <f t="shared" si="1"/>
        <v>268</v>
      </c>
      <c r="BI3" s="149">
        <f t="shared" si="1"/>
        <v>0</v>
      </c>
      <c r="BJ3" s="150">
        <f t="shared" si="1"/>
        <v>156</v>
      </c>
      <c r="BK3" s="150">
        <f t="shared" si="1"/>
        <v>18</v>
      </c>
      <c r="BL3" s="151">
        <f t="shared" si="1"/>
        <v>15</v>
      </c>
      <c r="BM3" s="147">
        <f t="shared" si="1"/>
        <v>189</v>
      </c>
      <c r="BN3" s="152">
        <f t="shared" si="1"/>
        <v>0</v>
      </c>
      <c r="BO3" s="153" t="s">
        <v>110</v>
      </c>
      <c r="BP3" s="152">
        <f>SUBTOTAL(9,BP7:BP340)</f>
        <v>748</v>
      </c>
    </row>
    <row r="4" spans="1:76">
      <c r="F4" s="154" t="s">
        <v>402</v>
      </c>
      <c r="H4" s="420">
        <f>SUM(H3:J3)</f>
        <v>16</v>
      </c>
      <c r="I4" s="421"/>
      <c r="J4" s="422"/>
      <c r="K4" s="420">
        <f>SUM(K3:M3)</f>
        <v>50</v>
      </c>
      <c r="L4" s="421"/>
      <c r="M4" s="422"/>
      <c r="N4" s="420">
        <f>SUM(N3:P3)</f>
        <v>90</v>
      </c>
      <c r="O4" s="421"/>
      <c r="P4" s="422"/>
      <c r="Q4" s="418">
        <f>SUM(Q3:S3)</f>
        <v>67</v>
      </c>
      <c r="R4" s="418"/>
      <c r="S4" s="419"/>
      <c r="T4" s="418">
        <f>SUM(T3:V3)</f>
        <v>68</v>
      </c>
      <c r="U4" s="418"/>
      <c r="V4" s="419"/>
      <c r="W4" s="418">
        <f>SUM(W3:Y3)</f>
        <v>34</v>
      </c>
      <c r="X4" s="418"/>
      <c r="Y4" s="419"/>
      <c r="Z4" s="418">
        <f>SUM(Z3:AB3)</f>
        <v>183</v>
      </c>
      <c r="AA4" s="418"/>
      <c r="AB4" s="419"/>
      <c r="AC4" s="418">
        <f>SUM(AC3:AE3)</f>
        <v>35</v>
      </c>
      <c r="AD4" s="418"/>
      <c r="AE4" s="419"/>
      <c r="AF4" s="418">
        <f>SUM(AF3:AH3)</f>
        <v>16</v>
      </c>
      <c r="AG4" s="418"/>
      <c r="AH4" s="419"/>
      <c r="AI4" s="418">
        <f>SUM(AI3:AK3)</f>
        <v>0</v>
      </c>
      <c r="AJ4" s="418"/>
      <c r="AK4" s="419"/>
      <c r="AL4" s="418">
        <f>SUM(AL3:AN3)</f>
        <v>156</v>
      </c>
      <c r="AM4" s="418"/>
      <c r="AN4" s="419"/>
      <c r="AO4" s="418">
        <f>SUM(AO3:AQ3)</f>
        <v>18</v>
      </c>
      <c r="AP4" s="418"/>
      <c r="AQ4" s="419"/>
      <c r="AR4" s="418">
        <f>SUM(AR3:AT3)</f>
        <v>15</v>
      </c>
      <c r="AS4" s="418"/>
      <c r="AT4" s="419"/>
      <c r="AV4" s="147"/>
      <c r="AW4" s="147"/>
      <c r="AX4" s="148" t="s">
        <v>29</v>
      </c>
      <c r="AY4" s="149">
        <f t="shared" ref="AY4:BN4" si="2">SUM(AY7:AY340)</f>
        <v>50</v>
      </c>
      <c r="AZ4" s="150">
        <f t="shared" si="2"/>
        <v>90</v>
      </c>
      <c r="BA4" s="150">
        <f t="shared" si="2"/>
        <v>67</v>
      </c>
      <c r="BB4" s="151">
        <f t="shared" si="2"/>
        <v>68</v>
      </c>
      <c r="BC4" s="147">
        <f t="shared" si="2"/>
        <v>275</v>
      </c>
      <c r="BD4" s="149">
        <f t="shared" si="2"/>
        <v>34</v>
      </c>
      <c r="BE4" s="150">
        <f t="shared" si="2"/>
        <v>183</v>
      </c>
      <c r="BF4" s="150">
        <f t="shared" si="2"/>
        <v>35</v>
      </c>
      <c r="BG4" s="151">
        <f t="shared" si="2"/>
        <v>16</v>
      </c>
      <c r="BH4" s="147">
        <f t="shared" si="2"/>
        <v>268</v>
      </c>
      <c r="BI4" s="149">
        <f t="shared" si="2"/>
        <v>0</v>
      </c>
      <c r="BJ4" s="150">
        <f t="shared" si="2"/>
        <v>156</v>
      </c>
      <c r="BK4" s="150">
        <f t="shared" si="2"/>
        <v>18</v>
      </c>
      <c r="BL4" s="151">
        <f t="shared" si="2"/>
        <v>15</v>
      </c>
      <c r="BM4" s="147">
        <f t="shared" si="2"/>
        <v>189</v>
      </c>
      <c r="BN4" s="152">
        <f t="shared" si="2"/>
        <v>0</v>
      </c>
      <c r="BO4" s="153" t="s">
        <v>29</v>
      </c>
      <c r="BP4" s="152">
        <f>SUM(BP7:BP340)</f>
        <v>748</v>
      </c>
    </row>
    <row r="5" spans="1:76">
      <c r="K5" s="423">
        <f>SUM(K8:V340)</f>
        <v>275</v>
      </c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5"/>
      <c r="AH5" s="147">
        <f>SUM(W8:AH340)</f>
        <v>268</v>
      </c>
      <c r="AT5" s="147">
        <f>SUM(AI8:AT340)</f>
        <v>189</v>
      </c>
      <c r="AU5" s="147">
        <f>SUM(AU7:AU340)</f>
        <v>0</v>
      </c>
      <c r="AV5" s="147">
        <f>SUM(AV7:AV340)</f>
        <v>0</v>
      </c>
      <c r="AW5" s="178"/>
    </row>
    <row r="6" spans="1:76" ht="16.2" thickBot="1">
      <c r="H6" s="426"/>
      <c r="I6" s="418"/>
      <c r="J6" s="419"/>
      <c r="K6" s="426"/>
      <c r="L6" s="418"/>
      <c r="M6" s="419"/>
      <c r="N6" s="426"/>
      <c r="O6" s="418"/>
      <c r="P6" s="419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4"/>
      <c r="AV6" s="154"/>
      <c r="AW6" s="154"/>
      <c r="AX6" s="155"/>
      <c r="AY6" s="149"/>
      <c r="AZ6" s="150"/>
      <c r="BA6" s="150"/>
      <c r="BB6" s="151"/>
      <c r="BC6" s="147"/>
      <c r="BD6" s="149"/>
      <c r="BE6" s="150"/>
      <c r="BF6" s="150"/>
      <c r="BG6" s="151"/>
      <c r="BH6" s="147"/>
      <c r="BI6" s="149"/>
      <c r="BJ6" s="150"/>
      <c r="BK6" s="150"/>
      <c r="BL6" s="151"/>
      <c r="BM6" s="147"/>
      <c r="BN6" s="152"/>
    </row>
    <row r="7" spans="1:76" s="168" customFormat="1" ht="16.2" thickBot="1">
      <c r="A7" s="156" t="s">
        <v>254</v>
      </c>
      <c r="B7" s="156" t="s">
        <v>71</v>
      </c>
      <c r="C7" s="156" t="s">
        <v>388</v>
      </c>
      <c r="D7" s="156" t="s">
        <v>72</v>
      </c>
      <c r="E7" s="156" t="s">
        <v>73</v>
      </c>
      <c r="F7" s="156" t="s">
        <v>299</v>
      </c>
      <c r="G7" s="156" t="s">
        <v>74</v>
      </c>
      <c r="H7" s="158" t="s">
        <v>111</v>
      </c>
      <c r="I7" s="158" t="s">
        <v>112</v>
      </c>
      <c r="J7" s="158" t="s">
        <v>445</v>
      </c>
      <c r="K7" s="158" t="s">
        <v>113</v>
      </c>
      <c r="L7" s="158" t="s">
        <v>114</v>
      </c>
      <c r="M7" s="158" t="s">
        <v>115</v>
      </c>
      <c r="N7" s="157" t="s">
        <v>116</v>
      </c>
      <c r="O7" s="158" t="s">
        <v>117</v>
      </c>
      <c r="P7" s="186" t="s">
        <v>118</v>
      </c>
      <c r="Q7" s="180" t="s">
        <v>119</v>
      </c>
      <c r="R7" s="158" t="s">
        <v>120</v>
      </c>
      <c r="S7" s="158" t="s">
        <v>121</v>
      </c>
      <c r="T7" s="158" t="s">
        <v>122</v>
      </c>
      <c r="U7" s="158" t="s">
        <v>123</v>
      </c>
      <c r="V7" s="158" t="s">
        <v>447</v>
      </c>
      <c r="W7" s="158" t="s">
        <v>452</v>
      </c>
      <c r="X7" s="158" t="s">
        <v>453</v>
      </c>
      <c r="Y7" s="158" t="s">
        <v>446</v>
      </c>
      <c r="Z7" s="158" t="s">
        <v>454</v>
      </c>
      <c r="AA7" s="158" t="s">
        <v>448</v>
      </c>
      <c r="AB7" s="158" t="s">
        <v>449</v>
      </c>
      <c r="AC7" s="158" t="s">
        <v>455</v>
      </c>
      <c r="AD7" s="158" t="s">
        <v>450</v>
      </c>
      <c r="AE7" s="158" t="s">
        <v>456</v>
      </c>
      <c r="AF7" s="158" t="s">
        <v>444</v>
      </c>
      <c r="AG7" s="158" t="s">
        <v>451</v>
      </c>
      <c r="AH7" s="158" t="s">
        <v>457</v>
      </c>
      <c r="AI7" s="158" t="s">
        <v>124</v>
      </c>
      <c r="AJ7" s="158" t="s">
        <v>125</v>
      </c>
      <c r="AK7" s="158" t="s">
        <v>126</v>
      </c>
      <c r="AL7" s="158" t="s">
        <v>127</v>
      </c>
      <c r="AM7" s="158" t="s">
        <v>128</v>
      </c>
      <c r="AN7" s="158" t="s">
        <v>129</v>
      </c>
      <c r="AO7" s="158" t="s">
        <v>130</v>
      </c>
      <c r="AP7" s="158" t="s">
        <v>131</v>
      </c>
      <c r="AQ7" s="158" t="s">
        <v>132</v>
      </c>
      <c r="AR7" s="158" t="s">
        <v>133</v>
      </c>
      <c r="AS7" s="158" t="s">
        <v>134</v>
      </c>
      <c r="AT7" s="158" t="s">
        <v>458</v>
      </c>
      <c r="AU7" s="158" t="s">
        <v>459</v>
      </c>
      <c r="AV7" s="158" t="s">
        <v>460</v>
      </c>
      <c r="AW7" s="159" t="s">
        <v>392</v>
      </c>
      <c r="AX7" s="160" t="s">
        <v>393</v>
      </c>
      <c r="AY7" s="161" t="s">
        <v>135</v>
      </c>
      <c r="AZ7" s="162" t="s">
        <v>136</v>
      </c>
      <c r="BA7" s="162" t="s">
        <v>137</v>
      </c>
      <c r="BB7" s="163" t="s">
        <v>138</v>
      </c>
      <c r="BC7" s="164" t="s">
        <v>139</v>
      </c>
      <c r="BD7" s="161" t="s">
        <v>140</v>
      </c>
      <c r="BE7" s="162" t="s">
        <v>141</v>
      </c>
      <c r="BF7" s="162" t="s">
        <v>142</v>
      </c>
      <c r="BG7" s="163" t="s">
        <v>143</v>
      </c>
      <c r="BH7" s="164" t="s">
        <v>144</v>
      </c>
      <c r="BI7" s="161" t="s">
        <v>145</v>
      </c>
      <c r="BJ7" s="162" t="s">
        <v>146</v>
      </c>
      <c r="BK7" s="162" t="s">
        <v>147</v>
      </c>
      <c r="BL7" s="163" t="s">
        <v>148</v>
      </c>
      <c r="BM7" s="164" t="s">
        <v>149</v>
      </c>
      <c r="BN7" s="164" t="s">
        <v>150</v>
      </c>
      <c r="BO7" s="165" t="s">
        <v>401</v>
      </c>
      <c r="BP7" s="166" t="s">
        <v>5</v>
      </c>
      <c r="BQ7" s="167"/>
      <c r="BR7" s="167"/>
      <c r="BS7" s="167"/>
      <c r="BT7" s="167"/>
      <c r="BU7" s="167"/>
      <c r="BV7" s="167"/>
      <c r="BW7" s="167"/>
      <c r="BX7" s="167"/>
    </row>
    <row r="8" spans="1:76">
      <c r="A8" s="169">
        <v>1</v>
      </c>
      <c r="B8" s="169" t="s">
        <v>151</v>
      </c>
      <c r="C8" s="199">
        <v>75</v>
      </c>
      <c r="D8" s="169" t="s">
        <v>274</v>
      </c>
      <c r="E8" s="169" t="s">
        <v>374</v>
      </c>
      <c r="F8" s="199">
        <f>VLOOKUP(PrévisionBoris[[#This Row],[Spec]],TabModelSpecs[[ModelSpec]:[Price]],2,FALSE)</f>
        <v>45</v>
      </c>
      <c r="G8" s="169" t="s">
        <v>461</v>
      </c>
      <c r="H8" s="206">
        <f>SUMIFS(LstMachines[Nbre],LstMachines[Model-Spec],PrévisionBoris[[#This Row],[Spec]],LstMachines[Status],PrévisionBoris[[#This Row],[Status]],LstMachines[MoisLivr],H$1)</f>
        <v>0</v>
      </c>
      <c r="I8" s="207">
        <f>SUMIFS(LstMachines[Nbre],LstMachines[Model-Spec],PrévisionBoris[[#This Row],[Spec]],LstMachines[Status],PrévisionBoris[[#This Row],[Status]],LstMachines[MoisLivr],I$1)</f>
        <v>0</v>
      </c>
      <c r="J8" s="208">
        <f>SUMIFS(LstMachines[Nbre],LstMachines[Model-Spec],PrévisionBoris[[#This Row],[Spec]],LstMachines[Status],PrévisionBoris[[#This Row],[Status]],LstMachines[MoisLivr],J$1)</f>
        <v>0</v>
      </c>
      <c r="K8" s="206">
        <f>SUMIFS(LstMachines[Nbre],LstMachines[Model-Spec],PrévisionBoris[[#This Row],[Spec]],LstMachines[Status],PrévisionBoris[[#This Row],[Status]],LstMachines[MoisLivr],K$1)</f>
        <v>0</v>
      </c>
      <c r="L8" s="207">
        <f>SUMIFS(LstMachines[Nbre],LstMachines[Model-Spec],PrévisionBoris[[#This Row],[Spec]],LstMachines[Status],PrévisionBoris[[#This Row],[Status]],LstMachines[MoisLivr],L$1)</f>
        <v>0</v>
      </c>
      <c r="M8" s="208">
        <f>SUMIFS(LstMachines[Nbre],LstMachines[Model-Spec],PrévisionBoris[[#This Row],[Spec]],LstMachines[Status],PrévisionBoris[[#This Row],[Status]],LstMachines[MoisLivr],M$1)</f>
        <v>0</v>
      </c>
      <c r="N8" s="206">
        <f>SUMIFS(LstMachines[Nbre],LstMachines[Model-Spec],PrévisionBoris[[#This Row],[Spec]],LstMachines[Status],PrévisionBoris[[#This Row],[Status]],LstMachines[MoisLivr],N$1)</f>
        <v>0</v>
      </c>
      <c r="O8" s="207">
        <f>SUMIFS(LstMachines[Nbre],LstMachines[Model-Spec],PrévisionBoris[[#This Row],[Spec]],LstMachines[Status],PrévisionBoris[[#This Row],[Status]],LstMachines[MoisLivr],O$1)</f>
        <v>0</v>
      </c>
      <c r="P8" s="208">
        <f>SUMIFS(LstMachines[Nbre],LstMachines[Model-Spec],PrévisionBoris[[#This Row],[Spec]],LstMachines[Status],PrévisionBoris[[#This Row],[Status]],LstMachines[MoisLivr],P$1)</f>
        <v>0</v>
      </c>
      <c r="Q8" s="206">
        <f>SUMIFS(LstMachines[Nbre],LstMachines[Model-Spec],PrévisionBoris[[#This Row],[Spec]],LstMachines[Status],PrévisionBoris[[#This Row],[Status]],LstMachines[MoisLivr],Q$1)</f>
        <v>0</v>
      </c>
      <c r="R8" s="207">
        <f>SUMIFS(LstMachines[Nbre],LstMachines[Model-Spec],PrévisionBoris[[#This Row],[Spec]],LstMachines[Status],PrévisionBoris[[#This Row],[Status]],LstMachines[MoisLivr],R$1)</f>
        <v>0</v>
      </c>
      <c r="S8" s="208">
        <f>SUMIFS(LstMachines[Nbre],LstMachines[Model-Spec],PrévisionBoris[[#This Row],[Spec]],LstMachines[Status],PrévisionBoris[[#This Row],[Status]],LstMachines[MoisLivr],S$1)</f>
        <v>0</v>
      </c>
      <c r="T8" s="206">
        <f>SUMIFS(LstMachines[Nbre],LstMachines[Model-Spec],PrévisionBoris[[#This Row],[Spec]],LstMachines[Status],PrévisionBoris[[#This Row],[Status]],LstMachines[MoisLivr],T$1)</f>
        <v>0</v>
      </c>
      <c r="U8" s="207">
        <f>SUMIFS(LstMachines[Nbre],LstMachines[Model-Spec],PrévisionBoris[[#This Row],[Spec]],LstMachines[Status],PrévisionBoris[[#This Row],[Status]],LstMachines[MoisLivr],U$1)</f>
        <v>0</v>
      </c>
      <c r="V8" s="208">
        <f>SUMIFS(LstMachines[Nbre],LstMachines[Model-Spec],PrévisionBoris[[#This Row],[Spec]],LstMachines[Status],PrévisionBoris[[#This Row],[Status]],LstMachines[MoisLivr],V$1)</f>
        <v>0</v>
      </c>
      <c r="W8" s="206">
        <f>SUMIFS(LstMachines[Nbre],LstMachines[Model-Spec],PrévisionBoris[[#This Row],[Spec]],LstMachines[Status],PrévisionBoris[[#This Row],[Status]],LstMachines[MoisLivr],W$1)</f>
        <v>0</v>
      </c>
      <c r="X8" s="207">
        <f>SUMIFS(LstMachines[Nbre],LstMachines[Model-Spec],PrévisionBoris[[#This Row],[Spec]],LstMachines[Status],PrévisionBoris[[#This Row],[Status]],LstMachines[MoisLivr],X$1)</f>
        <v>0</v>
      </c>
      <c r="Y8" s="208">
        <f>SUMIFS(LstMachines[Nbre],LstMachines[Model-Spec],PrévisionBoris[[#This Row],[Spec]],LstMachines[Status],PrévisionBoris[[#This Row],[Status]],LstMachines[MoisLivr],Y$1)</f>
        <v>0</v>
      </c>
      <c r="Z8" s="206">
        <f>SUMIFS(LstMachines[Nbre],LstMachines[Model-Spec],PrévisionBoris[[#This Row],[Spec]],LstMachines[Status],PrévisionBoris[[#This Row],[Status]],LstMachines[MoisLivr],Z$1)</f>
        <v>0</v>
      </c>
      <c r="AA8" s="207">
        <f>SUMIFS(LstMachines[Nbre],LstMachines[Model-Spec],PrévisionBoris[[#This Row],[Spec]],LstMachines[Status],PrévisionBoris[[#This Row],[Status]],LstMachines[MoisLivr],AA$1)</f>
        <v>0</v>
      </c>
      <c r="AB8" s="208">
        <f>SUMIFS(LstMachines[Nbre],LstMachines[Model-Spec],PrévisionBoris[[#This Row],[Spec]],LstMachines[Status],PrévisionBoris[[#This Row],[Status]],LstMachines[MoisLivr],AB$1)</f>
        <v>0</v>
      </c>
      <c r="AC8" s="206">
        <f>SUMIFS(LstMachines[Nbre],LstMachines[Model-Spec],PrévisionBoris[[#This Row],[Spec]],LstMachines[Status],PrévisionBoris[[#This Row],[Status]],LstMachines[MoisLivr],AC$1)</f>
        <v>0</v>
      </c>
      <c r="AD8" s="207">
        <f>SUMIFS(LstMachines[Nbre],LstMachines[Model-Spec],PrévisionBoris[[#This Row],[Spec]],LstMachines[Status],PrévisionBoris[[#This Row],[Status]],LstMachines[MoisLivr],AD$1)</f>
        <v>0</v>
      </c>
      <c r="AE8" s="208">
        <f>SUMIFS(LstMachines[Nbre],LstMachines[Model-Spec],PrévisionBoris[[#This Row],[Spec]],LstMachines[Status],PrévisionBoris[[#This Row],[Status]],LstMachines[MoisLivr],AE$1)</f>
        <v>0</v>
      </c>
      <c r="AF8" s="206">
        <f>SUMIFS(LstMachines[Nbre],LstMachines[Model-Spec],PrévisionBoris[[#This Row],[Spec]],LstMachines[Status],PrévisionBoris[[#This Row],[Status]],LstMachines[MoisLivr],AF$1)</f>
        <v>0</v>
      </c>
      <c r="AG8" s="207">
        <f>SUMIFS(LstMachines[Nbre],LstMachines[Model-Spec],PrévisionBoris[[#This Row],[Spec]],LstMachines[Status],PrévisionBoris[[#This Row],[Status]],LstMachines[MoisLivr],AG$1)</f>
        <v>0</v>
      </c>
      <c r="AH8" s="208">
        <f>SUMIFS(LstMachines[Nbre],LstMachines[Model-Spec],PrévisionBoris[[#This Row],[Spec]],LstMachines[Status],PrévisionBoris[[#This Row],[Status]],LstMachines[MoisLivr],AH$1)</f>
        <v>0</v>
      </c>
      <c r="AI8" s="206">
        <f>SUMIFS(LstMachines[Nbre],LstMachines[Model-Spec],PrévisionBoris[[#This Row],[Spec]],LstMachines[Status],PrévisionBoris[[#This Row],[Status]],LstMachines[MoisLivr],AI$1)</f>
        <v>0</v>
      </c>
      <c r="AJ8" s="207">
        <f>SUMIFS(LstMachines[Nbre],LstMachines[Model-Spec],PrévisionBoris[[#This Row],[Spec]],LstMachines[Status],PrévisionBoris[[#This Row],[Status]],LstMachines[MoisLivr],AJ$1)</f>
        <v>0</v>
      </c>
      <c r="AK8" s="208">
        <f>SUMIFS(LstMachines[Nbre],LstMachines[Model-Spec],PrévisionBoris[[#This Row],[Spec]],LstMachines[Status],PrévisionBoris[[#This Row],[Status]],LstMachines[MoisLivr],AK$1)</f>
        <v>0</v>
      </c>
      <c r="AL8" s="206">
        <f>SUMIFS(LstMachines[Nbre],LstMachines[Model-Spec],PrévisionBoris[[#This Row],[Spec]],LstMachines[Status],PrévisionBoris[[#This Row],[Status]],LstMachines[MoisLivr],AL$1)</f>
        <v>0</v>
      </c>
      <c r="AM8" s="207">
        <f>SUMIFS(LstMachines[Nbre],LstMachines[Model-Spec],PrévisionBoris[[#This Row],[Spec]],LstMachines[Status],PrévisionBoris[[#This Row],[Status]],LstMachines[MoisLivr],AM$1)</f>
        <v>0</v>
      </c>
      <c r="AN8" s="208">
        <f>SUMIFS(LstMachines[Nbre],LstMachines[Model-Spec],PrévisionBoris[[#This Row],[Spec]],LstMachines[Status],PrévisionBoris[[#This Row],[Status]],LstMachines[MoisLivr],AN$1)</f>
        <v>0</v>
      </c>
      <c r="AO8" s="206">
        <f>SUMIFS(LstMachines[Nbre],LstMachines[Model-Spec],PrévisionBoris[[#This Row],[Spec]],LstMachines[Status],PrévisionBoris[[#This Row],[Status]],LstMachines[MoisLivr],AO$1)</f>
        <v>0</v>
      </c>
      <c r="AP8" s="207">
        <f>SUMIFS(LstMachines[Nbre],LstMachines[Model-Spec],PrévisionBoris[[#This Row],[Spec]],LstMachines[Status],PrévisionBoris[[#This Row],[Status]],LstMachines[MoisLivr],AP$1)</f>
        <v>0</v>
      </c>
      <c r="AQ8" s="208">
        <f>SUMIFS(LstMachines[Nbre],LstMachines[Model-Spec],PrévisionBoris[[#This Row],[Spec]],LstMachines[Status],PrévisionBoris[[#This Row],[Status]],LstMachines[MoisLivr],AQ$1)</f>
        <v>0</v>
      </c>
      <c r="AR8" s="206">
        <f>SUMIFS(LstMachines[Nbre],LstMachines[Model-Spec],PrévisionBoris[[#This Row],[Spec]],LstMachines[Status],PrévisionBoris[[#This Row],[Status]],LstMachines[MoisLivr],AR$1)</f>
        <v>0</v>
      </c>
      <c r="AS8" s="207">
        <f>SUMIFS(LstMachines[Nbre],LstMachines[Model-Spec],PrévisionBoris[[#This Row],[Spec]],LstMachines[Status],PrévisionBoris[[#This Row],[Status]],LstMachines[MoisLivr],AS$1)</f>
        <v>0</v>
      </c>
      <c r="AT8" s="208">
        <f>SUMIFS(LstMachines[Nbre],LstMachines[Model-Spec],PrévisionBoris[[#This Row],[Spec]],LstMachines[Status],PrévisionBoris[[#This Row],[Status]],LstMachines[MoisLivr],AT$1)</f>
        <v>0</v>
      </c>
      <c r="AU8" s="206">
        <f>SUMIFS(LstMachines[Nbre],LstMachines[Model-Spec],PrévisionBoris[[#This Row],[Spec]],LstMachines[Status],PrévisionBoris[[#This Row],[Status]],LstMachines[MoisLivr],AU$1)</f>
        <v>0</v>
      </c>
      <c r="AV8" s="207">
        <f>SUMIFS(LstMachines[Nbre],LstMachines[Model-Spec],PrévisionBoris[[#This Row],[Spec]],LstMachines[Status],PrévisionBoris[[#This Row],[Status]],LstMachines[MoisLivr],AV$1)</f>
        <v>0</v>
      </c>
      <c r="AW8" s="208">
        <f>SUMIFS(LstMachines[Nbre],LstMachines[Model-Spec],PrévisionBoris[[#This Row],[Spec]],LstMachines[Status],PrévisionBoris[[#This Row],[Status]],LstMachines[MoisLivr],AW$1)</f>
        <v>0</v>
      </c>
      <c r="AX8" s="210"/>
      <c r="AY8" s="211">
        <f t="shared" ref="AY8:AY71" si="3">SUM(K8:M8)</f>
        <v>0</v>
      </c>
      <c r="AZ8" s="212">
        <f t="shared" ref="AZ8:AZ71" si="4">SUM(N8:P8)</f>
        <v>0</v>
      </c>
      <c r="BA8" s="212">
        <f t="shared" ref="BA8:BA71" si="5">SUM(Q8:S8)</f>
        <v>0</v>
      </c>
      <c r="BB8" s="213">
        <f t="shared" ref="BB8:BB71" si="6">SUM(T8:V8)</f>
        <v>0</v>
      </c>
      <c r="BC8" s="210">
        <f t="shared" ref="BC8:BC71" si="7">SUM(AY8:BB8)</f>
        <v>0</v>
      </c>
      <c r="BD8" s="211">
        <f t="shared" ref="BD8:BD71" si="8">SUM(W8:Y8)</f>
        <v>0</v>
      </c>
      <c r="BE8" s="212">
        <f t="shared" ref="BE8:BE71" si="9">SUM(Z8:AB8)</f>
        <v>0</v>
      </c>
      <c r="BF8" s="212">
        <f t="shared" ref="BF8:BF71" si="10">SUM(AC8:AE8)</f>
        <v>0</v>
      </c>
      <c r="BG8" s="213">
        <f t="shared" ref="BG8:BG71" si="11">SUM(AF8:AH8)</f>
        <v>0</v>
      </c>
      <c r="BH8" s="210">
        <f t="shared" ref="BH8:BH71" si="12">SUM(BD8:BG8)</f>
        <v>0</v>
      </c>
      <c r="BI8" s="214">
        <f t="shared" ref="BI8:BI71" si="13">SUM(AI8:AK8)</f>
        <v>0</v>
      </c>
      <c r="BJ8" s="215">
        <f t="shared" ref="BJ8:BJ71" si="14">SUM(AL8:AN8)</f>
        <v>0</v>
      </c>
      <c r="BK8" s="215">
        <f t="shared" ref="BK8:BK71" si="15">SUM(AO8:AQ8)</f>
        <v>0</v>
      </c>
      <c r="BL8" s="216">
        <f t="shared" ref="BL8:BL71" si="16">SUM(AR8:AT8)</f>
        <v>0</v>
      </c>
      <c r="BM8" s="210">
        <f t="shared" ref="BM8:BM71" si="17">SUM(BI8:BL8)</f>
        <v>0</v>
      </c>
      <c r="BN8" s="210"/>
      <c r="BO8" s="217"/>
      <c r="BP8" s="218">
        <f t="shared" ref="BP8:BP71" si="18">SUM(H8:AU8)</f>
        <v>0</v>
      </c>
    </row>
    <row r="9" spans="1:76">
      <c r="A9" s="170">
        <v>2</v>
      </c>
      <c r="B9" s="170" t="s">
        <v>151</v>
      </c>
      <c r="C9" s="200">
        <v>75</v>
      </c>
      <c r="D9" s="170" t="s">
        <v>274</v>
      </c>
      <c r="E9" s="170" t="s">
        <v>374</v>
      </c>
      <c r="F9" s="200">
        <f>VLOOKUP(PrévisionBoris[[#This Row],[Spec]],TabModelSpecs[[ModelSpec]:[Price]],2,FALSE)</f>
        <v>45</v>
      </c>
      <c r="G9" s="170" t="s">
        <v>462</v>
      </c>
      <c r="H9" s="219">
        <f>SUMIFS(LstMachines[Nbre],LstMachines[Model-Spec],PrévisionBoris[[#This Row],[Spec]],LstMachines[Status],PrévisionBoris[[#This Row],[Status]],LstMachines[MoisLivr],H$1)</f>
        <v>0</v>
      </c>
      <c r="I9" s="220">
        <f>SUMIFS(LstMachines[Nbre],LstMachines[Model-Spec],PrévisionBoris[[#This Row],[Spec]],LstMachines[Status],PrévisionBoris[[#This Row],[Status]],LstMachines[MoisLivr],I$1)</f>
        <v>0</v>
      </c>
      <c r="J9" s="221">
        <f>SUMIFS(LstMachines[Nbre],LstMachines[Model-Spec],PrévisionBoris[[#This Row],[Spec]],LstMachines[Status],PrévisionBoris[[#This Row],[Status]],LstMachines[MoisLivr],J$1)</f>
        <v>0</v>
      </c>
      <c r="K9" s="219">
        <f>SUMIFS(LstMachines[Nbre],LstMachines[Model-Spec],PrévisionBoris[[#This Row],[Spec]],LstMachines[Status],PrévisionBoris[[#This Row],[Status]],LstMachines[MoisLivr],K$1)</f>
        <v>0</v>
      </c>
      <c r="L9" s="220">
        <f>SUMIFS(LstMachines[Nbre],LstMachines[Model-Spec],PrévisionBoris[[#This Row],[Spec]],LstMachines[Status],PrévisionBoris[[#This Row],[Status]],LstMachines[MoisLivr],L$1)</f>
        <v>0</v>
      </c>
      <c r="M9" s="221">
        <f>SUMIFS(LstMachines[Nbre],LstMachines[Model-Spec],PrévisionBoris[[#This Row],[Spec]],LstMachines[Status],PrévisionBoris[[#This Row],[Status]],LstMachines[MoisLivr],M$1)</f>
        <v>0</v>
      </c>
      <c r="N9" s="219">
        <f>SUMIFS(LstMachines[Nbre],LstMachines[Model-Spec],PrévisionBoris[[#This Row],[Spec]],LstMachines[Status],PrévisionBoris[[#This Row],[Status]],LstMachines[MoisLivr],N$1)</f>
        <v>0</v>
      </c>
      <c r="O9" s="220">
        <f>SUMIFS(LstMachines[Nbre],LstMachines[Model-Spec],PrévisionBoris[[#This Row],[Spec]],LstMachines[Status],PrévisionBoris[[#This Row],[Status]],LstMachines[MoisLivr],O$1)</f>
        <v>0</v>
      </c>
      <c r="P9" s="221">
        <f>SUMIFS(LstMachines[Nbre],LstMachines[Model-Spec],PrévisionBoris[[#This Row],[Spec]],LstMachines[Status],PrévisionBoris[[#This Row],[Status]],LstMachines[MoisLivr],P$1)</f>
        <v>0</v>
      </c>
      <c r="Q9" s="222">
        <f>SUMIFS(LstMachines[Nbre],LstMachines[Model-Spec],PrévisionBoris[[#This Row],[Spec]],LstMachines[Status],PrévisionBoris[[#This Row],[Status]],LstMachines[MoisLivr],Q$1)</f>
        <v>0</v>
      </c>
      <c r="R9" s="220">
        <f>SUMIFS(LstMachines[Nbre],LstMachines[Model-Spec],PrévisionBoris[[#This Row],[Spec]],LstMachines[Status],PrévisionBoris[[#This Row],[Status]],LstMachines[MoisLivr],R$1)</f>
        <v>0</v>
      </c>
      <c r="S9" s="220">
        <f>SUMIFS(LstMachines[Nbre],LstMachines[Model-Spec],PrévisionBoris[[#This Row],[Spec]],LstMachines[Status],PrévisionBoris[[#This Row],[Status]],LstMachines[MoisLivr],S$1)</f>
        <v>0</v>
      </c>
      <c r="T9" s="219">
        <f>SUMIFS(LstMachines[Nbre],LstMachines[Model-Spec],PrévisionBoris[[#This Row],[Spec]],LstMachines[Status],PrévisionBoris[[#This Row],[Status]],LstMachines[MoisLivr],T$1)</f>
        <v>0</v>
      </c>
      <c r="U9" s="220">
        <f>SUMIFS(LstMachines[Nbre],LstMachines[Model-Spec],PrévisionBoris[[#This Row],[Spec]],LstMachines[Status],PrévisionBoris[[#This Row],[Status]],LstMachines[MoisLivr],U$1)</f>
        <v>0</v>
      </c>
      <c r="V9" s="220">
        <f>SUMIFS(LstMachines[Nbre],LstMachines[Model-Spec],PrévisionBoris[[#This Row],[Spec]],LstMachines[Status],PrévisionBoris[[#This Row],[Status]],LstMachines[MoisLivr],V$1)</f>
        <v>0</v>
      </c>
      <c r="W9" s="219">
        <f>SUMIFS(LstMachines[Nbre],LstMachines[Model-Spec],PrévisionBoris[[#This Row],[Spec]],LstMachines[Status],PrévisionBoris[[#This Row],[Status]],LstMachines[MoisLivr],W$1)</f>
        <v>0</v>
      </c>
      <c r="X9" s="220">
        <f>SUMIFS(LstMachines[Nbre],LstMachines[Model-Spec],PrévisionBoris[[#This Row],[Spec]],LstMachines[Status],PrévisionBoris[[#This Row],[Status]],LstMachines[MoisLivr],X$1)</f>
        <v>0</v>
      </c>
      <c r="Y9" s="220">
        <f>SUMIFS(LstMachines[Nbre],LstMachines[Model-Spec],PrévisionBoris[[#This Row],[Spec]],LstMachines[Status],PrévisionBoris[[#This Row],[Status]],LstMachines[MoisLivr],Y$1)</f>
        <v>0</v>
      </c>
      <c r="Z9" s="219">
        <f>SUMIFS(LstMachines[Nbre],LstMachines[Model-Spec],PrévisionBoris[[#This Row],[Spec]],LstMachines[Status],PrévisionBoris[[#This Row],[Status]],LstMachines[MoisLivr],Z$1)</f>
        <v>0</v>
      </c>
      <c r="AA9" s="220">
        <f>SUMIFS(LstMachines[Nbre],LstMachines[Model-Spec],PrévisionBoris[[#This Row],[Spec]],LstMachines[Status],PrévisionBoris[[#This Row],[Status]],LstMachines[MoisLivr],AA$1)</f>
        <v>0</v>
      </c>
      <c r="AB9" s="220">
        <f>SUMIFS(LstMachines[Nbre],LstMachines[Model-Spec],PrévisionBoris[[#This Row],[Spec]],LstMachines[Status],PrévisionBoris[[#This Row],[Status]],LstMachines[MoisLivr],AB$1)</f>
        <v>0</v>
      </c>
      <c r="AC9" s="219">
        <f>SUMIFS(LstMachines[Nbre],LstMachines[Model-Spec],PrévisionBoris[[#This Row],[Spec]],LstMachines[Status],PrévisionBoris[[#This Row],[Status]],LstMachines[MoisLivr],AC$1)</f>
        <v>0</v>
      </c>
      <c r="AD9" s="220">
        <f>SUMIFS(LstMachines[Nbre],LstMachines[Model-Spec],PrévisionBoris[[#This Row],[Spec]],LstMachines[Status],PrévisionBoris[[#This Row],[Status]],LstMachines[MoisLivr],AD$1)</f>
        <v>0</v>
      </c>
      <c r="AE9" s="220">
        <f>SUMIFS(LstMachines[Nbre],LstMachines[Model-Spec],PrévisionBoris[[#This Row],[Spec]],LstMachines[Status],PrévisionBoris[[#This Row],[Status]],LstMachines[MoisLivr],AE$1)</f>
        <v>0</v>
      </c>
      <c r="AF9" s="219">
        <f>SUMIFS(LstMachines[Nbre],LstMachines[Model-Spec],PrévisionBoris[[#This Row],[Spec]],LstMachines[Status],PrévisionBoris[[#This Row],[Status]],LstMachines[MoisLivr],AF$1)</f>
        <v>0</v>
      </c>
      <c r="AG9" s="220">
        <f>SUMIFS(LstMachines[Nbre],LstMachines[Model-Spec],PrévisionBoris[[#This Row],[Spec]],LstMachines[Status],PrévisionBoris[[#This Row],[Status]],LstMachines[MoisLivr],AG$1)</f>
        <v>0</v>
      </c>
      <c r="AH9" s="220">
        <f>SUMIFS(LstMachines[Nbre],LstMachines[Model-Spec],PrévisionBoris[[#This Row],[Spec]],LstMachines[Status],PrévisionBoris[[#This Row],[Status]],LstMachines[MoisLivr],AH$1)</f>
        <v>0</v>
      </c>
      <c r="AI9" s="219">
        <f>SUMIFS(LstMachines[Nbre],LstMachines[Model-Spec],PrévisionBoris[[#This Row],[Spec]],LstMachines[Status],PrévisionBoris[[#This Row],[Status]],LstMachines[MoisLivr],AI$1)</f>
        <v>0</v>
      </c>
      <c r="AJ9" s="220">
        <f>SUMIFS(LstMachines[Nbre],LstMachines[Model-Spec],PrévisionBoris[[#This Row],[Spec]],LstMachines[Status],PrévisionBoris[[#This Row],[Status]],LstMachines[MoisLivr],AJ$1)</f>
        <v>0</v>
      </c>
      <c r="AK9" s="220">
        <f>SUMIFS(LstMachines[Nbre],LstMachines[Model-Spec],PrévisionBoris[[#This Row],[Spec]],LstMachines[Status],PrévisionBoris[[#This Row],[Status]],LstMachines[MoisLivr],AK$1)</f>
        <v>0</v>
      </c>
      <c r="AL9" s="219">
        <f>SUMIFS(LstMachines[Nbre],LstMachines[Model-Spec],PrévisionBoris[[#This Row],[Spec]],LstMachines[Status],PrévisionBoris[[#This Row],[Status]],LstMachines[MoisLivr],AL$1)</f>
        <v>0</v>
      </c>
      <c r="AM9" s="220">
        <f>SUMIFS(LstMachines[Nbre],LstMachines[Model-Spec],PrévisionBoris[[#This Row],[Spec]],LstMachines[Status],PrévisionBoris[[#This Row],[Status]],LstMachines[MoisLivr],AM$1)</f>
        <v>0</v>
      </c>
      <c r="AN9" s="220">
        <f>SUMIFS(LstMachines[Nbre],LstMachines[Model-Spec],PrévisionBoris[[#This Row],[Spec]],LstMachines[Status],PrévisionBoris[[#This Row],[Status]],LstMachines[MoisLivr],AN$1)</f>
        <v>0</v>
      </c>
      <c r="AO9" s="219">
        <f>SUMIFS(LstMachines[Nbre],LstMachines[Model-Spec],PrévisionBoris[[#This Row],[Spec]],LstMachines[Status],PrévisionBoris[[#This Row],[Status]],LstMachines[MoisLivr],AO$1)</f>
        <v>0</v>
      </c>
      <c r="AP9" s="220">
        <f>SUMIFS(LstMachines[Nbre],LstMachines[Model-Spec],PrévisionBoris[[#This Row],[Spec]],LstMachines[Status],PrévisionBoris[[#This Row],[Status]],LstMachines[MoisLivr],AP$1)</f>
        <v>0</v>
      </c>
      <c r="AQ9" s="220">
        <f>SUMIFS(LstMachines[Nbre],LstMachines[Model-Spec],PrévisionBoris[[#This Row],[Spec]],LstMachines[Status],PrévisionBoris[[#This Row],[Status]],LstMachines[MoisLivr],AQ$1)</f>
        <v>0</v>
      </c>
      <c r="AR9" s="219">
        <f>SUMIFS(LstMachines[Nbre],LstMachines[Model-Spec],PrévisionBoris[[#This Row],[Spec]],LstMachines[Status],PrévisionBoris[[#This Row],[Status]],LstMachines[MoisLivr],AR$1)</f>
        <v>0</v>
      </c>
      <c r="AS9" s="220">
        <f>SUMIFS(LstMachines[Nbre],LstMachines[Model-Spec],PrévisionBoris[[#This Row],[Spec]],LstMachines[Status],PrévisionBoris[[#This Row],[Status]],LstMachines[MoisLivr],AS$1)</f>
        <v>0</v>
      </c>
      <c r="AT9" s="220">
        <f>SUMIFS(LstMachines[Nbre],LstMachines[Model-Spec],PrévisionBoris[[#This Row],[Spec]],LstMachines[Status],PrévisionBoris[[#This Row],[Status]],LstMachines[MoisLivr],AT$1)</f>
        <v>0</v>
      </c>
      <c r="AU9" s="219">
        <f>SUMIFS(LstMachines[Nbre],LstMachines[Model-Spec],PrévisionBoris[[#This Row],[Spec]],LstMachines[Status],PrévisionBoris[[#This Row],[Status]],LstMachines[MoisLivr],AU$1)</f>
        <v>0</v>
      </c>
      <c r="AV9" s="223">
        <f>SUMIFS(LstMachines[Nbre],LstMachines[Model-Spec],PrévisionBoris[[#This Row],[Spec]],LstMachines[Status],PrévisionBoris[[#This Row],[Status]],LstMachines[MoisLivr],AV$1)</f>
        <v>0</v>
      </c>
      <c r="AW9" s="224">
        <f>SUMIFS(LstMachines[Nbre],LstMachines[Model-Spec],PrévisionBoris[[#This Row],[Spec]],LstMachines[Status],PrévisionBoris[[#This Row],[Status]],LstMachines[MoisLivr],AW$1)</f>
        <v>0</v>
      </c>
      <c r="AX9" s="210"/>
      <c r="AY9" s="211">
        <f t="shared" si="3"/>
        <v>0</v>
      </c>
      <c r="AZ9" s="212">
        <f t="shared" si="4"/>
        <v>0</v>
      </c>
      <c r="BA9" s="212">
        <f t="shared" si="5"/>
        <v>0</v>
      </c>
      <c r="BB9" s="213">
        <f t="shared" si="6"/>
        <v>0</v>
      </c>
      <c r="BC9" s="225">
        <f t="shared" si="7"/>
        <v>0</v>
      </c>
      <c r="BD9" s="211">
        <f t="shared" si="8"/>
        <v>0</v>
      </c>
      <c r="BE9" s="212">
        <f t="shared" si="9"/>
        <v>0</v>
      </c>
      <c r="BF9" s="212">
        <f t="shared" si="10"/>
        <v>0</v>
      </c>
      <c r="BG9" s="213">
        <f t="shared" si="11"/>
        <v>0</v>
      </c>
      <c r="BH9" s="225">
        <f t="shared" si="12"/>
        <v>0</v>
      </c>
      <c r="BI9" s="214">
        <f t="shared" si="13"/>
        <v>0</v>
      </c>
      <c r="BJ9" s="215">
        <f t="shared" si="14"/>
        <v>0</v>
      </c>
      <c r="BK9" s="215">
        <f t="shared" si="15"/>
        <v>0</v>
      </c>
      <c r="BL9" s="216">
        <f t="shared" si="16"/>
        <v>0</v>
      </c>
      <c r="BM9" s="225">
        <f t="shared" si="17"/>
        <v>0</v>
      </c>
      <c r="BN9" s="225"/>
      <c r="BO9" s="217"/>
      <c r="BP9" s="218">
        <f t="shared" si="18"/>
        <v>0</v>
      </c>
    </row>
    <row r="10" spans="1:76">
      <c r="A10" s="171">
        <v>3</v>
      </c>
      <c r="B10" s="171" t="s">
        <v>151</v>
      </c>
      <c r="C10" s="201">
        <v>75</v>
      </c>
      <c r="D10" s="171" t="s">
        <v>274</v>
      </c>
      <c r="E10" s="171" t="s">
        <v>374</v>
      </c>
      <c r="F10" s="201">
        <f>VLOOKUP(PrévisionBoris[[#This Row],[Spec]],TabModelSpecs[[ModelSpec]:[Price]],2,FALSE)</f>
        <v>45</v>
      </c>
      <c r="G10" s="171" t="s">
        <v>463</v>
      </c>
      <c r="H10" s="226">
        <f>SUMIFS(LstMachines[Nbre],LstMachines[Model-Spec],PrévisionBoris[[#This Row],[Spec]],LstMachines[Status],PrévisionBoris[[#This Row],[Status]],LstMachines[MoisLivr],H$1)</f>
        <v>0</v>
      </c>
      <c r="I10" s="227">
        <f>SUMIFS(LstMachines[Nbre],LstMachines[Model-Spec],PrévisionBoris[[#This Row],[Spec]],LstMachines[Status],PrévisionBoris[[#This Row],[Status]],LstMachines[MoisLivr],I$1)</f>
        <v>0</v>
      </c>
      <c r="J10" s="228">
        <f>SUMIFS(LstMachines[Nbre],LstMachines[Model-Spec],PrévisionBoris[[#This Row],[Spec]],LstMachines[Status],PrévisionBoris[[#This Row],[Status]],LstMachines[MoisLivr],J$1)</f>
        <v>1</v>
      </c>
      <c r="K10" s="226">
        <f>SUMIFS(LstMachines[Nbre],LstMachines[Model-Spec],PrévisionBoris[[#This Row],[Spec]],LstMachines[Status],PrévisionBoris[[#This Row],[Status]],LstMachines[MoisLivr],K$1)</f>
        <v>0</v>
      </c>
      <c r="L10" s="227">
        <f>SUMIFS(LstMachines[Nbre],LstMachines[Model-Spec],PrévisionBoris[[#This Row],[Spec]],LstMachines[Status],PrévisionBoris[[#This Row],[Status]],LstMachines[MoisLivr],L$1)</f>
        <v>1</v>
      </c>
      <c r="M10" s="228">
        <f>SUMIFS(LstMachines[Nbre],LstMachines[Model-Spec],PrévisionBoris[[#This Row],[Spec]],LstMachines[Status],PrévisionBoris[[#This Row],[Status]],LstMachines[MoisLivr],M$1)</f>
        <v>0</v>
      </c>
      <c r="N10" s="226">
        <f>SUMIFS(LstMachines[Nbre],LstMachines[Model-Spec],PrévisionBoris[[#This Row],[Spec]],LstMachines[Status],PrévisionBoris[[#This Row],[Status]],LstMachines[MoisLivr],N$1)</f>
        <v>0</v>
      </c>
      <c r="O10" s="227">
        <f>SUMIFS(LstMachines[Nbre],LstMachines[Model-Spec],PrévisionBoris[[#This Row],[Spec]],LstMachines[Status],PrévisionBoris[[#This Row],[Status]],LstMachines[MoisLivr],O$1)</f>
        <v>0</v>
      </c>
      <c r="P10" s="228">
        <f>SUMIFS(LstMachines[Nbre],LstMachines[Model-Spec],PrévisionBoris[[#This Row],[Spec]],LstMachines[Status],PrévisionBoris[[#This Row],[Status]],LstMachines[MoisLivr],P$1)</f>
        <v>0</v>
      </c>
      <c r="Q10" s="229">
        <f>SUMIFS(LstMachines[Nbre],LstMachines[Model-Spec],PrévisionBoris[[#This Row],[Spec]],LstMachines[Status],PrévisionBoris[[#This Row],[Status]],LstMachines[MoisLivr],Q$1)</f>
        <v>1</v>
      </c>
      <c r="R10" s="227">
        <f>SUMIFS(LstMachines[Nbre],LstMachines[Model-Spec],PrévisionBoris[[#This Row],[Spec]],LstMachines[Status],PrévisionBoris[[#This Row],[Status]],LstMachines[MoisLivr],R$1)</f>
        <v>2</v>
      </c>
      <c r="S10" s="227">
        <f>SUMIFS(LstMachines[Nbre],LstMachines[Model-Spec],PrévisionBoris[[#This Row],[Spec]],LstMachines[Status],PrévisionBoris[[#This Row],[Status]],LstMachines[MoisLivr],S$1)</f>
        <v>0</v>
      </c>
      <c r="T10" s="226">
        <f>SUMIFS(LstMachines[Nbre],LstMachines[Model-Spec],PrévisionBoris[[#This Row],[Spec]],LstMachines[Status],PrévisionBoris[[#This Row],[Status]],LstMachines[MoisLivr],T$1)</f>
        <v>0</v>
      </c>
      <c r="U10" s="227">
        <f>SUMIFS(LstMachines[Nbre],LstMachines[Model-Spec],PrévisionBoris[[#This Row],[Spec]],LstMachines[Status],PrévisionBoris[[#This Row],[Status]],LstMachines[MoisLivr],U$1)</f>
        <v>0</v>
      </c>
      <c r="V10" s="227">
        <f>SUMIFS(LstMachines[Nbre],LstMachines[Model-Spec],PrévisionBoris[[#This Row],[Spec]],LstMachines[Status],PrévisionBoris[[#This Row],[Status]],LstMachines[MoisLivr],V$1)</f>
        <v>0</v>
      </c>
      <c r="W10" s="226">
        <f>SUMIFS(LstMachines[Nbre],LstMachines[Model-Spec],PrévisionBoris[[#This Row],[Spec]],LstMachines[Status],PrévisionBoris[[#This Row],[Status]],LstMachines[MoisLivr],W$1)</f>
        <v>1</v>
      </c>
      <c r="X10" s="227">
        <f>SUMIFS(LstMachines[Nbre],LstMachines[Model-Spec],PrévisionBoris[[#This Row],[Spec]],LstMachines[Status],PrévisionBoris[[#This Row],[Status]],LstMachines[MoisLivr],X$1)</f>
        <v>0</v>
      </c>
      <c r="Y10" s="227">
        <f>SUMIFS(LstMachines[Nbre],LstMachines[Model-Spec],PrévisionBoris[[#This Row],[Spec]],LstMachines[Status],PrévisionBoris[[#This Row],[Status]],LstMachines[MoisLivr],Y$1)</f>
        <v>0</v>
      </c>
      <c r="Z10" s="226">
        <f>SUMIFS(LstMachines[Nbre],LstMachines[Model-Spec],PrévisionBoris[[#This Row],[Spec]],LstMachines[Status],PrévisionBoris[[#This Row],[Status]],LstMachines[MoisLivr],Z$1)</f>
        <v>0</v>
      </c>
      <c r="AA10" s="227">
        <f>SUMIFS(LstMachines[Nbre],LstMachines[Model-Spec],PrévisionBoris[[#This Row],[Spec]],LstMachines[Status],PrévisionBoris[[#This Row],[Status]],LstMachines[MoisLivr],AA$1)</f>
        <v>0</v>
      </c>
      <c r="AB10" s="227">
        <f>SUMIFS(LstMachines[Nbre],LstMachines[Model-Spec],PrévisionBoris[[#This Row],[Spec]],LstMachines[Status],PrévisionBoris[[#This Row],[Status]],LstMachines[MoisLivr],AB$1)</f>
        <v>0</v>
      </c>
      <c r="AC10" s="226">
        <f>SUMIFS(LstMachines[Nbre],LstMachines[Model-Spec],PrévisionBoris[[#This Row],[Spec]],LstMachines[Status],PrévisionBoris[[#This Row],[Status]],LstMachines[MoisLivr],AC$1)</f>
        <v>0</v>
      </c>
      <c r="AD10" s="227">
        <f>SUMIFS(LstMachines[Nbre],LstMachines[Model-Spec],PrévisionBoris[[#This Row],[Spec]],LstMachines[Status],PrévisionBoris[[#This Row],[Status]],LstMachines[MoisLivr],AD$1)</f>
        <v>0</v>
      </c>
      <c r="AE10" s="227">
        <f>SUMIFS(LstMachines[Nbre],LstMachines[Model-Spec],PrévisionBoris[[#This Row],[Spec]],LstMachines[Status],PrévisionBoris[[#This Row],[Status]],LstMachines[MoisLivr],AE$1)</f>
        <v>0</v>
      </c>
      <c r="AF10" s="226">
        <f>SUMIFS(LstMachines[Nbre],LstMachines[Model-Spec],PrévisionBoris[[#This Row],[Spec]],LstMachines[Status],PrévisionBoris[[#This Row],[Status]],LstMachines[MoisLivr],AF$1)</f>
        <v>0</v>
      </c>
      <c r="AG10" s="227">
        <f>SUMIFS(LstMachines[Nbre],LstMachines[Model-Spec],PrévisionBoris[[#This Row],[Spec]],LstMachines[Status],PrévisionBoris[[#This Row],[Status]],LstMachines[MoisLivr],AG$1)</f>
        <v>0</v>
      </c>
      <c r="AH10" s="227">
        <f>SUMIFS(LstMachines[Nbre],LstMachines[Model-Spec],PrévisionBoris[[#This Row],[Spec]],LstMachines[Status],PrévisionBoris[[#This Row],[Status]],LstMachines[MoisLivr],AH$1)</f>
        <v>0</v>
      </c>
      <c r="AI10" s="226">
        <f>SUMIFS(LstMachines[Nbre],LstMachines[Model-Spec],PrévisionBoris[[#This Row],[Spec]],LstMachines[Status],PrévisionBoris[[#This Row],[Status]],LstMachines[MoisLivr],AI$1)</f>
        <v>0</v>
      </c>
      <c r="AJ10" s="227">
        <f>SUMIFS(LstMachines[Nbre],LstMachines[Model-Spec],PrévisionBoris[[#This Row],[Spec]],LstMachines[Status],PrévisionBoris[[#This Row],[Status]],LstMachines[MoisLivr],AJ$1)</f>
        <v>0</v>
      </c>
      <c r="AK10" s="227">
        <f>SUMIFS(LstMachines[Nbre],LstMachines[Model-Spec],PrévisionBoris[[#This Row],[Spec]],LstMachines[Status],PrévisionBoris[[#This Row],[Status]],LstMachines[MoisLivr],AK$1)</f>
        <v>0</v>
      </c>
      <c r="AL10" s="226">
        <f>SUMIFS(LstMachines[Nbre],LstMachines[Model-Spec],PrévisionBoris[[#This Row],[Spec]],LstMachines[Status],PrévisionBoris[[#This Row],[Status]],LstMachines[MoisLivr],AL$1)</f>
        <v>0</v>
      </c>
      <c r="AM10" s="227">
        <f>SUMIFS(LstMachines[Nbre],LstMachines[Model-Spec],PrévisionBoris[[#This Row],[Spec]],LstMachines[Status],PrévisionBoris[[#This Row],[Status]],LstMachines[MoisLivr],AM$1)</f>
        <v>0</v>
      </c>
      <c r="AN10" s="227">
        <f>SUMIFS(LstMachines[Nbre],LstMachines[Model-Spec],PrévisionBoris[[#This Row],[Spec]],LstMachines[Status],PrévisionBoris[[#This Row],[Status]],LstMachines[MoisLivr],AN$1)</f>
        <v>0</v>
      </c>
      <c r="AO10" s="226">
        <f>SUMIFS(LstMachines[Nbre],LstMachines[Model-Spec],PrévisionBoris[[#This Row],[Spec]],LstMachines[Status],PrévisionBoris[[#This Row],[Status]],LstMachines[MoisLivr],AO$1)</f>
        <v>0</v>
      </c>
      <c r="AP10" s="227">
        <f>SUMIFS(LstMachines[Nbre],LstMachines[Model-Spec],PrévisionBoris[[#This Row],[Spec]],LstMachines[Status],PrévisionBoris[[#This Row],[Status]],LstMachines[MoisLivr],AP$1)</f>
        <v>0</v>
      </c>
      <c r="AQ10" s="227">
        <f>SUMIFS(LstMachines[Nbre],LstMachines[Model-Spec],PrévisionBoris[[#This Row],[Spec]],LstMachines[Status],PrévisionBoris[[#This Row],[Status]],LstMachines[MoisLivr],AQ$1)</f>
        <v>0</v>
      </c>
      <c r="AR10" s="226">
        <f>SUMIFS(LstMachines[Nbre],LstMachines[Model-Spec],PrévisionBoris[[#This Row],[Spec]],LstMachines[Status],PrévisionBoris[[#This Row],[Status]],LstMachines[MoisLivr],AR$1)</f>
        <v>0</v>
      </c>
      <c r="AS10" s="227">
        <f>SUMIFS(LstMachines[Nbre],LstMachines[Model-Spec],PrévisionBoris[[#This Row],[Spec]],LstMachines[Status],PrévisionBoris[[#This Row],[Status]],LstMachines[MoisLivr],AS$1)</f>
        <v>0</v>
      </c>
      <c r="AT10" s="227">
        <f>SUMIFS(LstMachines[Nbre],LstMachines[Model-Spec],PrévisionBoris[[#This Row],[Spec]],LstMachines[Status],PrévisionBoris[[#This Row],[Status]],LstMachines[MoisLivr],AT$1)</f>
        <v>0</v>
      </c>
      <c r="AU10" s="226">
        <f>SUMIFS(LstMachines[Nbre],LstMachines[Model-Spec],PrévisionBoris[[#This Row],[Spec]],LstMachines[Status],PrévisionBoris[[#This Row],[Status]],LstMachines[MoisLivr],AU$1)</f>
        <v>0</v>
      </c>
      <c r="AV10" s="230">
        <f>SUMIFS(LstMachines[Nbre],LstMachines[Model-Spec],PrévisionBoris[[#This Row],[Spec]],LstMachines[Status],PrévisionBoris[[#This Row],[Status]],LstMachines[MoisLivr],AV$1)</f>
        <v>0</v>
      </c>
      <c r="AW10" s="231">
        <f>SUMIFS(LstMachines[Nbre],LstMachines[Model-Spec],PrévisionBoris[[#This Row],[Spec]],LstMachines[Status],PrévisionBoris[[#This Row],[Status]],LstMachines[MoisLivr],AW$1)</f>
        <v>0</v>
      </c>
      <c r="AX10" s="232"/>
      <c r="AY10" s="211">
        <f t="shared" si="3"/>
        <v>1</v>
      </c>
      <c r="AZ10" s="212">
        <f t="shared" si="4"/>
        <v>0</v>
      </c>
      <c r="BA10" s="212">
        <f t="shared" si="5"/>
        <v>3</v>
      </c>
      <c r="BB10" s="213">
        <f t="shared" si="6"/>
        <v>0</v>
      </c>
      <c r="BC10" s="225">
        <f t="shared" si="7"/>
        <v>4</v>
      </c>
      <c r="BD10" s="211">
        <f t="shared" si="8"/>
        <v>1</v>
      </c>
      <c r="BE10" s="212">
        <f t="shared" si="9"/>
        <v>0</v>
      </c>
      <c r="BF10" s="212">
        <f t="shared" si="10"/>
        <v>0</v>
      </c>
      <c r="BG10" s="213">
        <f t="shared" si="11"/>
        <v>0</v>
      </c>
      <c r="BH10" s="225">
        <f t="shared" si="12"/>
        <v>1</v>
      </c>
      <c r="BI10" s="214">
        <f t="shared" si="13"/>
        <v>0</v>
      </c>
      <c r="BJ10" s="215">
        <f t="shared" si="14"/>
        <v>0</v>
      </c>
      <c r="BK10" s="215">
        <f t="shared" si="15"/>
        <v>0</v>
      </c>
      <c r="BL10" s="216">
        <f t="shared" si="16"/>
        <v>0</v>
      </c>
      <c r="BM10" s="225">
        <f t="shared" si="17"/>
        <v>0</v>
      </c>
      <c r="BN10" s="225"/>
      <c r="BO10" s="217"/>
      <c r="BP10" s="218">
        <f t="shared" si="18"/>
        <v>6</v>
      </c>
    </row>
    <row r="11" spans="1:76">
      <c r="A11" s="172">
        <v>4</v>
      </c>
      <c r="B11" s="172" t="s">
        <v>151</v>
      </c>
      <c r="C11" s="202">
        <v>150</v>
      </c>
      <c r="D11" s="172" t="s">
        <v>152</v>
      </c>
      <c r="E11" s="172" t="s">
        <v>153</v>
      </c>
      <c r="F11" s="202">
        <f>VLOOKUP(PrévisionBoris[[#This Row],[Spec]],TabModelSpecs[[ModelSpec]:[Price]],2,FALSE)</f>
        <v>100</v>
      </c>
      <c r="G11" s="172" t="s">
        <v>461</v>
      </c>
      <c r="H11" s="206">
        <f>SUMIFS(LstMachines[Nbre],LstMachines[Model-Spec],PrévisionBoris[[#This Row],[Spec]],LstMachines[Status],PrévisionBoris[[#This Row],[Status]],LstMachines[MoisLivr],H$1)</f>
        <v>0</v>
      </c>
      <c r="I11" s="207">
        <f>SUMIFS(LstMachines[Nbre],LstMachines[Model-Spec],PrévisionBoris[[#This Row],[Spec]],LstMachines[Status],PrévisionBoris[[#This Row],[Status]],LstMachines[MoisLivr],I$1)</f>
        <v>0</v>
      </c>
      <c r="J11" s="208">
        <f>SUMIFS(LstMachines[Nbre],LstMachines[Model-Spec],PrévisionBoris[[#This Row],[Spec]],LstMachines[Status],PrévisionBoris[[#This Row],[Status]],LstMachines[MoisLivr],J$1)</f>
        <v>0</v>
      </c>
      <c r="K11" s="206">
        <f>SUMIFS(LstMachines[Nbre],LstMachines[Model-Spec],PrévisionBoris[[#This Row],[Spec]],LstMachines[Status],PrévisionBoris[[#This Row],[Status]],LstMachines[MoisLivr],K$1)</f>
        <v>0</v>
      </c>
      <c r="L11" s="207">
        <f>SUMIFS(LstMachines[Nbre],LstMachines[Model-Spec],PrévisionBoris[[#This Row],[Spec]],LstMachines[Status],PrévisionBoris[[#This Row],[Status]],LstMachines[MoisLivr],L$1)</f>
        <v>0</v>
      </c>
      <c r="M11" s="208">
        <f>SUMIFS(LstMachines[Nbre],LstMachines[Model-Spec],PrévisionBoris[[#This Row],[Spec]],LstMachines[Status],PrévisionBoris[[#This Row],[Status]],LstMachines[MoisLivr],M$1)</f>
        <v>0</v>
      </c>
      <c r="N11" s="206">
        <f>SUMIFS(LstMachines[Nbre],LstMachines[Model-Spec],PrévisionBoris[[#This Row],[Spec]],LstMachines[Status],PrévisionBoris[[#This Row],[Status]],LstMachines[MoisLivr],N$1)</f>
        <v>0</v>
      </c>
      <c r="O11" s="207">
        <f>SUMIFS(LstMachines[Nbre],LstMachines[Model-Spec],PrévisionBoris[[#This Row],[Spec]],LstMachines[Status],PrévisionBoris[[#This Row],[Status]],LstMachines[MoisLivr],O$1)</f>
        <v>0</v>
      </c>
      <c r="P11" s="208">
        <f>SUMIFS(LstMachines[Nbre],LstMachines[Model-Spec],PrévisionBoris[[#This Row],[Spec]],LstMachines[Status],PrévisionBoris[[#This Row],[Status]],LstMachines[MoisLivr],P$1)</f>
        <v>0</v>
      </c>
      <c r="Q11" s="209">
        <f>SUMIFS(LstMachines[Nbre],LstMachines[Model-Spec],PrévisionBoris[[#This Row],[Spec]],LstMachines[Status],PrévisionBoris[[#This Row],[Status]],LstMachines[MoisLivr],Q$1)</f>
        <v>0</v>
      </c>
      <c r="R11" s="207">
        <f>SUMIFS(LstMachines[Nbre],LstMachines[Model-Spec],PrévisionBoris[[#This Row],[Spec]],LstMachines[Status],PrévisionBoris[[#This Row],[Status]],LstMachines[MoisLivr],R$1)</f>
        <v>0</v>
      </c>
      <c r="S11" s="207">
        <f>SUMIFS(LstMachines[Nbre],LstMachines[Model-Spec],PrévisionBoris[[#This Row],[Spec]],LstMachines[Status],PrévisionBoris[[#This Row],[Status]],LstMachines[MoisLivr],S$1)</f>
        <v>0</v>
      </c>
      <c r="T11" s="206">
        <f>SUMIFS(LstMachines[Nbre],LstMachines[Model-Spec],PrévisionBoris[[#This Row],[Spec]],LstMachines[Status],PrévisionBoris[[#This Row],[Status]],LstMachines[MoisLivr],T$1)</f>
        <v>0</v>
      </c>
      <c r="U11" s="207">
        <f>SUMIFS(LstMachines[Nbre],LstMachines[Model-Spec],PrévisionBoris[[#This Row],[Spec]],LstMachines[Status],PrévisionBoris[[#This Row],[Status]],LstMachines[MoisLivr],U$1)</f>
        <v>0</v>
      </c>
      <c r="V11" s="207">
        <f>SUMIFS(LstMachines[Nbre],LstMachines[Model-Spec],PrévisionBoris[[#This Row],[Spec]],LstMachines[Status],PrévisionBoris[[#This Row],[Status]],LstMachines[MoisLivr],V$1)</f>
        <v>0</v>
      </c>
      <c r="W11" s="206">
        <f>SUMIFS(LstMachines[Nbre],LstMachines[Model-Spec],PrévisionBoris[[#This Row],[Spec]],LstMachines[Status],PrévisionBoris[[#This Row],[Status]],LstMachines[MoisLivr],W$1)</f>
        <v>0</v>
      </c>
      <c r="X11" s="207">
        <f>SUMIFS(LstMachines[Nbre],LstMachines[Model-Spec],PrévisionBoris[[#This Row],[Spec]],LstMachines[Status],PrévisionBoris[[#This Row],[Status]],LstMachines[MoisLivr],X$1)</f>
        <v>0</v>
      </c>
      <c r="Y11" s="207">
        <f>SUMIFS(LstMachines[Nbre],LstMachines[Model-Spec],PrévisionBoris[[#This Row],[Spec]],LstMachines[Status],PrévisionBoris[[#This Row],[Status]],LstMachines[MoisLivr],Y$1)</f>
        <v>0</v>
      </c>
      <c r="Z11" s="206">
        <f>SUMIFS(LstMachines[Nbre],LstMachines[Model-Spec],PrévisionBoris[[#This Row],[Spec]],LstMachines[Status],PrévisionBoris[[#This Row],[Status]],LstMachines[MoisLivr],Z$1)</f>
        <v>0</v>
      </c>
      <c r="AA11" s="207">
        <f>SUMIFS(LstMachines[Nbre],LstMachines[Model-Spec],PrévisionBoris[[#This Row],[Spec]],LstMachines[Status],PrévisionBoris[[#This Row],[Status]],LstMachines[MoisLivr],AA$1)</f>
        <v>0</v>
      </c>
      <c r="AB11" s="207">
        <f>SUMIFS(LstMachines[Nbre],LstMachines[Model-Spec],PrévisionBoris[[#This Row],[Spec]],LstMachines[Status],PrévisionBoris[[#This Row],[Status]],LstMachines[MoisLivr],AB$1)</f>
        <v>0</v>
      </c>
      <c r="AC11" s="206">
        <f>SUMIFS(LstMachines[Nbre],LstMachines[Model-Spec],PrévisionBoris[[#This Row],[Spec]],LstMachines[Status],PrévisionBoris[[#This Row],[Status]],LstMachines[MoisLivr],AC$1)</f>
        <v>0</v>
      </c>
      <c r="AD11" s="207">
        <f>SUMIFS(LstMachines[Nbre],LstMachines[Model-Spec],PrévisionBoris[[#This Row],[Spec]],LstMachines[Status],PrévisionBoris[[#This Row],[Status]],LstMachines[MoisLivr],AD$1)</f>
        <v>0</v>
      </c>
      <c r="AE11" s="207">
        <f>SUMIFS(LstMachines[Nbre],LstMachines[Model-Spec],PrévisionBoris[[#This Row],[Spec]],LstMachines[Status],PrévisionBoris[[#This Row],[Status]],LstMachines[MoisLivr],AE$1)</f>
        <v>0</v>
      </c>
      <c r="AF11" s="206">
        <f>SUMIFS(LstMachines[Nbre],LstMachines[Model-Spec],PrévisionBoris[[#This Row],[Spec]],LstMachines[Status],PrévisionBoris[[#This Row],[Status]],LstMachines[MoisLivr],AF$1)</f>
        <v>0</v>
      </c>
      <c r="AG11" s="207">
        <f>SUMIFS(LstMachines[Nbre],LstMachines[Model-Spec],PrévisionBoris[[#This Row],[Spec]],LstMachines[Status],PrévisionBoris[[#This Row],[Status]],LstMachines[MoisLivr],AG$1)</f>
        <v>0</v>
      </c>
      <c r="AH11" s="207">
        <f>SUMIFS(LstMachines[Nbre],LstMachines[Model-Spec],PrévisionBoris[[#This Row],[Spec]],LstMachines[Status],PrévisionBoris[[#This Row],[Status]],LstMachines[MoisLivr],AH$1)</f>
        <v>0</v>
      </c>
      <c r="AI11" s="206">
        <f>SUMIFS(LstMachines[Nbre],LstMachines[Model-Spec],PrévisionBoris[[#This Row],[Spec]],LstMachines[Status],PrévisionBoris[[#This Row],[Status]],LstMachines[MoisLivr],AI$1)</f>
        <v>0</v>
      </c>
      <c r="AJ11" s="207">
        <f>SUMIFS(LstMachines[Nbre],LstMachines[Model-Spec],PrévisionBoris[[#This Row],[Spec]],LstMachines[Status],PrévisionBoris[[#This Row],[Status]],LstMachines[MoisLivr],AJ$1)</f>
        <v>0</v>
      </c>
      <c r="AK11" s="207">
        <f>SUMIFS(LstMachines[Nbre],LstMachines[Model-Spec],PrévisionBoris[[#This Row],[Spec]],LstMachines[Status],PrévisionBoris[[#This Row],[Status]],LstMachines[MoisLivr],AK$1)</f>
        <v>0</v>
      </c>
      <c r="AL11" s="206">
        <f>SUMIFS(LstMachines[Nbre],LstMachines[Model-Spec],PrévisionBoris[[#This Row],[Spec]],LstMachines[Status],PrévisionBoris[[#This Row],[Status]],LstMachines[MoisLivr],AL$1)</f>
        <v>0</v>
      </c>
      <c r="AM11" s="207">
        <f>SUMIFS(LstMachines[Nbre],LstMachines[Model-Spec],PrévisionBoris[[#This Row],[Spec]],LstMachines[Status],PrévisionBoris[[#This Row],[Status]],LstMachines[MoisLivr],AM$1)</f>
        <v>0</v>
      </c>
      <c r="AN11" s="207">
        <f>SUMIFS(LstMachines[Nbre],LstMachines[Model-Spec],PrévisionBoris[[#This Row],[Spec]],LstMachines[Status],PrévisionBoris[[#This Row],[Status]],LstMachines[MoisLivr],AN$1)</f>
        <v>0</v>
      </c>
      <c r="AO11" s="206">
        <f>SUMIFS(LstMachines[Nbre],LstMachines[Model-Spec],PrévisionBoris[[#This Row],[Spec]],LstMachines[Status],PrévisionBoris[[#This Row],[Status]],LstMachines[MoisLivr],AO$1)</f>
        <v>0</v>
      </c>
      <c r="AP11" s="207">
        <f>SUMIFS(LstMachines[Nbre],LstMachines[Model-Spec],PrévisionBoris[[#This Row],[Spec]],LstMachines[Status],PrévisionBoris[[#This Row],[Status]],LstMachines[MoisLivr],AP$1)</f>
        <v>0</v>
      </c>
      <c r="AQ11" s="207">
        <f>SUMIFS(LstMachines[Nbre],LstMachines[Model-Spec],PrévisionBoris[[#This Row],[Spec]],LstMachines[Status],PrévisionBoris[[#This Row],[Status]],LstMachines[MoisLivr],AQ$1)</f>
        <v>0</v>
      </c>
      <c r="AR11" s="206">
        <f>SUMIFS(LstMachines[Nbre],LstMachines[Model-Spec],PrévisionBoris[[#This Row],[Spec]],LstMachines[Status],PrévisionBoris[[#This Row],[Status]],LstMachines[MoisLivr],AR$1)</f>
        <v>0</v>
      </c>
      <c r="AS11" s="207">
        <f>SUMIFS(LstMachines[Nbre],LstMachines[Model-Spec],PrévisionBoris[[#This Row],[Spec]],LstMachines[Status],PrévisionBoris[[#This Row],[Status]],LstMachines[MoisLivr],AS$1)</f>
        <v>0</v>
      </c>
      <c r="AT11" s="207">
        <f>SUMIFS(LstMachines[Nbre],LstMachines[Model-Spec],PrévisionBoris[[#This Row],[Spec]],LstMachines[Status],PrévisionBoris[[#This Row],[Status]],LstMachines[MoisLivr],AT$1)</f>
        <v>0</v>
      </c>
      <c r="AU11" s="206">
        <f>SUMIFS(LstMachines[Nbre],LstMachines[Model-Spec],PrévisionBoris[[#This Row],[Spec]],LstMachines[Status],PrévisionBoris[[#This Row],[Status]],LstMachines[MoisLivr],AU$1)</f>
        <v>0</v>
      </c>
      <c r="AV11" s="233">
        <f>SUMIFS(LstMachines[Nbre],LstMachines[Model-Spec],PrévisionBoris[[#This Row],[Spec]],LstMachines[Status],PrévisionBoris[[#This Row],[Status]],LstMachines[MoisLivr],AV$1)</f>
        <v>0</v>
      </c>
      <c r="AW11" s="208">
        <f>SUMIFS(LstMachines[Nbre],LstMachines[Model-Spec],PrévisionBoris[[#This Row],[Spec]],LstMachines[Status],PrévisionBoris[[#This Row],[Status]],LstMachines[MoisLivr],AW$1)</f>
        <v>0</v>
      </c>
      <c r="AX11" s="210"/>
      <c r="AY11" s="211">
        <f t="shared" si="3"/>
        <v>0</v>
      </c>
      <c r="AZ11" s="212">
        <f t="shared" si="4"/>
        <v>0</v>
      </c>
      <c r="BA11" s="212">
        <f t="shared" si="5"/>
        <v>0</v>
      </c>
      <c r="BB11" s="213">
        <f t="shared" si="6"/>
        <v>0</v>
      </c>
      <c r="BC11" s="225">
        <f t="shared" si="7"/>
        <v>0</v>
      </c>
      <c r="BD11" s="211">
        <f t="shared" si="8"/>
        <v>0</v>
      </c>
      <c r="BE11" s="212">
        <f t="shared" si="9"/>
        <v>0</v>
      </c>
      <c r="BF11" s="212">
        <f t="shared" si="10"/>
        <v>0</v>
      </c>
      <c r="BG11" s="213">
        <f t="shared" si="11"/>
        <v>0</v>
      </c>
      <c r="BH11" s="225">
        <f t="shared" si="12"/>
        <v>0</v>
      </c>
      <c r="BI11" s="214">
        <f t="shared" si="13"/>
        <v>0</v>
      </c>
      <c r="BJ11" s="215">
        <f t="shared" si="14"/>
        <v>0</v>
      </c>
      <c r="BK11" s="215">
        <f t="shared" si="15"/>
        <v>0</v>
      </c>
      <c r="BL11" s="216">
        <f t="shared" si="16"/>
        <v>0</v>
      </c>
      <c r="BM11" s="225">
        <f t="shared" si="17"/>
        <v>0</v>
      </c>
      <c r="BN11" s="225"/>
      <c r="BO11" s="217"/>
      <c r="BP11" s="218">
        <f t="shared" si="18"/>
        <v>0</v>
      </c>
    </row>
    <row r="12" spans="1:76">
      <c r="A12" s="170">
        <v>5</v>
      </c>
      <c r="B12" s="170" t="s">
        <v>151</v>
      </c>
      <c r="C12" s="200">
        <v>150</v>
      </c>
      <c r="D12" s="170" t="s">
        <v>152</v>
      </c>
      <c r="E12" s="170" t="s">
        <v>153</v>
      </c>
      <c r="F12" s="200">
        <f>VLOOKUP(PrévisionBoris[[#This Row],[Spec]],TabModelSpecs[[ModelSpec]:[Price]],2,FALSE)</f>
        <v>100</v>
      </c>
      <c r="G12" s="170" t="s">
        <v>462</v>
      </c>
      <c r="H12" s="219">
        <f>SUMIFS(LstMachines[Nbre],LstMachines[Model-Spec],PrévisionBoris[[#This Row],[Spec]],LstMachines[Status],PrévisionBoris[[#This Row],[Status]],LstMachines[MoisLivr],H$1)</f>
        <v>0</v>
      </c>
      <c r="I12" s="220">
        <f>SUMIFS(LstMachines[Nbre],LstMachines[Model-Spec],PrévisionBoris[[#This Row],[Spec]],LstMachines[Status],PrévisionBoris[[#This Row],[Status]],LstMachines[MoisLivr],I$1)</f>
        <v>0</v>
      </c>
      <c r="J12" s="221">
        <f>SUMIFS(LstMachines[Nbre],LstMachines[Model-Spec],PrévisionBoris[[#This Row],[Spec]],LstMachines[Status],PrévisionBoris[[#This Row],[Status]],LstMachines[MoisLivr],J$1)</f>
        <v>0</v>
      </c>
      <c r="K12" s="219">
        <f>SUMIFS(LstMachines[Nbre],LstMachines[Model-Spec],PrévisionBoris[[#This Row],[Spec]],LstMachines[Status],PrévisionBoris[[#This Row],[Status]],LstMachines[MoisLivr],K$1)</f>
        <v>0</v>
      </c>
      <c r="L12" s="220">
        <f>SUMIFS(LstMachines[Nbre],LstMachines[Model-Spec],PrévisionBoris[[#This Row],[Spec]],LstMachines[Status],PrévisionBoris[[#This Row],[Status]],LstMachines[MoisLivr],L$1)</f>
        <v>0</v>
      </c>
      <c r="M12" s="221">
        <f>SUMIFS(LstMachines[Nbre],LstMachines[Model-Spec],PrévisionBoris[[#This Row],[Spec]],LstMachines[Status],PrévisionBoris[[#This Row],[Status]],LstMachines[MoisLivr],M$1)</f>
        <v>0</v>
      </c>
      <c r="N12" s="219">
        <f>SUMIFS(LstMachines[Nbre],LstMachines[Model-Spec],PrévisionBoris[[#This Row],[Spec]],LstMachines[Status],PrévisionBoris[[#This Row],[Status]],LstMachines[MoisLivr],N$1)</f>
        <v>0</v>
      </c>
      <c r="O12" s="220">
        <f>SUMIFS(LstMachines[Nbre],LstMachines[Model-Spec],PrévisionBoris[[#This Row],[Spec]],LstMachines[Status],PrévisionBoris[[#This Row],[Status]],LstMachines[MoisLivr],O$1)</f>
        <v>0</v>
      </c>
      <c r="P12" s="221">
        <f>SUMIFS(LstMachines[Nbre],LstMachines[Model-Spec],PrévisionBoris[[#This Row],[Spec]],LstMachines[Status],PrévisionBoris[[#This Row],[Status]],LstMachines[MoisLivr],P$1)</f>
        <v>0</v>
      </c>
      <c r="Q12" s="222">
        <f>SUMIFS(LstMachines[Nbre],LstMachines[Model-Spec],PrévisionBoris[[#This Row],[Spec]],LstMachines[Status],PrévisionBoris[[#This Row],[Status]],LstMachines[MoisLivr],Q$1)</f>
        <v>0</v>
      </c>
      <c r="R12" s="220">
        <f>SUMIFS(LstMachines[Nbre],LstMachines[Model-Spec],PrévisionBoris[[#This Row],[Spec]],LstMachines[Status],PrévisionBoris[[#This Row],[Status]],LstMachines[MoisLivr],R$1)</f>
        <v>0</v>
      </c>
      <c r="S12" s="220">
        <f>SUMIFS(LstMachines[Nbre],LstMachines[Model-Spec],PrévisionBoris[[#This Row],[Spec]],LstMachines[Status],PrévisionBoris[[#This Row],[Status]],LstMachines[MoisLivr],S$1)</f>
        <v>0</v>
      </c>
      <c r="T12" s="219">
        <f>SUMIFS(LstMachines[Nbre],LstMachines[Model-Spec],PrévisionBoris[[#This Row],[Spec]],LstMachines[Status],PrévisionBoris[[#This Row],[Status]],LstMachines[MoisLivr],T$1)</f>
        <v>0</v>
      </c>
      <c r="U12" s="220">
        <f>SUMIFS(LstMachines[Nbre],LstMachines[Model-Spec],PrévisionBoris[[#This Row],[Spec]],LstMachines[Status],PrévisionBoris[[#This Row],[Status]],LstMachines[MoisLivr],U$1)</f>
        <v>0</v>
      </c>
      <c r="V12" s="220">
        <f>SUMIFS(LstMachines[Nbre],LstMachines[Model-Spec],PrévisionBoris[[#This Row],[Spec]],LstMachines[Status],PrévisionBoris[[#This Row],[Status]],LstMachines[MoisLivr],V$1)</f>
        <v>0</v>
      </c>
      <c r="W12" s="219">
        <f>SUMIFS(LstMachines[Nbre],LstMachines[Model-Spec],PrévisionBoris[[#This Row],[Spec]],LstMachines[Status],PrévisionBoris[[#This Row],[Status]],LstMachines[MoisLivr],W$1)</f>
        <v>0</v>
      </c>
      <c r="X12" s="220">
        <f>SUMIFS(LstMachines[Nbre],LstMachines[Model-Spec],PrévisionBoris[[#This Row],[Spec]],LstMachines[Status],PrévisionBoris[[#This Row],[Status]],LstMachines[MoisLivr],X$1)</f>
        <v>0</v>
      </c>
      <c r="Y12" s="220">
        <f>SUMIFS(LstMachines[Nbre],LstMachines[Model-Spec],PrévisionBoris[[#This Row],[Spec]],LstMachines[Status],PrévisionBoris[[#This Row],[Status]],LstMachines[MoisLivr],Y$1)</f>
        <v>0</v>
      </c>
      <c r="Z12" s="219">
        <f>SUMIFS(LstMachines[Nbre],LstMachines[Model-Spec],PrévisionBoris[[#This Row],[Spec]],LstMachines[Status],PrévisionBoris[[#This Row],[Status]],LstMachines[MoisLivr],Z$1)</f>
        <v>0</v>
      </c>
      <c r="AA12" s="220">
        <f>SUMIFS(LstMachines[Nbre],LstMachines[Model-Spec],PrévisionBoris[[#This Row],[Spec]],LstMachines[Status],PrévisionBoris[[#This Row],[Status]],LstMachines[MoisLivr],AA$1)</f>
        <v>0</v>
      </c>
      <c r="AB12" s="220">
        <f>SUMIFS(LstMachines[Nbre],LstMachines[Model-Spec],PrévisionBoris[[#This Row],[Spec]],LstMachines[Status],PrévisionBoris[[#This Row],[Status]],LstMachines[MoisLivr],AB$1)</f>
        <v>0</v>
      </c>
      <c r="AC12" s="219">
        <f>SUMIFS(LstMachines[Nbre],LstMachines[Model-Spec],PrévisionBoris[[#This Row],[Spec]],LstMachines[Status],PrévisionBoris[[#This Row],[Status]],LstMachines[MoisLivr],AC$1)</f>
        <v>0</v>
      </c>
      <c r="AD12" s="220">
        <f>SUMIFS(LstMachines[Nbre],LstMachines[Model-Spec],PrévisionBoris[[#This Row],[Spec]],LstMachines[Status],PrévisionBoris[[#This Row],[Status]],LstMachines[MoisLivr],AD$1)</f>
        <v>0</v>
      </c>
      <c r="AE12" s="220">
        <f>SUMIFS(LstMachines[Nbre],LstMachines[Model-Spec],PrévisionBoris[[#This Row],[Spec]],LstMachines[Status],PrévisionBoris[[#This Row],[Status]],LstMachines[MoisLivr],AE$1)</f>
        <v>0</v>
      </c>
      <c r="AF12" s="219">
        <f>SUMIFS(LstMachines[Nbre],LstMachines[Model-Spec],PrévisionBoris[[#This Row],[Spec]],LstMachines[Status],PrévisionBoris[[#This Row],[Status]],LstMachines[MoisLivr],AF$1)</f>
        <v>0</v>
      </c>
      <c r="AG12" s="220">
        <f>SUMIFS(LstMachines[Nbre],LstMachines[Model-Spec],PrévisionBoris[[#This Row],[Spec]],LstMachines[Status],PrévisionBoris[[#This Row],[Status]],LstMachines[MoisLivr],AG$1)</f>
        <v>0</v>
      </c>
      <c r="AH12" s="220">
        <f>SUMIFS(LstMachines[Nbre],LstMachines[Model-Spec],PrévisionBoris[[#This Row],[Spec]],LstMachines[Status],PrévisionBoris[[#This Row],[Status]],LstMachines[MoisLivr],AH$1)</f>
        <v>0</v>
      </c>
      <c r="AI12" s="219">
        <f>SUMIFS(LstMachines[Nbre],LstMachines[Model-Spec],PrévisionBoris[[#This Row],[Spec]],LstMachines[Status],PrévisionBoris[[#This Row],[Status]],LstMachines[MoisLivr],AI$1)</f>
        <v>0</v>
      </c>
      <c r="AJ12" s="220">
        <f>SUMIFS(LstMachines[Nbre],LstMachines[Model-Spec],PrévisionBoris[[#This Row],[Spec]],LstMachines[Status],PrévisionBoris[[#This Row],[Status]],LstMachines[MoisLivr],AJ$1)</f>
        <v>0</v>
      </c>
      <c r="AK12" s="220">
        <f>SUMIFS(LstMachines[Nbre],LstMachines[Model-Spec],PrévisionBoris[[#This Row],[Spec]],LstMachines[Status],PrévisionBoris[[#This Row],[Status]],LstMachines[MoisLivr],AK$1)</f>
        <v>0</v>
      </c>
      <c r="AL12" s="219">
        <f>SUMIFS(LstMachines[Nbre],LstMachines[Model-Spec],PrévisionBoris[[#This Row],[Spec]],LstMachines[Status],PrévisionBoris[[#This Row],[Status]],LstMachines[MoisLivr],AL$1)</f>
        <v>0</v>
      </c>
      <c r="AM12" s="220">
        <f>SUMIFS(LstMachines[Nbre],LstMachines[Model-Spec],PrévisionBoris[[#This Row],[Spec]],LstMachines[Status],PrévisionBoris[[#This Row],[Status]],LstMachines[MoisLivr],AM$1)</f>
        <v>0</v>
      </c>
      <c r="AN12" s="220">
        <f>SUMIFS(LstMachines[Nbre],LstMachines[Model-Spec],PrévisionBoris[[#This Row],[Spec]],LstMachines[Status],PrévisionBoris[[#This Row],[Status]],LstMachines[MoisLivr],AN$1)</f>
        <v>0</v>
      </c>
      <c r="AO12" s="219">
        <f>SUMIFS(LstMachines[Nbre],LstMachines[Model-Spec],PrévisionBoris[[#This Row],[Spec]],LstMachines[Status],PrévisionBoris[[#This Row],[Status]],LstMachines[MoisLivr],AO$1)</f>
        <v>0</v>
      </c>
      <c r="AP12" s="220">
        <f>SUMIFS(LstMachines[Nbre],LstMachines[Model-Spec],PrévisionBoris[[#This Row],[Spec]],LstMachines[Status],PrévisionBoris[[#This Row],[Status]],LstMachines[MoisLivr],AP$1)</f>
        <v>0</v>
      </c>
      <c r="AQ12" s="220">
        <f>SUMIFS(LstMachines[Nbre],LstMachines[Model-Spec],PrévisionBoris[[#This Row],[Spec]],LstMachines[Status],PrévisionBoris[[#This Row],[Status]],LstMachines[MoisLivr],AQ$1)</f>
        <v>0</v>
      </c>
      <c r="AR12" s="219">
        <f>SUMIFS(LstMachines[Nbre],LstMachines[Model-Spec],PrévisionBoris[[#This Row],[Spec]],LstMachines[Status],PrévisionBoris[[#This Row],[Status]],LstMachines[MoisLivr],AR$1)</f>
        <v>0</v>
      </c>
      <c r="AS12" s="220">
        <f>SUMIFS(LstMachines[Nbre],LstMachines[Model-Spec],PrévisionBoris[[#This Row],[Spec]],LstMachines[Status],PrévisionBoris[[#This Row],[Status]],LstMachines[MoisLivr],AS$1)</f>
        <v>0</v>
      </c>
      <c r="AT12" s="220">
        <f>SUMIFS(LstMachines[Nbre],LstMachines[Model-Spec],PrévisionBoris[[#This Row],[Spec]],LstMachines[Status],PrévisionBoris[[#This Row],[Status]],LstMachines[MoisLivr],AT$1)</f>
        <v>0</v>
      </c>
      <c r="AU12" s="219">
        <f>SUMIFS(LstMachines[Nbre],LstMachines[Model-Spec],PrévisionBoris[[#This Row],[Spec]],LstMachines[Status],PrévisionBoris[[#This Row],[Status]],LstMachines[MoisLivr],AU$1)</f>
        <v>0</v>
      </c>
      <c r="AV12" s="223">
        <f>SUMIFS(LstMachines[Nbre],LstMachines[Model-Spec],PrévisionBoris[[#This Row],[Spec]],LstMachines[Status],PrévisionBoris[[#This Row],[Status]],LstMachines[MoisLivr],AV$1)</f>
        <v>0</v>
      </c>
      <c r="AW12" s="224">
        <f>SUMIFS(LstMachines[Nbre],LstMachines[Model-Spec],PrévisionBoris[[#This Row],[Spec]],LstMachines[Status],PrévisionBoris[[#This Row],[Status]],LstMachines[MoisLivr],AW$1)</f>
        <v>0</v>
      </c>
      <c r="AX12" s="210"/>
      <c r="AY12" s="211">
        <f t="shared" si="3"/>
        <v>0</v>
      </c>
      <c r="AZ12" s="212">
        <f t="shared" si="4"/>
        <v>0</v>
      </c>
      <c r="BA12" s="212">
        <f t="shared" si="5"/>
        <v>0</v>
      </c>
      <c r="BB12" s="213">
        <f t="shared" si="6"/>
        <v>0</v>
      </c>
      <c r="BC12" s="225">
        <f t="shared" si="7"/>
        <v>0</v>
      </c>
      <c r="BD12" s="211">
        <f t="shared" si="8"/>
        <v>0</v>
      </c>
      <c r="BE12" s="212">
        <f t="shared" si="9"/>
        <v>0</v>
      </c>
      <c r="BF12" s="212">
        <f t="shared" si="10"/>
        <v>0</v>
      </c>
      <c r="BG12" s="213">
        <f t="shared" si="11"/>
        <v>0</v>
      </c>
      <c r="BH12" s="225">
        <f t="shared" si="12"/>
        <v>0</v>
      </c>
      <c r="BI12" s="214">
        <f t="shared" si="13"/>
        <v>0</v>
      </c>
      <c r="BJ12" s="215">
        <f t="shared" si="14"/>
        <v>0</v>
      </c>
      <c r="BK12" s="215">
        <f t="shared" si="15"/>
        <v>0</v>
      </c>
      <c r="BL12" s="216">
        <f t="shared" si="16"/>
        <v>0</v>
      </c>
      <c r="BM12" s="225">
        <f t="shared" si="17"/>
        <v>0</v>
      </c>
      <c r="BN12" s="225"/>
      <c r="BO12" s="217"/>
      <c r="BP12" s="218">
        <f t="shared" si="18"/>
        <v>0</v>
      </c>
    </row>
    <row r="13" spans="1:76">
      <c r="A13" s="171">
        <v>6</v>
      </c>
      <c r="B13" s="171" t="s">
        <v>151</v>
      </c>
      <c r="C13" s="201">
        <v>150</v>
      </c>
      <c r="D13" s="171" t="s">
        <v>152</v>
      </c>
      <c r="E13" s="171" t="s">
        <v>153</v>
      </c>
      <c r="F13" s="201">
        <f>VLOOKUP(PrévisionBoris[[#This Row],[Spec]],TabModelSpecs[[ModelSpec]:[Price]],2,FALSE)</f>
        <v>100</v>
      </c>
      <c r="G13" s="171" t="s">
        <v>463</v>
      </c>
      <c r="H13" s="226">
        <f>SUMIFS(LstMachines[Nbre],LstMachines[Model-Spec],PrévisionBoris[[#This Row],[Spec]],LstMachines[Status],PrévisionBoris[[#This Row],[Status]],LstMachines[MoisLivr],H$1)</f>
        <v>0</v>
      </c>
      <c r="I13" s="227">
        <f>SUMIFS(LstMachines[Nbre],LstMachines[Model-Spec],PrévisionBoris[[#This Row],[Spec]],LstMachines[Status],PrévisionBoris[[#This Row],[Status]],LstMachines[MoisLivr],I$1)</f>
        <v>0</v>
      </c>
      <c r="J13" s="228">
        <f>SUMIFS(LstMachines[Nbre],LstMachines[Model-Spec],PrévisionBoris[[#This Row],[Spec]],LstMachines[Status],PrévisionBoris[[#This Row],[Status]],LstMachines[MoisLivr],J$1)</f>
        <v>0</v>
      </c>
      <c r="K13" s="226">
        <f>SUMIFS(LstMachines[Nbre],LstMachines[Model-Spec],PrévisionBoris[[#This Row],[Spec]],LstMachines[Status],PrévisionBoris[[#This Row],[Status]],LstMachines[MoisLivr],K$1)</f>
        <v>0</v>
      </c>
      <c r="L13" s="227">
        <f>SUMIFS(LstMachines[Nbre],LstMachines[Model-Spec],PrévisionBoris[[#This Row],[Spec]],LstMachines[Status],PrévisionBoris[[#This Row],[Status]],LstMachines[MoisLivr],L$1)</f>
        <v>0</v>
      </c>
      <c r="M13" s="228">
        <f>SUMIFS(LstMachines[Nbre],LstMachines[Model-Spec],PrévisionBoris[[#This Row],[Spec]],LstMachines[Status],PrévisionBoris[[#This Row],[Status]],LstMachines[MoisLivr],M$1)</f>
        <v>0</v>
      </c>
      <c r="N13" s="226">
        <f>SUMIFS(LstMachines[Nbre],LstMachines[Model-Spec],PrévisionBoris[[#This Row],[Spec]],LstMachines[Status],PrévisionBoris[[#This Row],[Status]],LstMachines[MoisLivr],N$1)</f>
        <v>0</v>
      </c>
      <c r="O13" s="227">
        <f>SUMIFS(LstMachines[Nbre],LstMachines[Model-Spec],PrévisionBoris[[#This Row],[Spec]],LstMachines[Status],PrévisionBoris[[#This Row],[Status]],LstMachines[MoisLivr],O$1)</f>
        <v>0</v>
      </c>
      <c r="P13" s="228">
        <f>SUMIFS(LstMachines[Nbre],LstMachines[Model-Spec],PrévisionBoris[[#This Row],[Spec]],LstMachines[Status],PrévisionBoris[[#This Row],[Status]],LstMachines[MoisLivr],P$1)</f>
        <v>0</v>
      </c>
      <c r="Q13" s="229">
        <f>SUMIFS(LstMachines[Nbre],LstMachines[Model-Spec],PrévisionBoris[[#This Row],[Spec]],LstMachines[Status],PrévisionBoris[[#This Row],[Status]],LstMachines[MoisLivr],Q$1)</f>
        <v>0</v>
      </c>
      <c r="R13" s="227">
        <f>SUMIFS(LstMachines[Nbre],LstMachines[Model-Spec],PrévisionBoris[[#This Row],[Spec]],LstMachines[Status],PrévisionBoris[[#This Row],[Status]],LstMachines[MoisLivr],R$1)</f>
        <v>0</v>
      </c>
      <c r="S13" s="227">
        <f>SUMIFS(LstMachines[Nbre],LstMachines[Model-Spec],PrévisionBoris[[#This Row],[Spec]],LstMachines[Status],PrévisionBoris[[#This Row],[Status]],LstMachines[MoisLivr],S$1)</f>
        <v>0</v>
      </c>
      <c r="T13" s="226">
        <f>SUMIFS(LstMachines[Nbre],LstMachines[Model-Spec],PrévisionBoris[[#This Row],[Spec]],LstMachines[Status],PrévisionBoris[[#This Row],[Status]],LstMachines[MoisLivr],T$1)</f>
        <v>0</v>
      </c>
      <c r="U13" s="227">
        <f>SUMIFS(LstMachines[Nbre],LstMachines[Model-Spec],PrévisionBoris[[#This Row],[Spec]],LstMachines[Status],PrévisionBoris[[#This Row],[Status]],LstMachines[MoisLivr],U$1)</f>
        <v>0</v>
      </c>
      <c r="V13" s="227">
        <f>SUMIFS(LstMachines[Nbre],LstMachines[Model-Spec],PrévisionBoris[[#This Row],[Spec]],LstMachines[Status],PrévisionBoris[[#This Row],[Status]],LstMachines[MoisLivr],V$1)</f>
        <v>0</v>
      </c>
      <c r="W13" s="226">
        <f>SUMIFS(LstMachines[Nbre],LstMachines[Model-Spec],PrévisionBoris[[#This Row],[Spec]],LstMachines[Status],PrévisionBoris[[#This Row],[Status]],LstMachines[MoisLivr],W$1)</f>
        <v>0</v>
      </c>
      <c r="X13" s="227">
        <f>SUMIFS(LstMachines[Nbre],LstMachines[Model-Spec],PrévisionBoris[[#This Row],[Spec]],LstMachines[Status],PrévisionBoris[[#This Row],[Status]],LstMachines[MoisLivr],X$1)</f>
        <v>0</v>
      </c>
      <c r="Y13" s="227">
        <f>SUMIFS(LstMachines[Nbre],LstMachines[Model-Spec],PrévisionBoris[[#This Row],[Spec]],LstMachines[Status],PrévisionBoris[[#This Row],[Status]],LstMachines[MoisLivr],Y$1)</f>
        <v>0</v>
      </c>
      <c r="Z13" s="226">
        <f>SUMIFS(LstMachines[Nbre],LstMachines[Model-Spec],PrévisionBoris[[#This Row],[Spec]],LstMachines[Status],PrévisionBoris[[#This Row],[Status]],LstMachines[MoisLivr],Z$1)</f>
        <v>0</v>
      </c>
      <c r="AA13" s="227">
        <f>SUMIFS(LstMachines[Nbre],LstMachines[Model-Spec],PrévisionBoris[[#This Row],[Spec]],LstMachines[Status],PrévisionBoris[[#This Row],[Status]],LstMachines[MoisLivr],AA$1)</f>
        <v>0</v>
      </c>
      <c r="AB13" s="227">
        <f>SUMIFS(LstMachines[Nbre],LstMachines[Model-Spec],PrévisionBoris[[#This Row],[Spec]],LstMachines[Status],PrévisionBoris[[#This Row],[Status]],LstMachines[MoisLivr],AB$1)</f>
        <v>0</v>
      </c>
      <c r="AC13" s="226">
        <f>SUMIFS(LstMachines[Nbre],LstMachines[Model-Spec],PrévisionBoris[[#This Row],[Spec]],LstMachines[Status],PrévisionBoris[[#This Row],[Status]],LstMachines[MoisLivr],AC$1)</f>
        <v>0</v>
      </c>
      <c r="AD13" s="227">
        <f>SUMIFS(LstMachines[Nbre],LstMachines[Model-Spec],PrévisionBoris[[#This Row],[Spec]],LstMachines[Status],PrévisionBoris[[#This Row],[Status]],LstMachines[MoisLivr],AD$1)</f>
        <v>0</v>
      </c>
      <c r="AE13" s="227">
        <f>SUMIFS(LstMachines[Nbre],LstMachines[Model-Spec],PrévisionBoris[[#This Row],[Spec]],LstMachines[Status],PrévisionBoris[[#This Row],[Status]],LstMachines[MoisLivr],AE$1)</f>
        <v>0</v>
      </c>
      <c r="AF13" s="226">
        <f>SUMIFS(LstMachines[Nbre],LstMachines[Model-Spec],PrévisionBoris[[#This Row],[Spec]],LstMachines[Status],PrévisionBoris[[#This Row],[Status]],LstMachines[MoisLivr],AF$1)</f>
        <v>0</v>
      </c>
      <c r="AG13" s="227">
        <f>SUMIFS(LstMachines[Nbre],LstMachines[Model-Spec],PrévisionBoris[[#This Row],[Spec]],LstMachines[Status],PrévisionBoris[[#This Row],[Status]],LstMachines[MoisLivr],AG$1)</f>
        <v>0</v>
      </c>
      <c r="AH13" s="227">
        <f>SUMIFS(LstMachines[Nbre],LstMachines[Model-Spec],PrévisionBoris[[#This Row],[Spec]],LstMachines[Status],PrévisionBoris[[#This Row],[Status]],LstMachines[MoisLivr],AH$1)</f>
        <v>0</v>
      </c>
      <c r="AI13" s="226">
        <f>SUMIFS(LstMachines[Nbre],LstMachines[Model-Spec],PrévisionBoris[[#This Row],[Spec]],LstMachines[Status],PrévisionBoris[[#This Row],[Status]],LstMachines[MoisLivr],AI$1)</f>
        <v>0</v>
      </c>
      <c r="AJ13" s="227">
        <f>SUMIFS(LstMachines[Nbre],LstMachines[Model-Spec],PrévisionBoris[[#This Row],[Spec]],LstMachines[Status],PrévisionBoris[[#This Row],[Status]],LstMachines[MoisLivr],AJ$1)</f>
        <v>0</v>
      </c>
      <c r="AK13" s="227">
        <f>SUMIFS(LstMachines[Nbre],LstMachines[Model-Spec],PrévisionBoris[[#This Row],[Spec]],LstMachines[Status],PrévisionBoris[[#This Row],[Status]],LstMachines[MoisLivr],AK$1)</f>
        <v>0</v>
      </c>
      <c r="AL13" s="226">
        <f>SUMIFS(LstMachines[Nbre],LstMachines[Model-Spec],PrévisionBoris[[#This Row],[Spec]],LstMachines[Status],PrévisionBoris[[#This Row],[Status]],LstMachines[MoisLivr],AL$1)</f>
        <v>0</v>
      </c>
      <c r="AM13" s="227">
        <f>SUMIFS(LstMachines[Nbre],LstMachines[Model-Spec],PrévisionBoris[[#This Row],[Spec]],LstMachines[Status],PrévisionBoris[[#This Row],[Status]],LstMachines[MoisLivr],AM$1)</f>
        <v>0</v>
      </c>
      <c r="AN13" s="227">
        <f>SUMIFS(LstMachines[Nbre],LstMachines[Model-Spec],PrévisionBoris[[#This Row],[Spec]],LstMachines[Status],PrévisionBoris[[#This Row],[Status]],LstMachines[MoisLivr],AN$1)</f>
        <v>0</v>
      </c>
      <c r="AO13" s="226">
        <f>SUMIFS(LstMachines[Nbre],LstMachines[Model-Spec],PrévisionBoris[[#This Row],[Spec]],LstMachines[Status],PrévisionBoris[[#This Row],[Status]],LstMachines[MoisLivr],AO$1)</f>
        <v>0</v>
      </c>
      <c r="AP13" s="227">
        <f>SUMIFS(LstMachines[Nbre],LstMachines[Model-Spec],PrévisionBoris[[#This Row],[Spec]],LstMachines[Status],PrévisionBoris[[#This Row],[Status]],LstMachines[MoisLivr],AP$1)</f>
        <v>0</v>
      </c>
      <c r="AQ13" s="227">
        <f>SUMIFS(LstMachines[Nbre],LstMachines[Model-Spec],PrévisionBoris[[#This Row],[Spec]],LstMachines[Status],PrévisionBoris[[#This Row],[Status]],LstMachines[MoisLivr],AQ$1)</f>
        <v>0</v>
      </c>
      <c r="AR13" s="226">
        <f>SUMIFS(LstMachines[Nbre],LstMachines[Model-Spec],PrévisionBoris[[#This Row],[Spec]],LstMachines[Status],PrévisionBoris[[#This Row],[Status]],LstMachines[MoisLivr],AR$1)</f>
        <v>0</v>
      </c>
      <c r="AS13" s="227">
        <f>SUMIFS(LstMachines[Nbre],LstMachines[Model-Spec],PrévisionBoris[[#This Row],[Spec]],LstMachines[Status],PrévisionBoris[[#This Row],[Status]],LstMachines[MoisLivr],AS$1)</f>
        <v>0</v>
      </c>
      <c r="AT13" s="227">
        <f>SUMIFS(LstMachines[Nbre],LstMachines[Model-Spec],PrévisionBoris[[#This Row],[Spec]],LstMachines[Status],PrévisionBoris[[#This Row],[Status]],LstMachines[MoisLivr],AT$1)</f>
        <v>0</v>
      </c>
      <c r="AU13" s="226">
        <f>SUMIFS(LstMachines[Nbre],LstMachines[Model-Spec],PrévisionBoris[[#This Row],[Spec]],LstMachines[Status],PrévisionBoris[[#This Row],[Status]],LstMachines[MoisLivr],AU$1)</f>
        <v>0</v>
      </c>
      <c r="AV13" s="230">
        <f>SUMIFS(LstMachines[Nbre],LstMachines[Model-Spec],PrévisionBoris[[#This Row],[Spec]],LstMachines[Status],PrévisionBoris[[#This Row],[Status]],LstMachines[MoisLivr],AV$1)</f>
        <v>0</v>
      </c>
      <c r="AW13" s="231">
        <f>SUMIFS(LstMachines[Nbre],LstMachines[Model-Spec],PrévisionBoris[[#This Row],[Spec]],LstMachines[Status],PrévisionBoris[[#This Row],[Status]],LstMachines[MoisLivr],AW$1)</f>
        <v>0</v>
      </c>
      <c r="AX13" s="232"/>
      <c r="AY13" s="211">
        <f t="shared" si="3"/>
        <v>0</v>
      </c>
      <c r="AZ13" s="212">
        <f t="shared" si="4"/>
        <v>0</v>
      </c>
      <c r="BA13" s="212">
        <f t="shared" si="5"/>
        <v>0</v>
      </c>
      <c r="BB13" s="213">
        <f t="shared" si="6"/>
        <v>0</v>
      </c>
      <c r="BC13" s="225">
        <f t="shared" si="7"/>
        <v>0</v>
      </c>
      <c r="BD13" s="211">
        <f t="shared" si="8"/>
        <v>0</v>
      </c>
      <c r="BE13" s="212">
        <f t="shared" si="9"/>
        <v>0</v>
      </c>
      <c r="BF13" s="212">
        <f t="shared" si="10"/>
        <v>0</v>
      </c>
      <c r="BG13" s="213">
        <f t="shared" si="11"/>
        <v>0</v>
      </c>
      <c r="BH13" s="225">
        <f t="shared" si="12"/>
        <v>0</v>
      </c>
      <c r="BI13" s="214">
        <f t="shared" si="13"/>
        <v>0</v>
      </c>
      <c r="BJ13" s="215">
        <f t="shared" si="14"/>
        <v>0</v>
      </c>
      <c r="BK13" s="215">
        <f t="shared" si="15"/>
        <v>0</v>
      </c>
      <c r="BL13" s="216">
        <f t="shared" si="16"/>
        <v>0</v>
      </c>
      <c r="BM13" s="225">
        <f t="shared" si="17"/>
        <v>0</v>
      </c>
      <c r="BN13" s="225"/>
      <c r="BO13" s="234"/>
      <c r="BP13" s="218">
        <f t="shared" si="18"/>
        <v>0</v>
      </c>
    </row>
    <row r="14" spans="1:76">
      <c r="A14" s="172">
        <v>7</v>
      </c>
      <c r="B14" s="172" t="s">
        <v>151</v>
      </c>
      <c r="C14" s="202">
        <v>150</v>
      </c>
      <c r="D14" s="172" t="s">
        <v>152</v>
      </c>
      <c r="E14" s="172" t="s">
        <v>154</v>
      </c>
      <c r="F14" s="202">
        <f>VLOOKUP(PrévisionBoris[[#This Row],[Spec]],TabModelSpecs[[ModelSpec]:[Price]],2,FALSE)</f>
        <v>100</v>
      </c>
      <c r="G14" s="172" t="s">
        <v>461</v>
      </c>
      <c r="H14" s="206">
        <f>SUMIFS(LstMachines[Nbre],LstMachines[Model-Spec],PrévisionBoris[[#This Row],[Spec]],LstMachines[Status],PrévisionBoris[[#This Row],[Status]],LstMachines[MoisLivr],H$1)</f>
        <v>0</v>
      </c>
      <c r="I14" s="207">
        <f>SUMIFS(LstMachines[Nbre],LstMachines[Model-Spec],PrévisionBoris[[#This Row],[Spec]],LstMachines[Status],PrévisionBoris[[#This Row],[Status]],LstMachines[MoisLivr],I$1)</f>
        <v>0</v>
      </c>
      <c r="J14" s="208">
        <f>SUMIFS(LstMachines[Nbre],LstMachines[Model-Spec],PrévisionBoris[[#This Row],[Spec]],LstMachines[Status],PrévisionBoris[[#This Row],[Status]],LstMachines[MoisLivr],J$1)</f>
        <v>0</v>
      </c>
      <c r="K14" s="206">
        <f>SUMIFS(LstMachines[Nbre],LstMachines[Model-Spec],PrévisionBoris[[#This Row],[Spec]],LstMachines[Status],PrévisionBoris[[#This Row],[Status]],LstMachines[MoisLivr],K$1)</f>
        <v>0</v>
      </c>
      <c r="L14" s="207">
        <f>SUMIFS(LstMachines[Nbre],LstMachines[Model-Spec],PrévisionBoris[[#This Row],[Spec]],LstMachines[Status],PrévisionBoris[[#This Row],[Status]],LstMachines[MoisLivr],L$1)</f>
        <v>0</v>
      </c>
      <c r="M14" s="208">
        <f>SUMIFS(LstMachines[Nbre],LstMachines[Model-Spec],PrévisionBoris[[#This Row],[Spec]],LstMachines[Status],PrévisionBoris[[#This Row],[Status]],LstMachines[MoisLivr],M$1)</f>
        <v>0</v>
      </c>
      <c r="N14" s="206">
        <f>SUMIFS(LstMachines[Nbre],LstMachines[Model-Spec],PrévisionBoris[[#This Row],[Spec]],LstMachines[Status],PrévisionBoris[[#This Row],[Status]],LstMachines[MoisLivr],N$1)</f>
        <v>0</v>
      </c>
      <c r="O14" s="207">
        <f>SUMIFS(LstMachines[Nbre],LstMachines[Model-Spec],PrévisionBoris[[#This Row],[Spec]],LstMachines[Status],PrévisionBoris[[#This Row],[Status]],LstMachines[MoisLivr],O$1)</f>
        <v>0</v>
      </c>
      <c r="P14" s="208">
        <f>SUMIFS(LstMachines[Nbre],LstMachines[Model-Spec],PrévisionBoris[[#This Row],[Spec]],LstMachines[Status],PrévisionBoris[[#This Row],[Status]],LstMachines[MoisLivr],P$1)</f>
        <v>0</v>
      </c>
      <c r="Q14" s="209">
        <f>SUMIFS(LstMachines[Nbre],LstMachines[Model-Spec],PrévisionBoris[[#This Row],[Spec]],LstMachines[Status],PrévisionBoris[[#This Row],[Status]],LstMachines[MoisLivr],Q$1)</f>
        <v>0</v>
      </c>
      <c r="R14" s="207">
        <f>SUMIFS(LstMachines[Nbre],LstMachines[Model-Spec],PrévisionBoris[[#This Row],[Spec]],LstMachines[Status],PrévisionBoris[[#This Row],[Status]],LstMachines[MoisLivr],R$1)</f>
        <v>0</v>
      </c>
      <c r="S14" s="207">
        <f>SUMIFS(LstMachines[Nbre],LstMachines[Model-Spec],PrévisionBoris[[#This Row],[Spec]],LstMachines[Status],PrévisionBoris[[#This Row],[Status]],LstMachines[MoisLivr],S$1)</f>
        <v>0</v>
      </c>
      <c r="T14" s="206">
        <f>SUMIFS(LstMachines[Nbre],LstMachines[Model-Spec],PrévisionBoris[[#This Row],[Spec]],LstMachines[Status],PrévisionBoris[[#This Row],[Status]],LstMachines[MoisLivr],T$1)</f>
        <v>0</v>
      </c>
      <c r="U14" s="207">
        <f>SUMIFS(LstMachines[Nbre],LstMachines[Model-Spec],PrévisionBoris[[#This Row],[Spec]],LstMachines[Status],PrévisionBoris[[#This Row],[Status]],LstMachines[MoisLivr],U$1)</f>
        <v>0</v>
      </c>
      <c r="V14" s="207">
        <f>SUMIFS(LstMachines[Nbre],LstMachines[Model-Spec],PrévisionBoris[[#This Row],[Spec]],LstMachines[Status],PrévisionBoris[[#This Row],[Status]],LstMachines[MoisLivr],V$1)</f>
        <v>0</v>
      </c>
      <c r="W14" s="206">
        <f>SUMIFS(LstMachines[Nbre],LstMachines[Model-Spec],PrévisionBoris[[#This Row],[Spec]],LstMachines[Status],PrévisionBoris[[#This Row],[Status]],LstMachines[MoisLivr],W$1)</f>
        <v>0</v>
      </c>
      <c r="X14" s="207">
        <f>SUMIFS(LstMachines[Nbre],LstMachines[Model-Spec],PrévisionBoris[[#This Row],[Spec]],LstMachines[Status],PrévisionBoris[[#This Row],[Status]],LstMachines[MoisLivr],X$1)</f>
        <v>0</v>
      </c>
      <c r="Y14" s="207">
        <f>SUMIFS(LstMachines[Nbre],LstMachines[Model-Spec],PrévisionBoris[[#This Row],[Spec]],LstMachines[Status],PrévisionBoris[[#This Row],[Status]],LstMachines[MoisLivr],Y$1)</f>
        <v>0</v>
      </c>
      <c r="Z14" s="206">
        <f>SUMIFS(LstMachines[Nbre],LstMachines[Model-Spec],PrévisionBoris[[#This Row],[Spec]],LstMachines[Status],PrévisionBoris[[#This Row],[Status]],LstMachines[MoisLivr],Z$1)</f>
        <v>0</v>
      </c>
      <c r="AA14" s="207">
        <f>SUMIFS(LstMachines[Nbre],LstMachines[Model-Spec],PrévisionBoris[[#This Row],[Spec]],LstMachines[Status],PrévisionBoris[[#This Row],[Status]],LstMachines[MoisLivr],AA$1)</f>
        <v>0</v>
      </c>
      <c r="AB14" s="207">
        <f>SUMIFS(LstMachines[Nbre],LstMachines[Model-Spec],PrévisionBoris[[#This Row],[Spec]],LstMachines[Status],PrévisionBoris[[#This Row],[Status]],LstMachines[MoisLivr],AB$1)</f>
        <v>0</v>
      </c>
      <c r="AC14" s="206">
        <f>SUMIFS(LstMachines[Nbre],LstMachines[Model-Spec],PrévisionBoris[[#This Row],[Spec]],LstMachines[Status],PrévisionBoris[[#This Row],[Status]],LstMachines[MoisLivr],AC$1)</f>
        <v>0</v>
      </c>
      <c r="AD14" s="207">
        <f>SUMIFS(LstMachines[Nbre],LstMachines[Model-Spec],PrévisionBoris[[#This Row],[Spec]],LstMachines[Status],PrévisionBoris[[#This Row],[Status]],LstMachines[MoisLivr],AD$1)</f>
        <v>0</v>
      </c>
      <c r="AE14" s="207">
        <f>SUMIFS(LstMachines[Nbre],LstMachines[Model-Spec],PrévisionBoris[[#This Row],[Spec]],LstMachines[Status],PrévisionBoris[[#This Row],[Status]],LstMachines[MoisLivr],AE$1)</f>
        <v>0</v>
      </c>
      <c r="AF14" s="206">
        <f>SUMIFS(LstMachines[Nbre],LstMachines[Model-Spec],PrévisionBoris[[#This Row],[Spec]],LstMachines[Status],PrévisionBoris[[#This Row],[Status]],LstMachines[MoisLivr],AF$1)</f>
        <v>0</v>
      </c>
      <c r="AG14" s="207">
        <f>SUMIFS(LstMachines[Nbre],LstMachines[Model-Spec],PrévisionBoris[[#This Row],[Spec]],LstMachines[Status],PrévisionBoris[[#This Row],[Status]],LstMachines[MoisLivr],AG$1)</f>
        <v>0</v>
      </c>
      <c r="AH14" s="207">
        <f>SUMIFS(LstMachines[Nbre],LstMachines[Model-Spec],PrévisionBoris[[#This Row],[Spec]],LstMachines[Status],PrévisionBoris[[#This Row],[Status]],LstMachines[MoisLivr],AH$1)</f>
        <v>0</v>
      </c>
      <c r="AI14" s="206">
        <f>SUMIFS(LstMachines[Nbre],LstMachines[Model-Spec],PrévisionBoris[[#This Row],[Spec]],LstMachines[Status],PrévisionBoris[[#This Row],[Status]],LstMachines[MoisLivr],AI$1)</f>
        <v>0</v>
      </c>
      <c r="AJ14" s="207">
        <f>SUMIFS(LstMachines[Nbre],LstMachines[Model-Spec],PrévisionBoris[[#This Row],[Spec]],LstMachines[Status],PrévisionBoris[[#This Row],[Status]],LstMachines[MoisLivr],AJ$1)</f>
        <v>0</v>
      </c>
      <c r="AK14" s="207">
        <f>SUMIFS(LstMachines[Nbre],LstMachines[Model-Spec],PrévisionBoris[[#This Row],[Spec]],LstMachines[Status],PrévisionBoris[[#This Row],[Status]],LstMachines[MoisLivr],AK$1)</f>
        <v>0</v>
      </c>
      <c r="AL14" s="206">
        <f>SUMIFS(LstMachines[Nbre],LstMachines[Model-Spec],PrévisionBoris[[#This Row],[Spec]],LstMachines[Status],PrévisionBoris[[#This Row],[Status]],LstMachines[MoisLivr],AL$1)</f>
        <v>0</v>
      </c>
      <c r="AM14" s="207">
        <f>SUMIFS(LstMachines[Nbre],LstMachines[Model-Spec],PrévisionBoris[[#This Row],[Spec]],LstMachines[Status],PrévisionBoris[[#This Row],[Status]],LstMachines[MoisLivr],AM$1)</f>
        <v>0</v>
      </c>
      <c r="AN14" s="207">
        <f>SUMIFS(LstMachines[Nbre],LstMachines[Model-Spec],PrévisionBoris[[#This Row],[Spec]],LstMachines[Status],PrévisionBoris[[#This Row],[Status]],LstMachines[MoisLivr],AN$1)</f>
        <v>0</v>
      </c>
      <c r="AO14" s="206">
        <f>SUMIFS(LstMachines[Nbre],LstMachines[Model-Spec],PrévisionBoris[[#This Row],[Spec]],LstMachines[Status],PrévisionBoris[[#This Row],[Status]],LstMachines[MoisLivr],AO$1)</f>
        <v>0</v>
      </c>
      <c r="AP14" s="207">
        <f>SUMIFS(LstMachines[Nbre],LstMachines[Model-Spec],PrévisionBoris[[#This Row],[Spec]],LstMachines[Status],PrévisionBoris[[#This Row],[Status]],LstMachines[MoisLivr],AP$1)</f>
        <v>0</v>
      </c>
      <c r="AQ14" s="207">
        <f>SUMIFS(LstMachines[Nbre],LstMachines[Model-Spec],PrévisionBoris[[#This Row],[Spec]],LstMachines[Status],PrévisionBoris[[#This Row],[Status]],LstMachines[MoisLivr],AQ$1)</f>
        <v>0</v>
      </c>
      <c r="AR14" s="206">
        <f>SUMIFS(LstMachines[Nbre],LstMachines[Model-Spec],PrévisionBoris[[#This Row],[Spec]],LstMachines[Status],PrévisionBoris[[#This Row],[Status]],LstMachines[MoisLivr],AR$1)</f>
        <v>0</v>
      </c>
      <c r="AS14" s="207">
        <f>SUMIFS(LstMachines[Nbre],LstMachines[Model-Spec],PrévisionBoris[[#This Row],[Spec]],LstMachines[Status],PrévisionBoris[[#This Row],[Status]],LstMachines[MoisLivr],AS$1)</f>
        <v>0</v>
      </c>
      <c r="AT14" s="207">
        <f>SUMIFS(LstMachines[Nbre],LstMachines[Model-Spec],PrévisionBoris[[#This Row],[Spec]],LstMachines[Status],PrévisionBoris[[#This Row],[Status]],LstMachines[MoisLivr],AT$1)</f>
        <v>0</v>
      </c>
      <c r="AU14" s="206">
        <f>SUMIFS(LstMachines[Nbre],LstMachines[Model-Spec],PrévisionBoris[[#This Row],[Spec]],LstMachines[Status],PrévisionBoris[[#This Row],[Status]],LstMachines[MoisLivr],AU$1)</f>
        <v>0</v>
      </c>
      <c r="AV14" s="233">
        <f>SUMIFS(LstMachines[Nbre],LstMachines[Model-Spec],PrévisionBoris[[#This Row],[Spec]],LstMachines[Status],PrévisionBoris[[#This Row],[Status]],LstMachines[MoisLivr],AV$1)</f>
        <v>0</v>
      </c>
      <c r="AW14" s="208">
        <f>SUMIFS(LstMachines[Nbre],LstMachines[Model-Spec],PrévisionBoris[[#This Row],[Spec]],LstMachines[Status],PrévisionBoris[[#This Row],[Status]],LstMachines[MoisLivr],AW$1)</f>
        <v>0</v>
      </c>
      <c r="AX14" s="210"/>
      <c r="AY14" s="211">
        <f t="shared" si="3"/>
        <v>0</v>
      </c>
      <c r="AZ14" s="212">
        <f t="shared" si="4"/>
        <v>0</v>
      </c>
      <c r="BA14" s="212">
        <f t="shared" si="5"/>
        <v>0</v>
      </c>
      <c r="BB14" s="213">
        <f t="shared" si="6"/>
        <v>0</v>
      </c>
      <c r="BC14" s="225">
        <f t="shared" si="7"/>
        <v>0</v>
      </c>
      <c r="BD14" s="211">
        <f t="shared" si="8"/>
        <v>0</v>
      </c>
      <c r="BE14" s="212">
        <f t="shared" si="9"/>
        <v>0</v>
      </c>
      <c r="BF14" s="212">
        <f t="shared" si="10"/>
        <v>0</v>
      </c>
      <c r="BG14" s="213">
        <f t="shared" si="11"/>
        <v>0</v>
      </c>
      <c r="BH14" s="225">
        <f t="shared" si="12"/>
        <v>0</v>
      </c>
      <c r="BI14" s="214">
        <f t="shared" si="13"/>
        <v>0</v>
      </c>
      <c r="BJ14" s="215">
        <f t="shared" si="14"/>
        <v>0</v>
      </c>
      <c r="BK14" s="215">
        <f t="shared" si="15"/>
        <v>0</v>
      </c>
      <c r="BL14" s="216">
        <f t="shared" si="16"/>
        <v>0</v>
      </c>
      <c r="BM14" s="225">
        <f t="shared" si="17"/>
        <v>0</v>
      </c>
      <c r="BN14" s="225"/>
      <c r="BO14" s="217"/>
      <c r="BP14" s="218">
        <f t="shared" si="18"/>
        <v>0</v>
      </c>
    </row>
    <row r="15" spans="1:76">
      <c r="A15" s="170">
        <v>8</v>
      </c>
      <c r="B15" s="170" t="s">
        <v>151</v>
      </c>
      <c r="C15" s="200">
        <v>150</v>
      </c>
      <c r="D15" s="170" t="s">
        <v>152</v>
      </c>
      <c r="E15" s="170" t="s">
        <v>154</v>
      </c>
      <c r="F15" s="200">
        <f>VLOOKUP(PrévisionBoris[[#This Row],[Spec]],TabModelSpecs[[ModelSpec]:[Price]],2,FALSE)</f>
        <v>100</v>
      </c>
      <c r="G15" s="170" t="s">
        <v>462</v>
      </c>
      <c r="H15" s="219">
        <f>SUMIFS(LstMachines[Nbre],LstMachines[Model-Spec],PrévisionBoris[[#This Row],[Spec]],LstMachines[Status],PrévisionBoris[[#This Row],[Status]],LstMachines[MoisLivr],H$1)</f>
        <v>0</v>
      </c>
      <c r="I15" s="220">
        <f>SUMIFS(LstMachines[Nbre],LstMachines[Model-Spec],PrévisionBoris[[#This Row],[Spec]],LstMachines[Status],PrévisionBoris[[#This Row],[Status]],LstMachines[MoisLivr],I$1)</f>
        <v>0</v>
      </c>
      <c r="J15" s="221">
        <f>SUMIFS(LstMachines[Nbre],LstMachines[Model-Spec],PrévisionBoris[[#This Row],[Spec]],LstMachines[Status],PrévisionBoris[[#This Row],[Status]],LstMachines[MoisLivr],J$1)</f>
        <v>0</v>
      </c>
      <c r="K15" s="219">
        <f>SUMIFS(LstMachines[Nbre],LstMachines[Model-Spec],PrévisionBoris[[#This Row],[Spec]],LstMachines[Status],PrévisionBoris[[#This Row],[Status]],LstMachines[MoisLivr],K$1)</f>
        <v>0</v>
      </c>
      <c r="L15" s="220">
        <f>SUMIFS(LstMachines[Nbre],LstMachines[Model-Spec],PrévisionBoris[[#This Row],[Spec]],LstMachines[Status],PrévisionBoris[[#This Row],[Status]],LstMachines[MoisLivr],L$1)</f>
        <v>0</v>
      </c>
      <c r="M15" s="221">
        <f>SUMIFS(LstMachines[Nbre],LstMachines[Model-Spec],PrévisionBoris[[#This Row],[Spec]],LstMachines[Status],PrévisionBoris[[#This Row],[Status]],LstMachines[MoisLivr],M$1)</f>
        <v>0</v>
      </c>
      <c r="N15" s="219">
        <f>SUMIFS(LstMachines[Nbre],LstMachines[Model-Spec],PrévisionBoris[[#This Row],[Spec]],LstMachines[Status],PrévisionBoris[[#This Row],[Status]],LstMachines[MoisLivr],N$1)</f>
        <v>0</v>
      </c>
      <c r="O15" s="220">
        <f>SUMIFS(LstMachines[Nbre],LstMachines[Model-Spec],PrévisionBoris[[#This Row],[Spec]],LstMachines[Status],PrévisionBoris[[#This Row],[Status]],LstMachines[MoisLivr],O$1)</f>
        <v>0</v>
      </c>
      <c r="P15" s="221">
        <f>SUMIFS(LstMachines[Nbre],LstMachines[Model-Spec],PrévisionBoris[[#This Row],[Spec]],LstMachines[Status],PrévisionBoris[[#This Row],[Status]],LstMachines[MoisLivr],P$1)</f>
        <v>0</v>
      </c>
      <c r="Q15" s="222">
        <f>SUMIFS(LstMachines[Nbre],LstMachines[Model-Spec],PrévisionBoris[[#This Row],[Spec]],LstMachines[Status],PrévisionBoris[[#This Row],[Status]],LstMachines[MoisLivr],Q$1)</f>
        <v>0</v>
      </c>
      <c r="R15" s="220">
        <f>SUMIFS(LstMachines[Nbre],LstMachines[Model-Spec],PrévisionBoris[[#This Row],[Spec]],LstMachines[Status],PrévisionBoris[[#This Row],[Status]],LstMachines[MoisLivr],R$1)</f>
        <v>0</v>
      </c>
      <c r="S15" s="220">
        <f>SUMIFS(LstMachines[Nbre],LstMachines[Model-Spec],PrévisionBoris[[#This Row],[Spec]],LstMachines[Status],PrévisionBoris[[#This Row],[Status]],LstMachines[MoisLivr],S$1)</f>
        <v>0</v>
      </c>
      <c r="T15" s="219">
        <f>SUMIFS(LstMachines[Nbre],LstMachines[Model-Spec],PrévisionBoris[[#This Row],[Spec]],LstMachines[Status],PrévisionBoris[[#This Row],[Status]],LstMachines[MoisLivr],T$1)</f>
        <v>0</v>
      </c>
      <c r="U15" s="220">
        <f>SUMIFS(LstMachines[Nbre],LstMachines[Model-Spec],PrévisionBoris[[#This Row],[Spec]],LstMachines[Status],PrévisionBoris[[#This Row],[Status]],LstMachines[MoisLivr],U$1)</f>
        <v>0</v>
      </c>
      <c r="V15" s="220">
        <f>SUMIFS(LstMachines[Nbre],LstMachines[Model-Spec],PrévisionBoris[[#This Row],[Spec]],LstMachines[Status],PrévisionBoris[[#This Row],[Status]],LstMachines[MoisLivr],V$1)</f>
        <v>0</v>
      </c>
      <c r="W15" s="219">
        <f>SUMIFS(LstMachines[Nbre],LstMachines[Model-Spec],PrévisionBoris[[#This Row],[Spec]],LstMachines[Status],PrévisionBoris[[#This Row],[Status]],LstMachines[MoisLivr],W$1)</f>
        <v>0</v>
      </c>
      <c r="X15" s="220">
        <f>SUMIFS(LstMachines[Nbre],LstMachines[Model-Spec],PrévisionBoris[[#This Row],[Spec]],LstMachines[Status],PrévisionBoris[[#This Row],[Status]],LstMachines[MoisLivr],X$1)</f>
        <v>0</v>
      </c>
      <c r="Y15" s="220">
        <f>SUMIFS(LstMachines[Nbre],LstMachines[Model-Spec],PrévisionBoris[[#This Row],[Spec]],LstMachines[Status],PrévisionBoris[[#This Row],[Status]],LstMachines[MoisLivr],Y$1)</f>
        <v>0</v>
      </c>
      <c r="Z15" s="219">
        <f>SUMIFS(LstMachines[Nbre],LstMachines[Model-Spec],PrévisionBoris[[#This Row],[Spec]],LstMachines[Status],PrévisionBoris[[#This Row],[Status]],LstMachines[MoisLivr],Z$1)</f>
        <v>0</v>
      </c>
      <c r="AA15" s="220">
        <f>SUMIFS(LstMachines[Nbre],LstMachines[Model-Spec],PrévisionBoris[[#This Row],[Spec]],LstMachines[Status],PrévisionBoris[[#This Row],[Status]],LstMachines[MoisLivr],AA$1)</f>
        <v>0</v>
      </c>
      <c r="AB15" s="220">
        <f>SUMIFS(LstMachines[Nbre],LstMachines[Model-Spec],PrévisionBoris[[#This Row],[Spec]],LstMachines[Status],PrévisionBoris[[#This Row],[Status]],LstMachines[MoisLivr],AB$1)</f>
        <v>0</v>
      </c>
      <c r="AC15" s="219">
        <f>SUMIFS(LstMachines[Nbre],LstMachines[Model-Spec],PrévisionBoris[[#This Row],[Spec]],LstMachines[Status],PrévisionBoris[[#This Row],[Status]],LstMachines[MoisLivr],AC$1)</f>
        <v>0</v>
      </c>
      <c r="AD15" s="220">
        <f>SUMIFS(LstMachines[Nbre],LstMachines[Model-Spec],PrévisionBoris[[#This Row],[Spec]],LstMachines[Status],PrévisionBoris[[#This Row],[Status]],LstMachines[MoisLivr],AD$1)</f>
        <v>0</v>
      </c>
      <c r="AE15" s="220">
        <f>SUMIFS(LstMachines[Nbre],LstMachines[Model-Spec],PrévisionBoris[[#This Row],[Spec]],LstMachines[Status],PrévisionBoris[[#This Row],[Status]],LstMachines[MoisLivr],AE$1)</f>
        <v>0</v>
      </c>
      <c r="AF15" s="219">
        <f>SUMIFS(LstMachines[Nbre],LstMachines[Model-Spec],PrévisionBoris[[#This Row],[Spec]],LstMachines[Status],PrévisionBoris[[#This Row],[Status]],LstMachines[MoisLivr],AF$1)</f>
        <v>0</v>
      </c>
      <c r="AG15" s="220">
        <f>SUMIFS(LstMachines[Nbre],LstMachines[Model-Spec],PrévisionBoris[[#This Row],[Spec]],LstMachines[Status],PrévisionBoris[[#This Row],[Status]],LstMachines[MoisLivr],AG$1)</f>
        <v>0</v>
      </c>
      <c r="AH15" s="220">
        <f>SUMIFS(LstMachines[Nbre],LstMachines[Model-Spec],PrévisionBoris[[#This Row],[Spec]],LstMachines[Status],PrévisionBoris[[#This Row],[Status]],LstMachines[MoisLivr],AH$1)</f>
        <v>0</v>
      </c>
      <c r="AI15" s="219">
        <f>SUMIFS(LstMachines[Nbre],LstMachines[Model-Spec],PrévisionBoris[[#This Row],[Spec]],LstMachines[Status],PrévisionBoris[[#This Row],[Status]],LstMachines[MoisLivr],AI$1)</f>
        <v>0</v>
      </c>
      <c r="AJ15" s="220">
        <f>SUMIFS(LstMachines[Nbre],LstMachines[Model-Spec],PrévisionBoris[[#This Row],[Spec]],LstMachines[Status],PrévisionBoris[[#This Row],[Status]],LstMachines[MoisLivr],AJ$1)</f>
        <v>0</v>
      </c>
      <c r="AK15" s="220">
        <f>SUMIFS(LstMachines[Nbre],LstMachines[Model-Spec],PrévisionBoris[[#This Row],[Spec]],LstMachines[Status],PrévisionBoris[[#This Row],[Status]],LstMachines[MoisLivr],AK$1)</f>
        <v>0</v>
      </c>
      <c r="AL15" s="219">
        <f>SUMIFS(LstMachines[Nbre],LstMachines[Model-Spec],PrévisionBoris[[#This Row],[Spec]],LstMachines[Status],PrévisionBoris[[#This Row],[Status]],LstMachines[MoisLivr],AL$1)</f>
        <v>0</v>
      </c>
      <c r="AM15" s="220">
        <f>SUMIFS(LstMachines[Nbre],LstMachines[Model-Spec],PrévisionBoris[[#This Row],[Spec]],LstMachines[Status],PrévisionBoris[[#This Row],[Status]],LstMachines[MoisLivr],AM$1)</f>
        <v>0</v>
      </c>
      <c r="AN15" s="220">
        <f>SUMIFS(LstMachines[Nbre],LstMachines[Model-Spec],PrévisionBoris[[#This Row],[Spec]],LstMachines[Status],PrévisionBoris[[#This Row],[Status]],LstMachines[MoisLivr],AN$1)</f>
        <v>0</v>
      </c>
      <c r="AO15" s="219">
        <f>SUMIFS(LstMachines[Nbre],LstMachines[Model-Spec],PrévisionBoris[[#This Row],[Spec]],LstMachines[Status],PrévisionBoris[[#This Row],[Status]],LstMachines[MoisLivr],AO$1)</f>
        <v>0</v>
      </c>
      <c r="AP15" s="220">
        <f>SUMIFS(LstMachines[Nbre],LstMachines[Model-Spec],PrévisionBoris[[#This Row],[Spec]],LstMachines[Status],PrévisionBoris[[#This Row],[Status]],LstMachines[MoisLivr],AP$1)</f>
        <v>0</v>
      </c>
      <c r="AQ15" s="220">
        <f>SUMIFS(LstMachines[Nbre],LstMachines[Model-Spec],PrévisionBoris[[#This Row],[Spec]],LstMachines[Status],PrévisionBoris[[#This Row],[Status]],LstMachines[MoisLivr],AQ$1)</f>
        <v>0</v>
      </c>
      <c r="AR15" s="219">
        <f>SUMIFS(LstMachines[Nbre],LstMachines[Model-Spec],PrévisionBoris[[#This Row],[Spec]],LstMachines[Status],PrévisionBoris[[#This Row],[Status]],LstMachines[MoisLivr],AR$1)</f>
        <v>0</v>
      </c>
      <c r="AS15" s="220">
        <f>SUMIFS(LstMachines[Nbre],LstMachines[Model-Spec],PrévisionBoris[[#This Row],[Spec]],LstMachines[Status],PrévisionBoris[[#This Row],[Status]],LstMachines[MoisLivr],AS$1)</f>
        <v>0</v>
      </c>
      <c r="AT15" s="220">
        <f>SUMIFS(LstMachines[Nbre],LstMachines[Model-Spec],PrévisionBoris[[#This Row],[Spec]],LstMachines[Status],PrévisionBoris[[#This Row],[Status]],LstMachines[MoisLivr],AT$1)</f>
        <v>0</v>
      </c>
      <c r="AU15" s="219">
        <f>SUMIFS(LstMachines[Nbre],LstMachines[Model-Spec],PrévisionBoris[[#This Row],[Spec]],LstMachines[Status],PrévisionBoris[[#This Row],[Status]],LstMachines[MoisLivr],AU$1)</f>
        <v>0</v>
      </c>
      <c r="AV15" s="223">
        <f>SUMIFS(LstMachines[Nbre],LstMachines[Model-Spec],PrévisionBoris[[#This Row],[Spec]],LstMachines[Status],PrévisionBoris[[#This Row],[Status]],LstMachines[MoisLivr],AV$1)</f>
        <v>0</v>
      </c>
      <c r="AW15" s="224">
        <f>SUMIFS(LstMachines[Nbre],LstMachines[Model-Spec],PrévisionBoris[[#This Row],[Spec]],LstMachines[Status],PrévisionBoris[[#This Row],[Status]],LstMachines[MoisLivr],AW$1)</f>
        <v>0</v>
      </c>
      <c r="AX15" s="210"/>
      <c r="AY15" s="211">
        <f t="shared" si="3"/>
        <v>0</v>
      </c>
      <c r="AZ15" s="212">
        <f t="shared" si="4"/>
        <v>0</v>
      </c>
      <c r="BA15" s="212">
        <f t="shared" si="5"/>
        <v>0</v>
      </c>
      <c r="BB15" s="213">
        <f t="shared" si="6"/>
        <v>0</v>
      </c>
      <c r="BC15" s="225">
        <f t="shared" si="7"/>
        <v>0</v>
      </c>
      <c r="BD15" s="211">
        <f t="shared" si="8"/>
        <v>0</v>
      </c>
      <c r="BE15" s="212">
        <f t="shared" si="9"/>
        <v>0</v>
      </c>
      <c r="BF15" s="212">
        <f t="shared" si="10"/>
        <v>0</v>
      </c>
      <c r="BG15" s="213">
        <f t="shared" si="11"/>
        <v>0</v>
      </c>
      <c r="BH15" s="225">
        <f t="shared" si="12"/>
        <v>0</v>
      </c>
      <c r="BI15" s="214">
        <f t="shared" si="13"/>
        <v>0</v>
      </c>
      <c r="BJ15" s="215">
        <f t="shared" si="14"/>
        <v>0</v>
      </c>
      <c r="BK15" s="215">
        <f t="shared" si="15"/>
        <v>0</v>
      </c>
      <c r="BL15" s="216">
        <f t="shared" si="16"/>
        <v>0</v>
      </c>
      <c r="BM15" s="225">
        <f t="shared" si="17"/>
        <v>0</v>
      </c>
      <c r="BN15" s="225"/>
      <c r="BO15" s="217"/>
      <c r="BP15" s="218">
        <f t="shared" si="18"/>
        <v>0</v>
      </c>
    </row>
    <row r="16" spans="1:76">
      <c r="A16" s="171">
        <v>9</v>
      </c>
      <c r="B16" s="171" t="s">
        <v>151</v>
      </c>
      <c r="C16" s="201">
        <v>150</v>
      </c>
      <c r="D16" s="171" t="s">
        <v>152</v>
      </c>
      <c r="E16" s="171" t="s">
        <v>154</v>
      </c>
      <c r="F16" s="201">
        <f>VLOOKUP(PrévisionBoris[[#This Row],[Spec]],TabModelSpecs[[ModelSpec]:[Price]],2,FALSE)</f>
        <v>100</v>
      </c>
      <c r="G16" s="171" t="s">
        <v>463</v>
      </c>
      <c r="H16" s="226">
        <f>SUMIFS(LstMachines[Nbre],LstMachines[Model-Spec],PrévisionBoris[[#This Row],[Spec]],LstMachines[Status],PrévisionBoris[[#This Row],[Status]],LstMachines[MoisLivr],H$1)</f>
        <v>0</v>
      </c>
      <c r="I16" s="227">
        <f>SUMIFS(LstMachines[Nbre],LstMachines[Model-Spec],PrévisionBoris[[#This Row],[Spec]],LstMachines[Status],PrévisionBoris[[#This Row],[Status]],LstMachines[MoisLivr],I$1)</f>
        <v>0</v>
      </c>
      <c r="J16" s="228">
        <f>SUMIFS(LstMachines[Nbre],LstMachines[Model-Spec],PrévisionBoris[[#This Row],[Spec]],LstMachines[Status],PrévisionBoris[[#This Row],[Status]],LstMachines[MoisLivr],J$1)</f>
        <v>0</v>
      </c>
      <c r="K16" s="226">
        <f>SUMIFS(LstMachines[Nbre],LstMachines[Model-Spec],PrévisionBoris[[#This Row],[Spec]],LstMachines[Status],PrévisionBoris[[#This Row],[Status]],LstMachines[MoisLivr],K$1)</f>
        <v>0</v>
      </c>
      <c r="L16" s="227">
        <f>SUMIFS(LstMachines[Nbre],LstMachines[Model-Spec],PrévisionBoris[[#This Row],[Spec]],LstMachines[Status],PrévisionBoris[[#This Row],[Status]],LstMachines[MoisLivr],L$1)</f>
        <v>0</v>
      </c>
      <c r="M16" s="228">
        <f>SUMIFS(LstMachines[Nbre],LstMachines[Model-Spec],PrévisionBoris[[#This Row],[Spec]],LstMachines[Status],PrévisionBoris[[#This Row],[Status]],LstMachines[MoisLivr],M$1)</f>
        <v>0</v>
      </c>
      <c r="N16" s="226">
        <f>SUMIFS(LstMachines[Nbre],LstMachines[Model-Spec],PrévisionBoris[[#This Row],[Spec]],LstMachines[Status],PrévisionBoris[[#This Row],[Status]],LstMachines[MoisLivr],N$1)</f>
        <v>0</v>
      </c>
      <c r="O16" s="227">
        <f>SUMIFS(LstMachines[Nbre],LstMachines[Model-Spec],PrévisionBoris[[#This Row],[Spec]],LstMachines[Status],PrévisionBoris[[#This Row],[Status]],LstMachines[MoisLivr],O$1)</f>
        <v>0</v>
      </c>
      <c r="P16" s="228">
        <f>SUMIFS(LstMachines[Nbre],LstMachines[Model-Spec],PrévisionBoris[[#This Row],[Spec]],LstMachines[Status],PrévisionBoris[[#This Row],[Status]],LstMachines[MoisLivr],P$1)</f>
        <v>0</v>
      </c>
      <c r="Q16" s="229">
        <f>SUMIFS(LstMachines[Nbre],LstMachines[Model-Spec],PrévisionBoris[[#This Row],[Spec]],LstMachines[Status],PrévisionBoris[[#This Row],[Status]],LstMachines[MoisLivr],Q$1)</f>
        <v>0</v>
      </c>
      <c r="R16" s="227">
        <f>SUMIFS(LstMachines[Nbre],LstMachines[Model-Spec],PrévisionBoris[[#This Row],[Spec]],LstMachines[Status],PrévisionBoris[[#This Row],[Status]],LstMachines[MoisLivr],R$1)</f>
        <v>0</v>
      </c>
      <c r="S16" s="227">
        <f>SUMIFS(LstMachines[Nbre],LstMachines[Model-Spec],PrévisionBoris[[#This Row],[Spec]],LstMachines[Status],PrévisionBoris[[#This Row],[Status]],LstMachines[MoisLivr],S$1)</f>
        <v>0</v>
      </c>
      <c r="T16" s="226">
        <f>SUMIFS(LstMachines[Nbre],LstMachines[Model-Spec],PrévisionBoris[[#This Row],[Spec]],LstMachines[Status],PrévisionBoris[[#This Row],[Status]],LstMachines[MoisLivr],T$1)</f>
        <v>0</v>
      </c>
      <c r="U16" s="227">
        <f>SUMIFS(LstMachines[Nbre],LstMachines[Model-Spec],PrévisionBoris[[#This Row],[Spec]],LstMachines[Status],PrévisionBoris[[#This Row],[Status]],LstMachines[MoisLivr],U$1)</f>
        <v>0</v>
      </c>
      <c r="V16" s="227">
        <f>SUMIFS(LstMachines[Nbre],LstMachines[Model-Spec],PrévisionBoris[[#This Row],[Spec]],LstMachines[Status],PrévisionBoris[[#This Row],[Status]],LstMachines[MoisLivr],V$1)</f>
        <v>0</v>
      </c>
      <c r="W16" s="226">
        <f>SUMIFS(LstMachines[Nbre],LstMachines[Model-Spec],PrévisionBoris[[#This Row],[Spec]],LstMachines[Status],PrévisionBoris[[#This Row],[Status]],LstMachines[MoisLivr],W$1)</f>
        <v>0</v>
      </c>
      <c r="X16" s="227">
        <f>SUMIFS(LstMachines[Nbre],LstMachines[Model-Spec],PrévisionBoris[[#This Row],[Spec]],LstMachines[Status],PrévisionBoris[[#This Row],[Status]],LstMachines[MoisLivr],X$1)</f>
        <v>0</v>
      </c>
      <c r="Y16" s="227">
        <f>SUMIFS(LstMachines[Nbre],LstMachines[Model-Spec],PrévisionBoris[[#This Row],[Spec]],LstMachines[Status],PrévisionBoris[[#This Row],[Status]],LstMachines[MoisLivr],Y$1)</f>
        <v>0</v>
      </c>
      <c r="Z16" s="226">
        <f>SUMIFS(LstMachines[Nbre],LstMachines[Model-Spec],PrévisionBoris[[#This Row],[Spec]],LstMachines[Status],PrévisionBoris[[#This Row],[Status]],LstMachines[MoisLivr],Z$1)</f>
        <v>0</v>
      </c>
      <c r="AA16" s="227">
        <f>SUMIFS(LstMachines[Nbre],LstMachines[Model-Spec],PrévisionBoris[[#This Row],[Spec]],LstMachines[Status],PrévisionBoris[[#This Row],[Status]],LstMachines[MoisLivr],AA$1)</f>
        <v>0</v>
      </c>
      <c r="AB16" s="227">
        <f>SUMIFS(LstMachines[Nbre],LstMachines[Model-Spec],PrévisionBoris[[#This Row],[Spec]],LstMachines[Status],PrévisionBoris[[#This Row],[Status]],LstMachines[MoisLivr],AB$1)</f>
        <v>0</v>
      </c>
      <c r="AC16" s="226">
        <f>SUMIFS(LstMachines[Nbre],LstMachines[Model-Spec],PrévisionBoris[[#This Row],[Spec]],LstMachines[Status],PrévisionBoris[[#This Row],[Status]],LstMachines[MoisLivr],AC$1)</f>
        <v>0</v>
      </c>
      <c r="AD16" s="227">
        <f>SUMIFS(LstMachines[Nbre],LstMachines[Model-Spec],PrévisionBoris[[#This Row],[Spec]],LstMachines[Status],PrévisionBoris[[#This Row],[Status]],LstMachines[MoisLivr],AD$1)</f>
        <v>0</v>
      </c>
      <c r="AE16" s="227">
        <f>SUMIFS(LstMachines[Nbre],LstMachines[Model-Spec],PrévisionBoris[[#This Row],[Spec]],LstMachines[Status],PrévisionBoris[[#This Row],[Status]],LstMachines[MoisLivr],AE$1)</f>
        <v>0</v>
      </c>
      <c r="AF16" s="226">
        <f>SUMIFS(LstMachines[Nbre],LstMachines[Model-Spec],PrévisionBoris[[#This Row],[Spec]],LstMachines[Status],PrévisionBoris[[#This Row],[Status]],LstMachines[MoisLivr],AF$1)</f>
        <v>0</v>
      </c>
      <c r="AG16" s="227">
        <f>SUMIFS(LstMachines[Nbre],LstMachines[Model-Spec],PrévisionBoris[[#This Row],[Spec]],LstMachines[Status],PrévisionBoris[[#This Row],[Status]],LstMachines[MoisLivr],AG$1)</f>
        <v>0</v>
      </c>
      <c r="AH16" s="227">
        <f>SUMIFS(LstMachines[Nbre],LstMachines[Model-Spec],PrévisionBoris[[#This Row],[Spec]],LstMachines[Status],PrévisionBoris[[#This Row],[Status]],LstMachines[MoisLivr],AH$1)</f>
        <v>0</v>
      </c>
      <c r="AI16" s="226">
        <f>SUMIFS(LstMachines[Nbre],LstMachines[Model-Spec],PrévisionBoris[[#This Row],[Spec]],LstMachines[Status],PrévisionBoris[[#This Row],[Status]],LstMachines[MoisLivr],AI$1)</f>
        <v>0</v>
      </c>
      <c r="AJ16" s="227">
        <f>SUMIFS(LstMachines[Nbre],LstMachines[Model-Spec],PrévisionBoris[[#This Row],[Spec]],LstMachines[Status],PrévisionBoris[[#This Row],[Status]],LstMachines[MoisLivr],AJ$1)</f>
        <v>0</v>
      </c>
      <c r="AK16" s="227">
        <f>SUMIFS(LstMachines[Nbre],LstMachines[Model-Spec],PrévisionBoris[[#This Row],[Spec]],LstMachines[Status],PrévisionBoris[[#This Row],[Status]],LstMachines[MoisLivr],AK$1)</f>
        <v>0</v>
      </c>
      <c r="AL16" s="226">
        <f>SUMIFS(LstMachines[Nbre],LstMachines[Model-Spec],PrévisionBoris[[#This Row],[Spec]],LstMachines[Status],PrévisionBoris[[#This Row],[Status]],LstMachines[MoisLivr],AL$1)</f>
        <v>0</v>
      </c>
      <c r="AM16" s="227">
        <f>SUMIFS(LstMachines[Nbre],LstMachines[Model-Spec],PrévisionBoris[[#This Row],[Spec]],LstMachines[Status],PrévisionBoris[[#This Row],[Status]],LstMachines[MoisLivr],AM$1)</f>
        <v>0</v>
      </c>
      <c r="AN16" s="227">
        <f>SUMIFS(LstMachines[Nbre],LstMachines[Model-Spec],PrévisionBoris[[#This Row],[Spec]],LstMachines[Status],PrévisionBoris[[#This Row],[Status]],LstMachines[MoisLivr],AN$1)</f>
        <v>0</v>
      </c>
      <c r="AO16" s="226">
        <f>SUMIFS(LstMachines[Nbre],LstMachines[Model-Spec],PrévisionBoris[[#This Row],[Spec]],LstMachines[Status],PrévisionBoris[[#This Row],[Status]],LstMachines[MoisLivr],AO$1)</f>
        <v>0</v>
      </c>
      <c r="AP16" s="227">
        <f>SUMIFS(LstMachines[Nbre],LstMachines[Model-Spec],PrévisionBoris[[#This Row],[Spec]],LstMachines[Status],PrévisionBoris[[#This Row],[Status]],LstMachines[MoisLivr],AP$1)</f>
        <v>0</v>
      </c>
      <c r="AQ16" s="227">
        <f>SUMIFS(LstMachines[Nbre],LstMachines[Model-Spec],PrévisionBoris[[#This Row],[Spec]],LstMachines[Status],PrévisionBoris[[#This Row],[Status]],LstMachines[MoisLivr],AQ$1)</f>
        <v>0</v>
      </c>
      <c r="AR16" s="226">
        <f>SUMIFS(LstMachines[Nbre],LstMachines[Model-Spec],PrévisionBoris[[#This Row],[Spec]],LstMachines[Status],PrévisionBoris[[#This Row],[Status]],LstMachines[MoisLivr],AR$1)</f>
        <v>0</v>
      </c>
      <c r="AS16" s="227">
        <f>SUMIFS(LstMachines[Nbre],LstMachines[Model-Spec],PrévisionBoris[[#This Row],[Spec]],LstMachines[Status],PrévisionBoris[[#This Row],[Status]],LstMachines[MoisLivr],AS$1)</f>
        <v>0</v>
      </c>
      <c r="AT16" s="227">
        <f>SUMIFS(LstMachines[Nbre],LstMachines[Model-Spec],PrévisionBoris[[#This Row],[Spec]],LstMachines[Status],PrévisionBoris[[#This Row],[Status]],LstMachines[MoisLivr],AT$1)</f>
        <v>0</v>
      </c>
      <c r="AU16" s="226">
        <f>SUMIFS(LstMachines[Nbre],LstMachines[Model-Spec],PrévisionBoris[[#This Row],[Spec]],LstMachines[Status],PrévisionBoris[[#This Row],[Status]],LstMachines[MoisLivr],AU$1)</f>
        <v>0</v>
      </c>
      <c r="AV16" s="230">
        <f>SUMIFS(LstMachines[Nbre],LstMachines[Model-Spec],PrévisionBoris[[#This Row],[Spec]],LstMachines[Status],PrévisionBoris[[#This Row],[Status]],LstMachines[MoisLivr],AV$1)</f>
        <v>0</v>
      </c>
      <c r="AW16" s="231">
        <f>SUMIFS(LstMachines[Nbre],LstMachines[Model-Spec],PrévisionBoris[[#This Row],[Spec]],LstMachines[Status],PrévisionBoris[[#This Row],[Status]],LstMachines[MoisLivr],AW$1)</f>
        <v>0</v>
      </c>
      <c r="AX16" s="232"/>
      <c r="AY16" s="211">
        <f t="shared" si="3"/>
        <v>0</v>
      </c>
      <c r="AZ16" s="212">
        <f t="shared" si="4"/>
        <v>0</v>
      </c>
      <c r="BA16" s="212">
        <f t="shared" si="5"/>
        <v>0</v>
      </c>
      <c r="BB16" s="213">
        <f t="shared" si="6"/>
        <v>0</v>
      </c>
      <c r="BC16" s="225">
        <f t="shared" si="7"/>
        <v>0</v>
      </c>
      <c r="BD16" s="211">
        <f t="shared" si="8"/>
        <v>0</v>
      </c>
      <c r="BE16" s="212">
        <f t="shared" si="9"/>
        <v>0</v>
      </c>
      <c r="BF16" s="212">
        <f t="shared" si="10"/>
        <v>0</v>
      </c>
      <c r="BG16" s="213">
        <f t="shared" si="11"/>
        <v>0</v>
      </c>
      <c r="BH16" s="225">
        <f t="shared" si="12"/>
        <v>0</v>
      </c>
      <c r="BI16" s="214">
        <f t="shared" si="13"/>
        <v>0</v>
      </c>
      <c r="BJ16" s="215">
        <f t="shared" si="14"/>
        <v>0</v>
      </c>
      <c r="BK16" s="215">
        <f t="shared" si="15"/>
        <v>0</v>
      </c>
      <c r="BL16" s="216">
        <f t="shared" si="16"/>
        <v>0</v>
      </c>
      <c r="BM16" s="225">
        <f t="shared" si="17"/>
        <v>0</v>
      </c>
      <c r="BN16" s="225"/>
      <c r="BO16" s="234"/>
      <c r="BP16" s="218">
        <f t="shared" si="18"/>
        <v>0</v>
      </c>
    </row>
    <row r="17" spans="1:68">
      <c r="A17" s="172">
        <v>10</v>
      </c>
      <c r="B17" s="172" t="s">
        <v>151</v>
      </c>
      <c r="C17" s="202">
        <v>150</v>
      </c>
      <c r="D17" s="172" t="s">
        <v>152</v>
      </c>
      <c r="E17" s="172" t="s">
        <v>155</v>
      </c>
      <c r="F17" s="202">
        <f>VLOOKUP(PrévisionBoris[[#This Row],[Spec]],TabModelSpecs[[ModelSpec]:[Price]],2,FALSE)</f>
        <v>100</v>
      </c>
      <c r="G17" s="172" t="s">
        <v>461</v>
      </c>
      <c r="H17" s="206">
        <f>SUMIFS(LstMachines[Nbre],LstMachines[Model-Spec],PrévisionBoris[[#This Row],[Spec]],LstMachines[Status],PrévisionBoris[[#This Row],[Status]],LstMachines[MoisLivr],H$1)</f>
        <v>0</v>
      </c>
      <c r="I17" s="207">
        <f>SUMIFS(LstMachines[Nbre],LstMachines[Model-Spec],PrévisionBoris[[#This Row],[Spec]],LstMachines[Status],PrévisionBoris[[#This Row],[Status]],LstMachines[MoisLivr],I$1)</f>
        <v>0</v>
      </c>
      <c r="J17" s="208">
        <f>SUMIFS(LstMachines[Nbre],LstMachines[Model-Spec],PrévisionBoris[[#This Row],[Spec]],LstMachines[Status],PrévisionBoris[[#This Row],[Status]],LstMachines[MoisLivr],J$1)</f>
        <v>0</v>
      </c>
      <c r="K17" s="206">
        <f>SUMIFS(LstMachines[Nbre],LstMachines[Model-Spec],PrévisionBoris[[#This Row],[Spec]],LstMachines[Status],PrévisionBoris[[#This Row],[Status]],LstMachines[MoisLivr],K$1)</f>
        <v>0</v>
      </c>
      <c r="L17" s="207">
        <f>SUMIFS(LstMachines[Nbre],LstMachines[Model-Spec],PrévisionBoris[[#This Row],[Spec]],LstMachines[Status],PrévisionBoris[[#This Row],[Status]],LstMachines[MoisLivr],L$1)</f>
        <v>0</v>
      </c>
      <c r="M17" s="208">
        <f>SUMIFS(LstMachines[Nbre],LstMachines[Model-Spec],PrévisionBoris[[#This Row],[Spec]],LstMachines[Status],PrévisionBoris[[#This Row],[Status]],LstMachines[MoisLivr],M$1)</f>
        <v>0</v>
      </c>
      <c r="N17" s="206">
        <f>SUMIFS(LstMachines[Nbre],LstMachines[Model-Spec],PrévisionBoris[[#This Row],[Spec]],LstMachines[Status],PrévisionBoris[[#This Row],[Status]],LstMachines[MoisLivr],N$1)</f>
        <v>0</v>
      </c>
      <c r="O17" s="207">
        <f>SUMIFS(LstMachines[Nbre],LstMachines[Model-Spec],PrévisionBoris[[#This Row],[Spec]],LstMachines[Status],PrévisionBoris[[#This Row],[Status]],LstMachines[MoisLivr],O$1)</f>
        <v>0</v>
      </c>
      <c r="P17" s="208">
        <f>SUMIFS(LstMachines[Nbre],LstMachines[Model-Spec],PrévisionBoris[[#This Row],[Spec]],LstMachines[Status],PrévisionBoris[[#This Row],[Status]],LstMachines[MoisLivr],P$1)</f>
        <v>0</v>
      </c>
      <c r="Q17" s="209">
        <f>SUMIFS(LstMachines[Nbre],LstMachines[Model-Spec],PrévisionBoris[[#This Row],[Spec]],LstMachines[Status],PrévisionBoris[[#This Row],[Status]],LstMachines[MoisLivr],Q$1)</f>
        <v>0</v>
      </c>
      <c r="R17" s="207">
        <f>SUMIFS(LstMachines[Nbre],LstMachines[Model-Spec],PrévisionBoris[[#This Row],[Spec]],LstMachines[Status],PrévisionBoris[[#This Row],[Status]],LstMachines[MoisLivr],R$1)</f>
        <v>0</v>
      </c>
      <c r="S17" s="207">
        <f>SUMIFS(LstMachines[Nbre],LstMachines[Model-Spec],PrévisionBoris[[#This Row],[Spec]],LstMachines[Status],PrévisionBoris[[#This Row],[Status]],LstMachines[MoisLivr],S$1)</f>
        <v>0</v>
      </c>
      <c r="T17" s="206">
        <f>SUMIFS(LstMachines[Nbre],LstMachines[Model-Spec],PrévisionBoris[[#This Row],[Spec]],LstMachines[Status],PrévisionBoris[[#This Row],[Status]],LstMachines[MoisLivr],T$1)</f>
        <v>0</v>
      </c>
      <c r="U17" s="207">
        <f>SUMIFS(LstMachines[Nbre],LstMachines[Model-Spec],PrévisionBoris[[#This Row],[Spec]],LstMachines[Status],PrévisionBoris[[#This Row],[Status]],LstMachines[MoisLivr],U$1)</f>
        <v>0</v>
      </c>
      <c r="V17" s="207">
        <f>SUMIFS(LstMachines[Nbre],LstMachines[Model-Spec],PrévisionBoris[[#This Row],[Spec]],LstMachines[Status],PrévisionBoris[[#This Row],[Status]],LstMachines[MoisLivr],V$1)</f>
        <v>0</v>
      </c>
      <c r="W17" s="206">
        <f>SUMIFS(LstMachines[Nbre],LstMachines[Model-Spec],PrévisionBoris[[#This Row],[Spec]],LstMachines[Status],PrévisionBoris[[#This Row],[Status]],LstMachines[MoisLivr],W$1)</f>
        <v>0</v>
      </c>
      <c r="X17" s="207">
        <f>SUMIFS(LstMachines[Nbre],LstMachines[Model-Spec],PrévisionBoris[[#This Row],[Spec]],LstMachines[Status],PrévisionBoris[[#This Row],[Status]],LstMachines[MoisLivr],X$1)</f>
        <v>0</v>
      </c>
      <c r="Y17" s="207">
        <f>SUMIFS(LstMachines[Nbre],LstMachines[Model-Spec],PrévisionBoris[[#This Row],[Spec]],LstMachines[Status],PrévisionBoris[[#This Row],[Status]],LstMachines[MoisLivr],Y$1)</f>
        <v>0</v>
      </c>
      <c r="Z17" s="206">
        <f>SUMIFS(LstMachines[Nbre],LstMachines[Model-Spec],PrévisionBoris[[#This Row],[Spec]],LstMachines[Status],PrévisionBoris[[#This Row],[Status]],LstMachines[MoisLivr],Z$1)</f>
        <v>0</v>
      </c>
      <c r="AA17" s="207">
        <f>SUMIFS(LstMachines[Nbre],LstMachines[Model-Spec],PrévisionBoris[[#This Row],[Spec]],LstMachines[Status],PrévisionBoris[[#This Row],[Status]],LstMachines[MoisLivr],AA$1)</f>
        <v>0</v>
      </c>
      <c r="AB17" s="207">
        <f>SUMIFS(LstMachines[Nbre],LstMachines[Model-Spec],PrévisionBoris[[#This Row],[Spec]],LstMachines[Status],PrévisionBoris[[#This Row],[Status]],LstMachines[MoisLivr],AB$1)</f>
        <v>0</v>
      </c>
      <c r="AC17" s="206">
        <f>SUMIFS(LstMachines[Nbre],LstMachines[Model-Spec],PrévisionBoris[[#This Row],[Spec]],LstMachines[Status],PrévisionBoris[[#This Row],[Status]],LstMachines[MoisLivr],AC$1)</f>
        <v>0</v>
      </c>
      <c r="AD17" s="207">
        <f>SUMIFS(LstMachines[Nbre],LstMachines[Model-Spec],PrévisionBoris[[#This Row],[Spec]],LstMachines[Status],PrévisionBoris[[#This Row],[Status]],LstMachines[MoisLivr],AD$1)</f>
        <v>0</v>
      </c>
      <c r="AE17" s="207">
        <f>SUMIFS(LstMachines[Nbre],LstMachines[Model-Spec],PrévisionBoris[[#This Row],[Spec]],LstMachines[Status],PrévisionBoris[[#This Row],[Status]],LstMachines[MoisLivr],AE$1)</f>
        <v>0</v>
      </c>
      <c r="AF17" s="206">
        <f>SUMIFS(LstMachines[Nbre],LstMachines[Model-Spec],PrévisionBoris[[#This Row],[Spec]],LstMachines[Status],PrévisionBoris[[#This Row],[Status]],LstMachines[MoisLivr],AF$1)</f>
        <v>0</v>
      </c>
      <c r="AG17" s="207">
        <f>SUMIFS(LstMachines[Nbre],LstMachines[Model-Spec],PrévisionBoris[[#This Row],[Spec]],LstMachines[Status],PrévisionBoris[[#This Row],[Status]],LstMachines[MoisLivr],AG$1)</f>
        <v>0</v>
      </c>
      <c r="AH17" s="207">
        <f>SUMIFS(LstMachines[Nbre],LstMachines[Model-Spec],PrévisionBoris[[#This Row],[Spec]],LstMachines[Status],PrévisionBoris[[#This Row],[Status]],LstMachines[MoisLivr],AH$1)</f>
        <v>0</v>
      </c>
      <c r="AI17" s="206">
        <f>SUMIFS(LstMachines[Nbre],LstMachines[Model-Spec],PrévisionBoris[[#This Row],[Spec]],LstMachines[Status],PrévisionBoris[[#This Row],[Status]],LstMachines[MoisLivr],AI$1)</f>
        <v>0</v>
      </c>
      <c r="AJ17" s="207">
        <f>SUMIFS(LstMachines[Nbre],LstMachines[Model-Spec],PrévisionBoris[[#This Row],[Spec]],LstMachines[Status],PrévisionBoris[[#This Row],[Status]],LstMachines[MoisLivr],AJ$1)</f>
        <v>0</v>
      </c>
      <c r="AK17" s="207">
        <f>SUMIFS(LstMachines[Nbre],LstMachines[Model-Spec],PrévisionBoris[[#This Row],[Spec]],LstMachines[Status],PrévisionBoris[[#This Row],[Status]],LstMachines[MoisLivr],AK$1)</f>
        <v>0</v>
      </c>
      <c r="AL17" s="206">
        <f>SUMIFS(LstMachines[Nbre],LstMachines[Model-Spec],PrévisionBoris[[#This Row],[Spec]],LstMachines[Status],PrévisionBoris[[#This Row],[Status]],LstMachines[MoisLivr],AL$1)</f>
        <v>0</v>
      </c>
      <c r="AM17" s="207">
        <f>SUMIFS(LstMachines[Nbre],LstMachines[Model-Spec],PrévisionBoris[[#This Row],[Spec]],LstMachines[Status],PrévisionBoris[[#This Row],[Status]],LstMachines[MoisLivr],AM$1)</f>
        <v>0</v>
      </c>
      <c r="AN17" s="207">
        <f>SUMIFS(LstMachines[Nbre],LstMachines[Model-Spec],PrévisionBoris[[#This Row],[Spec]],LstMachines[Status],PrévisionBoris[[#This Row],[Status]],LstMachines[MoisLivr],AN$1)</f>
        <v>0</v>
      </c>
      <c r="AO17" s="206">
        <f>SUMIFS(LstMachines[Nbre],LstMachines[Model-Spec],PrévisionBoris[[#This Row],[Spec]],LstMachines[Status],PrévisionBoris[[#This Row],[Status]],LstMachines[MoisLivr],AO$1)</f>
        <v>0</v>
      </c>
      <c r="AP17" s="207">
        <f>SUMIFS(LstMachines[Nbre],LstMachines[Model-Spec],PrévisionBoris[[#This Row],[Spec]],LstMachines[Status],PrévisionBoris[[#This Row],[Status]],LstMachines[MoisLivr],AP$1)</f>
        <v>0</v>
      </c>
      <c r="AQ17" s="207">
        <f>SUMIFS(LstMachines[Nbre],LstMachines[Model-Spec],PrévisionBoris[[#This Row],[Spec]],LstMachines[Status],PrévisionBoris[[#This Row],[Status]],LstMachines[MoisLivr],AQ$1)</f>
        <v>0</v>
      </c>
      <c r="AR17" s="206">
        <f>SUMIFS(LstMachines[Nbre],LstMachines[Model-Spec],PrévisionBoris[[#This Row],[Spec]],LstMachines[Status],PrévisionBoris[[#This Row],[Status]],LstMachines[MoisLivr],AR$1)</f>
        <v>0</v>
      </c>
      <c r="AS17" s="207">
        <f>SUMIFS(LstMachines[Nbre],LstMachines[Model-Spec],PrévisionBoris[[#This Row],[Spec]],LstMachines[Status],PrévisionBoris[[#This Row],[Status]],LstMachines[MoisLivr],AS$1)</f>
        <v>0</v>
      </c>
      <c r="AT17" s="207">
        <f>SUMIFS(LstMachines[Nbre],LstMachines[Model-Spec],PrévisionBoris[[#This Row],[Spec]],LstMachines[Status],PrévisionBoris[[#This Row],[Status]],LstMachines[MoisLivr],AT$1)</f>
        <v>0</v>
      </c>
      <c r="AU17" s="206">
        <f>SUMIFS(LstMachines[Nbre],LstMachines[Model-Spec],PrévisionBoris[[#This Row],[Spec]],LstMachines[Status],PrévisionBoris[[#This Row],[Status]],LstMachines[MoisLivr],AU$1)</f>
        <v>0</v>
      </c>
      <c r="AV17" s="233">
        <f>SUMIFS(LstMachines[Nbre],LstMachines[Model-Spec],PrévisionBoris[[#This Row],[Spec]],LstMachines[Status],PrévisionBoris[[#This Row],[Status]],LstMachines[MoisLivr],AV$1)</f>
        <v>0</v>
      </c>
      <c r="AW17" s="208">
        <f>SUMIFS(LstMachines[Nbre],LstMachines[Model-Spec],PrévisionBoris[[#This Row],[Spec]],LstMachines[Status],PrévisionBoris[[#This Row],[Status]],LstMachines[MoisLivr],AW$1)</f>
        <v>0</v>
      </c>
      <c r="AX17" s="210"/>
      <c r="AY17" s="211">
        <f t="shared" si="3"/>
        <v>0</v>
      </c>
      <c r="AZ17" s="212">
        <f t="shared" si="4"/>
        <v>0</v>
      </c>
      <c r="BA17" s="212">
        <f t="shared" si="5"/>
        <v>0</v>
      </c>
      <c r="BB17" s="213">
        <f t="shared" si="6"/>
        <v>0</v>
      </c>
      <c r="BC17" s="225">
        <f t="shared" si="7"/>
        <v>0</v>
      </c>
      <c r="BD17" s="211">
        <f t="shared" si="8"/>
        <v>0</v>
      </c>
      <c r="BE17" s="212">
        <f t="shared" si="9"/>
        <v>0</v>
      </c>
      <c r="BF17" s="212">
        <f t="shared" si="10"/>
        <v>0</v>
      </c>
      <c r="BG17" s="213">
        <f t="shared" si="11"/>
        <v>0</v>
      </c>
      <c r="BH17" s="225">
        <f t="shared" si="12"/>
        <v>0</v>
      </c>
      <c r="BI17" s="214">
        <f t="shared" si="13"/>
        <v>0</v>
      </c>
      <c r="BJ17" s="215">
        <f t="shared" si="14"/>
        <v>0</v>
      </c>
      <c r="BK17" s="215">
        <f t="shared" si="15"/>
        <v>0</v>
      </c>
      <c r="BL17" s="216">
        <f t="shared" si="16"/>
        <v>0</v>
      </c>
      <c r="BM17" s="225">
        <f t="shared" si="17"/>
        <v>0</v>
      </c>
      <c r="BN17" s="225"/>
      <c r="BO17" s="217"/>
      <c r="BP17" s="218">
        <f t="shared" si="18"/>
        <v>0</v>
      </c>
    </row>
    <row r="18" spans="1:68">
      <c r="A18" s="170">
        <v>11</v>
      </c>
      <c r="B18" s="170" t="s">
        <v>151</v>
      </c>
      <c r="C18" s="200">
        <v>150</v>
      </c>
      <c r="D18" s="170" t="s">
        <v>152</v>
      </c>
      <c r="E18" s="170" t="s">
        <v>155</v>
      </c>
      <c r="F18" s="200">
        <f>VLOOKUP(PrévisionBoris[[#This Row],[Spec]],TabModelSpecs[[ModelSpec]:[Price]],2,FALSE)</f>
        <v>100</v>
      </c>
      <c r="G18" s="170" t="s">
        <v>462</v>
      </c>
      <c r="H18" s="219">
        <f>SUMIFS(LstMachines[Nbre],LstMachines[Model-Spec],PrévisionBoris[[#This Row],[Spec]],LstMachines[Status],PrévisionBoris[[#This Row],[Status]],LstMachines[MoisLivr],H$1)</f>
        <v>0</v>
      </c>
      <c r="I18" s="220">
        <f>SUMIFS(LstMachines[Nbre],LstMachines[Model-Spec],PrévisionBoris[[#This Row],[Spec]],LstMachines[Status],PrévisionBoris[[#This Row],[Status]],LstMachines[MoisLivr],I$1)</f>
        <v>0</v>
      </c>
      <c r="J18" s="221">
        <f>SUMIFS(LstMachines[Nbre],LstMachines[Model-Spec],PrévisionBoris[[#This Row],[Spec]],LstMachines[Status],PrévisionBoris[[#This Row],[Status]],LstMachines[MoisLivr],J$1)</f>
        <v>0</v>
      </c>
      <c r="K18" s="219">
        <f>SUMIFS(LstMachines[Nbre],LstMachines[Model-Spec],PrévisionBoris[[#This Row],[Spec]],LstMachines[Status],PrévisionBoris[[#This Row],[Status]],LstMachines[MoisLivr],K$1)</f>
        <v>0</v>
      </c>
      <c r="L18" s="220">
        <f>SUMIFS(LstMachines[Nbre],LstMachines[Model-Spec],PrévisionBoris[[#This Row],[Spec]],LstMachines[Status],PrévisionBoris[[#This Row],[Status]],LstMachines[MoisLivr],L$1)</f>
        <v>0</v>
      </c>
      <c r="M18" s="221">
        <f>SUMIFS(LstMachines[Nbre],LstMachines[Model-Spec],PrévisionBoris[[#This Row],[Spec]],LstMachines[Status],PrévisionBoris[[#This Row],[Status]],LstMachines[MoisLivr],M$1)</f>
        <v>0</v>
      </c>
      <c r="N18" s="219">
        <f>SUMIFS(LstMachines[Nbre],LstMachines[Model-Spec],PrévisionBoris[[#This Row],[Spec]],LstMachines[Status],PrévisionBoris[[#This Row],[Status]],LstMachines[MoisLivr],N$1)</f>
        <v>0</v>
      </c>
      <c r="O18" s="220">
        <f>SUMIFS(LstMachines[Nbre],LstMachines[Model-Spec],PrévisionBoris[[#This Row],[Spec]],LstMachines[Status],PrévisionBoris[[#This Row],[Status]],LstMachines[MoisLivr],O$1)</f>
        <v>0</v>
      </c>
      <c r="P18" s="221">
        <f>SUMIFS(LstMachines[Nbre],LstMachines[Model-Spec],PrévisionBoris[[#This Row],[Spec]],LstMachines[Status],PrévisionBoris[[#This Row],[Status]],LstMachines[MoisLivr],P$1)</f>
        <v>0</v>
      </c>
      <c r="Q18" s="222">
        <f>SUMIFS(LstMachines[Nbre],LstMachines[Model-Spec],PrévisionBoris[[#This Row],[Spec]],LstMachines[Status],PrévisionBoris[[#This Row],[Status]],LstMachines[MoisLivr],Q$1)</f>
        <v>0</v>
      </c>
      <c r="R18" s="220">
        <f>SUMIFS(LstMachines[Nbre],LstMachines[Model-Spec],PrévisionBoris[[#This Row],[Spec]],LstMachines[Status],PrévisionBoris[[#This Row],[Status]],LstMachines[MoisLivr],R$1)</f>
        <v>0</v>
      </c>
      <c r="S18" s="220">
        <f>SUMIFS(LstMachines[Nbre],LstMachines[Model-Spec],PrévisionBoris[[#This Row],[Spec]],LstMachines[Status],PrévisionBoris[[#This Row],[Status]],LstMachines[MoisLivr],S$1)</f>
        <v>0</v>
      </c>
      <c r="T18" s="219">
        <f>SUMIFS(LstMachines[Nbre],LstMachines[Model-Spec],PrévisionBoris[[#This Row],[Spec]],LstMachines[Status],PrévisionBoris[[#This Row],[Status]],LstMachines[MoisLivr],T$1)</f>
        <v>0</v>
      </c>
      <c r="U18" s="220">
        <f>SUMIFS(LstMachines[Nbre],LstMachines[Model-Spec],PrévisionBoris[[#This Row],[Spec]],LstMachines[Status],PrévisionBoris[[#This Row],[Status]],LstMachines[MoisLivr],U$1)</f>
        <v>0</v>
      </c>
      <c r="V18" s="220">
        <f>SUMIFS(LstMachines[Nbre],LstMachines[Model-Spec],PrévisionBoris[[#This Row],[Spec]],LstMachines[Status],PrévisionBoris[[#This Row],[Status]],LstMachines[MoisLivr],V$1)</f>
        <v>0</v>
      </c>
      <c r="W18" s="219">
        <f>SUMIFS(LstMachines[Nbre],LstMachines[Model-Spec],PrévisionBoris[[#This Row],[Spec]],LstMachines[Status],PrévisionBoris[[#This Row],[Status]],LstMachines[MoisLivr],W$1)</f>
        <v>0</v>
      </c>
      <c r="X18" s="220">
        <f>SUMIFS(LstMachines[Nbre],LstMachines[Model-Spec],PrévisionBoris[[#This Row],[Spec]],LstMachines[Status],PrévisionBoris[[#This Row],[Status]],LstMachines[MoisLivr],X$1)</f>
        <v>0</v>
      </c>
      <c r="Y18" s="220">
        <f>SUMIFS(LstMachines[Nbre],LstMachines[Model-Spec],PrévisionBoris[[#This Row],[Spec]],LstMachines[Status],PrévisionBoris[[#This Row],[Status]],LstMachines[MoisLivr],Y$1)</f>
        <v>0</v>
      </c>
      <c r="Z18" s="219">
        <f>SUMIFS(LstMachines[Nbre],LstMachines[Model-Spec],PrévisionBoris[[#This Row],[Spec]],LstMachines[Status],PrévisionBoris[[#This Row],[Status]],LstMachines[MoisLivr],Z$1)</f>
        <v>0</v>
      </c>
      <c r="AA18" s="220">
        <f>SUMIFS(LstMachines[Nbre],LstMachines[Model-Spec],PrévisionBoris[[#This Row],[Spec]],LstMachines[Status],PrévisionBoris[[#This Row],[Status]],LstMachines[MoisLivr],AA$1)</f>
        <v>0</v>
      </c>
      <c r="AB18" s="220">
        <f>SUMIFS(LstMachines[Nbre],LstMachines[Model-Spec],PrévisionBoris[[#This Row],[Spec]],LstMachines[Status],PrévisionBoris[[#This Row],[Status]],LstMachines[MoisLivr],AB$1)</f>
        <v>0</v>
      </c>
      <c r="AC18" s="219">
        <f>SUMIFS(LstMachines[Nbre],LstMachines[Model-Spec],PrévisionBoris[[#This Row],[Spec]],LstMachines[Status],PrévisionBoris[[#This Row],[Status]],LstMachines[MoisLivr],AC$1)</f>
        <v>0</v>
      </c>
      <c r="AD18" s="220">
        <f>SUMIFS(LstMachines[Nbre],LstMachines[Model-Spec],PrévisionBoris[[#This Row],[Spec]],LstMachines[Status],PrévisionBoris[[#This Row],[Status]],LstMachines[MoisLivr],AD$1)</f>
        <v>0</v>
      </c>
      <c r="AE18" s="220">
        <f>SUMIFS(LstMachines[Nbre],LstMachines[Model-Spec],PrévisionBoris[[#This Row],[Spec]],LstMachines[Status],PrévisionBoris[[#This Row],[Status]],LstMachines[MoisLivr],AE$1)</f>
        <v>0</v>
      </c>
      <c r="AF18" s="219">
        <f>SUMIFS(LstMachines[Nbre],LstMachines[Model-Spec],PrévisionBoris[[#This Row],[Spec]],LstMachines[Status],PrévisionBoris[[#This Row],[Status]],LstMachines[MoisLivr],AF$1)</f>
        <v>0</v>
      </c>
      <c r="AG18" s="220">
        <f>SUMIFS(LstMachines[Nbre],LstMachines[Model-Spec],PrévisionBoris[[#This Row],[Spec]],LstMachines[Status],PrévisionBoris[[#This Row],[Status]],LstMachines[MoisLivr],AG$1)</f>
        <v>0</v>
      </c>
      <c r="AH18" s="220">
        <f>SUMIFS(LstMachines[Nbre],LstMachines[Model-Spec],PrévisionBoris[[#This Row],[Spec]],LstMachines[Status],PrévisionBoris[[#This Row],[Status]],LstMachines[MoisLivr],AH$1)</f>
        <v>0</v>
      </c>
      <c r="AI18" s="219">
        <f>SUMIFS(LstMachines[Nbre],LstMachines[Model-Spec],PrévisionBoris[[#This Row],[Spec]],LstMachines[Status],PrévisionBoris[[#This Row],[Status]],LstMachines[MoisLivr],AI$1)</f>
        <v>0</v>
      </c>
      <c r="AJ18" s="220">
        <f>SUMIFS(LstMachines[Nbre],LstMachines[Model-Spec],PrévisionBoris[[#This Row],[Spec]],LstMachines[Status],PrévisionBoris[[#This Row],[Status]],LstMachines[MoisLivr],AJ$1)</f>
        <v>0</v>
      </c>
      <c r="AK18" s="220">
        <f>SUMIFS(LstMachines[Nbre],LstMachines[Model-Spec],PrévisionBoris[[#This Row],[Spec]],LstMachines[Status],PrévisionBoris[[#This Row],[Status]],LstMachines[MoisLivr],AK$1)</f>
        <v>0</v>
      </c>
      <c r="AL18" s="219">
        <f>SUMIFS(LstMachines[Nbre],LstMachines[Model-Spec],PrévisionBoris[[#This Row],[Spec]],LstMachines[Status],PrévisionBoris[[#This Row],[Status]],LstMachines[MoisLivr],AL$1)</f>
        <v>0</v>
      </c>
      <c r="AM18" s="220">
        <f>SUMIFS(LstMachines[Nbre],LstMachines[Model-Spec],PrévisionBoris[[#This Row],[Spec]],LstMachines[Status],PrévisionBoris[[#This Row],[Status]],LstMachines[MoisLivr],AM$1)</f>
        <v>0</v>
      </c>
      <c r="AN18" s="220">
        <f>SUMIFS(LstMachines[Nbre],LstMachines[Model-Spec],PrévisionBoris[[#This Row],[Spec]],LstMachines[Status],PrévisionBoris[[#This Row],[Status]],LstMachines[MoisLivr],AN$1)</f>
        <v>0</v>
      </c>
      <c r="AO18" s="219">
        <f>SUMIFS(LstMachines[Nbre],LstMachines[Model-Spec],PrévisionBoris[[#This Row],[Spec]],LstMachines[Status],PrévisionBoris[[#This Row],[Status]],LstMachines[MoisLivr],AO$1)</f>
        <v>0</v>
      </c>
      <c r="AP18" s="220">
        <f>SUMIFS(LstMachines[Nbre],LstMachines[Model-Spec],PrévisionBoris[[#This Row],[Spec]],LstMachines[Status],PrévisionBoris[[#This Row],[Status]],LstMachines[MoisLivr],AP$1)</f>
        <v>0</v>
      </c>
      <c r="AQ18" s="220">
        <f>SUMIFS(LstMachines[Nbre],LstMachines[Model-Spec],PrévisionBoris[[#This Row],[Spec]],LstMachines[Status],PrévisionBoris[[#This Row],[Status]],LstMachines[MoisLivr],AQ$1)</f>
        <v>0</v>
      </c>
      <c r="AR18" s="219">
        <f>SUMIFS(LstMachines[Nbre],LstMachines[Model-Spec],PrévisionBoris[[#This Row],[Spec]],LstMachines[Status],PrévisionBoris[[#This Row],[Status]],LstMachines[MoisLivr],AR$1)</f>
        <v>0</v>
      </c>
      <c r="AS18" s="220">
        <f>SUMIFS(LstMachines[Nbre],LstMachines[Model-Spec],PrévisionBoris[[#This Row],[Spec]],LstMachines[Status],PrévisionBoris[[#This Row],[Status]],LstMachines[MoisLivr],AS$1)</f>
        <v>0</v>
      </c>
      <c r="AT18" s="220">
        <f>SUMIFS(LstMachines[Nbre],LstMachines[Model-Spec],PrévisionBoris[[#This Row],[Spec]],LstMachines[Status],PrévisionBoris[[#This Row],[Status]],LstMachines[MoisLivr],AT$1)</f>
        <v>0</v>
      </c>
      <c r="AU18" s="219">
        <f>SUMIFS(LstMachines[Nbre],LstMachines[Model-Spec],PrévisionBoris[[#This Row],[Spec]],LstMachines[Status],PrévisionBoris[[#This Row],[Status]],LstMachines[MoisLivr],AU$1)</f>
        <v>0</v>
      </c>
      <c r="AV18" s="223">
        <f>SUMIFS(LstMachines[Nbre],LstMachines[Model-Spec],PrévisionBoris[[#This Row],[Spec]],LstMachines[Status],PrévisionBoris[[#This Row],[Status]],LstMachines[MoisLivr],AV$1)</f>
        <v>0</v>
      </c>
      <c r="AW18" s="224">
        <f>SUMIFS(LstMachines[Nbre],LstMachines[Model-Spec],PrévisionBoris[[#This Row],[Spec]],LstMachines[Status],PrévisionBoris[[#This Row],[Status]],LstMachines[MoisLivr],AW$1)</f>
        <v>0</v>
      </c>
      <c r="AX18" s="210"/>
      <c r="AY18" s="211">
        <f t="shared" si="3"/>
        <v>0</v>
      </c>
      <c r="AZ18" s="212">
        <f t="shared" si="4"/>
        <v>0</v>
      </c>
      <c r="BA18" s="212">
        <f t="shared" si="5"/>
        <v>0</v>
      </c>
      <c r="BB18" s="213">
        <f t="shared" si="6"/>
        <v>0</v>
      </c>
      <c r="BC18" s="225">
        <f t="shared" si="7"/>
        <v>0</v>
      </c>
      <c r="BD18" s="211">
        <f t="shared" si="8"/>
        <v>0</v>
      </c>
      <c r="BE18" s="212">
        <f t="shared" si="9"/>
        <v>0</v>
      </c>
      <c r="BF18" s="212">
        <f t="shared" si="10"/>
        <v>0</v>
      </c>
      <c r="BG18" s="213">
        <f t="shared" si="11"/>
        <v>0</v>
      </c>
      <c r="BH18" s="225">
        <f t="shared" si="12"/>
        <v>0</v>
      </c>
      <c r="BI18" s="214">
        <f t="shared" si="13"/>
        <v>0</v>
      </c>
      <c r="BJ18" s="215">
        <f t="shared" si="14"/>
        <v>0</v>
      </c>
      <c r="BK18" s="215">
        <f t="shared" si="15"/>
        <v>0</v>
      </c>
      <c r="BL18" s="216">
        <f t="shared" si="16"/>
        <v>0</v>
      </c>
      <c r="BM18" s="225">
        <f t="shared" si="17"/>
        <v>0</v>
      </c>
      <c r="BN18" s="225"/>
      <c r="BO18" s="217"/>
      <c r="BP18" s="218">
        <f t="shared" si="18"/>
        <v>0</v>
      </c>
    </row>
    <row r="19" spans="1:68">
      <c r="A19" s="171">
        <v>12</v>
      </c>
      <c r="B19" s="171" t="s">
        <v>151</v>
      </c>
      <c r="C19" s="201">
        <v>150</v>
      </c>
      <c r="D19" s="171" t="s">
        <v>152</v>
      </c>
      <c r="E19" s="171" t="s">
        <v>155</v>
      </c>
      <c r="F19" s="201">
        <f>VLOOKUP(PrévisionBoris[[#This Row],[Spec]],TabModelSpecs[[ModelSpec]:[Price]],2,FALSE)</f>
        <v>100</v>
      </c>
      <c r="G19" s="171" t="s">
        <v>463</v>
      </c>
      <c r="H19" s="226">
        <f>SUMIFS(LstMachines[Nbre],LstMachines[Model-Spec],PrévisionBoris[[#This Row],[Spec]],LstMachines[Status],PrévisionBoris[[#This Row],[Status]],LstMachines[MoisLivr],H$1)</f>
        <v>0</v>
      </c>
      <c r="I19" s="227">
        <f>SUMIFS(LstMachines[Nbre],LstMachines[Model-Spec],PrévisionBoris[[#This Row],[Spec]],LstMachines[Status],PrévisionBoris[[#This Row],[Status]],LstMachines[MoisLivr],I$1)</f>
        <v>0</v>
      </c>
      <c r="J19" s="228">
        <f>SUMIFS(LstMachines[Nbre],LstMachines[Model-Spec],PrévisionBoris[[#This Row],[Spec]],LstMachines[Status],PrévisionBoris[[#This Row],[Status]],LstMachines[MoisLivr],J$1)</f>
        <v>0</v>
      </c>
      <c r="K19" s="226">
        <f>SUMIFS(LstMachines[Nbre],LstMachines[Model-Spec],PrévisionBoris[[#This Row],[Spec]],LstMachines[Status],PrévisionBoris[[#This Row],[Status]],LstMachines[MoisLivr],K$1)</f>
        <v>0</v>
      </c>
      <c r="L19" s="227">
        <f>SUMIFS(LstMachines[Nbre],LstMachines[Model-Spec],PrévisionBoris[[#This Row],[Spec]],LstMachines[Status],PrévisionBoris[[#This Row],[Status]],LstMachines[MoisLivr],L$1)</f>
        <v>0</v>
      </c>
      <c r="M19" s="228">
        <f>SUMIFS(LstMachines[Nbre],LstMachines[Model-Spec],PrévisionBoris[[#This Row],[Spec]],LstMachines[Status],PrévisionBoris[[#This Row],[Status]],LstMachines[MoisLivr],M$1)</f>
        <v>0</v>
      </c>
      <c r="N19" s="226">
        <f>SUMIFS(LstMachines[Nbre],LstMachines[Model-Spec],PrévisionBoris[[#This Row],[Spec]],LstMachines[Status],PrévisionBoris[[#This Row],[Status]],LstMachines[MoisLivr],N$1)</f>
        <v>0</v>
      </c>
      <c r="O19" s="227">
        <f>SUMIFS(LstMachines[Nbre],LstMachines[Model-Spec],PrévisionBoris[[#This Row],[Spec]],LstMachines[Status],PrévisionBoris[[#This Row],[Status]],LstMachines[MoisLivr],O$1)</f>
        <v>0</v>
      </c>
      <c r="P19" s="228">
        <f>SUMIFS(LstMachines[Nbre],LstMachines[Model-Spec],PrévisionBoris[[#This Row],[Spec]],LstMachines[Status],PrévisionBoris[[#This Row],[Status]],LstMachines[MoisLivr],P$1)</f>
        <v>0</v>
      </c>
      <c r="Q19" s="229">
        <f>SUMIFS(LstMachines[Nbre],LstMachines[Model-Spec],PrévisionBoris[[#This Row],[Spec]],LstMachines[Status],PrévisionBoris[[#This Row],[Status]],LstMachines[MoisLivr],Q$1)</f>
        <v>0</v>
      </c>
      <c r="R19" s="227">
        <f>SUMIFS(LstMachines[Nbre],LstMachines[Model-Spec],PrévisionBoris[[#This Row],[Spec]],LstMachines[Status],PrévisionBoris[[#This Row],[Status]],LstMachines[MoisLivr],R$1)</f>
        <v>0</v>
      </c>
      <c r="S19" s="227">
        <f>SUMIFS(LstMachines[Nbre],LstMachines[Model-Spec],PrévisionBoris[[#This Row],[Spec]],LstMachines[Status],PrévisionBoris[[#This Row],[Status]],LstMachines[MoisLivr],S$1)</f>
        <v>0</v>
      </c>
      <c r="T19" s="226">
        <f>SUMIFS(LstMachines[Nbre],LstMachines[Model-Spec],PrévisionBoris[[#This Row],[Spec]],LstMachines[Status],PrévisionBoris[[#This Row],[Status]],LstMachines[MoisLivr],T$1)</f>
        <v>0</v>
      </c>
      <c r="U19" s="227">
        <f>SUMIFS(LstMachines[Nbre],LstMachines[Model-Spec],PrévisionBoris[[#This Row],[Spec]],LstMachines[Status],PrévisionBoris[[#This Row],[Status]],LstMachines[MoisLivr],U$1)</f>
        <v>0</v>
      </c>
      <c r="V19" s="227">
        <f>SUMIFS(LstMachines[Nbre],LstMachines[Model-Spec],PrévisionBoris[[#This Row],[Spec]],LstMachines[Status],PrévisionBoris[[#This Row],[Status]],LstMachines[MoisLivr],V$1)</f>
        <v>0</v>
      </c>
      <c r="W19" s="226">
        <f>SUMIFS(LstMachines[Nbre],LstMachines[Model-Spec],PrévisionBoris[[#This Row],[Spec]],LstMachines[Status],PrévisionBoris[[#This Row],[Status]],LstMachines[MoisLivr],W$1)</f>
        <v>0</v>
      </c>
      <c r="X19" s="227">
        <f>SUMIFS(LstMachines[Nbre],LstMachines[Model-Spec],PrévisionBoris[[#This Row],[Spec]],LstMachines[Status],PrévisionBoris[[#This Row],[Status]],LstMachines[MoisLivr],X$1)</f>
        <v>0</v>
      </c>
      <c r="Y19" s="227">
        <f>SUMIFS(LstMachines[Nbre],LstMachines[Model-Spec],PrévisionBoris[[#This Row],[Spec]],LstMachines[Status],PrévisionBoris[[#This Row],[Status]],LstMachines[MoisLivr],Y$1)</f>
        <v>0</v>
      </c>
      <c r="Z19" s="226">
        <f>SUMIFS(LstMachines[Nbre],LstMachines[Model-Spec],PrévisionBoris[[#This Row],[Spec]],LstMachines[Status],PrévisionBoris[[#This Row],[Status]],LstMachines[MoisLivr],Z$1)</f>
        <v>0</v>
      </c>
      <c r="AA19" s="227">
        <f>SUMIFS(LstMachines[Nbre],LstMachines[Model-Spec],PrévisionBoris[[#This Row],[Spec]],LstMachines[Status],PrévisionBoris[[#This Row],[Status]],LstMachines[MoisLivr],AA$1)</f>
        <v>0</v>
      </c>
      <c r="AB19" s="227">
        <f>SUMIFS(LstMachines[Nbre],LstMachines[Model-Spec],PrévisionBoris[[#This Row],[Spec]],LstMachines[Status],PrévisionBoris[[#This Row],[Status]],LstMachines[MoisLivr],AB$1)</f>
        <v>0</v>
      </c>
      <c r="AC19" s="226">
        <f>SUMIFS(LstMachines[Nbre],LstMachines[Model-Spec],PrévisionBoris[[#This Row],[Spec]],LstMachines[Status],PrévisionBoris[[#This Row],[Status]],LstMachines[MoisLivr],AC$1)</f>
        <v>0</v>
      </c>
      <c r="AD19" s="227">
        <f>SUMIFS(LstMachines[Nbre],LstMachines[Model-Spec],PrévisionBoris[[#This Row],[Spec]],LstMachines[Status],PrévisionBoris[[#This Row],[Status]],LstMachines[MoisLivr],AD$1)</f>
        <v>0</v>
      </c>
      <c r="AE19" s="227">
        <f>SUMIFS(LstMachines[Nbre],LstMachines[Model-Spec],PrévisionBoris[[#This Row],[Spec]],LstMachines[Status],PrévisionBoris[[#This Row],[Status]],LstMachines[MoisLivr],AE$1)</f>
        <v>0</v>
      </c>
      <c r="AF19" s="226">
        <f>SUMIFS(LstMachines[Nbre],LstMachines[Model-Spec],PrévisionBoris[[#This Row],[Spec]],LstMachines[Status],PrévisionBoris[[#This Row],[Status]],LstMachines[MoisLivr],AF$1)</f>
        <v>0</v>
      </c>
      <c r="AG19" s="227">
        <f>SUMIFS(LstMachines[Nbre],LstMachines[Model-Spec],PrévisionBoris[[#This Row],[Spec]],LstMachines[Status],PrévisionBoris[[#This Row],[Status]],LstMachines[MoisLivr],AG$1)</f>
        <v>0</v>
      </c>
      <c r="AH19" s="227">
        <f>SUMIFS(LstMachines[Nbre],LstMachines[Model-Spec],PrévisionBoris[[#This Row],[Spec]],LstMachines[Status],PrévisionBoris[[#This Row],[Status]],LstMachines[MoisLivr],AH$1)</f>
        <v>0</v>
      </c>
      <c r="AI19" s="226">
        <f>SUMIFS(LstMachines[Nbre],LstMachines[Model-Spec],PrévisionBoris[[#This Row],[Spec]],LstMachines[Status],PrévisionBoris[[#This Row],[Status]],LstMachines[MoisLivr],AI$1)</f>
        <v>0</v>
      </c>
      <c r="AJ19" s="227">
        <f>SUMIFS(LstMachines[Nbre],LstMachines[Model-Spec],PrévisionBoris[[#This Row],[Spec]],LstMachines[Status],PrévisionBoris[[#This Row],[Status]],LstMachines[MoisLivr],AJ$1)</f>
        <v>0</v>
      </c>
      <c r="AK19" s="227">
        <f>SUMIFS(LstMachines[Nbre],LstMachines[Model-Spec],PrévisionBoris[[#This Row],[Spec]],LstMachines[Status],PrévisionBoris[[#This Row],[Status]],LstMachines[MoisLivr],AK$1)</f>
        <v>0</v>
      </c>
      <c r="AL19" s="226">
        <f>SUMIFS(LstMachines[Nbre],LstMachines[Model-Spec],PrévisionBoris[[#This Row],[Spec]],LstMachines[Status],PrévisionBoris[[#This Row],[Status]],LstMachines[MoisLivr],AL$1)</f>
        <v>0</v>
      </c>
      <c r="AM19" s="227">
        <f>SUMIFS(LstMachines[Nbre],LstMachines[Model-Spec],PrévisionBoris[[#This Row],[Spec]],LstMachines[Status],PrévisionBoris[[#This Row],[Status]],LstMachines[MoisLivr],AM$1)</f>
        <v>0</v>
      </c>
      <c r="AN19" s="227">
        <f>SUMIFS(LstMachines[Nbre],LstMachines[Model-Spec],PrévisionBoris[[#This Row],[Spec]],LstMachines[Status],PrévisionBoris[[#This Row],[Status]],LstMachines[MoisLivr],AN$1)</f>
        <v>0</v>
      </c>
      <c r="AO19" s="226">
        <f>SUMIFS(LstMachines[Nbre],LstMachines[Model-Spec],PrévisionBoris[[#This Row],[Spec]],LstMachines[Status],PrévisionBoris[[#This Row],[Status]],LstMachines[MoisLivr],AO$1)</f>
        <v>0</v>
      </c>
      <c r="AP19" s="227">
        <f>SUMIFS(LstMachines[Nbre],LstMachines[Model-Spec],PrévisionBoris[[#This Row],[Spec]],LstMachines[Status],PrévisionBoris[[#This Row],[Status]],LstMachines[MoisLivr],AP$1)</f>
        <v>0</v>
      </c>
      <c r="AQ19" s="227">
        <f>SUMIFS(LstMachines[Nbre],LstMachines[Model-Spec],PrévisionBoris[[#This Row],[Spec]],LstMachines[Status],PrévisionBoris[[#This Row],[Status]],LstMachines[MoisLivr],AQ$1)</f>
        <v>0</v>
      </c>
      <c r="AR19" s="226">
        <f>SUMIFS(LstMachines[Nbre],LstMachines[Model-Spec],PrévisionBoris[[#This Row],[Spec]],LstMachines[Status],PrévisionBoris[[#This Row],[Status]],LstMachines[MoisLivr],AR$1)</f>
        <v>0</v>
      </c>
      <c r="AS19" s="227">
        <f>SUMIFS(LstMachines[Nbre],LstMachines[Model-Spec],PrévisionBoris[[#This Row],[Spec]],LstMachines[Status],PrévisionBoris[[#This Row],[Status]],LstMachines[MoisLivr],AS$1)</f>
        <v>0</v>
      </c>
      <c r="AT19" s="227">
        <f>SUMIFS(LstMachines[Nbre],LstMachines[Model-Spec],PrévisionBoris[[#This Row],[Spec]],LstMachines[Status],PrévisionBoris[[#This Row],[Status]],LstMachines[MoisLivr],AT$1)</f>
        <v>0</v>
      </c>
      <c r="AU19" s="226">
        <f>SUMIFS(LstMachines[Nbre],LstMachines[Model-Spec],PrévisionBoris[[#This Row],[Spec]],LstMachines[Status],PrévisionBoris[[#This Row],[Status]],LstMachines[MoisLivr],AU$1)</f>
        <v>0</v>
      </c>
      <c r="AV19" s="230">
        <f>SUMIFS(LstMachines[Nbre],LstMachines[Model-Spec],PrévisionBoris[[#This Row],[Spec]],LstMachines[Status],PrévisionBoris[[#This Row],[Status]],LstMachines[MoisLivr],AV$1)</f>
        <v>0</v>
      </c>
      <c r="AW19" s="231">
        <f>SUMIFS(LstMachines[Nbre],LstMachines[Model-Spec],PrévisionBoris[[#This Row],[Spec]],LstMachines[Status],PrévisionBoris[[#This Row],[Status]],LstMachines[MoisLivr],AW$1)</f>
        <v>0</v>
      </c>
      <c r="AX19" s="232"/>
      <c r="AY19" s="211">
        <f t="shared" si="3"/>
        <v>0</v>
      </c>
      <c r="AZ19" s="212">
        <f t="shared" si="4"/>
        <v>0</v>
      </c>
      <c r="BA19" s="212">
        <f t="shared" si="5"/>
        <v>0</v>
      </c>
      <c r="BB19" s="213">
        <f t="shared" si="6"/>
        <v>0</v>
      </c>
      <c r="BC19" s="225">
        <f t="shared" si="7"/>
        <v>0</v>
      </c>
      <c r="BD19" s="211">
        <f t="shared" si="8"/>
        <v>0</v>
      </c>
      <c r="BE19" s="212">
        <f t="shared" si="9"/>
        <v>0</v>
      </c>
      <c r="BF19" s="212">
        <f t="shared" si="10"/>
        <v>0</v>
      </c>
      <c r="BG19" s="213">
        <f t="shared" si="11"/>
        <v>0</v>
      </c>
      <c r="BH19" s="225">
        <f t="shared" si="12"/>
        <v>0</v>
      </c>
      <c r="BI19" s="214">
        <f t="shared" si="13"/>
        <v>0</v>
      </c>
      <c r="BJ19" s="215">
        <f t="shared" si="14"/>
        <v>0</v>
      </c>
      <c r="BK19" s="215">
        <f t="shared" si="15"/>
        <v>0</v>
      </c>
      <c r="BL19" s="216">
        <f t="shared" si="16"/>
        <v>0</v>
      </c>
      <c r="BM19" s="225">
        <f t="shared" si="17"/>
        <v>0</v>
      </c>
      <c r="BN19" s="225"/>
      <c r="BO19" s="217"/>
      <c r="BP19" s="218">
        <f t="shared" si="18"/>
        <v>0</v>
      </c>
    </row>
    <row r="20" spans="1:68">
      <c r="A20" s="172">
        <v>13</v>
      </c>
      <c r="B20" s="172" t="s">
        <v>151</v>
      </c>
      <c r="C20" s="202">
        <v>150</v>
      </c>
      <c r="D20" s="172" t="s">
        <v>156</v>
      </c>
      <c r="E20" s="172" t="s">
        <v>157</v>
      </c>
      <c r="F20" s="202">
        <f>VLOOKUP(PrévisionBoris[[#This Row],[Spec]],TabModelSpecs[[ModelSpec]:[Price]],2,FALSE)</f>
        <v>100</v>
      </c>
      <c r="G20" s="172" t="s">
        <v>461</v>
      </c>
      <c r="H20" s="206">
        <f>SUMIFS(LstMachines[Nbre],LstMachines[Model-Spec],PrévisionBoris[[#This Row],[Spec]],LstMachines[Status],PrévisionBoris[[#This Row],[Status]],LstMachines[MoisLivr],H$1)</f>
        <v>0</v>
      </c>
      <c r="I20" s="207">
        <f>SUMIFS(LstMachines[Nbre],LstMachines[Model-Spec],PrévisionBoris[[#This Row],[Spec]],LstMachines[Status],PrévisionBoris[[#This Row],[Status]],LstMachines[MoisLivr],I$1)</f>
        <v>0</v>
      </c>
      <c r="J20" s="208">
        <f>SUMIFS(LstMachines[Nbre],LstMachines[Model-Spec],PrévisionBoris[[#This Row],[Spec]],LstMachines[Status],PrévisionBoris[[#This Row],[Status]],LstMachines[MoisLivr],J$1)</f>
        <v>0</v>
      </c>
      <c r="K20" s="206">
        <f>SUMIFS(LstMachines[Nbre],LstMachines[Model-Spec],PrévisionBoris[[#This Row],[Spec]],LstMachines[Status],PrévisionBoris[[#This Row],[Status]],LstMachines[MoisLivr],K$1)</f>
        <v>0</v>
      </c>
      <c r="L20" s="207">
        <f>SUMIFS(LstMachines[Nbre],LstMachines[Model-Spec],PrévisionBoris[[#This Row],[Spec]],LstMachines[Status],PrévisionBoris[[#This Row],[Status]],LstMachines[MoisLivr],L$1)</f>
        <v>0</v>
      </c>
      <c r="M20" s="208">
        <f>SUMIFS(LstMachines[Nbre],LstMachines[Model-Spec],PrévisionBoris[[#This Row],[Spec]],LstMachines[Status],PrévisionBoris[[#This Row],[Status]],LstMachines[MoisLivr],M$1)</f>
        <v>0</v>
      </c>
      <c r="N20" s="206">
        <f>SUMIFS(LstMachines[Nbre],LstMachines[Model-Spec],PrévisionBoris[[#This Row],[Spec]],LstMachines[Status],PrévisionBoris[[#This Row],[Status]],LstMachines[MoisLivr],N$1)</f>
        <v>0</v>
      </c>
      <c r="O20" s="207">
        <f>SUMIFS(LstMachines[Nbre],LstMachines[Model-Spec],PrévisionBoris[[#This Row],[Spec]],LstMachines[Status],PrévisionBoris[[#This Row],[Status]],LstMachines[MoisLivr],O$1)</f>
        <v>0</v>
      </c>
      <c r="P20" s="208">
        <f>SUMIFS(LstMachines[Nbre],LstMachines[Model-Spec],PrévisionBoris[[#This Row],[Spec]],LstMachines[Status],PrévisionBoris[[#This Row],[Status]],LstMachines[MoisLivr],P$1)</f>
        <v>0</v>
      </c>
      <c r="Q20" s="209">
        <f>SUMIFS(LstMachines[Nbre],LstMachines[Model-Spec],PrévisionBoris[[#This Row],[Spec]],LstMachines[Status],PrévisionBoris[[#This Row],[Status]],LstMachines[MoisLivr],Q$1)</f>
        <v>0</v>
      </c>
      <c r="R20" s="207">
        <f>SUMIFS(LstMachines[Nbre],LstMachines[Model-Spec],PrévisionBoris[[#This Row],[Spec]],LstMachines[Status],PrévisionBoris[[#This Row],[Status]],LstMachines[MoisLivr],R$1)</f>
        <v>0</v>
      </c>
      <c r="S20" s="207">
        <f>SUMIFS(LstMachines[Nbre],LstMachines[Model-Spec],PrévisionBoris[[#This Row],[Spec]],LstMachines[Status],PrévisionBoris[[#This Row],[Status]],LstMachines[MoisLivr],S$1)</f>
        <v>0</v>
      </c>
      <c r="T20" s="206">
        <f>SUMIFS(LstMachines[Nbre],LstMachines[Model-Spec],PrévisionBoris[[#This Row],[Spec]],LstMachines[Status],PrévisionBoris[[#This Row],[Status]],LstMachines[MoisLivr],T$1)</f>
        <v>0</v>
      </c>
      <c r="U20" s="207">
        <f>SUMIFS(LstMachines[Nbre],LstMachines[Model-Spec],PrévisionBoris[[#This Row],[Spec]],LstMachines[Status],PrévisionBoris[[#This Row],[Status]],LstMachines[MoisLivr],U$1)</f>
        <v>0</v>
      </c>
      <c r="V20" s="207">
        <f>SUMIFS(LstMachines[Nbre],LstMachines[Model-Spec],PrévisionBoris[[#This Row],[Spec]],LstMachines[Status],PrévisionBoris[[#This Row],[Status]],LstMachines[MoisLivr],V$1)</f>
        <v>0</v>
      </c>
      <c r="W20" s="206">
        <f>SUMIFS(LstMachines[Nbre],LstMachines[Model-Spec],PrévisionBoris[[#This Row],[Spec]],LstMachines[Status],PrévisionBoris[[#This Row],[Status]],LstMachines[MoisLivr],W$1)</f>
        <v>0</v>
      </c>
      <c r="X20" s="207">
        <f>SUMIFS(LstMachines[Nbre],LstMachines[Model-Spec],PrévisionBoris[[#This Row],[Spec]],LstMachines[Status],PrévisionBoris[[#This Row],[Status]],LstMachines[MoisLivr],X$1)</f>
        <v>0</v>
      </c>
      <c r="Y20" s="207">
        <f>SUMIFS(LstMachines[Nbre],LstMachines[Model-Spec],PrévisionBoris[[#This Row],[Spec]],LstMachines[Status],PrévisionBoris[[#This Row],[Status]],LstMachines[MoisLivr],Y$1)</f>
        <v>0</v>
      </c>
      <c r="Z20" s="206">
        <f>SUMIFS(LstMachines[Nbre],LstMachines[Model-Spec],PrévisionBoris[[#This Row],[Spec]],LstMachines[Status],PrévisionBoris[[#This Row],[Status]],LstMachines[MoisLivr],Z$1)</f>
        <v>0</v>
      </c>
      <c r="AA20" s="207">
        <f>SUMIFS(LstMachines[Nbre],LstMachines[Model-Spec],PrévisionBoris[[#This Row],[Spec]],LstMachines[Status],PrévisionBoris[[#This Row],[Status]],LstMachines[MoisLivr],AA$1)</f>
        <v>0</v>
      </c>
      <c r="AB20" s="207">
        <f>SUMIFS(LstMachines[Nbre],LstMachines[Model-Spec],PrévisionBoris[[#This Row],[Spec]],LstMachines[Status],PrévisionBoris[[#This Row],[Status]],LstMachines[MoisLivr],AB$1)</f>
        <v>0</v>
      </c>
      <c r="AC20" s="206">
        <f>SUMIFS(LstMachines[Nbre],LstMachines[Model-Spec],PrévisionBoris[[#This Row],[Spec]],LstMachines[Status],PrévisionBoris[[#This Row],[Status]],LstMachines[MoisLivr],AC$1)</f>
        <v>0</v>
      </c>
      <c r="AD20" s="207">
        <f>SUMIFS(LstMachines[Nbre],LstMachines[Model-Spec],PrévisionBoris[[#This Row],[Spec]],LstMachines[Status],PrévisionBoris[[#This Row],[Status]],LstMachines[MoisLivr],AD$1)</f>
        <v>0</v>
      </c>
      <c r="AE20" s="207">
        <f>SUMIFS(LstMachines[Nbre],LstMachines[Model-Spec],PrévisionBoris[[#This Row],[Spec]],LstMachines[Status],PrévisionBoris[[#This Row],[Status]],LstMachines[MoisLivr],AE$1)</f>
        <v>0</v>
      </c>
      <c r="AF20" s="206">
        <f>SUMIFS(LstMachines[Nbre],LstMachines[Model-Spec],PrévisionBoris[[#This Row],[Spec]],LstMachines[Status],PrévisionBoris[[#This Row],[Status]],LstMachines[MoisLivr],AF$1)</f>
        <v>0</v>
      </c>
      <c r="AG20" s="207">
        <f>SUMIFS(LstMachines[Nbre],LstMachines[Model-Spec],PrévisionBoris[[#This Row],[Spec]],LstMachines[Status],PrévisionBoris[[#This Row],[Status]],LstMachines[MoisLivr],AG$1)</f>
        <v>0</v>
      </c>
      <c r="AH20" s="207">
        <f>SUMIFS(LstMachines[Nbre],LstMachines[Model-Spec],PrévisionBoris[[#This Row],[Spec]],LstMachines[Status],PrévisionBoris[[#This Row],[Status]],LstMachines[MoisLivr],AH$1)</f>
        <v>0</v>
      </c>
      <c r="AI20" s="206">
        <f>SUMIFS(LstMachines[Nbre],LstMachines[Model-Spec],PrévisionBoris[[#This Row],[Spec]],LstMachines[Status],PrévisionBoris[[#This Row],[Status]],LstMachines[MoisLivr],AI$1)</f>
        <v>0</v>
      </c>
      <c r="AJ20" s="207">
        <f>SUMIFS(LstMachines[Nbre],LstMachines[Model-Spec],PrévisionBoris[[#This Row],[Spec]],LstMachines[Status],PrévisionBoris[[#This Row],[Status]],LstMachines[MoisLivr],AJ$1)</f>
        <v>0</v>
      </c>
      <c r="AK20" s="207">
        <f>SUMIFS(LstMachines[Nbre],LstMachines[Model-Spec],PrévisionBoris[[#This Row],[Spec]],LstMachines[Status],PrévisionBoris[[#This Row],[Status]],LstMachines[MoisLivr],AK$1)</f>
        <v>0</v>
      </c>
      <c r="AL20" s="206">
        <f>SUMIFS(LstMachines[Nbre],LstMachines[Model-Spec],PrévisionBoris[[#This Row],[Spec]],LstMachines[Status],PrévisionBoris[[#This Row],[Status]],LstMachines[MoisLivr],AL$1)</f>
        <v>0</v>
      </c>
      <c r="AM20" s="207">
        <f>SUMIFS(LstMachines[Nbre],LstMachines[Model-Spec],PrévisionBoris[[#This Row],[Spec]],LstMachines[Status],PrévisionBoris[[#This Row],[Status]],LstMachines[MoisLivr],AM$1)</f>
        <v>0</v>
      </c>
      <c r="AN20" s="207">
        <f>SUMIFS(LstMachines[Nbre],LstMachines[Model-Spec],PrévisionBoris[[#This Row],[Spec]],LstMachines[Status],PrévisionBoris[[#This Row],[Status]],LstMachines[MoisLivr],AN$1)</f>
        <v>0</v>
      </c>
      <c r="AO20" s="206">
        <f>SUMIFS(LstMachines[Nbre],LstMachines[Model-Spec],PrévisionBoris[[#This Row],[Spec]],LstMachines[Status],PrévisionBoris[[#This Row],[Status]],LstMachines[MoisLivr],AO$1)</f>
        <v>0</v>
      </c>
      <c r="AP20" s="207">
        <f>SUMIFS(LstMachines[Nbre],LstMachines[Model-Spec],PrévisionBoris[[#This Row],[Spec]],LstMachines[Status],PrévisionBoris[[#This Row],[Status]],LstMachines[MoisLivr],AP$1)</f>
        <v>0</v>
      </c>
      <c r="AQ20" s="207">
        <f>SUMIFS(LstMachines[Nbre],LstMachines[Model-Spec],PrévisionBoris[[#This Row],[Spec]],LstMachines[Status],PrévisionBoris[[#This Row],[Status]],LstMachines[MoisLivr],AQ$1)</f>
        <v>0</v>
      </c>
      <c r="AR20" s="206">
        <f>SUMIFS(LstMachines[Nbre],LstMachines[Model-Spec],PrévisionBoris[[#This Row],[Spec]],LstMachines[Status],PrévisionBoris[[#This Row],[Status]],LstMachines[MoisLivr],AR$1)</f>
        <v>0</v>
      </c>
      <c r="AS20" s="207">
        <f>SUMIFS(LstMachines[Nbre],LstMachines[Model-Spec],PrévisionBoris[[#This Row],[Spec]],LstMachines[Status],PrévisionBoris[[#This Row],[Status]],LstMachines[MoisLivr],AS$1)</f>
        <v>0</v>
      </c>
      <c r="AT20" s="207">
        <f>SUMIFS(LstMachines[Nbre],LstMachines[Model-Spec],PrévisionBoris[[#This Row],[Spec]],LstMachines[Status],PrévisionBoris[[#This Row],[Status]],LstMachines[MoisLivr],AT$1)</f>
        <v>0</v>
      </c>
      <c r="AU20" s="206">
        <f>SUMIFS(LstMachines[Nbre],LstMachines[Model-Spec],PrévisionBoris[[#This Row],[Spec]],LstMachines[Status],PrévisionBoris[[#This Row],[Status]],LstMachines[MoisLivr],AU$1)</f>
        <v>0</v>
      </c>
      <c r="AV20" s="233">
        <f>SUMIFS(LstMachines[Nbre],LstMachines[Model-Spec],PrévisionBoris[[#This Row],[Spec]],LstMachines[Status],PrévisionBoris[[#This Row],[Status]],LstMachines[MoisLivr],AV$1)</f>
        <v>0</v>
      </c>
      <c r="AW20" s="208">
        <f>SUMIFS(LstMachines[Nbre],LstMachines[Model-Spec],PrévisionBoris[[#This Row],[Spec]],LstMachines[Status],PrévisionBoris[[#This Row],[Status]],LstMachines[MoisLivr],AW$1)</f>
        <v>0</v>
      </c>
      <c r="AX20" s="210"/>
      <c r="AY20" s="211">
        <f t="shared" si="3"/>
        <v>0</v>
      </c>
      <c r="AZ20" s="212">
        <f t="shared" si="4"/>
        <v>0</v>
      </c>
      <c r="BA20" s="212">
        <f t="shared" si="5"/>
        <v>0</v>
      </c>
      <c r="BB20" s="213">
        <f t="shared" si="6"/>
        <v>0</v>
      </c>
      <c r="BC20" s="225">
        <f t="shared" si="7"/>
        <v>0</v>
      </c>
      <c r="BD20" s="211">
        <f t="shared" si="8"/>
        <v>0</v>
      </c>
      <c r="BE20" s="212">
        <f t="shared" si="9"/>
        <v>0</v>
      </c>
      <c r="BF20" s="212">
        <f t="shared" si="10"/>
        <v>0</v>
      </c>
      <c r="BG20" s="213">
        <f t="shared" si="11"/>
        <v>0</v>
      </c>
      <c r="BH20" s="225">
        <f t="shared" si="12"/>
        <v>0</v>
      </c>
      <c r="BI20" s="214">
        <f t="shared" si="13"/>
        <v>0</v>
      </c>
      <c r="BJ20" s="215">
        <f t="shared" si="14"/>
        <v>0</v>
      </c>
      <c r="BK20" s="215">
        <f t="shared" si="15"/>
        <v>0</v>
      </c>
      <c r="BL20" s="216">
        <f t="shared" si="16"/>
        <v>0</v>
      </c>
      <c r="BM20" s="225">
        <f t="shared" si="17"/>
        <v>0</v>
      </c>
      <c r="BN20" s="225"/>
      <c r="BO20" s="234"/>
      <c r="BP20" s="218">
        <f t="shared" si="18"/>
        <v>0</v>
      </c>
    </row>
    <row r="21" spans="1:68">
      <c r="A21" s="170">
        <v>14</v>
      </c>
      <c r="B21" s="170" t="s">
        <v>151</v>
      </c>
      <c r="C21" s="200">
        <v>150</v>
      </c>
      <c r="D21" s="170" t="s">
        <v>156</v>
      </c>
      <c r="E21" s="170" t="s">
        <v>157</v>
      </c>
      <c r="F21" s="200">
        <f>VLOOKUP(PrévisionBoris[[#This Row],[Spec]],TabModelSpecs[[ModelSpec]:[Price]],2,FALSE)</f>
        <v>100</v>
      </c>
      <c r="G21" s="170" t="s">
        <v>462</v>
      </c>
      <c r="H21" s="219">
        <f>SUMIFS(LstMachines[Nbre],LstMachines[Model-Spec],PrévisionBoris[[#This Row],[Spec]],LstMachines[Status],PrévisionBoris[[#This Row],[Status]],LstMachines[MoisLivr],H$1)</f>
        <v>0</v>
      </c>
      <c r="I21" s="220">
        <f>SUMIFS(LstMachines[Nbre],LstMachines[Model-Spec],PrévisionBoris[[#This Row],[Spec]],LstMachines[Status],PrévisionBoris[[#This Row],[Status]],LstMachines[MoisLivr],I$1)</f>
        <v>0</v>
      </c>
      <c r="J21" s="221">
        <f>SUMIFS(LstMachines[Nbre],LstMachines[Model-Spec],PrévisionBoris[[#This Row],[Spec]],LstMachines[Status],PrévisionBoris[[#This Row],[Status]],LstMachines[MoisLivr],J$1)</f>
        <v>0</v>
      </c>
      <c r="K21" s="219">
        <f>SUMIFS(LstMachines[Nbre],LstMachines[Model-Spec],PrévisionBoris[[#This Row],[Spec]],LstMachines[Status],PrévisionBoris[[#This Row],[Status]],LstMachines[MoisLivr],K$1)</f>
        <v>0</v>
      </c>
      <c r="L21" s="220">
        <f>SUMIFS(LstMachines[Nbre],LstMachines[Model-Spec],PrévisionBoris[[#This Row],[Spec]],LstMachines[Status],PrévisionBoris[[#This Row],[Status]],LstMachines[MoisLivr],L$1)</f>
        <v>0</v>
      </c>
      <c r="M21" s="221">
        <f>SUMIFS(LstMachines[Nbre],LstMachines[Model-Spec],PrévisionBoris[[#This Row],[Spec]],LstMachines[Status],PrévisionBoris[[#This Row],[Status]],LstMachines[MoisLivr],M$1)</f>
        <v>0</v>
      </c>
      <c r="N21" s="219">
        <f>SUMIFS(LstMachines[Nbre],LstMachines[Model-Spec],PrévisionBoris[[#This Row],[Spec]],LstMachines[Status],PrévisionBoris[[#This Row],[Status]],LstMachines[MoisLivr],N$1)</f>
        <v>0</v>
      </c>
      <c r="O21" s="220">
        <f>SUMIFS(LstMachines[Nbre],LstMachines[Model-Spec],PrévisionBoris[[#This Row],[Spec]],LstMachines[Status],PrévisionBoris[[#This Row],[Status]],LstMachines[MoisLivr],O$1)</f>
        <v>0</v>
      </c>
      <c r="P21" s="221">
        <f>SUMIFS(LstMachines[Nbre],LstMachines[Model-Spec],PrévisionBoris[[#This Row],[Spec]],LstMachines[Status],PrévisionBoris[[#This Row],[Status]],LstMachines[MoisLivr],P$1)</f>
        <v>0</v>
      </c>
      <c r="Q21" s="222">
        <f>SUMIFS(LstMachines[Nbre],LstMachines[Model-Spec],PrévisionBoris[[#This Row],[Spec]],LstMachines[Status],PrévisionBoris[[#This Row],[Status]],LstMachines[MoisLivr],Q$1)</f>
        <v>0</v>
      </c>
      <c r="R21" s="220">
        <f>SUMIFS(LstMachines[Nbre],LstMachines[Model-Spec],PrévisionBoris[[#This Row],[Spec]],LstMachines[Status],PrévisionBoris[[#This Row],[Status]],LstMachines[MoisLivr],R$1)</f>
        <v>0</v>
      </c>
      <c r="S21" s="220">
        <f>SUMIFS(LstMachines[Nbre],LstMachines[Model-Spec],PrévisionBoris[[#This Row],[Spec]],LstMachines[Status],PrévisionBoris[[#This Row],[Status]],LstMachines[MoisLivr],S$1)</f>
        <v>0</v>
      </c>
      <c r="T21" s="219">
        <f>SUMIFS(LstMachines[Nbre],LstMachines[Model-Spec],PrévisionBoris[[#This Row],[Spec]],LstMachines[Status],PrévisionBoris[[#This Row],[Status]],LstMachines[MoisLivr],T$1)</f>
        <v>0</v>
      </c>
      <c r="U21" s="220">
        <f>SUMIFS(LstMachines[Nbre],LstMachines[Model-Spec],PrévisionBoris[[#This Row],[Spec]],LstMachines[Status],PrévisionBoris[[#This Row],[Status]],LstMachines[MoisLivr],U$1)</f>
        <v>0</v>
      </c>
      <c r="V21" s="220">
        <f>SUMIFS(LstMachines[Nbre],LstMachines[Model-Spec],PrévisionBoris[[#This Row],[Spec]],LstMachines[Status],PrévisionBoris[[#This Row],[Status]],LstMachines[MoisLivr],V$1)</f>
        <v>0</v>
      </c>
      <c r="W21" s="219">
        <f>SUMIFS(LstMachines[Nbre],LstMachines[Model-Spec],PrévisionBoris[[#This Row],[Spec]],LstMachines[Status],PrévisionBoris[[#This Row],[Status]],LstMachines[MoisLivr],W$1)</f>
        <v>0</v>
      </c>
      <c r="X21" s="220">
        <f>SUMIFS(LstMachines[Nbre],LstMachines[Model-Spec],PrévisionBoris[[#This Row],[Spec]],LstMachines[Status],PrévisionBoris[[#This Row],[Status]],LstMachines[MoisLivr],X$1)</f>
        <v>0</v>
      </c>
      <c r="Y21" s="220">
        <f>SUMIFS(LstMachines[Nbre],LstMachines[Model-Spec],PrévisionBoris[[#This Row],[Spec]],LstMachines[Status],PrévisionBoris[[#This Row],[Status]],LstMachines[MoisLivr],Y$1)</f>
        <v>0</v>
      </c>
      <c r="Z21" s="219">
        <f>SUMIFS(LstMachines[Nbre],LstMachines[Model-Spec],PrévisionBoris[[#This Row],[Spec]],LstMachines[Status],PrévisionBoris[[#This Row],[Status]],LstMachines[MoisLivr],Z$1)</f>
        <v>0</v>
      </c>
      <c r="AA21" s="220">
        <f>SUMIFS(LstMachines[Nbre],LstMachines[Model-Spec],PrévisionBoris[[#This Row],[Spec]],LstMachines[Status],PrévisionBoris[[#This Row],[Status]],LstMachines[MoisLivr],AA$1)</f>
        <v>0</v>
      </c>
      <c r="AB21" s="220">
        <f>SUMIFS(LstMachines[Nbre],LstMachines[Model-Spec],PrévisionBoris[[#This Row],[Spec]],LstMachines[Status],PrévisionBoris[[#This Row],[Status]],LstMachines[MoisLivr],AB$1)</f>
        <v>0</v>
      </c>
      <c r="AC21" s="219">
        <f>SUMIFS(LstMachines[Nbre],LstMachines[Model-Spec],PrévisionBoris[[#This Row],[Spec]],LstMachines[Status],PrévisionBoris[[#This Row],[Status]],LstMachines[MoisLivr],AC$1)</f>
        <v>0</v>
      </c>
      <c r="AD21" s="220">
        <f>SUMIFS(LstMachines[Nbre],LstMachines[Model-Spec],PrévisionBoris[[#This Row],[Spec]],LstMachines[Status],PrévisionBoris[[#This Row],[Status]],LstMachines[MoisLivr],AD$1)</f>
        <v>0</v>
      </c>
      <c r="AE21" s="220">
        <f>SUMIFS(LstMachines[Nbre],LstMachines[Model-Spec],PrévisionBoris[[#This Row],[Spec]],LstMachines[Status],PrévisionBoris[[#This Row],[Status]],LstMachines[MoisLivr],AE$1)</f>
        <v>0</v>
      </c>
      <c r="AF21" s="219">
        <f>SUMIFS(LstMachines[Nbre],LstMachines[Model-Spec],PrévisionBoris[[#This Row],[Spec]],LstMachines[Status],PrévisionBoris[[#This Row],[Status]],LstMachines[MoisLivr],AF$1)</f>
        <v>0</v>
      </c>
      <c r="AG21" s="220">
        <f>SUMIFS(LstMachines[Nbre],LstMachines[Model-Spec],PrévisionBoris[[#This Row],[Spec]],LstMachines[Status],PrévisionBoris[[#This Row],[Status]],LstMachines[MoisLivr],AG$1)</f>
        <v>0</v>
      </c>
      <c r="AH21" s="220">
        <f>SUMIFS(LstMachines[Nbre],LstMachines[Model-Spec],PrévisionBoris[[#This Row],[Spec]],LstMachines[Status],PrévisionBoris[[#This Row],[Status]],LstMachines[MoisLivr],AH$1)</f>
        <v>0</v>
      </c>
      <c r="AI21" s="219">
        <f>SUMIFS(LstMachines[Nbre],LstMachines[Model-Spec],PrévisionBoris[[#This Row],[Spec]],LstMachines[Status],PrévisionBoris[[#This Row],[Status]],LstMachines[MoisLivr],AI$1)</f>
        <v>0</v>
      </c>
      <c r="AJ21" s="220">
        <f>SUMIFS(LstMachines[Nbre],LstMachines[Model-Spec],PrévisionBoris[[#This Row],[Spec]],LstMachines[Status],PrévisionBoris[[#This Row],[Status]],LstMachines[MoisLivr],AJ$1)</f>
        <v>0</v>
      </c>
      <c r="AK21" s="220">
        <f>SUMIFS(LstMachines[Nbre],LstMachines[Model-Spec],PrévisionBoris[[#This Row],[Spec]],LstMachines[Status],PrévisionBoris[[#This Row],[Status]],LstMachines[MoisLivr],AK$1)</f>
        <v>0</v>
      </c>
      <c r="AL21" s="219">
        <f>SUMIFS(LstMachines[Nbre],LstMachines[Model-Spec],PrévisionBoris[[#This Row],[Spec]],LstMachines[Status],PrévisionBoris[[#This Row],[Status]],LstMachines[MoisLivr],AL$1)</f>
        <v>0</v>
      </c>
      <c r="AM21" s="220">
        <f>SUMIFS(LstMachines[Nbre],LstMachines[Model-Spec],PrévisionBoris[[#This Row],[Spec]],LstMachines[Status],PrévisionBoris[[#This Row],[Status]],LstMachines[MoisLivr],AM$1)</f>
        <v>0</v>
      </c>
      <c r="AN21" s="220">
        <f>SUMIFS(LstMachines[Nbre],LstMachines[Model-Spec],PrévisionBoris[[#This Row],[Spec]],LstMachines[Status],PrévisionBoris[[#This Row],[Status]],LstMachines[MoisLivr],AN$1)</f>
        <v>0</v>
      </c>
      <c r="AO21" s="219">
        <f>SUMIFS(LstMachines[Nbre],LstMachines[Model-Spec],PrévisionBoris[[#This Row],[Spec]],LstMachines[Status],PrévisionBoris[[#This Row],[Status]],LstMachines[MoisLivr],AO$1)</f>
        <v>0</v>
      </c>
      <c r="AP21" s="220">
        <f>SUMIFS(LstMachines[Nbre],LstMachines[Model-Spec],PrévisionBoris[[#This Row],[Spec]],LstMachines[Status],PrévisionBoris[[#This Row],[Status]],LstMachines[MoisLivr],AP$1)</f>
        <v>0</v>
      </c>
      <c r="AQ21" s="220">
        <f>SUMIFS(LstMachines[Nbre],LstMachines[Model-Spec],PrévisionBoris[[#This Row],[Spec]],LstMachines[Status],PrévisionBoris[[#This Row],[Status]],LstMachines[MoisLivr],AQ$1)</f>
        <v>0</v>
      </c>
      <c r="AR21" s="219">
        <f>SUMIFS(LstMachines[Nbre],LstMachines[Model-Spec],PrévisionBoris[[#This Row],[Spec]],LstMachines[Status],PrévisionBoris[[#This Row],[Status]],LstMachines[MoisLivr],AR$1)</f>
        <v>0</v>
      </c>
      <c r="AS21" s="220">
        <f>SUMIFS(LstMachines[Nbre],LstMachines[Model-Spec],PrévisionBoris[[#This Row],[Spec]],LstMachines[Status],PrévisionBoris[[#This Row],[Status]],LstMachines[MoisLivr],AS$1)</f>
        <v>0</v>
      </c>
      <c r="AT21" s="220">
        <f>SUMIFS(LstMachines[Nbre],LstMachines[Model-Spec],PrévisionBoris[[#This Row],[Spec]],LstMachines[Status],PrévisionBoris[[#This Row],[Status]],LstMachines[MoisLivr],AT$1)</f>
        <v>0</v>
      </c>
      <c r="AU21" s="219">
        <f>SUMIFS(LstMachines[Nbre],LstMachines[Model-Spec],PrévisionBoris[[#This Row],[Spec]],LstMachines[Status],PrévisionBoris[[#This Row],[Status]],LstMachines[MoisLivr],AU$1)</f>
        <v>0</v>
      </c>
      <c r="AV21" s="223">
        <f>SUMIFS(LstMachines[Nbre],LstMachines[Model-Spec],PrévisionBoris[[#This Row],[Spec]],LstMachines[Status],PrévisionBoris[[#This Row],[Status]],LstMachines[MoisLivr],AV$1)</f>
        <v>0</v>
      </c>
      <c r="AW21" s="224">
        <f>SUMIFS(LstMachines[Nbre],LstMachines[Model-Spec],PrévisionBoris[[#This Row],[Spec]],LstMachines[Status],PrévisionBoris[[#This Row],[Status]],LstMachines[MoisLivr],AW$1)</f>
        <v>0</v>
      </c>
      <c r="AX21" s="210"/>
      <c r="AY21" s="211">
        <f t="shared" si="3"/>
        <v>0</v>
      </c>
      <c r="AZ21" s="212">
        <f t="shared" si="4"/>
        <v>0</v>
      </c>
      <c r="BA21" s="212">
        <f t="shared" si="5"/>
        <v>0</v>
      </c>
      <c r="BB21" s="213">
        <f t="shared" si="6"/>
        <v>0</v>
      </c>
      <c r="BC21" s="225">
        <f t="shared" si="7"/>
        <v>0</v>
      </c>
      <c r="BD21" s="211">
        <f t="shared" si="8"/>
        <v>0</v>
      </c>
      <c r="BE21" s="212">
        <f t="shared" si="9"/>
        <v>0</v>
      </c>
      <c r="BF21" s="212">
        <f t="shared" si="10"/>
        <v>0</v>
      </c>
      <c r="BG21" s="213">
        <f t="shared" si="11"/>
        <v>0</v>
      </c>
      <c r="BH21" s="225">
        <f t="shared" si="12"/>
        <v>0</v>
      </c>
      <c r="BI21" s="214">
        <f t="shared" si="13"/>
        <v>0</v>
      </c>
      <c r="BJ21" s="215">
        <f t="shared" si="14"/>
        <v>0</v>
      </c>
      <c r="BK21" s="215">
        <f t="shared" si="15"/>
        <v>0</v>
      </c>
      <c r="BL21" s="216">
        <f t="shared" si="16"/>
        <v>0</v>
      </c>
      <c r="BM21" s="225">
        <f t="shared" si="17"/>
        <v>0</v>
      </c>
      <c r="BN21" s="225"/>
      <c r="BO21" s="217"/>
      <c r="BP21" s="218">
        <f t="shared" si="18"/>
        <v>0</v>
      </c>
    </row>
    <row r="22" spans="1:68">
      <c r="A22" s="171">
        <v>15</v>
      </c>
      <c r="B22" s="171" t="s">
        <v>151</v>
      </c>
      <c r="C22" s="201">
        <v>150</v>
      </c>
      <c r="D22" s="171" t="s">
        <v>156</v>
      </c>
      <c r="E22" s="171" t="s">
        <v>157</v>
      </c>
      <c r="F22" s="201">
        <f>VLOOKUP(PrévisionBoris[[#This Row],[Spec]],TabModelSpecs[[ModelSpec]:[Price]],2,FALSE)</f>
        <v>100</v>
      </c>
      <c r="G22" s="171" t="s">
        <v>463</v>
      </c>
      <c r="H22" s="226">
        <f>SUMIFS(LstMachines[Nbre],LstMachines[Model-Spec],PrévisionBoris[[#This Row],[Spec]],LstMachines[Status],PrévisionBoris[[#This Row],[Status]],LstMachines[MoisLivr],H$1)</f>
        <v>0</v>
      </c>
      <c r="I22" s="227">
        <f>SUMIFS(LstMachines[Nbre],LstMachines[Model-Spec],PrévisionBoris[[#This Row],[Spec]],LstMachines[Status],PrévisionBoris[[#This Row],[Status]],LstMachines[MoisLivr],I$1)</f>
        <v>0</v>
      </c>
      <c r="J22" s="228">
        <f>SUMIFS(LstMachines[Nbre],LstMachines[Model-Spec],PrévisionBoris[[#This Row],[Spec]],LstMachines[Status],PrévisionBoris[[#This Row],[Status]],LstMachines[MoisLivr],J$1)</f>
        <v>0</v>
      </c>
      <c r="K22" s="226">
        <f>SUMIFS(LstMachines[Nbre],LstMachines[Model-Spec],PrévisionBoris[[#This Row],[Spec]],LstMachines[Status],PrévisionBoris[[#This Row],[Status]],LstMachines[MoisLivr],K$1)</f>
        <v>0</v>
      </c>
      <c r="L22" s="227">
        <f>SUMIFS(LstMachines[Nbre],LstMachines[Model-Spec],PrévisionBoris[[#This Row],[Spec]],LstMachines[Status],PrévisionBoris[[#This Row],[Status]],LstMachines[MoisLivr],L$1)</f>
        <v>0</v>
      </c>
      <c r="M22" s="228">
        <f>SUMIFS(LstMachines[Nbre],LstMachines[Model-Spec],PrévisionBoris[[#This Row],[Spec]],LstMachines[Status],PrévisionBoris[[#This Row],[Status]],LstMachines[MoisLivr],M$1)</f>
        <v>0</v>
      </c>
      <c r="N22" s="226">
        <f>SUMIFS(LstMachines[Nbre],LstMachines[Model-Spec],PrévisionBoris[[#This Row],[Spec]],LstMachines[Status],PrévisionBoris[[#This Row],[Status]],LstMachines[MoisLivr],N$1)</f>
        <v>0</v>
      </c>
      <c r="O22" s="227">
        <f>SUMIFS(LstMachines[Nbre],LstMachines[Model-Spec],PrévisionBoris[[#This Row],[Spec]],LstMachines[Status],PrévisionBoris[[#This Row],[Status]],LstMachines[MoisLivr],O$1)</f>
        <v>0</v>
      </c>
      <c r="P22" s="228">
        <f>SUMIFS(LstMachines[Nbre],LstMachines[Model-Spec],PrévisionBoris[[#This Row],[Spec]],LstMachines[Status],PrévisionBoris[[#This Row],[Status]],LstMachines[MoisLivr],P$1)</f>
        <v>0</v>
      </c>
      <c r="Q22" s="229">
        <f>SUMIFS(LstMachines[Nbre],LstMachines[Model-Spec],PrévisionBoris[[#This Row],[Spec]],LstMachines[Status],PrévisionBoris[[#This Row],[Status]],LstMachines[MoisLivr],Q$1)</f>
        <v>0</v>
      </c>
      <c r="R22" s="227">
        <f>SUMIFS(LstMachines[Nbre],LstMachines[Model-Spec],PrévisionBoris[[#This Row],[Spec]],LstMachines[Status],PrévisionBoris[[#This Row],[Status]],LstMachines[MoisLivr],R$1)</f>
        <v>0</v>
      </c>
      <c r="S22" s="227">
        <f>SUMIFS(LstMachines[Nbre],LstMachines[Model-Spec],PrévisionBoris[[#This Row],[Spec]],LstMachines[Status],PrévisionBoris[[#This Row],[Status]],LstMachines[MoisLivr],S$1)</f>
        <v>0</v>
      </c>
      <c r="T22" s="226">
        <f>SUMIFS(LstMachines[Nbre],LstMachines[Model-Spec],PrévisionBoris[[#This Row],[Spec]],LstMachines[Status],PrévisionBoris[[#This Row],[Status]],LstMachines[MoisLivr],T$1)</f>
        <v>0</v>
      </c>
      <c r="U22" s="227">
        <f>SUMIFS(LstMachines[Nbre],LstMachines[Model-Spec],PrévisionBoris[[#This Row],[Spec]],LstMachines[Status],PrévisionBoris[[#This Row],[Status]],LstMachines[MoisLivr],U$1)</f>
        <v>0</v>
      </c>
      <c r="V22" s="227">
        <f>SUMIFS(LstMachines[Nbre],LstMachines[Model-Spec],PrévisionBoris[[#This Row],[Spec]],LstMachines[Status],PrévisionBoris[[#This Row],[Status]],LstMachines[MoisLivr],V$1)</f>
        <v>0</v>
      </c>
      <c r="W22" s="226">
        <f>SUMIFS(LstMachines[Nbre],LstMachines[Model-Spec],PrévisionBoris[[#This Row],[Spec]],LstMachines[Status],PrévisionBoris[[#This Row],[Status]],LstMachines[MoisLivr],W$1)</f>
        <v>0</v>
      </c>
      <c r="X22" s="227">
        <f>SUMIFS(LstMachines[Nbre],LstMachines[Model-Spec],PrévisionBoris[[#This Row],[Spec]],LstMachines[Status],PrévisionBoris[[#This Row],[Status]],LstMachines[MoisLivr],X$1)</f>
        <v>0</v>
      </c>
      <c r="Y22" s="227">
        <f>SUMIFS(LstMachines[Nbre],LstMachines[Model-Spec],PrévisionBoris[[#This Row],[Spec]],LstMachines[Status],PrévisionBoris[[#This Row],[Status]],LstMachines[MoisLivr],Y$1)</f>
        <v>0</v>
      </c>
      <c r="Z22" s="226">
        <f>SUMIFS(LstMachines[Nbre],LstMachines[Model-Spec],PrévisionBoris[[#This Row],[Spec]],LstMachines[Status],PrévisionBoris[[#This Row],[Status]],LstMachines[MoisLivr],Z$1)</f>
        <v>0</v>
      </c>
      <c r="AA22" s="227">
        <f>SUMIFS(LstMachines[Nbre],LstMachines[Model-Spec],PrévisionBoris[[#This Row],[Spec]],LstMachines[Status],PrévisionBoris[[#This Row],[Status]],LstMachines[MoisLivr],AA$1)</f>
        <v>0</v>
      </c>
      <c r="AB22" s="227">
        <f>SUMIFS(LstMachines[Nbre],LstMachines[Model-Spec],PrévisionBoris[[#This Row],[Spec]],LstMachines[Status],PrévisionBoris[[#This Row],[Status]],LstMachines[MoisLivr],AB$1)</f>
        <v>0</v>
      </c>
      <c r="AC22" s="226">
        <f>SUMIFS(LstMachines[Nbre],LstMachines[Model-Spec],PrévisionBoris[[#This Row],[Spec]],LstMachines[Status],PrévisionBoris[[#This Row],[Status]],LstMachines[MoisLivr],AC$1)</f>
        <v>0</v>
      </c>
      <c r="AD22" s="227">
        <f>SUMIFS(LstMachines[Nbre],LstMachines[Model-Spec],PrévisionBoris[[#This Row],[Spec]],LstMachines[Status],PrévisionBoris[[#This Row],[Status]],LstMachines[MoisLivr],AD$1)</f>
        <v>0</v>
      </c>
      <c r="AE22" s="227">
        <f>SUMIFS(LstMachines[Nbre],LstMachines[Model-Spec],PrévisionBoris[[#This Row],[Spec]],LstMachines[Status],PrévisionBoris[[#This Row],[Status]],LstMachines[MoisLivr],AE$1)</f>
        <v>0</v>
      </c>
      <c r="AF22" s="226">
        <f>SUMIFS(LstMachines[Nbre],LstMachines[Model-Spec],PrévisionBoris[[#This Row],[Spec]],LstMachines[Status],PrévisionBoris[[#This Row],[Status]],LstMachines[MoisLivr],AF$1)</f>
        <v>0</v>
      </c>
      <c r="AG22" s="227">
        <f>SUMIFS(LstMachines[Nbre],LstMachines[Model-Spec],PrévisionBoris[[#This Row],[Spec]],LstMachines[Status],PrévisionBoris[[#This Row],[Status]],LstMachines[MoisLivr],AG$1)</f>
        <v>0</v>
      </c>
      <c r="AH22" s="227">
        <f>SUMIFS(LstMachines[Nbre],LstMachines[Model-Spec],PrévisionBoris[[#This Row],[Spec]],LstMachines[Status],PrévisionBoris[[#This Row],[Status]],LstMachines[MoisLivr],AH$1)</f>
        <v>0</v>
      </c>
      <c r="AI22" s="226">
        <f>SUMIFS(LstMachines[Nbre],LstMachines[Model-Spec],PrévisionBoris[[#This Row],[Spec]],LstMachines[Status],PrévisionBoris[[#This Row],[Status]],LstMachines[MoisLivr],AI$1)</f>
        <v>0</v>
      </c>
      <c r="AJ22" s="227">
        <f>SUMIFS(LstMachines[Nbre],LstMachines[Model-Spec],PrévisionBoris[[#This Row],[Spec]],LstMachines[Status],PrévisionBoris[[#This Row],[Status]],LstMachines[MoisLivr],AJ$1)</f>
        <v>0</v>
      </c>
      <c r="AK22" s="227">
        <f>SUMIFS(LstMachines[Nbre],LstMachines[Model-Spec],PrévisionBoris[[#This Row],[Spec]],LstMachines[Status],PrévisionBoris[[#This Row],[Status]],LstMachines[MoisLivr],AK$1)</f>
        <v>0</v>
      </c>
      <c r="AL22" s="226">
        <f>SUMIFS(LstMachines[Nbre],LstMachines[Model-Spec],PrévisionBoris[[#This Row],[Spec]],LstMachines[Status],PrévisionBoris[[#This Row],[Status]],LstMachines[MoisLivr],AL$1)</f>
        <v>0</v>
      </c>
      <c r="AM22" s="227">
        <f>SUMIFS(LstMachines[Nbre],LstMachines[Model-Spec],PrévisionBoris[[#This Row],[Spec]],LstMachines[Status],PrévisionBoris[[#This Row],[Status]],LstMachines[MoisLivr],AM$1)</f>
        <v>0</v>
      </c>
      <c r="AN22" s="227">
        <f>SUMIFS(LstMachines[Nbre],LstMachines[Model-Spec],PrévisionBoris[[#This Row],[Spec]],LstMachines[Status],PrévisionBoris[[#This Row],[Status]],LstMachines[MoisLivr],AN$1)</f>
        <v>0</v>
      </c>
      <c r="AO22" s="226">
        <f>SUMIFS(LstMachines[Nbre],LstMachines[Model-Spec],PrévisionBoris[[#This Row],[Spec]],LstMachines[Status],PrévisionBoris[[#This Row],[Status]],LstMachines[MoisLivr],AO$1)</f>
        <v>0</v>
      </c>
      <c r="AP22" s="227">
        <f>SUMIFS(LstMachines[Nbre],LstMachines[Model-Spec],PrévisionBoris[[#This Row],[Spec]],LstMachines[Status],PrévisionBoris[[#This Row],[Status]],LstMachines[MoisLivr],AP$1)</f>
        <v>0</v>
      </c>
      <c r="AQ22" s="227">
        <f>SUMIFS(LstMachines[Nbre],LstMachines[Model-Spec],PrévisionBoris[[#This Row],[Spec]],LstMachines[Status],PrévisionBoris[[#This Row],[Status]],LstMachines[MoisLivr],AQ$1)</f>
        <v>0</v>
      </c>
      <c r="AR22" s="226">
        <f>SUMIFS(LstMachines[Nbre],LstMachines[Model-Spec],PrévisionBoris[[#This Row],[Spec]],LstMachines[Status],PrévisionBoris[[#This Row],[Status]],LstMachines[MoisLivr],AR$1)</f>
        <v>0</v>
      </c>
      <c r="AS22" s="227">
        <f>SUMIFS(LstMachines[Nbre],LstMachines[Model-Spec],PrévisionBoris[[#This Row],[Spec]],LstMachines[Status],PrévisionBoris[[#This Row],[Status]],LstMachines[MoisLivr],AS$1)</f>
        <v>0</v>
      </c>
      <c r="AT22" s="227">
        <f>SUMIFS(LstMachines[Nbre],LstMachines[Model-Spec],PrévisionBoris[[#This Row],[Spec]],LstMachines[Status],PrévisionBoris[[#This Row],[Status]],LstMachines[MoisLivr],AT$1)</f>
        <v>0</v>
      </c>
      <c r="AU22" s="226">
        <f>SUMIFS(LstMachines[Nbre],LstMachines[Model-Spec],PrévisionBoris[[#This Row],[Spec]],LstMachines[Status],PrévisionBoris[[#This Row],[Status]],LstMachines[MoisLivr],AU$1)</f>
        <v>0</v>
      </c>
      <c r="AV22" s="230">
        <f>SUMIFS(LstMachines[Nbre],LstMachines[Model-Spec],PrévisionBoris[[#This Row],[Spec]],LstMachines[Status],PrévisionBoris[[#This Row],[Status]],LstMachines[MoisLivr],AV$1)</f>
        <v>0</v>
      </c>
      <c r="AW22" s="231">
        <f>SUMIFS(LstMachines[Nbre],LstMachines[Model-Spec],PrévisionBoris[[#This Row],[Spec]],LstMachines[Status],PrévisionBoris[[#This Row],[Status]],LstMachines[MoisLivr],AW$1)</f>
        <v>0</v>
      </c>
      <c r="AX22" s="232"/>
      <c r="AY22" s="211">
        <f t="shared" si="3"/>
        <v>0</v>
      </c>
      <c r="AZ22" s="212">
        <f t="shared" si="4"/>
        <v>0</v>
      </c>
      <c r="BA22" s="212">
        <f t="shared" si="5"/>
        <v>0</v>
      </c>
      <c r="BB22" s="213">
        <f t="shared" si="6"/>
        <v>0</v>
      </c>
      <c r="BC22" s="225">
        <f t="shared" si="7"/>
        <v>0</v>
      </c>
      <c r="BD22" s="211">
        <f t="shared" si="8"/>
        <v>0</v>
      </c>
      <c r="BE22" s="212">
        <f t="shared" si="9"/>
        <v>0</v>
      </c>
      <c r="BF22" s="212">
        <f t="shared" si="10"/>
        <v>0</v>
      </c>
      <c r="BG22" s="213">
        <f t="shared" si="11"/>
        <v>0</v>
      </c>
      <c r="BH22" s="225">
        <f t="shared" si="12"/>
        <v>0</v>
      </c>
      <c r="BI22" s="214">
        <f t="shared" si="13"/>
        <v>0</v>
      </c>
      <c r="BJ22" s="215">
        <f t="shared" si="14"/>
        <v>0</v>
      </c>
      <c r="BK22" s="215">
        <f t="shared" si="15"/>
        <v>0</v>
      </c>
      <c r="BL22" s="216">
        <f t="shared" si="16"/>
        <v>0</v>
      </c>
      <c r="BM22" s="225">
        <f t="shared" si="17"/>
        <v>0</v>
      </c>
      <c r="BN22" s="225"/>
      <c r="BO22" s="217"/>
      <c r="BP22" s="218">
        <f t="shared" si="18"/>
        <v>0</v>
      </c>
    </row>
    <row r="23" spans="1:68">
      <c r="A23" s="172">
        <v>16</v>
      </c>
      <c r="B23" s="172" t="s">
        <v>151</v>
      </c>
      <c r="C23" s="202">
        <v>150</v>
      </c>
      <c r="D23" s="172" t="s">
        <v>156</v>
      </c>
      <c r="E23" s="172" t="s">
        <v>158</v>
      </c>
      <c r="F23" s="202">
        <f>VLOOKUP(PrévisionBoris[[#This Row],[Spec]],TabModelSpecs[[ModelSpec]:[Price]],2,FALSE)</f>
        <v>100</v>
      </c>
      <c r="G23" s="172" t="s">
        <v>461</v>
      </c>
      <c r="H23" s="206">
        <f>SUMIFS(LstMachines[Nbre],LstMachines[Model-Spec],PrévisionBoris[[#This Row],[Spec]],LstMachines[Status],PrévisionBoris[[#This Row],[Status]],LstMachines[MoisLivr],H$1)</f>
        <v>0</v>
      </c>
      <c r="I23" s="207">
        <f>SUMIFS(LstMachines[Nbre],LstMachines[Model-Spec],PrévisionBoris[[#This Row],[Spec]],LstMachines[Status],PrévisionBoris[[#This Row],[Status]],LstMachines[MoisLivr],I$1)</f>
        <v>0</v>
      </c>
      <c r="J23" s="208">
        <f>SUMIFS(LstMachines[Nbre],LstMachines[Model-Spec],PrévisionBoris[[#This Row],[Spec]],LstMachines[Status],PrévisionBoris[[#This Row],[Status]],LstMachines[MoisLivr],J$1)</f>
        <v>0</v>
      </c>
      <c r="K23" s="206">
        <f>SUMIFS(LstMachines[Nbre],LstMachines[Model-Spec],PrévisionBoris[[#This Row],[Spec]],LstMachines[Status],PrévisionBoris[[#This Row],[Status]],LstMachines[MoisLivr],K$1)</f>
        <v>0</v>
      </c>
      <c r="L23" s="207">
        <f>SUMIFS(LstMachines[Nbre],LstMachines[Model-Spec],PrévisionBoris[[#This Row],[Spec]],LstMachines[Status],PrévisionBoris[[#This Row],[Status]],LstMachines[MoisLivr],L$1)</f>
        <v>0</v>
      </c>
      <c r="M23" s="208">
        <f>SUMIFS(LstMachines[Nbre],LstMachines[Model-Spec],PrévisionBoris[[#This Row],[Spec]],LstMachines[Status],PrévisionBoris[[#This Row],[Status]],LstMachines[MoisLivr],M$1)</f>
        <v>0</v>
      </c>
      <c r="N23" s="206">
        <f>SUMIFS(LstMachines[Nbre],LstMachines[Model-Spec],PrévisionBoris[[#This Row],[Spec]],LstMachines[Status],PrévisionBoris[[#This Row],[Status]],LstMachines[MoisLivr],N$1)</f>
        <v>0</v>
      </c>
      <c r="O23" s="207">
        <f>SUMIFS(LstMachines[Nbre],LstMachines[Model-Spec],PrévisionBoris[[#This Row],[Spec]],LstMachines[Status],PrévisionBoris[[#This Row],[Status]],LstMachines[MoisLivr],O$1)</f>
        <v>0</v>
      </c>
      <c r="P23" s="208">
        <f>SUMIFS(LstMachines[Nbre],LstMachines[Model-Spec],PrévisionBoris[[#This Row],[Spec]],LstMachines[Status],PrévisionBoris[[#This Row],[Status]],LstMachines[MoisLivr],P$1)</f>
        <v>0</v>
      </c>
      <c r="Q23" s="209">
        <f>SUMIFS(LstMachines[Nbre],LstMachines[Model-Spec],PrévisionBoris[[#This Row],[Spec]],LstMachines[Status],PrévisionBoris[[#This Row],[Status]],LstMachines[MoisLivr],Q$1)</f>
        <v>0</v>
      </c>
      <c r="R23" s="207">
        <f>SUMIFS(LstMachines[Nbre],LstMachines[Model-Spec],PrévisionBoris[[#This Row],[Spec]],LstMachines[Status],PrévisionBoris[[#This Row],[Status]],LstMachines[MoisLivr],R$1)</f>
        <v>0</v>
      </c>
      <c r="S23" s="207">
        <f>SUMIFS(LstMachines[Nbre],LstMachines[Model-Spec],PrévisionBoris[[#This Row],[Spec]],LstMachines[Status],PrévisionBoris[[#This Row],[Status]],LstMachines[MoisLivr],S$1)</f>
        <v>0</v>
      </c>
      <c r="T23" s="206">
        <f>SUMIFS(LstMachines[Nbre],LstMachines[Model-Spec],PrévisionBoris[[#This Row],[Spec]],LstMachines[Status],PrévisionBoris[[#This Row],[Status]],LstMachines[MoisLivr],T$1)</f>
        <v>0</v>
      </c>
      <c r="U23" s="207">
        <f>SUMIFS(LstMachines[Nbre],LstMachines[Model-Spec],PrévisionBoris[[#This Row],[Spec]],LstMachines[Status],PrévisionBoris[[#This Row],[Status]],LstMachines[MoisLivr],U$1)</f>
        <v>0</v>
      </c>
      <c r="V23" s="207">
        <f>SUMIFS(LstMachines[Nbre],LstMachines[Model-Spec],PrévisionBoris[[#This Row],[Spec]],LstMachines[Status],PrévisionBoris[[#This Row],[Status]],LstMachines[MoisLivr],V$1)</f>
        <v>0</v>
      </c>
      <c r="W23" s="206">
        <f>SUMIFS(LstMachines[Nbre],LstMachines[Model-Spec],PrévisionBoris[[#This Row],[Spec]],LstMachines[Status],PrévisionBoris[[#This Row],[Status]],LstMachines[MoisLivr],W$1)</f>
        <v>0</v>
      </c>
      <c r="X23" s="207">
        <f>SUMIFS(LstMachines[Nbre],LstMachines[Model-Spec],PrévisionBoris[[#This Row],[Spec]],LstMachines[Status],PrévisionBoris[[#This Row],[Status]],LstMachines[MoisLivr],X$1)</f>
        <v>0</v>
      </c>
      <c r="Y23" s="207">
        <f>SUMIFS(LstMachines[Nbre],LstMachines[Model-Spec],PrévisionBoris[[#This Row],[Spec]],LstMachines[Status],PrévisionBoris[[#This Row],[Status]],LstMachines[MoisLivr],Y$1)</f>
        <v>0</v>
      </c>
      <c r="Z23" s="206">
        <f>SUMIFS(LstMachines[Nbre],LstMachines[Model-Spec],PrévisionBoris[[#This Row],[Spec]],LstMachines[Status],PrévisionBoris[[#This Row],[Status]],LstMachines[MoisLivr],Z$1)</f>
        <v>0</v>
      </c>
      <c r="AA23" s="207">
        <f>SUMIFS(LstMachines[Nbre],LstMachines[Model-Spec],PrévisionBoris[[#This Row],[Spec]],LstMachines[Status],PrévisionBoris[[#This Row],[Status]],LstMachines[MoisLivr],AA$1)</f>
        <v>0</v>
      </c>
      <c r="AB23" s="207">
        <f>SUMIFS(LstMachines[Nbre],LstMachines[Model-Spec],PrévisionBoris[[#This Row],[Spec]],LstMachines[Status],PrévisionBoris[[#This Row],[Status]],LstMachines[MoisLivr],AB$1)</f>
        <v>0</v>
      </c>
      <c r="AC23" s="206">
        <f>SUMIFS(LstMachines[Nbre],LstMachines[Model-Spec],PrévisionBoris[[#This Row],[Spec]],LstMachines[Status],PrévisionBoris[[#This Row],[Status]],LstMachines[MoisLivr],AC$1)</f>
        <v>0</v>
      </c>
      <c r="AD23" s="207">
        <f>SUMIFS(LstMachines[Nbre],LstMachines[Model-Spec],PrévisionBoris[[#This Row],[Spec]],LstMachines[Status],PrévisionBoris[[#This Row],[Status]],LstMachines[MoisLivr],AD$1)</f>
        <v>0</v>
      </c>
      <c r="AE23" s="207">
        <f>SUMIFS(LstMachines[Nbre],LstMachines[Model-Spec],PrévisionBoris[[#This Row],[Spec]],LstMachines[Status],PrévisionBoris[[#This Row],[Status]],LstMachines[MoisLivr],AE$1)</f>
        <v>0</v>
      </c>
      <c r="AF23" s="206">
        <f>SUMIFS(LstMachines[Nbre],LstMachines[Model-Spec],PrévisionBoris[[#This Row],[Spec]],LstMachines[Status],PrévisionBoris[[#This Row],[Status]],LstMachines[MoisLivr],AF$1)</f>
        <v>0</v>
      </c>
      <c r="AG23" s="207">
        <f>SUMIFS(LstMachines[Nbre],LstMachines[Model-Spec],PrévisionBoris[[#This Row],[Spec]],LstMachines[Status],PrévisionBoris[[#This Row],[Status]],LstMachines[MoisLivr],AG$1)</f>
        <v>0</v>
      </c>
      <c r="AH23" s="207">
        <f>SUMIFS(LstMachines[Nbre],LstMachines[Model-Spec],PrévisionBoris[[#This Row],[Spec]],LstMachines[Status],PrévisionBoris[[#This Row],[Status]],LstMachines[MoisLivr],AH$1)</f>
        <v>0</v>
      </c>
      <c r="AI23" s="206">
        <f>SUMIFS(LstMachines[Nbre],LstMachines[Model-Spec],PrévisionBoris[[#This Row],[Spec]],LstMachines[Status],PrévisionBoris[[#This Row],[Status]],LstMachines[MoisLivr],AI$1)</f>
        <v>0</v>
      </c>
      <c r="AJ23" s="207">
        <f>SUMIFS(LstMachines[Nbre],LstMachines[Model-Spec],PrévisionBoris[[#This Row],[Spec]],LstMachines[Status],PrévisionBoris[[#This Row],[Status]],LstMachines[MoisLivr],AJ$1)</f>
        <v>0</v>
      </c>
      <c r="AK23" s="207">
        <f>SUMIFS(LstMachines[Nbre],LstMachines[Model-Spec],PrévisionBoris[[#This Row],[Spec]],LstMachines[Status],PrévisionBoris[[#This Row],[Status]],LstMachines[MoisLivr],AK$1)</f>
        <v>0</v>
      </c>
      <c r="AL23" s="206">
        <f>SUMIFS(LstMachines[Nbre],LstMachines[Model-Spec],PrévisionBoris[[#This Row],[Spec]],LstMachines[Status],PrévisionBoris[[#This Row],[Status]],LstMachines[MoisLivr],AL$1)</f>
        <v>0</v>
      </c>
      <c r="AM23" s="207">
        <f>SUMIFS(LstMachines[Nbre],LstMachines[Model-Spec],PrévisionBoris[[#This Row],[Spec]],LstMachines[Status],PrévisionBoris[[#This Row],[Status]],LstMachines[MoisLivr],AM$1)</f>
        <v>0</v>
      </c>
      <c r="AN23" s="207">
        <f>SUMIFS(LstMachines[Nbre],LstMachines[Model-Spec],PrévisionBoris[[#This Row],[Spec]],LstMachines[Status],PrévisionBoris[[#This Row],[Status]],LstMachines[MoisLivr],AN$1)</f>
        <v>0</v>
      </c>
      <c r="AO23" s="206">
        <f>SUMIFS(LstMachines[Nbre],LstMachines[Model-Spec],PrévisionBoris[[#This Row],[Spec]],LstMachines[Status],PrévisionBoris[[#This Row],[Status]],LstMachines[MoisLivr],AO$1)</f>
        <v>0</v>
      </c>
      <c r="AP23" s="207">
        <f>SUMIFS(LstMachines[Nbre],LstMachines[Model-Spec],PrévisionBoris[[#This Row],[Spec]],LstMachines[Status],PrévisionBoris[[#This Row],[Status]],LstMachines[MoisLivr],AP$1)</f>
        <v>0</v>
      </c>
      <c r="AQ23" s="207">
        <f>SUMIFS(LstMachines[Nbre],LstMachines[Model-Spec],PrévisionBoris[[#This Row],[Spec]],LstMachines[Status],PrévisionBoris[[#This Row],[Status]],LstMachines[MoisLivr],AQ$1)</f>
        <v>0</v>
      </c>
      <c r="AR23" s="206">
        <f>SUMIFS(LstMachines[Nbre],LstMachines[Model-Spec],PrévisionBoris[[#This Row],[Spec]],LstMachines[Status],PrévisionBoris[[#This Row],[Status]],LstMachines[MoisLivr],AR$1)</f>
        <v>0</v>
      </c>
      <c r="AS23" s="207">
        <f>SUMIFS(LstMachines[Nbre],LstMachines[Model-Spec],PrévisionBoris[[#This Row],[Spec]],LstMachines[Status],PrévisionBoris[[#This Row],[Status]],LstMachines[MoisLivr],AS$1)</f>
        <v>0</v>
      </c>
      <c r="AT23" s="207">
        <f>SUMIFS(LstMachines[Nbre],LstMachines[Model-Spec],PrévisionBoris[[#This Row],[Spec]],LstMachines[Status],PrévisionBoris[[#This Row],[Status]],LstMachines[MoisLivr],AT$1)</f>
        <v>0</v>
      </c>
      <c r="AU23" s="206">
        <f>SUMIFS(LstMachines[Nbre],LstMachines[Model-Spec],PrévisionBoris[[#This Row],[Spec]],LstMachines[Status],PrévisionBoris[[#This Row],[Status]],LstMachines[MoisLivr],AU$1)</f>
        <v>0</v>
      </c>
      <c r="AV23" s="233">
        <f>SUMIFS(LstMachines[Nbre],LstMachines[Model-Spec],PrévisionBoris[[#This Row],[Spec]],LstMachines[Status],PrévisionBoris[[#This Row],[Status]],LstMachines[MoisLivr],AV$1)</f>
        <v>0</v>
      </c>
      <c r="AW23" s="208">
        <f>SUMIFS(LstMachines[Nbre],LstMachines[Model-Spec],PrévisionBoris[[#This Row],[Spec]],LstMachines[Status],PrévisionBoris[[#This Row],[Status]],LstMachines[MoisLivr],AW$1)</f>
        <v>0</v>
      </c>
      <c r="AX23" s="225"/>
      <c r="AY23" s="211">
        <f t="shared" si="3"/>
        <v>0</v>
      </c>
      <c r="AZ23" s="212">
        <f t="shared" si="4"/>
        <v>0</v>
      </c>
      <c r="BA23" s="212">
        <f t="shared" si="5"/>
        <v>0</v>
      </c>
      <c r="BB23" s="213">
        <f t="shared" si="6"/>
        <v>0</v>
      </c>
      <c r="BC23" s="225">
        <f t="shared" si="7"/>
        <v>0</v>
      </c>
      <c r="BD23" s="211">
        <f t="shared" si="8"/>
        <v>0</v>
      </c>
      <c r="BE23" s="212">
        <f t="shared" si="9"/>
        <v>0</v>
      </c>
      <c r="BF23" s="212">
        <f t="shared" si="10"/>
        <v>0</v>
      </c>
      <c r="BG23" s="213">
        <f t="shared" si="11"/>
        <v>0</v>
      </c>
      <c r="BH23" s="225">
        <f t="shared" si="12"/>
        <v>0</v>
      </c>
      <c r="BI23" s="214">
        <f t="shared" si="13"/>
        <v>0</v>
      </c>
      <c r="BJ23" s="215">
        <f t="shared" si="14"/>
        <v>0</v>
      </c>
      <c r="BK23" s="215">
        <f t="shared" si="15"/>
        <v>0</v>
      </c>
      <c r="BL23" s="216">
        <f t="shared" si="16"/>
        <v>0</v>
      </c>
      <c r="BM23" s="225">
        <f t="shared" si="17"/>
        <v>0</v>
      </c>
      <c r="BN23" s="225"/>
      <c r="BO23" s="234"/>
      <c r="BP23" s="218">
        <f t="shared" si="18"/>
        <v>0</v>
      </c>
    </row>
    <row r="24" spans="1:68">
      <c r="A24" s="170">
        <v>17</v>
      </c>
      <c r="B24" s="170" t="s">
        <v>151</v>
      </c>
      <c r="C24" s="200">
        <v>150</v>
      </c>
      <c r="D24" s="170" t="s">
        <v>156</v>
      </c>
      <c r="E24" s="170" t="s">
        <v>158</v>
      </c>
      <c r="F24" s="200">
        <f>VLOOKUP(PrévisionBoris[[#This Row],[Spec]],TabModelSpecs[[ModelSpec]:[Price]],2,FALSE)</f>
        <v>100</v>
      </c>
      <c r="G24" s="170" t="s">
        <v>462</v>
      </c>
      <c r="H24" s="219">
        <f>SUMIFS(LstMachines[Nbre],LstMachines[Model-Spec],PrévisionBoris[[#This Row],[Spec]],LstMachines[Status],PrévisionBoris[[#This Row],[Status]],LstMachines[MoisLivr],H$1)</f>
        <v>0</v>
      </c>
      <c r="I24" s="220">
        <f>SUMIFS(LstMachines[Nbre],LstMachines[Model-Spec],PrévisionBoris[[#This Row],[Spec]],LstMachines[Status],PrévisionBoris[[#This Row],[Status]],LstMachines[MoisLivr],I$1)</f>
        <v>0</v>
      </c>
      <c r="J24" s="221">
        <f>SUMIFS(LstMachines[Nbre],LstMachines[Model-Spec],PrévisionBoris[[#This Row],[Spec]],LstMachines[Status],PrévisionBoris[[#This Row],[Status]],LstMachines[MoisLivr],J$1)</f>
        <v>0</v>
      </c>
      <c r="K24" s="219">
        <f>SUMIFS(LstMachines[Nbre],LstMachines[Model-Spec],PrévisionBoris[[#This Row],[Spec]],LstMachines[Status],PrévisionBoris[[#This Row],[Status]],LstMachines[MoisLivr],K$1)</f>
        <v>0</v>
      </c>
      <c r="L24" s="220">
        <f>SUMIFS(LstMachines[Nbre],LstMachines[Model-Spec],PrévisionBoris[[#This Row],[Spec]],LstMachines[Status],PrévisionBoris[[#This Row],[Status]],LstMachines[MoisLivr],L$1)</f>
        <v>0</v>
      </c>
      <c r="M24" s="221">
        <f>SUMIFS(LstMachines[Nbre],LstMachines[Model-Spec],PrévisionBoris[[#This Row],[Spec]],LstMachines[Status],PrévisionBoris[[#This Row],[Status]],LstMachines[MoisLivr],M$1)</f>
        <v>0</v>
      </c>
      <c r="N24" s="219">
        <f>SUMIFS(LstMachines[Nbre],LstMachines[Model-Spec],PrévisionBoris[[#This Row],[Spec]],LstMachines[Status],PrévisionBoris[[#This Row],[Status]],LstMachines[MoisLivr],N$1)</f>
        <v>0</v>
      </c>
      <c r="O24" s="220">
        <f>SUMIFS(LstMachines[Nbre],LstMachines[Model-Spec],PrévisionBoris[[#This Row],[Spec]],LstMachines[Status],PrévisionBoris[[#This Row],[Status]],LstMachines[MoisLivr],O$1)</f>
        <v>0</v>
      </c>
      <c r="P24" s="221">
        <f>SUMIFS(LstMachines[Nbre],LstMachines[Model-Spec],PrévisionBoris[[#This Row],[Spec]],LstMachines[Status],PrévisionBoris[[#This Row],[Status]],LstMachines[MoisLivr],P$1)</f>
        <v>0</v>
      </c>
      <c r="Q24" s="222">
        <f>SUMIFS(LstMachines[Nbre],LstMachines[Model-Spec],PrévisionBoris[[#This Row],[Spec]],LstMachines[Status],PrévisionBoris[[#This Row],[Status]],LstMachines[MoisLivr],Q$1)</f>
        <v>0</v>
      </c>
      <c r="R24" s="220">
        <f>SUMIFS(LstMachines[Nbre],LstMachines[Model-Spec],PrévisionBoris[[#This Row],[Spec]],LstMachines[Status],PrévisionBoris[[#This Row],[Status]],LstMachines[MoisLivr],R$1)</f>
        <v>0</v>
      </c>
      <c r="S24" s="220">
        <f>SUMIFS(LstMachines[Nbre],LstMachines[Model-Spec],PrévisionBoris[[#This Row],[Spec]],LstMachines[Status],PrévisionBoris[[#This Row],[Status]],LstMachines[MoisLivr],S$1)</f>
        <v>0</v>
      </c>
      <c r="T24" s="219">
        <f>SUMIFS(LstMachines[Nbre],LstMachines[Model-Spec],PrévisionBoris[[#This Row],[Spec]],LstMachines[Status],PrévisionBoris[[#This Row],[Status]],LstMachines[MoisLivr],T$1)</f>
        <v>0</v>
      </c>
      <c r="U24" s="220">
        <f>SUMIFS(LstMachines[Nbre],LstMachines[Model-Spec],PrévisionBoris[[#This Row],[Spec]],LstMachines[Status],PrévisionBoris[[#This Row],[Status]],LstMachines[MoisLivr],U$1)</f>
        <v>0</v>
      </c>
      <c r="V24" s="220">
        <f>SUMIFS(LstMachines[Nbre],LstMachines[Model-Spec],PrévisionBoris[[#This Row],[Spec]],LstMachines[Status],PrévisionBoris[[#This Row],[Status]],LstMachines[MoisLivr],V$1)</f>
        <v>0</v>
      </c>
      <c r="W24" s="219">
        <f>SUMIFS(LstMachines[Nbre],LstMachines[Model-Spec],PrévisionBoris[[#This Row],[Spec]],LstMachines[Status],PrévisionBoris[[#This Row],[Status]],LstMachines[MoisLivr],W$1)</f>
        <v>0</v>
      </c>
      <c r="X24" s="220">
        <f>SUMIFS(LstMachines[Nbre],LstMachines[Model-Spec],PrévisionBoris[[#This Row],[Spec]],LstMachines[Status],PrévisionBoris[[#This Row],[Status]],LstMachines[MoisLivr],X$1)</f>
        <v>0</v>
      </c>
      <c r="Y24" s="220">
        <f>SUMIFS(LstMachines[Nbre],LstMachines[Model-Spec],PrévisionBoris[[#This Row],[Spec]],LstMachines[Status],PrévisionBoris[[#This Row],[Status]],LstMachines[MoisLivr],Y$1)</f>
        <v>0</v>
      </c>
      <c r="Z24" s="219">
        <f>SUMIFS(LstMachines[Nbre],LstMachines[Model-Spec],PrévisionBoris[[#This Row],[Spec]],LstMachines[Status],PrévisionBoris[[#This Row],[Status]],LstMachines[MoisLivr],Z$1)</f>
        <v>0</v>
      </c>
      <c r="AA24" s="220">
        <f>SUMIFS(LstMachines[Nbre],LstMachines[Model-Spec],PrévisionBoris[[#This Row],[Spec]],LstMachines[Status],PrévisionBoris[[#This Row],[Status]],LstMachines[MoisLivr],AA$1)</f>
        <v>0</v>
      </c>
      <c r="AB24" s="220">
        <f>SUMIFS(LstMachines[Nbre],LstMachines[Model-Spec],PrévisionBoris[[#This Row],[Spec]],LstMachines[Status],PrévisionBoris[[#This Row],[Status]],LstMachines[MoisLivr],AB$1)</f>
        <v>0</v>
      </c>
      <c r="AC24" s="219">
        <f>SUMIFS(LstMachines[Nbre],LstMachines[Model-Spec],PrévisionBoris[[#This Row],[Spec]],LstMachines[Status],PrévisionBoris[[#This Row],[Status]],LstMachines[MoisLivr],AC$1)</f>
        <v>0</v>
      </c>
      <c r="AD24" s="220">
        <f>SUMIFS(LstMachines[Nbre],LstMachines[Model-Spec],PrévisionBoris[[#This Row],[Spec]],LstMachines[Status],PrévisionBoris[[#This Row],[Status]],LstMachines[MoisLivr],AD$1)</f>
        <v>0</v>
      </c>
      <c r="AE24" s="220">
        <f>SUMIFS(LstMachines[Nbre],LstMachines[Model-Spec],PrévisionBoris[[#This Row],[Spec]],LstMachines[Status],PrévisionBoris[[#This Row],[Status]],LstMachines[MoisLivr],AE$1)</f>
        <v>0</v>
      </c>
      <c r="AF24" s="219">
        <f>SUMIFS(LstMachines[Nbre],LstMachines[Model-Spec],PrévisionBoris[[#This Row],[Spec]],LstMachines[Status],PrévisionBoris[[#This Row],[Status]],LstMachines[MoisLivr],AF$1)</f>
        <v>0</v>
      </c>
      <c r="AG24" s="220">
        <f>SUMIFS(LstMachines[Nbre],LstMachines[Model-Spec],PrévisionBoris[[#This Row],[Spec]],LstMachines[Status],PrévisionBoris[[#This Row],[Status]],LstMachines[MoisLivr],AG$1)</f>
        <v>0</v>
      </c>
      <c r="AH24" s="220">
        <f>SUMIFS(LstMachines[Nbre],LstMachines[Model-Spec],PrévisionBoris[[#This Row],[Spec]],LstMachines[Status],PrévisionBoris[[#This Row],[Status]],LstMachines[MoisLivr],AH$1)</f>
        <v>0</v>
      </c>
      <c r="AI24" s="219">
        <f>SUMIFS(LstMachines[Nbre],LstMachines[Model-Spec],PrévisionBoris[[#This Row],[Spec]],LstMachines[Status],PrévisionBoris[[#This Row],[Status]],LstMachines[MoisLivr],AI$1)</f>
        <v>0</v>
      </c>
      <c r="AJ24" s="220">
        <f>SUMIFS(LstMachines[Nbre],LstMachines[Model-Spec],PrévisionBoris[[#This Row],[Spec]],LstMachines[Status],PrévisionBoris[[#This Row],[Status]],LstMachines[MoisLivr],AJ$1)</f>
        <v>0</v>
      </c>
      <c r="AK24" s="220">
        <f>SUMIFS(LstMachines[Nbre],LstMachines[Model-Spec],PrévisionBoris[[#This Row],[Spec]],LstMachines[Status],PrévisionBoris[[#This Row],[Status]],LstMachines[MoisLivr],AK$1)</f>
        <v>0</v>
      </c>
      <c r="AL24" s="219">
        <f>SUMIFS(LstMachines[Nbre],LstMachines[Model-Spec],PrévisionBoris[[#This Row],[Spec]],LstMachines[Status],PrévisionBoris[[#This Row],[Status]],LstMachines[MoisLivr],AL$1)</f>
        <v>0</v>
      </c>
      <c r="AM24" s="220">
        <f>SUMIFS(LstMachines[Nbre],LstMachines[Model-Spec],PrévisionBoris[[#This Row],[Spec]],LstMachines[Status],PrévisionBoris[[#This Row],[Status]],LstMachines[MoisLivr],AM$1)</f>
        <v>0</v>
      </c>
      <c r="AN24" s="220">
        <f>SUMIFS(LstMachines[Nbre],LstMachines[Model-Spec],PrévisionBoris[[#This Row],[Spec]],LstMachines[Status],PrévisionBoris[[#This Row],[Status]],LstMachines[MoisLivr],AN$1)</f>
        <v>0</v>
      </c>
      <c r="AO24" s="219">
        <f>SUMIFS(LstMachines[Nbre],LstMachines[Model-Spec],PrévisionBoris[[#This Row],[Spec]],LstMachines[Status],PrévisionBoris[[#This Row],[Status]],LstMachines[MoisLivr],AO$1)</f>
        <v>0</v>
      </c>
      <c r="AP24" s="220">
        <f>SUMIFS(LstMachines[Nbre],LstMachines[Model-Spec],PrévisionBoris[[#This Row],[Spec]],LstMachines[Status],PrévisionBoris[[#This Row],[Status]],LstMachines[MoisLivr],AP$1)</f>
        <v>0</v>
      </c>
      <c r="AQ24" s="220">
        <f>SUMIFS(LstMachines[Nbre],LstMachines[Model-Spec],PrévisionBoris[[#This Row],[Spec]],LstMachines[Status],PrévisionBoris[[#This Row],[Status]],LstMachines[MoisLivr],AQ$1)</f>
        <v>0</v>
      </c>
      <c r="AR24" s="219">
        <f>SUMIFS(LstMachines[Nbre],LstMachines[Model-Spec],PrévisionBoris[[#This Row],[Spec]],LstMachines[Status],PrévisionBoris[[#This Row],[Status]],LstMachines[MoisLivr],AR$1)</f>
        <v>0</v>
      </c>
      <c r="AS24" s="220">
        <f>SUMIFS(LstMachines[Nbre],LstMachines[Model-Spec],PrévisionBoris[[#This Row],[Spec]],LstMachines[Status],PrévisionBoris[[#This Row],[Status]],LstMachines[MoisLivr],AS$1)</f>
        <v>0</v>
      </c>
      <c r="AT24" s="220">
        <f>SUMIFS(LstMachines[Nbre],LstMachines[Model-Spec],PrévisionBoris[[#This Row],[Spec]],LstMachines[Status],PrévisionBoris[[#This Row],[Status]],LstMachines[MoisLivr],AT$1)</f>
        <v>0</v>
      </c>
      <c r="AU24" s="219">
        <f>SUMIFS(LstMachines[Nbre],LstMachines[Model-Spec],PrévisionBoris[[#This Row],[Spec]],LstMachines[Status],PrévisionBoris[[#This Row],[Status]],LstMachines[MoisLivr],AU$1)</f>
        <v>0</v>
      </c>
      <c r="AV24" s="223">
        <f>SUMIFS(LstMachines[Nbre],LstMachines[Model-Spec],PrévisionBoris[[#This Row],[Spec]],LstMachines[Status],PrévisionBoris[[#This Row],[Status]],LstMachines[MoisLivr],AV$1)</f>
        <v>0</v>
      </c>
      <c r="AW24" s="224">
        <f>SUMIFS(LstMachines[Nbre],LstMachines[Model-Spec],PrévisionBoris[[#This Row],[Spec]],LstMachines[Status],PrévisionBoris[[#This Row],[Status]],LstMachines[MoisLivr],AW$1)</f>
        <v>0</v>
      </c>
      <c r="AX24" s="210"/>
      <c r="AY24" s="211">
        <f t="shared" si="3"/>
        <v>0</v>
      </c>
      <c r="AZ24" s="212">
        <f t="shared" si="4"/>
        <v>0</v>
      </c>
      <c r="BA24" s="212">
        <f t="shared" si="5"/>
        <v>0</v>
      </c>
      <c r="BB24" s="213">
        <f t="shared" si="6"/>
        <v>0</v>
      </c>
      <c r="BC24" s="225">
        <f t="shared" si="7"/>
        <v>0</v>
      </c>
      <c r="BD24" s="211">
        <f t="shared" si="8"/>
        <v>0</v>
      </c>
      <c r="BE24" s="212">
        <f t="shared" si="9"/>
        <v>0</v>
      </c>
      <c r="BF24" s="212">
        <f t="shared" si="10"/>
        <v>0</v>
      </c>
      <c r="BG24" s="213">
        <f t="shared" si="11"/>
        <v>0</v>
      </c>
      <c r="BH24" s="225">
        <f t="shared" si="12"/>
        <v>0</v>
      </c>
      <c r="BI24" s="214">
        <f t="shared" si="13"/>
        <v>0</v>
      </c>
      <c r="BJ24" s="215">
        <f t="shared" si="14"/>
        <v>0</v>
      </c>
      <c r="BK24" s="215">
        <f t="shared" si="15"/>
        <v>0</v>
      </c>
      <c r="BL24" s="216">
        <f t="shared" si="16"/>
        <v>0</v>
      </c>
      <c r="BM24" s="225">
        <f t="shared" si="17"/>
        <v>0</v>
      </c>
      <c r="BN24" s="225"/>
      <c r="BO24" s="217"/>
      <c r="BP24" s="218">
        <f t="shared" si="18"/>
        <v>0</v>
      </c>
    </row>
    <row r="25" spans="1:68">
      <c r="A25" s="171">
        <v>18</v>
      </c>
      <c r="B25" s="171" t="s">
        <v>151</v>
      </c>
      <c r="C25" s="201">
        <v>150</v>
      </c>
      <c r="D25" s="171" t="s">
        <v>156</v>
      </c>
      <c r="E25" s="171" t="s">
        <v>158</v>
      </c>
      <c r="F25" s="201">
        <f>VLOOKUP(PrévisionBoris[[#This Row],[Spec]],TabModelSpecs[[ModelSpec]:[Price]],2,FALSE)</f>
        <v>100</v>
      </c>
      <c r="G25" s="171" t="s">
        <v>463</v>
      </c>
      <c r="H25" s="226">
        <f>SUMIFS(LstMachines[Nbre],LstMachines[Model-Spec],PrévisionBoris[[#This Row],[Spec]],LstMachines[Status],PrévisionBoris[[#This Row],[Status]],LstMachines[MoisLivr],H$1)</f>
        <v>0</v>
      </c>
      <c r="I25" s="227">
        <f>SUMIFS(LstMachines[Nbre],LstMachines[Model-Spec],PrévisionBoris[[#This Row],[Spec]],LstMachines[Status],PrévisionBoris[[#This Row],[Status]],LstMachines[MoisLivr],I$1)</f>
        <v>0</v>
      </c>
      <c r="J25" s="228">
        <f>SUMIFS(LstMachines[Nbre],LstMachines[Model-Spec],PrévisionBoris[[#This Row],[Spec]],LstMachines[Status],PrévisionBoris[[#This Row],[Status]],LstMachines[MoisLivr],J$1)</f>
        <v>0</v>
      </c>
      <c r="K25" s="226">
        <f>SUMIFS(LstMachines[Nbre],LstMachines[Model-Spec],PrévisionBoris[[#This Row],[Spec]],LstMachines[Status],PrévisionBoris[[#This Row],[Status]],LstMachines[MoisLivr],K$1)</f>
        <v>0</v>
      </c>
      <c r="L25" s="227">
        <f>SUMIFS(LstMachines[Nbre],LstMachines[Model-Spec],PrévisionBoris[[#This Row],[Spec]],LstMachines[Status],PrévisionBoris[[#This Row],[Status]],LstMachines[MoisLivr],L$1)</f>
        <v>0</v>
      </c>
      <c r="M25" s="228">
        <f>SUMIFS(LstMachines[Nbre],LstMachines[Model-Spec],PrévisionBoris[[#This Row],[Spec]],LstMachines[Status],PrévisionBoris[[#This Row],[Status]],LstMachines[MoisLivr],M$1)</f>
        <v>0</v>
      </c>
      <c r="N25" s="226">
        <f>SUMIFS(LstMachines[Nbre],LstMachines[Model-Spec],PrévisionBoris[[#This Row],[Spec]],LstMachines[Status],PrévisionBoris[[#This Row],[Status]],LstMachines[MoisLivr],N$1)</f>
        <v>0</v>
      </c>
      <c r="O25" s="227">
        <f>SUMIFS(LstMachines[Nbre],LstMachines[Model-Spec],PrévisionBoris[[#This Row],[Spec]],LstMachines[Status],PrévisionBoris[[#This Row],[Status]],LstMachines[MoisLivr],O$1)</f>
        <v>0</v>
      </c>
      <c r="P25" s="228">
        <f>SUMIFS(LstMachines[Nbre],LstMachines[Model-Spec],PrévisionBoris[[#This Row],[Spec]],LstMachines[Status],PrévisionBoris[[#This Row],[Status]],LstMachines[MoisLivr],P$1)</f>
        <v>0</v>
      </c>
      <c r="Q25" s="229">
        <f>SUMIFS(LstMachines[Nbre],LstMachines[Model-Spec],PrévisionBoris[[#This Row],[Spec]],LstMachines[Status],PrévisionBoris[[#This Row],[Status]],LstMachines[MoisLivr],Q$1)</f>
        <v>0</v>
      </c>
      <c r="R25" s="227">
        <f>SUMIFS(LstMachines[Nbre],LstMachines[Model-Spec],PrévisionBoris[[#This Row],[Spec]],LstMachines[Status],PrévisionBoris[[#This Row],[Status]],LstMachines[MoisLivr],R$1)</f>
        <v>0</v>
      </c>
      <c r="S25" s="227">
        <f>SUMIFS(LstMachines[Nbre],LstMachines[Model-Spec],PrévisionBoris[[#This Row],[Spec]],LstMachines[Status],PrévisionBoris[[#This Row],[Status]],LstMachines[MoisLivr],S$1)</f>
        <v>0</v>
      </c>
      <c r="T25" s="226">
        <f>SUMIFS(LstMachines[Nbre],LstMachines[Model-Spec],PrévisionBoris[[#This Row],[Spec]],LstMachines[Status],PrévisionBoris[[#This Row],[Status]],LstMachines[MoisLivr],T$1)</f>
        <v>0</v>
      </c>
      <c r="U25" s="227">
        <f>SUMIFS(LstMachines[Nbre],LstMachines[Model-Spec],PrévisionBoris[[#This Row],[Spec]],LstMachines[Status],PrévisionBoris[[#This Row],[Status]],LstMachines[MoisLivr],U$1)</f>
        <v>0</v>
      </c>
      <c r="V25" s="227">
        <f>SUMIFS(LstMachines[Nbre],LstMachines[Model-Spec],PrévisionBoris[[#This Row],[Spec]],LstMachines[Status],PrévisionBoris[[#This Row],[Status]],LstMachines[MoisLivr],V$1)</f>
        <v>0</v>
      </c>
      <c r="W25" s="226">
        <f>SUMIFS(LstMachines[Nbre],LstMachines[Model-Spec],PrévisionBoris[[#This Row],[Spec]],LstMachines[Status],PrévisionBoris[[#This Row],[Status]],LstMachines[MoisLivr],W$1)</f>
        <v>0</v>
      </c>
      <c r="X25" s="227">
        <f>SUMIFS(LstMachines[Nbre],LstMachines[Model-Spec],PrévisionBoris[[#This Row],[Spec]],LstMachines[Status],PrévisionBoris[[#This Row],[Status]],LstMachines[MoisLivr],X$1)</f>
        <v>0</v>
      </c>
      <c r="Y25" s="227">
        <f>SUMIFS(LstMachines[Nbre],LstMachines[Model-Spec],PrévisionBoris[[#This Row],[Spec]],LstMachines[Status],PrévisionBoris[[#This Row],[Status]],LstMachines[MoisLivr],Y$1)</f>
        <v>0</v>
      </c>
      <c r="Z25" s="226">
        <f>SUMIFS(LstMachines[Nbre],LstMachines[Model-Spec],PrévisionBoris[[#This Row],[Spec]],LstMachines[Status],PrévisionBoris[[#This Row],[Status]],LstMachines[MoisLivr],Z$1)</f>
        <v>0</v>
      </c>
      <c r="AA25" s="227">
        <f>SUMIFS(LstMachines[Nbre],LstMachines[Model-Spec],PrévisionBoris[[#This Row],[Spec]],LstMachines[Status],PrévisionBoris[[#This Row],[Status]],LstMachines[MoisLivr],AA$1)</f>
        <v>0</v>
      </c>
      <c r="AB25" s="227">
        <f>SUMIFS(LstMachines[Nbre],LstMachines[Model-Spec],PrévisionBoris[[#This Row],[Spec]],LstMachines[Status],PrévisionBoris[[#This Row],[Status]],LstMachines[MoisLivr],AB$1)</f>
        <v>0</v>
      </c>
      <c r="AC25" s="226">
        <f>SUMIFS(LstMachines[Nbre],LstMachines[Model-Spec],PrévisionBoris[[#This Row],[Spec]],LstMachines[Status],PrévisionBoris[[#This Row],[Status]],LstMachines[MoisLivr],AC$1)</f>
        <v>0</v>
      </c>
      <c r="AD25" s="227">
        <f>SUMIFS(LstMachines[Nbre],LstMachines[Model-Spec],PrévisionBoris[[#This Row],[Spec]],LstMachines[Status],PrévisionBoris[[#This Row],[Status]],LstMachines[MoisLivr],AD$1)</f>
        <v>0</v>
      </c>
      <c r="AE25" s="227">
        <f>SUMIFS(LstMachines[Nbre],LstMachines[Model-Spec],PrévisionBoris[[#This Row],[Spec]],LstMachines[Status],PrévisionBoris[[#This Row],[Status]],LstMachines[MoisLivr],AE$1)</f>
        <v>0</v>
      </c>
      <c r="AF25" s="226">
        <f>SUMIFS(LstMachines[Nbre],LstMachines[Model-Spec],PrévisionBoris[[#This Row],[Spec]],LstMachines[Status],PrévisionBoris[[#This Row],[Status]],LstMachines[MoisLivr],AF$1)</f>
        <v>0</v>
      </c>
      <c r="AG25" s="227">
        <f>SUMIFS(LstMachines[Nbre],LstMachines[Model-Spec],PrévisionBoris[[#This Row],[Spec]],LstMachines[Status],PrévisionBoris[[#This Row],[Status]],LstMachines[MoisLivr],AG$1)</f>
        <v>0</v>
      </c>
      <c r="AH25" s="227">
        <f>SUMIFS(LstMachines[Nbre],LstMachines[Model-Spec],PrévisionBoris[[#This Row],[Spec]],LstMachines[Status],PrévisionBoris[[#This Row],[Status]],LstMachines[MoisLivr],AH$1)</f>
        <v>0</v>
      </c>
      <c r="AI25" s="226">
        <f>SUMIFS(LstMachines[Nbre],LstMachines[Model-Spec],PrévisionBoris[[#This Row],[Spec]],LstMachines[Status],PrévisionBoris[[#This Row],[Status]],LstMachines[MoisLivr],AI$1)</f>
        <v>0</v>
      </c>
      <c r="AJ25" s="227">
        <f>SUMIFS(LstMachines[Nbre],LstMachines[Model-Spec],PrévisionBoris[[#This Row],[Spec]],LstMachines[Status],PrévisionBoris[[#This Row],[Status]],LstMachines[MoisLivr],AJ$1)</f>
        <v>0</v>
      </c>
      <c r="AK25" s="227">
        <f>SUMIFS(LstMachines[Nbre],LstMachines[Model-Spec],PrévisionBoris[[#This Row],[Spec]],LstMachines[Status],PrévisionBoris[[#This Row],[Status]],LstMachines[MoisLivr],AK$1)</f>
        <v>0</v>
      </c>
      <c r="AL25" s="226">
        <f>SUMIFS(LstMachines[Nbre],LstMachines[Model-Spec],PrévisionBoris[[#This Row],[Spec]],LstMachines[Status],PrévisionBoris[[#This Row],[Status]],LstMachines[MoisLivr],AL$1)</f>
        <v>0</v>
      </c>
      <c r="AM25" s="227">
        <f>SUMIFS(LstMachines[Nbre],LstMachines[Model-Spec],PrévisionBoris[[#This Row],[Spec]],LstMachines[Status],PrévisionBoris[[#This Row],[Status]],LstMachines[MoisLivr],AM$1)</f>
        <v>0</v>
      </c>
      <c r="AN25" s="227">
        <f>SUMIFS(LstMachines[Nbre],LstMachines[Model-Spec],PrévisionBoris[[#This Row],[Spec]],LstMachines[Status],PrévisionBoris[[#This Row],[Status]],LstMachines[MoisLivr],AN$1)</f>
        <v>0</v>
      </c>
      <c r="AO25" s="226">
        <f>SUMIFS(LstMachines[Nbre],LstMachines[Model-Spec],PrévisionBoris[[#This Row],[Spec]],LstMachines[Status],PrévisionBoris[[#This Row],[Status]],LstMachines[MoisLivr],AO$1)</f>
        <v>0</v>
      </c>
      <c r="AP25" s="227">
        <f>SUMIFS(LstMachines[Nbre],LstMachines[Model-Spec],PrévisionBoris[[#This Row],[Spec]],LstMachines[Status],PrévisionBoris[[#This Row],[Status]],LstMachines[MoisLivr],AP$1)</f>
        <v>0</v>
      </c>
      <c r="AQ25" s="227">
        <f>SUMIFS(LstMachines[Nbre],LstMachines[Model-Spec],PrévisionBoris[[#This Row],[Spec]],LstMachines[Status],PrévisionBoris[[#This Row],[Status]],LstMachines[MoisLivr],AQ$1)</f>
        <v>0</v>
      </c>
      <c r="AR25" s="226">
        <f>SUMIFS(LstMachines[Nbre],LstMachines[Model-Spec],PrévisionBoris[[#This Row],[Spec]],LstMachines[Status],PrévisionBoris[[#This Row],[Status]],LstMachines[MoisLivr],AR$1)</f>
        <v>0</v>
      </c>
      <c r="AS25" s="227">
        <f>SUMIFS(LstMachines[Nbre],LstMachines[Model-Spec],PrévisionBoris[[#This Row],[Spec]],LstMachines[Status],PrévisionBoris[[#This Row],[Status]],LstMachines[MoisLivr],AS$1)</f>
        <v>0</v>
      </c>
      <c r="AT25" s="227">
        <f>SUMIFS(LstMachines[Nbre],LstMachines[Model-Spec],PrévisionBoris[[#This Row],[Spec]],LstMachines[Status],PrévisionBoris[[#This Row],[Status]],LstMachines[MoisLivr],AT$1)</f>
        <v>0</v>
      </c>
      <c r="AU25" s="226">
        <f>SUMIFS(LstMachines[Nbre],LstMachines[Model-Spec],PrévisionBoris[[#This Row],[Spec]],LstMachines[Status],PrévisionBoris[[#This Row],[Status]],LstMachines[MoisLivr],AU$1)</f>
        <v>0</v>
      </c>
      <c r="AV25" s="230">
        <f>SUMIFS(LstMachines[Nbre],LstMachines[Model-Spec],PrévisionBoris[[#This Row],[Spec]],LstMachines[Status],PrévisionBoris[[#This Row],[Status]],LstMachines[MoisLivr],AV$1)</f>
        <v>0</v>
      </c>
      <c r="AW25" s="231">
        <f>SUMIFS(LstMachines[Nbre],LstMachines[Model-Spec],PrévisionBoris[[#This Row],[Spec]],LstMachines[Status],PrévisionBoris[[#This Row],[Status]],LstMachines[MoisLivr],AW$1)</f>
        <v>0</v>
      </c>
      <c r="AX25" s="232"/>
      <c r="AY25" s="211">
        <f t="shared" si="3"/>
        <v>0</v>
      </c>
      <c r="AZ25" s="212">
        <f t="shared" si="4"/>
        <v>0</v>
      </c>
      <c r="BA25" s="212">
        <f t="shared" si="5"/>
        <v>0</v>
      </c>
      <c r="BB25" s="213">
        <f t="shared" si="6"/>
        <v>0</v>
      </c>
      <c r="BC25" s="225">
        <f t="shared" si="7"/>
        <v>0</v>
      </c>
      <c r="BD25" s="211">
        <f t="shared" si="8"/>
        <v>0</v>
      </c>
      <c r="BE25" s="212">
        <f t="shared" si="9"/>
        <v>0</v>
      </c>
      <c r="BF25" s="212">
        <f t="shared" si="10"/>
        <v>0</v>
      </c>
      <c r="BG25" s="213">
        <f t="shared" si="11"/>
        <v>0</v>
      </c>
      <c r="BH25" s="225">
        <f t="shared" si="12"/>
        <v>0</v>
      </c>
      <c r="BI25" s="214">
        <f t="shared" si="13"/>
        <v>0</v>
      </c>
      <c r="BJ25" s="215">
        <f t="shared" si="14"/>
        <v>0</v>
      </c>
      <c r="BK25" s="215">
        <f t="shared" si="15"/>
        <v>0</v>
      </c>
      <c r="BL25" s="216">
        <f t="shared" si="16"/>
        <v>0</v>
      </c>
      <c r="BM25" s="225">
        <f t="shared" si="17"/>
        <v>0</v>
      </c>
      <c r="BN25" s="225"/>
      <c r="BO25" s="217"/>
      <c r="BP25" s="218">
        <f t="shared" si="18"/>
        <v>0</v>
      </c>
    </row>
    <row r="26" spans="1:68">
      <c r="A26" s="172">
        <v>19</v>
      </c>
      <c r="B26" s="172" t="s">
        <v>151</v>
      </c>
      <c r="C26" s="202">
        <v>150</v>
      </c>
      <c r="D26" s="172" t="s">
        <v>156</v>
      </c>
      <c r="E26" s="172" t="s">
        <v>159</v>
      </c>
      <c r="F26" s="202">
        <f>VLOOKUP(PrévisionBoris[[#This Row],[Spec]],TabModelSpecs[[ModelSpec]:[Price]],2,FALSE)</f>
        <v>100</v>
      </c>
      <c r="G26" s="172" t="s">
        <v>461</v>
      </c>
      <c r="H26" s="206">
        <f>SUMIFS(LstMachines[Nbre],LstMachines[Model-Spec],PrévisionBoris[[#This Row],[Spec]],LstMachines[Status],PrévisionBoris[[#This Row],[Status]],LstMachines[MoisLivr],H$1)</f>
        <v>0</v>
      </c>
      <c r="I26" s="207">
        <f>SUMIFS(LstMachines[Nbre],LstMachines[Model-Spec],PrévisionBoris[[#This Row],[Spec]],LstMachines[Status],PrévisionBoris[[#This Row],[Status]],LstMachines[MoisLivr],I$1)</f>
        <v>0</v>
      </c>
      <c r="J26" s="208">
        <f>SUMIFS(LstMachines[Nbre],LstMachines[Model-Spec],PrévisionBoris[[#This Row],[Spec]],LstMachines[Status],PrévisionBoris[[#This Row],[Status]],LstMachines[MoisLivr],J$1)</f>
        <v>0</v>
      </c>
      <c r="K26" s="206">
        <f>SUMIFS(LstMachines[Nbre],LstMachines[Model-Spec],PrévisionBoris[[#This Row],[Spec]],LstMachines[Status],PrévisionBoris[[#This Row],[Status]],LstMachines[MoisLivr],K$1)</f>
        <v>0</v>
      </c>
      <c r="L26" s="207">
        <f>SUMIFS(LstMachines[Nbre],LstMachines[Model-Spec],PrévisionBoris[[#This Row],[Spec]],LstMachines[Status],PrévisionBoris[[#This Row],[Status]],LstMachines[MoisLivr],L$1)</f>
        <v>0</v>
      </c>
      <c r="M26" s="208">
        <f>SUMIFS(LstMachines[Nbre],LstMachines[Model-Spec],PrévisionBoris[[#This Row],[Spec]],LstMachines[Status],PrévisionBoris[[#This Row],[Status]],LstMachines[MoisLivr],M$1)</f>
        <v>0</v>
      </c>
      <c r="N26" s="206">
        <f>SUMIFS(LstMachines[Nbre],LstMachines[Model-Spec],PrévisionBoris[[#This Row],[Spec]],LstMachines[Status],PrévisionBoris[[#This Row],[Status]],LstMachines[MoisLivr],N$1)</f>
        <v>0</v>
      </c>
      <c r="O26" s="207">
        <f>SUMIFS(LstMachines[Nbre],LstMachines[Model-Spec],PrévisionBoris[[#This Row],[Spec]],LstMachines[Status],PrévisionBoris[[#This Row],[Status]],LstMachines[MoisLivr],O$1)</f>
        <v>0</v>
      </c>
      <c r="P26" s="208">
        <f>SUMIFS(LstMachines[Nbre],LstMachines[Model-Spec],PrévisionBoris[[#This Row],[Spec]],LstMachines[Status],PrévisionBoris[[#This Row],[Status]],LstMachines[MoisLivr],P$1)</f>
        <v>0</v>
      </c>
      <c r="Q26" s="209">
        <f>SUMIFS(LstMachines[Nbre],LstMachines[Model-Spec],PrévisionBoris[[#This Row],[Spec]],LstMachines[Status],PrévisionBoris[[#This Row],[Status]],LstMachines[MoisLivr],Q$1)</f>
        <v>0</v>
      </c>
      <c r="R26" s="207">
        <f>SUMIFS(LstMachines[Nbre],LstMachines[Model-Spec],PrévisionBoris[[#This Row],[Spec]],LstMachines[Status],PrévisionBoris[[#This Row],[Status]],LstMachines[MoisLivr],R$1)</f>
        <v>0</v>
      </c>
      <c r="S26" s="207">
        <f>SUMIFS(LstMachines[Nbre],LstMachines[Model-Spec],PrévisionBoris[[#This Row],[Spec]],LstMachines[Status],PrévisionBoris[[#This Row],[Status]],LstMachines[MoisLivr],S$1)</f>
        <v>0</v>
      </c>
      <c r="T26" s="206">
        <f>SUMIFS(LstMachines[Nbre],LstMachines[Model-Spec],PrévisionBoris[[#This Row],[Spec]],LstMachines[Status],PrévisionBoris[[#This Row],[Status]],LstMachines[MoisLivr],T$1)</f>
        <v>0</v>
      </c>
      <c r="U26" s="207">
        <f>SUMIFS(LstMachines[Nbre],LstMachines[Model-Spec],PrévisionBoris[[#This Row],[Spec]],LstMachines[Status],PrévisionBoris[[#This Row],[Status]],LstMachines[MoisLivr],U$1)</f>
        <v>0</v>
      </c>
      <c r="V26" s="207">
        <f>SUMIFS(LstMachines[Nbre],LstMachines[Model-Spec],PrévisionBoris[[#This Row],[Spec]],LstMachines[Status],PrévisionBoris[[#This Row],[Status]],LstMachines[MoisLivr],V$1)</f>
        <v>0</v>
      </c>
      <c r="W26" s="206">
        <f>SUMIFS(LstMachines[Nbre],LstMachines[Model-Spec],PrévisionBoris[[#This Row],[Spec]],LstMachines[Status],PrévisionBoris[[#This Row],[Status]],LstMachines[MoisLivr],W$1)</f>
        <v>0</v>
      </c>
      <c r="X26" s="207">
        <f>SUMIFS(LstMachines[Nbre],LstMachines[Model-Spec],PrévisionBoris[[#This Row],[Spec]],LstMachines[Status],PrévisionBoris[[#This Row],[Status]],LstMachines[MoisLivr],X$1)</f>
        <v>0</v>
      </c>
      <c r="Y26" s="207">
        <f>SUMIFS(LstMachines[Nbre],LstMachines[Model-Spec],PrévisionBoris[[#This Row],[Spec]],LstMachines[Status],PrévisionBoris[[#This Row],[Status]],LstMachines[MoisLivr],Y$1)</f>
        <v>0</v>
      </c>
      <c r="Z26" s="206">
        <f>SUMIFS(LstMachines[Nbre],LstMachines[Model-Spec],PrévisionBoris[[#This Row],[Spec]],LstMachines[Status],PrévisionBoris[[#This Row],[Status]],LstMachines[MoisLivr],Z$1)</f>
        <v>0</v>
      </c>
      <c r="AA26" s="207">
        <f>SUMIFS(LstMachines[Nbre],LstMachines[Model-Spec],PrévisionBoris[[#This Row],[Spec]],LstMachines[Status],PrévisionBoris[[#This Row],[Status]],LstMachines[MoisLivr],AA$1)</f>
        <v>0</v>
      </c>
      <c r="AB26" s="207">
        <f>SUMIFS(LstMachines[Nbre],LstMachines[Model-Spec],PrévisionBoris[[#This Row],[Spec]],LstMachines[Status],PrévisionBoris[[#This Row],[Status]],LstMachines[MoisLivr],AB$1)</f>
        <v>0</v>
      </c>
      <c r="AC26" s="206">
        <f>SUMIFS(LstMachines[Nbre],LstMachines[Model-Spec],PrévisionBoris[[#This Row],[Spec]],LstMachines[Status],PrévisionBoris[[#This Row],[Status]],LstMachines[MoisLivr],AC$1)</f>
        <v>0</v>
      </c>
      <c r="AD26" s="207">
        <f>SUMIFS(LstMachines[Nbre],LstMachines[Model-Spec],PrévisionBoris[[#This Row],[Spec]],LstMachines[Status],PrévisionBoris[[#This Row],[Status]],LstMachines[MoisLivr],AD$1)</f>
        <v>0</v>
      </c>
      <c r="AE26" s="207">
        <f>SUMIFS(LstMachines[Nbre],LstMachines[Model-Spec],PrévisionBoris[[#This Row],[Spec]],LstMachines[Status],PrévisionBoris[[#This Row],[Status]],LstMachines[MoisLivr],AE$1)</f>
        <v>0</v>
      </c>
      <c r="AF26" s="206">
        <f>SUMIFS(LstMachines[Nbre],LstMachines[Model-Spec],PrévisionBoris[[#This Row],[Spec]],LstMachines[Status],PrévisionBoris[[#This Row],[Status]],LstMachines[MoisLivr],AF$1)</f>
        <v>0</v>
      </c>
      <c r="AG26" s="207">
        <f>SUMIFS(LstMachines[Nbre],LstMachines[Model-Spec],PrévisionBoris[[#This Row],[Spec]],LstMachines[Status],PrévisionBoris[[#This Row],[Status]],LstMachines[MoisLivr],AG$1)</f>
        <v>0</v>
      </c>
      <c r="AH26" s="207">
        <f>SUMIFS(LstMachines[Nbre],LstMachines[Model-Spec],PrévisionBoris[[#This Row],[Spec]],LstMachines[Status],PrévisionBoris[[#This Row],[Status]],LstMachines[MoisLivr],AH$1)</f>
        <v>0</v>
      </c>
      <c r="AI26" s="206">
        <f>SUMIFS(LstMachines[Nbre],LstMachines[Model-Spec],PrévisionBoris[[#This Row],[Spec]],LstMachines[Status],PrévisionBoris[[#This Row],[Status]],LstMachines[MoisLivr],AI$1)</f>
        <v>0</v>
      </c>
      <c r="AJ26" s="207">
        <f>SUMIFS(LstMachines[Nbre],LstMachines[Model-Spec],PrévisionBoris[[#This Row],[Spec]],LstMachines[Status],PrévisionBoris[[#This Row],[Status]],LstMachines[MoisLivr],AJ$1)</f>
        <v>0</v>
      </c>
      <c r="AK26" s="207">
        <f>SUMIFS(LstMachines[Nbre],LstMachines[Model-Spec],PrévisionBoris[[#This Row],[Spec]],LstMachines[Status],PrévisionBoris[[#This Row],[Status]],LstMachines[MoisLivr],AK$1)</f>
        <v>0</v>
      </c>
      <c r="AL26" s="206">
        <f>SUMIFS(LstMachines[Nbre],LstMachines[Model-Spec],PrévisionBoris[[#This Row],[Spec]],LstMachines[Status],PrévisionBoris[[#This Row],[Status]],LstMachines[MoisLivr],AL$1)</f>
        <v>0</v>
      </c>
      <c r="AM26" s="207">
        <f>SUMIFS(LstMachines[Nbre],LstMachines[Model-Spec],PrévisionBoris[[#This Row],[Spec]],LstMachines[Status],PrévisionBoris[[#This Row],[Status]],LstMachines[MoisLivr],AM$1)</f>
        <v>0</v>
      </c>
      <c r="AN26" s="207">
        <f>SUMIFS(LstMachines[Nbre],LstMachines[Model-Spec],PrévisionBoris[[#This Row],[Spec]],LstMachines[Status],PrévisionBoris[[#This Row],[Status]],LstMachines[MoisLivr],AN$1)</f>
        <v>0</v>
      </c>
      <c r="AO26" s="206">
        <f>SUMIFS(LstMachines[Nbre],LstMachines[Model-Spec],PrévisionBoris[[#This Row],[Spec]],LstMachines[Status],PrévisionBoris[[#This Row],[Status]],LstMachines[MoisLivr],AO$1)</f>
        <v>0</v>
      </c>
      <c r="AP26" s="207">
        <f>SUMIFS(LstMachines[Nbre],LstMachines[Model-Spec],PrévisionBoris[[#This Row],[Spec]],LstMachines[Status],PrévisionBoris[[#This Row],[Status]],LstMachines[MoisLivr],AP$1)</f>
        <v>0</v>
      </c>
      <c r="AQ26" s="207">
        <f>SUMIFS(LstMachines[Nbre],LstMachines[Model-Spec],PrévisionBoris[[#This Row],[Spec]],LstMachines[Status],PrévisionBoris[[#This Row],[Status]],LstMachines[MoisLivr],AQ$1)</f>
        <v>0</v>
      </c>
      <c r="AR26" s="206">
        <f>SUMIFS(LstMachines[Nbre],LstMachines[Model-Spec],PrévisionBoris[[#This Row],[Spec]],LstMachines[Status],PrévisionBoris[[#This Row],[Status]],LstMachines[MoisLivr],AR$1)</f>
        <v>0</v>
      </c>
      <c r="AS26" s="207">
        <f>SUMIFS(LstMachines[Nbre],LstMachines[Model-Spec],PrévisionBoris[[#This Row],[Spec]],LstMachines[Status],PrévisionBoris[[#This Row],[Status]],LstMachines[MoisLivr],AS$1)</f>
        <v>0</v>
      </c>
      <c r="AT26" s="207">
        <f>SUMIFS(LstMachines[Nbre],LstMachines[Model-Spec],PrévisionBoris[[#This Row],[Spec]],LstMachines[Status],PrévisionBoris[[#This Row],[Status]],LstMachines[MoisLivr],AT$1)</f>
        <v>0</v>
      </c>
      <c r="AU26" s="206">
        <f>SUMIFS(LstMachines[Nbre],LstMachines[Model-Spec],PrévisionBoris[[#This Row],[Spec]],LstMachines[Status],PrévisionBoris[[#This Row],[Status]],LstMachines[MoisLivr],AU$1)</f>
        <v>0</v>
      </c>
      <c r="AV26" s="233">
        <f>SUMIFS(LstMachines[Nbre],LstMachines[Model-Spec],PrévisionBoris[[#This Row],[Spec]],LstMachines[Status],PrévisionBoris[[#This Row],[Status]],LstMachines[MoisLivr],AV$1)</f>
        <v>0</v>
      </c>
      <c r="AW26" s="208">
        <f>SUMIFS(LstMachines[Nbre],LstMachines[Model-Spec],PrévisionBoris[[#This Row],[Spec]],LstMachines[Status],PrévisionBoris[[#This Row],[Status]],LstMachines[MoisLivr],AW$1)</f>
        <v>0</v>
      </c>
      <c r="AX26" s="225"/>
      <c r="AY26" s="211">
        <f t="shared" si="3"/>
        <v>0</v>
      </c>
      <c r="AZ26" s="212">
        <f t="shared" si="4"/>
        <v>0</v>
      </c>
      <c r="BA26" s="212">
        <f t="shared" si="5"/>
        <v>0</v>
      </c>
      <c r="BB26" s="213">
        <f t="shared" si="6"/>
        <v>0</v>
      </c>
      <c r="BC26" s="225">
        <f t="shared" si="7"/>
        <v>0</v>
      </c>
      <c r="BD26" s="211">
        <f t="shared" si="8"/>
        <v>0</v>
      </c>
      <c r="BE26" s="212">
        <f t="shared" si="9"/>
        <v>0</v>
      </c>
      <c r="BF26" s="212">
        <f t="shared" si="10"/>
        <v>0</v>
      </c>
      <c r="BG26" s="213">
        <f t="shared" si="11"/>
        <v>0</v>
      </c>
      <c r="BH26" s="225">
        <f t="shared" si="12"/>
        <v>0</v>
      </c>
      <c r="BI26" s="214">
        <f t="shared" si="13"/>
        <v>0</v>
      </c>
      <c r="BJ26" s="215">
        <f t="shared" si="14"/>
        <v>0</v>
      </c>
      <c r="BK26" s="215">
        <f t="shared" si="15"/>
        <v>0</v>
      </c>
      <c r="BL26" s="216">
        <f t="shared" si="16"/>
        <v>0</v>
      </c>
      <c r="BM26" s="225">
        <f t="shared" si="17"/>
        <v>0</v>
      </c>
      <c r="BN26" s="225"/>
      <c r="BO26" s="234"/>
      <c r="BP26" s="218">
        <f t="shared" si="18"/>
        <v>0</v>
      </c>
    </row>
    <row r="27" spans="1:68">
      <c r="A27" s="170">
        <v>20</v>
      </c>
      <c r="B27" s="170" t="s">
        <v>151</v>
      </c>
      <c r="C27" s="200">
        <v>150</v>
      </c>
      <c r="D27" s="170" t="s">
        <v>156</v>
      </c>
      <c r="E27" s="170" t="s">
        <v>159</v>
      </c>
      <c r="F27" s="200">
        <f>VLOOKUP(PrévisionBoris[[#This Row],[Spec]],TabModelSpecs[[ModelSpec]:[Price]],2,FALSE)</f>
        <v>100</v>
      </c>
      <c r="G27" s="170" t="s">
        <v>462</v>
      </c>
      <c r="H27" s="219">
        <f>SUMIFS(LstMachines[Nbre],LstMachines[Model-Spec],PrévisionBoris[[#This Row],[Spec]],LstMachines[Status],PrévisionBoris[[#This Row],[Status]],LstMachines[MoisLivr],H$1)</f>
        <v>0</v>
      </c>
      <c r="I27" s="220">
        <f>SUMIFS(LstMachines[Nbre],LstMachines[Model-Spec],PrévisionBoris[[#This Row],[Spec]],LstMachines[Status],PrévisionBoris[[#This Row],[Status]],LstMachines[MoisLivr],I$1)</f>
        <v>0</v>
      </c>
      <c r="J27" s="221">
        <f>SUMIFS(LstMachines[Nbre],LstMachines[Model-Spec],PrévisionBoris[[#This Row],[Spec]],LstMachines[Status],PrévisionBoris[[#This Row],[Status]],LstMachines[MoisLivr],J$1)</f>
        <v>0</v>
      </c>
      <c r="K27" s="219">
        <f>SUMIFS(LstMachines[Nbre],LstMachines[Model-Spec],PrévisionBoris[[#This Row],[Spec]],LstMachines[Status],PrévisionBoris[[#This Row],[Status]],LstMachines[MoisLivr],K$1)</f>
        <v>0</v>
      </c>
      <c r="L27" s="220">
        <f>SUMIFS(LstMachines[Nbre],LstMachines[Model-Spec],PrévisionBoris[[#This Row],[Spec]],LstMachines[Status],PrévisionBoris[[#This Row],[Status]],LstMachines[MoisLivr],L$1)</f>
        <v>0</v>
      </c>
      <c r="M27" s="221">
        <f>SUMIFS(LstMachines[Nbre],LstMachines[Model-Spec],PrévisionBoris[[#This Row],[Spec]],LstMachines[Status],PrévisionBoris[[#This Row],[Status]],LstMachines[MoisLivr],M$1)</f>
        <v>0</v>
      </c>
      <c r="N27" s="219">
        <f>SUMIFS(LstMachines[Nbre],LstMachines[Model-Spec],PrévisionBoris[[#This Row],[Spec]],LstMachines[Status],PrévisionBoris[[#This Row],[Status]],LstMachines[MoisLivr],N$1)</f>
        <v>0</v>
      </c>
      <c r="O27" s="220">
        <f>SUMIFS(LstMachines[Nbre],LstMachines[Model-Spec],PrévisionBoris[[#This Row],[Spec]],LstMachines[Status],PrévisionBoris[[#This Row],[Status]],LstMachines[MoisLivr],O$1)</f>
        <v>0</v>
      </c>
      <c r="P27" s="221">
        <f>SUMIFS(LstMachines[Nbre],LstMachines[Model-Spec],PrévisionBoris[[#This Row],[Spec]],LstMachines[Status],PrévisionBoris[[#This Row],[Status]],LstMachines[MoisLivr],P$1)</f>
        <v>0</v>
      </c>
      <c r="Q27" s="222">
        <f>SUMIFS(LstMachines[Nbre],LstMachines[Model-Spec],PrévisionBoris[[#This Row],[Spec]],LstMachines[Status],PrévisionBoris[[#This Row],[Status]],LstMachines[MoisLivr],Q$1)</f>
        <v>0</v>
      </c>
      <c r="R27" s="220">
        <f>SUMIFS(LstMachines[Nbre],LstMachines[Model-Spec],PrévisionBoris[[#This Row],[Spec]],LstMachines[Status],PrévisionBoris[[#This Row],[Status]],LstMachines[MoisLivr],R$1)</f>
        <v>0</v>
      </c>
      <c r="S27" s="220">
        <f>SUMIFS(LstMachines[Nbre],LstMachines[Model-Spec],PrévisionBoris[[#This Row],[Spec]],LstMachines[Status],PrévisionBoris[[#This Row],[Status]],LstMachines[MoisLivr],S$1)</f>
        <v>0</v>
      </c>
      <c r="T27" s="219">
        <f>SUMIFS(LstMachines[Nbre],LstMachines[Model-Spec],PrévisionBoris[[#This Row],[Spec]],LstMachines[Status],PrévisionBoris[[#This Row],[Status]],LstMachines[MoisLivr],T$1)</f>
        <v>0</v>
      </c>
      <c r="U27" s="220">
        <f>SUMIFS(LstMachines[Nbre],LstMachines[Model-Spec],PrévisionBoris[[#This Row],[Spec]],LstMachines[Status],PrévisionBoris[[#This Row],[Status]],LstMachines[MoisLivr],U$1)</f>
        <v>0</v>
      </c>
      <c r="V27" s="220">
        <f>SUMIFS(LstMachines[Nbre],LstMachines[Model-Spec],PrévisionBoris[[#This Row],[Spec]],LstMachines[Status],PrévisionBoris[[#This Row],[Status]],LstMachines[MoisLivr],V$1)</f>
        <v>0</v>
      </c>
      <c r="W27" s="219">
        <f>SUMIFS(LstMachines[Nbre],LstMachines[Model-Spec],PrévisionBoris[[#This Row],[Spec]],LstMachines[Status],PrévisionBoris[[#This Row],[Status]],LstMachines[MoisLivr],W$1)</f>
        <v>0</v>
      </c>
      <c r="X27" s="220">
        <f>SUMIFS(LstMachines[Nbre],LstMachines[Model-Spec],PrévisionBoris[[#This Row],[Spec]],LstMachines[Status],PrévisionBoris[[#This Row],[Status]],LstMachines[MoisLivr],X$1)</f>
        <v>0</v>
      </c>
      <c r="Y27" s="220">
        <f>SUMIFS(LstMachines[Nbre],LstMachines[Model-Spec],PrévisionBoris[[#This Row],[Spec]],LstMachines[Status],PrévisionBoris[[#This Row],[Status]],LstMachines[MoisLivr],Y$1)</f>
        <v>0</v>
      </c>
      <c r="Z27" s="219">
        <f>SUMIFS(LstMachines[Nbre],LstMachines[Model-Spec],PrévisionBoris[[#This Row],[Spec]],LstMachines[Status],PrévisionBoris[[#This Row],[Status]],LstMachines[MoisLivr],Z$1)</f>
        <v>0</v>
      </c>
      <c r="AA27" s="220">
        <f>SUMIFS(LstMachines[Nbre],LstMachines[Model-Spec],PrévisionBoris[[#This Row],[Spec]],LstMachines[Status],PrévisionBoris[[#This Row],[Status]],LstMachines[MoisLivr],AA$1)</f>
        <v>0</v>
      </c>
      <c r="AB27" s="220">
        <f>SUMIFS(LstMachines[Nbre],LstMachines[Model-Spec],PrévisionBoris[[#This Row],[Spec]],LstMachines[Status],PrévisionBoris[[#This Row],[Status]],LstMachines[MoisLivr],AB$1)</f>
        <v>0</v>
      </c>
      <c r="AC27" s="219">
        <f>SUMIFS(LstMachines[Nbre],LstMachines[Model-Spec],PrévisionBoris[[#This Row],[Spec]],LstMachines[Status],PrévisionBoris[[#This Row],[Status]],LstMachines[MoisLivr],AC$1)</f>
        <v>0</v>
      </c>
      <c r="AD27" s="220">
        <f>SUMIFS(LstMachines[Nbre],LstMachines[Model-Spec],PrévisionBoris[[#This Row],[Spec]],LstMachines[Status],PrévisionBoris[[#This Row],[Status]],LstMachines[MoisLivr],AD$1)</f>
        <v>0</v>
      </c>
      <c r="AE27" s="220">
        <f>SUMIFS(LstMachines[Nbre],LstMachines[Model-Spec],PrévisionBoris[[#This Row],[Spec]],LstMachines[Status],PrévisionBoris[[#This Row],[Status]],LstMachines[MoisLivr],AE$1)</f>
        <v>0</v>
      </c>
      <c r="AF27" s="219">
        <f>SUMIFS(LstMachines[Nbre],LstMachines[Model-Spec],PrévisionBoris[[#This Row],[Spec]],LstMachines[Status],PrévisionBoris[[#This Row],[Status]],LstMachines[MoisLivr],AF$1)</f>
        <v>0</v>
      </c>
      <c r="AG27" s="220">
        <f>SUMIFS(LstMachines[Nbre],LstMachines[Model-Spec],PrévisionBoris[[#This Row],[Spec]],LstMachines[Status],PrévisionBoris[[#This Row],[Status]],LstMachines[MoisLivr],AG$1)</f>
        <v>0</v>
      </c>
      <c r="AH27" s="220">
        <f>SUMIFS(LstMachines[Nbre],LstMachines[Model-Spec],PrévisionBoris[[#This Row],[Spec]],LstMachines[Status],PrévisionBoris[[#This Row],[Status]],LstMachines[MoisLivr],AH$1)</f>
        <v>0</v>
      </c>
      <c r="AI27" s="219">
        <f>SUMIFS(LstMachines[Nbre],LstMachines[Model-Spec],PrévisionBoris[[#This Row],[Spec]],LstMachines[Status],PrévisionBoris[[#This Row],[Status]],LstMachines[MoisLivr],AI$1)</f>
        <v>0</v>
      </c>
      <c r="AJ27" s="220">
        <f>SUMIFS(LstMachines[Nbre],LstMachines[Model-Spec],PrévisionBoris[[#This Row],[Spec]],LstMachines[Status],PrévisionBoris[[#This Row],[Status]],LstMachines[MoisLivr],AJ$1)</f>
        <v>0</v>
      </c>
      <c r="AK27" s="220">
        <f>SUMIFS(LstMachines[Nbre],LstMachines[Model-Spec],PrévisionBoris[[#This Row],[Spec]],LstMachines[Status],PrévisionBoris[[#This Row],[Status]],LstMachines[MoisLivr],AK$1)</f>
        <v>0</v>
      </c>
      <c r="AL27" s="219">
        <f>SUMIFS(LstMachines[Nbre],LstMachines[Model-Spec],PrévisionBoris[[#This Row],[Spec]],LstMachines[Status],PrévisionBoris[[#This Row],[Status]],LstMachines[MoisLivr],AL$1)</f>
        <v>0</v>
      </c>
      <c r="AM27" s="220">
        <f>SUMIFS(LstMachines[Nbre],LstMachines[Model-Spec],PrévisionBoris[[#This Row],[Spec]],LstMachines[Status],PrévisionBoris[[#This Row],[Status]],LstMachines[MoisLivr],AM$1)</f>
        <v>0</v>
      </c>
      <c r="AN27" s="220">
        <f>SUMIFS(LstMachines[Nbre],LstMachines[Model-Spec],PrévisionBoris[[#This Row],[Spec]],LstMachines[Status],PrévisionBoris[[#This Row],[Status]],LstMachines[MoisLivr],AN$1)</f>
        <v>0</v>
      </c>
      <c r="AO27" s="219">
        <f>SUMIFS(LstMachines[Nbre],LstMachines[Model-Spec],PrévisionBoris[[#This Row],[Spec]],LstMachines[Status],PrévisionBoris[[#This Row],[Status]],LstMachines[MoisLivr],AO$1)</f>
        <v>0</v>
      </c>
      <c r="AP27" s="220">
        <f>SUMIFS(LstMachines[Nbre],LstMachines[Model-Spec],PrévisionBoris[[#This Row],[Spec]],LstMachines[Status],PrévisionBoris[[#This Row],[Status]],LstMachines[MoisLivr],AP$1)</f>
        <v>0</v>
      </c>
      <c r="AQ27" s="220">
        <f>SUMIFS(LstMachines[Nbre],LstMachines[Model-Spec],PrévisionBoris[[#This Row],[Spec]],LstMachines[Status],PrévisionBoris[[#This Row],[Status]],LstMachines[MoisLivr],AQ$1)</f>
        <v>0</v>
      </c>
      <c r="AR27" s="219">
        <f>SUMIFS(LstMachines[Nbre],LstMachines[Model-Spec],PrévisionBoris[[#This Row],[Spec]],LstMachines[Status],PrévisionBoris[[#This Row],[Status]],LstMachines[MoisLivr],AR$1)</f>
        <v>0</v>
      </c>
      <c r="AS27" s="220">
        <f>SUMIFS(LstMachines[Nbre],LstMachines[Model-Spec],PrévisionBoris[[#This Row],[Spec]],LstMachines[Status],PrévisionBoris[[#This Row],[Status]],LstMachines[MoisLivr],AS$1)</f>
        <v>0</v>
      </c>
      <c r="AT27" s="220">
        <f>SUMIFS(LstMachines[Nbre],LstMachines[Model-Spec],PrévisionBoris[[#This Row],[Spec]],LstMachines[Status],PrévisionBoris[[#This Row],[Status]],LstMachines[MoisLivr],AT$1)</f>
        <v>0</v>
      </c>
      <c r="AU27" s="219">
        <f>SUMIFS(LstMachines[Nbre],LstMachines[Model-Spec],PrévisionBoris[[#This Row],[Spec]],LstMachines[Status],PrévisionBoris[[#This Row],[Status]],LstMachines[MoisLivr],AU$1)</f>
        <v>0</v>
      </c>
      <c r="AV27" s="223">
        <f>SUMIFS(LstMachines[Nbre],LstMachines[Model-Spec],PrévisionBoris[[#This Row],[Spec]],LstMachines[Status],PrévisionBoris[[#This Row],[Status]],LstMachines[MoisLivr],AV$1)</f>
        <v>0</v>
      </c>
      <c r="AW27" s="224">
        <f>SUMIFS(LstMachines[Nbre],LstMachines[Model-Spec],PrévisionBoris[[#This Row],[Spec]],LstMachines[Status],PrévisionBoris[[#This Row],[Status]],LstMachines[MoisLivr],AW$1)</f>
        <v>0</v>
      </c>
      <c r="AX27" s="210"/>
      <c r="AY27" s="211">
        <f t="shared" si="3"/>
        <v>0</v>
      </c>
      <c r="AZ27" s="212">
        <f t="shared" si="4"/>
        <v>0</v>
      </c>
      <c r="BA27" s="212">
        <f t="shared" si="5"/>
        <v>0</v>
      </c>
      <c r="BB27" s="213">
        <f t="shared" si="6"/>
        <v>0</v>
      </c>
      <c r="BC27" s="225">
        <f t="shared" si="7"/>
        <v>0</v>
      </c>
      <c r="BD27" s="211">
        <f t="shared" si="8"/>
        <v>0</v>
      </c>
      <c r="BE27" s="212">
        <f t="shared" si="9"/>
        <v>0</v>
      </c>
      <c r="BF27" s="212">
        <f t="shared" si="10"/>
        <v>0</v>
      </c>
      <c r="BG27" s="213">
        <f t="shared" si="11"/>
        <v>0</v>
      </c>
      <c r="BH27" s="225">
        <f t="shared" si="12"/>
        <v>0</v>
      </c>
      <c r="BI27" s="214">
        <f t="shared" si="13"/>
        <v>0</v>
      </c>
      <c r="BJ27" s="215">
        <f t="shared" si="14"/>
        <v>0</v>
      </c>
      <c r="BK27" s="215">
        <f t="shared" si="15"/>
        <v>0</v>
      </c>
      <c r="BL27" s="216">
        <f t="shared" si="16"/>
        <v>0</v>
      </c>
      <c r="BM27" s="225">
        <f t="shared" si="17"/>
        <v>0</v>
      </c>
      <c r="BN27" s="225"/>
      <c r="BO27" s="217"/>
      <c r="BP27" s="218">
        <f t="shared" si="18"/>
        <v>0</v>
      </c>
    </row>
    <row r="28" spans="1:68">
      <c r="A28" s="171">
        <v>21</v>
      </c>
      <c r="B28" s="171" t="s">
        <v>151</v>
      </c>
      <c r="C28" s="201">
        <v>150</v>
      </c>
      <c r="D28" s="171" t="s">
        <v>156</v>
      </c>
      <c r="E28" s="171" t="s">
        <v>159</v>
      </c>
      <c r="F28" s="201">
        <f>VLOOKUP(PrévisionBoris[[#This Row],[Spec]],TabModelSpecs[[ModelSpec]:[Price]],2,FALSE)</f>
        <v>100</v>
      </c>
      <c r="G28" s="171" t="s">
        <v>463</v>
      </c>
      <c r="H28" s="226">
        <f>SUMIFS(LstMachines[Nbre],LstMachines[Model-Spec],PrévisionBoris[[#This Row],[Spec]],LstMachines[Status],PrévisionBoris[[#This Row],[Status]],LstMachines[MoisLivr],H$1)</f>
        <v>0</v>
      </c>
      <c r="I28" s="227">
        <f>SUMIFS(LstMachines[Nbre],LstMachines[Model-Spec],PrévisionBoris[[#This Row],[Spec]],LstMachines[Status],PrévisionBoris[[#This Row],[Status]],LstMachines[MoisLivr],I$1)</f>
        <v>0</v>
      </c>
      <c r="J28" s="228">
        <f>SUMIFS(LstMachines[Nbre],LstMachines[Model-Spec],PrévisionBoris[[#This Row],[Spec]],LstMachines[Status],PrévisionBoris[[#This Row],[Status]],LstMachines[MoisLivr],J$1)</f>
        <v>0</v>
      </c>
      <c r="K28" s="226">
        <f>SUMIFS(LstMachines[Nbre],LstMachines[Model-Spec],PrévisionBoris[[#This Row],[Spec]],LstMachines[Status],PrévisionBoris[[#This Row],[Status]],LstMachines[MoisLivr],K$1)</f>
        <v>0</v>
      </c>
      <c r="L28" s="227">
        <f>SUMIFS(LstMachines[Nbre],LstMachines[Model-Spec],PrévisionBoris[[#This Row],[Spec]],LstMachines[Status],PrévisionBoris[[#This Row],[Status]],LstMachines[MoisLivr],L$1)</f>
        <v>0</v>
      </c>
      <c r="M28" s="228">
        <f>SUMIFS(LstMachines[Nbre],LstMachines[Model-Spec],PrévisionBoris[[#This Row],[Spec]],LstMachines[Status],PrévisionBoris[[#This Row],[Status]],LstMachines[MoisLivr],M$1)</f>
        <v>0</v>
      </c>
      <c r="N28" s="226">
        <f>SUMIFS(LstMachines[Nbre],LstMachines[Model-Spec],PrévisionBoris[[#This Row],[Spec]],LstMachines[Status],PrévisionBoris[[#This Row],[Status]],LstMachines[MoisLivr],N$1)</f>
        <v>0</v>
      </c>
      <c r="O28" s="227">
        <f>SUMIFS(LstMachines[Nbre],LstMachines[Model-Spec],PrévisionBoris[[#This Row],[Spec]],LstMachines[Status],PrévisionBoris[[#This Row],[Status]],LstMachines[MoisLivr],O$1)</f>
        <v>0</v>
      </c>
      <c r="P28" s="228">
        <f>SUMIFS(LstMachines[Nbre],LstMachines[Model-Spec],PrévisionBoris[[#This Row],[Spec]],LstMachines[Status],PrévisionBoris[[#This Row],[Status]],LstMachines[MoisLivr],P$1)</f>
        <v>0</v>
      </c>
      <c r="Q28" s="229">
        <f>SUMIFS(LstMachines[Nbre],LstMachines[Model-Spec],PrévisionBoris[[#This Row],[Spec]],LstMachines[Status],PrévisionBoris[[#This Row],[Status]],LstMachines[MoisLivr],Q$1)</f>
        <v>0</v>
      </c>
      <c r="R28" s="227">
        <f>SUMIFS(LstMachines[Nbre],LstMachines[Model-Spec],PrévisionBoris[[#This Row],[Spec]],LstMachines[Status],PrévisionBoris[[#This Row],[Status]],LstMachines[MoisLivr],R$1)</f>
        <v>0</v>
      </c>
      <c r="S28" s="227">
        <f>SUMIFS(LstMachines[Nbre],LstMachines[Model-Spec],PrévisionBoris[[#This Row],[Spec]],LstMachines[Status],PrévisionBoris[[#This Row],[Status]],LstMachines[MoisLivr],S$1)</f>
        <v>0</v>
      </c>
      <c r="T28" s="226">
        <f>SUMIFS(LstMachines[Nbre],LstMachines[Model-Spec],PrévisionBoris[[#This Row],[Spec]],LstMachines[Status],PrévisionBoris[[#This Row],[Status]],LstMachines[MoisLivr],T$1)</f>
        <v>0</v>
      </c>
      <c r="U28" s="227">
        <f>SUMIFS(LstMachines[Nbre],LstMachines[Model-Spec],PrévisionBoris[[#This Row],[Spec]],LstMachines[Status],PrévisionBoris[[#This Row],[Status]],LstMachines[MoisLivr],U$1)</f>
        <v>0</v>
      </c>
      <c r="V28" s="227">
        <f>SUMIFS(LstMachines[Nbre],LstMachines[Model-Spec],PrévisionBoris[[#This Row],[Spec]],LstMachines[Status],PrévisionBoris[[#This Row],[Status]],LstMachines[MoisLivr],V$1)</f>
        <v>0</v>
      </c>
      <c r="W28" s="226">
        <f>SUMIFS(LstMachines[Nbre],LstMachines[Model-Spec],PrévisionBoris[[#This Row],[Spec]],LstMachines[Status],PrévisionBoris[[#This Row],[Status]],LstMachines[MoisLivr],W$1)</f>
        <v>0</v>
      </c>
      <c r="X28" s="227">
        <f>SUMIFS(LstMachines[Nbre],LstMachines[Model-Spec],PrévisionBoris[[#This Row],[Spec]],LstMachines[Status],PrévisionBoris[[#This Row],[Status]],LstMachines[MoisLivr],X$1)</f>
        <v>0</v>
      </c>
      <c r="Y28" s="227">
        <f>SUMIFS(LstMachines[Nbre],LstMachines[Model-Spec],PrévisionBoris[[#This Row],[Spec]],LstMachines[Status],PrévisionBoris[[#This Row],[Status]],LstMachines[MoisLivr],Y$1)</f>
        <v>0</v>
      </c>
      <c r="Z28" s="226">
        <f>SUMIFS(LstMachines[Nbre],LstMachines[Model-Spec],PrévisionBoris[[#This Row],[Spec]],LstMachines[Status],PrévisionBoris[[#This Row],[Status]],LstMachines[MoisLivr],Z$1)</f>
        <v>0</v>
      </c>
      <c r="AA28" s="227">
        <f>SUMIFS(LstMachines[Nbre],LstMachines[Model-Spec],PrévisionBoris[[#This Row],[Spec]],LstMachines[Status],PrévisionBoris[[#This Row],[Status]],LstMachines[MoisLivr],AA$1)</f>
        <v>0</v>
      </c>
      <c r="AB28" s="227">
        <f>SUMIFS(LstMachines[Nbre],LstMachines[Model-Spec],PrévisionBoris[[#This Row],[Spec]],LstMachines[Status],PrévisionBoris[[#This Row],[Status]],LstMachines[MoisLivr],AB$1)</f>
        <v>0</v>
      </c>
      <c r="AC28" s="226">
        <f>SUMIFS(LstMachines[Nbre],LstMachines[Model-Spec],PrévisionBoris[[#This Row],[Spec]],LstMachines[Status],PrévisionBoris[[#This Row],[Status]],LstMachines[MoisLivr],AC$1)</f>
        <v>0</v>
      </c>
      <c r="AD28" s="227">
        <f>SUMIFS(LstMachines[Nbre],LstMachines[Model-Spec],PrévisionBoris[[#This Row],[Spec]],LstMachines[Status],PrévisionBoris[[#This Row],[Status]],LstMachines[MoisLivr],AD$1)</f>
        <v>0</v>
      </c>
      <c r="AE28" s="227">
        <f>SUMIFS(LstMachines[Nbre],LstMachines[Model-Spec],PrévisionBoris[[#This Row],[Spec]],LstMachines[Status],PrévisionBoris[[#This Row],[Status]],LstMachines[MoisLivr],AE$1)</f>
        <v>0</v>
      </c>
      <c r="AF28" s="226">
        <f>SUMIFS(LstMachines[Nbre],LstMachines[Model-Spec],PrévisionBoris[[#This Row],[Spec]],LstMachines[Status],PrévisionBoris[[#This Row],[Status]],LstMachines[MoisLivr],AF$1)</f>
        <v>0</v>
      </c>
      <c r="AG28" s="227">
        <f>SUMIFS(LstMachines[Nbre],LstMachines[Model-Spec],PrévisionBoris[[#This Row],[Spec]],LstMachines[Status],PrévisionBoris[[#This Row],[Status]],LstMachines[MoisLivr],AG$1)</f>
        <v>0</v>
      </c>
      <c r="AH28" s="227">
        <f>SUMIFS(LstMachines[Nbre],LstMachines[Model-Spec],PrévisionBoris[[#This Row],[Spec]],LstMachines[Status],PrévisionBoris[[#This Row],[Status]],LstMachines[MoisLivr],AH$1)</f>
        <v>0</v>
      </c>
      <c r="AI28" s="226">
        <f>SUMIFS(LstMachines[Nbre],LstMachines[Model-Spec],PrévisionBoris[[#This Row],[Spec]],LstMachines[Status],PrévisionBoris[[#This Row],[Status]],LstMachines[MoisLivr],AI$1)</f>
        <v>0</v>
      </c>
      <c r="AJ28" s="227">
        <f>SUMIFS(LstMachines[Nbre],LstMachines[Model-Spec],PrévisionBoris[[#This Row],[Spec]],LstMachines[Status],PrévisionBoris[[#This Row],[Status]],LstMachines[MoisLivr],AJ$1)</f>
        <v>0</v>
      </c>
      <c r="AK28" s="227">
        <f>SUMIFS(LstMachines[Nbre],LstMachines[Model-Spec],PrévisionBoris[[#This Row],[Spec]],LstMachines[Status],PrévisionBoris[[#This Row],[Status]],LstMachines[MoisLivr],AK$1)</f>
        <v>0</v>
      </c>
      <c r="AL28" s="226">
        <f>SUMIFS(LstMachines[Nbre],LstMachines[Model-Spec],PrévisionBoris[[#This Row],[Spec]],LstMachines[Status],PrévisionBoris[[#This Row],[Status]],LstMachines[MoisLivr],AL$1)</f>
        <v>0</v>
      </c>
      <c r="AM28" s="227">
        <f>SUMIFS(LstMachines[Nbre],LstMachines[Model-Spec],PrévisionBoris[[#This Row],[Spec]],LstMachines[Status],PrévisionBoris[[#This Row],[Status]],LstMachines[MoisLivr],AM$1)</f>
        <v>0</v>
      </c>
      <c r="AN28" s="227">
        <f>SUMIFS(LstMachines[Nbre],LstMachines[Model-Spec],PrévisionBoris[[#This Row],[Spec]],LstMachines[Status],PrévisionBoris[[#This Row],[Status]],LstMachines[MoisLivr],AN$1)</f>
        <v>0</v>
      </c>
      <c r="AO28" s="226">
        <f>SUMIFS(LstMachines[Nbre],LstMachines[Model-Spec],PrévisionBoris[[#This Row],[Spec]],LstMachines[Status],PrévisionBoris[[#This Row],[Status]],LstMachines[MoisLivr],AO$1)</f>
        <v>0</v>
      </c>
      <c r="AP28" s="227">
        <f>SUMIFS(LstMachines[Nbre],LstMachines[Model-Spec],PrévisionBoris[[#This Row],[Spec]],LstMachines[Status],PrévisionBoris[[#This Row],[Status]],LstMachines[MoisLivr],AP$1)</f>
        <v>0</v>
      </c>
      <c r="AQ28" s="227">
        <f>SUMIFS(LstMachines[Nbre],LstMachines[Model-Spec],PrévisionBoris[[#This Row],[Spec]],LstMachines[Status],PrévisionBoris[[#This Row],[Status]],LstMachines[MoisLivr],AQ$1)</f>
        <v>0</v>
      </c>
      <c r="AR28" s="226">
        <f>SUMIFS(LstMachines[Nbre],LstMachines[Model-Spec],PrévisionBoris[[#This Row],[Spec]],LstMachines[Status],PrévisionBoris[[#This Row],[Status]],LstMachines[MoisLivr],AR$1)</f>
        <v>0</v>
      </c>
      <c r="AS28" s="227">
        <f>SUMIFS(LstMachines[Nbre],LstMachines[Model-Spec],PrévisionBoris[[#This Row],[Spec]],LstMachines[Status],PrévisionBoris[[#This Row],[Status]],LstMachines[MoisLivr],AS$1)</f>
        <v>0</v>
      </c>
      <c r="AT28" s="227">
        <f>SUMIFS(LstMachines[Nbre],LstMachines[Model-Spec],PrévisionBoris[[#This Row],[Spec]],LstMachines[Status],PrévisionBoris[[#This Row],[Status]],LstMachines[MoisLivr],AT$1)</f>
        <v>0</v>
      </c>
      <c r="AU28" s="226">
        <f>SUMIFS(LstMachines[Nbre],LstMachines[Model-Spec],PrévisionBoris[[#This Row],[Spec]],LstMachines[Status],PrévisionBoris[[#This Row],[Status]],LstMachines[MoisLivr],AU$1)</f>
        <v>0</v>
      </c>
      <c r="AV28" s="230">
        <f>SUMIFS(LstMachines[Nbre],LstMachines[Model-Spec],PrévisionBoris[[#This Row],[Spec]],LstMachines[Status],PrévisionBoris[[#This Row],[Status]],LstMachines[MoisLivr],AV$1)</f>
        <v>0</v>
      </c>
      <c r="AW28" s="231">
        <f>SUMIFS(LstMachines[Nbre],LstMachines[Model-Spec],PrévisionBoris[[#This Row],[Spec]],LstMachines[Status],PrévisionBoris[[#This Row],[Status]],LstMachines[MoisLivr],AW$1)</f>
        <v>0</v>
      </c>
      <c r="AX28" s="232"/>
      <c r="AY28" s="211">
        <f t="shared" si="3"/>
        <v>0</v>
      </c>
      <c r="AZ28" s="212">
        <f t="shared" si="4"/>
        <v>0</v>
      </c>
      <c r="BA28" s="212">
        <f t="shared" si="5"/>
        <v>0</v>
      </c>
      <c r="BB28" s="213">
        <f t="shared" si="6"/>
        <v>0</v>
      </c>
      <c r="BC28" s="225">
        <f t="shared" si="7"/>
        <v>0</v>
      </c>
      <c r="BD28" s="211">
        <f t="shared" si="8"/>
        <v>0</v>
      </c>
      <c r="BE28" s="212">
        <f t="shared" si="9"/>
        <v>0</v>
      </c>
      <c r="BF28" s="212">
        <f t="shared" si="10"/>
        <v>0</v>
      </c>
      <c r="BG28" s="213">
        <f t="shared" si="11"/>
        <v>0</v>
      </c>
      <c r="BH28" s="225">
        <f t="shared" si="12"/>
        <v>0</v>
      </c>
      <c r="BI28" s="214">
        <f t="shared" si="13"/>
        <v>0</v>
      </c>
      <c r="BJ28" s="215">
        <f t="shared" si="14"/>
        <v>0</v>
      </c>
      <c r="BK28" s="215">
        <f t="shared" si="15"/>
        <v>0</v>
      </c>
      <c r="BL28" s="216">
        <f t="shared" si="16"/>
        <v>0</v>
      </c>
      <c r="BM28" s="225">
        <f t="shared" si="17"/>
        <v>0</v>
      </c>
      <c r="BN28" s="225"/>
      <c r="BO28" s="217"/>
      <c r="BP28" s="218">
        <f t="shared" si="18"/>
        <v>0</v>
      </c>
    </row>
    <row r="29" spans="1:68">
      <c r="A29" s="172">
        <v>22</v>
      </c>
      <c r="B29" s="172" t="s">
        <v>151</v>
      </c>
      <c r="C29" s="202">
        <v>180</v>
      </c>
      <c r="D29" s="172" t="s">
        <v>160</v>
      </c>
      <c r="E29" s="172" t="s">
        <v>161</v>
      </c>
      <c r="F29" s="202">
        <f>VLOOKUP(PrévisionBoris[[#This Row],[Spec]],TabModelSpecs[[ModelSpec]:[Price]],2,FALSE)</f>
        <v>105</v>
      </c>
      <c r="G29" s="172" t="s">
        <v>461</v>
      </c>
      <c r="H29" s="206">
        <f>SUMIFS(LstMachines[Nbre],LstMachines[Model-Spec],PrévisionBoris[[#This Row],[Spec]],LstMachines[Status],PrévisionBoris[[#This Row],[Status]],LstMachines[MoisLivr],H$1)</f>
        <v>0</v>
      </c>
      <c r="I29" s="207">
        <f>SUMIFS(LstMachines[Nbre],LstMachines[Model-Spec],PrévisionBoris[[#This Row],[Spec]],LstMachines[Status],PrévisionBoris[[#This Row],[Status]],LstMachines[MoisLivr],I$1)</f>
        <v>0</v>
      </c>
      <c r="J29" s="208">
        <f>SUMIFS(LstMachines[Nbre],LstMachines[Model-Spec],PrévisionBoris[[#This Row],[Spec]],LstMachines[Status],PrévisionBoris[[#This Row],[Status]],LstMachines[MoisLivr],J$1)</f>
        <v>0</v>
      </c>
      <c r="K29" s="206">
        <f>SUMIFS(LstMachines[Nbre],LstMachines[Model-Spec],PrévisionBoris[[#This Row],[Spec]],LstMachines[Status],PrévisionBoris[[#This Row],[Status]],LstMachines[MoisLivr],K$1)</f>
        <v>0</v>
      </c>
      <c r="L29" s="207">
        <f>SUMIFS(LstMachines[Nbre],LstMachines[Model-Spec],PrévisionBoris[[#This Row],[Spec]],LstMachines[Status],PrévisionBoris[[#This Row],[Status]],LstMachines[MoisLivr],L$1)</f>
        <v>0</v>
      </c>
      <c r="M29" s="208">
        <f>SUMIFS(LstMachines[Nbre],LstMachines[Model-Spec],PrévisionBoris[[#This Row],[Spec]],LstMachines[Status],PrévisionBoris[[#This Row],[Status]],LstMachines[MoisLivr],M$1)</f>
        <v>0</v>
      </c>
      <c r="N29" s="206">
        <f>SUMIFS(LstMachines[Nbre],LstMachines[Model-Spec],PrévisionBoris[[#This Row],[Spec]],LstMachines[Status],PrévisionBoris[[#This Row],[Status]],LstMachines[MoisLivr],N$1)</f>
        <v>0</v>
      </c>
      <c r="O29" s="207">
        <f>SUMIFS(LstMachines[Nbre],LstMachines[Model-Spec],PrévisionBoris[[#This Row],[Spec]],LstMachines[Status],PrévisionBoris[[#This Row],[Status]],LstMachines[MoisLivr],O$1)</f>
        <v>0</v>
      </c>
      <c r="P29" s="208">
        <f>SUMIFS(LstMachines[Nbre],LstMachines[Model-Spec],PrévisionBoris[[#This Row],[Spec]],LstMachines[Status],PrévisionBoris[[#This Row],[Status]],LstMachines[MoisLivr],P$1)</f>
        <v>0</v>
      </c>
      <c r="Q29" s="209">
        <f>SUMIFS(LstMachines[Nbre],LstMachines[Model-Spec],PrévisionBoris[[#This Row],[Spec]],LstMachines[Status],PrévisionBoris[[#This Row],[Status]],LstMachines[MoisLivr],Q$1)</f>
        <v>0</v>
      </c>
      <c r="R29" s="207">
        <f>SUMIFS(LstMachines[Nbre],LstMachines[Model-Spec],PrévisionBoris[[#This Row],[Spec]],LstMachines[Status],PrévisionBoris[[#This Row],[Status]],LstMachines[MoisLivr],R$1)</f>
        <v>0</v>
      </c>
      <c r="S29" s="207">
        <f>SUMIFS(LstMachines[Nbre],LstMachines[Model-Spec],PrévisionBoris[[#This Row],[Spec]],LstMachines[Status],PrévisionBoris[[#This Row],[Status]],LstMachines[MoisLivr],S$1)</f>
        <v>0</v>
      </c>
      <c r="T29" s="206">
        <f>SUMIFS(LstMachines[Nbre],LstMachines[Model-Spec],PrévisionBoris[[#This Row],[Spec]],LstMachines[Status],PrévisionBoris[[#This Row],[Status]],LstMachines[MoisLivr],T$1)</f>
        <v>0</v>
      </c>
      <c r="U29" s="207">
        <f>SUMIFS(LstMachines[Nbre],LstMachines[Model-Spec],PrévisionBoris[[#This Row],[Spec]],LstMachines[Status],PrévisionBoris[[#This Row],[Status]],LstMachines[MoisLivr],U$1)</f>
        <v>0</v>
      </c>
      <c r="V29" s="207">
        <f>SUMIFS(LstMachines[Nbre],LstMachines[Model-Spec],PrévisionBoris[[#This Row],[Spec]],LstMachines[Status],PrévisionBoris[[#This Row],[Status]],LstMachines[MoisLivr],V$1)</f>
        <v>0</v>
      </c>
      <c r="W29" s="206">
        <f>SUMIFS(LstMachines[Nbre],LstMachines[Model-Spec],PrévisionBoris[[#This Row],[Spec]],LstMachines[Status],PrévisionBoris[[#This Row],[Status]],LstMachines[MoisLivr],W$1)</f>
        <v>0</v>
      </c>
      <c r="X29" s="207">
        <f>SUMIFS(LstMachines[Nbre],LstMachines[Model-Spec],PrévisionBoris[[#This Row],[Spec]],LstMachines[Status],PrévisionBoris[[#This Row],[Status]],LstMachines[MoisLivr],X$1)</f>
        <v>0</v>
      </c>
      <c r="Y29" s="207">
        <f>SUMIFS(LstMachines[Nbre],LstMachines[Model-Spec],PrévisionBoris[[#This Row],[Spec]],LstMachines[Status],PrévisionBoris[[#This Row],[Status]],LstMachines[MoisLivr],Y$1)</f>
        <v>0</v>
      </c>
      <c r="Z29" s="206">
        <f>SUMIFS(LstMachines[Nbre],LstMachines[Model-Spec],PrévisionBoris[[#This Row],[Spec]],LstMachines[Status],PrévisionBoris[[#This Row],[Status]],LstMachines[MoisLivr],Z$1)</f>
        <v>0</v>
      </c>
      <c r="AA29" s="207">
        <f>SUMIFS(LstMachines[Nbre],LstMachines[Model-Spec],PrévisionBoris[[#This Row],[Spec]],LstMachines[Status],PrévisionBoris[[#This Row],[Status]],LstMachines[MoisLivr],AA$1)</f>
        <v>0</v>
      </c>
      <c r="AB29" s="207">
        <f>SUMIFS(LstMachines[Nbre],LstMachines[Model-Spec],PrévisionBoris[[#This Row],[Spec]],LstMachines[Status],PrévisionBoris[[#This Row],[Status]],LstMachines[MoisLivr],AB$1)</f>
        <v>0</v>
      </c>
      <c r="AC29" s="206">
        <f>SUMIFS(LstMachines[Nbre],LstMachines[Model-Spec],PrévisionBoris[[#This Row],[Spec]],LstMachines[Status],PrévisionBoris[[#This Row],[Status]],LstMachines[MoisLivr],AC$1)</f>
        <v>0</v>
      </c>
      <c r="AD29" s="207">
        <f>SUMIFS(LstMachines[Nbre],LstMachines[Model-Spec],PrévisionBoris[[#This Row],[Spec]],LstMachines[Status],PrévisionBoris[[#This Row],[Status]],LstMachines[MoisLivr],AD$1)</f>
        <v>0</v>
      </c>
      <c r="AE29" s="207">
        <f>SUMIFS(LstMachines[Nbre],LstMachines[Model-Spec],PrévisionBoris[[#This Row],[Spec]],LstMachines[Status],PrévisionBoris[[#This Row],[Status]],LstMachines[MoisLivr],AE$1)</f>
        <v>0</v>
      </c>
      <c r="AF29" s="206">
        <f>SUMIFS(LstMachines[Nbre],LstMachines[Model-Spec],PrévisionBoris[[#This Row],[Spec]],LstMachines[Status],PrévisionBoris[[#This Row],[Status]],LstMachines[MoisLivr],AF$1)</f>
        <v>0</v>
      </c>
      <c r="AG29" s="207">
        <f>SUMIFS(LstMachines[Nbre],LstMachines[Model-Spec],PrévisionBoris[[#This Row],[Spec]],LstMachines[Status],PrévisionBoris[[#This Row],[Status]],LstMachines[MoisLivr],AG$1)</f>
        <v>0</v>
      </c>
      <c r="AH29" s="207">
        <f>SUMIFS(LstMachines[Nbre],LstMachines[Model-Spec],PrévisionBoris[[#This Row],[Spec]],LstMachines[Status],PrévisionBoris[[#This Row],[Status]],LstMachines[MoisLivr],AH$1)</f>
        <v>0</v>
      </c>
      <c r="AI29" s="206">
        <f>SUMIFS(LstMachines[Nbre],LstMachines[Model-Spec],PrévisionBoris[[#This Row],[Spec]],LstMachines[Status],PrévisionBoris[[#This Row],[Status]],LstMachines[MoisLivr],AI$1)</f>
        <v>0</v>
      </c>
      <c r="AJ29" s="207">
        <f>SUMIFS(LstMachines[Nbre],LstMachines[Model-Spec],PrévisionBoris[[#This Row],[Spec]],LstMachines[Status],PrévisionBoris[[#This Row],[Status]],LstMachines[MoisLivr],AJ$1)</f>
        <v>0</v>
      </c>
      <c r="AK29" s="207">
        <f>SUMIFS(LstMachines[Nbre],LstMachines[Model-Spec],PrévisionBoris[[#This Row],[Spec]],LstMachines[Status],PrévisionBoris[[#This Row],[Status]],LstMachines[MoisLivr],AK$1)</f>
        <v>0</v>
      </c>
      <c r="AL29" s="206">
        <f>SUMIFS(LstMachines[Nbre],LstMachines[Model-Spec],PrévisionBoris[[#This Row],[Spec]],LstMachines[Status],PrévisionBoris[[#This Row],[Status]],LstMachines[MoisLivr],AL$1)</f>
        <v>0</v>
      </c>
      <c r="AM29" s="207">
        <f>SUMIFS(LstMachines[Nbre],LstMachines[Model-Spec],PrévisionBoris[[#This Row],[Spec]],LstMachines[Status],PrévisionBoris[[#This Row],[Status]],LstMachines[MoisLivr],AM$1)</f>
        <v>0</v>
      </c>
      <c r="AN29" s="207">
        <f>SUMIFS(LstMachines[Nbre],LstMachines[Model-Spec],PrévisionBoris[[#This Row],[Spec]],LstMachines[Status],PrévisionBoris[[#This Row],[Status]],LstMachines[MoisLivr],AN$1)</f>
        <v>0</v>
      </c>
      <c r="AO29" s="206">
        <f>SUMIFS(LstMachines[Nbre],LstMachines[Model-Spec],PrévisionBoris[[#This Row],[Spec]],LstMachines[Status],PrévisionBoris[[#This Row],[Status]],LstMachines[MoisLivr],AO$1)</f>
        <v>0</v>
      </c>
      <c r="AP29" s="207">
        <f>SUMIFS(LstMachines[Nbre],LstMachines[Model-Spec],PrévisionBoris[[#This Row],[Spec]],LstMachines[Status],PrévisionBoris[[#This Row],[Status]],LstMachines[MoisLivr],AP$1)</f>
        <v>0</v>
      </c>
      <c r="AQ29" s="207">
        <f>SUMIFS(LstMachines[Nbre],LstMachines[Model-Spec],PrévisionBoris[[#This Row],[Spec]],LstMachines[Status],PrévisionBoris[[#This Row],[Status]],LstMachines[MoisLivr],AQ$1)</f>
        <v>0</v>
      </c>
      <c r="AR29" s="206">
        <f>SUMIFS(LstMachines[Nbre],LstMachines[Model-Spec],PrévisionBoris[[#This Row],[Spec]],LstMachines[Status],PrévisionBoris[[#This Row],[Status]],LstMachines[MoisLivr],AR$1)</f>
        <v>0</v>
      </c>
      <c r="AS29" s="207">
        <f>SUMIFS(LstMachines[Nbre],LstMachines[Model-Spec],PrévisionBoris[[#This Row],[Spec]],LstMachines[Status],PrévisionBoris[[#This Row],[Status]],LstMachines[MoisLivr],AS$1)</f>
        <v>0</v>
      </c>
      <c r="AT29" s="207">
        <f>SUMIFS(LstMachines[Nbre],LstMachines[Model-Spec],PrévisionBoris[[#This Row],[Spec]],LstMachines[Status],PrévisionBoris[[#This Row],[Status]],LstMachines[MoisLivr],AT$1)</f>
        <v>0</v>
      </c>
      <c r="AU29" s="206">
        <f>SUMIFS(LstMachines[Nbre],LstMachines[Model-Spec],PrévisionBoris[[#This Row],[Spec]],LstMachines[Status],PrévisionBoris[[#This Row],[Status]],LstMachines[MoisLivr],AU$1)</f>
        <v>0</v>
      </c>
      <c r="AV29" s="233">
        <f>SUMIFS(LstMachines[Nbre],LstMachines[Model-Spec],PrévisionBoris[[#This Row],[Spec]],LstMachines[Status],PrévisionBoris[[#This Row],[Status]],LstMachines[MoisLivr],AV$1)</f>
        <v>0</v>
      </c>
      <c r="AW29" s="208">
        <f>SUMIFS(LstMachines[Nbre],LstMachines[Model-Spec],PrévisionBoris[[#This Row],[Spec]],LstMachines[Status],PrévisionBoris[[#This Row],[Status]],LstMachines[MoisLivr],AW$1)</f>
        <v>0</v>
      </c>
      <c r="AX29" s="210"/>
      <c r="AY29" s="211">
        <f t="shared" si="3"/>
        <v>0</v>
      </c>
      <c r="AZ29" s="212">
        <f t="shared" si="4"/>
        <v>0</v>
      </c>
      <c r="BA29" s="212">
        <f t="shared" si="5"/>
        <v>0</v>
      </c>
      <c r="BB29" s="213">
        <f t="shared" si="6"/>
        <v>0</v>
      </c>
      <c r="BC29" s="225">
        <f t="shared" si="7"/>
        <v>0</v>
      </c>
      <c r="BD29" s="211">
        <f t="shared" si="8"/>
        <v>0</v>
      </c>
      <c r="BE29" s="212">
        <f t="shared" si="9"/>
        <v>0</v>
      </c>
      <c r="BF29" s="212">
        <f t="shared" si="10"/>
        <v>0</v>
      </c>
      <c r="BG29" s="213">
        <f t="shared" si="11"/>
        <v>0</v>
      </c>
      <c r="BH29" s="225">
        <f t="shared" si="12"/>
        <v>0</v>
      </c>
      <c r="BI29" s="214">
        <f t="shared" si="13"/>
        <v>0</v>
      </c>
      <c r="BJ29" s="215">
        <f t="shared" si="14"/>
        <v>0</v>
      </c>
      <c r="BK29" s="215">
        <f t="shared" si="15"/>
        <v>0</v>
      </c>
      <c r="BL29" s="216">
        <f t="shared" si="16"/>
        <v>0</v>
      </c>
      <c r="BM29" s="225">
        <f t="shared" si="17"/>
        <v>0</v>
      </c>
      <c r="BN29" s="225"/>
      <c r="BO29" s="217"/>
      <c r="BP29" s="218">
        <f t="shared" si="18"/>
        <v>0</v>
      </c>
    </row>
    <row r="30" spans="1:68">
      <c r="A30" s="170">
        <v>23</v>
      </c>
      <c r="B30" s="170" t="s">
        <v>151</v>
      </c>
      <c r="C30" s="200">
        <v>180</v>
      </c>
      <c r="D30" s="170" t="s">
        <v>160</v>
      </c>
      <c r="E30" s="170" t="s">
        <v>161</v>
      </c>
      <c r="F30" s="200">
        <f>VLOOKUP(PrévisionBoris[[#This Row],[Spec]],TabModelSpecs[[ModelSpec]:[Price]],2,FALSE)</f>
        <v>105</v>
      </c>
      <c r="G30" s="170" t="s">
        <v>462</v>
      </c>
      <c r="H30" s="219">
        <f>SUMIFS(LstMachines[Nbre],LstMachines[Model-Spec],PrévisionBoris[[#This Row],[Spec]],LstMachines[Status],PrévisionBoris[[#This Row],[Status]],LstMachines[MoisLivr],H$1)</f>
        <v>0</v>
      </c>
      <c r="I30" s="220">
        <f>SUMIFS(LstMachines[Nbre],LstMachines[Model-Spec],PrévisionBoris[[#This Row],[Spec]],LstMachines[Status],PrévisionBoris[[#This Row],[Status]],LstMachines[MoisLivr],I$1)</f>
        <v>0</v>
      </c>
      <c r="J30" s="221">
        <f>SUMIFS(LstMachines[Nbre],LstMachines[Model-Spec],PrévisionBoris[[#This Row],[Spec]],LstMachines[Status],PrévisionBoris[[#This Row],[Status]],LstMachines[MoisLivr],J$1)</f>
        <v>0</v>
      </c>
      <c r="K30" s="219">
        <f>SUMIFS(LstMachines[Nbre],LstMachines[Model-Spec],PrévisionBoris[[#This Row],[Spec]],LstMachines[Status],PrévisionBoris[[#This Row],[Status]],LstMachines[MoisLivr],K$1)</f>
        <v>0</v>
      </c>
      <c r="L30" s="220">
        <f>SUMIFS(LstMachines[Nbre],LstMachines[Model-Spec],PrévisionBoris[[#This Row],[Spec]],LstMachines[Status],PrévisionBoris[[#This Row],[Status]],LstMachines[MoisLivr],L$1)</f>
        <v>0</v>
      </c>
      <c r="M30" s="221">
        <f>SUMIFS(LstMachines[Nbre],LstMachines[Model-Spec],PrévisionBoris[[#This Row],[Spec]],LstMachines[Status],PrévisionBoris[[#This Row],[Status]],LstMachines[MoisLivr],M$1)</f>
        <v>0</v>
      </c>
      <c r="N30" s="219">
        <f>SUMIFS(LstMachines[Nbre],LstMachines[Model-Spec],PrévisionBoris[[#This Row],[Spec]],LstMachines[Status],PrévisionBoris[[#This Row],[Status]],LstMachines[MoisLivr],N$1)</f>
        <v>0</v>
      </c>
      <c r="O30" s="220">
        <f>SUMIFS(LstMachines[Nbre],LstMachines[Model-Spec],PrévisionBoris[[#This Row],[Spec]],LstMachines[Status],PrévisionBoris[[#This Row],[Status]],LstMachines[MoisLivr],O$1)</f>
        <v>0</v>
      </c>
      <c r="P30" s="221">
        <f>SUMIFS(LstMachines[Nbre],LstMachines[Model-Spec],PrévisionBoris[[#This Row],[Spec]],LstMachines[Status],PrévisionBoris[[#This Row],[Status]],LstMachines[MoisLivr],P$1)</f>
        <v>0</v>
      </c>
      <c r="Q30" s="222">
        <f>SUMIFS(LstMachines[Nbre],LstMachines[Model-Spec],PrévisionBoris[[#This Row],[Spec]],LstMachines[Status],PrévisionBoris[[#This Row],[Status]],LstMachines[MoisLivr],Q$1)</f>
        <v>0</v>
      </c>
      <c r="R30" s="220">
        <f>SUMIFS(LstMachines[Nbre],LstMachines[Model-Spec],PrévisionBoris[[#This Row],[Spec]],LstMachines[Status],PrévisionBoris[[#This Row],[Status]],LstMachines[MoisLivr],R$1)</f>
        <v>0</v>
      </c>
      <c r="S30" s="220">
        <f>SUMIFS(LstMachines[Nbre],LstMachines[Model-Spec],PrévisionBoris[[#This Row],[Spec]],LstMachines[Status],PrévisionBoris[[#This Row],[Status]],LstMachines[MoisLivr],S$1)</f>
        <v>0</v>
      </c>
      <c r="T30" s="219">
        <f>SUMIFS(LstMachines[Nbre],LstMachines[Model-Spec],PrévisionBoris[[#This Row],[Spec]],LstMachines[Status],PrévisionBoris[[#This Row],[Status]],LstMachines[MoisLivr],T$1)</f>
        <v>0</v>
      </c>
      <c r="U30" s="220">
        <f>SUMIFS(LstMachines[Nbre],LstMachines[Model-Spec],PrévisionBoris[[#This Row],[Spec]],LstMachines[Status],PrévisionBoris[[#This Row],[Status]],LstMachines[MoisLivr],U$1)</f>
        <v>0</v>
      </c>
      <c r="V30" s="220">
        <f>SUMIFS(LstMachines[Nbre],LstMachines[Model-Spec],PrévisionBoris[[#This Row],[Spec]],LstMachines[Status],PrévisionBoris[[#This Row],[Status]],LstMachines[MoisLivr],V$1)</f>
        <v>0</v>
      </c>
      <c r="W30" s="219">
        <f>SUMIFS(LstMachines[Nbre],LstMachines[Model-Spec],PrévisionBoris[[#This Row],[Spec]],LstMachines[Status],PrévisionBoris[[#This Row],[Status]],LstMachines[MoisLivr],W$1)</f>
        <v>0</v>
      </c>
      <c r="X30" s="220">
        <f>SUMIFS(LstMachines[Nbre],LstMachines[Model-Spec],PrévisionBoris[[#This Row],[Spec]],LstMachines[Status],PrévisionBoris[[#This Row],[Status]],LstMachines[MoisLivr],X$1)</f>
        <v>0</v>
      </c>
      <c r="Y30" s="220">
        <f>SUMIFS(LstMachines[Nbre],LstMachines[Model-Spec],PrévisionBoris[[#This Row],[Spec]],LstMachines[Status],PrévisionBoris[[#This Row],[Status]],LstMachines[MoisLivr],Y$1)</f>
        <v>0</v>
      </c>
      <c r="Z30" s="219">
        <f>SUMIFS(LstMachines[Nbre],LstMachines[Model-Spec],PrévisionBoris[[#This Row],[Spec]],LstMachines[Status],PrévisionBoris[[#This Row],[Status]],LstMachines[MoisLivr],Z$1)</f>
        <v>0</v>
      </c>
      <c r="AA30" s="220">
        <f>SUMIFS(LstMachines[Nbre],LstMachines[Model-Spec],PrévisionBoris[[#This Row],[Spec]],LstMachines[Status],PrévisionBoris[[#This Row],[Status]],LstMachines[MoisLivr],AA$1)</f>
        <v>0</v>
      </c>
      <c r="AB30" s="220">
        <f>SUMIFS(LstMachines[Nbre],LstMachines[Model-Spec],PrévisionBoris[[#This Row],[Spec]],LstMachines[Status],PrévisionBoris[[#This Row],[Status]],LstMachines[MoisLivr],AB$1)</f>
        <v>0</v>
      </c>
      <c r="AC30" s="219">
        <f>SUMIFS(LstMachines[Nbre],LstMachines[Model-Spec],PrévisionBoris[[#This Row],[Spec]],LstMachines[Status],PrévisionBoris[[#This Row],[Status]],LstMachines[MoisLivr],AC$1)</f>
        <v>0</v>
      </c>
      <c r="AD30" s="220">
        <f>SUMIFS(LstMachines[Nbre],LstMachines[Model-Spec],PrévisionBoris[[#This Row],[Spec]],LstMachines[Status],PrévisionBoris[[#This Row],[Status]],LstMachines[MoisLivr],AD$1)</f>
        <v>0</v>
      </c>
      <c r="AE30" s="220">
        <f>SUMIFS(LstMachines[Nbre],LstMachines[Model-Spec],PrévisionBoris[[#This Row],[Spec]],LstMachines[Status],PrévisionBoris[[#This Row],[Status]],LstMachines[MoisLivr],AE$1)</f>
        <v>0</v>
      </c>
      <c r="AF30" s="219">
        <f>SUMIFS(LstMachines[Nbre],LstMachines[Model-Spec],PrévisionBoris[[#This Row],[Spec]],LstMachines[Status],PrévisionBoris[[#This Row],[Status]],LstMachines[MoisLivr],AF$1)</f>
        <v>0</v>
      </c>
      <c r="AG30" s="220">
        <f>SUMIFS(LstMachines[Nbre],LstMachines[Model-Spec],PrévisionBoris[[#This Row],[Spec]],LstMachines[Status],PrévisionBoris[[#This Row],[Status]],LstMachines[MoisLivr],AG$1)</f>
        <v>0</v>
      </c>
      <c r="AH30" s="220">
        <f>SUMIFS(LstMachines[Nbre],LstMachines[Model-Spec],PrévisionBoris[[#This Row],[Spec]],LstMachines[Status],PrévisionBoris[[#This Row],[Status]],LstMachines[MoisLivr],AH$1)</f>
        <v>0</v>
      </c>
      <c r="AI30" s="219">
        <f>SUMIFS(LstMachines[Nbre],LstMachines[Model-Spec],PrévisionBoris[[#This Row],[Spec]],LstMachines[Status],PrévisionBoris[[#This Row],[Status]],LstMachines[MoisLivr],AI$1)</f>
        <v>0</v>
      </c>
      <c r="AJ30" s="220">
        <f>SUMIFS(LstMachines[Nbre],LstMachines[Model-Spec],PrévisionBoris[[#This Row],[Spec]],LstMachines[Status],PrévisionBoris[[#This Row],[Status]],LstMachines[MoisLivr],AJ$1)</f>
        <v>0</v>
      </c>
      <c r="AK30" s="220">
        <f>SUMIFS(LstMachines[Nbre],LstMachines[Model-Spec],PrévisionBoris[[#This Row],[Spec]],LstMachines[Status],PrévisionBoris[[#This Row],[Status]],LstMachines[MoisLivr],AK$1)</f>
        <v>0</v>
      </c>
      <c r="AL30" s="219">
        <f>SUMIFS(LstMachines[Nbre],LstMachines[Model-Spec],PrévisionBoris[[#This Row],[Spec]],LstMachines[Status],PrévisionBoris[[#This Row],[Status]],LstMachines[MoisLivr],AL$1)</f>
        <v>0</v>
      </c>
      <c r="AM30" s="220">
        <f>SUMIFS(LstMachines[Nbre],LstMachines[Model-Spec],PrévisionBoris[[#This Row],[Spec]],LstMachines[Status],PrévisionBoris[[#This Row],[Status]],LstMachines[MoisLivr],AM$1)</f>
        <v>0</v>
      </c>
      <c r="AN30" s="220">
        <f>SUMIFS(LstMachines[Nbre],LstMachines[Model-Spec],PrévisionBoris[[#This Row],[Spec]],LstMachines[Status],PrévisionBoris[[#This Row],[Status]],LstMachines[MoisLivr],AN$1)</f>
        <v>0</v>
      </c>
      <c r="AO30" s="219">
        <f>SUMIFS(LstMachines[Nbre],LstMachines[Model-Spec],PrévisionBoris[[#This Row],[Spec]],LstMachines[Status],PrévisionBoris[[#This Row],[Status]],LstMachines[MoisLivr],AO$1)</f>
        <v>0</v>
      </c>
      <c r="AP30" s="220">
        <f>SUMIFS(LstMachines[Nbre],LstMachines[Model-Spec],PrévisionBoris[[#This Row],[Spec]],LstMachines[Status],PrévisionBoris[[#This Row],[Status]],LstMachines[MoisLivr],AP$1)</f>
        <v>0</v>
      </c>
      <c r="AQ30" s="220">
        <f>SUMIFS(LstMachines[Nbre],LstMachines[Model-Spec],PrévisionBoris[[#This Row],[Spec]],LstMachines[Status],PrévisionBoris[[#This Row],[Status]],LstMachines[MoisLivr],AQ$1)</f>
        <v>0</v>
      </c>
      <c r="AR30" s="219">
        <f>SUMIFS(LstMachines[Nbre],LstMachines[Model-Spec],PrévisionBoris[[#This Row],[Spec]],LstMachines[Status],PrévisionBoris[[#This Row],[Status]],LstMachines[MoisLivr],AR$1)</f>
        <v>0</v>
      </c>
      <c r="AS30" s="220">
        <f>SUMIFS(LstMachines[Nbre],LstMachines[Model-Spec],PrévisionBoris[[#This Row],[Spec]],LstMachines[Status],PrévisionBoris[[#This Row],[Status]],LstMachines[MoisLivr],AS$1)</f>
        <v>0</v>
      </c>
      <c r="AT30" s="220">
        <f>SUMIFS(LstMachines[Nbre],LstMachines[Model-Spec],PrévisionBoris[[#This Row],[Spec]],LstMachines[Status],PrévisionBoris[[#This Row],[Status]],LstMachines[MoisLivr],AT$1)</f>
        <v>0</v>
      </c>
      <c r="AU30" s="219">
        <f>SUMIFS(LstMachines[Nbre],LstMachines[Model-Spec],PrévisionBoris[[#This Row],[Spec]],LstMachines[Status],PrévisionBoris[[#This Row],[Status]],LstMachines[MoisLivr],AU$1)</f>
        <v>0</v>
      </c>
      <c r="AV30" s="223">
        <f>SUMIFS(LstMachines[Nbre],LstMachines[Model-Spec],PrévisionBoris[[#This Row],[Spec]],LstMachines[Status],PrévisionBoris[[#This Row],[Status]],LstMachines[MoisLivr],AV$1)</f>
        <v>0</v>
      </c>
      <c r="AW30" s="224">
        <f>SUMIFS(LstMachines[Nbre],LstMachines[Model-Spec],PrévisionBoris[[#This Row],[Spec]],LstMachines[Status],PrévisionBoris[[#This Row],[Status]],LstMachines[MoisLivr],AW$1)</f>
        <v>0</v>
      </c>
      <c r="AX30" s="210"/>
      <c r="AY30" s="211">
        <f t="shared" si="3"/>
        <v>0</v>
      </c>
      <c r="AZ30" s="212">
        <f t="shared" si="4"/>
        <v>0</v>
      </c>
      <c r="BA30" s="212">
        <f t="shared" si="5"/>
        <v>0</v>
      </c>
      <c r="BB30" s="213">
        <f t="shared" si="6"/>
        <v>0</v>
      </c>
      <c r="BC30" s="225">
        <f t="shared" si="7"/>
        <v>0</v>
      </c>
      <c r="BD30" s="211">
        <f t="shared" si="8"/>
        <v>0</v>
      </c>
      <c r="BE30" s="212">
        <f t="shared" si="9"/>
        <v>0</v>
      </c>
      <c r="BF30" s="212">
        <f t="shared" si="10"/>
        <v>0</v>
      </c>
      <c r="BG30" s="213">
        <f t="shared" si="11"/>
        <v>0</v>
      </c>
      <c r="BH30" s="225">
        <f t="shared" si="12"/>
        <v>0</v>
      </c>
      <c r="BI30" s="214">
        <f t="shared" si="13"/>
        <v>0</v>
      </c>
      <c r="BJ30" s="215">
        <f t="shared" si="14"/>
        <v>0</v>
      </c>
      <c r="BK30" s="215">
        <f t="shared" si="15"/>
        <v>0</v>
      </c>
      <c r="BL30" s="216">
        <f t="shared" si="16"/>
        <v>0</v>
      </c>
      <c r="BM30" s="225">
        <f t="shared" si="17"/>
        <v>0</v>
      </c>
      <c r="BN30" s="225"/>
      <c r="BO30" s="217"/>
      <c r="BP30" s="218">
        <f t="shared" si="18"/>
        <v>0</v>
      </c>
    </row>
    <row r="31" spans="1:68">
      <c r="A31" s="171">
        <v>24</v>
      </c>
      <c r="B31" s="171" t="s">
        <v>151</v>
      </c>
      <c r="C31" s="201">
        <v>180</v>
      </c>
      <c r="D31" s="171" t="s">
        <v>160</v>
      </c>
      <c r="E31" s="171" t="s">
        <v>161</v>
      </c>
      <c r="F31" s="201">
        <f>VLOOKUP(PrévisionBoris[[#This Row],[Spec]],TabModelSpecs[[ModelSpec]:[Price]],2,FALSE)</f>
        <v>105</v>
      </c>
      <c r="G31" s="171" t="s">
        <v>463</v>
      </c>
      <c r="H31" s="226">
        <f>SUMIFS(LstMachines[Nbre],LstMachines[Model-Spec],PrévisionBoris[[#This Row],[Spec]],LstMachines[Status],PrévisionBoris[[#This Row],[Status]],LstMachines[MoisLivr],H$1)</f>
        <v>0</v>
      </c>
      <c r="I31" s="227">
        <f>SUMIFS(LstMachines[Nbre],LstMachines[Model-Spec],PrévisionBoris[[#This Row],[Spec]],LstMachines[Status],PrévisionBoris[[#This Row],[Status]],LstMachines[MoisLivr],I$1)</f>
        <v>0</v>
      </c>
      <c r="J31" s="228">
        <f>SUMIFS(LstMachines[Nbre],LstMachines[Model-Spec],PrévisionBoris[[#This Row],[Spec]],LstMachines[Status],PrévisionBoris[[#This Row],[Status]],LstMachines[MoisLivr],J$1)</f>
        <v>0</v>
      </c>
      <c r="K31" s="226">
        <f>SUMIFS(LstMachines[Nbre],LstMachines[Model-Spec],PrévisionBoris[[#This Row],[Spec]],LstMachines[Status],PrévisionBoris[[#This Row],[Status]],LstMachines[MoisLivr],K$1)</f>
        <v>0</v>
      </c>
      <c r="L31" s="227">
        <f>SUMIFS(LstMachines[Nbre],LstMachines[Model-Spec],PrévisionBoris[[#This Row],[Spec]],LstMachines[Status],PrévisionBoris[[#This Row],[Status]],LstMachines[MoisLivr],L$1)</f>
        <v>0</v>
      </c>
      <c r="M31" s="228">
        <f>SUMIFS(LstMachines[Nbre],LstMachines[Model-Spec],PrévisionBoris[[#This Row],[Spec]],LstMachines[Status],PrévisionBoris[[#This Row],[Status]],LstMachines[MoisLivr],M$1)</f>
        <v>0</v>
      </c>
      <c r="N31" s="226">
        <f>SUMIFS(LstMachines[Nbre],LstMachines[Model-Spec],PrévisionBoris[[#This Row],[Spec]],LstMachines[Status],PrévisionBoris[[#This Row],[Status]],LstMachines[MoisLivr],N$1)</f>
        <v>0</v>
      </c>
      <c r="O31" s="227">
        <f>SUMIFS(LstMachines[Nbre],LstMachines[Model-Spec],PrévisionBoris[[#This Row],[Spec]],LstMachines[Status],PrévisionBoris[[#This Row],[Status]],LstMachines[MoisLivr],O$1)</f>
        <v>0</v>
      </c>
      <c r="P31" s="228">
        <f>SUMIFS(LstMachines[Nbre],LstMachines[Model-Spec],PrévisionBoris[[#This Row],[Spec]],LstMachines[Status],PrévisionBoris[[#This Row],[Status]],LstMachines[MoisLivr],P$1)</f>
        <v>0</v>
      </c>
      <c r="Q31" s="229">
        <f>SUMIFS(LstMachines[Nbre],LstMachines[Model-Spec],PrévisionBoris[[#This Row],[Spec]],LstMachines[Status],PrévisionBoris[[#This Row],[Status]],LstMachines[MoisLivr],Q$1)</f>
        <v>0</v>
      </c>
      <c r="R31" s="227">
        <f>SUMIFS(LstMachines[Nbre],LstMachines[Model-Spec],PrévisionBoris[[#This Row],[Spec]],LstMachines[Status],PrévisionBoris[[#This Row],[Status]],LstMachines[MoisLivr],R$1)</f>
        <v>0</v>
      </c>
      <c r="S31" s="227">
        <f>SUMIFS(LstMachines[Nbre],LstMachines[Model-Spec],PrévisionBoris[[#This Row],[Spec]],LstMachines[Status],PrévisionBoris[[#This Row],[Status]],LstMachines[MoisLivr],S$1)</f>
        <v>0</v>
      </c>
      <c r="T31" s="226">
        <f>SUMIFS(LstMachines[Nbre],LstMachines[Model-Spec],PrévisionBoris[[#This Row],[Spec]],LstMachines[Status],PrévisionBoris[[#This Row],[Status]],LstMachines[MoisLivr],T$1)</f>
        <v>0</v>
      </c>
      <c r="U31" s="227">
        <f>SUMIFS(LstMachines[Nbre],LstMachines[Model-Spec],PrévisionBoris[[#This Row],[Spec]],LstMachines[Status],PrévisionBoris[[#This Row],[Status]],LstMachines[MoisLivr],U$1)</f>
        <v>0</v>
      </c>
      <c r="V31" s="227">
        <f>SUMIFS(LstMachines[Nbre],LstMachines[Model-Spec],PrévisionBoris[[#This Row],[Spec]],LstMachines[Status],PrévisionBoris[[#This Row],[Status]],LstMachines[MoisLivr],V$1)</f>
        <v>0</v>
      </c>
      <c r="W31" s="226">
        <f>SUMIFS(LstMachines[Nbre],LstMachines[Model-Spec],PrévisionBoris[[#This Row],[Spec]],LstMachines[Status],PrévisionBoris[[#This Row],[Status]],LstMachines[MoisLivr],W$1)</f>
        <v>0</v>
      </c>
      <c r="X31" s="227">
        <f>SUMIFS(LstMachines[Nbre],LstMachines[Model-Spec],PrévisionBoris[[#This Row],[Spec]],LstMachines[Status],PrévisionBoris[[#This Row],[Status]],LstMachines[MoisLivr],X$1)</f>
        <v>0</v>
      </c>
      <c r="Y31" s="227">
        <f>SUMIFS(LstMachines[Nbre],LstMachines[Model-Spec],PrévisionBoris[[#This Row],[Spec]],LstMachines[Status],PrévisionBoris[[#This Row],[Status]],LstMachines[MoisLivr],Y$1)</f>
        <v>0</v>
      </c>
      <c r="Z31" s="226">
        <f>SUMIFS(LstMachines[Nbre],LstMachines[Model-Spec],PrévisionBoris[[#This Row],[Spec]],LstMachines[Status],PrévisionBoris[[#This Row],[Status]],LstMachines[MoisLivr],Z$1)</f>
        <v>0</v>
      </c>
      <c r="AA31" s="227">
        <f>SUMIFS(LstMachines[Nbre],LstMachines[Model-Spec],PrévisionBoris[[#This Row],[Spec]],LstMachines[Status],PrévisionBoris[[#This Row],[Status]],LstMachines[MoisLivr],AA$1)</f>
        <v>0</v>
      </c>
      <c r="AB31" s="227">
        <f>SUMIFS(LstMachines[Nbre],LstMachines[Model-Spec],PrévisionBoris[[#This Row],[Spec]],LstMachines[Status],PrévisionBoris[[#This Row],[Status]],LstMachines[MoisLivr],AB$1)</f>
        <v>0</v>
      </c>
      <c r="AC31" s="226">
        <f>SUMIFS(LstMachines[Nbre],LstMachines[Model-Spec],PrévisionBoris[[#This Row],[Spec]],LstMachines[Status],PrévisionBoris[[#This Row],[Status]],LstMachines[MoisLivr],AC$1)</f>
        <v>0</v>
      </c>
      <c r="AD31" s="227">
        <f>SUMIFS(LstMachines[Nbre],LstMachines[Model-Spec],PrévisionBoris[[#This Row],[Spec]],LstMachines[Status],PrévisionBoris[[#This Row],[Status]],LstMachines[MoisLivr],AD$1)</f>
        <v>0</v>
      </c>
      <c r="AE31" s="227">
        <f>SUMIFS(LstMachines[Nbre],LstMachines[Model-Spec],PrévisionBoris[[#This Row],[Spec]],LstMachines[Status],PrévisionBoris[[#This Row],[Status]],LstMachines[MoisLivr],AE$1)</f>
        <v>0</v>
      </c>
      <c r="AF31" s="226">
        <f>SUMIFS(LstMachines[Nbre],LstMachines[Model-Spec],PrévisionBoris[[#This Row],[Spec]],LstMachines[Status],PrévisionBoris[[#This Row],[Status]],LstMachines[MoisLivr],AF$1)</f>
        <v>0</v>
      </c>
      <c r="AG31" s="227">
        <f>SUMIFS(LstMachines[Nbre],LstMachines[Model-Spec],PrévisionBoris[[#This Row],[Spec]],LstMachines[Status],PrévisionBoris[[#This Row],[Status]],LstMachines[MoisLivr],AG$1)</f>
        <v>0</v>
      </c>
      <c r="AH31" s="227">
        <f>SUMIFS(LstMachines[Nbre],LstMachines[Model-Spec],PrévisionBoris[[#This Row],[Spec]],LstMachines[Status],PrévisionBoris[[#This Row],[Status]],LstMachines[MoisLivr],AH$1)</f>
        <v>0</v>
      </c>
      <c r="AI31" s="226">
        <f>SUMIFS(LstMachines[Nbre],LstMachines[Model-Spec],PrévisionBoris[[#This Row],[Spec]],LstMachines[Status],PrévisionBoris[[#This Row],[Status]],LstMachines[MoisLivr],AI$1)</f>
        <v>0</v>
      </c>
      <c r="AJ31" s="227">
        <f>SUMIFS(LstMachines[Nbre],LstMachines[Model-Spec],PrévisionBoris[[#This Row],[Spec]],LstMachines[Status],PrévisionBoris[[#This Row],[Status]],LstMachines[MoisLivr],AJ$1)</f>
        <v>0</v>
      </c>
      <c r="AK31" s="227">
        <f>SUMIFS(LstMachines[Nbre],LstMachines[Model-Spec],PrévisionBoris[[#This Row],[Spec]],LstMachines[Status],PrévisionBoris[[#This Row],[Status]],LstMachines[MoisLivr],AK$1)</f>
        <v>0</v>
      </c>
      <c r="AL31" s="226">
        <f>SUMIFS(LstMachines[Nbre],LstMachines[Model-Spec],PrévisionBoris[[#This Row],[Spec]],LstMachines[Status],PrévisionBoris[[#This Row],[Status]],LstMachines[MoisLivr],AL$1)</f>
        <v>0</v>
      </c>
      <c r="AM31" s="227">
        <f>SUMIFS(LstMachines[Nbre],LstMachines[Model-Spec],PrévisionBoris[[#This Row],[Spec]],LstMachines[Status],PrévisionBoris[[#This Row],[Status]],LstMachines[MoisLivr],AM$1)</f>
        <v>0</v>
      </c>
      <c r="AN31" s="227">
        <f>SUMIFS(LstMachines[Nbre],LstMachines[Model-Spec],PrévisionBoris[[#This Row],[Spec]],LstMachines[Status],PrévisionBoris[[#This Row],[Status]],LstMachines[MoisLivr],AN$1)</f>
        <v>0</v>
      </c>
      <c r="AO31" s="226">
        <f>SUMIFS(LstMachines[Nbre],LstMachines[Model-Spec],PrévisionBoris[[#This Row],[Spec]],LstMachines[Status],PrévisionBoris[[#This Row],[Status]],LstMachines[MoisLivr],AO$1)</f>
        <v>0</v>
      </c>
      <c r="AP31" s="227">
        <f>SUMIFS(LstMachines[Nbre],LstMachines[Model-Spec],PrévisionBoris[[#This Row],[Spec]],LstMachines[Status],PrévisionBoris[[#This Row],[Status]],LstMachines[MoisLivr],AP$1)</f>
        <v>0</v>
      </c>
      <c r="AQ31" s="227">
        <f>SUMIFS(LstMachines[Nbre],LstMachines[Model-Spec],PrévisionBoris[[#This Row],[Spec]],LstMachines[Status],PrévisionBoris[[#This Row],[Status]],LstMachines[MoisLivr],AQ$1)</f>
        <v>0</v>
      </c>
      <c r="AR31" s="226">
        <f>SUMIFS(LstMachines[Nbre],LstMachines[Model-Spec],PrévisionBoris[[#This Row],[Spec]],LstMachines[Status],PrévisionBoris[[#This Row],[Status]],LstMachines[MoisLivr],AR$1)</f>
        <v>0</v>
      </c>
      <c r="AS31" s="227">
        <f>SUMIFS(LstMachines[Nbre],LstMachines[Model-Spec],PrévisionBoris[[#This Row],[Spec]],LstMachines[Status],PrévisionBoris[[#This Row],[Status]],LstMachines[MoisLivr],AS$1)</f>
        <v>0</v>
      </c>
      <c r="AT31" s="227">
        <f>SUMIFS(LstMachines[Nbre],LstMachines[Model-Spec],PrévisionBoris[[#This Row],[Spec]],LstMachines[Status],PrévisionBoris[[#This Row],[Status]],LstMachines[MoisLivr],AT$1)</f>
        <v>0</v>
      </c>
      <c r="AU31" s="226">
        <f>SUMIFS(LstMachines[Nbre],LstMachines[Model-Spec],PrévisionBoris[[#This Row],[Spec]],LstMachines[Status],PrévisionBoris[[#This Row],[Status]],LstMachines[MoisLivr],AU$1)</f>
        <v>0</v>
      </c>
      <c r="AV31" s="230">
        <f>SUMIFS(LstMachines[Nbre],LstMachines[Model-Spec],PrévisionBoris[[#This Row],[Spec]],LstMachines[Status],PrévisionBoris[[#This Row],[Status]],LstMachines[MoisLivr],AV$1)</f>
        <v>0</v>
      </c>
      <c r="AW31" s="231">
        <f>SUMIFS(LstMachines[Nbre],LstMachines[Model-Spec],PrévisionBoris[[#This Row],[Spec]],LstMachines[Status],PrévisionBoris[[#This Row],[Status]],LstMachines[MoisLivr],AW$1)</f>
        <v>0</v>
      </c>
      <c r="AX31" s="232"/>
      <c r="AY31" s="211">
        <f t="shared" si="3"/>
        <v>0</v>
      </c>
      <c r="AZ31" s="212">
        <f t="shared" si="4"/>
        <v>0</v>
      </c>
      <c r="BA31" s="212">
        <f t="shared" si="5"/>
        <v>0</v>
      </c>
      <c r="BB31" s="213">
        <f t="shared" si="6"/>
        <v>0</v>
      </c>
      <c r="BC31" s="225">
        <f t="shared" si="7"/>
        <v>0</v>
      </c>
      <c r="BD31" s="211">
        <f t="shared" si="8"/>
        <v>0</v>
      </c>
      <c r="BE31" s="212">
        <f t="shared" si="9"/>
        <v>0</v>
      </c>
      <c r="BF31" s="212">
        <f t="shared" si="10"/>
        <v>0</v>
      </c>
      <c r="BG31" s="213">
        <f t="shared" si="11"/>
        <v>0</v>
      </c>
      <c r="BH31" s="225">
        <f t="shared" si="12"/>
        <v>0</v>
      </c>
      <c r="BI31" s="214">
        <f t="shared" si="13"/>
        <v>0</v>
      </c>
      <c r="BJ31" s="215">
        <f t="shared" si="14"/>
        <v>0</v>
      </c>
      <c r="BK31" s="215">
        <f t="shared" si="15"/>
        <v>0</v>
      </c>
      <c r="BL31" s="216">
        <f t="shared" si="16"/>
        <v>0</v>
      </c>
      <c r="BM31" s="225">
        <f t="shared" si="17"/>
        <v>0</v>
      </c>
      <c r="BN31" s="225"/>
      <c r="BO31" s="217"/>
      <c r="BP31" s="218">
        <f t="shared" si="18"/>
        <v>0</v>
      </c>
    </row>
    <row r="32" spans="1:68">
      <c r="A32" s="172">
        <v>25</v>
      </c>
      <c r="B32" s="172" t="s">
        <v>151</v>
      </c>
      <c r="C32" s="202">
        <v>180</v>
      </c>
      <c r="D32" s="172" t="s">
        <v>160</v>
      </c>
      <c r="E32" s="172" t="s">
        <v>162</v>
      </c>
      <c r="F32" s="202">
        <f>VLOOKUP(PrévisionBoris[[#This Row],[Spec]],TabModelSpecs[[ModelSpec]:[Price]],2,FALSE)</f>
        <v>105</v>
      </c>
      <c r="G32" s="172" t="s">
        <v>461</v>
      </c>
      <c r="H32" s="206">
        <f>SUMIFS(LstMachines[Nbre],LstMachines[Model-Spec],PrévisionBoris[[#This Row],[Spec]],LstMachines[Status],PrévisionBoris[[#This Row],[Status]],LstMachines[MoisLivr],H$1)</f>
        <v>0</v>
      </c>
      <c r="I32" s="207">
        <f>SUMIFS(LstMachines[Nbre],LstMachines[Model-Spec],PrévisionBoris[[#This Row],[Spec]],LstMachines[Status],PrévisionBoris[[#This Row],[Status]],LstMachines[MoisLivr],I$1)</f>
        <v>0</v>
      </c>
      <c r="J32" s="208">
        <f>SUMIFS(LstMachines[Nbre],LstMachines[Model-Spec],PrévisionBoris[[#This Row],[Spec]],LstMachines[Status],PrévisionBoris[[#This Row],[Status]],LstMachines[MoisLivr],J$1)</f>
        <v>0</v>
      </c>
      <c r="K32" s="206">
        <f>SUMIFS(LstMachines[Nbre],LstMachines[Model-Spec],PrévisionBoris[[#This Row],[Spec]],LstMachines[Status],PrévisionBoris[[#This Row],[Status]],LstMachines[MoisLivr],K$1)</f>
        <v>0</v>
      </c>
      <c r="L32" s="207">
        <f>SUMIFS(LstMachines[Nbre],LstMachines[Model-Spec],PrévisionBoris[[#This Row],[Spec]],LstMachines[Status],PrévisionBoris[[#This Row],[Status]],LstMachines[MoisLivr],L$1)</f>
        <v>0</v>
      </c>
      <c r="M32" s="208">
        <f>SUMIFS(LstMachines[Nbre],LstMachines[Model-Spec],PrévisionBoris[[#This Row],[Spec]],LstMachines[Status],PrévisionBoris[[#This Row],[Status]],LstMachines[MoisLivr],M$1)</f>
        <v>0</v>
      </c>
      <c r="N32" s="206">
        <f>SUMIFS(LstMachines[Nbre],LstMachines[Model-Spec],PrévisionBoris[[#This Row],[Spec]],LstMachines[Status],PrévisionBoris[[#This Row],[Status]],LstMachines[MoisLivr],N$1)</f>
        <v>0</v>
      </c>
      <c r="O32" s="207">
        <f>SUMIFS(LstMachines[Nbre],LstMachines[Model-Spec],PrévisionBoris[[#This Row],[Spec]],LstMachines[Status],PrévisionBoris[[#This Row],[Status]],LstMachines[MoisLivr],O$1)</f>
        <v>0</v>
      </c>
      <c r="P32" s="208">
        <f>SUMIFS(LstMachines[Nbre],LstMachines[Model-Spec],PrévisionBoris[[#This Row],[Spec]],LstMachines[Status],PrévisionBoris[[#This Row],[Status]],LstMachines[MoisLivr],P$1)</f>
        <v>0</v>
      </c>
      <c r="Q32" s="209">
        <f>SUMIFS(LstMachines[Nbre],LstMachines[Model-Spec],PrévisionBoris[[#This Row],[Spec]],LstMachines[Status],PrévisionBoris[[#This Row],[Status]],LstMachines[MoisLivr],Q$1)</f>
        <v>0</v>
      </c>
      <c r="R32" s="207">
        <f>SUMIFS(LstMachines[Nbre],LstMachines[Model-Spec],PrévisionBoris[[#This Row],[Spec]],LstMachines[Status],PrévisionBoris[[#This Row],[Status]],LstMachines[MoisLivr],R$1)</f>
        <v>0</v>
      </c>
      <c r="S32" s="207">
        <f>SUMIFS(LstMachines[Nbre],LstMachines[Model-Spec],PrévisionBoris[[#This Row],[Spec]],LstMachines[Status],PrévisionBoris[[#This Row],[Status]],LstMachines[MoisLivr],S$1)</f>
        <v>0</v>
      </c>
      <c r="T32" s="206">
        <f>SUMIFS(LstMachines[Nbre],LstMachines[Model-Spec],PrévisionBoris[[#This Row],[Spec]],LstMachines[Status],PrévisionBoris[[#This Row],[Status]],LstMachines[MoisLivr],T$1)</f>
        <v>0</v>
      </c>
      <c r="U32" s="207">
        <f>SUMIFS(LstMachines[Nbre],LstMachines[Model-Spec],PrévisionBoris[[#This Row],[Spec]],LstMachines[Status],PrévisionBoris[[#This Row],[Status]],LstMachines[MoisLivr],U$1)</f>
        <v>0</v>
      </c>
      <c r="V32" s="207">
        <f>SUMIFS(LstMachines[Nbre],LstMachines[Model-Spec],PrévisionBoris[[#This Row],[Spec]],LstMachines[Status],PrévisionBoris[[#This Row],[Status]],LstMachines[MoisLivr],V$1)</f>
        <v>0</v>
      </c>
      <c r="W32" s="206">
        <f>SUMIFS(LstMachines[Nbre],LstMachines[Model-Spec],PrévisionBoris[[#This Row],[Spec]],LstMachines[Status],PrévisionBoris[[#This Row],[Status]],LstMachines[MoisLivr],W$1)</f>
        <v>0</v>
      </c>
      <c r="X32" s="207">
        <f>SUMIFS(LstMachines[Nbre],LstMachines[Model-Spec],PrévisionBoris[[#This Row],[Spec]],LstMachines[Status],PrévisionBoris[[#This Row],[Status]],LstMachines[MoisLivr],X$1)</f>
        <v>0</v>
      </c>
      <c r="Y32" s="207">
        <f>SUMIFS(LstMachines[Nbre],LstMachines[Model-Spec],PrévisionBoris[[#This Row],[Spec]],LstMachines[Status],PrévisionBoris[[#This Row],[Status]],LstMachines[MoisLivr],Y$1)</f>
        <v>0</v>
      </c>
      <c r="Z32" s="206">
        <f>SUMIFS(LstMachines[Nbre],LstMachines[Model-Spec],PrévisionBoris[[#This Row],[Spec]],LstMachines[Status],PrévisionBoris[[#This Row],[Status]],LstMachines[MoisLivr],Z$1)</f>
        <v>0</v>
      </c>
      <c r="AA32" s="207">
        <f>SUMIFS(LstMachines[Nbre],LstMachines[Model-Spec],PrévisionBoris[[#This Row],[Spec]],LstMachines[Status],PrévisionBoris[[#This Row],[Status]],LstMachines[MoisLivr],AA$1)</f>
        <v>0</v>
      </c>
      <c r="AB32" s="207">
        <f>SUMIFS(LstMachines[Nbre],LstMachines[Model-Spec],PrévisionBoris[[#This Row],[Spec]],LstMachines[Status],PrévisionBoris[[#This Row],[Status]],LstMachines[MoisLivr],AB$1)</f>
        <v>0</v>
      </c>
      <c r="AC32" s="206">
        <f>SUMIFS(LstMachines[Nbre],LstMachines[Model-Spec],PrévisionBoris[[#This Row],[Spec]],LstMachines[Status],PrévisionBoris[[#This Row],[Status]],LstMachines[MoisLivr],AC$1)</f>
        <v>0</v>
      </c>
      <c r="AD32" s="207">
        <f>SUMIFS(LstMachines[Nbre],LstMachines[Model-Spec],PrévisionBoris[[#This Row],[Spec]],LstMachines[Status],PrévisionBoris[[#This Row],[Status]],LstMachines[MoisLivr],AD$1)</f>
        <v>0</v>
      </c>
      <c r="AE32" s="207">
        <f>SUMIFS(LstMachines[Nbre],LstMachines[Model-Spec],PrévisionBoris[[#This Row],[Spec]],LstMachines[Status],PrévisionBoris[[#This Row],[Status]],LstMachines[MoisLivr],AE$1)</f>
        <v>0</v>
      </c>
      <c r="AF32" s="206">
        <f>SUMIFS(LstMachines[Nbre],LstMachines[Model-Spec],PrévisionBoris[[#This Row],[Spec]],LstMachines[Status],PrévisionBoris[[#This Row],[Status]],LstMachines[MoisLivr],AF$1)</f>
        <v>0</v>
      </c>
      <c r="AG32" s="207">
        <f>SUMIFS(LstMachines[Nbre],LstMachines[Model-Spec],PrévisionBoris[[#This Row],[Spec]],LstMachines[Status],PrévisionBoris[[#This Row],[Status]],LstMachines[MoisLivr],AG$1)</f>
        <v>0</v>
      </c>
      <c r="AH32" s="207">
        <f>SUMIFS(LstMachines[Nbre],LstMachines[Model-Spec],PrévisionBoris[[#This Row],[Spec]],LstMachines[Status],PrévisionBoris[[#This Row],[Status]],LstMachines[MoisLivr],AH$1)</f>
        <v>0</v>
      </c>
      <c r="AI32" s="206">
        <f>SUMIFS(LstMachines[Nbre],LstMachines[Model-Spec],PrévisionBoris[[#This Row],[Spec]],LstMachines[Status],PrévisionBoris[[#This Row],[Status]],LstMachines[MoisLivr],AI$1)</f>
        <v>0</v>
      </c>
      <c r="AJ32" s="207">
        <f>SUMIFS(LstMachines[Nbre],LstMachines[Model-Spec],PrévisionBoris[[#This Row],[Spec]],LstMachines[Status],PrévisionBoris[[#This Row],[Status]],LstMachines[MoisLivr],AJ$1)</f>
        <v>0</v>
      </c>
      <c r="AK32" s="207">
        <f>SUMIFS(LstMachines[Nbre],LstMachines[Model-Spec],PrévisionBoris[[#This Row],[Spec]],LstMachines[Status],PrévisionBoris[[#This Row],[Status]],LstMachines[MoisLivr],AK$1)</f>
        <v>0</v>
      </c>
      <c r="AL32" s="206">
        <f>SUMIFS(LstMachines[Nbre],LstMachines[Model-Spec],PrévisionBoris[[#This Row],[Spec]],LstMachines[Status],PrévisionBoris[[#This Row],[Status]],LstMachines[MoisLivr],AL$1)</f>
        <v>0</v>
      </c>
      <c r="AM32" s="207">
        <f>SUMIFS(LstMachines[Nbre],LstMachines[Model-Spec],PrévisionBoris[[#This Row],[Spec]],LstMachines[Status],PrévisionBoris[[#This Row],[Status]],LstMachines[MoisLivr],AM$1)</f>
        <v>0</v>
      </c>
      <c r="AN32" s="207">
        <f>SUMIFS(LstMachines[Nbre],LstMachines[Model-Spec],PrévisionBoris[[#This Row],[Spec]],LstMachines[Status],PrévisionBoris[[#This Row],[Status]],LstMachines[MoisLivr],AN$1)</f>
        <v>0</v>
      </c>
      <c r="AO32" s="206">
        <f>SUMIFS(LstMachines[Nbre],LstMachines[Model-Spec],PrévisionBoris[[#This Row],[Spec]],LstMachines[Status],PrévisionBoris[[#This Row],[Status]],LstMachines[MoisLivr],AO$1)</f>
        <v>0</v>
      </c>
      <c r="AP32" s="207">
        <f>SUMIFS(LstMachines[Nbre],LstMachines[Model-Spec],PrévisionBoris[[#This Row],[Spec]],LstMachines[Status],PrévisionBoris[[#This Row],[Status]],LstMachines[MoisLivr],AP$1)</f>
        <v>0</v>
      </c>
      <c r="AQ32" s="207">
        <f>SUMIFS(LstMachines[Nbre],LstMachines[Model-Spec],PrévisionBoris[[#This Row],[Spec]],LstMachines[Status],PrévisionBoris[[#This Row],[Status]],LstMachines[MoisLivr],AQ$1)</f>
        <v>0</v>
      </c>
      <c r="AR32" s="206">
        <f>SUMIFS(LstMachines[Nbre],LstMachines[Model-Spec],PrévisionBoris[[#This Row],[Spec]],LstMachines[Status],PrévisionBoris[[#This Row],[Status]],LstMachines[MoisLivr],AR$1)</f>
        <v>0</v>
      </c>
      <c r="AS32" s="207">
        <f>SUMIFS(LstMachines[Nbre],LstMachines[Model-Spec],PrévisionBoris[[#This Row],[Spec]],LstMachines[Status],PrévisionBoris[[#This Row],[Status]],LstMachines[MoisLivr],AS$1)</f>
        <v>0</v>
      </c>
      <c r="AT32" s="207">
        <f>SUMIFS(LstMachines[Nbre],LstMachines[Model-Spec],PrévisionBoris[[#This Row],[Spec]],LstMachines[Status],PrévisionBoris[[#This Row],[Status]],LstMachines[MoisLivr],AT$1)</f>
        <v>0</v>
      </c>
      <c r="AU32" s="206">
        <f>SUMIFS(LstMachines[Nbre],LstMachines[Model-Spec],PrévisionBoris[[#This Row],[Spec]],LstMachines[Status],PrévisionBoris[[#This Row],[Status]],LstMachines[MoisLivr],AU$1)</f>
        <v>0</v>
      </c>
      <c r="AV32" s="233">
        <f>SUMIFS(LstMachines[Nbre],LstMachines[Model-Spec],PrévisionBoris[[#This Row],[Spec]],LstMachines[Status],PrévisionBoris[[#This Row],[Status]],LstMachines[MoisLivr],AV$1)</f>
        <v>0</v>
      </c>
      <c r="AW32" s="208">
        <f>SUMIFS(LstMachines[Nbre],LstMachines[Model-Spec],PrévisionBoris[[#This Row],[Spec]],LstMachines[Status],PrévisionBoris[[#This Row],[Status]],LstMachines[MoisLivr],AW$1)</f>
        <v>0</v>
      </c>
      <c r="AX32" s="225"/>
      <c r="AY32" s="211">
        <f t="shared" si="3"/>
        <v>0</v>
      </c>
      <c r="AZ32" s="212">
        <f t="shared" si="4"/>
        <v>0</v>
      </c>
      <c r="BA32" s="212">
        <f t="shared" si="5"/>
        <v>0</v>
      </c>
      <c r="BB32" s="213">
        <f t="shared" si="6"/>
        <v>0</v>
      </c>
      <c r="BC32" s="225">
        <f t="shared" si="7"/>
        <v>0</v>
      </c>
      <c r="BD32" s="211">
        <f t="shared" si="8"/>
        <v>0</v>
      </c>
      <c r="BE32" s="212">
        <f t="shared" si="9"/>
        <v>0</v>
      </c>
      <c r="BF32" s="212">
        <f t="shared" si="10"/>
        <v>0</v>
      </c>
      <c r="BG32" s="213">
        <f t="shared" si="11"/>
        <v>0</v>
      </c>
      <c r="BH32" s="225">
        <f t="shared" si="12"/>
        <v>0</v>
      </c>
      <c r="BI32" s="214">
        <f t="shared" si="13"/>
        <v>0</v>
      </c>
      <c r="BJ32" s="215">
        <f t="shared" si="14"/>
        <v>0</v>
      </c>
      <c r="BK32" s="215">
        <f t="shared" si="15"/>
        <v>0</v>
      </c>
      <c r="BL32" s="216">
        <f t="shared" si="16"/>
        <v>0</v>
      </c>
      <c r="BM32" s="225">
        <f t="shared" si="17"/>
        <v>0</v>
      </c>
      <c r="BN32" s="225"/>
      <c r="BO32" s="234"/>
      <c r="BP32" s="218">
        <f t="shared" si="18"/>
        <v>0</v>
      </c>
    </row>
    <row r="33" spans="1:68">
      <c r="A33" s="170">
        <v>26</v>
      </c>
      <c r="B33" s="170" t="s">
        <v>151</v>
      </c>
      <c r="C33" s="200">
        <v>180</v>
      </c>
      <c r="D33" s="170" t="s">
        <v>160</v>
      </c>
      <c r="E33" s="170" t="s">
        <v>162</v>
      </c>
      <c r="F33" s="200">
        <f>VLOOKUP(PrévisionBoris[[#This Row],[Spec]],TabModelSpecs[[ModelSpec]:[Price]],2,FALSE)</f>
        <v>105</v>
      </c>
      <c r="G33" s="170" t="s">
        <v>462</v>
      </c>
      <c r="H33" s="219">
        <f>SUMIFS(LstMachines[Nbre],LstMachines[Model-Spec],PrévisionBoris[[#This Row],[Spec]],LstMachines[Status],PrévisionBoris[[#This Row],[Status]],LstMachines[MoisLivr],H$1)</f>
        <v>0</v>
      </c>
      <c r="I33" s="220">
        <f>SUMIFS(LstMachines[Nbre],LstMachines[Model-Spec],PrévisionBoris[[#This Row],[Spec]],LstMachines[Status],PrévisionBoris[[#This Row],[Status]],LstMachines[MoisLivr],I$1)</f>
        <v>0</v>
      </c>
      <c r="J33" s="221">
        <f>SUMIFS(LstMachines[Nbre],LstMachines[Model-Spec],PrévisionBoris[[#This Row],[Spec]],LstMachines[Status],PrévisionBoris[[#This Row],[Status]],LstMachines[MoisLivr],J$1)</f>
        <v>0</v>
      </c>
      <c r="K33" s="219">
        <f>SUMIFS(LstMachines[Nbre],LstMachines[Model-Spec],PrévisionBoris[[#This Row],[Spec]],LstMachines[Status],PrévisionBoris[[#This Row],[Status]],LstMachines[MoisLivr],K$1)</f>
        <v>0</v>
      </c>
      <c r="L33" s="220">
        <f>SUMIFS(LstMachines[Nbre],LstMachines[Model-Spec],PrévisionBoris[[#This Row],[Spec]],LstMachines[Status],PrévisionBoris[[#This Row],[Status]],LstMachines[MoisLivr],L$1)</f>
        <v>0</v>
      </c>
      <c r="M33" s="221">
        <f>SUMIFS(LstMachines[Nbre],LstMachines[Model-Spec],PrévisionBoris[[#This Row],[Spec]],LstMachines[Status],PrévisionBoris[[#This Row],[Status]],LstMachines[MoisLivr],M$1)</f>
        <v>0</v>
      </c>
      <c r="N33" s="219">
        <f>SUMIFS(LstMachines[Nbre],LstMachines[Model-Spec],PrévisionBoris[[#This Row],[Spec]],LstMachines[Status],PrévisionBoris[[#This Row],[Status]],LstMachines[MoisLivr],N$1)</f>
        <v>0</v>
      </c>
      <c r="O33" s="220">
        <f>SUMIFS(LstMachines[Nbre],LstMachines[Model-Spec],PrévisionBoris[[#This Row],[Spec]],LstMachines[Status],PrévisionBoris[[#This Row],[Status]],LstMachines[MoisLivr],O$1)</f>
        <v>0</v>
      </c>
      <c r="P33" s="221">
        <f>SUMIFS(LstMachines[Nbre],LstMachines[Model-Spec],PrévisionBoris[[#This Row],[Spec]],LstMachines[Status],PrévisionBoris[[#This Row],[Status]],LstMachines[MoisLivr],P$1)</f>
        <v>0</v>
      </c>
      <c r="Q33" s="222">
        <f>SUMIFS(LstMachines[Nbre],LstMachines[Model-Spec],PrévisionBoris[[#This Row],[Spec]],LstMachines[Status],PrévisionBoris[[#This Row],[Status]],LstMachines[MoisLivr],Q$1)</f>
        <v>0</v>
      </c>
      <c r="R33" s="220">
        <f>SUMIFS(LstMachines[Nbre],LstMachines[Model-Spec],PrévisionBoris[[#This Row],[Spec]],LstMachines[Status],PrévisionBoris[[#This Row],[Status]],LstMachines[MoisLivr],R$1)</f>
        <v>0</v>
      </c>
      <c r="S33" s="220">
        <f>SUMIFS(LstMachines[Nbre],LstMachines[Model-Spec],PrévisionBoris[[#This Row],[Spec]],LstMachines[Status],PrévisionBoris[[#This Row],[Status]],LstMachines[MoisLivr],S$1)</f>
        <v>0</v>
      </c>
      <c r="T33" s="219">
        <f>SUMIFS(LstMachines[Nbre],LstMachines[Model-Spec],PrévisionBoris[[#This Row],[Spec]],LstMachines[Status],PrévisionBoris[[#This Row],[Status]],LstMachines[MoisLivr],T$1)</f>
        <v>0</v>
      </c>
      <c r="U33" s="220">
        <f>SUMIFS(LstMachines[Nbre],LstMachines[Model-Spec],PrévisionBoris[[#This Row],[Spec]],LstMachines[Status],PrévisionBoris[[#This Row],[Status]],LstMachines[MoisLivr],U$1)</f>
        <v>0</v>
      </c>
      <c r="V33" s="220">
        <f>SUMIFS(LstMachines[Nbre],LstMachines[Model-Spec],PrévisionBoris[[#This Row],[Spec]],LstMachines[Status],PrévisionBoris[[#This Row],[Status]],LstMachines[MoisLivr],V$1)</f>
        <v>0</v>
      </c>
      <c r="W33" s="219">
        <f>SUMIFS(LstMachines[Nbre],LstMachines[Model-Spec],PrévisionBoris[[#This Row],[Spec]],LstMachines[Status],PrévisionBoris[[#This Row],[Status]],LstMachines[MoisLivr],W$1)</f>
        <v>0</v>
      </c>
      <c r="X33" s="220">
        <f>SUMIFS(LstMachines[Nbre],LstMachines[Model-Spec],PrévisionBoris[[#This Row],[Spec]],LstMachines[Status],PrévisionBoris[[#This Row],[Status]],LstMachines[MoisLivr],X$1)</f>
        <v>0</v>
      </c>
      <c r="Y33" s="220">
        <f>SUMIFS(LstMachines[Nbre],LstMachines[Model-Spec],PrévisionBoris[[#This Row],[Spec]],LstMachines[Status],PrévisionBoris[[#This Row],[Status]],LstMachines[MoisLivr],Y$1)</f>
        <v>0</v>
      </c>
      <c r="Z33" s="219">
        <f>SUMIFS(LstMachines[Nbre],LstMachines[Model-Spec],PrévisionBoris[[#This Row],[Spec]],LstMachines[Status],PrévisionBoris[[#This Row],[Status]],LstMachines[MoisLivr],Z$1)</f>
        <v>0</v>
      </c>
      <c r="AA33" s="220">
        <f>SUMIFS(LstMachines[Nbre],LstMachines[Model-Spec],PrévisionBoris[[#This Row],[Spec]],LstMachines[Status],PrévisionBoris[[#This Row],[Status]],LstMachines[MoisLivr],AA$1)</f>
        <v>0</v>
      </c>
      <c r="AB33" s="220">
        <f>SUMIFS(LstMachines[Nbre],LstMachines[Model-Spec],PrévisionBoris[[#This Row],[Spec]],LstMachines[Status],PrévisionBoris[[#This Row],[Status]],LstMachines[MoisLivr],AB$1)</f>
        <v>0</v>
      </c>
      <c r="AC33" s="219">
        <f>SUMIFS(LstMachines[Nbre],LstMachines[Model-Spec],PrévisionBoris[[#This Row],[Spec]],LstMachines[Status],PrévisionBoris[[#This Row],[Status]],LstMachines[MoisLivr],AC$1)</f>
        <v>0</v>
      </c>
      <c r="AD33" s="220">
        <f>SUMIFS(LstMachines[Nbre],LstMachines[Model-Spec],PrévisionBoris[[#This Row],[Spec]],LstMachines[Status],PrévisionBoris[[#This Row],[Status]],LstMachines[MoisLivr],AD$1)</f>
        <v>0</v>
      </c>
      <c r="AE33" s="220">
        <f>SUMIFS(LstMachines[Nbre],LstMachines[Model-Spec],PrévisionBoris[[#This Row],[Spec]],LstMachines[Status],PrévisionBoris[[#This Row],[Status]],LstMachines[MoisLivr],AE$1)</f>
        <v>0</v>
      </c>
      <c r="AF33" s="219">
        <f>SUMIFS(LstMachines[Nbre],LstMachines[Model-Spec],PrévisionBoris[[#This Row],[Spec]],LstMachines[Status],PrévisionBoris[[#This Row],[Status]],LstMachines[MoisLivr],AF$1)</f>
        <v>0</v>
      </c>
      <c r="AG33" s="220">
        <f>SUMIFS(LstMachines[Nbre],LstMachines[Model-Spec],PrévisionBoris[[#This Row],[Spec]],LstMachines[Status],PrévisionBoris[[#This Row],[Status]],LstMachines[MoisLivr],AG$1)</f>
        <v>0</v>
      </c>
      <c r="AH33" s="220">
        <f>SUMIFS(LstMachines[Nbre],LstMachines[Model-Spec],PrévisionBoris[[#This Row],[Spec]],LstMachines[Status],PrévisionBoris[[#This Row],[Status]],LstMachines[MoisLivr],AH$1)</f>
        <v>0</v>
      </c>
      <c r="AI33" s="219">
        <f>SUMIFS(LstMachines[Nbre],LstMachines[Model-Spec],PrévisionBoris[[#This Row],[Spec]],LstMachines[Status],PrévisionBoris[[#This Row],[Status]],LstMachines[MoisLivr],AI$1)</f>
        <v>0</v>
      </c>
      <c r="AJ33" s="220">
        <f>SUMIFS(LstMachines[Nbre],LstMachines[Model-Spec],PrévisionBoris[[#This Row],[Spec]],LstMachines[Status],PrévisionBoris[[#This Row],[Status]],LstMachines[MoisLivr],AJ$1)</f>
        <v>0</v>
      </c>
      <c r="AK33" s="220">
        <f>SUMIFS(LstMachines[Nbre],LstMachines[Model-Spec],PrévisionBoris[[#This Row],[Spec]],LstMachines[Status],PrévisionBoris[[#This Row],[Status]],LstMachines[MoisLivr],AK$1)</f>
        <v>0</v>
      </c>
      <c r="AL33" s="219">
        <f>SUMIFS(LstMachines[Nbre],LstMachines[Model-Spec],PrévisionBoris[[#This Row],[Spec]],LstMachines[Status],PrévisionBoris[[#This Row],[Status]],LstMachines[MoisLivr],AL$1)</f>
        <v>0</v>
      </c>
      <c r="AM33" s="220">
        <f>SUMIFS(LstMachines[Nbre],LstMachines[Model-Spec],PrévisionBoris[[#This Row],[Spec]],LstMachines[Status],PrévisionBoris[[#This Row],[Status]],LstMachines[MoisLivr],AM$1)</f>
        <v>0</v>
      </c>
      <c r="AN33" s="220">
        <f>SUMIFS(LstMachines[Nbre],LstMachines[Model-Spec],PrévisionBoris[[#This Row],[Spec]],LstMachines[Status],PrévisionBoris[[#This Row],[Status]],LstMachines[MoisLivr],AN$1)</f>
        <v>0</v>
      </c>
      <c r="AO33" s="219">
        <f>SUMIFS(LstMachines[Nbre],LstMachines[Model-Spec],PrévisionBoris[[#This Row],[Spec]],LstMachines[Status],PrévisionBoris[[#This Row],[Status]],LstMachines[MoisLivr],AO$1)</f>
        <v>0</v>
      </c>
      <c r="AP33" s="220">
        <f>SUMIFS(LstMachines[Nbre],LstMachines[Model-Spec],PrévisionBoris[[#This Row],[Spec]],LstMachines[Status],PrévisionBoris[[#This Row],[Status]],LstMachines[MoisLivr],AP$1)</f>
        <v>0</v>
      </c>
      <c r="AQ33" s="220">
        <f>SUMIFS(LstMachines[Nbre],LstMachines[Model-Spec],PrévisionBoris[[#This Row],[Spec]],LstMachines[Status],PrévisionBoris[[#This Row],[Status]],LstMachines[MoisLivr],AQ$1)</f>
        <v>0</v>
      </c>
      <c r="AR33" s="219">
        <f>SUMIFS(LstMachines[Nbre],LstMachines[Model-Spec],PrévisionBoris[[#This Row],[Spec]],LstMachines[Status],PrévisionBoris[[#This Row],[Status]],LstMachines[MoisLivr],AR$1)</f>
        <v>0</v>
      </c>
      <c r="AS33" s="220">
        <f>SUMIFS(LstMachines[Nbre],LstMachines[Model-Spec],PrévisionBoris[[#This Row],[Spec]],LstMachines[Status],PrévisionBoris[[#This Row],[Status]],LstMachines[MoisLivr],AS$1)</f>
        <v>0</v>
      </c>
      <c r="AT33" s="220">
        <f>SUMIFS(LstMachines[Nbre],LstMachines[Model-Spec],PrévisionBoris[[#This Row],[Spec]],LstMachines[Status],PrévisionBoris[[#This Row],[Status]],LstMachines[MoisLivr],AT$1)</f>
        <v>0</v>
      </c>
      <c r="AU33" s="219">
        <f>SUMIFS(LstMachines[Nbre],LstMachines[Model-Spec],PrévisionBoris[[#This Row],[Spec]],LstMachines[Status],PrévisionBoris[[#This Row],[Status]],LstMachines[MoisLivr],AU$1)</f>
        <v>0</v>
      </c>
      <c r="AV33" s="223">
        <f>SUMIFS(LstMachines[Nbre],LstMachines[Model-Spec],PrévisionBoris[[#This Row],[Spec]],LstMachines[Status],PrévisionBoris[[#This Row],[Status]],LstMachines[MoisLivr],AV$1)</f>
        <v>0</v>
      </c>
      <c r="AW33" s="224">
        <f>SUMIFS(LstMachines[Nbre],LstMachines[Model-Spec],PrévisionBoris[[#This Row],[Spec]],LstMachines[Status],PrévisionBoris[[#This Row],[Status]],LstMachines[MoisLivr],AW$1)</f>
        <v>0</v>
      </c>
      <c r="AX33" s="210"/>
      <c r="AY33" s="211">
        <f t="shared" si="3"/>
        <v>0</v>
      </c>
      <c r="AZ33" s="212">
        <f t="shared" si="4"/>
        <v>0</v>
      </c>
      <c r="BA33" s="212">
        <f t="shared" si="5"/>
        <v>0</v>
      </c>
      <c r="BB33" s="213">
        <f t="shared" si="6"/>
        <v>0</v>
      </c>
      <c r="BC33" s="225">
        <f t="shared" si="7"/>
        <v>0</v>
      </c>
      <c r="BD33" s="211">
        <f t="shared" si="8"/>
        <v>0</v>
      </c>
      <c r="BE33" s="212">
        <f t="shared" si="9"/>
        <v>0</v>
      </c>
      <c r="BF33" s="212">
        <f t="shared" si="10"/>
        <v>0</v>
      </c>
      <c r="BG33" s="213">
        <f t="shared" si="11"/>
        <v>0</v>
      </c>
      <c r="BH33" s="225">
        <f t="shared" si="12"/>
        <v>0</v>
      </c>
      <c r="BI33" s="214">
        <f t="shared" si="13"/>
        <v>0</v>
      </c>
      <c r="BJ33" s="215">
        <f t="shared" si="14"/>
        <v>0</v>
      </c>
      <c r="BK33" s="215">
        <f t="shared" si="15"/>
        <v>0</v>
      </c>
      <c r="BL33" s="216">
        <f t="shared" si="16"/>
        <v>0</v>
      </c>
      <c r="BM33" s="225">
        <f t="shared" si="17"/>
        <v>0</v>
      </c>
      <c r="BN33" s="225"/>
      <c r="BO33" s="217"/>
      <c r="BP33" s="218">
        <f t="shared" si="18"/>
        <v>0</v>
      </c>
    </row>
    <row r="34" spans="1:68">
      <c r="A34" s="171">
        <v>27</v>
      </c>
      <c r="B34" s="171" t="s">
        <v>151</v>
      </c>
      <c r="C34" s="201">
        <v>180</v>
      </c>
      <c r="D34" s="171" t="s">
        <v>160</v>
      </c>
      <c r="E34" s="171" t="s">
        <v>162</v>
      </c>
      <c r="F34" s="201">
        <f>VLOOKUP(PrévisionBoris[[#This Row],[Spec]],TabModelSpecs[[ModelSpec]:[Price]],2,FALSE)</f>
        <v>105</v>
      </c>
      <c r="G34" s="171" t="s">
        <v>463</v>
      </c>
      <c r="H34" s="226">
        <f>SUMIFS(LstMachines[Nbre],LstMachines[Model-Spec],PrévisionBoris[[#This Row],[Spec]],LstMachines[Status],PrévisionBoris[[#This Row],[Status]],LstMachines[MoisLivr],H$1)</f>
        <v>0</v>
      </c>
      <c r="I34" s="227">
        <f>SUMIFS(LstMachines[Nbre],LstMachines[Model-Spec],PrévisionBoris[[#This Row],[Spec]],LstMachines[Status],PrévisionBoris[[#This Row],[Status]],LstMachines[MoisLivr],I$1)</f>
        <v>0</v>
      </c>
      <c r="J34" s="228">
        <f>SUMIFS(LstMachines[Nbre],LstMachines[Model-Spec],PrévisionBoris[[#This Row],[Spec]],LstMachines[Status],PrévisionBoris[[#This Row],[Status]],LstMachines[MoisLivr],J$1)</f>
        <v>0</v>
      </c>
      <c r="K34" s="226">
        <f>SUMIFS(LstMachines[Nbre],LstMachines[Model-Spec],PrévisionBoris[[#This Row],[Spec]],LstMachines[Status],PrévisionBoris[[#This Row],[Status]],LstMachines[MoisLivr],K$1)</f>
        <v>0</v>
      </c>
      <c r="L34" s="227">
        <f>SUMIFS(LstMachines[Nbre],LstMachines[Model-Spec],PrévisionBoris[[#This Row],[Spec]],LstMachines[Status],PrévisionBoris[[#This Row],[Status]],LstMachines[MoisLivr],L$1)</f>
        <v>0</v>
      </c>
      <c r="M34" s="228">
        <f>SUMIFS(LstMachines[Nbre],LstMachines[Model-Spec],PrévisionBoris[[#This Row],[Spec]],LstMachines[Status],PrévisionBoris[[#This Row],[Status]],LstMachines[MoisLivr],M$1)</f>
        <v>0</v>
      </c>
      <c r="N34" s="226">
        <f>SUMIFS(LstMachines[Nbre],LstMachines[Model-Spec],PrévisionBoris[[#This Row],[Spec]],LstMachines[Status],PrévisionBoris[[#This Row],[Status]],LstMachines[MoisLivr],N$1)</f>
        <v>0</v>
      </c>
      <c r="O34" s="227">
        <f>SUMIFS(LstMachines[Nbre],LstMachines[Model-Spec],PrévisionBoris[[#This Row],[Spec]],LstMachines[Status],PrévisionBoris[[#This Row],[Status]],LstMachines[MoisLivr],O$1)</f>
        <v>0</v>
      </c>
      <c r="P34" s="228">
        <f>SUMIFS(LstMachines[Nbre],LstMachines[Model-Spec],PrévisionBoris[[#This Row],[Spec]],LstMachines[Status],PrévisionBoris[[#This Row],[Status]],LstMachines[MoisLivr],P$1)</f>
        <v>0</v>
      </c>
      <c r="Q34" s="229">
        <f>SUMIFS(LstMachines[Nbre],LstMachines[Model-Spec],PrévisionBoris[[#This Row],[Spec]],LstMachines[Status],PrévisionBoris[[#This Row],[Status]],LstMachines[MoisLivr],Q$1)</f>
        <v>0</v>
      </c>
      <c r="R34" s="227">
        <f>SUMIFS(LstMachines[Nbre],LstMachines[Model-Spec],PrévisionBoris[[#This Row],[Spec]],LstMachines[Status],PrévisionBoris[[#This Row],[Status]],LstMachines[MoisLivr],R$1)</f>
        <v>0</v>
      </c>
      <c r="S34" s="227">
        <f>SUMIFS(LstMachines[Nbre],LstMachines[Model-Spec],PrévisionBoris[[#This Row],[Spec]],LstMachines[Status],PrévisionBoris[[#This Row],[Status]],LstMachines[MoisLivr],S$1)</f>
        <v>0</v>
      </c>
      <c r="T34" s="226">
        <f>SUMIFS(LstMachines[Nbre],LstMachines[Model-Spec],PrévisionBoris[[#This Row],[Spec]],LstMachines[Status],PrévisionBoris[[#This Row],[Status]],LstMachines[MoisLivr],T$1)</f>
        <v>0</v>
      </c>
      <c r="U34" s="227">
        <f>SUMIFS(LstMachines[Nbre],LstMachines[Model-Spec],PrévisionBoris[[#This Row],[Spec]],LstMachines[Status],PrévisionBoris[[#This Row],[Status]],LstMachines[MoisLivr],U$1)</f>
        <v>0</v>
      </c>
      <c r="V34" s="227">
        <f>SUMIFS(LstMachines[Nbre],LstMachines[Model-Spec],PrévisionBoris[[#This Row],[Spec]],LstMachines[Status],PrévisionBoris[[#This Row],[Status]],LstMachines[MoisLivr],V$1)</f>
        <v>0</v>
      </c>
      <c r="W34" s="226">
        <f>SUMIFS(LstMachines[Nbre],LstMachines[Model-Spec],PrévisionBoris[[#This Row],[Spec]],LstMachines[Status],PrévisionBoris[[#This Row],[Status]],LstMachines[MoisLivr],W$1)</f>
        <v>0</v>
      </c>
      <c r="X34" s="227">
        <f>SUMIFS(LstMachines[Nbre],LstMachines[Model-Spec],PrévisionBoris[[#This Row],[Spec]],LstMachines[Status],PrévisionBoris[[#This Row],[Status]],LstMachines[MoisLivr],X$1)</f>
        <v>0</v>
      </c>
      <c r="Y34" s="227">
        <f>SUMIFS(LstMachines[Nbre],LstMachines[Model-Spec],PrévisionBoris[[#This Row],[Spec]],LstMachines[Status],PrévisionBoris[[#This Row],[Status]],LstMachines[MoisLivr],Y$1)</f>
        <v>0</v>
      </c>
      <c r="Z34" s="226">
        <f>SUMIFS(LstMachines[Nbre],LstMachines[Model-Spec],PrévisionBoris[[#This Row],[Spec]],LstMachines[Status],PrévisionBoris[[#This Row],[Status]],LstMachines[MoisLivr],Z$1)</f>
        <v>0</v>
      </c>
      <c r="AA34" s="227">
        <f>SUMIFS(LstMachines[Nbre],LstMachines[Model-Spec],PrévisionBoris[[#This Row],[Spec]],LstMachines[Status],PrévisionBoris[[#This Row],[Status]],LstMachines[MoisLivr],AA$1)</f>
        <v>0</v>
      </c>
      <c r="AB34" s="227">
        <f>SUMIFS(LstMachines[Nbre],LstMachines[Model-Spec],PrévisionBoris[[#This Row],[Spec]],LstMachines[Status],PrévisionBoris[[#This Row],[Status]],LstMachines[MoisLivr],AB$1)</f>
        <v>0</v>
      </c>
      <c r="AC34" s="226">
        <f>SUMIFS(LstMachines[Nbre],LstMachines[Model-Spec],PrévisionBoris[[#This Row],[Spec]],LstMachines[Status],PrévisionBoris[[#This Row],[Status]],LstMachines[MoisLivr],AC$1)</f>
        <v>0</v>
      </c>
      <c r="AD34" s="227">
        <f>SUMIFS(LstMachines[Nbre],LstMachines[Model-Spec],PrévisionBoris[[#This Row],[Spec]],LstMachines[Status],PrévisionBoris[[#This Row],[Status]],LstMachines[MoisLivr],AD$1)</f>
        <v>0</v>
      </c>
      <c r="AE34" s="227">
        <f>SUMIFS(LstMachines[Nbre],LstMachines[Model-Spec],PrévisionBoris[[#This Row],[Spec]],LstMachines[Status],PrévisionBoris[[#This Row],[Status]],LstMachines[MoisLivr],AE$1)</f>
        <v>0</v>
      </c>
      <c r="AF34" s="226">
        <f>SUMIFS(LstMachines[Nbre],LstMachines[Model-Spec],PrévisionBoris[[#This Row],[Spec]],LstMachines[Status],PrévisionBoris[[#This Row],[Status]],LstMachines[MoisLivr],AF$1)</f>
        <v>0</v>
      </c>
      <c r="AG34" s="227">
        <f>SUMIFS(LstMachines[Nbre],LstMachines[Model-Spec],PrévisionBoris[[#This Row],[Spec]],LstMachines[Status],PrévisionBoris[[#This Row],[Status]],LstMachines[MoisLivr],AG$1)</f>
        <v>0</v>
      </c>
      <c r="AH34" s="227">
        <f>SUMIFS(LstMachines[Nbre],LstMachines[Model-Spec],PrévisionBoris[[#This Row],[Spec]],LstMachines[Status],PrévisionBoris[[#This Row],[Status]],LstMachines[MoisLivr],AH$1)</f>
        <v>0</v>
      </c>
      <c r="AI34" s="226">
        <f>SUMIFS(LstMachines[Nbre],LstMachines[Model-Spec],PrévisionBoris[[#This Row],[Spec]],LstMachines[Status],PrévisionBoris[[#This Row],[Status]],LstMachines[MoisLivr],AI$1)</f>
        <v>0</v>
      </c>
      <c r="AJ34" s="227">
        <f>SUMIFS(LstMachines[Nbre],LstMachines[Model-Spec],PrévisionBoris[[#This Row],[Spec]],LstMachines[Status],PrévisionBoris[[#This Row],[Status]],LstMachines[MoisLivr],AJ$1)</f>
        <v>0</v>
      </c>
      <c r="AK34" s="227">
        <f>SUMIFS(LstMachines[Nbre],LstMachines[Model-Spec],PrévisionBoris[[#This Row],[Spec]],LstMachines[Status],PrévisionBoris[[#This Row],[Status]],LstMachines[MoisLivr],AK$1)</f>
        <v>0</v>
      </c>
      <c r="AL34" s="226">
        <f>SUMIFS(LstMachines[Nbre],LstMachines[Model-Spec],PrévisionBoris[[#This Row],[Spec]],LstMachines[Status],PrévisionBoris[[#This Row],[Status]],LstMachines[MoisLivr],AL$1)</f>
        <v>0</v>
      </c>
      <c r="AM34" s="227">
        <f>SUMIFS(LstMachines[Nbre],LstMachines[Model-Spec],PrévisionBoris[[#This Row],[Spec]],LstMachines[Status],PrévisionBoris[[#This Row],[Status]],LstMachines[MoisLivr],AM$1)</f>
        <v>0</v>
      </c>
      <c r="AN34" s="227">
        <f>SUMIFS(LstMachines[Nbre],LstMachines[Model-Spec],PrévisionBoris[[#This Row],[Spec]],LstMachines[Status],PrévisionBoris[[#This Row],[Status]],LstMachines[MoisLivr],AN$1)</f>
        <v>0</v>
      </c>
      <c r="AO34" s="226">
        <f>SUMIFS(LstMachines[Nbre],LstMachines[Model-Spec],PrévisionBoris[[#This Row],[Spec]],LstMachines[Status],PrévisionBoris[[#This Row],[Status]],LstMachines[MoisLivr],AO$1)</f>
        <v>0</v>
      </c>
      <c r="AP34" s="227">
        <f>SUMIFS(LstMachines[Nbre],LstMachines[Model-Spec],PrévisionBoris[[#This Row],[Spec]],LstMachines[Status],PrévisionBoris[[#This Row],[Status]],LstMachines[MoisLivr],AP$1)</f>
        <v>0</v>
      </c>
      <c r="AQ34" s="227">
        <f>SUMIFS(LstMachines[Nbre],LstMachines[Model-Spec],PrévisionBoris[[#This Row],[Spec]],LstMachines[Status],PrévisionBoris[[#This Row],[Status]],LstMachines[MoisLivr],AQ$1)</f>
        <v>0</v>
      </c>
      <c r="AR34" s="226">
        <f>SUMIFS(LstMachines[Nbre],LstMachines[Model-Spec],PrévisionBoris[[#This Row],[Spec]],LstMachines[Status],PrévisionBoris[[#This Row],[Status]],LstMachines[MoisLivr],AR$1)</f>
        <v>0</v>
      </c>
      <c r="AS34" s="227">
        <f>SUMIFS(LstMachines[Nbre],LstMachines[Model-Spec],PrévisionBoris[[#This Row],[Spec]],LstMachines[Status],PrévisionBoris[[#This Row],[Status]],LstMachines[MoisLivr],AS$1)</f>
        <v>0</v>
      </c>
      <c r="AT34" s="227">
        <f>SUMIFS(LstMachines[Nbre],LstMachines[Model-Spec],PrévisionBoris[[#This Row],[Spec]],LstMachines[Status],PrévisionBoris[[#This Row],[Status]],LstMachines[MoisLivr],AT$1)</f>
        <v>0</v>
      </c>
      <c r="AU34" s="226">
        <f>SUMIFS(LstMachines[Nbre],LstMachines[Model-Spec],PrévisionBoris[[#This Row],[Spec]],LstMachines[Status],PrévisionBoris[[#This Row],[Status]],LstMachines[MoisLivr],AU$1)</f>
        <v>0</v>
      </c>
      <c r="AV34" s="230">
        <f>SUMIFS(LstMachines[Nbre],LstMachines[Model-Spec],PrévisionBoris[[#This Row],[Spec]],LstMachines[Status],PrévisionBoris[[#This Row],[Status]],LstMachines[MoisLivr],AV$1)</f>
        <v>0</v>
      </c>
      <c r="AW34" s="231">
        <f>SUMIFS(LstMachines[Nbre],LstMachines[Model-Spec],PrévisionBoris[[#This Row],[Spec]],LstMachines[Status],PrévisionBoris[[#This Row],[Status]],LstMachines[MoisLivr],AW$1)</f>
        <v>0</v>
      </c>
      <c r="AX34" s="232"/>
      <c r="AY34" s="211">
        <f t="shared" si="3"/>
        <v>0</v>
      </c>
      <c r="AZ34" s="212">
        <f t="shared" si="4"/>
        <v>0</v>
      </c>
      <c r="BA34" s="212">
        <f t="shared" si="5"/>
        <v>0</v>
      </c>
      <c r="BB34" s="213">
        <f t="shared" si="6"/>
        <v>0</v>
      </c>
      <c r="BC34" s="225">
        <f t="shared" si="7"/>
        <v>0</v>
      </c>
      <c r="BD34" s="211">
        <f t="shared" si="8"/>
        <v>0</v>
      </c>
      <c r="BE34" s="212">
        <f t="shared" si="9"/>
        <v>0</v>
      </c>
      <c r="BF34" s="212">
        <f t="shared" si="10"/>
        <v>0</v>
      </c>
      <c r="BG34" s="213">
        <f t="shared" si="11"/>
        <v>0</v>
      </c>
      <c r="BH34" s="225">
        <f t="shared" si="12"/>
        <v>0</v>
      </c>
      <c r="BI34" s="214">
        <f t="shared" si="13"/>
        <v>0</v>
      </c>
      <c r="BJ34" s="215">
        <f t="shared" si="14"/>
        <v>0</v>
      </c>
      <c r="BK34" s="215">
        <f t="shared" si="15"/>
        <v>0</v>
      </c>
      <c r="BL34" s="216">
        <f t="shared" si="16"/>
        <v>0</v>
      </c>
      <c r="BM34" s="225">
        <f t="shared" si="17"/>
        <v>0</v>
      </c>
      <c r="BN34" s="225"/>
      <c r="BO34" s="217"/>
      <c r="BP34" s="218">
        <f t="shared" si="18"/>
        <v>0</v>
      </c>
    </row>
    <row r="35" spans="1:68">
      <c r="A35" s="172">
        <v>28</v>
      </c>
      <c r="B35" s="172" t="s">
        <v>151</v>
      </c>
      <c r="C35" s="202">
        <v>180</v>
      </c>
      <c r="D35" s="172" t="s">
        <v>160</v>
      </c>
      <c r="E35" s="172" t="s">
        <v>163</v>
      </c>
      <c r="F35" s="202">
        <f>VLOOKUP(PrévisionBoris[[#This Row],[Spec]],TabModelSpecs[[ModelSpec]:[Price]],2,FALSE)</f>
        <v>105</v>
      </c>
      <c r="G35" s="172" t="s">
        <v>461</v>
      </c>
      <c r="H35" s="206">
        <f>SUMIFS(LstMachines[Nbre],LstMachines[Model-Spec],PrévisionBoris[[#This Row],[Spec]],LstMachines[Status],PrévisionBoris[[#This Row],[Status]],LstMachines[MoisLivr],H$1)</f>
        <v>0</v>
      </c>
      <c r="I35" s="207">
        <f>SUMIFS(LstMachines[Nbre],LstMachines[Model-Spec],PrévisionBoris[[#This Row],[Spec]],LstMachines[Status],PrévisionBoris[[#This Row],[Status]],LstMachines[MoisLivr],I$1)</f>
        <v>0</v>
      </c>
      <c r="J35" s="208">
        <f>SUMIFS(LstMachines[Nbre],LstMachines[Model-Spec],PrévisionBoris[[#This Row],[Spec]],LstMachines[Status],PrévisionBoris[[#This Row],[Status]],LstMachines[MoisLivr],J$1)</f>
        <v>0</v>
      </c>
      <c r="K35" s="206">
        <f>SUMIFS(LstMachines[Nbre],LstMachines[Model-Spec],PrévisionBoris[[#This Row],[Spec]],LstMachines[Status],PrévisionBoris[[#This Row],[Status]],LstMachines[MoisLivr],K$1)</f>
        <v>0</v>
      </c>
      <c r="L35" s="207">
        <f>SUMIFS(LstMachines[Nbre],LstMachines[Model-Spec],PrévisionBoris[[#This Row],[Spec]],LstMachines[Status],PrévisionBoris[[#This Row],[Status]],LstMachines[MoisLivr],L$1)</f>
        <v>0</v>
      </c>
      <c r="M35" s="208">
        <f>SUMIFS(LstMachines[Nbre],LstMachines[Model-Spec],PrévisionBoris[[#This Row],[Spec]],LstMachines[Status],PrévisionBoris[[#This Row],[Status]],LstMachines[MoisLivr],M$1)</f>
        <v>0</v>
      </c>
      <c r="N35" s="206">
        <f>SUMIFS(LstMachines[Nbre],LstMachines[Model-Spec],PrévisionBoris[[#This Row],[Spec]],LstMachines[Status],PrévisionBoris[[#This Row],[Status]],LstMachines[MoisLivr],N$1)</f>
        <v>0</v>
      </c>
      <c r="O35" s="207">
        <f>SUMIFS(LstMachines[Nbre],LstMachines[Model-Spec],PrévisionBoris[[#This Row],[Spec]],LstMachines[Status],PrévisionBoris[[#This Row],[Status]],LstMachines[MoisLivr],O$1)</f>
        <v>1</v>
      </c>
      <c r="P35" s="208">
        <f>SUMIFS(LstMachines[Nbre],LstMachines[Model-Spec],PrévisionBoris[[#This Row],[Spec]],LstMachines[Status],PrévisionBoris[[#This Row],[Status]],LstMachines[MoisLivr],P$1)</f>
        <v>0</v>
      </c>
      <c r="Q35" s="209">
        <f>SUMIFS(LstMachines[Nbre],LstMachines[Model-Spec],PrévisionBoris[[#This Row],[Spec]],LstMachines[Status],PrévisionBoris[[#This Row],[Status]],LstMachines[MoisLivr],Q$1)</f>
        <v>0</v>
      </c>
      <c r="R35" s="207">
        <f>SUMIFS(LstMachines[Nbre],LstMachines[Model-Spec],PrévisionBoris[[#This Row],[Spec]],LstMachines[Status],PrévisionBoris[[#This Row],[Status]],LstMachines[MoisLivr],R$1)</f>
        <v>0</v>
      </c>
      <c r="S35" s="207">
        <f>SUMIFS(LstMachines[Nbre],LstMachines[Model-Spec],PrévisionBoris[[#This Row],[Spec]],LstMachines[Status],PrévisionBoris[[#This Row],[Status]],LstMachines[MoisLivr],S$1)</f>
        <v>0</v>
      </c>
      <c r="T35" s="206">
        <f>SUMIFS(LstMachines[Nbre],LstMachines[Model-Spec],PrévisionBoris[[#This Row],[Spec]],LstMachines[Status],PrévisionBoris[[#This Row],[Status]],LstMachines[MoisLivr],T$1)</f>
        <v>0</v>
      </c>
      <c r="U35" s="207">
        <f>SUMIFS(LstMachines[Nbre],LstMachines[Model-Spec],PrévisionBoris[[#This Row],[Spec]],LstMachines[Status],PrévisionBoris[[#This Row],[Status]],LstMachines[MoisLivr],U$1)</f>
        <v>0</v>
      </c>
      <c r="V35" s="207">
        <f>SUMIFS(LstMachines[Nbre],LstMachines[Model-Spec],PrévisionBoris[[#This Row],[Spec]],LstMachines[Status],PrévisionBoris[[#This Row],[Status]],LstMachines[MoisLivr],V$1)</f>
        <v>0</v>
      </c>
      <c r="W35" s="206">
        <f>SUMIFS(LstMachines[Nbre],LstMachines[Model-Spec],PrévisionBoris[[#This Row],[Spec]],LstMachines[Status],PrévisionBoris[[#This Row],[Status]],LstMachines[MoisLivr],W$1)</f>
        <v>1</v>
      </c>
      <c r="X35" s="207">
        <f>SUMIFS(LstMachines[Nbre],LstMachines[Model-Spec],PrévisionBoris[[#This Row],[Spec]],LstMachines[Status],PrévisionBoris[[#This Row],[Status]],LstMachines[MoisLivr],X$1)</f>
        <v>0</v>
      </c>
      <c r="Y35" s="207">
        <f>SUMIFS(LstMachines[Nbre],LstMachines[Model-Spec],PrévisionBoris[[#This Row],[Spec]],LstMachines[Status],PrévisionBoris[[#This Row],[Status]],LstMachines[MoisLivr],Y$1)</f>
        <v>0</v>
      </c>
      <c r="Z35" s="206">
        <f>SUMIFS(LstMachines[Nbre],LstMachines[Model-Spec],PrévisionBoris[[#This Row],[Spec]],LstMachines[Status],PrévisionBoris[[#This Row],[Status]],LstMachines[MoisLivr],Z$1)</f>
        <v>0</v>
      </c>
      <c r="AA35" s="207">
        <f>SUMIFS(LstMachines[Nbre],LstMachines[Model-Spec],PrévisionBoris[[#This Row],[Spec]],LstMachines[Status],PrévisionBoris[[#This Row],[Status]],LstMachines[MoisLivr],AA$1)</f>
        <v>0</v>
      </c>
      <c r="AB35" s="207">
        <f>SUMIFS(LstMachines[Nbre],LstMachines[Model-Spec],PrévisionBoris[[#This Row],[Spec]],LstMachines[Status],PrévisionBoris[[#This Row],[Status]],LstMachines[MoisLivr],AB$1)</f>
        <v>3</v>
      </c>
      <c r="AC35" s="206">
        <f>SUMIFS(LstMachines[Nbre],LstMachines[Model-Spec],PrévisionBoris[[#This Row],[Spec]],LstMachines[Status],PrévisionBoris[[#This Row],[Status]],LstMachines[MoisLivr],AC$1)</f>
        <v>0</v>
      </c>
      <c r="AD35" s="207">
        <f>SUMIFS(LstMachines[Nbre],LstMachines[Model-Spec],PrévisionBoris[[#This Row],[Spec]],LstMachines[Status],PrévisionBoris[[#This Row],[Status]],LstMachines[MoisLivr],AD$1)</f>
        <v>0</v>
      </c>
      <c r="AE35" s="207">
        <f>SUMIFS(LstMachines[Nbre],LstMachines[Model-Spec],PrévisionBoris[[#This Row],[Spec]],LstMachines[Status],PrévisionBoris[[#This Row],[Status]],LstMachines[MoisLivr],AE$1)</f>
        <v>0</v>
      </c>
      <c r="AF35" s="206">
        <f>SUMIFS(LstMachines[Nbre],LstMachines[Model-Spec],PrévisionBoris[[#This Row],[Spec]],LstMachines[Status],PrévisionBoris[[#This Row],[Status]],LstMachines[MoisLivr],AF$1)</f>
        <v>0</v>
      </c>
      <c r="AG35" s="207">
        <f>SUMIFS(LstMachines[Nbre],LstMachines[Model-Spec],PrévisionBoris[[#This Row],[Spec]],LstMachines[Status],PrévisionBoris[[#This Row],[Status]],LstMachines[MoisLivr],AG$1)</f>
        <v>0</v>
      </c>
      <c r="AH35" s="207">
        <f>SUMIFS(LstMachines[Nbre],LstMachines[Model-Spec],PrévisionBoris[[#This Row],[Spec]],LstMachines[Status],PrévisionBoris[[#This Row],[Status]],LstMachines[MoisLivr],AH$1)</f>
        <v>0</v>
      </c>
      <c r="AI35" s="206">
        <f>SUMIFS(LstMachines[Nbre],LstMachines[Model-Spec],PrévisionBoris[[#This Row],[Spec]],LstMachines[Status],PrévisionBoris[[#This Row],[Status]],LstMachines[MoisLivr],AI$1)</f>
        <v>0</v>
      </c>
      <c r="AJ35" s="207">
        <f>SUMIFS(LstMachines[Nbre],LstMachines[Model-Spec],PrévisionBoris[[#This Row],[Spec]],LstMachines[Status],PrévisionBoris[[#This Row],[Status]],LstMachines[MoisLivr],AJ$1)</f>
        <v>0</v>
      </c>
      <c r="AK35" s="207">
        <f>SUMIFS(LstMachines[Nbre],LstMachines[Model-Spec],PrévisionBoris[[#This Row],[Spec]],LstMachines[Status],PrévisionBoris[[#This Row],[Status]],LstMachines[MoisLivr],AK$1)</f>
        <v>0</v>
      </c>
      <c r="AL35" s="206">
        <f>SUMIFS(LstMachines[Nbre],LstMachines[Model-Spec],PrévisionBoris[[#This Row],[Spec]],LstMachines[Status],PrévisionBoris[[#This Row],[Status]],LstMachines[MoisLivr],AL$1)</f>
        <v>0</v>
      </c>
      <c r="AM35" s="207">
        <f>SUMIFS(LstMachines[Nbre],LstMachines[Model-Spec],PrévisionBoris[[#This Row],[Spec]],LstMachines[Status],PrévisionBoris[[#This Row],[Status]],LstMachines[MoisLivr],AM$1)</f>
        <v>0</v>
      </c>
      <c r="AN35" s="207">
        <f>SUMIFS(LstMachines[Nbre],LstMachines[Model-Spec],PrévisionBoris[[#This Row],[Spec]],LstMachines[Status],PrévisionBoris[[#This Row],[Status]],LstMachines[MoisLivr],AN$1)</f>
        <v>0</v>
      </c>
      <c r="AO35" s="206">
        <f>SUMIFS(LstMachines[Nbre],LstMachines[Model-Spec],PrévisionBoris[[#This Row],[Spec]],LstMachines[Status],PrévisionBoris[[#This Row],[Status]],LstMachines[MoisLivr],AO$1)</f>
        <v>0</v>
      </c>
      <c r="AP35" s="207">
        <f>SUMIFS(LstMachines[Nbre],LstMachines[Model-Spec],PrévisionBoris[[#This Row],[Spec]],LstMachines[Status],PrévisionBoris[[#This Row],[Status]],LstMachines[MoisLivr],AP$1)</f>
        <v>0</v>
      </c>
      <c r="AQ35" s="207">
        <f>SUMIFS(LstMachines[Nbre],LstMachines[Model-Spec],PrévisionBoris[[#This Row],[Spec]],LstMachines[Status],PrévisionBoris[[#This Row],[Status]],LstMachines[MoisLivr],AQ$1)</f>
        <v>0</v>
      </c>
      <c r="AR35" s="206">
        <f>SUMIFS(LstMachines[Nbre],LstMachines[Model-Spec],PrévisionBoris[[#This Row],[Spec]],LstMachines[Status],PrévisionBoris[[#This Row],[Status]],LstMachines[MoisLivr],AR$1)</f>
        <v>0</v>
      </c>
      <c r="AS35" s="207">
        <f>SUMIFS(LstMachines[Nbre],LstMachines[Model-Spec],PrévisionBoris[[#This Row],[Spec]],LstMachines[Status],PrévisionBoris[[#This Row],[Status]],LstMachines[MoisLivr],AS$1)</f>
        <v>0</v>
      </c>
      <c r="AT35" s="207">
        <f>SUMIFS(LstMachines[Nbre],LstMachines[Model-Spec],PrévisionBoris[[#This Row],[Spec]],LstMachines[Status],PrévisionBoris[[#This Row],[Status]],LstMachines[MoisLivr],AT$1)</f>
        <v>0</v>
      </c>
      <c r="AU35" s="206">
        <f>SUMIFS(LstMachines[Nbre],LstMachines[Model-Spec],PrévisionBoris[[#This Row],[Spec]],LstMachines[Status],PrévisionBoris[[#This Row],[Status]],LstMachines[MoisLivr],AU$1)</f>
        <v>0</v>
      </c>
      <c r="AV35" s="233">
        <f>SUMIFS(LstMachines[Nbre],LstMachines[Model-Spec],PrévisionBoris[[#This Row],[Spec]],LstMachines[Status],PrévisionBoris[[#This Row],[Status]],LstMachines[MoisLivr],AV$1)</f>
        <v>0</v>
      </c>
      <c r="AW35" s="208">
        <f>SUMIFS(LstMachines[Nbre],LstMachines[Model-Spec],PrévisionBoris[[#This Row],[Spec]],LstMachines[Status],PrévisionBoris[[#This Row],[Status]],LstMachines[MoisLivr],AW$1)</f>
        <v>0</v>
      </c>
      <c r="AX35" s="225"/>
      <c r="AY35" s="211">
        <f t="shared" si="3"/>
        <v>0</v>
      </c>
      <c r="AZ35" s="212">
        <f t="shared" si="4"/>
        <v>1</v>
      </c>
      <c r="BA35" s="212">
        <f t="shared" si="5"/>
        <v>0</v>
      </c>
      <c r="BB35" s="213">
        <f t="shared" si="6"/>
        <v>0</v>
      </c>
      <c r="BC35" s="225">
        <f t="shared" si="7"/>
        <v>1</v>
      </c>
      <c r="BD35" s="211">
        <f t="shared" si="8"/>
        <v>1</v>
      </c>
      <c r="BE35" s="212">
        <f t="shared" si="9"/>
        <v>3</v>
      </c>
      <c r="BF35" s="212">
        <f t="shared" si="10"/>
        <v>0</v>
      </c>
      <c r="BG35" s="213">
        <f t="shared" si="11"/>
        <v>0</v>
      </c>
      <c r="BH35" s="225">
        <f t="shared" si="12"/>
        <v>4</v>
      </c>
      <c r="BI35" s="214">
        <f t="shared" si="13"/>
        <v>0</v>
      </c>
      <c r="BJ35" s="215">
        <f t="shared" si="14"/>
        <v>0</v>
      </c>
      <c r="BK35" s="215">
        <f t="shared" si="15"/>
        <v>0</v>
      </c>
      <c r="BL35" s="216">
        <f t="shared" si="16"/>
        <v>0</v>
      </c>
      <c r="BM35" s="225">
        <f t="shared" si="17"/>
        <v>0</v>
      </c>
      <c r="BN35" s="225"/>
      <c r="BO35" s="234"/>
      <c r="BP35" s="218">
        <f t="shared" si="18"/>
        <v>5</v>
      </c>
    </row>
    <row r="36" spans="1:68">
      <c r="A36" s="170">
        <v>29</v>
      </c>
      <c r="B36" s="170" t="s">
        <v>151</v>
      </c>
      <c r="C36" s="200">
        <v>180</v>
      </c>
      <c r="D36" s="170" t="s">
        <v>160</v>
      </c>
      <c r="E36" s="170" t="s">
        <v>163</v>
      </c>
      <c r="F36" s="200">
        <f>VLOOKUP(PrévisionBoris[[#This Row],[Spec]],TabModelSpecs[[ModelSpec]:[Price]],2,FALSE)</f>
        <v>105</v>
      </c>
      <c r="G36" s="170" t="s">
        <v>462</v>
      </c>
      <c r="H36" s="219">
        <f>SUMIFS(LstMachines[Nbre],LstMachines[Model-Spec],PrévisionBoris[[#This Row],[Spec]],LstMachines[Status],PrévisionBoris[[#This Row],[Status]],LstMachines[MoisLivr],H$1)</f>
        <v>0</v>
      </c>
      <c r="I36" s="220">
        <f>SUMIFS(LstMachines[Nbre],LstMachines[Model-Spec],PrévisionBoris[[#This Row],[Spec]],LstMachines[Status],PrévisionBoris[[#This Row],[Status]],LstMachines[MoisLivr],I$1)</f>
        <v>0</v>
      </c>
      <c r="J36" s="221">
        <f>SUMIFS(LstMachines[Nbre],LstMachines[Model-Spec],PrévisionBoris[[#This Row],[Spec]],LstMachines[Status],PrévisionBoris[[#This Row],[Status]],LstMachines[MoisLivr],J$1)</f>
        <v>0</v>
      </c>
      <c r="K36" s="219">
        <f>SUMIFS(LstMachines[Nbre],LstMachines[Model-Spec],PrévisionBoris[[#This Row],[Spec]],LstMachines[Status],PrévisionBoris[[#This Row],[Status]],LstMachines[MoisLivr],K$1)</f>
        <v>0</v>
      </c>
      <c r="L36" s="220">
        <f>SUMIFS(LstMachines[Nbre],LstMachines[Model-Spec],PrévisionBoris[[#This Row],[Spec]],LstMachines[Status],PrévisionBoris[[#This Row],[Status]],LstMachines[MoisLivr],L$1)</f>
        <v>0</v>
      </c>
      <c r="M36" s="221">
        <f>SUMIFS(LstMachines[Nbre],LstMachines[Model-Spec],PrévisionBoris[[#This Row],[Spec]],LstMachines[Status],PrévisionBoris[[#This Row],[Status]],LstMachines[MoisLivr],M$1)</f>
        <v>0</v>
      </c>
      <c r="N36" s="219">
        <f>SUMIFS(LstMachines[Nbre],LstMachines[Model-Spec],PrévisionBoris[[#This Row],[Spec]],LstMachines[Status],PrévisionBoris[[#This Row],[Status]],LstMachines[MoisLivr],N$1)</f>
        <v>0</v>
      </c>
      <c r="O36" s="220">
        <f>SUMIFS(LstMachines[Nbre],LstMachines[Model-Spec],PrévisionBoris[[#This Row],[Spec]],LstMachines[Status],PrévisionBoris[[#This Row],[Status]],LstMachines[MoisLivr],O$1)</f>
        <v>0</v>
      </c>
      <c r="P36" s="221">
        <f>SUMIFS(LstMachines[Nbre],LstMachines[Model-Spec],PrévisionBoris[[#This Row],[Spec]],LstMachines[Status],PrévisionBoris[[#This Row],[Status]],LstMachines[MoisLivr],P$1)</f>
        <v>0</v>
      </c>
      <c r="Q36" s="222">
        <f>SUMIFS(LstMachines[Nbre],LstMachines[Model-Spec],PrévisionBoris[[#This Row],[Spec]],LstMachines[Status],PrévisionBoris[[#This Row],[Status]],LstMachines[MoisLivr],Q$1)</f>
        <v>0</v>
      </c>
      <c r="R36" s="220">
        <f>SUMIFS(LstMachines[Nbre],LstMachines[Model-Spec],PrévisionBoris[[#This Row],[Spec]],LstMachines[Status],PrévisionBoris[[#This Row],[Status]],LstMachines[MoisLivr],R$1)</f>
        <v>0</v>
      </c>
      <c r="S36" s="220">
        <f>SUMIFS(LstMachines[Nbre],LstMachines[Model-Spec],PrévisionBoris[[#This Row],[Spec]],LstMachines[Status],PrévisionBoris[[#This Row],[Status]],LstMachines[MoisLivr],S$1)</f>
        <v>0</v>
      </c>
      <c r="T36" s="219">
        <f>SUMIFS(LstMachines[Nbre],LstMachines[Model-Spec],PrévisionBoris[[#This Row],[Spec]],LstMachines[Status],PrévisionBoris[[#This Row],[Status]],LstMachines[MoisLivr],T$1)</f>
        <v>0</v>
      </c>
      <c r="U36" s="220">
        <f>SUMIFS(LstMachines[Nbre],LstMachines[Model-Spec],PrévisionBoris[[#This Row],[Spec]],LstMachines[Status],PrévisionBoris[[#This Row],[Status]],LstMachines[MoisLivr],U$1)</f>
        <v>0</v>
      </c>
      <c r="V36" s="220">
        <f>SUMIFS(LstMachines[Nbre],LstMachines[Model-Spec],PrévisionBoris[[#This Row],[Spec]],LstMachines[Status],PrévisionBoris[[#This Row],[Status]],LstMachines[MoisLivr],V$1)</f>
        <v>0</v>
      </c>
      <c r="W36" s="219">
        <f>SUMIFS(LstMachines[Nbre],LstMachines[Model-Spec],PrévisionBoris[[#This Row],[Spec]],LstMachines[Status],PrévisionBoris[[#This Row],[Status]],LstMachines[MoisLivr],W$1)</f>
        <v>0</v>
      </c>
      <c r="X36" s="220">
        <f>SUMIFS(LstMachines[Nbre],LstMachines[Model-Spec],PrévisionBoris[[#This Row],[Spec]],LstMachines[Status],PrévisionBoris[[#This Row],[Status]],LstMachines[MoisLivr],X$1)</f>
        <v>0</v>
      </c>
      <c r="Y36" s="220">
        <f>SUMIFS(LstMachines[Nbre],LstMachines[Model-Spec],PrévisionBoris[[#This Row],[Spec]],LstMachines[Status],PrévisionBoris[[#This Row],[Status]],LstMachines[MoisLivr],Y$1)</f>
        <v>0</v>
      </c>
      <c r="Z36" s="219">
        <f>SUMIFS(LstMachines[Nbre],LstMachines[Model-Spec],PrévisionBoris[[#This Row],[Spec]],LstMachines[Status],PrévisionBoris[[#This Row],[Status]],LstMachines[MoisLivr],Z$1)</f>
        <v>0</v>
      </c>
      <c r="AA36" s="220">
        <f>SUMIFS(LstMachines[Nbre],LstMachines[Model-Spec],PrévisionBoris[[#This Row],[Spec]],LstMachines[Status],PrévisionBoris[[#This Row],[Status]],LstMachines[MoisLivr],AA$1)</f>
        <v>0</v>
      </c>
      <c r="AB36" s="220">
        <f>SUMIFS(LstMachines[Nbre],LstMachines[Model-Spec],PrévisionBoris[[#This Row],[Spec]],LstMachines[Status],PrévisionBoris[[#This Row],[Status]],LstMachines[MoisLivr],AB$1)</f>
        <v>0</v>
      </c>
      <c r="AC36" s="219">
        <f>SUMIFS(LstMachines[Nbre],LstMachines[Model-Spec],PrévisionBoris[[#This Row],[Spec]],LstMachines[Status],PrévisionBoris[[#This Row],[Status]],LstMachines[MoisLivr],AC$1)</f>
        <v>0</v>
      </c>
      <c r="AD36" s="220">
        <f>SUMIFS(LstMachines[Nbre],LstMachines[Model-Spec],PrévisionBoris[[#This Row],[Spec]],LstMachines[Status],PrévisionBoris[[#This Row],[Status]],LstMachines[MoisLivr],AD$1)</f>
        <v>0</v>
      </c>
      <c r="AE36" s="220">
        <f>SUMIFS(LstMachines[Nbre],LstMachines[Model-Spec],PrévisionBoris[[#This Row],[Spec]],LstMachines[Status],PrévisionBoris[[#This Row],[Status]],LstMachines[MoisLivr],AE$1)</f>
        <v>0</v>
      </c>
      <c r="AF36" s="219">
        <f>SUMIFS(LstMachines[Nbre],LstMachines[Model-Spec],PrévisionBoris[[#This Row],[Spec]],LstMachines[Status],PrévisionBoris[[#This Row],[Status]],LstMachines[MoisLivr],AF$1)</f>
        <v>0</v>
      </c>
      <c r="AG36" s="220">
        <f>SUMIFS(LstMachines[Nbre],LstMachines[Model-Spec],PrévisionBoris[[#This Row],[Spec]],LstMachines[Status],PrévisionBoris[[#This Row],[Status]],LstMachines[MoisLivr],AG$1)</f>
        <v>0</v>
      </c>
      <c r="AH36" s="220">
        <f>SUMIFS(LstMachines[Nbre],LstMachines[Model-Spec],PrévisionBoris[[#This Row],[Spec]],LstMachines[Status],PrévisionBoris[[#This Row],[Status]],LstMachines[MoisLivr],AH$1)</f>
        <v>0</v>
      </c>
      <c r="AI36" s="219">
        <f>SUMIFS(LstMachines[Nbre],LstMachines[Model-Spec],PrévisionBoris[[#This Row],[Spec]],LstMachines[Status],PrévisionBoris[[#This Row],[Status]],LstMachines[MoisLivr],AI$1)</f>
        <v>0</v>
      </c>
      <c r="AJ36" s="220">
        <f>SUMIFS(LstMachines[Nbre],LstMachines[Model-Spec],PrévisionBoris[[#This Row],[Spec]],LstMachines[Status],PrévisionBoris[[#This Row],[Status]],LstMachines[MoisLivr],AJ$1)</f>
        <v>0</v>
      </c>
      <c r="AK36" s="220">
        <f>SUMIFS(LstMachines[Nbre],LstMachines[Model-Spec],PrévisionBoris[[#This Row],[Spec]],LstMachines[Status],PrévisionBoris[[#This Row],[Status]],LstMachines[MoisLivr],AK$1)</f>
        <v>0</v>
      </c>
      <c r="AL36" s="219">
        <f>SUMIFS(LstMachines[Nbre],LstMachines[Model-Spec],PrévisionBoris[[#This Row],[Spec]],LstMachines[Status],PrévisionBoris[[#This Row],[Status]],LstMachines[MoisLivr],AL$1)</f>
        <v>0</v>
      </c>
      <c r="AM36" s="220">
        <f>SUMIFS(LstMachines[Nbre],LstMachines[Model-Spec],PrévisionBoris[[#This Row],[Spec]],LstMachines[Status],PrévisionBoris[[#This Row],[Status]],LstMachines[MoisLivr],AM$1)</f>
        <v>0</v>
      </c>
      <c r="AN36" s="220">
        <f>SUMIFS(LstMachines[Nbre],LstMachines[Model-Spec],PrévisionBoris[[#This Row],[Spec]],LstMachines[Status],PrévisionBoris[[#This Row],[Status]],LstMachines[MoisLivr],AN$1)</f>
        <v>0</v>
      </c>
      <c r="AO36" s="219">
        <f>SUMIFS(LstMachines[Nbre],LstMachines[Model-Spec],PrévisionBoris[[#This Row],[Spec]],LstMachines[Status],PrévisionBoris[[#This Row],[Status]],LstMachines[MoisLivr],AO$1)</f>
        <v>0</v>
      </c>
      <c r="AP36" s="220">
        <f>SUMIFS(LstMachines[Nbre],LstMachines[Model-Spec],PrévisionBoris[[#This Row],[Spec]],LstMachines[Status],PrévisionBoris[[#This Row],[Status]],LstMachines[MoisLivr],AP$1)</f>
        <v>0</v>
      </c>
      <c r="AQ36" s="220">
        <f>SUMIFS(LstMachines[Nbre],LstMachines[Model-Spec],PrévisionBoris[[#This Row],[Spec]],LstMachines[Status],PrévisionBoris[[#This Row],[Status]],LstMachines[MoisLivr],AQ$1)</f>
        <v>0</v>
      </c>
      <c r="AR36" s="219">
        <f>SUMIFS(LstMachines[Nbre],LstMachines[Model-Spec],PrévisionBoris[[#This Row],[Spec]],LstMachines[Status],PrévisionBoris[[#This Row],[Status]],LstMachines[MoisLivr],AR$1)</f>
        <v>0</v>
      </c>
      <c r="AS36" s="220">
        <f>SUMIFS(LstMachines[Nbre],LstMachines[Model-Spec],PrévisionBoris[[#This Row],[Spec]],LstMachines[Status],PrévisionBoris[[#This Row],[Status]],LstMachines[MoisLivr],AS$1)</f>
        <v>0</v>
      </c>
      <c r="AT36" s="220">
        <f>SUMIFS(LstMachines[Nbre],LstMachines[Model-Spec],PrévisionBoris[[#This Row],[Spec]],LstMachines[Status],PrévisionBoris[[#This Row],[Status]],LstMachines[MoisLivr],AT$1)</f>
        <v>0</v>
      </c>
      <c r="AU36" s="219">
        <f>SUMIFS(LstMachines[Nbre],LstMachines[Model-Spec],PrévisionBoris[[#This Row],[Spec]],LstMachines[Status],PrévisionBoris[[#This Row],[Status]],LstMachines[MoisLivr],AU$1)</f>
        <v>0</v>
      </c>
      <c r="AV36" s="223">
        <f>SUMIFS(LstMachines[Nbre],LstMachines[Model-Spec],PrévisionBoris[[#This Row],[Spec]],LstMachines[Status],PrévisionBoris[[#This Row],[Status]],LstMachines[MoisLivr],AV$1)</f>
        <v>0</v>
      </c>
      <c r="AW36" s="224">
        <f>SUMIFS(LstMachines[Nbre],LstMachines[Model-Spec],PrévisionBoris[[#This Row],[Spec]],LstMachines[Status],PrévisionBoris[[#This Row],[Status]],LstMachines[MoisLivr],AW$1)</f>
        <v>0</v>
      </c>
      <c r="AX36" s="210"/>
      <c r="AY36" s="211">
        <f t="shared" si="3"/>
        <v>0</v>
      </c>
      <c r="AZ36" s="212">
        <f t="shared" si="4"/>
        <v>0</v>
      </c>
      <c r="BA36" s="212">
        <f t="shared" si="5"/>
        <v>0</v>
      </c>
      <c r="BB36" s="213">
        <f t="shared" si="6"/>
        <v>0</v>
      </c>
      <c r="BC36" s="225">
        <f t="shared" si="7"/>
        <v>0</v>
      </c>
      <c r="BD36" s="211">
        <f t="shared" si="8"/>
        <v>0</v>
      </c>
      <c r="BE36" s="212">
        <f t="shared" si="9"/>
        <v>0</v>
      </c>
      <c r="BF36" s="212">
        <f t="shared" si="10"/>
        <v>0</v>
      </c>
      <c r="BG36" s="213">
        <f t="shared" si="11"/>
        <v>0</v>
      </c>
      <c r="BH36" s="225">
        <f t="shared" si="12"/>
        <v>0</v>
      </c>
      <c r="BI36" s="214">
        <f t="shared" si="13"/>
        <v>0</v>
      </c>
      <c r="BJ36" s="215">
        <f t="shared" si="14"/>
        <v>0</v>
      </c>
      <c r="BK36" s="215">
        <f t="shared" si="15"/>
        <v>0</v>
      </c>
      <c r="BL36" s="216">
        <f t="shared" si="16"/>
        <v>0</v>
      </c>
      <c r="BM36" s="225">
        <f t="shared" si="17"/>
        <v>0</v>
      </c>
      <c r="BN36" s="225"/>
      <c r="BO36" s="217"/>
      <c r="BP36" s="218">
        <f t="shared" si="18"/>
        <v>0</v>
      </c>
    </row>
    <row r="37" spans="1:68">
      <c r="A37" s="171">
        <v>30</v>
      </c>
      <c r="B37" s="171" t="s">
        <v>151</v>
      </c>
      <c r="C37" s="201">
        <v>180</v>
      </c>
      <c r="D37" s="171" t="s">
        <v>160</v>
      </c>
      <c r="E37" s="171" t="s">
        <v>163</v>
      </c>
      <c r="F37" s="201">
        <f>VLOOKUP(PrévisionBoris[[#This Row],[Spec]],TabModelSpecs[[ModelSpec]:[Price]],2,FALSE)</f>
        <v>105</v>
      </c>
      <c r="G37" s="171" t="s">
        <v>463</v>
      </c>
      <c r="H37" s="226">
        <f>SUMIFS(LstMachines[Nbre],LstMachines[Model-Spec],PrévisionBoris[[#This Row],[Spec]],LstMachines[Status],PrévisionBoris[[#This Row],[Status]],LstMachines[MoisLivr],H$1)</f>
        <v>0</v>
      </c>
      <c r="I37" s="227">
        <f>SUMIFS(LstMachines[Nbre],LstMachines[Model-Spec],PrévisionBoris[[#This Row],[Spec]],LstMachines[Status],PrévisionBoris[[#This Row],[Status]],LstMachines[MoisLivr],I$1)</f>
        <v>0</v>
      </c>
      <c r="J37" s="228">
        <f>SUMIFS(LstMachines[Nbre],LstMachines[Model-Spec],PrévisionBoris[[#This Row],[Spec]],LstMachines[Status],PrévisionBoris[[#This Row],[Status]],LstMachines[MoisLivr],J$1)</f>
        <v>0</v>
      </c>
      <c r="K37" s="226">
        <f>SUMIFS(LstMachines[Nbre],LstMachines[Model-Spec],PrévisionBoris[[#This Row],[Spec]],LstMachines[Status],PrévisionBoris[[#This Row],[Status]],LstMachines[MoisLivr],K$1)</f>
        <v>0</v>
      </c>
      <c r="L37" s="227">
        <f>SUMIFS(LstMachines[Nbre],LstMachines[Model-Spec],PrévisionBoris[[#This Row],[Spec]],LstMachines[Status],PrévisionBoris[[#This Row],[Status]],LstMachines[MoisLivr],L$1)</f>
        <v>0</v>
      </c>
      <c r="M37" s="228">
        <f>SUMIFS(LstMachines[Nbre],LstMachines[Model-Spec],PrévisionBoris[[#This Row],[Spec]],LstMachines[Status],PrévisionBoris[[#This Row],[Status]],LstMachines[MoisLivr],M$1)</f>
        <v>0</v>
      </c>
      <c r="N37" s="226">
        <f>SUMIFS(LstMachines[Nbre],LstMachines[Model-Spec],PrévisionBoris[[#This Row],[Spec]],LstMachines[Status],PrévisionBoris[[#This Row],[Status]],LstMachines[MoisLivr],N$1)</f>
        <v>0</v>
      </c>
      <c r="O37" s="227">
        <f>SUMIFS(LstMachines[Nbre],LstMachines[Model-Spec],PrévisionBoris[[#This Row],[Spec]],LstMachines[Status],PrévisionBoris[[#This Row],[Status]],LstMachines[MoisLivr],O$1)</f>
        <v>0</v>
      </c>
      <c r="P37" s="228">
        <f>SUMIFS(LstMachines[Nbre],LstMachines[Model-Spec],PrévisionBoris[[#This Row],[Spec]],LstMachines[Status],PrévisionBoris[[#This Row],[Status]],LstMachines[MoisLivr],P$1)</f>
        <v>0</v>
      </c>
      <c r="Q37" s="229">
        <f>SUMIFS(LstMachines[Nbre],LstMachines[Model-Spec],PrévisionBoris[[#This Row],[Spec]],LstMachines[Status],PrévisionBoris[[#This Row],[Status]],LstMachines[MoisLivr],Q$1)</f>
        <v>0</v>
      </c>
      <c r="R37" s="227">
        <f>SUMIFS(LstMachines[Nbre],LstMachines[Model-Spec],PrévisionBoris[[#This Row],[Spec]],LstMachines[Status],PrévisionBoris[[#This Row],[Status]],LstMachines[MoisLivr],R$1)</f>
        <v>0</v>
      </c>
      <c r="S37" s="227">
        <f>SUMIFS(LstMachines[Nbre],LstMachines[Model-Spec],PrévisionBoris[[#This Row],[Spec]],LstMachines[Status],PrévisionBoris[[#This Row],[Status]],LstMachines[MoisLivr],S$1)</f>
        <v>0</v>
      </c>
      <c r="T37" s="226">
        <f>SUMIFS(LstMachines[Nbre],LstMachines[Model-Spec],PrévisionBoris[[#This Row],[Spec]],LstMachines[Status],PrévisionBoris[[#This Row],[Status]],LstMachines[MoisLivr],T$1)</f>
        <v>0</v>
      </c>
      <c r="U37" s="227">
        <f>SUMIFS(LstMachines[Nbre],LstMachines[Model-Spec],PrévisionBoris[[#This Row],[Spec]],LstMachines[Status],PrévisionBoris[[#This Row],[Status]],LstMachines[MoisLivr],U$1)</f>
        <v>0</v>
      </c>
      <c r="V37" s="227">
        <f>SUMIFS(LstMachines[Nbre],LstMachines[Model-Spec],PrévisionBoris[[#This Row],[Spec]],LstMachines[Status],PrévisionBoris[[#This Row],[Status]],LstMachines[MoisLivr],V$1)</f>
        <v>0</v>
      </c>
      <c r="W37" s="226">
        <f>SUMIFS(LstMachines[Nbre],LstMachines[Model-Spec],PrévisionBoris[[#This Row],[Spec]],LstMachines[Status],PrévisionBoris[[#This Row],[Status]],LstMachines[MoisLivr],W$1)</f>
        <v>0</v>
      </c>
      <c r="X37" s="227">
        <f>SUMIFS(LstMachines[Nbre],LstMachines[Model-Spec],PrévisionBoris[[#This Row],[Spec]],LstMachines[Status],PrévisionBoris[[#This Row],[Status]],LstMachines[MoisLivr],X$1)</f>
        <v>0</v>
      </c>
      <c r="Y37" s="227">
        <f>SUMIFS(LstMachines[Nbre],LstMachines[Model-Spec],PrévisionBoris[[#This Row],[Spec]],LstMachines[Status],PrévisionBoris[[#This Row],[Status]],LstMachines[MoisLivr],Y$1)</f>
        <v>0</v>
      </c>
      <c r="Z37" s="226">
        <f>SUMIFS(LstMachines[Nbre],LstMachines[Model-Spec],PrévisionBoris[[#This Row],[Spec]],LstMachines[Status],PrévisionBoris[[#This Row],[Status]],LstMachines[MoisLivr],Z$1)</f>
        <v>0</v>
      </c>
      <c r="AA37" s="227">
        <f>SUMIFS(LstMachines[Nbre],LstMachines[Model-Spec],PrévisionBoris[[#This Row],[Spec]],LstMachines[Status],PrévisionBoris[[#This Row],[Status]],LstMachines[MoisLivr],AA$1)</f>
        <v>0</v>
      </c>
      <c r="AB37" s="227">
        <f>SUMIFS(LstMachines[Nbre],LstMachines[Model-Spec],PrévisionBoris[[#This Row],[Spec]],LstMachines[Status],PrévisionBoris[[#This Row],[Status]],LstMachines[MoisLivr],AB$1)</f>
        <v>0</v>
      </c>
      <c r="AC37" s="226">
        <f>SUMIFS(LstMachines[Nbre],LstMachines[Model-Spec],PrévisionBoris[[#This Row],[Spec]],LstMachines[Status],PrévisionBoris[[#This Row],[Status]],LstMachines[MoisLivr],AC$1)</f>
        <v>0</v>
      </c>
      <c r="AD37" s="227">
        <f>SUMIFS(LstMachines[Nbre],LstMachines[Model-Spec],PrévisionBoris[[#This Row],[Spec]],LstMachines[Status],PrévisionBoris[[#This Row],[Status]],LstMachines[MoisLivr],AD$1)</f>
        <v>0</v>
      </c>
      <c r="AE37" s="227">
        <f>SUMIFS(LstMachines[Nbre],LstMachines[Model-Spec],PrévisionBoris[[#This Row],[Spec]],LstMachines[Status],PrévisionBoris[[#This Row],[Status]],LstMachines[MoisLivr],AE$1)</f>
        <v>0</v>
      </c>
      <c r="AF37" s="226">
        <f>SUMIFS(LstMachines[Nbre],LstMachines[Model-Spec],PrévisionBoris[[#This Row],[Spec]],LstMachines[Status],PrévisionBoris[[#This Row],[Status]],LstMachines[MoisLivr],AF$1)</f>
        <v>0</v>
      </c>
      <c r="AG37" s="227">
        <f>SUMIFS(LstMachines[Nbre],LstMachines[Model-Spec],PrévisionBoris[[#This Row],[Spec]],LstMachines[Status],PrévisionBoris[[#This Row],[Status]],LstMachines[MoisLivr],AG$1)</f>
        <v>0</v>
      </c>
      <c r="AH37" s="227">
        <f>SUMIFS(LstMachines[Nbre],LstMachines[Model-Spec],PrévisionBoris[[#This Row],[Spec]],LstMachines[Status],PrévisionBoris[[#This Row],[Status]],LstMachines[MoisLivr],AH$1)</f>
        <v>0</v>
      </c>
      <c r="AI37" s="226">
        <f>SUMIFS(LstMachines[Nbre],LstMachines[Model-Spec],PrévisionBoris[[#This Row],[Spec]],LstMachines[Status],PrévisionBoris[[#This Row],[Status]],LstMachines[MoisLivr],AI$1)</f>
        <v>0</v>
      </c>
      <c r="AJ37" s="227">
        <f>SUMIFS(LstMachines[Nbre],LstMachines[Model-Spec],PrévisionBoris[[#This Row],[Spec]],LstMachines[Status],PrévisionBoris[[#This Row],[Status]],LstMachines[MoisLivr],AJ$1)</f>
        <v>0</v>
      </c>
      <c r="AK37" s="227">
        <f>SUMIFS(LstMachines[Nbre],LstMachines[Model-Spec],PrévisionBoris[[#This Row],[Spec]],LstMachines[Status],PrévisionBoris[[#This Row],[Status]],LstMachines[MoisLivr],AK$1)</f>
        <v>0</v>
      </c>
      <c r="AL37" s="226">
        <f>SUMIFS(LstMachines[Nbre],LstMachines[Model-Spec],PrévisionBoris[[#This Row],[Spec]],LstMachines[Status],PrévisionBoris[[#This Row],[Status]],LstMachines[MoisLivr],AL$1)</f>
        <v>0</v>
      </c>
      <c r="AM37" s="227">
        <f>SUMIFS(LstMachines[Nbre],LstMachines[Model-Spec],PrévisionBoris[[#This Row],[Spec]],LstMachines[Status],PrévisionBoris[[#This Row],[Status]],LstMachines[MoisLivr],AM$1)</f>
        <v>0</v>
      </c>
      <c r="AN37" s="227">
        <f>SUMIFS(LstMachines[Nbre],LstMachines[Model-Spec],PrévisionBoris[[#This Row],[Spec]],LstMachines[Status],PrévisionBoris[[#This Row],[Status]],LstMachines[MoisLivr],AN$1)</f>
        <v>0</v>
      </c>
      <c r="AO37" s="226">
        <f>SUMIFS(LstMachines[Nbre],LstMachines[Model-Spec],PrévisionBoris[[#This Row],[Spec]],LstMachines[Status],PrévisionBoris[[#This Row],[Status]],LstMachines[MoisLivr],AO$1)</f>
        <v>0</v>
      </c>
      <c r="AP37" s="227">
        <f>SUMIFS(LstMachines[Nbre],LstMachines[Model-Spec],PrévisionBoris[[#This Row],[Spec]],LstMachines[Status],PrévisionBoris[[#This Row],[Status]],LstMachines[MoisLivr],AP$1)</f>
        <v>0</v>
      </c>
      <c r="AQ37" s="227">
        <f>SUMIFS(LstMachines[Nbre],LstMachines[Model-Spec],PrévisionBoris[[#This Row],[Spec]],LstMachines[Status],PrévisionBoris[[#This Row],[Status]],LstMachines[MoisLivr],AQ$1)</f>
        <v>0</v>
      </c>
      <c r="AR37" s="226">
        <f>SUMIFS(LstMachines[Nbre],LstMachines[Model-Spec],PrévisionBoris[[#This Row],[Spec]],LstMachines[Status],PrévisionBoris[[#This Row],[Status]],LstMachines[MoisLivr],AR$1)</f>
        <v>0</v>
      </c>
      <c r="AS37" s="227">
        <f>SUMIFS(LstMachines[Nbre],LstMachines[Model-Spec],PrévisionBoris[[#This Row],[Spec]],LstMachines[Status],PrévisionBoris[[#This Row],[Status]],LstMachines[MoisLivr],AS$1)</f>
        <v>0</v>
      </c>
      <c r="AT37" s="227">
        <f>SUMIFS(LstMachines[Nbre],LstMachines[Model-Spec],PrévisionBoris[[#This Row],[Spec]],LstMachines[Status],PrévisionBoris[[#This Row],[Status]],LstMachines[MoisLivr],AT$1)</f>
        <v>0</v>
      </c>
      <c r="AU37" s="226">
        <f>SUMIFS(LstMachines[Nbre],LstMachines[Model-Spec],PrévisionBoris[[#This Row],[Spec]],LstMachines[Status],PrévisionBoris[[#This Row],[Status]],LstMachines[MoisLivr],AU$1)</f>
        <v>0</v>
      </c>
      <c r="AV37" s="230">
        <f>SUMIFS(LstMachines[Nbre],LstMachines[Model-Spec],PrévisionBoris[[#This Row],[Spec]],LstMachines[Status],PrévisionBoris[[#This Row],[Status]],LstMachines[MoisLivr],AV$1)</f>
        <v>0</v>
      </c>
      <c r="AW37" s="231">
        <f>SUMIFS(LstMachines[Nbre],LstMachines[Model-Spec],PrévisionBoris[[#This Row],[Spec]],LstMachines[Status],PrévisionBoris[[#This Row],[Status]],LstMachines[MoisLivr],AW$1)</f>
        <v>0</v>
      </c>
      <c r="AX37" s="232"/>
      <c r="AY37" s="211">
        <f t="shared" si="3"/>
        <v>0</v>
      </c>
      <c r="AZ37" s="212">
        <f t="shared" si="4"/>
        <v>0</v>
      </c>
      <c r="BA37" s="212">
        <f t="shared" si="5"/>
        <v>0</v>
      </c>
      <c r="BB37" s="213">
        <f t="shared" si="6"/>
        <v>0</v>
      </c>
      <c r="BC37" s="225">
        <f t="shared" si="7"/>
        <v>0</v>
      </c>
      <c r="BD37" s="211">
        <f t="shared" si="8"/>
        <v>0</v>
      </c>
      <c r="BE37" s="212">
        <f t="shared" si="9"/>
        <v>0</v>
      </c>
      <c r="BF37" s="212">
        <f t="shared" si="10"/>
        <v>0</v>
      </c>
      <c r="BG37" s="213">
        <f t="shared" si="11"/>
        <v>0</v>
      </c>
      <c r="BH37" s="225">
        <f t="shared" si="12"/>
        <v>0</v>
      </c>
      <c r="BI37" s="214">
        <f t="shared" si="13"/>
        <v>0</v>
      </c>
      <c r="BJ37" s="215">
        <f t="shared" si="14"/>
        <v>0</v>
      </c>
      <c r="BK37" s="215">
        <f t="shared" si="15"/>
        <v>0</v>
      </c>
      <c r="BL37" s="216">
        <f t="shared" si="16"/>
        <v>0</v>
      </c>
      <c r="BM37" s="225">
        <f t="shared" si="17"/>
        <v>0</v>
      </c>
      <c r="BN37" s="225"/>
      <c r="BO37" s="217"/>
      <c r="BP37" s="218">
        <f t="shared" si="18"/>
        <v>0</v>
      </c>
    </row>
    <row r="38" spans="1:68">
      <c r="A38" s="172">
        <v>31</v>
      </c>
      <c r="B38" s="172" t="s">
        <v>151</v>
      </c>
      <c r="C38" s="202">
        <v>180</v>
      </c>
      <c r="D38" s="172" t="s">
        <v>164</v>
      </c>
      <c r="E38" s="172" t="s">
        <v>165</v>
      </c>
      <c r="F38" s="202">
        <f>VLOOKUP(PrévisionBoris[[#This Row],[Spec]],TabModelSpecs[[ModelSpec]:[Price]],2,FALSE)</f>
        <v>105</v>
      </c>
      <c r="G38" s="172" t="s">
        <v>461</v>
      </c>
      <c r="H38" s="206">
        <f>SUMIFS(LstMachines[Nbre],LstMachines[Model-Spec],PrévisionBoris[[#This Row],[Spec]],LstMachines[Status],PrévisionBoris[[#This Row],[Status]],LstMachines[MoisLivr],H$1)</f>
        <v>0</v>
      </c>
      <c r="I38" s="207">
        <f>SUMIFS(LstMachines[Nbre],LstMachines[Model-Spec],PrévisionBoris[[#This Row],[Spec]],LstMachines[Status],PrévisionBoris[[#This Row],[Status]],LstMachines[MoisLivr],I$1)</f>
        <v>0</v>
      </c>
      <c r="J38" s="208">
        <f>SUMIFS(LstMachines[Nbre],LstMachines[Model-Spec],PrévisionBoris[[#This Row],[Spec]],LstMachines[Status],PrévisionBoris[[#This Row],[Status]],LstMachines[MoisLivr],J$1)</f>
        <v>0</v>
      </c>
      <c r="K38" s="206">
        <f>SUMIFS(LstMachines[Nbre],LstMachines[Model-Spec],PrévisionBoris[[#This Row],[Spec]],LstMachines[Status],PrévisionBoris[[#This Row],[Status]],LstMachines[MoisLivr],K$1)</f>
        <v>0</v>
      </c>
      <c r="L38" s="207">
        <f>SUMIFS(LstMachines[Nbre],LstMachines[Model-Spec],PrévisionBoris[[#This Row],[Spec]],LstMachines[Status],PrévisionBoris[[#This Row],[Status]],LstMachines[MoisLivr],L$1)</f>
        <v>0</v>
      </c>
      <c r="M38" s="208">
        <f>SUMIFS(LstMachines[Nbre],LstMachines[Model-Spec],PrévisionBoris[[#This Row],[Spec]],LstMachines[Status],PrévisionBoris[[#This Row],[Status]],LstMachines[MoisLivr],M$1)</f>
        <v>0</v>
      </c>
      <c r="N38" s="206">
        <f>SUMIFS(LstMachines[Nbre],LstMachines[Model-Spec],PrévisionBoris[[#This Row],[Spec]],LstMachines[Status],PrévisionBoris[[#This Row],[Status]],LstMachines[MoisLivr],N$1)</f>
        <v>0</v>
      </c>
      <c r="O38" s="207">
        <f>SUMIFS(LstMachines[Nbre],LstMachines[Model-Spec],PrévisionBoris[[#This Row],[Spec]],LstMachines[Status],PrévisionBoris[[#This Row],[Status]],LstMachines[MoisLivr],O$1)</f>
        <v>0</v>
      </c>
      <c r="P38" s="208">
        <f>SUMIFS(LstMachines[Nbre],LstMachines[Model-Spec],PrévisionBoris[[#This Row],[Spec]],LstMachines[Status],PrévisionBoris[[#This Row],[Status]],LstMachines[MoisLivr],P$1)</f>
        <v>0</v>
      </c>
      <c r="Q38" s="209">
        <f>SUMIFS(LstMachines[Nbre],LstMachines[Model-Spec],PrévisionBoris[[#This Row],[Spec]],LstMachines[Status],PrévisionBoris[[#This Row],[Status]],LstMachines[MoisLivr],Q$1)</f>
        <v>0</v>
      </c>
      <c r="R38" s="207">
        <f>SUMIFS(LstMachines[Nbre],LstMachines[Model-Spec],PrévisionBoris[[#This Row],[Spec]],LstMachines[Status],PrévisionBoris[[#This Row],[Status]],LstMachines[MoisLivr],R$1)</f>
        <v>0</v>
      </c>
      <c r="S38" s="207">
        <f>SUMIFS(LstMachines[Nbre],LstMachines[Model-Spec],PrévisionBoris[[#This Row],[Spec]],LstMachines[Status],PrévisionBoris[[#This Row],[Status]],LstMachines[MoisLivr],S$1)</f>
        <v>0</v>
      </c>
      <c r="T38" s="206">
        <f>SUMIFS(LstMachines[Nbre],LstMachines[Model-Spec],PrévisionBoris[[#This Row],[Spec]],LstMachines[Status],PrévisionBoris[[#This Row],[Status]],LstMachines[MoisLivr],T$1)</f>
        <v>0</v>
      </c>
      <c r="U38" s="207">
        <f>SUMIFS(LstMachines[Nbre],LstMachines[Model-Spec],PrévisionBoris[[#This Row],[Spec]],LstMachines[Status],PrévisionBoris[[#This Row],[Status]],LstMachines[MoisLivr],U$1)</f>
        <v>0</v>
      </c>
      <c r="V38" s="207">
        <f>SUMIFS(LstMachines[Nbre],LstMachines[Model-Spec],PrévisionBoris[[#This Row],[Spec]],LstMachines[Status],PrévisionBoris[[#This Row],[Status]],LstMachines[MoisLivr],V$1)</f>
        <v>0</v>
      </c>
      <c r="W38" s="206">
        <f>SUMIFS(LstMachines[Nbre],LstMachines[Model-Spec],PrévisionBoris[[#This Row],[Spec]],LstMachines[Status],PrévisionBoris[[#This Row],[Status]],LstMachines[MoisLivr],W$1)</f>
        <v>0</v>
      </c>
      <c r="X38" s="207">
        <f>SUMIFS(LstMachines[Nbre],LstMachines[Model-Spec],PrévisionBoris[[#This Row],[Spec]],LstMachines[Status],PrévisionBoris[[#This Row],[Status]],LstMachines[MoisLivr],X$1)</f>
        <v>0</v>
      </c>
      <c r="Y38" s="207">
        <f>SUMIFS(LstMachines[Nbre],LstMachines[Model-Spec],PrévisionBoris[[#This Row],[Spec]],LstMachines[Status],PrévisionBoris[[#This Row],[Status]],LstMachines[MoisLivr],Y$1)</f>
        <v>0</v>
      </c>
      <c r="Z38" s="206">
        <f>SUMIFS(LstMachines[Nbre],LstMachines[Model-Spec],PrévisionBoris[[#This Row],[Spec]],LstMachines[Status],PrévisionBoris[[#This Row],[Status]],LstMachines[MoisLivr],Z$1)</f>
        <v>0</v>
      </c>
      <c r="AA38" s="207">
        <f>SUMIFS(LstMachines[Nbre],LstMachines[Model-Spec],PrévisionBoris[[#This Row],[Spec]],LstMachines[Status],PrévisionBoris[[#This Row],[Status]],LstMachines[MoisLivr],AA$1)</f>
        <v>0</v>
      </c>
      <c r="AB38" s="207">
        <f>SUMIFS(LstMachines[Nbre],LstMachines[Model-Spec],PrévisionBoris[[#This Row],[Spec]],LstMachines[Status],PrévisionBoris[[#This Row],[Status]],LstMachines[MoisLivr],AB$1)</f>
        <v>0</v>
      </c>
      <c r="AC38" s="206">
        <f>SUMIFS(LstMachines[Nbre],LstMachines[Model-Spec],PrévisionBoris[[#This Row],[Spec]],LstMachines[Status],PrévisionBoris[[#This Row],[Status]],LstMachines[MoisLivr],AC$1)</f>
        <v>0</v>
      </c>
      <c r="AD38" s="207">
        <f>SUMIFS(LstMachines[Nbre],LstMachines[Model-Spec],PrévisionBoris[[#This Row],[Spec]],LstMachines[Status],PrévisionBoris[[#This Row],[Status]],LstMachines[MoisLivr],AD$1)</f>
        <v>0</v>
      </c>
      <c r="AE38" s="207">
        <f>SUMIFS(LstMachines[Nbre],LstMachines[Model-Spec],PrévisionBoris[[#This Row],[Spec]],LstMachines[Status],PrévisionBoris[[#This Row],[Status]],LstMachines[MoisLivr],AE$1)</f>
        <v>0</v>
      </c>
      <c r="AF38" s="206">
        <f>SUMIFS(LstMachines[Nbre],LstMachines[Model-Spec],PrévisionBoris[[#This Row],[Spec]],LstMachines[Status],PrévisionBoris[[#This Row],[Status]],LstMachines[MoisLivr],AF$1)</f>
        <v>0</v>
      </c>
      <c r="AG38" s="207">
        <f>SUMIFS(LstMachines[Nbre],LstMachines[Model-Spec],PrévisionBoris[[#This Row],[Spec]],LstMachines[Status],PrévisionBoris[[#This Row],[Status]],LstMachines[MoisLivr],AG$1)</f>
        <v>0</v>
      </c>
      <c r="AH38" s="207">
        <f>SUMIFS(LstMachines[Nbre],LstMachines[Model-Spec],PrévisionBoris[[#This Row],[Spec]],LstMachines[Status],PrévisionBoris[[#This Row],[Status]],LstMachines[MoisLivr],AH$1)</f>
        <v>0</v>
      </c>
      <c r="AI38" s="206">
        <f>SUMIFS(LstMachines[Nbre],LstMachines[Model-Spec],PrévisionBoris[[#This Row],[Spec]],LstMachines[Status],PrévisionBoris[[#This Row],[Status]],LstMachines[MoisLivr],AI$1)</f>
        <v>0</v>
      </c>
      <c r="AJ38" s="207">
        <f>SUMIFS(LstMachines[Nbre],LstMachines[Model-Spec],PrévisionBoris[[#This Row],[Spec]],LstMachines[Status],PrévisionBoris[[#This Row],[Status]],LstMachines[MoisLivr],AJ$1)</f>
        <v>0</v>
      </c>
      <c r="AK38" s="207">
        <f>SUMIFS(LstMachines[Nbre],LstMachines[Model-Spec],PrévisionBoris[[#This Row],[Spec]],LstMachines[Status],PrévisionBoris[[#This Row],[Status]],LstMachines[MoisLivr],AK$1)</f>
        <v>0</v>
      </c>
      <c r="AL38" s="206">
        <f>SUMIFS(LstMachines[Nbre],LstMachines[Model-Spec],PrévisionBoris[[#This Row],[Spec]],LstMachines[Status],PrévisionBoris[[#This Row],[Status]],LstMachines[MoisLivr],AL$1)</f>
        <v>0</v>
      </c>
      <c r="AM38" s="207">
        <f>SUMIFS(LstMachines[Nbre],LstMachines[Model-Spec],PrévisionBoris[[#This Row],[Spec]],LstMachines[Status],PrévisionBoris[[#This Row],[Status]],LstMachines[MoisLivr],AM$1)</f>
        <v>0</v>
      </c>
      <c r="AN38" s="207">
        <f>SUMIFS(LstMachines[Nbre],LstMachines[Model-Spec],PrévisionBoris[[#This Row],[Spec]],LstMachines[Status],PrévisionBoris[[#This Row],[Status]],LstMachines[MoisLivr],AN$1)</f>
        <v>0</v>
      </c>
      <c r="AO38" s="206">
        <f>SUMIFS(LstMachines[Nbre],LstMachines[Model-Spec],PrévisionBoris[[#This Row],[Spec]],LstMachines[Status],PrévisionBoris[[#This Row],[Status]],LstMachines[MoisLivr],AO$1)</f>
        <v>0</v>
      </c>
      <c r="AP38" s="207">
        <f>SUMIFS(LstMachines[Nbre],LstMachines[Model-Spec],PrévisionBoris[[#This Row],[Spec]],LstMachines[Status],PrévisionBoris[[#This Row],[Status]],LstMachines[MoisLivr],AP$1)</f>
        <v>0</v>
      </c>
      <c r="AQ38" s="207">
        <f>SUMIFS(LstMachines[Nbre],LstMachines[Model-Spec],PrévisionBoris[[#This Row],[Spec]],LstMachines[Status],PrévisionBoris[[#This Row],[Status]],LstMachines[MoisLivr],AQ$1)</f>
        <v>0</v>
      </c>
      <c r="AR38" s="206">
        <f>SUMIFS(LstMachines[Nbre],LstMachines[Model-Spec],PrévisionBoris[[#This Row],[Spec]],LstMachines[Status],PrévisionBoris[[#This Row],[Status]],LstMachines[MoisLivr],AR$1)</f>
        <v>0</v>
      </c>
      <c r="AS38" s="207">
        <f>SUMIFS(LstMachines[Nbre],LstMachines[Model-Spec],PrévisionBoris[[#This Row],[Spec]],LstMachines[Status],PrévisionBoris[[#This Row],[Status]],LstMachines[MoisLivr],AS$1)</f>
        <v>0</v>
      </c>
      <c r="AT38" s="207">
        <f>SUMIFS(LstMachines[Nbre],LstMachines[Model-Spec],PrévisionBoris[[#This Row],[Spec]],LstMachines[Status],PrévisionBoris[[#This Row],[Status]],LstMachines[MoisLivr],AT$1)</f>
        <v>0</v>
      </c>
      <c r="AU38" s="206">
        <f>SUMIFS(LstMachines[Nbre],LstMachines[Model-Spec],PrévisionBoris[[#This Row],[Spec]],LstMachines[Status],PrévisionBoris[[#This Row],[Status]],LstMachines[MoisLivr],AU$1)</f>
        <v>0</v>
      </c>
      <c r="AV38" s="233">
        <f>SUMIFS(LstMachines[Nbre],LstMachines[Model-Spec],PrévisionBoris[[#This Row],[Spec]],LstMachines[Status],PrévisionBoris[[#This Row],[Status]],LstMachines[MoisLivr],AV$1)</f>
        <v>0</v>
      </c>
      <c r="AW38" s="208">
        <f>SUMIFS(LstMachines[Nbre],LstMachines[Model-Spec],PrévisionBoris[[#This Row],[Spec]],LstMachines[Status],PrévisionBoris[[#This Row],[Status]],LstMachines[MoisLivr],AW$1)</f>
        <v>0</v>
      </c>
      <c r="AX38" s="225"/>
      <c r="AY38" s="211">
        <f t="shared" si="3"/>
        <v>0</v>
      </c>
      <c r="AZ38" s="212">
        <f t="shared" si="4"/>
        <v>0</v>
      </c>
      <c r="BA38" s="212">
        <f t="shared" si="5"/>
        <v>0</v>
      </c>
      <c r="BB38" s="213">
        <f t="shared" si="6"/>
        <v>0</v>
      </c>
      <c r="BC38" s="225">
        <f t="shared" si="7"/>
        <v>0</v>
      </c>
      <c r="BD38" s="211">
        <f t="shared" si="8"/>
        <v>0</v>
      </c>
      <c r="BE38" s="212">
        <f t="shared" si="9"/>
        <v>0</v>
      </c>
      <c r="BF38" s="212">
        <f t="shared" si="10"/>
        <v>0</v>
      </c>
      <c r="BG38" s="213">
        <f t="shared" si="11"/>
        <v>0</v>
      </c>
      <c r="BH38" s="225">
        <f t="shared" si="12"/>
        <v>0</v>
      </c>
      <c r="BI38" s="214">
        <f t="shared" si="13"/>
        <v>0</v>
      </c>
      <c r="BJ38" s="215">
        <f t="shared" si="14"/>
        <v>0</v>
      </c>
      <c r="BK38" s="215">
        <f t="shared" si="15"/>
        <v>0</v>
      </c>
      <c r="BL38" s="216">
        <f t="shared" si="16"/>
        <v>0</v>
      </c>
      <c r="BM38" s="225">
        <f t="shared" si="17"/>
        <v>0</v>
      </c>
      <c r="BN38" s="225"/>
      <c r="BO38" s="234"/>
      <c r="BP38" s="218">
        <f t="shared" si="18"/>
        <v>0</v>
      </c>
    </row>
    <row r="39" spans="1:68">
      <c r="A39" s="170">
        <v>32</v>
      </c>
      <c r="B39" s="170" t="s">
        <v>151</v>
      </c>
      <c r="C39" s="200">
        <v>180</v>
      </c>
      <c r="D39" s="170" t="s">
        <v>164</v>
      </c>
      <c r="E39" s="170" t="s">
        <v>165</v>
      </c>
      <c r="F39" s="200">
        <f>VLOOKUP(PrévisionBoris[[#This Row],[Spec]],TabModelSpecs[[ModelSpec]:[Price]],2,FALSE)</f>
        <v>105</v>
      </c>
      <c r="G39" s="170" t="s">
        <v>462</v>
      </c>
      <c r="H39" s="219">
        <f>SUMIFS(LstMachines[Nbre],LstMachines[Model-Spec],PrévisionBoris[[#This Row],[Spec]],LstMachines[Status],PrévisionBoris[[#This Row],[Status]],LstMachines[MoisLivr],H$1)</f>
        <v>0</v>
      </c>
      <c r="I39" s="220">
        <f>SUMIFS(LstMachines[Nbre],LstMachines[Model-Spec],PrévisionBoris[[#This Row],[Spec]],LstMachines[Status],PrévisionBoris[[#This Row],[Status]],LstMachines[MoisLivr],I$1)</f>
        <v>0</v>
      </c>
      <c r="J39" s="221">
        <f>SUMIFS(LstMachines[Nbre],LstMachines[Model-Spec],PrévisionBoris[[#This Row],[Spec]],LstMachines[Status],PrévisionBoris[[#This Row],[Status]],LstMachines[MoisLivr],J$1)</f>
        <v>0</v>
      </c>
      <c r="K39" s="219">
        <f>SUMIFS(LstMachines[Nbre],LstMachines[Model-Spec],PrévisionBoris[[#This Row],[Spec]],LstMachines[Status],PrévisionBoris[[#This Row],[Status]],LstMachines[MoisLivr],K$1)</f>
        <v>0</v>
      </c>
      <c r="L39" s="220">
        <f>SUMIFS(LstMachines[Nbre],LstMachines[Model-Spec],PrévisionBoris[[#This Row],[Spec]],LstMachines[Status],PrévisionBoris[[#This Row],[Status]],LstMachines[MoisLivr],L$1)</f>
        <v>0</v>
      </c>
      <c r="M39" s="221">
        <f>SUMIFS(LstMachines[Nbre],LstMachines[Model-Spec],PrévisionBoris[[#This Row],[Spec]],LstMachines[Status],PrévisionBoris[[#This Row],[Status]],LstMachines[MoisLivr],M$1)</f>
        <v>0</v>
      </c>
      <c r="N39" s="219">
        <f>SUMIFS(LstMachines[Nbre],LstMachines[Model-Spec],PrévisionBoris[[#This Row],[Spec]],LstMachines[Status],PrévisionBoris[[#This Row],[Status]],LstMachines[MoisLivr],N$1)</f>
        <v>0</v>
      </c>
      <c r="O39" s="220">
        <f>SUMIFS(LstMachines[Nbre],LstMachines[Model-Spec],PrévisionBoris[[#This Row],[Spec]],LstMachines[Status],PrévisionBoris[[#This Row],[Status]],LstMachines[MoisLivr],O$1)</f>
        <v>0</v>
      </c>
      <c r="P39" s="221">
        <f>SUMIFS(LstMachines[Nbre],LstMachines[Model-Spec],PrévisionBoris[[#This Row],[Spec]],LstMachines[Status],PrévisionBoris[[#This Row],[Status]],LstMachines[MoisLivr],P$1)</f>
        <v>0</v>
      </c>
      <c r="Q39" s="222">
        <f>SUMIFS(LstMachines[Nbre],LstMachines[Model-Spec],PrévisionBoris[[#This Row],[Spec]],LstMachines[Status],PrévisionBoris[[#This Row],[Status]],LstMachines[MoisLivr],Q$1)</f>
        <v>0</v>
      </c>
      <c r="R39" s="220">
        <f>SUMIFS(LstMachines[Nbre],LstMachines[Model-Spec],PrévisionBoris[[#This Row],[Spec]],LstMachines[Status],PrévisionBoris[[#This Row],[Status]],LstMachines[MoisLivr],R$1)</f>
        <v>0</v>
      </c>
      <c r="S39" s="220">
        <f>SUMIFS(LstMachines[Nbre],LstMachines[Model-Spec],PrévisionBoris[[#This Row],[Spec]],LstMachines[Status],PrévisionBoris[[#This Row],[Status]],LstMachines[MoisLivr],S$1)</f>
        <v>0</v>
      </c>
      <c r="T39" s="219">
        <f>SUMIFS(LstMachines[Nbre],LstMachines[Model-Spec],PrévisionBoris[[#This Row],[Spec]],LstMachines[Status],PrévisionBoris[[#This Row],[Status]],LstMachines[MoisLivr],T$1)</f>
        <v>0</v>
      </c>
      <c r="U39" s="220">
        <f>SUMIFS(LstMachines[Nbre],LstMachines[Model-Spec],PrévisionBoris[[#This Row],[Spec]],LstMachines[Status],PrévisionBoris[[#This Row],[Status]],LstMachines[MoisLivr],U$1)</f>
        <v>0</v>
      </c>
      <c r="V39" s="220">
        <f>SUMIFS(LstMachines[Nbre],LstMachines[Model-Spec],PrévisionBoris[[#This Row],[Spec]],LstMachines[Status],PrévisionBoris[[#This Row],[Status]],LstMachines[MoisLivr],V$1)</f>
        <v>0</v>
      </c>
      <c r="W39" s="219">
        <f>SUMIFS(LstMachines[Nbre],LstMachines[Model-Spec],PrévisionBoris[[#This Row],[Spec]],LstMachines[Status],PrévisionBoris[[#This Row],[Status]],LstMachines[MoisLivr],W$1)</f>
        <v>0</v>
      </c>
      <c r="X39" s="220">
        <f>SUMIFS(LstMachines[Nbre],LstMachines[Model-Spec],PrévisionBoris[[#This Row],[Spec]],LstMachines[Status],PrévisionBoris[[#This Row],[Status]],LstMachines[MoisLivr],X$1)</f>
        <v>0</v>
      </c>
      <c r="Y39" s="220">
        <f>SUMIFS(LstMachines[Nbre],LstMachines[Model-Spec],PrévisionBoris[[#This Row],[Spec]],LstMachines[Status],PrévisionBoris[[#This Row],[Status]],LstMachines[MoisLivr],Y$1)</f>
        <v>0</v>
      </c>
      <c r="Z39" s="219">
        <f>SUMIFS(LstMachines[Nbre],LstMachines[Model-Spec],PrévisionBoris[[#This Row],[Spec]],LstMachines[Status],PrévisionBoris[[#This Row],[Status]],LstMachines[MoisLivr],Z$1)</f>
        <v>0</v>
      </c>
      <c r="AA39" s="220">
        <f>SUMIFS(LstMachines[Nbre],LstMachines[Model-Spec],PrévisionBoris[[#This Row],[Spec]],LstMachines[Status],PrévisionBoris[[#This Row],[Status]],LstMachines[MoisLivr],AA$1)</f>
        <v>0</v>
      </c>
      <c r="AB39" s="220">
        <f>SUMIFS(LstMachines[Nbre],LstMachines[Model-Spec],PrévisionBoris[[#This Row],[Spec]],LstMachines[Status],PrévisionBoris[[#This Row],[Status]],LstMachines[MoisLivr],AB$1)</f>
        <v>0</v>
      </c>
      <c r="AC39" s="219">
        <f>SUMIFS(LstMachines[Nbre],LstMachines[Model-Spec],PrévisionBoris[[#This Row],[Spec]],LstMachines[Status],PrévisionBoris[[#This Row],[Status]],LstMachines[MoisLivr],AC$1)</f>
        <v>0</v>
      </c>
      <c r="AD39" s="220">
        <f>SUMIFS(LstMachines[Nbre],LstMachines[Model-Spec],PrévisionBoris[[#This Row],[Spec]],LstMachines[Status],PrévisionBoris[[#This Row],[Status]],LstMachines[MoisLivr],AD$1)</f>
        <v>0</v>
      </c>
      <c r="AE39" s="220">
        <f>SUMIFS(LstMachines[Nbre],LstMachines[Model-Spec],PrévisionBoris[[#This Row],[Spec]],LstMachines[Status],PrévisionBoris[[#This Row],[Status]],LstMachines[MoisLivr],AE$1)</f>
        <v>0</v>
      </c>
      <c r="AF39" s="219">
        <f>SUMIFS(LstMachines[Nbre],LstMachines[Model-Spec],PrévisionBoris[[#This Row],[Spec]],LstMachines[Status],PrévisionBoris[[#This Row],[Status]],LstMachines[MoisLivr],AF$1)</f>
        <v>0</v>
      </c>
      <c r="AG39" s="220">
        <f>SUMIFS(LstMachines[Nbre],LstMachines[Model-Spec],PrévisionBoris[[#This Row],[Spec]],LstMachines[Status],PrévisionBoris[[#This Row],[Status]],LstMachines[MoisLivr],AG$1)</f>
        <v>0</v>
      </c>
      <c r="AH39" s="220">
        <f>SUMIFS(LstMachines[Nbre],LstMachines[Model-Spec],PrévisionBoris[[#This Row],[Spec]],LstMachines[Status],PrévisionBoris[[#This Row],[Status]],LstMachines[MoisLivr],AH$1)</f>
        <v>0</v>
      </c>
      <c r="AI39" s="219">
        <f>SUMIFS(LstMachines[Nbre],LstMachines[Model-Spec],PrévisionBoris[[#This Row],[Spec]],LstMachines[Status],PrévisionBoris[[#This Row],[Status]],LstMachines[MoisLivr],AI$1)</f>
        <v>0</v>
      </c>
      <c r="AJ39" s="220">
        <f>SUMIFS(LstMachines[Nbre],LstMachines[Model-Spec],PrévisionBoris[[#This Row],[Spec]],LstMachines[Status],PrévisionBoris[[#This Row],[Status]],LstMachines[MoisLivr],AJ$1)</f>
        <v>0</v>
      </c>
      <c r="AK39" s="220">
        <f>SUMIFS(LstMachines[Nbre],LstMachines[Model-Spec],PrévisionBoris[[#This Row],[Spec]],LstMachines[Status],PrévisionBoris[[#This Row],[Status]],LstMachines[MoisLivr],AK$1)</f>
        <v>0</v>
      </c>
      <c r="AL39" s="219">
        <f>SUMIFS(LstMachines[Nbre],LstMachines[Model-Spec],PrévisionBoris[[#This Row],[Spec]],LstMachines[Status],PrévisionBoris[[#This Row],[Status]],LstMachines[MoisLivr],AL$1)</f>
        <v>0</v>
      </c>
      <c r="AM39" s="220">
        <f>SUMIFS(LstMachines[Nbre],LstMachines[Model-Spec],PrévisionBoris[[#This Row],[Spec]],LstMachines[Status],PrévisionBoris[[#This Row],[Status]],LstMachines[MoisLivr],AM$1)</f>
        <v>0</v>
      </c>
      <c r="AN39" s="220">
        <f>SUMIFS(LstMachines[Nbre],LstMachines[Model-Spec],PrévisionBoris[[#This Row],[Spec]],LstMachines[Status],PrévisionBoris[[#This Row],[Status]],LstMachines[MoisLivr],AN$1)</f>
        <v>0</v>
      </c>
      <c r="AO39" s="219">
        <f>SUMIFS(LstMachines[Nbre],LstMachines[Model-Spec],PrévisionBoris[[#This Row],[Spec]],LstMachines[Status],PrévisionBoris[[#This Row],[Status]],LstMachines[MoisLivr],AO$1)</f>
        <v>0</v>
      </c>
      <c r="AP39" s="220">
        <f>SUMIFS(LstMachines[Nbre],LstMachines[Model-Spec],PrévisionBoris[[#This Row],[Spec]],LstMachines[Status],PrévisionBoris[[#This Row],[Status]],LstMachines[MoisLivr],AP$1)</f>
        <v>0</v>
      </c>
      <c r="AQ39" s="220">
        <f>SUMIFS(LstMachines[Nbre],LstMachines[Model-Spec],PrévisionBoris[[#This Row],[Spec]],LstMachines[Status],PrévisionBoris[[#This Row],[Status]],LstMachines[MoisLivr],AQ$1)</f>
        <v>0</v>
      </c>
      <c r="AR39" s="219">
        <f>SUMIFS(LstMachines[Nbre],LstMachines[Model-Spec],PrévisionBoris[[#This Row],[Spec]],LstMachines[Status],PrévisionBoris[[#This Row],[Status]],LstMachines[MoisLivr],AR$1)</f>
        <v>0</v>
      </c>
      <c r="AS39" s="220">
        <f>SUMIFS(LstMachines[Nbre],LstMachines[Model-Spec],PrévisionBoris[[#This Row],[Spec]],LstMachines[Status],PrévisionBoris[[#This Row],[Status]],LstMachines[MoisLivr],AS$1)</f>
        <v>0</v>
      </c>
      <c r="AT39" s="220">
        <f>SUMIFS(LstMachines[Nbre],LstMachines[Model-Spec],PrévisionBoris[[#This Row],[Spec]],LstMachines[Status],PrévisionBoris[[#This Row],[Status]],LstMachines[MoisLivr],AT$1)</f>
        <v>0</v>
      </c>
      <c r="AU39" s="219">
        <f>SUMIFS(LstMachines[Nbre],LstMachines[Model-Spec],PrévisionBoris[[#This Row],[Spec]],LstMachines[Status],PrévisionBoris[[#This Row],[Status]],LstMachines[MoisLivr],AU$1)</f>
        <v>0</v>
      </c>
      <c r="AV39" s="223">
        <f>SUMIFS(LstMachines[Nbre],LstMachines[Model-Spec],PrévisionBoris[[#This Row],[Spec]],LstMachines[Status],PrévisionBoris[[#This Row],[Status]],LstMachines[MoisLivr],AV$1)</f>
        <v>0</v>
      </c>
      <c r="AW39" s="224">
        <f>SUMIFS(LstMachines[Nbre],LstMachines[Model-Spec],PrévisionBoris[[#This Row],[Spec]],LstMachines[Status],PrévisionBoris[[#This Row],[Status]],LstMachines[MoisLivr],AW$1)</f>
        <v>0</v>
      </c>
      <c r="AX39" s="210"/>
      <c r="AY39" s="211">
        <f t="shared" si="3"/>
        <v>0</v>
      </c>
      <c r="AZ39" s="212">
        <f t="shared" si="4"/>
        <v>0</v>
      </c>
      <c r="BA39" s="212">
        <f t="shared" si="5"/>
        <v>0</v>
      </c>
      <c r="BB39" s="213">
        <f t="shared" si="6"/>
        <v>0</v>
      </c>
      <c r="BC39" s="225">
        <f t="shared" si="7"/>
        <v>0</v>
      </c>
      <c r="BD39" s="211">
        <f t="shared" si="8"/>
        <v>0</v>
      </c>
      <c r="BE39" s="212">
        <f t="shared" si="9"/>
        <v>0</v>
      </c>
      <c r="BF39" s="212">
        <f t="shared" si="10"/>
        <v>0</v>
      </c>
      <c r="BG39" s="213">
        <f t="shared" si="11"/>
        <v>0</v>
      </c>
      <c r="BH39" s="225">
        <f t="shared" si="12"/>
        <v>0</v>
      </c>
      <c r="BI39" s="214">
        <f t="shared" si="13"/>
        <v>0</v>
      </c>
      <c r="BJ39" s="215">
        <f t="shared" si="14"/>
        <v>0</v>
      </c>
      <c r="BK39" s="215">
        <f t="shared" si="15"/>
        <v>0</v>
      </c>
      <c r="BL39" s="216">
        <f t="shared" si="16"/>
        <v>0</v>
      </c>
      <c r="BM39" s="225">
        <f t="shared" si="17"/>
        <v>0</v>
      </c>
      <c r="BN39" s="225"/>
      <c r="BO39" s="217"/>
      <c r="BP39" s="218">
        <f t="shared" si="18"/>
        <v>0</v>
      </c>
    </row>
    <row r="40" spans="1:68">
      <c r="A40" s="171">
        <v>33</v>
      </c>
      <c r="B40" s="171" t="s">
        <v>151</v>
      </c>
      <c r="C40" s="201">
        <v>180</v>
      </c>
      <c r="D40" s="171" t="s">
        <v>164</v>
      </c>
      <c r="E40" s="171" t="s">
        <v>165</v>
      </c>
      <c r="F40" s="201">
        <f>VLOOKUP(PrévisionBoris[[#This Row],[Spec]],TabModelSpecs[[ModelSpec]:[Price]],2,FALSE)</f>
        <v>105</v>
      </c>
      <c r="G40" s="171" t="s">
        <v>463</v>
      </c>
      <c r="H40" s="226">
        <f>SUMIFS(LstMachines[Nbre],LstMachines[Model-Spec],PrévisionBoris[[#This Row],[Spec]],LstMachines[Status],PrévisionBoris[[#This Row],[Status]],LstMachines[MoisLivr],H$1)</f>
        <v>0</v>
      </c>
      <c r="I40" s="227">
        <f>SUMIFS(LstMachines[Nbre],LstMachines[Model-Spec],PrévisionBoris[[#This Row],[Spec]],LstMachines[Status],PrévisionBoris[[#This Row],[Status]],LstMachines[MoisLivr],I$1)</f>
        <v>0</v>
      </c>
      <c r="J40" s="228">
        <f>SUMIFS(LstMachines[Nbre],LstMachines[Model-Spec],PrévisionBoris[[#This Row],[Spec]],LstMachines[Status],PrévisionBoris[[#This Row],[Status]],LstMachines[MoisLivr],J$1)</f>
        <v>0</v>
      </c>
      <c r="K40" s="226">
        <f>SUMIFS(LstMachines[Nbre],LstMachines[Model-Spec],PrévisionBoris[[#This Row],[Spec]],LstMachines[Status],PrévisionBoris[[#This Row],[Status]],LstMachines[MoisLivr],K$1)</f>
        <v>0</v>
      </c>
      <c r="L40" s="227">
        <f>SUMIFS(LstMachines[Nbre],LstMachines[Model-Spec],PrévisionBoris[[#This Row],[Spec]],LstMachines[Status],PrévisionBoris[[#This Row],[Status]],LstMachines[MoisLivr],L$1)</f>
        <v>0</v>
      </c>
      <c r="M40" s="228">
        <f>SUMIFS(LstMachines[Nbre],LstMachines[Model-Spec],PrévisionBoris[[#This Row],[Spec]],LstMachines[Status],PrévisionBoris[[#This Row],[Status]],LstMachines[MoisLivr],M$1)</f>
        <v>0</v>
      </c>
      <c r="N40" s="226">
        <f>SUMIFS(LstMachines[Nbre],LstMachines[Model-Spec],PrévisionBoris[[#This Row],[Spec]],LstMachines[Status],PrévisionBoris[[#This Row],[Status]],LstMachines[MoisLivr],N$1)</f>
        <v>0</v>
      </c>
      <c r="O40" s="227">
        <f>SUMIFS(LstMachines[Nbre],LstMachines[Model-Spec],PrévisionBoris[[#This Row],[Spec]],LstMachines[Status],PrévisionBoris[[#This Row],[Status]],LstMachines[MoisLivr],O$1)</f>
        <v>0</v>
      </c>
      <c r="P40" s="228">
        <f>SUMIFS(LstMachines[Nbre],LstMachines[Model-Spec],PrévisionBoris[[#This Row],[Spec]],LstMachines[Status],PrévisionBoris[[#This Row],[Status]],LstMachines[MoisLivr],P$1)</f>
        <v>0</v>
      </c>
      <c r="Q40" s="229">
        <f>SUMIFS(LstMachines[Nbre],LstMachines[Model-Spec],PrévisionBoris[[#This Row],[Spec]],LstMachines[Status],PrévisionBoris[[#This Row],[Status]],LstMachines[MoisLivr],Q$1)</f>
        <v>0</v>
      </c>
      <c r="R40" s="227">
        <f>SUMIFS(LstMachines[Nbre],LstMachines[Model-Spec],PrévisionBoris[[#This Row],[Spec]],LstMachines[Status],PrévisionBoris[[#This Row],[Status]],LstMachines[MoisLivr],R$1)</f>
        <v>0</v>
      </c>
      <c r="S40" s="227">
        <f>SUMIFS(LstMachines[Nbre],LstMachines[Model-Spec],PrévisionBoris[[#This Row],[Spec]],LstMachines[Status],PrévisionBoris[[#This Row],[Status]],LstMachines[MoisLivr],S$1)</f>
        <v>0</v>
      </c>
      <c r="T40" s="226">
        <f>SUMIFS(LstMachines[Nbre],LstMachines[Model-Spec],PrévisionBoris[[#This Row],[Spec]],LstMachines[Status],PrévisionBoris[[#This Row],[Status]],LstMachines[MoisLivr],T$1)</f>
        <v>0</v>
      </c>
      <c r="U40" s="227">
        <f>SUMIFS(LstMachines[Nbre],LstMachines[Model-Spec],PrévisionBoris[[#This Row],[Spec]],LstMachines[Status],PrévisionBoris[[#This Row],[Status]],LstMachines[MoisLivr],U$1)</f>
        <v>0</v>
      </c>
      <c r="V40" s="227">
        <f>SUMIFS(LstMachines[Nbre],LstMachines[Model-Spec],PrévisionBoris[[#This Row],[Spec]],LstMachines[Status],PrévisionBoris[[#This Row],[Status]],LstMachines[MoisLivr],V$1)</f>
        <v>0</v>
      </c>
      <c r="W40" s="226">
        <f>SUMIFS(LstMachines[Nbre],LstMachines[Model-Spec],PrévisionBoris[[#This Row],[Spec]],LstMachines[Status],PrévisionBoris[[#This Row],[Status]],LstMachines[MoisLivr],W$1)</f>
        <v>0</v>
      </c>
      <c r="X40" s="227">
        <f>SUMIFS(LstMachines[Nbre],LstMachines[Model-Spec],PrévisionBoris[[#This Row],[Spec]],LstMachines[Status],PrévisionBoris[[#This Row],[Status]],LstMachines[MoisLivr],X$1)</f>
        <v>0</v>
      </c>
      <c r="Y40" s="227">
        <f>SUMIFS(LstMachines[Nbre],LstMachines[Model-Spec],PrévisionBoris[[#This Row],[Spec]],LstMachines[Status],PrévisionBoris[[#This Row],[Status]],LstMachines[MoisLivr],Y$1)</f>
        <v>0</v>
      </c>
      <c r="Z40" s="226">
        <f>SUMIFS(LstMachines[Nbre],LstMachines[Model-Spec],PrévisionBoris[[#This Row],[Spec]],LstMachines[Status],PrévisionBoris[[#This Row],[Status]],LstMachines[MoisLivr],Z$1)</f>
        <v>0</v>
      </c>
      <c r="AA40" s="227">
        <f>SUMIFS(LstMachines[Nbre],LstMachines[Model-Spec],PrévisionBoris[[#This Row],[Spec]],LstMachines[Status],PrévisionBoris[[#This Row],[Status]],LstMachines[MoisLivr],AA$1)</f>
        <v>0</v>
      </c>
      <c r="AB40" s="227">
        <f>SUMIFS(LstMachines[Nbre],LstMachines[Model-Spec],PrévisionBoris[[#This Row],[Spec]],LstMachines[Status],PrévisionBoris[[#This Row],[Status]],LstMachines[MoisLivr],AB$1)</f>
        <v>0</v>
      </c>
      <c r="AC40" s="226">
        <f>SUMIFS(LstMachines[Nbre],LstMachines[Model-Spec],PrévisionBoris[[#This Row],[Spec]],LstMachines[Status],PrévisionBoris[[#This Row],[Status]],LstMachines[MoisLivr],AC$1)</f>
        <v>0</v>
      </c>
      <c r="AD40" s="227">
        <f>SUMIFS(LstMachines[Nbre],LstMachines[Model-Spec],PrévisionBoris[[#This Row],[Spec]],LstMachines[Status],PrévisionBoris[[#This Row],[Status]],LstMachines[MoisLivr],AD$1)</f>
        <v>0</v>
      </c>
      <c r="AE40" s="227">
        <f>SUMIFS(LstMachines[Nbre],LstMachines[Model-Spec],PrévisionBoris[[#This Row],[Spec]],LstMachines[Status],PrévisionBoris[[#This Row],[Status]],LstMachines[MoisLivr],AE$1)</f>
        <v>0</v>
      </c>
      <c r="AF40" s="226">
        <f>SUMIFS(LstMachines[Nbre],LstMachines[Model-Spec],PrévisionBoris[[#This Row],[Spec]],LstMachines[Status],PrévisionBoris[[#This Row],[Status]],LstMachines[MoisLivr],AF$1)</f>
        <v>0</v>
      </c>
      <c r="AG40" s="227">
        <f>SUMIFS(LstMachines[Nbre],LstMachines[Model-Spec],PrévisionBoris[[#This Row],[Spec]],LstMachines[Status],PrévisionBoris[[#This Row],[Status]],LstMachines[MoisLivr],AG$1)</f>
        <v>0</v>
      </c>
      <c r="AH40" s="227">
        <f>SUMIFS(LstMachines[Nbre],LstMachines[Model-Spec],PrévisionBoris[[#This Row],[Spec]],LstMachines[Status],PrévisionBoris[[#This Row],[Status]],LstMachines[MoisLivr],AH$1)</f>
        <v>0</v>
      </c>
      <c r="AI40" s="226">
        <f>SUMIFS(LstMachines[Nbre],LstMachines[Model-Spec],PrévisionBoris[[#This Row],[Spec]],LstMachines[Status],PrévisionBoris[[#This Row],[Status]],LstMachines[MoisLivr],AI$1)</f>
        <v>0</v>
      </c>
      <c r="AJ40" s="227">
        <f>SUMIFS(LstMachines[Nbre],LstMachines[Model-Spec],PrévisionBoris[[#This Row],[Spec]],LstMachines[Status],PrévisionBoris[[#This Row],[Status]],LstMachines[MoisLivr],AJ$1)</f>
        <v>0</v>
      </c>
      <c r="AK40" s="227">
        <f>SUMIFS(LstMachines[Nbre],LstMachines[Model-Spec],PrévisionBoris[[#This Row],[Spec]],LstMachines[Status],PrévisionBoris[[#This Row],[Status]],LstMachines[MoisLivr],AK$1)</f>
        <v>0</v>
      </c>
      <c r="AL40" s="226">
        <f>SUMIFS(LstMachines[Nbre],LstMachines[Model-Spec],PrévisionBoris[[#This Row],[Spec]],LstMachines[Status],PrévisionBoris[[#This Row],[Status]],LstMachines[MoisLivr],AL$1)</f>
        <v>0</v>
      </c>
      <c r="AM40" s="227">
        <f>SUMIFS(LstMachines[Nbre],LstMachines[Model-Spec],PrévisionBoris[[#This Row],[Spec]],LstMachines[Status],PrévisionBoris[[#This Row],[Status]],LstMachines[MoisLivr],AM$1)</f>
        <v>0</v>
      </c>
      <c r="AN40" s="227">
        <f>SUMIFS(LstMachines[Nbre],LstMachines[Model-Spec],PrévisionBoris[[#This Row],[Spec]],LstMachines[Status],PrévisionBoris[[#This Row],[Status]],LstMachines[MoisLivr],AN$1)</f>
        <v>0</v>
      </c>
      <c r="AO40" s="226">
        <f>SUMIFS(LstMachines[Nbre],LstMachines[Model-Spec],PrévisionBoris[[#This Row],[Spec]],LstMachines[Status],PrévisionBoris[[#This Row],[Status]],LstMachines[MoisLivr],AO$1)</f>
        <v>0</v>
      </c>
      <c r="AP40" s="227">
        <f>SUMIFS(LstMachines[Nbre],LstMachines[Model-Spec],PrévisionBoris[[#This Row],[Spec]],LstMachines[Status],PrévisionBoris[[#This Row],[Status]],LstMachines[MoisLivr],AP$1)</f>
        <v>0</v>
      </c>
      <c r="AQ40" s="227">
        <f>SUMIFS(LstMachines[Nbre],LstMachines[Model-Spec],PrévisionBoris[[#This Row],[Spec]],LstMachines[Status],PrévisionBoris[[#This Row],[Status]],LstMachines[MoisLivr],AQ$1)</f>
        <v>0</v>
      </c>
      <c r="AR40" s="226">
        <f>SUMIFS(LstMachines[Nbre],LstMachines[Model-Spec],PrévisionBoris[[#This Row],[Spec]],LstMachines[Status],PrévisionBoris[[#This Row],[Status]],LstMachines[MoisLivr],AR$1)</f>
        <v>0</v>
      </c>
      <c r="AS40" s="227">
        <f>SUMIFS(LstMachines[Nbre],LstMachines[Model-Spec],PrévisionBoris[[#This Row],[Spec]],LstMachines[Status],PrévisionBoris[[#This Row],[Status]],LstMachines[MoisLivr],AS$1)</f>
        <v>0</v>
      </c>
      <c r="AT40" s="227">
        <f>SUMIFS(LstMachines[Nbre],LstMachines[Model-Spec],PrévisionBoris[[#This Row],[Spec]],LstMachines[Status],PrévisionBoris[[#This Row],[Status]],LstMachines[MoisLivr],AT$1)</f>
        <v>0</v>
      </c>
      <c r="AU40" s="226">
        <f>SUMIFS(LstMachines[Nbre],LstMachines[Model-Spec],PrévisionBoris[[#This Row],[Spec]],LstMachines[Status],PrévisionBoris[[#This Row],[Status]],LstMachines[MoisLivr],AU$1)</f>
        <v>0</v>
      </c>
      <c r="AV40" s="230">
        <f>SUMIFS(LstMachines[Nbre],LstMachines[Model-Spec],PrévisionBoris[[#This Row],[Spec]],LstMachines[Status],PrévisionBoris[[#This Row],[Status]],LstMachines[MoisLivr],AV$1)</f>
        <v>0</v>
      </c>
      <c r="AW40" s="231">
        <f>SUMIFS(LstMachines[Nbre],LstMachines[Model-Spec],PrévisionBoris[[#This Row],[Spec]],LstMachines[Status],PrévisionBoris[[#This Row],[Status]],LstMachines[MoisLivr],AW$1)</f>
        <v>0</v>
      </c>
      <c r="AX40" s="232"/>
      <c r="AY40" s="211">
        <f t="shared" si="3"/>
        <v>0</v>
      </c>
      <c r="AZ40" s="212">
        <f t="shared" si="4"/>
        <v>0</v>
      </c>
      <c r="BA40" s="212">
        <f t="shared" si="5"/>
        <v>0</v>
      </c>
      <c r="BB40" s="213">
        <f t="shared" si="6"/>
        <v>0</v>
      </c>
      <c r="BC40" s="225">
        <f t="shared" si="7"/>
        <v>0</v>
      </c>
      <c r="BD40" s="211">
        <f t="shared" si="8"/>
        <v>0</v>
      </c>
      <c r="BE40" s="212">
        <f t="shared" si="9"/>
        <v>0</v>
      </c>
      <c r="BF40" s="212">
        <f t="shared" si="10"/>
        <v>0</v>
      </c>
      <c r="BG40" s="213">
        <f t="shared" si="11"/>
        <v>0</v>
      </c>
      <c r="BH40" s="225">
        <f t="shared" si="12"/>
        <v>0</v>
      </c>
      <c r="BI40" s="214">
        <f t="shared" si="13"/>
        <v>0</v>
      </c>
      <c r="BJ40" s="215">
        <f t="shared" si="14"/>
        <v>0</v>
      </c>
      <c r="BK40" s="215">
        <f t="shared" si="15"/>
        <v>0</v>
      </c>
      <c r="BL40" s="216">
        <f t="shared" si="16"/>
        <v>0</v>
      </c>
      <c r="BM40" s="225">
        <f t="shared" si="17"/>
        <v>0</v>
      </c>
      <c r="BN40" s="225"/>
      <c r="BO40" s="217"/>
      <c r="BP40" s="218">
        <f t="shared" si="18"/>
        <v>0</v>
      </c>
    </row>
    <row r="41" spans="1:68">
      <c r="A41" s="172">
        <v>34</v>
      </c>
      <c r="B41" s="172" t="s">
        <v>151</v>
      </c>
      <c r="C41" s="202">
        <v>180</v>
      </c>
      <c r="D41" s="172" t="s">
        <v>164</v>
      </c>
      <c r="E41" s="172" t="s">
        <v>166</v>
      </c>
      <c r="F41" s="202">
        <f>VLOOKUP(PrévisionBoris[[#This Row],[Spec]],TabModelSpecs[[ModelSpec]:[Price]],2,FALSE)</f>
        <v>105</v>
      </c>
      <c r="G41" s="172" t="s">
        <v>461</v>
      </c>
      <c r="H41" s="206">
        <f>SUMIFS(LstMachines[Nbre],LstMachines[Model-Spec],PrévisionBoris[[#This Row],[Spec]],LstMachines[Status],PrévisionBoris[[#This Row],[Status]],LstMachines[MoisLivr],H$1)</f>
        <v>0</v>
      </c>
      <c r="I41" s="207">
        <f>SUMIFS(LstMachines[Nbre],LstMachines[Model-Spec],PrévisionBoris[[#This Row],[Spec]],LstMachines[Status],PrévisionBoris[[#This Row],[Status]],LstMachines[MoisLivr],I$1)</f>
        <v>0</v>
      </c>
      <c r="J41" s="208">
        <f>SUMIFS(LstMachines[Nbre],LstMachines[Model-Spec],PrévisionBoris[[#This Row],[Spec]],LstMachines[Status],PrévisionBoris[[#This Row],[Status]],LstMachines[MoisLivr],J$1)</f>
        <v>0</v>
      </c>
      <c r="K41" s="206">
        <f>SUMIFS(LstMachines[Nbre],LstMachines[Model-Spec],PrévisionBoris[[#This Row],[Spec]],LstMachines[Status],PrévisionBoris[[#This Row],[Status]],LstMachines[MoisLivr],K$1)</f>
        <v>0</v>
      </c>
      <c r="L41" s="207">
        <f>SUMIFS(LstMachines[Nbre],LstMachines[Model-Spec],PrévisionBoris[[#This Row],[Spec]],LstMachines[Status],PrévisionBoris[[#This Row],[Status]],LstMachines[MoisLivr],L$1)</f>
        <v>0</v>
      </c>
      <c r="M41" s="208">
        <f>SUMIFS(LstMachines[Nbre],LstMachines[Model-Spec],PrévisionBoris[[#This Row],[Spec]],LstMachines[Status],PrévisionBoris[[#This Row],[Status]],LstMachines[MoisLivr],M$1)</f>
        <v>0</v>
      </c>
      <c r="N41" s="206">
        <f>SUMIFS(LstMachines[Nbre],LstMachines[Model-Spec],PrévisionBoris[[#This Row],[Spec]],LstMachines[Status],PrévisionBoris[[#This Row],[Status]],LstMachines[MoisLivr],N$1)</f>
        <v>0</v>
      </c>
      <c r="O41" s="207">
        <f>SUMIFS(LstMachines[Nbre],LstMachines[Model-Spec],PrévisionBoris[[#This Row],[Spec]],LstMachines[Status],PrévisionBoris[[#This Row],[Status]],LstMachines[MoisLivr],O$1)</f>
        <v>0</v>
      </c>
      <c r="P41" s="208">
        <f>SUMIFS(LstMachines[Nbre],LstMachines[Model-Spec],PrévisionBoris[[#This Row],[Spec]],LstMachines[Status],PrévisionBoris[[#This Row],[Status]],LstMachines[MoisLivr],P$1)</f>
        <v>0</v>
      </c>
      <c r="Q41" s="209">
        <f>SUMIFS(LstMachines[Nbre],LstMachines[Model-Spec],PrévisionBoris[[#This Row],[Spec]],LstMachines[Status],PrévisionBoris[[#This Row],[Status]],LstMachines[MoisLivr],Q$1)</f>
        <v>0</v>
      </c>
      <c r="R41" s="207">
        <f>SUMIFS(LstMachines[Nbre],LstMachines[Model-Spec],PrévisionBoris[[#This Row],[Spec]],LstMachines[Status],PrévisionBoris[[#This Row],[Status]],LstMachines[MoisLivr],R$1)</f>
        <v>0</v>
      </c>
      <c r="S41" s="207">
        <f>SUMIFS(LstMachines[Nbre],LstMachines[Model-Spec],PrévisionBoris[[#This Row],[Spec]],LstMachines[Status],PrévisionBoris[[#This Row],[Status]],LstMachines[MoisLivr],S$1)</f>
        <v>0</v>
      </c>
      <c r="T41" s="206">
        <f>SUMIFS(LstMachines[Nbre],LstMachines[Model-Spec],PrévisionBoris[[#This Row],[Spec]],LstMachines[Status],PrévisionBoris[[#This Row],[Status]],LstMachines[MoisLivr],T$1)</f>
        <v>0</v>
      </c>
      <c r="U41" s="207">
        <f>SUMIFS(LstMachines[Nbre],LstMachines[Model-Spec],PrévisionBoris[[#This Row],[Spec]],LstMachines[Status],PrévisionBoris[[#This Row],[Status]],LstMachines[MoisLivr],U$1)</f>
        <v>0</v>
      </c>
      <c r="V41" s="207">
        <f>SUMIFS(LstMachines[Nbre],LstMachines[Model-Spec],PrévisionBoris[[#This Row],[Spec]],LstMachines[Status],PrévisionBoris[[#This Row],[Status]],LstMachines[MoisLivr],V$1)</f>
        <v>0</v>
      </c>
      <c r="W41" s="206">
        <f>SUMIFS(LstMachines[Nbre],LstMachines[Model-Spec],PrévisionBoris[[#This Row],[Spec]],LstMachines[Status],PrévisionBoris[[#This Row],[Status]],LstMachines[MoisLivr],W$1)</f>
        <v>0</v>
      </c>
      <c r="X41" s="207">
        <f>SUMIFS(LstMachines[Nbre],LstMachines[Model-Spec],PrévisionBoris[[#This Row],[Spec]],LstMachines[Status],PrévisionBoris[[#This Row],[Status]],LstMachines[MoisLivr],X$1)</f>
        <v>0</v>
      </c>
      <c r="Y41" s="207">
        <f>SUMIFS(LstMachines[Nbre],LstMachines[Model-Spec],PrévisionBoris[[#This Row],[Spec]],LstMachines[Status],PrévisionBoris[[#This Row],[Status]],LstMachines[MoisLivr],Y$1)</f>
        <v>0</v>
      </c>
      <c r="Z41" s="206">
        <f>SUMIFS(LstMachines[Nbre],LstMachines[Model-Spec],PrévisionBoris[[#This Row],[Spec]],LstMachines[Status],PrévisionBoris[[#This Row],[Status]],LstMachines[MoisLivr],Z$1)</f>
        <v>0</v>
      </c>
      <c r="AA41" s="207">
        <f>SUMIFS(LstMachines[Nbre],LstMachines[Model-Spec],PrévisionBoris[[#This Row],[Spec]],LstMachines[Status],PrévisionBoris[[#This Row],[Status]],LstMachines[MoisLivr],AA$1)</f>
        <v>0</v>
      </c>
      <c r="AB41" s="207">
        <f>SUMIFS(LstMachines[Nbre],LstMachines[Model-Spec],PrévisionBoris[[#This Row],[Spec]],LstMachines[Status],PrévisionBoris[[#This Row],[Status]],LstMachines[MoisLivr],AB$1)</f>
        <v>0</v>
      </c>
      <c r="AC41" s="206">
        <f>SUMIFS(LstMachines[Nbre],LstMachines[Model-Spec],PrévisionBoris[[#This Row],[Spec]],LstMachines[Status],PrévisionBoris[[#This Row],[Status]],LstMachines[MoisLivr],AC$1)</f>
        <v>0</v>
      </c>
      <c r="AD41" s="207">
        <f>SUMIFS(LstMachines[Nbre],LstMachines[Model-Spec],PrévisionBoris[[#This Row],[Spec]],LstMachines[Status],PrévisionBoris[[#This Row],[Status]],LstMachines[MoisLivr],AD$1)</f>
        <v>0</v>
      </c>
      <c r="AE41" s="207">
        <f>SUMIFS(LstMachines[Nbre],LstMachines[Model-Spec],PrévisionBoris[[#This Row],[Spec]],LstMachines[Status],PrévisionBoris[[#This Row],[Status]],LstMachines[MoisLivr],AE$1)</f>
        <v>0</v>
      </c>
      <c r="AF41" s="206">
        <f>SUMIFS(LstMachines[Nbre],LstMachines[Model-Spec],PrévisionBoris[[#This Row],[Spec]],LstMachines[Status],PrévisionBoris[[#This Row],[Status]],LstMachines[MoisLivr],AF$1)</f>
        <v>0</v>
      </c>
      <c r="AG41" s="207">
        <f>SUMIFS(LstMachines[Nbre],LstMachines[Model-Spec],PrévisionBoris[[#This Row],[Spec]],LstMachines[Status],PrévisionBoris[[#This Row],[Status]],LstMachines[MoisLivr],AG$1)</f>
        <v>0</v>
      </c>
      <c r="AH41" s="207">
        <f>SUMIFS(LstMachines[Nbre],LstMachines[Model-Spec],PrévisionBoris[[#This Row],[Spec]],LstMachines[Status],PrévisionBoris[[#This Row],[Status]],LstMachines[MoisLivr],AH$1)</f>
        <v>0</v>
      </c>
      <c r="AI41" s="206">
        <f>SUMIFS(LstMachines[Nbre],LstMachines[Model-Spec],PrévisionBoris[[#This Row],[Spec]],LstMachines[Status],PrévisionBoris[[#This Row],[Status]],LstMachines[MoisLivr],AI$1)</f>
        <v>0</v>
      </c>
      <c r="AJ41" s="207">
        <f>SUMIFS(LstMachines[Nbre],LstMachines[Model-Spec],PrévisionBoris[[#This Row],[Spec]],LstMachines[Status],PrévisionBoris[[#This Row],[Status]],LstMachines[MoisLivr],AJ$1)</f>
        <v>0</v>
      </c>
      <c r="AK41" s="207">
        <f>SUMIFS(LstMachines[Nbre],LstMachines[Model-Spec],PrévisionBoris[[#This Row],[Spec]],LstMachines[Status],PrévisionBoris[[#This Row],[Status]],LstMachines[MoisLivr],AK$1)</f>
        <v>0</v>
      </c>
      <c r="AL41" s="206">
        <f>SUMIFS(LstMachines[Nbre],LstMachines[Model-Spec],PrévisionBoris[[#This Row],[Spec]],LstMachines[Status],PrévisionBoris[[#This Row],[Status]],LstMachines[MoisLivr],AL$1)</f>
        <v>0</v>
      </c>
      <c r="AM41" s="207">
        <f>SUMIFS(LstMachines[Nbre],LstMachines[Model-Spec],PrévisionBoris[[#This Row],[Spec]],LstMachines[Status],PrévisionBoris[[#This Row],[Status]],LstMachines[MoisLivr],AM$1)</f>
        <v>0</v>
      </c>
      <c r="AN41" s="207">
        <f>SUMIFS(LstMachines[Nbre],LstMachines[Model-Spec],PrévisionBoris[[#This Row],[Spec]],LstMachines[Status],PrévisionBoris[[#This Row],[Status]],LstMachines[MoisLivr],AN$1)</f>
        <v>0</v>
      </c>
      <c r="AO41" s="206">
        <f>SUMIFS(LstMachines[Nbre],LstMachines[Model-Spec],PrévisionBoris[[#This Row],[Spec]],LstMachines[Status],PrévisionBoris[[#This Row],[Status]],LstMachines[MoisLivr],AO$1)</f>
        <v>0</v>
      </c>
      <c r="AP41" s="207">
        <f>SUMIFS(LstMachines[Nbre],LstMachines[Model-Spec],PrévisionBoris[[#This Row],[Spec]],LstMachines[Status],PrévisionBoris[[#This Row],[Status]],LstMachines[MoisLivr],AP$1)</f>
        <v>0</v>
      </c>
      <c r="AQ41" s="207">
        <f>SUMIFS(LstMachines[Nbre],LstMachines[Model-Spec],PrévisionBoris[[#This Row],[Spec]],LstMachines[Status],PrévisionBoris[[#This Row],[Status]],LstMachines[MoisLivr],AQ$1)</f>
        <v>0</v>
      </c>
      <c r="AR41" s="206">
        <f>SUMIFS(LstMachines[Nbre],LstMachines[Model-Spec],PrévisionBoris[[#This Row],[Spec]],LstMachines[Status],PrévisionBoris[[#This Row],[Status]],LstMachines[MoisLivr],AR$1)</f>
        <v>0</v>
      </c>
      <c r="AS41" s="207">
        <f>SUMIFS(LstMachines[Nbre],LstMachines[Model-Spec],PrévisionBoris[[#This Row],[Spec]],LstMachines[Status],PrévisionBoris[[#This Row],[Status]],LstMachines[MoisLivr],AS$1)</f>
        <v>0</v>
      </c>
      <c r="AT41" s="207">
        <f>SUMIFS(LstMachines[Nbre],LstMachines[Model-Spec],PrévisionBoris[[#This Row],[Spec]],LstMachines[Status],PrévisionBoris[[#This Row],[Status]],LstMachines[MoisLivr],AT$1)</f>
        <v>0</v>
      </c>
      <c r="AU41" s="206">
        <f>SUMIFS(LstMachines[Nbre],LstMachines[Model-Spec],PrévisionBoris[[#This Row],[Spec]],LstMachines[Status],PrévisionBoris[[#This Row],[Status]],LstMachines[MoisLivr],AU$1)</f>
        <v>0</v>
      </c>
      <c r="AV41" s="233">
        <f>SUMIFS(LstMachines[Nbre],LstMachines[Model-Spec],PrévisionBoris[[#This Row],[Spec]],LstMachines[Status],PrévisionBoris[[#This Row],[Status]],LstMachines[MoisLivr],AV$1)</f>
        <v>0</v>
      </c>
      <c r="AW41" s="208">
        <f>SUMIFS(LstMachines[Nbre],LstMachines[Model-Spec],PrévisionBoris[[#This Row],[Spec]],LstMachines[Status],PrévisionBoris[[#This Row],[Status]],LstMachines[MoisLivr],AW$1)</f>
        <v>0</v>
      </c>
      <c r="AX41" s="225"/>
      <c r="AY41" s="211">
        <f t="shared" si="3"/>
        <v>0</v>
      </c>
      <c r="AZ41" s="212">
        <f t="shared" si="4"/>
        <v>0</v>
      </c>
      <c r="BA41" s="212">
        <f t="shared" si="5"/>
        <v>0</v>
      </c>
      <c r="BB41" s="213">
        <f t="shared" si="6"/>
        <v>0</v>
      </c>
      <c r="BC41" s="225">
        <f t="shared" si="7"/>
        <v>0</v>
      </c>
      <c r="BD41" s="211">
        <f t="shared" si="8"/>
        <v>0</v>
      </c>
      <c r="BE41" s="212">
        <f t="shared" si="9"/>
        <v>0</v>
      </c>
      <c r="BF41" s="212">
        <f t="shared" si="10"/>
        <v>0</v>
      </c>
      <c r="BG41" s="213">
        <f t="shared" si="11"/>
        <v>0</v>
      </c>
      <c r="BH41" s="225">
        <f t="shared" si="12"/>
        <v>0</v>
      </c>
      <c r="BI41" s="214">
        <f t="shared" si="13"/>
        <v>0</v>
      </c>
      <c r="BJ41" s="215">
        <f t="shared" si="14"/>
        <v>0</v>
      </c>
      <c r="BK41" s="215">
        <f t="shared" si="15"/>
        <v>0</v>
      </c>
      <c r="BL41" s="216">
        <f t="shared" si="16"/>
        <v>0</v>
      </c>
      <c r="BM41" s="225">
        <f t="shared" si="17"/>
        <v>0</v>
      </c>
      <c r="BN41" s="225"/>
      <c r="BO41" s="234"/>
      <c r="BP41" s="218">
        <f t="shared" si="18"/>
        <v>0</v>
      </c>
    </row>
    <row r="42" spans="1:68">
      <c r="A42" s="170">
        <v>35</v>
      </c>
      <c r="B42" s="170" t="s">
        <v>151</v>
      </c>
      <c r="C42" s="200">
        <v>180</v>
      </c>
      <c r="D42" s="170" t="s">
        <v>164</v>
      </c>
      <c r="E42" s="170" t="s">
        <v>166</v>
      </c>
      <c r="F42" s="200">
        <f>VLOOKUP(PrévisionBoris[[#This Row],[Spec]],TabModelSpecs[[ModelSpec]:[Price]],2,FALSE)</f>
        <v>105</v>
      </c>
      <c r="G42" s="170" t="s">
        <v>462</v>
      </c>
      <c r="H42" s="219">
        <f>SUMIFS(LstMachines[Nbre],LstMachines[Model-Spec],PrévisionBoris[[#This Row],[Spec]],LstMachines[Status],PrévisionBoris[[#This Row],[Status]],LstMachines[MoisLivr],H$1)</f>
        <v>0</v>
      </c>
      <c r="I42" s="220">
        <f>SUMIFS(LstMachines[Nbre],LstMachines[Model-Spec],PrévisionBoris[[#This Row],[Spec]],LstMachines[Status],PrévisionBoris[[#This Row],[Status]],LstMachines[MoisLivr],I$1)</f>
        <v>0</v>
      </c>
      <c r="J42" s="221">
        <f>SUMIFS(LstMachines[Nbre],LstMachines[Model-Spec],PrévisionBoris[[#This Row],[Spec]],LstMachines[Status],PrévisionBoris[[#This Row],[Status]],LstMachines[MoisLivr],J$1)</f>
        <v>0</v>
      </c>
      <c r="K42" s="219">
        <f>SUMIFS(LstMachines[Nbre],LstMachines[Model-Spec],PrévisionBoris[[#This Row],[Spec]],LstMachines[Status],PrévisionBoris[[#This Row],[Status]],LstMachines[MoisLivr],K$1)</f>
        <v>0</v>
      </c>
      <c r="L42" s="220">
        <f>SUMIFS(LstMachines[Nbre],LstMachines[Model-Spec],PrévisionBoris[[#This Row],[Spec]],LstMachines[Status],PrévisionBoris[[#This Row],[Status]],LstMachines[MoisLivr],L$1)</f>
        <v>0</v>
      </c>
      <c r="M42" s="221">
        <f>SUMIFS(LstMachines[Nbre],LstMachines[Model-Spec],PrévisionBoris[[#This Row],[Spec]],LstMachines[Status],PrévisionBoris[[#This Row],[Status]],LstMachines[MoisLivr],M$1)</f>
        <v>0</v>
      </c>
      <c r="N42" s="219">
        <f>SUMIFS(LstMachines[Nbre],LstMachines[Model-Spec],PrévisionBoris[[#This Row],[Spec]],LstMachines[Status],PrévisionBoris[[#This Row],[Status]],LstMachines[MoisLivr],N$1)</f>
        <v>0</v>
      </c>
      <c r="O42" s="220">
        <f>SUMIFS(LstMachines[Nbre],LstMachines[Model-Spec],PrévisionBoris[[#This Row],[Spec]],LstMachines[Status],PrévisionBoris[[#This Row],[Status]],LstMachines[MoisLivr],O$1)</f>
        <v>0</v>
      </c>
      <c r="P42" s="221">
        <f>SUMIFS(LstMachines[Nbre],LstMachines[Model-Spec],PrévisionBoris[[#This Row],[Spec]],LstMachines[Status],PrévisionBoris[[#This Row],[Status]],LstMachines[MoisLivr],P$1)</f>
        <v>0</v>
      </c>
      <c r="Q42" s="222">
        <f>SUMIFS(LstMachines[Nbre],LstMachines[Model-Spec],PrévisionBoris[[#This Row],[Spec]],LstMachines[Status],PrévisionBoris[[#This Row],[Status]],LstMachines[MoisLivr],Q$1)</f>
        <v>0</v>
      </c>
      <c r="R42" s="220">
        <f>SUMIFS(LstMachines[Nbre],LstMachines[Model-Spec],PrévisionBoris[[#This Row],[Spec]],LstMachines[Status],PrévisionBoris[[#This Row],[Status]],LstMachines[MoisLivr],R$1)</f>
        <v>0</v>
      </c>
      <c r="S42" s="220">
        <f>SUMIFS(LstMachines[Nbre],LstMachines[Model-Spec],PrévisionBoris[[#This Row],[Spec]],LstMachines[Status],PrévisionBoris[[#This Row],[Status]],LstMachines[MoisLivr],S$1)</f>
        <v>0</v>
      </c>
      <c r="T42" s="219">
        <f>SUMIFS(LstMachines[Nbre],LstMachines[Model-Spec],PrévisionBoris[[#This Row],[Spec]],LstMachines[Status],PrévisionBoris[[#This Row],[Status]],LstMachines[MoisLivr],T$1)</f>
        <v>0</v>
      </c>
      <c r="U42" s="220">
        <f>SUMIFS(LstMachines[Nbre],LstMachines[Model-Spec],PrévisionBoris[[#This Row],[Spec]],LstMachines[Status],PrévisionBoris[[#This Row],[Status]],LstMachines[MoisLivr],U$1)</f>
        <v>0</v>
      </c>
      <c r="V42" s="220">
        <f>SUMIFS(LstMachines[Nbre],LstMachines[Model-Spec],PrévisionBoris[[#This Row],[Spec]],LstMachines[Status],PrévisionBoris[[#This Row],[Status]],LstMachines[MoisLivr],V$1)</f>
        <v>0</v>
      </c>
      <c r="W42" s="219">
        <f>SUMIFS(LstMachines[Nbre],LstMachines[Model-Spec],PrévisionBoris[[#This Row],[Spec]],LstMachines[Status],PrévisionBoris[[#This Row],[Status]],LstMachines[MoisLivr],W$1)</f>
        <v>0</v>
      </c>
      <c r="X42" s="220">
        <f>SUMIFS(LstMachines[Nbre],LstMachines[Model-Spec],PrévisionBoris[[#This Row],[Spec]],LstMachines[Status],PrévisionBoris[[#This Row],[Status]],LstMachines[MoisLivr],X$1)</f>
        <v>0</v>
      </c>
      <c r="Y42" s="220">
        <f>SUMIFS(LstMachines[Nbre],LstMachines[Model-Spec],PrévisionBoris[[#This Row],[Spec]],LstMachines[Status],PrévisionBoris[[#This Row],[Status]],LstMachines[MoisLivr],Y$1)</f>
        <v>0</v>
      </c>
      <c r="Z42" s="219">
        <f>SUMIFS(LstMachines[Nbre],LstMachines[Model-Spec],PrévisionBoris[[#This Row],[Spec]],LstMachines[Status],PrévisionBoris[[#This Row],[Status]],LstMachines[MoisLivr],Z$1)</f>
        <v>0</v>
      </c>
      <c r="AA42" s="220">
        <f>SUMIFS(LstMachines[Nbre],LstMachines[Model-Spec],PrévisionBoris[[#This Row],[Spec]],LstMachines[Status],PrévisionBoris[[#This Row],[Status]],LstMachines[MoisLivr],AA$1)</f>
        <v>0</v>
      </c>
      <c r="AB42" s="220">
        <f>SUMIFS(LstMachines[Nbre],LstMachines[Model-Spec],PrévisionBoris[[#This Row],[Spec]],LstMachines[Status],PrévisionBoris[[#This Row],[Status]],LstMachines[MoisLivr],AB$1)</f>
        <v>0</v>
      </c>
      <c r="AC42" s="219">
        <f>SUMIFS(LstMachines[Nbre],LstMachines[Model-Spec],PrévisionBoris[[#This Row],[Spec]],LstMachines[Status],PrévisionBoris[[#This Row],[Status]],LstMachines[MoisLivr],AC$1)</f>
        <v>0</v>
      </c>
      <c r="AD42" s="220">
        <f>SUMIFS(LstMachines[Nbre],LstMachines[Model-Spec],PrévisionBoris[[#This Row],[Spec]],LstMachines[Status],PrévisionBoris[[#This Row],[Status]],LstMachines[MoisLivr],AD$1)</f>
        <v>0</v>
      </c>
      <c r="AE42" s="220">
        <f>SUMIFS(LstMachines[Nbre],LstMachines[Model-Spec],PrévisionBoris[[#This Row],[Spec]],LstMachines[Status],PrévisionBoris[[#This Row],[Status]],LstMachines[MoisLivr],AE$1)</f>
        <v>0</v>
      </c>
      <c r="AF42" s="219">
        <f>SUMIFS(LstMachines[Nbre],LstMachines[Model-Spec],PrévisionBoris[[#This Row],[Spec]],LstMachines[Status],PrévisionBoris[[#This Row],[Status]],LstMachines[MoisLivr],AF$1)</f>
        <v>0</v>
      </c>
      <c r="AG42" s="220">
        <f>SUMIFS(LstMachines[Nbre],LstMachines[Model-Spec],PrévisionBoris[[#This Row],[Spec]],LstMachines[Status],PrévisionBoris[[#This Row],[Status]],LstMachines[MoisLivr],AG$1)</f>
        <v>0</v>
      </c>
      <c r="AH42" s="220">
        <f>SUMIFS(LstMachines[Nbre],LstMachines[Model-Spec],PrévisionBoris[[#This Row],[Spec]],LstMachines[Status],PrévisionBoris[[#This Row],[Status]],LstMachines[MoisLivr],AH$1)</f>
        <v>0</v>
      </c>
      <c r="AI42" s="219">
        <f>SUMIFS(LstMachines[Nbre],LstMachines[Model-Spec],PrévisionBoris[[#This Row],[Spec]],LstMachines[Status],PrévisionBoris[[#This Row],[Status]],LstMachines[MoisLivr],AI$1)</f>
        <v>0</v>
      </c>
      <c r="AJ42" s="220">
        <f>SUMIFS(LstMachines[Nbre],LstMachines[Model-Spec],PrévisionBoris[[#This Row],[Spec]],LstMachines[Status],PrévisionBoris[[#This Row],[Status]],LstMachines[MoisLivr],AJ$1)</f>
        <v>0</v>
      </c>
      <c r="AK42" s="220">
        <f>SUMIFS(LstMachines[Nbre],LstMachines[Model-Spec],PrévisionBoris[[#This Row],[Spec]],LstMachines[Status],PrévisionBoris[[#This Row],[Status]],LstMachines[MoisLivr],AK$1)</f>
        <v>0</v>
      </c>
      <c r="AL42" s="219">
        <f>SUMIFS(LstMachines[Nbre],LstMachines[Model-Spec],PrévisionBoris[[#This Row],[Spec]],LstMachines[Status],PrévisionBoris[[#This Row],[Status]],LstMachines[MoisLivr],AL$1)</f>
        <v>0</v>
      </c>
      <c r="AM42" s="220">
        <f>SUMIFS(LstMachines[Nbre],LstMachines[Model-Spec],PrévisionBoris[[#This Row],[Spec]],LstMachines[Status],PrévisionBoris[[#This Row],[Status]],LstMachines[MoisLivr],AM$1)</f>
        <v>0</v>
      </c>
      <c r="AN42" s="220">
        <f>SUMIFS(LstMachines[Nbre],LstMachines[Model-Spec],PrévisionBoris[[#This Row],[Spec]],LstMachines[Status],PrévisionBoris[[#This Row],[Status]],LstMachines[MoisLivr],AN$1)</f>
        <v>0</v>
      </c>
      <c r="AO42" s="219">
        <f>SUMIFS(LstMachines[Nbre],LstMachines[Model-Spec],PrévisionBoris[[#This Row],[Spec]],LstMachines[Status],PrévisionBoris[[#This Row],[Status]],LstMachines[MoisLivr],AO$1)</f>
        <v>0</v>
      </c>
      <c r="AP42" s="220">
        <f>SUMIFS(LstMachines[Nbre],LstMachines[Model-Spec],PrévisionBoris[[#This Row],[Spec]],LstMachines[Status],PrévisionBoris[[#This Row],[Status]],LstMachines[MoisLivr],AP$1)</f>
        <v>0</v>
      </c>
      <c r="AQ42" s="220">
        <f>SUMIFS(LstMachines[Nbre],LstMachines[Model-Spec],PrévisionBoris[[#This Row],[Spec]],LstMachines[Status],PrévisionBoris[[#This Row],[Status]],LstMachines[MoisLivr],AQ$1)</f>
        <v>0</v>
      </c>
      <c r="AR42" s="219">
        <f>SUMIFS(LstMachines[Nbre],LstMachines[Model-Spec],PrévisionBoris[[#This Row],[Spec]],LstMachines[Status],PrévisionBoris[[#This Row],[Status]],LstMachines[MoisLivr],AR$1)</f>
        <v>0</v>
      </c>
      <c r="AS42" s="220">
        <f>SUMIFS(LstMachines[Nbre],LstMachines[Model-Spec],PrévisionBoris[[#This Row],[Spec]],LstMachines[Status],PrévisionBoris[[#This Row],[Status]],LstMachines[MoisLivr],AS$1)</f>
        <v>0</v>
      </c>
      <c r="AT42" s="220">
        <f>SUMIFS(LstMachines[Nbre],LstMachines[Model-Spec],PrévisionBoris[[#This Row],[Spec]],LstMachines[Status],PrévisionBoris[[#This Row],[Status]],LstMachines[MoisLivr],AT$1)</f>
        <v>0</v>
      </c>
      <c r="AU42" s="219">
        <f>SUMIFS(LstMachines[Nbre],LstMachines[Model-Spec],PrévisionBoris[[#This Row],[Spec]],LstMachines[Status],PrévisionBoris[[#This Row],[Status]],LstMachines[MoisLivr],AU$1)</f>
        <v>0</v>
      </c>
      <c r="AV42" s="223">
        <f>SUMIFS(LstMachines[Nbre],LstMachines[Model-Spec],PrévisionBoris[[#This Row],[Spec]],LstMachines[Status],PrévisionBoris[[#This Row],[Status]],LstMachines[MoisLivr],AV$1)</f>
        <v>0</v>
      </c>
      <c r="AW42" s="224">
        <f>SUMIFS(LstMachines[Nbre],LstMachines[Model-Spec],PrévisionBoris[[#This Row],[Spec]],LstMachines[Status],PrévisionBoris[[#This Row],[Status]],LstMachines[MoisLivr],AW$1)</f>
        <v>0</v>
      </c>
      <c r="AX42" s="210"/>
      <c r="AY42" s="211">
        <f t="shared" si="3"/>
        <v>0</v>
      </c>
      <c r="AZ42" s="212">
        <f t="shared" si="4"/>
        <v>0</v>
      </c>
      <c r="BA42" s="212">
        <f t="shared" si="5"/>
        <v>0</v>
      </c>
      <c r="BB42" s="213">
        <f t="shared" si="6"/>
        <v>0</v>
      </c>
      <c r="BC42" s="225">
        <f t="shared" si="7"/>
        <v>0</v>
      </c>
      <c r="BD42" s="211">
        <f t="shared" si="8"/>
        <v>0</v>
      </c>
      <c r="BE42" s="212">
        <f t="shared" si="9"/>
        <v>0</v>
      </c>
      <c r="BF42" s="212">
        <f t="shared" si="10"/>
        <v>0</v>
      </c>
      <c r="BG42" s="213">
        <f t="shared" si="11"/>
        <v>0</v>
      </c>
      <c r="BH42" s="225">
        <f t="shared" si="12"/>
        <v>0</v>
      </c>
      <c r="BI42" s="214">
        <f t="shared" si="13"/>
        <v>0</v>
      </c>
      <c r="BJ42" s="215">
        <f t="shared" si="14"/>
        <v>0</v>
      </c>
      <c r="BK42" s="215">
        <f t="shared" si="15"/>
        <v>0</v>
      </c>
      <c r="BL42" s="216">
        <f t="shared" si="16"/>
        <v>0</v>
      </c>
      <c r="BM42" s="225">
        <f t="shared" si="17"/>
        <v>0</v>
      </c>
      <c r="BN42" s="225"/>
      <c r="BO42" s="217"/>
      <c r="BP42" s="218">
        <f t="shared" si="18"/>
        <v>0</v>
      </c>
    </row>
    <row r="43" spans="1:68">
      <c r="A43" s="171">
        <v>36</v>
      </c>
      <c r="B43" s="171" t="s">
        <v>151</v>
      </c>
      <c r="C43" s="201">
        <v>180</v>
      </c>
      <c r="D43" s="171" t="s">
        <v>164</v>
      </c>
      <c r="E43" s="171" t="s">
        <v>166</v>
      </c>
      <c r="F43" s="201">
        <f>VLOOKUP(PrévisionBoris[[#This Row],[Spec]],TabModelSpecs[[ModelSpec]:[Price]],2,FALSE)</f>
        <v>105</v>
      </c>
      <c r="G43" s="171" t="s">
        <v>463</v>
      </c>
      <c r="H43" s="226">
        <f>SUMIFS(LstMachines[Nbre],LstMachines[Model-Spec],PrévisionBoris[[#This Row],[Spec]],LstMachines[Status],PrévisionBoris[[#This Row],[Status]],LstMachines[MoisLivr],H$1)</f>
        <v>0</v>
      </c>
      <c r="I43" s="227">
        <f>SUMIFS(LstMachines[Nbre],LstMachines[Model-Spec],PrévisionBoris[[#This Row],[Spec]],LstMachines[Status],PrévisionBoris[[#This Row],[Status]],LstMachines[MoisLivr],I$1)</f>
        <v>0</v>
      </c>
      <c r="J43" s="228">
        <f>SUMIFS(LstMachines[Nbre],LstMachines[Model-Spec],PrévisionBoris[[#This Row],[Spec]],LstMachines[Status],PrévisionBoris[[#This Row],[Status]],LstMachines[MoisLivr],J$1)</f>
        <v>0</v>
      </c>
      <c r="K43" s="226">
        <f>SUMIFS(LstMachines[Nbre],LstMachines[Model-Spec],PrévisionBoris[[#This Row],[Spec]],LstMachines[Status],PrévisionBoris[[#This Row],[Status]],LstMachines[MoisLivr],K$1)</f>
        <v>0</v>
      </c>
      <c r="L43" s="227">
        <f>SUMIFS(LstMachines[Nbre],LstMachines[Model-Spec],PrévisionBoris[[#This Row],[Spec]],LstMachines[Status],PrévisionBoris[[#This Row],[Status]],LstMachines[MoisLivr],L$1)</f>
        <v>0</v>
      </c>
      <c r="M43" s="228">
        <f>SUMIFS(LstMachines[Nbre],LstMachines[Model-Spec],PrévisionBoris[[#This Row],[Spec]],LstMachines[Status],PrévisionBoris[[#This Row],[Status]],LstMachines[MoisLivr],M$1)</f>
        <v>0</v>
      </c>
      <c r="N43" s="226">
        <f>SUMIFS(LstMachines[Nbre],LstMachines[Model-Spec],PrévisionBoris[[#This Row],[Spec]],LstMachines[Status],PrévisionBoris[[#This Row],[Status]],LstMachines[MoisLivr],N$1)</f>
        <v>0</v>
      </c>
      <c r="O43" s="227">
        <f>SUMIFS(LstMachines[Nbre],LstMachines[Model-Spec],PrévisionBoris[[#This Row],[Spec]],LstMachines[Status],PrévisionBoris[[#This Row],[Status]],LstMachines[MoisLivr],O$1)</f>
        <v>0</v>
      </c>
      <c r="P43" s="228">
        <f>SUMIFS(LstMachines[Nbre],LstMachines[Model-Spec],PrévisionBoris[[#This Row],[Spec]],LstMachines[Status],PrévisionBoris[[#This Row],[Status]],LstMachines[MoisLivr],P$1)</f>
        <v>0</v>
      </c>
      <c r="Q43" s="229">
        <f>SUMIFS(LstMachines[Nbre],LstMachines[Model-Spec],PrévisionBoris[[#This Row],[Spec]],LstMachines[Status],PrévisionBoris[[#This Row],[Status]],LstMachines[MoisLivr],Q$1)</f>
        <v>0</v>
      </c>
      <c r="R43" s="227">
        <f>SUMIFS(LstMachines[Nbre],LstMachines[Model-Spec],PrévisionBoris[[#This Row],[Spec]],LstMachines[Status],PrévisionBoris[[#This Row],[Status]],LstMachines[MoisLivr],R$1)</f>
        <v>0</v>
      </c>
      <c r="S43" s="227">
        <f>SUMIFS(LstMachines[Nbre],LstMachines[Model-Spec],PrévisionBoris[[#This Row],[Spec]],LstMachines[Status],PrévisionBoris[[#This Row],[Status]],LstMachines[MoisLivr],S$1)</f>
        <v>0</v>
      </c>
      <c r="T43" s="226">
        <f>SUMIFS(LstMachines[Nbre],LstMachines[Model-Spec],PrévisionBoris[[#This Row],[Spec]],LstMachines[Status],PrévisionBoris[[#This Row],[Status]],LstMachines[MoisLivr],T$1)</f>
        <v>0</v>
      </c>
      <c r="U43" s="227">
        <f>SUMIFS(LstMachines[Nbre],LstMachines[Model-Spec],PrévisionBoris[[#This Row],[Spec]],LstMachines[Status],PrévisionBoris[[#This Row],[Status]],LstMachines[MoisLivr],U$1)</f>
        <v>0</v>
      </c>
      <c r="V43" s="227">
        <f>SUMIFS(LstMachines[Nbre],LstMachines[Model-Spec],PrévisionBoris[[#This Row],[Spec]],LstMachines[Status],PrévisionBoris[[#This Row],[Status]],LstMachines[MoisLivr],V$1)</f>
        <v>0</v>
      </c>
      <c r="W43" s="226">
        <f>SUMIFS(LstMachines[Nbre],LstMachines[Model-Spec],PrévisionBoris[[#This Row],[Spec]],LstMachines[Status],PrévisionBoris[[#This Row],[Status]],LstMachines[MoisLivr],W$1)</f>
        <v>0</v>
      </c>
      <c r="X43" s="227">
        <f>SUMIFS(LstMachines[Nbre],LstMachines[Model-Spec],PrévisionBoris[[#This Row],[Spec]],LstMachines[Status],PrévisionBoris[[#This Row],[Status]],LstMachines[MoisLivr],X$1)</f>
        <v>0</v>
      </c>
      <c r="Y43" s="227">
        <f>SUMIFS(LstMachines[Nbre],LstMachines[Model-Spec],PrévisionBoris[[#This Row],[Spec]],LstMachines[Status],PrévisionBoris[[#This Row],[Status]],LstMachines[MoisLivr],Y$1)</f>
        <v>0</v>
      </c>
      <c r="Z43" s="226">
        <f>SUMIFS(LstMachines[Nbre],LstMachines[Model-Spec],PrévisionBoris[[#This Row],[Spec]],LstMachines[Status],PrévisionBoris[[#This Row],[Status]],LstMachines[MoisLivr],Z$1)</f>
        <v>0</v>
      </c>
      <c r="AA43" s="227">
        <f>SUMIFS(LstMachines[Nbre],LstMachines[Model-Spec],PrévisionBoris[[#This Row],[Spec]],LstMachines[Status],PrévisionBoris[[#This Row],[Status]],LstMachines[MoisLivr],AA$1)</f>
        <v>0</v>
      </c>
      <c r="AB43" s="227">
        <f>SUMIFS(LstMachines[Nbre],LstMachines[Model-Spec],PrévisionBoris[[#This Row],[Spec]],LstMachines[Status],PrévisionBoris[[#This Row],[Status]],LstMachines[MoisLivr],AB$1)</f>
        <v>0</v>
      </c>
      <c r="AC43" s="226">
        <f>SUMIFS(LstMachines[Nbre],LstMachines[Model-Spec],PrévisionBoris[[#This Row],[Spec]],LstMachines[Status],PrévisionBoris[[#This Row],[Status]],LstMachines[MoisLivr],AC$1)</f>
        <v>0</v>
      </c>
      <c r="AD43" s="227">
        <f>SUMIFS(LstMachines[Nbre],LstMachines[Model-Spec],PrévisionBoris[[#This Row],[Spec]],LstMachines[Status],PrévisionBoris[[#This Row],[Status]],LstMachines[MoisLivr],AD$1)</f>
        <v>0</v>
      </c>
      <c r="AE43" s="227">
        <f>SUMIFS(LstMachines[Nbre],LstMachines[Model-Spec],PrévisionBoris[[#This Row],[Spec]],LstMachines[Status],PrévisionBoris[[#This Row],[Status]],LstMachines[MoisLivr],AE$1)</f>
        <v>0</v>
      </c>
      <c r="AF43" s="226">
        <f>SUMIFS(LstMachines[Nbre],LstMachines[Model-Spec],PrévisionBoris[[#This Row],[Spec]],LstMachines[Status],PrévisionBoris[[#This Row],[Status]],LstMachines[MoisLivr],AF$1)</f>
        <v>0</v>
      </c>
      <c r="AG43" s="227">
        <f>SUMIFS(LstMachines[Nbre],LstMachines[Model-Spec],PrévisionBoris[[#This Row],[Spec]],LstMachines[Status],PrévisionBoris[[#This Row],[Status]],LstMachines[MoisLivr],AG$1)</f>
        <v>0</v>
      </c>
      <c r="AH43" s="227">
        <f>SUMIFS(LstMachines[Nbre],LstMachines[Model-Spec],PrévisionBoris[[#This Row],[Spec]],LstMachines[Status],PrévisionBoris[[#This Row],[Status]],LstMachines[MoisLivr],AH$1)</f>
        <v>0</v>
      </c>
      <c r="AI43" s="226">
        <f>SUMIFS(LstMachines[Nbre],LstMachines[Model-Spec],PrévisionBoris[[#This Row],[Spec]],LstMachines[Status],PrévisionBoris[[#This Row],[Status]],LstMachines[MoisLivr],AI$1)</f>
        <v>0</v>
      </c>
      <c r="AJ43" s="227">
        <f>SUMIFS(LstMachines[Nbre],LstMachines[Model-Spec],PrévisionBoris[[#This Row],[Spec]],LstMachines[Status],PrévisionBoris[[#This Row],[Status]],LstMachines[MoisLivr],AJ$1)</f>
        <v>0</v>
      </c>
      <c r="AK43" s="227">
        <f>SUMIFS(LstMachines[Nbre],LstMachines[Model-Spec],PrévisionBoris[[#This Row],[Spec]],LstMachines[Status],PrévisionBoris[[#This Row],[Status]],LstMachines[MoisLivr],AK$1)</f>
        <v>0</v>
      </c>
      <c r="AL43" s="226">
        <f>SUMIFS(LstMachines[Nbre],LstMachines[Model-Spec],PrévisionBoris[[#This Row],[Spec]],LstMachines[Status],PrévisionBoris[[#This Row],[Status]],LstMachines[MoisLivr],AL$1)</f>
        <v>0</v>
      </c>
      <c r="AM43" s="227">
        <f>SUMIFS(LstMachines[Nbre],LstMachines[Model-Spec],PrévisionBoris[[#This Row],[Spec]],LstMachines[Status],PrévisionBoris[[#This Row],[Status]],LstMachines[MoisLivr],AM$1)</f>
        <v>0</v>
      </c>
      <c r="AN43" s="227">
        <f>SUMIFS(LstMachines[Nbre],LstMachines[Model-Spec],PrévisionBoris[[#This Row],[Spec]],LstMachines[Status],PrévisionBoris[[#This Row],[Status]],LstMachines[MoisLivr],AN$1)</f>
        <v>0</v>
      </c>
      <c r="AO43" s="226">
        <f>SUMIFS(LstMachines[Nbre],LstMachines[Model-Spec],PrévisionBoris[[#This Row],[Spec]],LstMachines[Status],PrévisionBoris[[#This Row],[Status]],LstMachines[MoisLivr],AO$1)</f>
        <v>0</v>
      </c>
      <c r="AP43" s="227">
        <f>SUMIFS(LstMachines[Nbre],LstMachines[Model-Spec],PrévisionBoris[[#This Row],[Spec]],LstMachines[Status],PrévisionBoris[[#This Row],[Status]],LstMachines[MoisLivr],AP$1)</f>
        <v>0</v>
      </c>
      <c r="AQ43" s="227">
        <f>SUMIFS(LstMachines[Nbre],LstMachines[Model-Spec],PrévisionBoris[[#This Row],[Spec]],LstMachines[Status],PrévisionBoris[[#This Row],[Status]],LstMachines[MoisLivr],AQ$1)</f>
        <v>0</v>
      </c>
      <c r="AR43" s="226">
        <f>SUMIFS(LstMachines[Nbre],LstMachines[Model-Spec],PrévisionBoris[[#This Row],[Spec]],LstMachines[Status],PrévisionBoris[[#This Row],[Status]],LstMachines[MoisLivr],AR$1)</f>
        <v>0</v>
      </c>
      <c r="AS43" s="227">
        <f>SUMIFS(LstMachines[Nbre],LstMachines[Model-Spec],PrévisionBoris[[#This Row],[Spec]],LstMachines[Status],PrévisionBoris[[#This Row],[Status]],LstMachines[MoisLivr],AS$1)</f>
        <v>0</v>
      </c>
      <c r="AT43" s="227">
        <f>SUMIFS(LstMachines[Nbre],LstMachines[Model-Spec],PrévisionBoris[[#This Row],[Spec]],LstMachines[Status],PrévisionBoris[[#This Row],[Status]],LstMachines[MoisLivr],AT$1)</f>
        <v>0</v>
      </c>
      <c r="AU43" s="226">
        <f>SUMIFS(LstMachines[Nbre],LstMachines[Model-Spec],PrévisionBoris[[#This Row],[Spec]],LstMachines[Status],PrévisionBoris[[#This Row],[Status]],LstMachines[MoisLivr],AU$1)</f>
        <v>0</v>
      </c>
      <c r="AV43" s="230">
        <f>SUMIFS(LstMachines[Nbre],LstMachines[Model-Spec],PrévisionBoris[[#This Row],[Spec]],LstMachines[Status],PrévisionBoris[[#This Row],[Status]],LstMachines[MoisLivr],AV$1)</f>
        <v>0</v>
      </c>
      <c r="AW43" s="231">
        <f>SUMIFS(LstMachines[Nbre],LstMachines[Model-Spec],PrévisionBoris[[#This Row],[Spec]],LstMachines[Status],PrévisionBoris[[#This Row],[Status]],LstMachines[MoisLivr],AW$1)</f>
        <v>0</v>
      </c>
      <c r="AX43" s="232"/>
      <c r="AY43" s="211">
        <f t="shared" si="3"/>
        <v>0</v>
      </c>
      <c r="AZ43" s="212">
        <f t="shared" si="4"/>
        <v>0</v>
      </c>
      <c r="BA43" s="212">
        <f t="shared" si="5"/>
        <v>0</v>
      </c>
      <c r="BB43" s="213">
        <f t="shared" si="6"/>
        <v>0</v>
      </c>
      <c r="BC43" s="225">
        <f t="shared" si="7"/>
        <v>0</v>
      </c>
      <c r="BD43" s="211">
        <f t="shared" si="8"/>
        <v>0</v>
      </c>
      <c r="BE43" s="212">
        <f t="shared" si="9"/>
        <v>0</v>
      </c>
      <c r="BF43" s="212">
        <f t="shared" si="10"/>
        <v>0</v>
      </c>
      <c r="BG43" s="213">
        <f t="shared" si="11"/>
        <v>0</v>
      </c>
      <c r="BH43" s="225">
        <f t="shared" si="12"/>
        <v>0</v>
      </c>
      <c r="BI43" s="214">
        <f t="shared" si="13"/>
        <v>0</v>
      </c>
      <c r="BJ43" s="215">
        <f t="shared" si="14"/>
        <v>0</v>
      </c>
      <c r="BK43" s="215">
        <f t="shared" si="15"/>
        <v>0</v>
      </c>
      <c r="BL43" s="216">
        <f t="shared" si="16"/>
        <v>0</v>
      </c>
      <c r="BM43" s="225">
        <f t="shared" si="17"/>
        <v>0</v>
      </c>
      <c r="BN43" s="225"/>
      <c r="BO43" s="217"/>
      <c r="BP43" s="218">
        <f t="shared" si="18"/>
        <v>0</v>
      </c>
    </row>
    <row r="44" spans="1:68">
      <c r="A44" s="172">
        <v>37</v>
      </c>
      <c r="B44" s="172" t="s">
        <v>151</v>
      </c>
      <c r="C44" s="202">
        <v>180</v>
      </c>
      <c r="D44" s="172" t="s">
        <v>164</v>
      </c>
      <c r="E44" s="172" t="s">
        <v>167</v>
      </c>
      <c r="F44" s="202">
        <f>VLOOKUP(PrévisionBoris[[#This Row],[Spec]],TabModelSpecs[[ModelSpec]:[Price]],2,FALSE)</f>
        <v>105</v>
      </c>
      <c r="G44" s="172" t="s">
        <v>461</v>
      </c>
      <c r="H44" s="206">
        <f>SUMIFS(LstMachines[Nbre],LstMachines[Model-Spec],PrévisionBoris[[#This Row],[Spec]],LstMachines[Status],PrévisionBoris[[#This Row],[Status]],LstMachines[MoisLivr],H$1)</f>
        <v>0</v>
      </c>
      <c r="I44" s="207">
        <f>SUMIFS(LstMachines[Nbre],LstMachines[Model-Spec],PrévisionBoris[[#This Row],[Spec]],LstMachines[Status],PrévisionBoris[[#This Row],[Status]],LstMachines[MoisLivr],I$1)</f>
        <v>0</v>
      </c>
      <c r="J44" s="208">
        <f>SUMIFS(LstMachines[Nbre],LstMachines[Model-Spec],PrévisionBoris[[#This Row],[Spec]],LstMachines[Status],PrévisionBoris[[#This Row],[Status]],LstMachines[MoisLivr],J$1)</f>
        <v>0</v>
      </c>
      <c r="K44" s="206">
        <f>SUMIFS(LstMachines[Nbre],LstMachines[Model-Spec],PrévisionBoris[[#This Row],[Spec]],LstMachines[Status],PrévisionBoris[[#This Row],[Status]],LstMachines[MoisLivr],K$1)</f>
        <v>0</v>
      </c>
      <c r="L44" s="207">
        <f>SUMIFS(LstMachines[Nbre],LstMachines[Model-Spec],PrévisionBoris[[#This Row],[Spec]],LstMachines[Status],PrévisionBoris[[#This Row],[Status]],LstMachines[MoisLivr],L$1)</f>
        <v>0</v>
      </c>
      <c r="M44" s="208">
        <f>SUMIFS(LstMachines[Nbre],LstMachines[Model-Spec],PrévisionBoris[[#This Row],[Spec]],LstMachines[Status],PrévisionBoris[[#This Row],[Status]],LstMachines[MoisLivr],M$1)</f>
        <v>0</v>
      </c>
      <c r="N44" s="206">
        <f>SUMIFS(LstMachines[Nbre],LstMachines[Model-Spec],PrévisionBoris[[#This Row],[Spec]],LstMachines[Status],PrévisionBoris[[#This Row],[Status]],LstMachines[MoisLivr],N$1)</f>
        <v>0</v>
      </c>
      <c r="O44" s="207">
        <f>SUMIFS(LstMachines[Nbre],LstMachines[Model-Spec],PrévisionBoris[[#This Row],[Spec]],LstMachines[Status],PrévisionBoris[[#This Row],[Status]],LstMachines[MoisLivr],O$1)</f>
        <v>0</v>
      </c>
      <c r="P44" s="208">
        <f>SUMIFS(LstMachines[Nbre],LstMachines[Model-Spec],PrévisionBoris[[#This Row],[Spec]],LstMachines[Status],PrévisionBoris[[#This Row],[Status]],LstMachines[MoisLivr],P$1)</f>
        <v>0</v>
      </c>
      <c r="Q44" s="209">
        <f>SUMIFS(LstMachines[Nbre],LstMachines[Model-Spec],PrévisionBoris[[#This Row],[Spec]],LstMachines[Status],PrévisionBoris[[#This Row],[Status]],LstMachines[MoisLivr],Q$1)</f>
        <v>0</v>
      </c>
      <c r="R44" s="207">
        <f>SUMIFS(LstMachines[Nbre],LstMachines[Model-Spec],PrévisionBoris[[#This Row],[Spec]],LstMachines[Status],PrévisionBoris[[#This Row],[Status]],LstMachines[MoisLivr],R$1)</f>
        <v>0</v>
      </c>
      <c r="S44" s="207">
        <f>SUMIFS(LstMachines[Nbre],LstMachines[Model-Spec],PrévisionBoris[[#This Row],[Spec]],LstMachines[Status],PrévisionBoris[[#This Row],[Status]],LstMachines[MoisLivr],S$1)</f>
        <v>0</v>
      </c>
      <c r="T44" s="206">
        <f>SUMIFS(LstMachines[Nbre],LstMachines[Model-Spec],PrévisionBoris[[#This Row],[Spec]],LstMachines[Status],PrévisionBoris[[#This Row],[Status]],LstMachines[MoisLivr],T$1)</f>
        <v>0</v>
      </c>
      <c r="U44" s="207">
        <f>SUMIFS(LstMachines[Nbre],LstMachines[Model-Spec],PrévisionBoris[[#This Row],[Spec]],LstMachines[Status],PrévisionBoris[[#This Row],[Status]],LstMachines[MoisLivr],U$1)</f>
        <v>0</v>
      </c>
      <c r="V44" s="207">
        <f>SUMIFS(LstMachines[Nbre],LstMachines[Model-Spec],PrévisionBoris[[#This Row],[Spec]],LstMachines[Status],PrévisionBoris[[#This Row],[Status]],LstMachines[MoisLivr],V$1)</f>
        <v>0</v>
      </c>
      <c r="W44" s="206">
        <f>SUMIFS(LstMachines[Nbre],LstMachines[Model-Spec],PrévisionBoris[[#This Row],[Spec]],LstMachines[Status],PrévisionBoris[[#This Row],[Status]],LstMachines[MoisLivr],W$1)</f>
        <v>0</v>
      </c>
      <c r="X44" s="207">
        <f>SUMIFS(LstMachines[Nbre],LstMachines[Model-Spec],PrévisionBoris[[#This Row],[Spec]],LstMachines[Status],PrévisionBoris[[#This Row],[Status]],LstMachines[MoisLivr],X$1)</f>
        <v>0</v>
      </c>
      <c r="Y44" s="207">
        <f>SUMIFS(LstMachines[Nbre],LstMachines[Model-Spec],PrévisionBoris[[#This Row],[Spec]],LstMachines[Status],PrévisionBoris[[#This Row],[Status]],LstMachines[MoisLivr],Y$1)</f>
        <v>0</v>
      </c>
      <c r="Z44" s="206">
        <f>SUMIFS(LstMachines[Nbre],LstMachines[Model-Spec],PrévisionBoris[[#This Row],[Spec]],LstMachines[Status],PrévisionBoris[[#This Row],[Status]],LstMachines[MoisLivr],Z$1)</f>
        <v>0</v>
      </c>
      <c r="AA44" s="207">
        <f>SUMIFS(LstMachines[Nbre],LstMachines[Model-Spec],PrévisionBoris[[#This Row],[Spec]],LstMachines[Status],PrévisionBoris[[#This Row],[Status]],LstMachines[MoisLivr],AA$1)</f>
        <v>0</v>
      </c>
      <c r="AB44" s="207">
        <f>SUMIFS(LstMachines[Nbre],LstMachines[Model-Spec],PrévisionBoris[[#This Row],[Spec]],LstMachines[Status],PrévisionBoris[[#This Row],[Status]],LstMachines[MoisLivr],AB$1)</f>
        <v>0</v>
      </c>
      <c r="AC44" s="206">
        <f>SUMIFS(LstMachines[Nbre],LstMachines[Model-Spec],PrévisionBoris[[#This Row],[Spec]],LstMachines[Status],PrévisionBoris[[#This Row],[Status]],LstMachines[MoisLivr],AC$1)</f>
        <v>0</v>
      </c>
      <c r="AD44" s="207">
        <f>SUMIFS(LstMachines[Nbre],LstMachines[Model-Spec],PrévisionBoris[[#This Row],[Spec]],LstMachines[Status],PrévisionBoris[[#This Row],[Status]],LstMachines[MoisLivr],AD$1)</f>
        <v>0</v>
      </c>
      <c r="AE44" s="207">
        <f>SUMIFS(LstMachines[Nbre],LstMachines[Model-Spec],PrévisionBoris[[#This Row],[Spec]],LstMachines[Status],PrévisionBoris[[#This Row],[Status]],LstMachines[MoisLivr],AE$1)</f>
        <v>0</v>
      </c>
      <c r="AF44" s="206">
        <f>SUMIFS(LstMachines[Nbre],LstMachines[Model-Spec],PrévisionBoris[[#This Row],[Spec]],LstMachines[Status],PrévisionBoris[[#This Row],[Status]],LstMachines[MoisLivr],AF$1)</f>
        <v>0</v>
      </c>
      <c r="AG44" s="207">
        <f>SUMIFS(LstMachines[Nbre],LstMachines[Model-Spec],PrévisionBoris[[#This Row],[Spec]],LstMachines[Status],PrévisionBoris[[#This Row],[Status]],LstMachines[MoisLivr],AG$1)</f>
        <v>0</v>
      </c>
      <c r="AH44" s="207">
        <f>SUMIFS(LstMachines[Nbre],LstMachines[Model-Spec],PrévisionBoris[[#This Row],[Spec]],LstMachines[Status],PrévisionBoris[[#This Row],[Status]],LstMachines[MoisLivr],AH$1)</f>
        <v>0</v>
      </c>
      <c r="AI44" s="206">
        <f>SUMIFS(LstMachines[Nbre],LstMachines[Model-Spec],PrévisionBoris[[#This Row],[Spec]],LstMachines[Status],PrévisionBoris[[#This Row],[Status]],LstMachines[MoisLivr],AI$1)</f>
        <v>0</v>
      </c>
      <c r="AJ44" s="207">
        <f>SUMIFS(LstMachines[Nbre],LstMachines[Model-Spec],PrévisionBoris[[#This Row],[Spec]],LstMachines[Status],PrévisionBoris[[#This Row],[Status]],LstMachines[MoisLivr],AJ$1)</f>
        <v>0</v>
      </c>
      <c r="AK44" s="207">
        <f>SUMIFS(LstMachines[Nbre],LstMachines[Model-Spec],PrévisionBoris[[#This Row],[Spec]],LstMachines[Status],PrévisionBoris[[#This Row],[Status]],LstMachines[MoisLivr],AK$1)</f>
        <v>0</v>
      </c>
      <c r="AL44" s="206">
        <f>SUMIFS(LstMachines[Nbre],LstMachines[Model-Spec],PrévisionBoris[[#This Row],[Spec]],LstMachines[Status],PrévisionBoris[[#This Row],[Status]],LstMachines[MoisLivr],AL$1)</f>
        <v>0</v>
      </c>
      <c r="AM44" s="207">
        <f>SUMIFS(LstMachines[Nbre],LstMachines[Model-Spec],PrévisionBoris[[#This Row],[Spec]],LstMachines[Status],PrévisionBoris[[#This Row],[Status]],LstMachines[MoisLivr],AM$1)</f>
        <v>0</v>
      </c>
      <c r="AN44" s="207">
        <f>SUMIFS(LstMachines[Nbre],LstMachines[Model-Spec],PrévisionBoris[[#This Row],[Spec]],LstMachines[Status],PrévisionBoris[[#This Row],[Status]],LstMachines[MoisLivr],AN$1)</f>
        <v>0</v>
      </c>
      <c r="AO44" s="206">
        <f>SUMIFS(LstMachines[Nbre],LstMachines[Model-Spec],PrévisionBoris[[#This Row],[Spec]],LstMachines[Status],PrévisionBoris[[#This Row],[Status]],LstMachines[MoisLivr],AO$1)</f>
        <v>0</v>
      </c>
      <c r="AP44" s="207">
        <f>SUMIFS(LstMachines[Nbre],LstMachines[Model-Spec],PrévisionBoris[[#This Row],[Spec]],LstMachines[Status],PrévisionBoris[[#This Row],[Status]],LstMachines[MoisLivr],AP$1)</f>
        <v>0</v>
      </c>
      <c r="AQ44" s="207">
        <f>SUMIFS(LstMachines[Nbre],LstMachines[Model-Spec],PrévisionBoris[[#This Row],[Spec]],LstMachines[Status],PrévisionBoris[[#This Row],[Status]],LstMachines[MoisLivr],AQ$1)</f>
        <v>0</v>
      </c>
      <c r="AR44" s="206">
        <f>SUMIFS(LstMachines[Nbre],LstMachines[Model-Spec],PrévisionBoris[[#This Row],[Spec]],LstMachines[Status],PrévisionBoris[[#This Row],[Status]],LstMachines[MoisLivr],AR$1)</f>
        <v>0</v>
      </c>
      <c r="AS44" s="207">
        <f>SUMIFS(LstMachines[Nbre],LstMachines[Model-Spec],PrévisionBoris[[#This Row],[Spec]],LstMachines[Status],PrévisionBoris[[#This Row],[Status]],LstMachines[MoisLivr],AS$1)</f>
        <v>0</v>
      </c>
      <c r="AT44" s="207">
        <f>SUMIFS(LstMachines[Nbre],LstMachines[Model-Spec],PrévisionBoris[[#This Row],[Spec]],LstMachines[Status],PrévisionBoris[[#This Row],[Status]],LstMachines[MoisLivr],AT$1)</f>
        <v>0</v>
      </c>
      <c r="AU44" s="206">
        <f>SUMIFS(LstMachines[Nbre],LstMachines[Model-Spec],PrévisionBoris[[#This Row],[Spec]],LstMachines[Status],PrévisionBoris[[#This Row],[Status]],LstMachines[MoisLivr],AU$1)</f>
        <v>0</v>
      </c>
      <c r="AV44" s="233">
        <f>SUMIFS(LstMachines[Nbre],LstMachines[Model-Spec],PrévisionBoris[[#This Row],[Spec]],LstMachines[Status],PrévisionBoris[[#This Row],[Status]],LstMachines[MoisLivr],AV$1)</f>
        <v>0</v>
      </c>
      <c r="AW44" s="208">
        <f>SUMIFS(LstMachines[Nbre],LstMachines[Model-Spec],PrévisionBoris[[#This Row],[Spec]],LstMachines[Status],PrévisionBoris[[#This Row],[Status]],LstMachines[MoisLivr],AW$1)</f>
        <v>0</v>
      </c>
      <c r="AX44" s="225"/>
      <c r="AY44" s="211">
        <f t="shared" si="3"/>
        <v>0</v>
      </c>
      <c r="AZ44" s="212">
        <f t="shared" si="4"/>
        <v>0</v>
      </c>
      <c r="BA44" s="212">
        <f t="shared" si="5"/>
        <v>0</v>
      </c>
      <c r="BB44" s="213">
        <f t="shared" si="6"/>
        <v>0</v>
      </c>
      <c r="BC44" s="225">
        <f t="shared" si="7"/>
        <v>0</v>
      </c>
      <c r="BD44" s="211">
        <f t="shared" si="8"/>
        <v>0</v>
      </c>
      <c r="BE44" s="212">
        <f t="shared" si="9"/>
        <v>0</v>
      </c>
      <c r="BF44" s="212">
        <f t="shared" si="10"/>
        <v>0</v>
      </c>
      <c r="BG44" s="213">
        <f t="shared" si="11"/>
        <v>0</v>
      </c>
      <c r="BH44" s="225">
        <f t="shared" si="12"/>
        <v>0</v>
      </c>
      <c r="BI44" s="214">
        <f t="shared" si="13"/>
        <v>0</v>
      </c>
      <c r="BJ44" s="215">
        <f t="shared" si="14"/>
        <v>0</v>
      </c>
      <c r="BK44" s="215">
        <f t="shared" si="15"/>
        <v>0</v>
      </c>
      <c r="BL44" s="216">
        <f t="shared" si="16"/>
        <v>0</v>
      </c>
      <c r="BM44" s="225">
        <f t="shared" si="17"/>
        <v>0</v>
      </c>
      <c r="BN44" s="225"/>
      <c r="BO44" s="234"/>
      <c r="BP44" s="218">
        <f t="shared" si="18"/>
        <v>0</v>
      </c>
    </row>
    <row r="45" spans="1:68">
      <c r="A45" s="170">
        <v>38</v>
      </c>
      <c r="B45" s="170" t="s">
        <v>151</v>
      </c>
      <c r="C45" s="200">
        <v>180</v>
      </c>
      <c r="D45" s="170" t="s">
        <v>164</v>
      </c>
      <c r="E45" s="170" t="s">
        <v>167</v>
      </c>
      <c r="F45" s="200">
        <f>VLOOKUP(PrévisionBoris[[#This Row],[Spec]],TabModelSpecs[[ModelSpec]:[Price]],2,FALSE)</f>
        <v>105</v>
      </c>
      <c r="G45" s="170" t="s">
        <v>462</v>
      </c>
      <c r="H45" s="219">
        <f>SUMIFS(LstMachines[Nbre],LstMachines[Model-Spec],PrévisionBoris[[#This Row],[Spec]],LstMachines[Status],PrévisionBoris[[#This Row],[Status]],LstMachines[MoisLivr],H$1)</f>
        <v>0</v>
      </c>
      <c r="I45" s="220">
        <f>SUMIFS(LstMachines[Nbre],LstMachines[Model-Spec],PrévisionBoris[[#This Row],[Spec]],LstMachines[Status],PrévisionBoris[[#This Row],[Status]],LstMachines[MoisLivr],I$1)</f>
        <v>0</v>
      </c>
      <c r="J45" s="221">
        <f>SUMIFS(LstMachines[Nbre],LstMachines[Model-Spec],PrévisionBoris[[#This Row],[Spec]],LstMachines[Status],PrévisionBoris[[#This Row],[Status]],LstMachines[MoisLivr],J$1)</f>
        <v>0</v>
      </c>
      <c r="K45" s="219">
        <f>SUMIFS(LstMachines[Nbre],LstMachines[Model-Spec],PrévisionBoris[[#This Row],[Spec]],LstMachines[Status],PrévisionBoris[[#This Row],[Status]],LstMachines[MoisLivr],K$1)</f>
        <v>0</v>
      </c>
      <c r="L45" s="220">
        <f>SUMIFS(LstMachines[Nbre],LstMachines[Model-Spec],PrévisionBoris[[#This Row],[Spec]],LstMachines[Status],PrévisionBoris[[#This Row],[Status]],LstMachines[MoisLivr],L$1)</f>
        <v>0</v>
      </c>
      <c r="M45" s="221">
        <f>SUMIFS(LstMachines[Nbre],LstMachines[Model-Spec],PrévisionBoris[[#This Row],[Spec]],LstMachines[Status],PrévisionBoris[[#This Row],[Status]],LstMachines[MoisLivr],M$1)</f>
        <v>0</v>
      </c>
      <c r="N45" s="219">
        <f>SUMIFS(LstMachines[Nbre],LstMachines[Model-Spec],PrévisionBoris[[#This Row],[Spec]],LstMachines[Status],PrévisionBoris[[#This Row],[Status]],LstMachines[MoisLivr],N$1)</f>
        <v>0</v>
      </c>
      <c r="O45" s="220">
        <f>SUMIFS(LstMachines[Nbre],LstMachines[Model-Spec],PrévisionBoris[[#This Row],[Spec]],LstMachines[Status],PrévisionBoris[[#This Row],[Status]],LstMachines[MoisLivr],O$1)</f>
        <v>0</v>
      </c>
      <c r="P45" s="221">
        <f>SUMIFS(LstMachines[Nbre],LstMachines[Model-Spec],PrévisionBoris[[#This Row],[Spec]],LstMachines[Status],PrévisionBoris[[#This Row],[Status]],LstMachines[MoisLivr],P$1)</f>
        <v>0</v>
      </c>
      <c r="Q45" s="222">
        <f>SUMIFS(LstMachines[Nbre],LstMachines[Model-Spec],PrévisionBoris[[#This Row],[Spec]],LstMachines[Status],PrévisionBoris[[#This Row],[Status]],LstMachines[MoisLivr],Q$1)</f>
        <v>0</v>
      </c>
      <c r="R45" s="220">
        <f>SUMIFS(LstMachines[Nbre],LstMachines[Model-Spec],PrévisionBoris[[#This Row],[Spec]],LstMachines[Status],PrévisionBoris[[#This Row],[Status]],LstMachines[MoisLivr],R$1)</f>
        <v>0</v>
      </c>
      <c r="S45" s="220">
        <f>SUMIFS(LstMachines[Nbre],LstMachines[Model-Spec],PrévisionBoris[[#This Row],[Spec]],LstMachines[Status],PrévisionBoris[[#This Row],[Status]],LstMachines[MoisLivr],S$1)</f>
        <v>0</v>
      </c>
      <c r="T45" s="219">
        <f>SUMIFS(LstMachines[Nbre],LstMachines[Model-Spec],PrévisionBoris[[#This Row],[Spec]],LstMachines[Status],PrévisionBoris[[#This Row],[Status]],LstMachines[MoisLivr],T$1)</f>
        <v>0</v>
      </c>
      <c r="U45" s="220">
        <f>SUMIFS(LstMachines[Nbre],LstMachines[Model-Spec],PrévisionBoris[[#This Row],[Spec]],LstMachines[Status],PrévisionBoris[[#This Row],[Status]],LstMachines[MoisLivr],U$1)</f>
        <v>0</v>
      </c>
      <c r="V45" s="220">
        <f>SUMIFS(LstMachines[Nbre],LstMachines[Model-Spec],PrévisionBoris[[#This Row],[Spec]],LstMachines[Status],PrévisionBoris[[#This Row],[Status]],LstMachines[MoisLivr],V$1)</f>
        <v>0</v>
      </c>
      <c r="W45" s="219">
        <f>SUMIFS(LstMachines[Nbre],LstMachines[Model-Spec],PrévisionBoris[[#This Row],[Spec]],LstMachines[Status],PrévisionBoris[[#This Row],[Status]],LstMachines[MoisLivr],W$1)</f>
        <v>0</v>
      </c>
      <c r="X45" s="220">
        <f>SUMIFS(LstMachines[Nbre],LstMachines[Model-Spec],PrévisionBoris[[#This Row],[Spec]],LstMachines[Status],PrévisionBoris[[#This Row],[Status]],LstMachines[MoisLivr],X$1)</f>
        <v>0</v>
      </c>
      <c r="Y45" s="220">
        <f>SUMIFS(LstMachines[Nbre],LstMachines[Model-Spec],PrévisionBoris[[#This Row],[Spec]],LstMachines[Status],PrévisionBoris[[#This Row],[Status]],LstMachines[MoisLivr],Y$1)</f>
        <v>0</v>
      </c>
      <c r="Z45" s="219">
        <f>SUMIFS(LstMachines[Nbre],LstMachines[Model-Spec],PrévisionBoris[[#This Row],[Spec]],LstMachines[Status],PrévisionBoris[[#This Row],[Status]],LstMachines[MoisLivr],Z$1)</f>
        <v>0</v>
      </c>
      <c r="AA45" s="220">
        <f>SUMIFS(LstMachines[Nbre],LstMachines[Model-Spec],PrévisionBoris[[#This Row],[Spec]],LstMachines[Status],PrévisionBoris[[#This Row],[Status]],LstMachines[MoisLivr],AA$1)</f>
        <v>0</v>
      </c>
      <c r="AB45" s="220">
        <f>SUMIFS(LstMachines[Nbre],LstMachines[Model-Spec],PrévisionBoris[[#This Row],[Spec]],LstMachines[Status],PrévisionBoris[[#This Row],[Status]],LstMachines[MoisLivr],AB$1)</f>
        <v>0</v>
      </c>
      <c r="AC45" s="219">
        <f>SUMIFS(LstMachines[Nbre],LstMachines[Model-Spec],PrévisionBoris[[#This Row],[Spec]],LstMachines[Status],PrévisionBoris[[#This Row],[Status]],LstMachines[MoisLivr],AC$1)</f>
        <v>0</v>
      </c>
      <c r="AD45" s="220">
        <f>SUMIFS(LstMachines[Nbre],LstMachines[Model-Spec],PrévisionBoris[[#This Row],[Spec]],LstMachines[Status],PrévisionBoris[[#This Row],[Status]],LstMachines[MoisLivr],AD$1)</f>
        <v>0</v>
      </c>
      <c r="AE45" s="220">
        <f>SUMIFS(LstMachines[Nbre],LstMachines[Model-Spec],PrévisionBoris[[#This Row],[Spec]],LstMachines[Status],PrévisionBoris[[#This Row],[Status]],LstMachines[MoisLivr],AE$1)</f>
        <v>0</v>
      </c>
      <c r="AF45" s="219">
        <f>SUMIFS(LstMachines[Nbre],LstMachines[Model-Spec],PrévisionBoris[[#This Row],[Spec]],LstMachines[Status],PrévisionBoris[[#This Row],[Status]],LstMachines[MoisLivr],AF$1)</f>
        <v>0</v>
      </c>
      <c r="AG45" s="220">
        <f>SUMIFS(LstMachines[Nbre],LstMachines[Model-Spec],PrévisionBoris[[#This Row],[Spec]],LstMachines[Status],PrévisionBoris[[#This Row],[Status]],LstMachines[MoisLivr],AG$1)</f>
        <v>0</v>
      </c>
      <c r="AH45" s="220">
        <f>SUMIFS(LstMachines[Nbre],LstMachines[Model-Spec],PrévisionBoris[[#This Row],[Spec]],LstMachines[Status],PrévisionBoris[[#This Row],[Status]],LstMachines[MoisLivr],AH$1)</f>
        <v>0</v>
      </c>
      <c r="AI45" s="219">
        <f>SUMIFS(LstMachines[Nbre],LstMachines[Model-Spec],PrévisionBoris[[#This Row],[Spec]],LstMachines[Status],PrévisionBoris[[#This Row],[Status]],LstMachines[MoisLivr],AI$1)</f>
        <v>0</v>
      </c>
      <c r="AJ45" s="220">
        <f>SUMIFS(LstMachines[Nbre],LstMachines[Model-Spec],PrévisionBoris[[#This Row],[Spec]],LstMachines[Status],PrévisionBoris[[#This Row],[Status]],LstMachines[MoisLivr],AJ$1)</f>
        <v>0</v>
      </c>
      <c r="AK45" s="220">
        <f>SUMIFS(LstMachines[Nbre],LstMachines[Model-Spec],PrévisionBoris[[#This Row],[Spec]],LstMachines[Status],PrévisionBoris[[#This Row],[Status]],LstMachines[MoisLivr],AK$1)</f>
        <v>0</v>
      </c>
      <c r="AL45" s="219">
        <f>SUMIFS(LstMachines[Nbre],LstMachines[Model-Spec],PrévisionBoris[[#This Row],[Spec]],LstMachines[Status],PrévisionBoris[[#This Row],[Status]],LstMachines[MoisLivr],AL$1)</f>
        <v>0</v>
      </c>
      <c r="AM45" s="220">
        <f>SUMIFS(LstMachines[Nbre],LstMachines[Model-Spec],PrévisionBoris[[#This Row],[Spec]],LstMachines[Status],PrévisionBoris[[#This Row],[Status]],LstMachines[MoisLivr],AM$1)</f>
        <v>0</v>
      </c>
      <c r="AN45" s="220">
        <f>SUMIFS(LstMachines[Nbre],LstMachines[Model-Spec],PrévisionBoris[[#This Row],[Spec]],LstMachines[Status],PrévisionBoris[[#This Row],[Status]],LstMachines[MoisLivr],AN$1)</f>
        <v>0</v>
      </c>
      <c r="AO45" s="219">
        <f>SUMIFS(LstMachines[Nbre],LstMachines[Model-Spec],PrévisionBoris[[#This Row],[Spec]],LstMachines[Status],PrévisionBoris[[#This Row],[Status]],LstMachines[MoisLivr],AO$1)</f>
        <v>0</v>
      </c>
      <c r="AP45" s="220">
        <f>SUMIFS(LstMachines[Nbre],LstMachines[Model-Spec],PrévisionBoris[[#This Row],[Spec]],LstMachines[Status],PrévisionBoris[[#This Row],[Status]],LstMachines[MoisLivr],AP$1)</f>
        <v>0</v>
      </c>
      <c r="AQ45" s="220">
        <f>SUMIFS(LstMachines[Nbre],LstMachines[Model-Spec],PrévisionBoris[[#This Row],[Spec]],LstMachines[Status],PrévisionBoris[[#This Row],[Status]],LstMachines[MoisLivr],AQ$1)</f>
        <v>0</v>
      </c>
      <c r="AR45" s="219">
        <f>SUMIFS(LstMachines[Nbre],LstMachines[Model-Spec],PrévisionBoris[[#This Row],[Spec]],LstMachines[Status],PrévisionBoris[[#This Row],[Status]],LstMachines[MoisLivr],AR$1)</f>
        <v>0</v>
      </c>
      <c r="AS45" s="220">
        <f>SUMIFS(LstMachines[Nbre],LstMachines[Model-Spec],PrévisionBoris[[#This Row],[Spec]],LstMachines[Status],PrévisionBoris[[#This Row],[Status]],LstMachines[MoisLivr],AS$1)</f>
        <v>0</v>
      </c>
      <c r="AT45" s="220">
        <f>SUMIFS(LstMachines[Nbre],LstMachines[Model-Spec],PrévisionBoris[[#This Row],[Spec]],LstMachines[Status],PrévisionBoris[[#This Row],[Status]],LstMachines[MoisLivr],AT$1)</f>
        <v>0</v>
      </c>
      <c r="AU45" s="219">
        <f>SUMIFS(LstMachines[Nbre],LstMachines[Model-Spec],PrévisionBoris[[#This Row],[Spec]],LstMachines[Status],PrévisionBoris[[#This Row],[Status]],LstMachines[MoisLivr],AU$1)</f>
        <v>0</v>
      </c>
      <c r="AV45" s="223">
        <f>SUMIFS(LstMachines[Nbre],LstMachines[Model-Spec],PrévisionBoris[[#This Row],[Spec]],LstMachines[Status],PrévisionBoris[[#This Row],[Status]],LstMachines[MoisLivr],AV$1)</f>
        <v>0</v>
      </c>
      <c r="AW45" s="224">
        <f>SUMIFS(LstMachines[Nbre],LstMachines[Model-Spec],PrévisionBoris[[#This Row],[Spec]],LstMachines[Status],PrévisionBoris[[#This Row],[Status]],LstMachines[MoisLivr],AW$1)</f>
        <v>0</v>
      </c>
      <c r="AX45" s="210"/>
      <c r="AY45" s="211">
        <f t="shared" si="3"/>
        <v>0</v>
      </c>
      <c r="AZ45" s="212">
        <f t="shared" si="4"/>
        <v>0</v>
      </c>
      <c r="BA45" s="212">
        <f t="shared" si="5"/>
        <v>0</v>
      </c>
      <c r="BB45" s="213">
        <f t="shared" si="6"/>
        <v>0</v>
      </c>
      <c r="BC45" s="225">
        <f t="shared" si="7"/>
        <v>0</v>
      </c>
      <c r="BD45" s="211">
        <f t="shared" si="8"/>
        <v>0</v>
      </c>
      <c r="BE45" s="212">
        <f t="shared" si="9"/>
        <v>0</v>
      </c>
      <c r="BF45" s="212">
        <f t="shared" si="10"/>
        <v>0</v>
      </c>
      <c r="BG45" s="213">
        <f t="shared" si="11"/>
        <v>0</v>
      </c>
      <c r="BH45" s="225">
        <f t="shared" si="12"/>
        <v>0</v>
      </c>
      <c r="BI45" s="214">
        <f t="shared" si="13"/>
        <v>0</v>
      </c>
      <c r="BJ45" s="215">
        <f t="shared" si="14"/>
        <v>0</v>
      </c>
      <c r="BK45" s="215">
        <f t="shared" si="15"/>
        <v>0</v>
      </c>
      <c r="BL45" s="216">
        <f t="shared" si="16"/>
        <v>0</v>
      </c>
      <c r="BM45" s="225">
        <f t="shared" si="17"/>
        <v>0</v>
      </c>
      <c r="BN45" s="225"/>
      <c r="BO45" s="217"/>
      <c r="BP45" s="218">
        <f t="shared" si="18"/>
        <v>0</v>
      </c>
    </row>
    <row r="46" spans="1:68">
      <c r="A46" s="171">
        <v>39</v>
      </c>
      <c r="B46" s="171" t="s">
        <v>151</v>
      </c>
      <c r="C46" s="201">
        <v>180</v>
      </c>
      <c r="D46" s="171" t="s">
        <v>164</v>
      </c>
      <c r="E46" s="171" t="s">
        <v>167</v>
      </c>
      <c r="F46" s="201">
        <f>VLOOKUP(PrévisionBoris[[#This Row],[Spec]],TabModelSpecs[[ModelSpec]:[Price]],2,FALSE)</f>
        <v>105</v>
      </c>
      <c r="G46" s="171" t="s">
        <v>463</v>
      </c>
      <c r="H46" s="226">
        <f>SUMIFS(LstMachines[Nbre],LstMachines[Model-Spec],PrévisionBoris[[#This Row],[Spec]],LstMachines[Status],PrévisionBoris[[#This Row],[Status]],LstMachines[MoisLivr],H$1)</f>
        <v>0</v>
      </c>
      <c r="I46" s="227">
        <f>SUMIFS(LstMachines[Nbre],LstMachines[Model-Spec],PrévisionBoris[[#This Row],[Spec]],LstMachines[Status],PrévisionBoris[[#This Row],[Status]],LstMachines[MoisLivr],I$1)</f>
        <v>0</v>
      </c>
      <c r="J46" s="228">
        <f>SUMIFS(LstMachines[Nbre],LstMachines[Model-Spec],PrévisionBoris[[#This Row],[Spec]],LstMachines[Status],PrévisionBoris[[#This Row],[Status]],LstMachines[MoisLivr],J$1)</f>
        <v>0</v>
      </c>
      <c r="K46" s="226">
        <f>SUMIFS(LstMachines[Nbre],LstMachines[Model-Spec],PrévisionBoris[[#This Row],[Spec]],LstMachines[Status],PrévisionBoris[[#This Row],[Status]],LstMachines[MoisLivr],K$1)</f>
        <v>0</v>
      </c>
      <c r="L46" s="227">
        <f>SUMIFS(LstMachines[Nbre],LstMachines[Model-Spec],PrévisionBoris[[#This Row],[Spec]],LstMachines[Status],PrévisionBoris[[#This Row],[Status]],LstMachines[MoisLivr],L$1)</f>
        <v>0</v>
      </c>
      <c r="M46" s="228">
        <f>SUMIFS(LstMachines[Nbre],LstMachines[Model-Spec],PrévisionBoris[[#This Row],[Spec]],LstMachines[Status],PrévisionBoris[[#This Row],[Status]],LstMachines[MoisLivr],M$1)</f>
        <v>0</v>
      </c>
      <c r="N46" s="226">
        <f>SUMIFS(LstMachines[Nbre],LstMachines[Model-Spec],PrévisionBoris[[#This Row],[Spec]],LstMachines[Status],PrévisionBoris[[#This Row],[Status]],LstMachines[MoisLivr],N$1)</f>
        <v>0</v>
      </c>
      <c r="O46" s="227">
        <f>SUMIFS(LstMachines[Nbre],LstMachines[Model-Spec],PrévisionBoris[[#This Row],[Spec]],LstMachines[Status],PrévisionBoris[[#This Row],[Status]],LstMachines[MoisLivr],O$1)</f>
        <v>0</v>
      </c>
      <c r="P46" s="228">
        <f>SUMIFS(LstMachines[Nbre],LstMachines[Model-Spec],PrévisionBoris[[#This Row],[Spec]],LstMachines[Status],PrévisionBoris[[#This Row],[Status]],LstMachines[MoisLivr],P$1)</f>
        <v>0</v>
      </c>
      <c r="Q46" s="229">
        <f>SUMIFS(LstMachines[Nbre],LstMachines[Model-Spec],PrévisionBoris[[#This Row],[Spec]],LstMachines[Status],PrévisionBoris[[#This Row],[Status]],LstMachines[MoisLivr],Q$1)</f>
        <v>0</v>
      </c>
      <c r="R46" s="227">
        <f>SUMIFS(LstMachines[Nbre],LstMachines[Model-Spec],PrévisionBoris[[#This Row],[Spec]],LstMachines[Status],PrévisionBoris[[#This Row],[Status]],LstMachines[MoisLivr],R$1)</f>
        <v>0</v>
      </c>
      <c r="S46" s="227">
        <f>SUMIFS(LstMachines[Nbre],LstMachines[Model-Spec],PrévisionBoris[[#This Row],[Spec]],LstMachines[Status],PrévisionBoris[[#This Row],[Status]],LstMachines[MoisLivr],S$1)</f>
        <v>0</v>
      </c>
      <c r="T46" s="226">
        <f>SUMIFS(LstMachines[Nbre],LstMachines[Model-Spec],PrévisionBoris[[#This Row],[Spec]],LstMachines[Status],PrévisionBoris[[#This Row],[Status]],LstMachines[MoisLivr],T$1)</f>
        <v>0</v>
      </c>
      <c r="U46" s="227">
        <f>SUMIFS(LstMachines[Nbre],LstMachines[Model-Spec],PrévisionBoris[[#This Row],[Spec]],LstMachines[Status],PrévisionBoris[[#This Row],[Status]],LstMachines[MoisLivr],U$1)</f>
        <v>0</v>
      </c>
      <c r="V46" s="227">
        <f>SUMIFS(LstMachines[Nbre],LstMachines[Model-Spec],PrévisionBoris[[#This Row],[Spec]],LstMachines[Status],PrévisionBoris[[#This Row],[Status]],LstMachines[MoisLivr],V$1)</f>
        <v>0</v>
      </c>
      <c r="W46" s="226">
        <f>SUMIFS(LstMachines[Nbre],LstMachines[Model-Spec],PrévisionBoris[[#This Row],[Spec]],LstMachines[Status],PrévisionBoris[[#This Row],[Status]],LstMachines[MoisLivr],W$1)</f>
        <v>0</v>
      </c>
      <c r="X46" s="227">
        <f>SUMIFS(LstMachines[Nbre],LstMachines[Model-Spec],PrévisionBoris[[#This Row],[Spec]],LstMachines[Status],PrévisionBoris[[#This Row],[Status]],LstMachines[MoisLivr],X$1)</f>
        <v>0</v>
      </c>
      <c r="Y46" s="227">
        <f>SUMIFS(LstMachines[Nbre],LstMachines[Model-Spec],PrévisionBoris[[#This Row],[Spec]],LstMachines[Status],PrévisionBoris[[#This Row],[Status]],LstMachines[MoisLivr],Y$1)</f>
        <v>0</v>
      </c>
      <c r="Z46" s="226">
        <f>SUMIFS(LstMachines[Nbre],LstMachines[Model-Spec],PrévisionBoris[[#This Row],[Spec]],LstMachines[Status],PrévisionBoris[[#This Row],[Status]],LstMachines[MoisLivr],Z$1)</f>
        <v>0</v>
      </c>
      <c r="AA46" s="227">
        <f>SUMIFS(LstMachines[Nbre],LstMachines[Model-Spec],PrévisionBoris[[#This Row],[Spec]],LstMachines[Status],PrévisionBoris[[#This Row],[Status]],LstMachines[MoisLivr],AA$1)</f>
        <v>0</v>
      </c>
      <c r="AB46" s="227">
        <f>SUMIFS(LstMachines[Nbre],LstMachines[Model-Spec],PrévisionBoris[[#This Row],[Spec]],LstMachines[Status],PrévisionBoris[[#This Row],[Status]],LstMachines[MoisLivr],AB$1)</f>
        <v>0</v>
      </c>
      <c r="AC46" s="226">
        <f>SUMIFS(LstMachines[Nbre],LstMachines[Model-Spec],PrévisionBoris[[#This Row],[Spec]],LstMachines[Status],PrévisionBoris[[#This Row],[Status]],LstMachines[MoisLivr],AC$1)</f>
        <v>0</v>
      </c>
      <c r="AD46" s="227">
        <f>SUMIFS(LstMachines[Nbre],LstMachines[Model-Spec],PrévisionBoris[[#This Row],[Spec]],LstMachines[Status],PrévisionBoris[[#This Row],[Status]],LstMachines[MoisLivr],AD$1)</f>
        <v>0</v>
      </c>
      <c r="AE46" s="227">
        <f>SUMIFS(LstMachines[Nbre],LstMachines[Model-Spec],PrévisionBoris[[#This Row],[Spec]],LstMachines[Status],PrévisionBoris[[#This Row],[Status]],LstMachines[MoisLivr],AE$1)</f>
        <v>0</v>
      </c>
      <c r="AF46" s="226">
        <f>SUMIFS(LstMachines[Nbre],LstMachines[Model-Spec],PrévisionBoris[[#This Row],[Spec]],LstMachines[Status],PrévisionBoris[[#This Row],[Status]],LstMachines[MoisLivr],AF$1)</f>
        <v>0</v>
      </c>
      <c r="AG46" s="227">
        <f>SUMIFS(LstMachines[Nbre],LstMachines[Model-Spec],PrévisionBoris[[#This Row],[Spec]],LstMachines[Status],PrévisionBoris[[#This Row],[Status]],LstMachines[MoisLivr],AG$1)</f>
        <v>0</v>
      </c>
      <c r="AH46" s="227">
        <f>SUMIFS(LstMachines[Nbre],LstMachines[Model-Spec],PrévisionBoris[[#This Row],[Spec]],LstMachines[Status],PrévisionBoris[[#This Row],[Status]],LstMachines[MoisLivr],AH$1)</f>
        <v>0</v>
      </c>
      <c r="AI46" s="226">
        <f>SUMIFS(LstMachines[Nbre],LstMachines[Model-Spec],PrévisionBoris[[#This Row],[Spec]],LstMachines[Status],PrévisionBoris[[#This Row],[Status]],LstMachines[MoisLivr],AI$1)</f>
        <v>0</v>
      </c>
      <c r="AJ46" s="227">
        <f>SUMIFS(LstMachines[Nbre],LstMachines[Model-Spec],PrévisionBoris[[#This Row],[Spec]],LstMachines[Status],PrévisionBoris[[#This Row],[Status]],LstMachines[MoisLivr],AJ$1)</f>
        <v>0</v>
      </c>
      <c r="AK46" s="227">
        <f>SUMIFS(LstMachines[Nbre],LstMachines[Model-Spec],PrévisionBoris[[#This Row],[Spec]],LstMachines[Status],PrévisionBoris[[#This Row],[Status]],LstMachines[MoisLivr],AK$1)</f>
        <v>0</v>
      </c>
      <c r="AL46" s="226">
        <f>SUMIFS(LstMachines[Nbre],LstMachines[Model-Spec],PrévisionBoris[[#This Row],[Spec]],LstMachines[Status],PrévisionBoris[[#This Row],[Status]],LstMachines[MoisLivr],AL$1)</f>
        <v>0</v>
      </c>
      <c r="AM46" s="227">
        <f>SUMIFS(LstMachines[Nbre],LstMachines[Model-Spec],PrévisionBoris[[#This Row],[Spec]],LstMachines[Status],PrévisionBoris[[#This Row],[Status]],LstMachines[MoisLivr],AM$1)</f>
        <v>0</v>
      </c>
      <c r="AN46" s="227">
        <f>SUMIFS(LstMachines[Nbre],LstMachines[Model-Spec],PrévisionBoris[[#This Row],[Spec]],LstMachines[Status],PrévisionBoris[[#This Row],[Status]],LstMachines[MoisLivr],AN$1)</f>
        <v>0</v>
      </c>
      <c r="AO46" s="226">
        <f>SUMIFS(LstMachines[Nbre],LstMachines[Model-Spec],PrévisionBoris[[#This Row],[Spec]],LstMachines[Status],PrévisionBoris[[#This Row],[Status]],LstMachines[MoisLivr],AO$1)</f>
        <v>0</v>
      </c>
      <c r="AP46" s="227">
        <f>SUMIFS(LstMachines[Nbre],LstMachines[Model-Spec],PrévisionBoris[[#This Row],[Spec]],LstMachines[Status],PrévisionBoris[[#This Row],[Status]],LstMachines[MoisLivr],AP$1)</f>
        <v>0</v>
      </c>
      <c r="AQ46" s="227">
        <f>SUMIFS(LstMachines[Nbre],LstMachines[Model-Spec],PrévisionBoris[[#This Row],[Spec]],LstMachines[Status],PrévisionBoris[[#This Row],[Status]],LstMachines[MoisLivr],AQ$1)</f>
        <v>0</v>
      </c>
      <c r="AR46" s="226">
        <f>SUMIFS(LstMachines[Nbre],LstMachines[Model-Spec],PrévisionBoris[[#This Row],[Spec]],LstMachines[Status],PrévisionBoris[[#This Row],[Status]],LstMachines[MoisLivr],AR$1)</f>
        <v>0</v>
      </c>
      <c r="AS46" s="227">
        <f>SUMIFS(LstMachines[Nbre],LstMachines[Model-Spec],PrévisionBoris[[#This Row],[Spec]],LstMachines[Status],PrévisionBoris[[#This Row],[Status]],LstMachines[MoisLivr],AS$1)</f>
        <v>0</v>
      </c>
      <c r="AT46" s="227">
        <f>SUMIFS(LstMachines[Nbre],LstMachines[Model-Spec],PrévisionBoris[[#This Row],[Spec]],LstMachines[Status],PrévisionBoris[[#This Row],[Status]],LstMachines[MoisLivr],AT$1)</f>
        <v>0</v>
      </c>
      <c r="AU46" s="226">
        <f>SUMIFS(LstMachines[Nbre],LstMachines[Model-Spec],PrévisionBoris[[#This Row],[Spec]],LstMachines[Status],PrévisionBoris[[#This Row],[Status]],LstMachines[MoisLivr],AU$1)</f>
        <v>0</v>
      </c>
      <c r="AV46" s="230">
        <f>SUMIFS(LstMachines[Nbre],LstMachines[Model-Spec],PrévisionBoris[[#This Row],[Spec]],LstMachines[Status],PrévisionBoris[[#This Row],[Status]],LstMachines[MoisLivr],AV$1)</f>
        <v>0</v>
      </c>
      <c r="AW46" s="231">
        <f>SUMIFS(LstMachines[Nbre],LstMachines[Model-Spec],PrévisionBoris[[#This Row],[Spec]],LstMachines[Status],PrévisionBoris[[#This Row],[Status]],LstMachines[MoisLivr],AW$1)</f>
        <v>0</v>
      </c>
      <c r="AX46" s="232"/>
      <c r="AY46" s="211">
        <f t="shared" si="3"/>
        <v>0</v>
      </c>
      <c r="AZ46" s="212">
        <f t="shared" si="4"/>
        <v>0</v>
      </c>
      <c r="BA46" s="212">
        <f t="shared" si="5"/>
        <v>0</v>
      </c>
      <c r="BB46" s="213">
        <f t="shared" si="6"/>
        <v>0</v>
      </c>
      <c r="BC46" s="225">
        <f t="shared" si="7"/>
        <v>0</v>
      </c>
      <c r="BD46" s="211">
        <f t="shared" si="8"/>
        <v>0</v>
      </c>
      <c r="BE46" s="212">
        <f t="shared" si="9"/>
        <v>0</v>
      </c>
      <c r="BF46" s="212">
        <f t="shared" si="10"/>
        <v>0</v>
      </c>
      <c r="BG46" s="213">
        <f t="shared" si="11"/>
        <v>0</v>
      </c>
      <c r="BH46" s="225">
        <f t="shared" si="12"/>
        <v>0</v>
      </c>
      <c r="BI46" s="214">
        <f t="shared" si="13"/>
        <v>0</v>
      </c>
      <c r="BJ46" s="215">
        <f t="shared" si="14"/>
        <v>0</v>
      </c>
      <c r="BK46" s="215">
        <f t="shared" si="15"/>
        <v>0</v>
      </c>
      <c r="BL46" s="216">
        <f t="shared" si="16"/>
        <v>0</v>
      </c>
      <c r="BM46" s="225">
        <f t="shared" si="17"/>
        <v>0</v>
      </c>
      <c r="BN46" s="225"/>
      <c r="BO46" s="217"/>
      <c r="BP46" s="218">
        <f t="shared" si="18"/>
        <v>0</v>
      </c>
    </row>
    <row r="47" spans="1:68">
      <c r="A47" s="172">
        <v>40</v>
      </c>
      <c r="B47" s="172" t="s">
        <v>151</v>
      </c>
      <c r="C47" s="202">
        <v>220</v>
      </c>
      <c r="D47" s="172" t="s">
        <v>168</v>
      </c>
      <c r="E47" s="172" t="s">
        <v>169</v>
      </c>
      <c r="F47" s="202">
        <f>VLOOKUP(PrévisionBoris[[#This Row],[Spec]],TabModelSpecs[[ModelSpec]:[Price]],2,FALSE)</f>
        <v>140</v>
      </c>
      <c r="G47" s="172" t="s">
        <v>461</v>
      </c>
      <c r="H47" s="206">
        <f>SUMIFS(LstMachines[Nbre],LstMachines[Model-Spec],PrévisionBoris[[#This Row],[Spec]],LstMachines[Status],PrévisionBoris[[#This Row],[Status]],LstMachines[MoisLivr],H$1)</f>
        <v>0</v>
      </c>
      <c r="I47" s="207">
        <f>SUMIFS(LstMachines[Nbre],LstMachines[Model-Spec],PrévisionBoris[[#This Row],[Spec]],LstMachines[Status],PrévisionBoris[[#This Row],[Status]],LstMachines[MoisLivr],I$1)</f>
        <v>0</v>
      </c>
      <c r="J47" s="208">
        <f>SUMIFS(LstMachines[Nbre],LstMachines[Model-Spec],PrévisionBoris[[#This Row],[Spec]],LstMachines[Status],PrévisionBoris[[#This Row],[Status]],LstMachines[MoisLivr],J$1)</f>
        <v>0</v>
      </c>
      <c r="K47" s="206">
        <f>SUMIFS(LstMachines[Nbre],LstMachines[Model-Spec],PrévisionBoris[[#This Row],[Spec]],LstMachines[Status],PrévisionBoris[[#This Row],[Status]],LstMachines[MoisLivr],K$1)</f>
        <v>0</v>
      </c>
      <c r="L47" s="207">
        <f>SUMIFS(LstMachines[Nbre],LstMachines[Model-Spec],PrévisionBoris[[#This Row],[Spec]],LstMachines[Status],PrévisionBoris[[#This Row],[Status]],LstMachines[MoisLivr],L$1)</f>
        <v>0</v>
      </c>
      <c r="M47" s="208">
        <f>SUMIFS(LstMachines[Nbre],LstMachines[Model-Spec],PrévisionBoris[[#This Row],[Spec]],LstMachines[Status],PrévisionBoris[[#This Row],[Status]],LstMachines[MoisLivr],M$1)</f>
        <v>0</v>
      </c>
      <c r="N47" s="206">
        <f>SUMIFS(LstMachines[Nbre],LstMachines[Model-Spec],PrévisionBoris[[#This Row],[Spec]],LstMachines[Status],PrévisionBoris[[#This Row],[Status]],LstMachines[MoisLivr],N$1)</f>
        <v>0</v>
      </c>
      <c r="O47" s="207">
        <f>SUMIFS(LstMachines[Nbre],LstMachines[Model-Spec],PrévisionBoris[[#This Row],[Spec]],LstMachines[Status],PrévisionBoris[[#This Row],[Status]],LstMachines[MoisLivr],O$1)</f>
        <v>0</v>
      </c>
      <c r="P47" s="208">
        <f>SUMIFS(LstMachines[Nbre],LstMachines[Model-Spec],PrévisionBoris[[#This Row],[Spec]],LstMachines[Status],PrévisionBoris[[#This Row],[Status]],LstMachines[MoisLivr],P$1)</f>
        <v>0</v>
      </c>
      <c r="Q47" s="209">
        <f>SUMIFS(LstMachines[Nbre],LstMachines[Model-Spec],PrévisionBoris[[#This Row],[Spec]],LstMachines[Status],PrévisionBoris[[#This Row],[Status]],LstMachines[MoisLivr],Q$1)</f>
        <v>0</v>
      </c>
      <c r="R47" s="207">
        <f>SUMIFS(LstMachines[Nbre],LstMachines[Model-Spec],PrévisionBoris[[#This Row],[Spec]],LstMachines[Status],PrévisionBoris[[#This Row],[Status]],LstMachines[MoisLivr],R$1)</f>
        <v>0</v>
      </c>
      <c r="S47" s="207">
        <f>SUMIFS(LstMachines[Nbre],LstMachines[Model-Spec],PrévisionBoris[[#This Row],[Spec]],LstMachines[Status],PrévisionBoris[[#This Row],[Status]],LstMachines[MoisLivr],S$1)</f>
        <v>0</v>
      </c>
      <c r="T47" s="206">
        <f>SUMIFS(LstMachines[Nbre],LstMachines[Model-Spec],PrévisionBoris[[#This Row],[Spec]],LstMachines[Status],PrévisionBoris[[#This Row],[Status]],LstMachines[MoisLivr],T$1)</f>
        <v>0</v>
      </c>
      <c r="U47" s="207">
        <f>SUMIFS(LstMachines[Nbre],LstMachines[Model-Spec],PrévisionBoris[[#This Row],[Spec]],LstMachines[Status],PrévisionBoris[[#This Row],[Status]],LstMachines[MoisLivr],U$1)</f>
        <v>0</v>
      </c>
      <c r="V47" s="207">
        <f>SUMIFS(LstMachines[Nbre],LstMachines[Model-Spec],PrévisionBoris[[#This Row],[Spec]],LstMachines[Status],PrévisionBoris[[#This Row],[Status]],LstMachines[MoisLivr],V$1)</f>
        <v>0</v>
      </c>
      <c r="W47" s="206">
        <f>SUMIFS(LstMachines[Nbre],LstMachines[Model-Spec],PrévisionBoris[[#This Row],[Spec]],LstMachines[Status],PrévisionBoris[[#This Row],[Status]],LstMachines[MoisLivr],W$1)</f>
        <v>0</v>
      </c>
      <c r="X47" s="207">
        <f>SUMIFS(LstMachines[Nbre],LstMachines[Model-Spec],PrévisionBoris[[#This Row],[Spec]],LstMachines[Status],PrévisionBoris[[#This Row],[Status]],LstMachines[MoisLivr],X$1)</f>
        <v>0</v>
      </c>
      <c r="Y47" s="207">
        <f>SUMIFS(LstMachines[Nbre],LstMachines[Model-Spec],PrévisionBoris[[#This Row],[Spec]],LstMachines[Status],PrévisionBoris[[#This Row],[Status]],LstMachines[MoisLivr],Y$1)</f>
        <v>0</v>
      </c>
      <c r="Z47" s="206">
        <f>SUMIFS(LstMachines[Nbre],LstMachines[Model-Spec],PrévisionBoris[[#This Row],[Spec]],LstMachines[Status],PrévisionBoris[[#This Row],[Status]],LstMachines[MoisLivr],Z$1)</f>
        <v>0</v>
      </c>
      <c r="AA47" s="207">
        <f>SUMIFS(LstMachines[Nbre],LstMachines[Model-Spec],PrévisionBoris[[#This Row],[Spec]],LstMachines[Status],PrévisionBoris[[#This Row],[Status]],LstMachines[MoisLivr],AA$1)</f>
        <v>0</v>
      </c>
      <c r="AB47" s="207">
        <f>SUMIFS(LstMachines[Nbre],LstMachines[Model-Spec],PrévisionBoris[[#This Row],[Spec]],LstMachines[Status],PrévisionBoris[[#This Row],[Status]],LstMachines[MoisLivr],AB$1)</f>
        <v>0</v>
      </c>
      <c r="AC47" s="206">
        <f>SUMIFS(LstMachines[Nbre],LstMachines[Model-Spec],PrévisionBoris[[#This Row],[Spec]],LstMachines[Status],PrévisionBoris[[#This Row],[Status]],LstMachines[MoisLivr],AC$1)</f>
        <v>0</v>
      </c>
      <c r="AD47" s="207">
        <f>SUMIFS(LstMachines[Nbre],LstMachines[Model-Spec],PrévisionBoris[[#This Row],[Spec]],LstMachines[Status],PrévisionBoris[[#This Row],[Status]],LstMachines[MoisLivr],AD$1)</f>
        <v>0</v>
      </c>
      <c r="AE47" s="207">
        <f>SUMIFS(LstMachines[Nbre],LstMachines[Model-Spec],PrévisionBoris[[#This Row],[Spec]],LstMachines[Status],PrévisionBoris[[#This Row],[Status]],LstMachines[MoisLivr],AE$1)</f>
        <v>0</v>
      </c>
      <c r="AF47" s="206">
        <f>SUMIFS(LstMachines[Nbre],LstMachines[Model-Spec],PrévisionBoris[[#This Row],[Spec]],LstMachines[Status],PrévisionBoris[[#This Row],[Status]],LstMachines[MoisLivr],AF$1)</f>
        <v>0</v>
      </c>
      <c r="AG47" s="207">
        <f>SUMIFS(LstMachines[Nbre],LstMachines[Model-Spec],PrévisionBoris[[#This Row],[Spec]],LstMachines[Status],PrévisionBoris[[#This Row],[Status]],LstMachines[MoisLivr],AG$1)</f>
        <v>0</v>
      </c>
      <c r="AH47" s="207">
        <f>SUMIFS(LstMachines[Nbre],LstMachines[Model-Spec],PrévisionBoris[[#This Row],[Spec]],LstMachines[Status],PrévisionBoris[[#This Row],[Status]],LstMachines[MoisLivr],AH$1)</f>
        <v>0</v>
      </c>
      <c r="AI47" s="206">
        <f>SUMIFS(LstMachines[Nbre],LstMachines[Model-Spec],PrévisionBoris[[#This Row],[Spec]],LstMachines[Status],PrévisionBoris[[#This Row],[Status]],LstMachines[MoisLivr],AI$1)</f>
        <v>0</v>
      </c>
      <c r="AJ47" s="207">
        <f>SUMIFS(LstMachines[Nbre],LstMachines[Model-Spec],PrévisionBoris[[#This Row],[Spec]],LstMachines[Status],PrévisionBoris[[#This Row],[Status]],LstMachines[MoisLivr],AJ$1)</f>
        <v>0</v>
      </c>
      <c r="AK47" s="207">
        <f>SUMIFS(LstMachines[Nbre],LstMachines[Model-Spec],PrévisionBoris[[#This Row],[Spec]],LstMachines[Status],PrévisionBoris[[#This Row],[Status]],LstMachines[MoisLivr],AK$1)</f>
        <v>0</v>
      </c>
      <c r="AL47" s="206">
        <f>SUMIFS(LstMachines[Nbre],LstMachines[Model-Spec],PrévisionBoris[[#This Row],[Spec]],LstMachines[Status],PrévisionBoris[[#This Row],[Status]],LstMachines[MoisLivr],AL$1)</f>
        <v>0</v>
      </c>
      <c r="AM47" s="207">
        <f>SUMIFS(LstMachines[Nbre],LstMachines[Model-Spec],PrévisionBoris[[#This Row],[Spec]],LstMachines[Status],PrévisionBoris[[#This Row],[Status]],LstMachines[MoisLivr],AM$1)</f>
        <v>0</v>
      </c>
      <c r="AN47" s="207">
        <f>SUMIFS(LstMachines[Nbre],LstMachines[Model-Spec],PrévisionBoris[[#This Row],[Spec]],LstMachines[Status],PrévisionBoris[[#This Row],[Status]],LstMachines[MoisLivr],AN$1)</f>
        <v>0</v>
      </c>
      <c r="AO47" s="206">
        <f>SUMIFS(LstMachines[Nbre],LstMachines[Model-Spec],PrévisionBoris[[#This Row],[Spec]],LstMachines[Status],PrévisionBoris[[#This Row],[Status]],LstMachines[MoisLivr],AO$1)</f>
        <v>0</v>
      </c>
      <c r="AP47" s="207">
        <f>SUMIFS(LstMachines[Nbre],LstMachines[Model-Spec],PrévisionBoris[[#This Row],[Spec]],LstMachines[Status],PrévisionBoris[[#This Row],[Status]],LstMachines[MoisLivr],AP$1)</f>
        <v>0</v>
      </c>
      <c r="AQ47" s="207">
        <f>SUMIFS(LstMachines[Nbre],LstMachines[Model-Spec],PrévisionBoris[[#This Row],[Spec]],LstMachines[Status],PrévisionBoris[[#This Row],[Status]],LstMachines[MoisLivr],AQ$1)</f>
        <v>0</v>
      </c>
      <c r="AR47" s="206">
        <f>SUMIFS(LstMachines[Nbre],LstMachines[Model-Spec],PrévisionBoris[[#This Row],[Spec]],LstMachines[Status],PrévisionBoris[[#This Row],[Status]],LstMachines[MoisLivr],AR$1)</f>
        <v>0</v>
      </c>
      <c r="AS47" s="207">
        <f>SUMIFS(LstMachines[Nbre],LstMachines[Model-Spec],PrévisionBoris[[#This Row],[Spec]],LstMachines[Status],PrévisionBoris[[#This Row],[Status]],LstMachines[MoisLivr],AS$1)</f>
        <v>0</v>
      </c>
      <c r="AT47" s="207">
        <f>SUMIFS(LstMachines[Nbre],LstMachines[Model-Spec],PrévisionBoris[[#This Row],[Spec]],LstMachines[Status],PrévisionBoris[[#This Row],[Status]],LstMachines[MoisLivr],AT$1)</f>
        <v>0</v>
      </c>
      <c r="AU47" s="206">
        <f>SUMIFS(LstMachines[Nbre],LstMachines[Model-Spec],PrévisionBoris[[#This Row],[Spec]],LstMachines[Status],PrévisionBoris[[#This Row],[Status]],LstMachines[MoisLivr],AU$1)</f>
        <v>0</v>
      </c>
      <c r="AV47" s="233">
        <f>SUMIFS(LstMachines[Nbre],LstMachines[Model-Spec],PrévisionBoris[[#This Row],[Spec]],LstMachines[Status],PrévisionBoris[[#This Row],[Status]],LstMachines[MoisLivr],AV$1)</f>
        <v>0</v>
      </c>
      <c r="AW47" s="208">
        <f>SUMIFS(LstMachines[Nbre],LstMachines[Model-Spec],PrévisionBoris[[#This Row],[Spec]],LstMachines[Status],PrévisionBoris[[#This Row],[Status]],LstMachines[MoisLivr],AW$1)</f>
        <v>0</v>
      </c>
      <c r="AX47" s="225"/>
      <c r="AY47" s="211">
        <f t="shared" si="3"/>
        <v>0</v>
      </c>
      <c r="AZ47" s="212">
        <f t="shared" si="4"/>
        <v>0</v>
      </c>
      <c r="BA47" s="212">
        <f t="shared" si="5"/>
        <v>0</v>
      </c>
      <c r="BB47" s="213">
        <f t="shared" si="6"/>
        <v>0</v>
      </c>
      <c r="BC47" s="225">
        <f t="shared" si="7"/>
        <v>0</v>
      </c>
      <c r="BD47" s="211">
        <f t="shared" si="8"/>
        <v>0</v>
      </c>
      <c r="BE47" s="212">
        <f t="shared" si="9"/>
        <v>0</v>
      </c>
      <c r="BF47" s="212">
        <f t="shared" si="10"/>
        <v>0</v>
      </c>
      <c r="BG47" s="213">
        <f t="shared" si="11"/>
        <v>0</v>
      </c>
      <c r="BH47" s="225">
        <f t="shared" si="12"/>
        <v>0</v>
      </c>
      <c r="BI47" s="214">
        <f t="shared" si="13"/>
        <v>0</v>
      </c>
      <c r="BJ47" s="215">
        <f t="shared" si="14"/>
        <v>0</v>
      </c>
      <c r="BK47" s="215">
        <f t="shared" si="15"/>
        <v>0</v>
      </c>
      <c r="BL47" s="216">
        <f t="shared" si="16"/>
        <v>0</v>
      </c>
      <c r="BM47" s="225">
        <f t="shared" si="17"/>
        <v>0</v>
      </c>
      <c r="BN47" s="225"/>
      <c r="BO47" s="234"/>
      <c r="BP47" s="218">
        <f t="shared" si="18"/>
        <v>0</v>
      </c>
    </row>
    <row r="48" spans="1:68">
      <c r="A48" s="170">
        <v>41</v>
      </c>
      <c r="B48" s="170" t="s">
        <v>151</v>
      </c>
      <c r="C48" s="200">
        <v>220</v>
      </c>
      <c r="D48" s="170" t="s">
        <v>168</v>
      </c>
      <c r="E48" s="170" t="s">
        <v>169</v>
      </c>
      <c r="F48" s="200">
        <f>VLOOKUP(PrévisionBoris[[#This Row],[Spec]],TabModelSpecs[[ModelSpec]:[Price]],2,FALSE)</f>
        <v>140</v>
      </c>
      <c r="G48" s="170" t="s">
        <v>462</v>
      </c>
      <c r="H48" s="219">
        <f>SUMIFS(LstMachines[Nbre],LstMachines[Model-Spec],PrévisionBoris[[#This Row],[Spec]],LstMachines[Status],PrévisionBoris[[#This Row],[Status]],LstMachines[MoisLivr],H$1)</f>
        <v>0</v>
      </c>
      <c r="I48" s="220">
        <f>SUMIFS(LstMachines[Nbre],LstMachines[Model-Spec],PrévisionBoris[[#This Row],[Spec]],LstMachines[Status],PrévisionBoris[[#This Row],[Status]],LstMachines[MoisLivr],I$1)</f>
        <v>0</v>
      </c>
      <c r="J48" s="221">
        <f>SUMIFS(LstMachines[Nbre],LstMachines[Model-Spec],PrévisionBoris[[#This Row],[Spec]],LstMachines[Status],PrévisionBoris[[#This Row],[Status]],LstMachines[MoisLivr],J$1)</f>
        <v>0</v>
      </c>
      <c r="K48" s="219">
        <f>SUMIFS(LstMachines[Nbre],LstMachines[Model-Spec],PrévisionBoris[[#This Row],[Spec]],LstMachines[Status],PrévisionBoris[[#This Row],[Status]],LstMachines[MoisLivr],K$1)</f>
        <v>0</v>
      </c>
      <c r="L48" s="220">
        <f>SUMIFS(LstMachines[Nbre],LstMachines[Model-Spec],PrévisionBoris[[#This Row],[Spec]],LstMachines[Status],PrévisionBoris[[#This Row],[Status]],LstMachines[MoisLivr],L$1)</f>
        <v>0</v>
      </c>
      <c r="M48" s="221">
        <f>SUMIFS(LstMachines[Nbre],LstMachines[Model-Spec],PrévisionBoris[[#This Row],[Spec]],LstMachines[Status],PrévisionBoris[[#This Row],[Status]],LstMachines[MoisLivr],M$1)</f>
        <v>0</v>
      </c>
      <c r="N48" s="219">
        <f>SUMIFS(LstMachines[Nbre],LstMachines[Model-Spec],PrévisionBoris[[#This Row],[Spec]],LstMachines[Status],PrévisionBoris[[#This Row],[Status]],LstMachines[MoisLivr],N$1)</f>
        <v>0</v>
      </c>
      <c r="O48" s="220">
        <f>SUMIFS(LstMachines[Nbre],LstMachines[Model-Spec],PrévisionBoris[[#This Row],[Spec]],LstMachines[Status],PrévisionBoris[[#This Row],[Status]],LstMachines[MoisLivr],O$1)</f>
        <v>0</v>
      </c>
      <c r="P48" s="221">
        <f>SUMIFS(LstMachines[Nbre],LstMachines[Model-Spec],PrévisionBoris[[#This Row],[Spec]],LstMachines[Status],PrévisionBoris[[#This Row],[Status]],LstMachines[MoisLivr],P$1)</f>
        <v>0</v>
      </c>
      <c r="Q48" s="222">
        <f>SUMIFS(LstMachines[Nbre],LstMachines[Model-Spec],PrévisionBoris[[#This Row],[Spec]],LstMachines[Status],PrévisionBoris[[#This Row],[Status]],LstMachines[MoisLivr],Q$1)</f>
        <v>0</v>
      </c>
      <c r="R48" s="220">
        <f>SUMIFS(LstMachines[Nbre],LstMachines[Model-Spec],PrévisionBoris[[#This Row],[Spec]],LstMachines[Status],PrévisionBoris[[#This Row],[Status]],LstMachines[MoisLivr],R$1)</f>
        <v>0</v>
      </c>
      <c r="S48" s="220">
        <f>SUMIFS(LstMachines[Nbre],LstMachines[Model-Spec],PrévisionBoris[[#This Row],[Spec]],LstMachines[Status],PrévisionBoris[[#This Row],[Status]],LstMachines[MoisLivr],S$1)</f>
        <v>0</v>
      </c>
      <c r="T48" s="219">
        <f>SUMIFS(LstMachines[Nbre],LstMachines[Model-Spec],PrévisionBoris[[#This Row],[Spec]],LstMachines[Status],PrévisionBoris[[#This Row],[Status]],LstMachines[MoisLivr],T$1)</f>
        <v>0</v>
      </c>
      <c r="U48" s="220">
        <f>SUMIFS(LstMachines[Nbre],LstMachines[Model-Spec],PrévisionBoris[[#This Row],[Spec]],LstMachines[Status],PrévisionBoris[[#This Row],[Status]],LstMachines[MoisLivr],U$1)</f>
        <v>0</v>
      </c>
      <c r="V48" s="220">
        <f>SUMIFS(LstMachines[Nbre],LstMachines[Model-Spec],PrévisionBoris[[#This Row],[Spec]],LstMachines[Status],PrévisionBoris[[#This Row],[Status]],LstMachines[MoisLivr],V$1)</f>
        <v>0</v>
      </c>
      <c r="W48" s="219">
        <f>SUMIFS(LstMachines[Nbre],LstMachines[Model-Spec],PrévisionBoris[[#This Row],[Spec]],LstMachines[Status],PrévisionBoris[[#This Row],[Status]],LstMachines[MoisLivr],W$1)</f>
        <v>0</v>
      </c>
      <c r="X48" s="220">
        <f>SUMIFS(LstMachines[Nbre],LstMachines[Model-Spec],PrévisionBoris[[#This Row],[Spec]],LstMachines[Status],PrévisionBoris[[#This Row],[Status]],LstMachines[MoisLivr],X$1)</f>
        <v>0</v>
      </c>
      <c r="Y48" s="220">
        <f>SUMIFS(LstMachines[Nbre],LstMachines[Model-Spec],PrévisionBoris[[#This Row],[Spec]],LstMachines[Status],PrévisionBoris[[#This Row],[Status]],LstMachines[MoisLivr],Y$1)</f>
        <v>0</v>
      </c>
      <c r="Z48" s="219">
        <f>SUMIFS(LstMachines[Nbre],LstMachines[Model-Spec],PrévisionBoris[[#This Row],[Spec]],LstMachines[Status],PrévisionBoris[[#This Row],[Status]],LstMachines[MoisLivr],Z$1)</f>
        <v>0</v>
      </c>
      <c r="AA48" s="220">
        <f>SUMIFS(LstMachines[Nbre],LstMachines[Model-Spec],PrévisionBoris[[#This Row],[Spec]],LstMachines[Status],PrévisionBoris[[#This Row],[Status]],LstMachines[MoisLivr],AA$1)</f>
        <v>0</v>
      </c>
      <c r="AB48" s="220">
        <f>SUMIFS(LstMachines[Nbre],LstMachines[Model-Spec],PrévisionBoris[[#This Row],[Spec]],LstMachines[Status],PrévisionBoris[[#This Row],[Status]],LstMachines[MoisLivr],AB$1)</f>
        <v>0</v>
      </c>
      <c r="AC48" s="219">
        <f>SUMIFS(LstMachines[Nbre],LstMachines[Model-Spec],PrévisionBoris[[#This Row],[Spec]],LstMachines[Status],PrévisionBoris[[#This Row],[Status]],LstMachines[MoisLivr],AC$1)</f>
        <v>0</v>
      </c>
      <c r="AD48" s="220">
        <f>SUMIFS(LstMachines[Nbre],LstMachines[Model-Spec],PrévisionBoris[[#This Row],[Spec]],LstMachines[Status],PrévisionBoris[[#This Row],[Status]],LstMachines[MoisLivr],AD$1)</f>
        <v>0</v>
      </c>
      <c r="AE48" s="220">
        <f>SUMIFS(LstMachines[Nbre],LstMachines[Model-Spec],PrévisionBoris[[#This Row],[Spec]],LstMachines[Status],PrévisionBoris[[#This Row],[Status]],LstMachines[MoisLivr],AE$1)</f>
        <v>0</v>
      </c>
      <c r="AF48" s="219">
        <f>SUMIFS(LstMachines[Nbre],LstMachines[Model-Spec],PrévisionBoris[[#This Row],[Spec]],LstMachines[Status],PrévisionBoris[[#This Row],[Status]],LstMachines[MoisLivr],AF$1)</f>
        <v>0</v>
      </c>
      <c r="AG48" s="220">
        <f>SUMIFS(LstMachines[Nbre],LstMachines[Model-Spec],PrévisionBoris[[#This Row],[Spec]],LstMachines[Status],PrévisionBoris[[#This Row],[Status]],LstMachines[MoisLivr],AG$1)</f>
        <v>0</v>
      </c>
      <c r="AH48" s="220">
        <f>SUMIFS(LstMachines[Nbre],LstMachines[Model-Spec],PrévisionBoris[[#This Row],[Spec]],LstMachines[Status],PrévisionBoris[[#This Row],[Status]],LstMachines[MoisLivr],AH$1)</f>
        <v>0</v>
      </c>
      <c r="AI48" s="219">
        <f>SUMIFS(LstMachines[Nbre],LstMachines[Model-Spec],PrévisionBoris[[#This Row],[Spec]],LstMachines[Status],PrévisionBoris[[#This Row],[Status]],LstMachines[MoisLivr],AI$1)</f>
        <v>0</v>
      </c>
      <c r="AJ48" s="220">
        <f>SUMIFS(LstMachines[Nbre],LstMachines[Model-Spec],PrévisionBoris[[#This Row],[Spec]],LstMachines[Status],PrévisionBoris[[#This Row],[Status]],LstMachines[MoisLivr],AJ$1)</f>
        <v>0</v>
      </c>
      <c r="AK48" s="220">
        <f>SUMIFS(LstMachines[Nbre],LstMachines[Model-Spec],PrévisionBoris[[#This Row],[Spec]],LstMachines[Status],PrévisionBoris[[#This Row],[Status]],LstMachines[MoisLivr],AK$1)</f>
        <v>0</v>
      </c>
      <c r="AL48" s="219">
        <f>SUMIFS(LstMachines[Nbre],LstMachines[Model-Spec],PrévisionBoris[[#This Row],[Spec]],LstMachines[Status],PrévisionBoris[[#This Row],[Status]],LstMachines[MoisLivr],AL$1)</f>
        <v>0</v>
      </c>
      <c r="AM48" s="220">
        <f>SUMIFS(LstMachines[Nbre],LstMachines[Model-Spec],PrévisionBoris[[#This Row],[Spec]],LstMachines[Status],PrévisionBoris[[#This Row],[Status]],LstMachines[MoisLivr],AM$1)</f>
        <v>0</v>
      </c>
      <c r="AN48" s="220">
        <f>SUMIFS(LstMachines[Nbre],LstMachines[Model-Spec],PrévisionBoris[[#This Row],[Spec]],LstMachines[Status],PrévisionBoris[[#This Row],[Status]],LstMachines[MoisLivr],AN$1)</f>
        <v>0</v>
      </c>
      <c r="AO48" s="219">
        <f>SUMIFS(LstMachines[Nbre],LstMachines[Model-Spec],PrévisionBoris[[#This Row],[Spec]],LstMachines[Status],PrévisionBoris[[#This Row],[Status]],LstMachines[MoisLivr],AO$1)</f>
        <v>0</v>
      </c>
      <c r="AP48" s="220">
        <f>SUMIFS(LstMachines[Nbre],LstMachines[Model-Spec],PrévisionBoris[[#This Row],[Spec]],LstMachines[Status],PrévisionBoris[[#This Row],[Status]],LstMachines[MoisLivr],AP$1)</f>
        <v>0</v>
      </c>
      <c r="AQ48" s="220">
        <f>SUMIFS(LstMachines[Nbre],LstMachines[Model-Spec],PrévisionBoris[[#This Row],[Spec]],LstMachines[Status],PrévisionBoris[[#This Row],[Status]],LstMachines[MoisLivr],AQ$1)</f>
        <v>0</v>
      </c>
      <c r="AR48" s="219">
        <f>SUMIFS(LstMachines[Nbre],LstMachines[Model-Spec],PrévisionBoris[[#This Row],[Spec]],LstMachines[Status],PrévisionBoris[[#This Row],[Status]],LstMachines[MoisLivr],AR$1)</f>
        <v>0</v>
      </c>
      <c r="AS48" s="220">
        <f>SUMIFS(LstMachines[Nbre],LstMachines[Model-Spec],PrévisionBoris[[#This Row],[Spec]],LstMachines[Status],PrévisionBoris[[#This Row],[Status]],LstMachines[MoisLivr],AS$1)</f>
        <v>0</v>
      </c>
      <c r="AT48" s="220">
        <f>SUMIFS(LstMachines[Nbre],LstMachines[Model-Spec],PrévisionBoris[[#This Row],[Spec]],LstMachines[Status],PrévisionBoris[[#This Row],[Status]],LstMachines[MoisLivr],AT$1)</f>
        <v>0</v>
      </c>
      <c r="AU48" s="219">
        <f>SUMIFS(LstMachines[Nbre],LstMachines[Model-Spec],PrévisionBoris[[#This Row],[Spec]],LstMachines[Status],PrévisionBoris[[#This Row],[Status]],LstMachines[MoisLivr],AU$1)</f>
        <v>0</v>
      </c>
      <c r="AV48" s="223">
        <f>SUMIFS(LstMachines[Nbre],LstMachines[Model-Spec],PrévisionBoris[[#This Row],[Spec]],LstMachines[Status],PrévisionBoris[[#This Row],[Status]],LstMachines[MoisLivr],AV$1)</f>
        <v>0</v>
      </c>
      <c r="AW48" s="224">
        <f>SUMIFS(LstMachines[Nbre],LstMachines[Model-Spec],PrévisionBoris[[#This Row],[Spec]],LstMachines[Status],PrévisionBoris[[#This Row],[Status]],LstMachines[MoisLivr],AW$1)</f>
        <v>0</v>
      </c>
      <c r="AX48" s="210"/>
      <c r="AY48" s="211">
        <f t="shared" si="3"/>
        <v>0</v>
      </c>
      <c r="AZ48" s="212">
        <f t="shared" si="4"/>
        <v>0</v>
      </c>
      <c r="BA48" s="212">
        <f t="shared" si="5"/>
        <v>0</v>
      </c>
      <c r="BB48" s="213">
        <f t="shared" si="6"/>
        <v>0</v>
      </c>
      <c r="BC48" s="225">
        <f t="shared" si="7"/>
        <v>0</v>
      </c>
      <c r="BD48" s="211">
        <f t="shared" si="8"/>
        <v>0</v>
      </c>
      <c r="BE48" s="212">
        <f t="shared" si="9"/>
        <v>0</v>
      </c>
      <c r="BF48" s="212">
        <f t="shared" si="10"/>
        <v>0</v>
      </c>
      <c r="BG48" s="213">
        <f t="shared" si="11"/>
        <v>0</v>
      </c>
      <c r="BH48" s="225">
        <f t="shared" si="12"/>
        <v>0</v>
      </c>
      <c r="BI48" s="214">
        <f t="shared" si="13"/>
        <v>0</v>
      </c>
      <c r="BJ48" s="215">
        <f t="shared" si="14"/>
        <v>0</v>
      </c>
      <c r="BK48" s="215">
        <f t="shared" si="15"/>
        <v>0</v>
      </c>
      <c r="BL48" s="216">
        <f t="shared" si="16"/>
        <v>0</v>
      </c>
      <c r="BM48" s="225">
        <f t="shared" si="17"/>
        <v>0</v>
      </c>
      <c r="BN48" s="225"/>
      <c r="BO48" s="217"/>
      <c r="BP48" s="218">
        <f t="shared" si="18"/>
        <v>0</v>
      </c>
    </row>
    <row r="49" spans="1:68">
      <c r="A49" s="171">
        <v>42</v>
      </c>
      <c r="B49" s="171" t="s">
        <v>151</v>
      </c>
      <c r="C49" s="201">
        <v>220</v>
      </c>
      <c r="D49" s="171" t="s">
        <v>168</v>
      </c>
      <c r="E49" s="171" t="s">
        <v>169</v>
      </c>
      <c r="F49" s="201">
        <f>VLOOKUP(PrévisionBoris[[#This Row],[Spec]],TabModelSpecs[[ModelSpec]:[Price]],2,FALSE)</f>
        <v>140</v>
      </c>
      <c r="G49" s="171" t="s">
        <v>463</v>
      </c>
      <c r="H49" s="226">
        <f>SUMIFS(LstMachines[Nbre],LstMachines[Model-Spec],PrévisionBoris[[#This Row],[Spec]],LstMachines[Status],PrévisionBoris[[#This Row],[Status]],LstMachines[MoisLivr],H$1)</f>
        <v>0</v>
      </c>
      <c r="I49" s="227">
        <f>SUMIFS(LstMachines[Nbre],LstMachines[Model-Spec],PrévisionBoris[[#This Row],[Spec]],LstMachines[Status],PrévisionBoris[[#This Row],[Status]],LstMachines[MoisLivr],I$1)</f>
        <v>0</v>
      </c>
      <c r="J49" s="228">
        <f>SUMIFS(LstMachines[Nbre],LstMachines[Model-Spec],PrévisionBoris[[#This Row],[Spec]],LstMachines[Status],PrévisionBoris[[#This Row],[Status]],LstMachines[MoisLivr],J$1)</f>
        <v>0</v>
      </c>
      <c r="K49" s="226">
        <f>SUMIFS(LstMachines[Nbre],LstMachines[Model-Spec],PrévisionBoris[[#This Row],[Spec]],LstMachines[Status],PrévisionBoris[[#This Row],[Status]],LstMachines[MoisLivr],K$1)</f>
        <v>0</v>
      </c>
      <c r="L49" s="227">
        <f>SUMIFS(LstMachines[Nbre],LstMachines[Model-Spec],PrévisionBoris[[#This Row],[Spec]],LstMachines[Status],PrévisionBoris[[#This Row],[Status]],LstMachines[MoisLivr],L$1)</f>
        <v>0</v>
      </c>
      <c r="M49" s="228">
        <f>SUMIFS(LstMachines[Nbre],LstMachines[Model-Spec],PrévisionBoris[[#This Row],[Spec]],LstMachines[Status],PrévisionBoris[[#This Row],[Status]],LstMachines[MoisLivr],M$1)</f>
        <v>0</v>
      </c>
      <c r="N49" s="226">
        <f>SUMIFS(LstMachines[Nbre],LstMachines[Model-Spec],PrévisionBoris[[#This Row],[Spec]],LstMachines[Status],PrévisionBoris[[#This Row],[Status]],LstMachines[MoisLivr],N$1)</f>
        <v>0</v>
      </c>
      <c r="O49" s="227">
        <f>SUMIFS(LstMachines[Nbre],LstMachines[Model-Spec],PrévisionBoris[[#This Row],[Spec]],LstMachines[Status],PrévisionBoris[[#This Row],[Status]],LstMachines[MoisLivr],O$1)</f>
        <v>0</v>
      </c>
      <c r="P49" s="228">
        <f>SUMIFS(LstMachines[Nbre],LstMachines[Model-Spec],PrévisionBoris[[#This Row],[Spec]],LstMachines[Status],PrévisionBoris[[#This Row],[Status]],LstMachines[MoisLivr],P$1)</f>
        <v>0</v>
      </c>
      <c r="Q49" s="229">
        <f>SUMIFS(LstMachines[Nbre],LstMachines[Model-Spec],PrévisionBoris[[#This Row],[Spec]],LstMachines[Status],PrévisionBoris[[#This Row],[Status]],LstMachines[MoisLivr],Q$1)</f>
        <v>0</v>
      </c>
      <c r="R49" s="227">
        <f>SUMIFS(LstMachines[Nbre],LstMachines[Model-Spec],PrévisionBoris[[#This Row],[Spec]],LstMachines[Status],PrévisionBoris[[#This Row],[Status]],LstMachines[MoisLivr],R$1)</f>
        <v>0</v>
      </c>
      <c r="S49" s="227">
        <f>SUMIFS(LstMachines[Nbre],LstMachines[Model-Spec],PrévisionBoris[[#This Row],[Spec]],LstMachines[Status],PrévisionBoris[[#This Row],[Status]],LstMachines[MoisLivr],S$1)</f>
        <v>0</v>
      </c>
      <c r="T49" s="226">
        <f>SUMIFS(LstMachines[Nbre],LstMachines[Model-Spec],PrévisionBoris[[#This Row],[Spec]],LstMachines[Status],PrévisionBoris[[#This Row],[Status]],LstMachines[MoisLivr],T$1)</f>
        <v>0</v>
      </c>
      <c r="U49" s="227">
        <f>SUMIFS(LstMachines[Nbre],LstMachines[Model-Spec],PrévisionBoris[[#This Row],[Spec]],LstMachines[Status],PrévisionBoris[[#This Row],[Status]],LstMachines[MoisLivr],U$1)</f>
        <v>0</v>
      </c>
      <c r="V49" s="227">
        <f>SUMIFS(LstMachines[Nbre],LstMachines[Model-Spec],PrévisionBoris[[#This Row],[Spec]],LstMachines[Status],PrévisionBoris[[#This Row],[Status]],LstMachines[MoisLivr],V$1)</f>
        <v>0</v>
      </c>
      <c r="W49" s="226">
        <f>SUMIFS(LstMachines[Nbre],LstMachines[Model-Spec],PrévisionBoris[[#This Row],[Spec]],LstMachines[Status],PrévisionBoris[[#This Row],[Status]],LstMachines[MoisLivr],W$1)</f>
        <v>0</v>
      </c>
      <c r="X49" s="227">
        <f>SUMIFS(LstMachines[Nbre],LstMachines[Model-Spec],PrévisionBoris[[#This Row],[Spec]],LstMachines[Status],PrévisionBoris[[#This Row],[Status]],LstMachines[MoisLivr],X$1)</f>
        <v>0</v>
      </c>
      <c r="Y49" s="227">
        <f>SUMIFS(LstMachines[Nbre],LstMachines[Model-Spec],PrévisionBoris[[#This Row],[Spec]],LstMachines[Status],PrévisionBoris[[#This Row],[Status]],LstMachines[MoisLivr],Y$1)</f>
        <v>0</v>
      </c>
      <c r="Z49" s="226">
        <f>SUMIFS(LstMachines[Nbre],LstMachines[Model-Spec],PrévisionBoris[[#This Row],[Spec]],LstMachines[Status],PrévisionBoris[[#This Row],[Status]],LstMachines[MoisLivr],Z$1)</f>
        <v>0</v>
      </c>
      <c r="AA49" s="227">
        <f>SUMIFS(LstMachines[Nbre],LstMachines[Model-Spec],PrévisionBoris[[#This Row],[Spec]],LstMachines[Status],PrévisionBoris[[#This Row],[Status]],LstMachines[MoisLivr],AA$1)</f>
        <v>0</v>
      </c>
      <c r="AB49" s="227">
        <f>SUMIFS(LstMachines[Nbre],LstMachines[Model-Spec],PrévisionBoris[[#This Row],[Spec]],LstMachines[Status],PrévisionBoris[[#This Row],[Status]],LstMachines[MoisLivr],AB$1)</f>
        <v>0</v>
      </c>
      <c r="AC49" s="226">
        <f>SUMIFS(LstMachines[Nbre],LstMachines[Model-Spec],PrévisionBoris[[#This Row],[Spec]],LstMachines[Status],PrévisionBoris[[#This Row],[Status]],LstMachines[MoisLivr],AC$1)</f>
        <v>0</v>
      </c>
      <c r="AD49" s="227">
        <f>SUMIFS(LstMachines[Nbre],LstMachines[Model-Spec],PrévisionBoris[[#This Row],[Spec]],LstMachines[Status],PrévisionBoris[[#This Row],[Status]],LstMachines[MoisLivr],AD$1)</f>
        <v>0</v>
      </c>
      <c r="AE49" s="227">
        <f>SUMIFS(LstMachines[Nbre],LstMachines[Model-Spec],PrévisionBoris[[#This Row],[Spec]],LstMachines[Status],PrévisionBoris[[#This Row],[Status]],LstMachines[MoisLivr],AE$1)</f>
        <v>0</v>
      </c>
      <c r="AF49" s="226">
        <f>SUMIFS(LstMachines[Nbre],LstMachines[Model-Spec],PrévisionBoris[[#This Row],[Spec]],LstMachines[Status],PrévisionBoris[[#This Row],[Status]],LstMachines[MoisLivr],AF$1)</f>
        <v>0</v>
      </c>
      <c r="AG49" s="227">
        <f>SUMIFS(LstMachines[Nbre],LstMachines[Model-Spec],PrévisionBoris[[#This Row],[Spec]],LstMachines[Status],PrévisionBoris[[#This Row],[Status]],LstMachines[MoisLivr],AG$1)</f>
        <v>0</v>
      </c>
      <c r="AH49" s="227">
        <f>SUMIFS(LstMachines[Nbre],LstMachines[Model-Spec],PrévisionBoris[[#This Row],[Spec]],LstMachines[Status],PrévisionBoris[[#This Row],[Status]],LstMachines[MoisLivr],AH$1)</f>
        <v>0</v>
      </c>
      <c r="AI49" s="226">
        <f>SUMIFS(LstMachines[Nbre],LstMachines[Model-Spec],PrévisionBoris[[#This Row],[Spec]],LstMachines[Status],PrévisionBoris[[#This Row],[Status]],LstMachines[MoisLivr],AI$1)</f>
        <v>0</v>
      </c>
      <c r="AJ49" s="227">
        <f>SUMIFS(LstMachines[Nbre],LstMachines[Model-Spec],PrévisionBoris[[#This Row],[Spec]],LstMachines[Status],PrévisionBoris[[#This Row],[Status]],LstMachines[MoisLivr],AJ$1)</f>
        <v>0</v>
      </c>
      <c r="AK49" s="227">
        <f>SUMIFS(LstMachines[Nbre],LstMachines[Model-Spec],PrévisionBoris[[#This Row],[Spec]],LstMachines[Status],PrévisionBoris[[#This Row],[Status]],LstMachines[MoisLivr],AK$1)</f>
        <v>0</v>
      </c>
      <c r="AL49" s="226">
        <f>SUMIFS(LstMachines[Nbre],LstMachines[Model-Spec],PrévisionBoris[[#This Row],[Spec]],LstMachines[Status],PrévisionBoris[[#This Row],[Status]],LstMachines[MoisLivr],AL$1)</f>
        <v>0</v>
      </c>
      <c r="AM49" s="227">
        <f>SUMIFS(LstMachines[Nbre],LstMachines[Model-Spec],PrévisionBoris[[#This Row],[Spec]],LstMachines[Status],PrévisionBoris[[#This Row],[Status]],LstMachines[MoisLivr],AM$1)</f>
        <v>0</v>
      </c>
      <c r="AN49" s="227">
        <f>SUMIFS(LstMachines[Nbre],LstMachines[Model-Spec],PrévisionBoris[[#This Row],[Spec]],LstMachines[Status],PrévisionBoris[[#This Row],[Status]],LstMachines[MoisLivr],AN$1)</f>
        <v>0</v>
      </c>
      <c r="AO49" s="226">
        <f>SUMIFS(LstMachines[Nbre],LstMachines[Model-Spec],PrévisionBoris[[#This Row],[Spec]],LstMachines[Status],PrévisionBoris[[#This Row],[Status]],LstMachines[MoisLivr],AO$1)</f>
        <v>0</v>
      </c>
      <c r="AP49" s="227">
        <f>SUMIFS(LstMachines[Nbre],LstMachines[Model-Spec],PrévisionBoris[[#This Row],[Spec]],LstMachines[Status],PrévisionBoris[[#This Row],[Status]],LstMachines[MoisLivr],AP$1)</f>
        <v>0</v>
      </c>
      <c r="AQ49" s="227">
        <f>SUMIFS(LstMachines[Nbre],LstMachines[Model-Spec],PrévisionBoris[[#This Row],[Spec]],LstMachines[Status],PrévisionBoris[[#This Row],[Status]],LstMachines[MoisLivr],AQ$1)</f>
        <v>0</v>
      </c>
      <c r="AR49" s="226">
        <f>SUMIFS(LstMachines[Nbre],LstMachines[Model-Spec],PrévisionBoris[[#This Row],[Spec]],LstMachines[Status],PrévisionBoris[[#This Row],[Status]],LstMachines[MoisLivr],AR$1)</f>
        <v>0</v>
      </c>
      <c r="AS49" s="227">
        <f>SUMIFS(LstMachines[Nbre],LstMachines[Model-Spec],PrévisionBoris[[#This Row],[Spec]],LstMachines[Status],PrévisionBoris[[#This Row],[Status]],LstMachines[MoisLivr],AS$1)</f>
        <v>0</v>
      </c>
      <c r="AT49" s="227">
        <f>SUMIFS(LstMachines[Nbre],LstMachines[Model-Spec],PrévisionBoris[[#This Row],[Spec]],LstMachines[Status],PrévisionBoris[[#This Row],[Status]],LstMachines[MoisLivr],AT$1)</f>
        <v>0</v>
      </c>
      <c r="AU49" s="226">
        <f>SUMIFS(LstMachines[Nbre],LstMachines[Model-Spec],PrévisionBoris[[#This Row],[Spec]],LstMachines[Status],PrévisionBoris[[#This Row],[Status]],LstMachines[MoisLivr],AU$1)</f>
        <v>0</v>
      </c>
      <c r="AV49" s="230">
        <f>SUMIFS(LstMachines[Nbre],LstMachines[Model-Spec],PrévisionBoris[[#This Row],[Spec]],LstMachines[Status],PrévisionBoris[[#This Row],[Status]],LstMachines[MoisLivr],AV$1)</f>
        <v>0</v>
      </c>
      <c r="AW49" s="231">
        <f>SUMIFS(LstMachines[Nbre],LstMachines[Model-Spec],PrévisionBoris[[#This Row],[Spec]],LstMachines[Status],PrévisionBoris[[#This Row],[Status]],LstMachines[MoisLivr],AW$1)</f>
        <v>0</v>
      </c>
      <c r="AX49" s="232"/>
      <c r="AY49" s="211">
        <f t="shared" si="3"/>
        <v>0</v>
      </c>
      <c r="AZ49" s="212">
        <f t="shared" si="4"/>
        <v>0</v>
      </c>
      <c r="BA49" s="212">
        <f t="shared" si="5"/>
        <v>0</v>
      </c>
      <c r="BB49" s="213">
        <f t="shared" si="6"/>
        <v>0</v>
      </c>
      <c r="BC49" s="225">
        <f t="shared" si="7"/>
        <v>0</v>
      </c>
      <c r="BD49" s="211">
        <f t="shared" si="8"/>
        <v>0</v>
      </c>
      <c r="BE49" s="212">
        <f t="shared" si="9"/>
        <v>0</v>
      </c>
      <c r="BF49" s="212">
        <f t="shared" si="10"/>
        <v>0</v>
      </c>
      <c r="BG49" s="213">
        <f t="shared" si="11"/>
        <v>0</v>
      </c>
      <c r="BH49" s="225">
        <f t="shared" si="12"/>
        <v>0</v>
      </c>
      <c r="BI49" s="214">
        <f t="shared" si="13"/>
        <v>0</v>
      </c>
      <c r="BJ49" s="215">
        <f t="shared" si="14"/>
        <v>0</v>
      </c>
      <c r="BK49" s="215">
        <f t="shared" si="15"/>
        <v>0</v>
      </c>
      <c r="BL49" s="216">
        <f t="shared" si="16"/>
        <v>0</v>
      </c>
      <c r="BM49" s="225">
        <f t="shared" si="17"/>
        <v>0</v>
      </c>
      <c r="BN49" s="225"/>
      <c r="BO49" s="217"/>
      <c r="BP49" s="218">
        <f t="shared" si="18"/>
        <v>0</v>
      </c>
    </row>
    <row r="50" spans="1:68">
      <c r="A50" s="172">
        <v>43</v>
      </c>
      <c r="B50" s="172" t="s">
        <v>151</v>
      </c>
      <c r="C50" s="202">
        <v>220</v>
      </c>
      <c r="D50" s="172" t="s">
        <v>168</v>
      </c>
      <c r="E50" s="172" t="s">
        <v>170</v>
      </c>
      <c r="F50" s="202">
        <f>VLOOKUP(PrévisionBoris[[#This Row],[Spec]],TabModelSpecs[[ModelSpec]:[Price]],2,FALSE)</f>
        <v>140</v>
      </c>
      <c r="G50" s="172" t="s">
        <v>461</v>
      </c>
      <c r="H50" s="206">
        <f>SUMIFS(LstMachines[Nbre],LstMachines[Model-Spec],PrévisionBoris[[#This Row],[Spec]],LstMachines[Status],PrévisionBoris[[#This Row],[Status]],LstMachines[MoisLivr],H$1)</f>
        <v>0</v>
      </c>
      <c r="I50" s="207">
        <f>SUMIFS(LstMachines[Nbre],LstMachines[Model-Spec],PrévisionBoris[[#This Row],[Spec]],LstMachines[Status],PrévisionBoris[[#This Row],[Status]],LstMachines[MoisLivr],I$1)</f>
        <v>0</v>
      </c>
      <c r="J50" s="208">
        <f>SUMIFS(LstMachines[Nbre],LstMachines[Model-Spec],PrévisionBoris[[#This Row],[Spec]],LstMachines[Status],PrévisionBoris[[#This Row],[Status]],LstMachines[MoisLivr],J$1)</f>
        <v>0</v>
      </c>
      <c r="K50" s="206">
        <f>SUMIFS(LstMachines[Nbre],LstMachines[Model-Spec],PrévisionBoris[[#This Row],[Spec]],LstMachines[Status],PrévisionBoris[[#This Row],[Status]],LstMachines[MoisLivr],K$1)</f>
        <v>0</v>
      </c>
      <c r="L50" s="207">
        <f>SUMIFS(LstMachines[Nbre],LstMachines[Model-Spec],PrévisionBoris[[#This Row],[Spec]],LstMachines[Status],PrévisionBoris[[#This Row],[Status]],LstMachines[MoisLivr],L$1)</f>
        <v>0</v>
      </c>
      <c r="M50" s="208">
        <f>SUMIFS(LstMachines[Nbre],LstMachines[Model-Spec],PrévisionBoris[[#This Row],[Spec]],LstMachines[Status],PrévisionBoris[[#This Row],[Status]],LstMachines[MoisLivr],M$1)</f>
        <v>0</v>
      </c>
      <c r="N50" s="206">
        <f>SUMIFS(LstMachines[Nbre],LstMachines[Model-Spec],PrévisionBoris[[#This Row],[Spec]],LstMachines[Status],PrévisionBoris[[#This Row],[Status]],LstMachines[MoisLivr],N$1)</f>
        <v>0</v>
      </c>
      <c r="O50" s="207">
        <f>SUMIFS(LstMachines[Nbre],LstMachines[Model-Spec],PrévisionBoris[[#This Row],[Spec]],LstMachines[Status],PrévisionBoris[[#This Row],[Status]],LstMachines[MoisLivr],O$1)</f>
        <v>0</v>
      </c>
      <c r="P50" s="208">
        <f>SUMIFS(LstMachines[Nbre],LstMachines[Model-Spec],PrévisionBoris[[#This Row],[Spec]],LstMachines[Status],PrévisionBoris[[#This Row],[Status]],LstMachines[MoisLivr],P$1)</f>
        <v>0</v>
      </c>
      <c r="Q50" s="209">
        <f>SUMIFS(LstMachines[Nbre],LstMachines[Model-Spec],PrévisionBoris[[#This Row],[Spec]],LstMachines[Status],PrévisionBoris[[#This Row],[Status]],LstMachines[MoisLivr],Q$1)</f>
        <v>0</v>
      </c>
      <c r="R50" s="207">
        <f>SUMIFS(LstMachines[Nbre],LstMachines[Model-Spec],PrévisionBoris[[#This Row],[Spec]],LstMachines[Status],PrévisionBoris[[#This Row],[Status]],LstMachines[MoisLivr],R$1)</f>
        <v>0</v>
      </c>
      <c r="S50" s="207">
        <f>SUMIFS(LstMachines[Nbre],LstMachines[Model-Spec],PrévisionBoris[[#This Row],[Spec]],LstMachines[Status],PrévisionBoris[[#This Row],[Status]],LstMachines[MoisLivr],S$1)</f>
        <v>0</v>
      </c>
      <c r="T50" s="206">
        <f>SUMIFS(LstMachines[Nbre],LstMachines[Model-Spec],PrévisionBoris[[#This Row],[Spec]],LstMachines[Status],PrévisionBoris[[#This Row],[Status]],LstMachines[MoisLivr],T$1)</f>
        <v>0</v>
      </c>
      <c r="U50" s="207">
        <f>SUMIFS(LstMachines[Nbre],LstMachines[Model-Spec],PrévisionBoris[[#This Row],[Spec]],LstMachines[Status],PrévisionBoris[[#This Row],[Status]],LstMachines[MoisLivr],U$1)</f>
        <v>0</v>
      </c>
      <c r="V50" s="207">
        <f>SUMIFS(LstMachines[Nbre],LstMachines[Model-Spec],PrévisionBoris[[#This Row],[Spec]],LstMachines[Status],PrévisionBoris[[#This Row],[Status]],LstMachines[MoisLivr],V$1)</f>
        <v>0</v>
      </c>
      <c r="W50" s="206">
        <f>SUMIFS(LstMachines[Nbre],LstMachines[Model-Spec],PrévisionBoris[[#This Row],[Spec]],LstMachines[Status],PrévisionBoris[[#This Row],[Status]],LstMachines[MoisLivr],W$1)</f>
        <v>0</v>
      </c>
      <c r="X50" s="207">
        <f>SUMIFS(LstMachines[Nbre],LstMachines[Model-Spec],PrévisionBoris[[#This Row],[Spec]],LstMachines[Status],PrévisionBoris[[#This Row],[Status]],LstMachines[MoisLivr],X$1)</f>
        <v>0</v>
      </c>
      <c r="Y50" s="207">
        <f>SUMIFS(LstMachines[Nbre],LstMachines[Model-Spec],PrévisionBoris[[#This Row],[Spec]],LstMachines[Status],PrévisionBoris[[#This Row],[Status]],LstMachines[MoisLivr],Y$1)</f>
        <v>0</v>
      </c>
      <c r="Z50" s="206">
        <f>SUMIFS(LstMachines[Nbre],LstMachines[Model-Spec],PrévisionBoris[[#This Row],[Spec]],LstMachines[Status],PrévisionBoris[[#This Row],[Status]],LstMachines[MoisLivr],Z$1)</f>
        <v>0</v>
      </c>
      <c r="AA50" s="207">
        <f>SUMIFS(LstMachines[Nbre],LstMachines[Model-Spec],PrévisionBoris[[#This Row],[Spec]],LstMachines[Status],PrévisionBoris[[#This Row],[Status]],LstMachines[MoisLivr],AA$1)</f>
        <v>0</v>
      </c>
      <c r="AB50" s="207">
        <f>SUMIFS(LstMachines[Nbre],LstMachines[Model-Spec],PrévisionBoris[[#This Row],[Spec]],LstMachines[Status],PrévisionBoris[[#This Row],[Status]],LstMachines[MoisLivr],AB$1)</f>
        <v>0</v>
      </c>
      <c r="AC50" s="206">
        <f>SUMIFS(LstMachines[Nbre],LstMachines[Model-Spec],PrévisionBoris[[#This Row],[Spec]],LstMachines[Status],PrévisionBoris[[#This Row],[Status]],LstMachines[MoisLivr],AC$1)</f>
        <v>0</v>
      </c>
      <c r="AD50" s="207">
        <f>SUMIFS(LstMachines[Nbre],LstMachines[Model-Spec],PrévisionBoris[[#This Row],[Spec]],LstMachines[Status],PrévisionBoris[[#This Row],[Status]],LstMachines[MoisLivr],AD$1)</f>
        <v>0</v>
      </c>
      <c r="AE50" s="207">
        <f>SUMIFS(LstMachines[Nbre],LstMachines[Model-Spec],PrévisionBoris[[#This Row],[Spec]],LstMachines[Status],PrévisionBoris[[#This Row],[Status]],LstMachines[MoisLivr],AE$1)</f>
        <v>0</v>
      </c>
      <c r="AF50" s="206">
        <f>SUMIFS(LstMachines[Nbre],LstMachines[Model-Spec],PrévisionBoris[[#This Row],[Spec]],LstMachines[Status],PrévisionBoris[[#This Row],[Status]],LstMachines[MoisLivr],AF$1)</f>
        <v>0</v>
      </c>
      <c r="AG50" s="207">
        <f>SUMIFS(LstMachines[Nbre],LstMachines[Model-Spec],PrévisionBoris[[#This Row],[Spec]],LstMachines[Status],PrévisionBoris[[#This Row],[Status]],LstMachines[MoisLivr],AG$1)</f>
        <v>0</v>
      </c>
      <c r="AH50" s="207">
        <f>SUMIFS(LstMachines[Nbre],LstMachines[Model-Spec],PrévisionBoris[[#This Row],[Spec]],LstMachines[Status],PrévisionBoris[[#This Row],[Status]],LstMachines[MoisLivr],AH$1)</f>
        <v>0</v>
      </c>
      <c r="AI50" s="206">
        <f>SUMIFS(LstMachines[Nbre],LstMachines[Model-Spec],PrévisionBoris[[#This Row],[Spec]],LstMachines[Status],PrévisionBoris[[#This Row],[Status]],LstMachines[MoisLivr],AI$1)</f>
        <v>0</v>
      </c>
      <c r="AJ50" s="207">
        <f>SUMIFS(LstMachines[Nbre],LstMachines[Model-Spec],PrévisionBoris[[#This Row],[Spec]],LstMachines[Status],PrévisionBoris[[#This Row],[Status]],LstMachines[MoisLivr],AJ$1)</f>
        <v>0</v>
      </c>
      <c r="AK50" s="207">
        <f>SUMIFS(LstMachines[Nbre],LstMachines[Model-Spec],PrévisionBoris[[#This Row],[Spec]],LstMachines[Status],PrévisionBoris[[#This Row],[Status]],LstMachines[MoisLivr],AK$1)</f>
        <v>0</v>
      </c>
      <c r="AL50" s="206">
        <f>SUMIFS(LstMachines[Nbre],LstMachines[Model-Spec],PrévisionBoris[[#This Row],[Spec]],LstMachines[Status],PrévisionBoris[[#This Row],[Status]],LstMachines[MoisLivr],AL$1)</f>
        <v>0</v>
      </c>
      <c r="AM50" s="207">
        <f>SUMIFS(LstMachines[Nbre],LstMachines[Model-Spec],PrévisionBoris[[#This Row],[Spec]],LstMachines[Status],PrévisionBoris[[#This Row],[Status]],LstMachines[MoisLivr],AM$1)</f>
        <v>0</v>
      </c>
      <c r="AN50" s="207">
        <f>SUMIFS(LstMachines[Nbre],LstMachines[Model-Spec],PrévisionBoris[[#This Row],[Spec]],LstMachines[Status],PrévisionBoris[[#This Row],[Status]],LstMachines[MoisLivr],AN$1)</f>
        <v>0</v>
      </c>
      <c r="AO50" s="206">
        <f>SUMIFS(LstMachines[Nbre],LstMachines[Model-Spec],PrévisionBoris[[#This Row],[Spec]],LstMachines[Status],PrévisionBoris[[#This Row],[Status]],LstMachines[MoisLivr],AO$1)</f>
        <v>0</v>
      </c>
      <c r="AP50" s="207">
        <f>SUMIFS(LstMachines[Nbre],LstMachines[Model-Spec],PrévisionBoris[[#This Row],[Spec]],LstMachines[Status],PrévisionBoris[[#This Row],[Status]],LstMachines[MoisLivr],AP$1)</f>
        <v>0</v>
      </c>
      <c r="AQ50" s="207">
        <f>SUMIFS(LstMachines[Nbre],LstMachines[Model-Spec],PrévisionBoris[[#This Row],[Spec]],LstMachines[Status],PrévisionBoris[[#This Row],[Status]],LstMachines[MoisLivr],AQ$1)</f>
        <v>0</v>
      </c>
      <c r="AR50" s="206">
        <f>SUMIFS(LstMachines[Nbre],LstMachines[Model-Spec],PrévisionBoris[[#This Row],[Spec]],LstMachines[Status],PrévisionBoris[[#This Row],[Status]],LstMachines[MoisLivr],AR$1)</f>
        <v>0</v>
      </c>
      <c r="AS50" s="207">
        <f>SUMIFS(LstMachines[Nbre],LstMachines[Model-Spec],PrévisionBoris[[#This Row],[Spec]],LstMachines[Status],PrévisionBoris[[#This Row],[Status]],LstMachines[MoisLivr],AS$1)</f>
        <v>0</v>
      </c>
      <c r="AT50" s="207">
        <f>SUMIFS(LstMachines[Nbre],LstMachines[Model-Spec],PrévisionBoris[[#This Row],[Spec]],LstMachines[Status],PrévisionBoris[[#This Row],[Status]],LstMachines[MoisLivr],AT$1)</f>
        <v>0</v>
      </c>
      <c r="AU50" s="206">
        <f>SUMIFS(LstMachines[Nbre],LstMachines[Model-Spec],PrévisionBoris[[#This Row],[Spec]],LstMachines[Status],PrévisionBoris[[#This Row],[Status]],LstMachines[MoisLivr],AU$1)</f>
        <v>0</v>
      </c>
      <c r="AV50" s="233">
        <f>SUMIFS(LstMachines[Nbre],LstMachines[Model-Spec],PrévisionBoris[[#This Row],[Spec]],LstMachines[Status],PrévisionBoris[[#This Row],[Status]],LstMachines[MoisLivr],AV$1)</f>
        <v>0</v>
      </c>
      <c r="AW50" s="208">
        <f>SUMIFS(LstMachines[Nbre],LstMachines[Model-Spec],PrévisionBoris[[#This Row],[Spec]],LstMachines[Status],PrévisionBoris[[#This Row],[Status]],LstMachines[MoisLivr],AW$1)</f>
        <v>0</v>
      </c>
      <c r="AX50" s="225"/>
      <c r="AY50" s="211">
        <f t="shared" si="3"/>
        <v>0</v>
      </c>
      <c r="AZ50" s="212">
        <f t="shared" si="4"/>
        <v>0</v>
      </c>
      <c r="BA50" s="212">
        <f t="shared" si="5"/>
        <v>0</v>
      </c>
      <c r="BB50" s="213">
        <f t="shared" si="6"/>
        <v>0</v>
      </c>
      <c r="BC50" s="225">
        <f t="shared" si="7"/>
        <v>0</v>
      </c>
      <c r="BD50" s="211">
        <f t="shared" si="8"/>
        <v>0</v>
      </c>
      <c r="BE50" s="212">
        <f t="shared" si="9"/>
        <v>0</v>
      </c>
      <c r="BF50" s="212">
        <f t="shared" si="10"/>
        <v>0</v>
      </c>
      <c r="BG50" s="213">
        <f t="shared" si="11"/>
        <v>0</v>
      </c>
      <c r="BH50" s="225">
        <f t="shared" si="12"/>
        <v>0</v>
      </c>
      <c r="BI50" s="214">
        <f t="shared" si="13"/>
        <v>0</v>
      </c>
      <c r="BJ50" s="215">
        <f t="shared" si="14"/>
        <v>0</v>
      </c>
      <c r="BK50" s="215">
        <f t="shared" si="15"/>
        <v>0</v>
      </c>
      <c r="BL50" s="216">
        <f t="shared" si="16"/>
        <v>0</v>
      </c>
      <c r="BM50" s="225">
        <f t="shared" si="17"/>
        <v>0</v>
      </c>
      <c r="BN50" s="225"/>
      <c r="BO50" s="234"/>
      <c r="BP50" s="218">
        <f t="shared" si="18"/>
        <v>0</v>
      </c>
    </row>
    <row r="51" spans="1:68">
      <c r="A51" s="170">
        <v>44</v>
      </c>
      <c r="B51" s="170" t="s">
        <v>151</v>
      </c>
      <c r="C51" s="200">
        <v>220</v>
      </c>
      <c r="D51" s="170" t="s">
        <v>168</v>
      </c>
      <c r="E51" s="170" t="s">
        <v>170</v>
      </c>
      <c r="F51" s="200">
        <f>VLOOKUP(PrévisionBoris[[#This Row],[Spec]],TabModelSpecs[[ModelSpec]:[Price]],2,FALSE)</f>
        <v>140</v>
      </c>
      <c r="G51" s="170" t="s">
        <v>462</v>
      </c>
      <c r="H51" s="219">
        <f>SUMIFS(LstMachines[Nbre],LstMachines[Model-Spec],PrévisionBoris[[#This Row],[Spec]],LstMachines[Status],PrévisionBoris[[#This Row],[Status]],LstMachines[MoisLivr],H$1)</f>
        <v>0</v>
      </c>
      <c r="I51" s="220">
        <f>SUMIFS(LstMachines[Nbre],LstMachines[Model-Spec],PrévisionBoris[[#This Row],[Spec]],LstMachines[Status],PrévisionBoris[[#This Row],[Status]],LstMachines[MoisLivr],I$1)</f>
        <v>0</v>
      </c>
      <c r="J51" s="221">
        <f>SUMIFS(LstMachines[Nbre],LstMachines[Model-Spec],PrévisionBoris[[#This Row],[Spec]],LstMachines[Status],PrévisionBoris[[#This Row],[Status]],LstMachines[MoisLivr],J$1)</f>
        <v>0</v>
      </c>
      <c r="K51" s="219">
        <f>SUMIFS(LstMachines[Nbre],LstMachines[Model-Spec],PrévisionBoris[[#This Row],[Spec]],LstMachines[Status],PrévisionBoris[[#This Row],[Status]],LstMachines[MoisLivr],K$1)</f>
        <v>0</v>
      </c>
      <c r="L51" s="220">
        <f>SUMIFS(LstMachines[Nbre],LstMachines[Model-Spec],PrévisionBoris[[#This Row],[Spec]],LstMachines[Status],PrévisionBoris[[#This Row],[Status]],LstMachines[MoisLivr],L$1)</f>
        <v>0</v>
      </c>
      <c r="M51" s="221">
        <f>SUMIFS(LstMachines[Nbre],LstMachines[Model-Spec],PrévisionBoris[[#This Row],[Spec]],LstMachines[Status],PrévisionBoris[[#This Row],[Status]],LstMachines[MoisLivr],M$1)</f>
        <v>0</v>
      </c>
      <c r="N51" s="219">
        <f>SUMIFS(LstMachines[Nbre],LstMachines[Model-Spec],PrévisionBoris[[#This Row],[Spec]],LstMachines[Status],PrévisionBoris[[#This Row],[Status]],LstMachines[MoisLivr],N$1)</f>
        <v>0</v>
      </c>
      <c r="O51" s="220">
        <f>SUMIFS(LstMachines[Nbre],LstMachines[Model-Spec],PrévisionBoris[[#This Row],[Spec]],LstMachines[Status],PrévisionBoris[[#This Row],[Status]],LstMachines[MoisLivr],O$1)</f>
        <v>0</v>
      </c>
      <c r="P51" s="221">
        <f>SUMIFS(LstMachines[Nbre],LstMachines[Model-Spec],PrévisionBoris[[#This Row],[Spec]],LstMachines[Status],PrévisionBoris[[#This Row],[Status]],LstMachines[MoisLivr],P$1)</f>
        <v>0</v>
      </c>
      <c r="Q51" s="222">
        <f>SUMIFS(LstMachines[Nbre],LstMachines[Model-Spec],PrévisionBoris[[#This Row],[Spec]],LstMachines[Status],PrévisionBoris[[#This Row],[Status]],LstMachines[MoisLivr],Q$1)</f>
        <v>0</v>
      </c>
      <c r="R51" s="220">
        <f>SUMIFS(LstMachines[Nbre],LstMachines[Model-Spec],PrévisionBoris[[#This Row],[Spec]],LstMachines[Status],PrévisionBoris[[#This Row],[Status]],LstMachines[MoisLivr],R$1)</f>
        <v>0</v>
      </c>
      <c r="S51" s="220">
        <f>SUMIFS(LstMachines[Nbre],LstMachines[Model-Spec],PrévisionBoris[[#This Row],[Spec]],LstMachines[Status],PrévisionBoris[[#This Row],[Status]],LstMachines[MoisLivr],S$1)</f>
        <v>0</v>
      </c>
      <c r="T51" s="219">
        <f>SUMIFS(LstMachines[Nbre],LstMachines[Model-Spec],PrévisionBoris[[#This Row],[Spec]],LstMachines[Status],PrévisionBoris[[#This Row],[Status]],LstMachines[MoisLivr],T$1)</f>
        <v>0</v>
      </c>
      <c r="U51" s="220">
        <f>SUMIFS(LstMachines[Nbre],LstMachines[Model-Spec],PrévisionBoris[[#This Row],[Spec]],LstMachines[Status],PrévisionBoris[[#This Row],[Status]],LstMachines[MoisLivr],U$1)</f>
        <v>0</v>
      </c>
      <c r="V51" s="220">
        <f>SUMIFS(LstMachines[Nbre],LstMachines[Model-Spec],PrévisionBoris[[#This Row],[Spec]],LstMachines[Status],PrévisionBoris[[#This Row],[Status]],LstMachines[MoisLivr],V$1)</f>
        <v>0</v>
      </c>
      <c r="W51" s="219">
        <f>SUMIFS(LstMachines[Nbre],LstMachines[Model-Spec],PrévisionBoris[[#This Row],[Spec]],LstMachines[Status],PrévisionBoris[[#This Row],[Status]],LstMachines[MoisLivr],W$1)</f>
        <v>0</v>
      </c>
      <c r="X51" s="220">
        <f>SUMIFS(LstMachines[Nbre],LstMachines[Model-Spec],PrévisionBoris[[#This Row],[Spec]],LstMachines[Status],PrévisionBoris[[#This Row],[Status]],LstMachines[MoisLivr],X$1)</f>
        <v>0</v>
      </c>
      <c r="Y51" s="220">
        <f>SUMIFS(LstMachines[Nbre],LstMachines[Model-Spec],PrévisionBoris[[#This Row],[Spec]],LstMachines[Status],PrévisionBoris[[#This Row],[Status]],LstMachines[MoisLivr],Y$1)</f>
        <v>0</v>
      </c>
      <c r="Z51" s="219">
        <f>SUMIFS(LstMachines[Nbre],LstMachines[Model-Spec],PrévisionBoris[[#This Row],[Spec]],LstMachines[Status],PrévisionBoris[[#This Row],[Status]],LstMachines[MoisLivr],Z$1)</f>
        <v>0</v>
      </c>
      <c r="AA51" s="220">
        <f>SUMIFS(LstMachines[Nbre],LstMachines[Model-Spec],PrévisionBoris[[#This Row],[Spec]],LstMachines[Status],PrévisionBoris[[#This Row],[Status]],LstMachines[MoisLivr],AA$1)</f>
        <v>0</v>
      </c>
      <c r="AB51" s="220">
        <f>SUMIFS(LstMachines[Nbre],LstMachines[Model-Spec],PrévisionBoris[[#This Row],[Spec]],LstMachines[Status],PrévisionBoris[[#This Row],[Status]],LstMachines[MoisLivr],AB$1)</f>
        <v>0</v>
      </c>
      <c r="AC51" s="219">
        <f>SUMIFS(LstMachines[Nbre],LstMachines[Model-Spec],PrévisionBoris[[#This Row],[Spec]],LstMachines[Status],PrévisionBoris[[#This Row],[Status]],LstMachines[MoisLivr],AC$1)</f>
        <v>0</v>
      </c>
      <c r="AD51" s="220">
        <f>SUMIFS(LstMachines[Nbre],LstMachines[Model-Spec],PrévisionBoris[[#This Row],[Spec]],LstMachines[Status],PrévisionBoris[[#This Row],[Status]],LstMachines[MoisLivr],AD$1)</f>
        <v>0</v>
      </c>
      <c r="AE51" s="220">
        <f>SUMIFS(LstMachines[Nbre],LstMachines[Model-Spec],PrévisionBoris[[#This Row],[Spec]],LstMachines[Status],PrévisionBoris[[#This Row],[Status]],LstMachines[MoisLivr],AE$1)</f>
        <v>0</v>
      </c>
      <c r="AF51" s="219">
        <f>SUMIFS(LstMachines[Nbre],LstMachines[Model-Spec],PrévisionBoris[[#This Row],[Spec]],LstMachines[Status],PrévisionBoris[[#This Row],[Status]],LstMachines[MoisLivr],AF$1)</f>
        <v>0</v>
      </c>
      <c r="AG51" s="220">
        <f>SUMIFS(LstMachines[Nbre],LstMachines[Model-Spec],PrévisionBoris[[#This Row],[Spec]],LstMachines[Status],PrévisionBoris[[#This Row],[Status]],LstMachines[MoisLivr],AG$1)</f>
        <v>0</v>
      </c>
      <c r="AH51" s="220">
        <f>SUMIFS(LstMachines[Nbre],LstMachines[Model-Spec],PrévisionBoris[[#This Row],[Spec]],LstMachines[Status],PrévisionBoris[[#This Row],[Status]],LstMachines[MoisLivr],AH$1)</f>
        <v>0</v>
      </c>
      <c r="AI51" s="219">
        <f>SUMIFS(LstMachines[Nbre],LstMachines[Model-Spec],PrévisionBoris[[#This Row],[Spec]],LstMachines[Status],PrévisionBoris[[#This Row],[Status]],LstMachines[MoisLivr],AI$1)</f>
        <v>0</v>
      </c>
      <c r="AJ51" s="220">
        <f>SUMIFS(LstMachines[Nbre],LstMachines[Model-Spec],PrévisionBoris[[#This Row],[Spec]],LstMachines[Status],PrévisionBoris[[#This Row],[Status]],LstMachines[MoisLivr],AJ$1)</f>
        <v>0</v>
      </c>
      <c r="AK51" s="220">
        <f>SUMIFS(LstMachines[Nbre],LstMachines[Model-Spec],PrévisionBoris[[#This Row],[Spec]],LstMachines[Status],PrévisionBoris[[#This Row],[Status]],LstMachines[MoisLivr],AK$1)</f>
        <v>0</v>
      </c>
      <c r="AL51" s="219">
        <f>SUMIFS(LstMachines[Nbre],LstMachines[Model-Spec],PrévisionBoris[[#This Row],[Spec]],LstMachines[Status],PrévisionBoris[[#This Row],[Status]],LstMachines[MoisLivr],AL$1)</f>
        <v>0</v>
      </c>
      <c r="AM51" s="220">
        <f>SUMIFS(LstMachines[Nbre],LstMachines[Model-Spec],PrévisionBoris[[#This Row],[Spec]],LstMachines[Status],PrévisionBoris[[#This Row],[Status]],LstMachines[MoisLivr],AM$1)</f>
        <v>0</v>
      </c>
      <c r="AN51" s="220">
        <f>SUMIFS(LstMachines[Nbre],LstMachines[Model-Spec],PrévisionBoris[[#This Row],[Spec]],LstMachines[Status],PrévisionBoris[[#This Row],[Status]],LstMachines[MoisLivr],AN$1)</f>
        <v>0</v>
      </c>
      <c r="AO51" s="219">
        <f>SUMIFS(LstMachines[Nbre],LstMachines[Model-Spec],PrévisionBoris[[#This Row],[Spec]],LstMachines[Status],PrévisionBoris[[#This Row],[Status]],LstMachines[MoisLivr],AO$1)</f>
        <v>0</v>
      </c>
      <c r="AP51" s="220">
        <f>SUMIFS(LstMachines[Nbre],LstMachines[Model-Spec],PrévisionBoris[[#This Row],[Spec]],LstMachines[Status],PrévisionBoris[[#This Row],[Status]],LstMachines[MoisLivr],AP$1)</f>
        <v>0</v>
      </c>
      <c r="AQ51" s="220">
        <f>SUMIFS(LstMachines[Nbre],LstMachines[Model-Spec],PrévisionBoris[[#This Row],[Spec]],LstMachines[Status],PrévisionBoris[[#This Row],[Status]],LstMachines[MoisLivr],AQ$1)</f>
        <v>0</v>
      </c>
      <c r="AR51" s="219">
        <f>SUMIFS(LstMachines[Nbre],LstMachines[Model-Spec],PrévisionBoris[[#This Row],[Spec]],LstMachines[Status],PrévisionBoris[[#This Row],[Status]],LstMachines[MoisLivr],AR$1)</f>
        <v>0</v>
      </c>
      <c r="AS51" s="220">
        <f>SUMIFS(LstMachines[Nbre],LstMachines[Model-Spec],PrévisionBoris[[#This Row],[Spec]],LstMachines[Status],PrévisionBoris[[#This Row],[Status]],LstMachines[MoisLivr],AS$1)</f>
        <v>0</v>
      </c>
      <c r="AT51" s="220">
        <f>SUMIFS(LstMachines[Nbre],LstMachines[Model-Spec],PrévisionBoris[[#This Row],[Spec]],LstMachines[Status],PrévisionBoris[[#This Row],[Status]],LstMachines[MoisLivr],AT$1)</f>
        <v>0</v>
      </c>
      <c r="AU51" s="219">
        <f>SUMIFS(LstMachines[Nbre],LstMachines[Model-Spec],PrévisionBoris[[#This Row],[Spec]],LstMachines[Status],PrévisionBoris[[#This Row],[Status]],LstMachines[MoisLivr],AU$1)</f>
        <v>0</v>
      </c>
      <c r="AV51" s="223">
        <f>SUMIFS(LstMachines[Nbre],LstMachines[Model-Spec],PrévisionBoris[[#This Row],[Spec]],LstMachines[Status],PrévisionBoris[[#This Row],[Status]],LstMachines[MoisLivr],AV$1)</f>
        <v>0</v>
      </c>
      <c r="AW51" s="224">
        <f>SUMIFS(LstMachines[Nbre],LstMachines[Model-Spec],PrévisionBoris[[#This Row],[Spec]],LstMachines[Status],PrévisionBoris[[#This Row],[Status]],LstMachines[MoisLivr],AW$1)</f>
        <v>0</v>
      </c>
      <c r="AX51" s="210"/>
      <c r="AY51" s="211">
        <f t="shared" si="3"/>
        <v>0</v>
      </c>
      <c r="AZ51" s="212">
        <f t="shared" si="4"/>
        <v>0</v>
      </c>
      <c r="BA51" s="212">
        <f t="shared" si="5"/>
        <v>0</v>
      </c>
      <c r="BB51" s="213">
        <f t="shared" si="6"/>
        <v>0</v>
      </c>
      <c r="BC51" s="225">
        <f t="shared" si="7"/>
        <v>0</v>
      </c>
      <c r="BD51" s="211">
        <f t="shared" si="8"/>
        <v>0</v>
      </c>
      <c r="BE51" s="212">
        <f t="shared" si="9"/>
        <v>0</v>
      </c>
      <c r="BF51" s="212">
        <f t="shared" si="10"/>
        <v>0</v>
      </c>
      <c r="BG51" s="213">
        <f t="shared" si="11"/>
        <v>0</v>
      </c>
      <c r="BH51" s="225">
        <f t="shared" si="12"/>
        <v>0</v>
      </c>
      <c r="BI51" s="214">
        <f t="shared" si="13"/>
        <v>0</v>
      </c>
      <c r="BJ51" s="215">
        <f t="shared" si="14"/>
        <v>0</v>
      </c>
      <c r="BK51" s="215">
        <f t="shared" si="15"/>
        <v>0</v>
      </c>
      <c r="BL51" s="216">
        <f t="shared" si="16"/>
        <v>0</v>
      </c>
      <c r="BM51" s="225">
        <f t="shared" si="17"/>
        <v>0</v>
      </c>
      <c r="BN51" s="225"/>
      <c r="BO51" s="217"/>
      <c r="BP51" s="218">
        <f t="shared" si="18"/>
        <v>0</v>
      </c>
    </row>
    <row r="52" spans="1:68">
      <c r="A52" s="171">
        <v>45</v>
      </c>
      <c r="B52" s="171" t="s">
        <v>151</v>
      </c>
      <c r="C52" s="201">
        <v>220</v>
      </c>
      <c r="D52" s="171" t="s">
        <v>168</v>
      </c>
      <c r="E52" s="171" t="s">
        <v>170</v>
      </c>
      <c r="F52" s="201">
        <f>VLOOKUP(PrévisionBoris[[#This Row],[Spec]],TabModelSpecs[[ModelSpec]:[Price]],2,FALSE)</f>
        <v>140</v>
      </c>
      <c r="G52" s="171" t="s">
        <v>463</v>
      </c>
      <c r="H52" s="226">
        <f>SUMIFS(LstMachines[Nbre],LstMachines[Model-Spec],PrévisionBoris[[#This Row],[Spec]],LstMachines[Status],PrévisionBoris[[#This Row],[Status]],LstMachines[MoisLivr],H$1)</f>
        <v>0</v>
      </c>
      <c r="I52" s="227">
        <f>SUMIFS(LstMachines[Nbre],LstMachines[Model-Spec],PrévisionBoris[[#This Row],[Spec]],LstMachines[Status],PrévisionBoris[[#This Row],[Status]],LstMachines[MoisLivr],I$1)</f>
        <v>0</v>
      </c>
      <c r="J52" s="228">
        <f>SUMIFS(LstMachines[Nbre],LstMachines[Model-Spec],PrévisionBoris[[#This Row],[Spec]],LstMachines[Status],PrévisionBoris[[#This Row],[Status]],LstMachines[MoisLivr],J$1)</f>
        <v>0</v>
      </c>
      <c r="K52" s="226">
        <f>SUMIFS(LstMachines[Nbre],LstMachines[Model-Spec],PrévisionBoris[[#This Row],[Spec]],LstMachines[Status],PrévisionBoris[[#This Row],[Status]],LstMachines[MoisLivr],K$1)</f>
        <v>0</v>
      </c>
      <c r="L52" s="227">
        <f>SUMIFS(LstMachines[Nbre],LstMachines[Model-Spec],PrévisionBoris[[#This Row],[Spec]],LstMachines[Status],PrévisionBoris[[#This Row],[Status]],LstMachines[MoisLivr],L$1)</f>
        <v>0</v>
      </c>
      <c r="M52" s="228">
        <f>SUMIFS(LstMachines[Nbre],LstMachines[Model-Spec],PrévisionBoris[[#This Row],[Spec]],LstMachines[Status],PrévisionBoris[[#This Row],[Status]],LstMachines[MoisLivr],M$1)</f>
        <v>0</v>
      </c>
      <c r="N52" s="226">
        <f>SUMIFS(LstMachines[Nbre],LstMachines[Model-Spec],PrévisionBoris[[#This Row],[Spec]],LstMachines[Status],PrévisionBoris[[#This Row],[Status]],LstMachines[MoisLivr],N$1)</f>
        <v>0</v>
      </c>
      <c r="O52" s="227">
        <f>SUMIFS(LstMachines[Nbre],LstMachines[Model-Spec],PrévisionBoris[[#This Row],[Spec]],LstMachines[Status],PrévisionBoris[[#This Row],[Status]],LstMachines[MoisLivr],O$1)</f>
        <v>0</v>
      </c>
      <c r="P52" s="228">
        <f>SUMIFS(LstMachines[Nbre],LstMachines[Model-Spec],PrévisionBoris[[#This Row],[Spec]],LstMachines[Status],PrévisionBoris[[#This Row],[Status]],LstMachines[MoisLivr],P$1)</f>
        <v>0</v>
      </c>
      <c r="Q52" s="229">
        <f>SUMIFS(LstMachines[Nbre],LstMachines[Model-Spec],PrévisionBoris[[#This Row],[Spec]],LstMachines[Status],PrévisionBoris[[#This Row],[Status]],LstMachines[MoisLivr],Q$1)</f>
        <v>0</v>
      </c>
      <c r="R52" s="227">
        <f>SUMIFS(LstMachines[Nbre],LstMachines[Model-Spec],PrévisionBoris[[#This Row],[Spec]],LstMachines[Status],PrévisionBoris[[#This Row],[Status]],LstMachines[MoisLivr],R$1)</f>
        <v>0</v>
      </c>
      <c r="S52" s="227">
        <f>SUMIFS(LstMachines[Nbre],LstMachines[Model-Spec],PrévisionBoris[[#This Row],[Spec]],LstMachines[Status],PrévisionBoris[[#This Row],[Status]],LstMachines[MoisLivr],S$1)</f>
        <v>0</v>
      </c>
      <c r="T52" s="226">
        <f>SUMIFS(LstMachines[Nbre],LstMachines[Model-Spec],PrévisionBoris[[#This Row],[Spec]],LstMachines[Status],PrévisionBoris[[#This Row],[Status]],LstMachines[MoisLivr],T$1)</f>
        <v>0</v>
      </c>
      <c r="U52" s="227">
        <f>SUMIFS(LstMachines[Nbre],LstMachines[Model-Spec],PrévisionBoris[[#This Row],[Spec]],LstMachines[Status],PrévisionBoris[[#This Row],[Status]],LstMachines[MoisLivr],U$1)</f>
        <v>0</v>
      </c>
      <c r="V52" s="227">
        <f>SUMIFS(LstMachines[Nbre],LstMachines[Model-Spec],PrévisionBoris[[#This Row],[Spec]],LstMachines[Status],PrévisionBoris[[#This Row],[Status]],LstMachines[MoisLivr],V$1)</f>
        <v>0</v>
      </c>
      <c r="W52" s="226">
        <f>SUMIFS(LstMachines[Nbre],LstMachines[Model-Spec],PrévisionBoris[[#This Row],[Spec]],LstMachines[Status],PrévisionBoris[[#This Row],[Status]],LstMachines[MoisLivr],W$1)</f>
        <v>0</v>
      </c>
      <c r="X52" s="227">
        <f>SUMIFS(LstMachines[Nbre],LstMachines[Model-Spec],PrévisionBoris[[#This Row],[Spec]],LstMachines[Status],PrévisionBoris[[#This Row],[Status]],LstMachines[MoisLivr],X$1)</f>
        <v>0</v>
      </c>
      <c r="Y52" s="227">
        <f>SUMIFS(LstMachines[Nbre],LstMachines[Model-Spec],PrévisionBoris[[#This Row],[Spec]],LstMachines[Status],PrévisionBoris[[#This Row],[Status]],LstMachines[MoisLivr],Y$1)</f>
        <v>0</v>
      </c>
      <c r="Z52" s="226">
        <f>SUMIFS(LstMachines[Nbre],LstMachines[Model-Spec],PrévisionBoris[[#This Row],[Spec]],LstMachines[Status],PrévisionBoris[[#This Row],[Status]],LstMachines[MoisLivr],Z$1)</f>
        <v>0</v>
      </c>
      <c r="AA52" s="227">
        <f>SUMIFS(LstMachines[Nbre],LstMachines[Model-Spec],PrévisionBoris[[#This Row],[Spec]],LstMachines[Status],PrévisionBoris[[#This Row],[Status]],LstMachines[MoisLivr],AA$1)</f>
        <v>0</v>
      </c>
      <c r="AB52" s="227">
        <f>SUMIFS(LstMachines[Nbre],LstMachines[Model-Spec],PrévisionBoris[[#This Row],[Spec]],LstMachines[Status],PrévisionBoris[[#This Row],[Status]],LstMachines[MoisLivr],AB$1)</f>
        <v>0</v>
      </c>
      <c r="AC52" s="226">
        <f>SUMIFS(LstMachines[Nbre],LstMachines[Model-Spec],PrévisionBoris[[#This Row],[Spec]],LstMachines[Status],PrévisionBoris[[#This Row],[Status]],LstMachines[MoisLivr],AC$1)</f>
        <v>0</v>
      </c>
      <c r="AD52" s="227">
        <f>SUMIFS(LstMachines[Nbre],LstMachines[Model-Spec],PrévisionBoris[[#This Row],[Spec]],LstMachines[Status],PrévisionBoris[[#This Row],[Status]],LstMachines[MoisLivr],AD$1)</f>
        <v>0</v>
      </c>
      <c r="AE52" s="227">
        <f>SUMIFS(LstMachines[Nbre],LstMachines[Model-Spec],PrévisionBoris[[#This Row],[Spec]],LstMachines[Status],PrévisionBoris[[#This Row],[Status]],LstMachines[MoisLivr],AE$1)</f>
        <v>0</v>
      </c>
      <c r="AF52" s="226">
        <f>SUMIFS(LstMachines[Nbre],LstMachines[Model-Spec],PrévisionBoris[[#This Row],[Spec]],LstMachines[Status],PrévisionBoris[[#This Row],[Status]],LstMachines[MoisLivr],AF$1)</f>
        <v>0</v>
      </c>
      <c r="AG52" s="227">
        <f>SUMIFS(LstMachines[Nbre],LstMachines[Model-Spec],PrévisionBoris[[#This Row],[Spec]],LstMachines[Status],PrévisionBoris[[#This Row],[Status]],LstMachines[MoisLivr],AG$1)</f>
        <v>0</v>
      </c>
      <c r="AH52" s="227">
        <f>SUMIFS(LstMachines[Nbre],LstMachines[Model-Spec],PrévisionBoris[[#This Row],[Spec]],LstMachines[Status],PrévisionBoris[[#This Row],[Status]],LstMachines[MoisLivr],AH$1)</f>
        <v>0</v>
      </c>
      <c r="AI52" s="226">
        <f>SUMIFS(LstMachines[Nbre],LstMachines[Model-Spec],PrévisionBoris[[#This Row],[Spec]],LstMachines[Status],PrévisionBoris[[#This Row],[Status]],LstMachines[MoisLivr],AI$1)</f>
        <v>0</v>
      </c>
      <c r="AJ52" s="227">
        <f>SUMIFS(LstMachines[Nbre],LstMachines[Model-Spec],PrévisionBoris[[#This Row],[Spec]],LstMachines[Status],PrévisionBoris[[#This Row],[Status]],LstMachines[MoisLivr],AJ$1)</f>
        <v>0</v>
      </c>
      <c r="AK52" s="227">
        <f>SUMIFS(LstMachines[Nbre],LstMachines[Model-Spec],PrévisionBoris[[#This Row],[Spec]],LstMachines[Status],PrévisionBoris[[#This Row],[Status]],LstMachines[MoisLivr],AK$1)</f>
        <v>0</v>
      </c>
      <c r="AL52" s="226">
        <f>SUMIFS(LstMachines[Nbre],LstMachines[Model-Spec],PrévisionBoris[[#This Row],[Spec]],LstMachines[Status],PrévisionBoris[[#This Row],[Status]],LstMachines[MoisLivr],AL$1)</f>
        <v>0</v>
      </c>
      <c r="AM52" s="227">
        <f>SUMIFS(LstMachines[Nbre],LstMachines[Model-Spec],PrévisionBoris[[#This Row],[Spec]],LstMachines[Status],PrévisionBoris[[#This Row],[Status]],LstMachines[MoisLivr],AM$1)</f>
        <v>0</v>
      </c>
      <c r="AN52" s="227">
        <f>SUMIFS(LstMachines[Nbre],LstMachines[Model-Spec],PrévisionBoris[[#This Row],[Spec]],LstMachines[Status],PrévisionBoris[[#This Row],[Status]],LstMachines[MoisLivr],AN$1)</f>
        <v>0</v>
      </c>
      <c r="AO52" s="226">
        <f>SUMIFS(LstMachines[Nbre],LstMachines[Model-Spec],PrévisionBoris[[#This Row],[Spec]],LstMachines[Status],PrévisionBoris[[#This Row],[Status]],LstMachines[MoisLivr],AO$1)</f>
        <v>0</v>
      </c>
      <c r="AP52" s="227">
        <f>SUMIFS(LstMachines[Nbre],LstMachines[Model-Spec],PrévisionBoris[[#This Row],[Spec]],LstMachines[Status],PrévisionBoris[[#This Row],[Status]],LstMachines[MoisLivr],AP$1)</f>
        <v>0</v>
      </c>
      <c r="AQ52" s="227">
        <f>SUMIFS(LstMachines[Nbre],LstMachines[Model-Spec],PrévisionBoris[[#This Row],[Spec]],LstMachines[Status],PrévisionBoris[[#This Row],[Status]],LstMachines[MoisLivr],AQ$1)</f>
        <v>0</v>
      </c>
      <c r="AR52" s="226">
        <f>SUMIFS(LstMachines[Nbre],LstMachines[Model-Spec],PrévisionBoris[[#This Row],[Spec]],LstMachines[Status],PrévisionBoris[[#This Row],[Status]],LstMachines[MoisLivr],AR$1)</f>
        <v>0</v>
      </c>
      <c r="AS52" s="227">
        <f>SUMIFS(LstMachines[Nbre],LstMachines[Model-Spec],PrévisionBoris[[#This Row],[Spec]],LstMachines[Status],PrévisionBoris[[#This Row],[Status]],LstMachines[MoisLivr],AS$1)</f>
        <v>0</v>
      </c>
      <c r="AT52" s="227">
        <f>SUMIFS(LstMachines[Nbre],LstMachines[Model-Spec],PrévisionBoris[[#This Row],[Spec]],LstMachines[Status],PrévisionBoris[[#This Row],[Status]],LstMachines[MoisLivr],AT$1)</f>
        <v>0</v>
      </c>
      <c r="AU52" s="226">
        <f>SUMIFS(LstMachines[Nbre],LstMachines[Model-Spec],PrévisionBoris[[#This Row],[Spec]],LstMachines[Status],PrévisionBoris[[#This Row],[Status]],LstMachines[MoisLivr],AU$1)</f>
        <v>0</v>
      </c>
      <c r="AV52" s="230">
        <f>SUMIFS(LstMachines[Nbre],LstMachines[Model-Spec],PrévisionBoris[[#This Row],[Spec]],LstMachines[Status],PrévisionBoris[[#This Row],[Status]],LstMachines[MoisLivr],AV$1)</f>
        <v>0</v>
      </c>
      <c r="AW52" s="231">
        <f>SUMIFS(LstMachines[Nbre],LstMachines[Model-Spec],PrévisionBoris[[#This Row],[Spec]],LstMachines[Status],PrévisionBoris[[#This Row],[Status]],LstMachines[MoisLivr],AW$1)</f>
        <v>0</v>
      </c>
      <c r="AX52" s="232"/>
      <c r="AY52" s="211">
        <f t="shared" si="3"/>
        <v>0</v>
      </c>
      <c r="AZ52" s="212">
        <f t="shared" si="4"/>
        <v>0</v>
      </c>
      <c r="BA52" s="212">
        <f t="shared" si="5"/>
        <v>0</v>
      </c>
      <c r="BB52" s="213">
        <f t="shared" si="6"/>
        <v>0</v>
      </c>
      <c r="BC52" s="225">
        <f t="shared" si="7"/>
        <v>0</v>
      </c>
      <c r="BD52" s="211">
        <f t="shared" si="8"/>
        <v>0</v>
      </c>
      <c r="BE52" s="212">
        <f t="shared" si="9"/>
        <v>0</v>
      </c>
      <c r="BF52" s="212">
        <f t="shared" si="10"/>
        <v>0</v>
      </c>
      <c r="BG52" s="213">
        <f t="shared" si="11"/>
        <v>0</v>
      </c>
      <c r="BH52" s="225">
        <f t="shared" si="12"/>
        <v>0</v>
      </c>
      <c r="BI52" s="214">
        <f t="shared" si="13"/>
        <v>0</v>
      </c>
      <c r="BJ52" s="215">
        <f t="shared" si="14"/>
        <v>0</v>
      </c>
      <c r="BK52" s="215">
        <f t="shared" si="15"/>
        <v>0</v>
      </c>
      <c r="BL52" s="216">
        <f t="shared" si="16"/>
        <v>0</v>
      </c>
      <c r="BM52" s="225">
        <f t="shared" si="17"/>
        <v>0</v>
      </c>
      <c r="BN52" s="225"/>
      <c r="BO52" s="217"/>
      <c r="BP52" s="218">
        <f t="shared" si="18"/>
        <v>0</v>
      </c>
    </row>
    <row r="53" spans="1:68">
      <c r="A53" s="172">
        <v>46</v>
      </c>
      <c r="B53" s="172" t="s">
        <v>151</v>
      </c>
      <c r="C53" s="202">
        <v>220</v>
      </c>
      <c r="D53" s="172" t="s">
        <v>168</v>
      </c>
      <c r="E53" s="172" t="s">
        <v>171</v>
      </c>
      <c r="F53" s="202">
        <f>VLOOKUP(PrévisionBoris[[#This Row],[Spec]],TabModelSpecs[[ModelSpec]:[Price]],2,FALSE)</f>
        <v>140</v>
      </c>
      <c r="G53" s="172" t="s">
        <v>461</v>
      </c>
      <c r="H53" s="206">
        <f>SUMIFS(LstMachines[Nbre],LstMachines[Model-Spec],PrévisionBoris[[#This Row],[Spec]],LstMachines[Status],PrévisionBoris[[#This Row],[Status]],LstMachines[MoisLivr],H$1)</f>
        <v>0</v>
      </c>
      <c r="I53" s="207">
        <f>SUMIFS(LstMachines[Nbre],LstMachines[Model-Spec],PrévisionBoris[[#This Row],[Spec]],LstMachines[Status],PrévisionBoris[[#This Row],[Status]],LstMachines[MoisLivr],I$1)</f>
        <v>0</v>
      </c>
      <c r="J53" s="208">
        <f>SUMIFS(LstMachines[Nbre],LstMachines[Model-Spec],PrévisionBoris[[#This Row],[Spec]],LstMachines[Status],PrévisionBoris[[#This Row],[Status]],LstMachines[MoisLivr],J$1)</f>
        <v>0</v>
      </c>
      <c r="K53" s="206">
        <f>SUMIFS(LstMachines[Nbre],LstMachines[Model-Spec],PrévisionBoris[[#This Row],[Spec]],LstMachines[Status],PrévisionBoris[[#This Row],[Status]],LstMachines[MoisLivr],K$1)</f>
        <v>0</v>
      </c>
      <c r="L53" s="207">
        <f>SUMIFS(LstMachines[Nbre],LstMachines[Model-Spec],PrévisionBoris[[#This Row],[Spec]],LstMachines[Status],PrévisionBoris[[#This Row],[Status]],LstMachines[MoisLivr],L$1)</f>
        <v>0</v>
      </c>
      <c r="M53" s="208">
        <f>SUMIFS(LstMachines[Nbre],LstMachines[Model-Spec],PrévisionBoris[[#This Row],[Spec]],LstMachines[Status],PrévisionBoris[[#This Row],[Status]],LstMachines[MoisLivr],M$1)</f>
        <v>0</v>
      </c>
      <c r="N53" s="206">
        <f>SUMIFS(LstMachines[Nbre],LstMachines[Model-Spec],PrévisionBoris[[#This Row],[Spec]],LstMachines[Status],PrévisionBoris[[#This Row],[Status]],LstMachines[MoisLivr],N$1)</f>
        <v>0</v>
      </c>
      <c r="O53" s="207">
        <f>SUMIFS(LstMachines[Nbre],LstMachines[Model-Spec],PrévisionBoris[[#This Row],[Spec]],LstMachines[Status],PrévisionBoris[[#This Row],[Status]],LstMachines[MoisLivr],O$1)</f>
        <v>0</v>
      </c>
      <c r="P53" s="208">
        <f>SUMIFS(LstMachines[Nbre],LstMachines[Model-Spec],PrévisionBoris[[#This Row],[Spec]],LstMachines[Status],PrévisionBoris[[#This Row],[Status]],LstMachines[MoisLivr],P$1)</f>
        <v>0</v>
      </c>
      <c r="Q53" s="209">
        <f>SUMIFS(LstMachines[Nbre],LstMachines[Model-Spec],PrévisionBoris[[#This Row],[Spec]],LstMachines[Status],PrévisionBoris[[#This Row],[Status]],LstMachines[MoisLivr],Q$1)</f>
        <v>0</v>
      </c>
      <c r="R53" s="207">
        <f>SUMIFS(LstMachines[Nbre],LstMachines[Model-Spec],PrévisionBoris[[#This Row],[Spec]],LstMachines[Status],PrévisionBoris[[#This Row],[Status]],LstMachines[MoisLivr],R$1)</f>
        <v>0</v>
      </c>
      <c r="S53" s="207">
        <f>SUMIFS(LstMachines[Nbre],LstMachines[Model-Spec],PrévisionBoris[[#This Row],[Spec]],LstMachines[Status],PrévisionBoris[[#This Row],[Status]],LstMachines[MoisLivr],S$1)</f>
        <v>0</v>
      </c>
      <c r="T53" s="206">
        <f>SUMIFS(LstMachines[Nbre],LstMachines[Model-Spec],PrévisionBoris[[#This Row],[Spec]],LstMachines[Status],PrévisionBoris[[#This Row],[Status]],LstMachines[MoisLivr],T$1)</f>
        <v>0</v>
      </c>
      <c r="U53" s="207">
        <f>SUMIFS(LstMachines[Nbre],LstMachines[Model-Spec],PrévisionBoris[[#This Row],[Spec]],LstMachines[Status],PrévisionBoris[[#This Row],[Status]],LstMachines[MoisLivr],U$1)</f>
        <v>0</v>
      </c>
      <c r="V53" s="207">
        <f>SUMIFS(LstMachines[Nbre],LstMachines[Model-Spec],PrévisionBoris[[#This Row],[Spec]],LstMachines[Status],PrévisionBoris[[#This Row],[Status]],LstMachines[MoisLivr],V$1)</f>
        <v>0</v>
      </c>
      <c r="W53" s="206">
        <f>SUMIFS(LstMachines[Nbre],LstMachines[Model-Spec],PrévisionBoris[[#This Row],[Spec]],LstMachines[Status],PrévisionBoris[[#This Row],[Status]],LstMachines[MoisLivr],W$1)</f>
        <v>0</v>
      </c>
      <c r="X53" s="207">
        <f>SUMIFS(LstMachines[Nbre],LstMachines[Model-Spec],PrévisionBoris[[#This Row],[Spec]],LstMachines[Status],PrévisionBoris[[#This Row],[Status]],LstMachines[MoisLivr],X$1)</f>
        <v>0</v>
      </c>
      <c r="Y53" s="207">
        <f>SUMIFS(LstMachines[Nbre],LstMachines[Model-Spec],PrévisionBoris[[#This Row],[Spec]],LstMachines[Status],PrévisionBoris[[#This Row],[Status]],LstMachines[MoisLivr],Y$1)</f>
        <v>0</v>
      </c>
      <c r="Z53" s="206">
        <f>SUMIFS(LstMachines[Nbre],LstMachines[Model-Spec],PrévisionBoris[[#This Row],[Spec]],LstMachines[Status],PrévisionBoris[[#This Row],[Status]],LstMachines[MoisLivr],Z$1)</f>
        <v>0</v>
      </c>
      <c r="AA53" s="207">
        <f>SUMIFS(LstMachines[Nbre],LstMachines[Model-Spec],PrévisionBoris[[#This Row],[Spec]],LstMachines[Status],PrévisionBoris[[#This Row],[Status]],LstMachines[MoisLivr],AA$1)</f>
        <v>0</v>
      </c>
      <c r="AB53" s="207">
        <f>SUMIFS(LstMachines[Nbre],LstMachines[Model-Spec],PrévisionBoris[[#This Row],[Spec]],LstMachines[Status],PrévisionBoris[[#This Row],[Status]],LstMachines[MoisLivr],AB$1)</f>
        <v>0</v>
      </c>
      <c r="AC53" s="206">
        <f>SUMIFS(LstMachines[Nbre],LstMachines[Model-Spec],PrévisionBoris[[#This Row],[Spec]],LstMachines[Status],PrévisionBoris[[#This Row],[Status]],LstMachines[MoisLivr],AC$1)</f>
        <v>0</v>
      </c>
      <c r="AD53" s="207">
        <f>SUMIFS(LstMachines[Nbre],LstMachines[Model-Spec],PrévisionBoris[[#This Row],[Spec]],LstMachines[Status],PrévisionBoris[[#This Row],[Status]],LstMachines[MoisLivr],AD$1)</f>
        <v>0</v>
      </c>
      <c r="AE53" s="207">
        <f>SUMIFS(LstMachines[Nbre],LstMachines[Model-Spec],PrévisionBoris[[#This Row],[Spec]],LstMachines[Status],PrévisionBoris[[#This Row],[Status]],LstMachines[MoisLivr],AE$1)</f>
        <v>0</v>
      </c>
      <c r="AF53" s="206">
        <f>SUMIFS(LstMachines[Nbre],LstMachines[Model-Spec],PrévisionBoris[[#This Row],[Spec]],LstMachines[Status],PrévisionBoris[[#This Row],[Status]],LstMachines[MoisLivr],AF$1)</f>
        <v>0</v>
      </c>
      <c r="AG53" s="207">
        <f>SUMIFS(LstMachines[Nbre],LstMachines[Model-Spec],PrévisionBoris[[#This Row],[Spec]],LstMachines[Status],PrévisionBoris[[#This Row],[Status]],LstMachines[MoisLivr],AG$1)</f>
        <v>0</v>
      </c>
      <c r="AH53" s="207">
        <f>SUMIFS(LstMachines[Nbre],LstMachines[Model-Spec],PrévisionBoris[[#This Row],[Spec]],LstMachines[Status],PrévisionBoris[[#This Row],[Status]],LstMachines[MoisLivr],AH$1)</f>
        <v>0</v>
      </c>
      <c r="AI53" s="206">
        <f>SUMIFS(LstMachines[Nbre],LstMachines[Model-Spec],PrévisionBoris[[#This Row],[Spec]],LstMachines[Status],PrévisionBoris[[#This Row],[Status]],LstMachines[MoisLivr],AI$1)</f>
        <v>0</v>
      </c>
      <c r="AJ53" s="207">
        <f>SUMIFS(LstMachines[Nbre],LstMachines[Model-Spec],PrévisionBoris[[#This Row],[Spec]],LstMachines[Status],PrévisionBoris[[#This Row],[Status]],LstMachines[MoisLivr],AJ$1)</f>
        <v>0</v>
      </c>
      <c r="AK53" s="207">
        <f>SUMIFS(LstMachines[Nbre],LstMachines[Model-Spec],PrévisionBoris[[#This Row],[Spec]],LstMachines[Status],PrévisionBoris[[#This Row],[Status]],LstMachines[MoisLivr],AK$1)</f>
        <v>0</v>
      </c>
      <c r="AL53" s="206">
        <f>SUMIFS(LstMachines[Nbre],LstMachines[Model-Spec],PrévisionBoris[[#This Row],[Spec]],LstMachines[Status],PrévisionBoris[[#This Row],[Status]],LstMachines[MoisLivr],AL$1)</f>
        <v>0</v>
      </c>
      <c r="AM53" s="207">
        <f>SUMIFS(LstMachines[Nbre],LstMachines[Model-Spec],PrévisionBoris[[#This Row],[Spec]],LstMachines[Status],PrévisionBoris[[#This Row],[Status]],LstMachines[MoisLivr],AM$1)</f>
        <v>0</v>
      </c>
      <c r="AN53" s="207">
        <f>SUMIFS(LstMachines[Nbre],LstMachines[Model-Spec],PrévisionBoris[[#This Row],[Spec]],LstMachines[Status],PrévisionBoris[[#This Row],[Status]],LstMachines[MoisLivr],AN$1)</f>
        <v>0</v>
      </c>
      <c r="AO53" s="206">
        <f>SUMIFS(LstMachines[Nbre],LstMachines[Model-Spec],PrévisionBoris[[#This Row],[Spec]],LstMachines[Status],PrévisionBoris[[#This Row],[Status]],LstMachines[MoisLivr],AO$1)</f>
        <v>0</v>
      </c>
      <c r="AP53" s="207">
        <f>SUMIFS(LstMachines[Nbre],LstMachines[Model-Spec],PrévisionBoris[[#This Row],[Spec]],LstMachines[Status],PrévisionBoris[[#This Row],[Status]],LstMachines[MoisLivr],AP$1)</f>
        <v>0</v>
      </c>
      <c r="AQ53" s="207">
        <f>SUMIFS(LstMachines[Nbre],LstMachines[Model-Spec],PrévisionBoris[[#This Row],[Spec]],LstMachines[Status],PrévisionBoris[[#This Row],[Status]],LstMachines[MoisLivr],AQ$1)</f>
        <v>0</v>
      </c>
      <c r="AR53" s="206">
        <f>SUMIFS(LstMachines[Nbre],LstMachines[Model-Spec],PrévisionBoris[[#This Row],[Spec]],LstMachines[Status],PrévisionBoris[[#This Row],[Status]],LstMachines[MoisLivr],AR$1)</f>
        <v>0</v>
      </c>
      <c r="AS53" s="207">
        <f>SUMIFS(LstMachines[Nbre],LstMachines[Model-Spec],PrévisionBoris[[#This Row],[Spec]],LstMachines[Status],PrévisionBoris[[#This Row],[Status]],LstMachines[MoisLivr],AS$1)</f>
        <v>0</v>
      </c>
      <c r="AT53" s="207">
        <f>SUMIFS(LstMachines[Nbre],LstMachines[Model-Spec],PrévisionBoris[[#This Row],[Spec]],LstMachines[Status],PrévisionBoris[[#This Row],[Status]],LstMachines[MoisLivr],AT$1)</f>
        <v>0</v>
      </c>
      <c r="AU53" s="206">
        <f>SUMIFS(LstMachines[Nbre],LstMachines[Model-Spec],PrévisionBoris[[#This Row],[Spec]],LstMachines[Status],PrévisionBoris[[#This Row],[Status]],LstMachines[MoisLivr],AU$1)</f>
        <v>0</v>
      </c>
      <c r="AV53" s="233">
        <f>SUMIFS(LstMachines[Nbre],LstMachines[Model-Spec],PrévisionBoris[[#This Row],[Spec]],LstMachines[Status],PrévisionBoris[[#This Row],[Status]],LstMachines[MoisLivr],AV$1)</f>
        <v>0</v>
      </c>
      <c r="AW53" s="208">
        <f>SUMIFS(LstMachines[Nbre],LstMachines[Model-Spec],PrévisionBoris[[#This Row],[Spec]],LstMachines[Status],PrévisionBoris[[#This Row],[Status]],LstMachines[MoisLivr],AW$1)</f>
        <v>0</v>
      </c>
      <c r="AX53" s="225"/>
      <c r="AY53" s="211">
        <f t="shared" si="3"/>
        <v>0</v>
      </c>
      <c r="AZ53" s="212">
        <f t="shared" si="4"/>
        <v>0</v>
      </c>
      <c r="BA53" s="212">
        <f t="shared" si="5"/>
        <v>0</v>
      </c>
      <c r="BB53" s="213">
        <f t="shared" si="6"/>
        <v>0</v>
      </c>
      <c r="BC53" s="225">
        <f t="shared" si="7"/>
        <v>0</v>
      </c>
      <c r="BD53" s="211">
        <f t="shared" si="8"/>
        <v>0</v>
      </c>
      <c r="BE53" s="212">
        <f t="shared" si="9"/>
        <v>0</v>
      </c>
      <c r="BF53" s="212">
        <f t="shared" si="10"/>
        <v>0</v>
      </c>
      <c r="BG53" s="213">
        <f t="shared" si="11"/>
        <v>0</v>
      </c>
      <c r="BH53" s="225">
        <f t="shared" si="12"/>
        <v>0</v>
      </c>
      <c r="BI53" s="214">
        <f t="shared" si="13"/>
        <v>0</v>
      </c>
      <c r="BJ53" s="215">
        <f t="shared" si="14"/>
        <v>0</v>
      </c>
      <c r="BK53" s="215">
        <f t="shared" si="15"/>
        <v>0</v>
      </c>
      <c r="BL53" s="216">
        <f t="shared" si="16"/>
        <v>0</v>
      </c>
      <c r="BM53" s="225">
        <f t="shared" si="17"/>
        <v>0</v>
      </c>
      <c r="BN53" s="225"/>
      <c r="BO53" s="234"/>
      <c r="BP53" s="218">
        <f t="shared" si="18"/>
        <v>0</v>
      </c>
    </row>
    <row r="54" spans="1:68">
      <c r="A54" s="170">
        <v>47</v>
      </c>
      <c r="B54" s="170" t="s">
        <v>151</v>
      </c>
      <c r="C54" s="200">
        <v>220</v>
      </c>
      <c r="D54" s="170" t="s">
        <v>168</v>
      </c>
      <c r="E54" s="170" t="s">
        <v>171</v>
      </c>
      <c r="F54" s="200">
        <f>VLOOKUP(PrévisionBoris[[#This Row],[Spec]],TabModelSpecs[[ModelSpec]:[Price]],2,FALSE)</f>
        <v>140</v>
      </c>
      <c r="G54" s="170" t="s">
        <v>462</v>
      </c>
      <c r="H54" s="219">
        <f>SUMIFS(LstMachines[Nbre],LstMachines[Model-Spec],PrévisionBoris[[#This Row],[Spec]],LstMachines[Status],PrévisionBoris[[#This Row],[Status]],LstMachines[MoisLivr],H$1)</f>
        <v>0</v>
      </c>
      <c r="I54" s="220">
        <f>SUMIFS(LstMachines[Nbre],LstMachines[Model-Spec],PrévisionBoris[[#This Row],[Spec]],LstMachines[Status],PrévisionBoris[[#This Row],[Status]],LstMachines[MoisLivr],I$1)</f>
        <v>0</v>
      </c>
      <c r="J54" s="221">
        <f>SUMIFS(LstMachines[Nbre],LstMachines[Model-Spec],PrévisionBoris[[#This Row],[Spec]],LstMachines[Status],PrévisionBoris[[#This Row],[Status]],LstMachines[MoisLivr],J$1)</f>
        <v>0</v>
      </c>
      <c r="K54" s="219">
        <f>SUMIFS(LstMachines[Nbre],LstMachines[Model-Spec],PrévisionBoris[[#This Row],[Spec]],LstMachines[Status],PrévisionBoris[[#This Row],[Status]],LstMachines[MoisLivr],K$1)</f>
        <v>0</v>
      </c>
      <c r="L54" s="220">
        <f>SUMIFS(LstMachines[Nbre],LstMachines[Model-Spec],PrévisionBoris[[#This Row],[Spec]],LstMachines[Status],PrévisionBoris[[#This Row],[Status]],LstMachines[MoisLivr],L$1)</f>
        <v>0</v>
      </c>
      <c r="M54" s="221">
        <f>SUMIFS(LstMachines[Nbre],LstMachines[Model-Spec],PrévisionBoris[[#This Row],[Spec]],LstMachines[Status],PrévisionBoris[[#This Row],[Status]],LstMachines[MoisLivr],M$1)</f>
        <v>0</v>
      </c>
      <c r="N54" s="219">
        <f>SUMIFS(LstMachines[Nbre],LstMachines[Model-Spec],PrévisionBoris[[#This Row],[Spec]],LstMachines[Status],PrévisionBoris[[#This Row],[Status]],LstMachines[MoisLivr],N$1)</f>
        <v>0</v>
      </c>
      <c r="O54" s="220">
        <f>SUMIFS(LstMachines[Nbre],LstMachines[Model-Spec],PrévisionBoris[[#This Row],[Spec]],LstMachines[Status],PrévisionBoris[[#This Row],[Status]],LstMachines[MoisLivr],O$1)</f>
        <v>0</v>
      </c>
      <c r="P54" s="221">
        <f>SUMIFS(LstMachines[Nbre],LstMachines[Model-Spec],PrévisionBoris[[#This Row],[Spec]],LstMachines[Status],PrévisionBoris[[#This Row],[Status]],LstMachines[MoisLivr],P$1)</f>
        <v>0</v>
      </c>
      <c r="Q54" s="222">
        <f>SUMIFS(LstMachines[Nbre],LstMachines[Model-Spec],PrévisionBoris[[#This Row],[Spec]],LstMachines[Status],PrévisionBoris[[#This Row],[Status]],LstMachines[MoisLivr],Q$1)</f>
        <v>0</v>
      </c>
      <c r="R54" s="220">
        <f>SUMIFS(LstMachines[Nbre],LstMachines[Model-Spec],PrévisionBoris[[#This Row],[Spec]],LstMachines[Status],PrévisionBoris[[#This Row],[Status]],LstMachines[MoisLivr],R$1)</f>
        <v>0</v>
      </c>
      <c r="S54" s="220">
        <f>SUMIFS(LstMachines[Nbre],LstMachines[Model-Spec],PrévisionBoris[[#This Row],[Spec]],LstMachines[Status],PrévisionBoris[[#This Row],[Status]],LstMachines[MoisLivr],S$1)</f>
        <v>0</v>
      </c>
      <c r="T54" s="219">
        <f>SUMIFS(LstMachines[Nbre],LstMachines[Model-Spec],PrévisionBoris[[#This Row],[Spec]],LstMachines[Status],PrévisionBoris[[#This Row],[Status]],LstMachines[MoisLivr],T$1)</f>
        <v>0</v>
      </c>
      <c r="U54" s="220">
        <f>SUMIFS(LstMachines[Nbre],LstMachines[Model-Spec],PrévisionBoris[[#This Row],[Spec]],LstMachines[Status],PrévisionBoris[[#This Row],[Status]],LstMachines[MoisLivr],U$1)</f>
        <v>0</v>
      </c>
      <c r="V54" s="220">
        <f>SUMIFS(LstMachines[Nbre],LstMachines[Model-Spec],PrévisionBoris[[#This Row],[Spec]],LstMachines[Status],PrévisionBoris[[#This Row],[Status]],LstMachines[MoisLivr],V$1)</f>
        <v>0</v>
      </c>
      <c r="W54" s="219">
        <f>SUMIFS(LstMachines[Nbre],LstMachines[Model-Spec],PrévisionBoris[[#This Row],[Spec]],LstMachines[Status],PrévisionBoris[[#This Row],[Status]],LstMachines[MoisLivr],W$1)</f>
        <v>0</v>
      </c>
      <c r="X54" s="220">
        <f>SUMIFS(LstMachines[Nbre],LstMachines[Model-Spec],PrévisionBoris[[#This Row],[Spec]],LstMachines[Status],PrévisionBoris[[#This Row],[Status]],LstMachines[MoisLivr],X$1)</f>
        <v>0</v>
      </c>
      <c r="Y54" s="220">
        <f>SUMIFS(LstMachines[Nbre],LstMachines[Model-Spec],PrévisionBoris[[#This Row],[Spec]],LstMachines[Status],PrévisionBoris[[#This Row],[Status]],LstMachines[MoisLivr],Y$1)</f>
        <v>0</v>
      </c>
      <c r="Z54" s="219">
        <f>SUMIFS(LstMachines[Nbre],LstMachines[Model-Spec],PrévisionBoris[[#This Row],[Spec]],LstMachines[Status],PrévisionBoris[[#This Row],[Status]],LstMachines[MoisLivr],Z$1)</f>
        <v>0</v>
      </c>
      <c r="AA54" s="220">
        <f>SUMIFS(LstMachines[Nbre],LstMachines[Model-Spec],PrévisionBoris[[#This Row],[Spec]],LstMachines[Status],PrévisionBoris[[#This Row],[Status]],LstMachines[MoisLivr],AA$1)</f>
        <v>0</v>
      </c>
      <c r="AB54" s="220">
        <f>SUMIFS(LstMachines[Nbre],LstMachines[Model-Spec],PrévisionBoris[[#This Row],[Spec]],LstMachines[Status],PrévisionBoris[[#This Row],[Status]],LstMachines[MoisLivr],AB$1)</f>
        <v>0</v>
      </c>
      <c r="AC54" s="219">
        <f>SUMIFS(LstMachines[Nbre],LstMachines[Model-Spec],PrévisionBoris[[#This Row],[Spec]],LstMachines[Status],PrévisionBoris[[#This Row],[Status]],LstMachines[MoisLivr],AC$1)</f>
        <v>0</v>
      </c>
      <c r="AD54" s="220">
        <f>SUMIFS(LstMachines[Nbre],LstMachines[Model-Spec],PrévisionBoris[[#This Row],[Spec]],LstMachines[Status],PrévisionBoris[[#This Row],[Status]],LstMachines[MoisLivr],AD$1)</f>
        <v>0</v>
      </c>
      <c r="AE54" s="220">
        <f>SUMIFS(LstMachines[Nbre],LstMachines[Model-Spec],PrévisionBoris[[#This Row],[Spec]],LstMachines[Status],PrévisionBoris[[#This Row],[Status]],LstMachines[MoisLivr],AE$1)</f>
        <v>0</v>
      </c>
      <c r="AF54" s="219">
        <f>SUMIFS(LstMachines[Nbre],LstMachines[Model-Spec],PrévisionBoris[[#This Row],[Spec]],LstMachines[Status],PrévisionBoris[[#This Row],[Status]],LstMachines[MoisLivr],AF$1)</f>
        <v>0</v>
      </c>
      <c r="AG54" s="220">
        <f>SUMIFS(LstMachines[Nbre],LstMachines[Model-Spec],PrévisionBoris[[#This Row],[Spec]],LstMachines[Status],PrévisionBoris[[#This Row],[Status]],LstMachines[MoisLivr],AG$1)</f>
        <v>0</v>
      </c>
      <c r="AH54" s="220">
        <f>SUMIFS(LstMachines[Nbre],LstMachines[Model-Spec],PrévisionBoris[[#This Row],[Spec]],LstMachines[Status],PrévisionBoris[[#This Row],[Status]],LstMachines[MoisLivr],AH$1)</f>
        <v>0</v>
      </c>
      <c r="AI54" s="219">
        <f>SUMIFS(LstMachines[Nbre],LstMachines[Model-Spec],PrévisionBoris[[#This Row],[Spec]],LstMachines[Status],PrévisionBoris[[#This Row],[Status]],LstMachines[MoisLivr],AI$1)</f>
        <v>0</v>
      </c>
      <c r="AJ54" s="220">
        <f>SUMIFS(LstMachines[Nbre],LstMachines[Model-Spec],PrévisionBoris[[#This Row],[Spec]],LstMachines[Status],PrévisionBoris[[#This Row],[Status]],LstMachines[MoisLivr],AJ$1)</f>
        <v>0</v>
      </c>
      <c r="AK54" s="220">
        <f>SUMIFS(LstMachines[Nbre],LstMachines[Model-Spec],PrévisionBoris[[#This Row],[Spec]],LstMachines[Status],PrévisionBoris[[#This Row],[Status]],LstMachines[MoisLivr],AK$1)</f>
        <v>0</v>
      </c>
      <c r="AL54" s="219">
        <f>SUMIFS(LstMachines[Nbre],LstMachines[Model-Spec],PrévisionBoris[[#This Row],[Spec]],LstMachines[Status],PrévisionBoris[[#This Row],[Status]],LstMachines[MoisLivr],AL$1)</f>
        <v>0</v>
      </c>
      <c r="AM54" s="220">
        <f>SUMIFS(LstMachines[Nbre],LstMachines[Model-Spec],PrévisionBoris[[#This Row],[Spec]],LstMachines[Status],PrévisionBoris[[#This Row],[Status]],LstMachines[MoisLivr],AM$1)</f>
        <v>0</v>
      </c>
      <c r="AN54" s="220">
        <f>SUMIFS(LstMachines[Nbre],LstMachines[Model-Spec],PrévisionBoris[[#This Row],[Spec]],LstMachines[Status],PrévisionBoris[[#This Row],[Status]],LstMachines[MoisLivr],AN$1)</f>
        <v>0</v>
      </c>
      <c r="AO54" s="219">
        <f>SUMIFS(LstMachines[Nbre],LstMachines[Model-Spec],PrévisionBoris[[#This Row],[Spec]],LstMachines[Status],PrévisionBoris[[#This Row],[Status]],LstMachines[MoisLivr],AO$1)</f>
        <v>0</v>
      </c>
      <c r="AP54" s="220">
        <f>SUMIFS(LstMachines[Nbre],LstMachines[Model-Spec],PrévisionBoris[[#This Row],[Spec]],LstMachines[Status],PrévisionBoris[[#This Row],[Status]],LstMachines[MoisLivr],AP$1)</f>
        <v>0</v>
      </c>
      <c r="AQ54" s="220">
        <f>SUMIFS(LstMachines[Nbre],LstMachines[Model-Spec],PrévisionBoris[[#This Row],[Spec]],LstMachines[Status],PrévisionBoris[[#This Row],[Status]],LstMachines[MoisLivr],AQ$1)</f>
        <v>0</v>
      </c>
      <c r="AR54" s="219">
        <f>SUMIFS(LstMachines[Nbre],LstMachines[Model-Spec],PrévisionBoris[[#This Row],[Spec]],LstMachines[Status],PrévisionBoris[[#This Row],[Status]],LstMachines[MoisLivr],AR$1)</f>
        <v>0</v>
      </c>
      <c r="AS54" s="220">
        <f>SUMIFS(LstMachines[Nbre],LstMachines[Model-Spec],PrévisionBoris[[#This Row],[Spec]],LstMachines[Status],PrévisionBoris[[#This Row],[Status]],LstMachines[MoisLivr],AS$1)</f>
        <v>0</v>
      </c>
      <c r="AT54" s="220">
        <f>SUMIFS(LstMachines[Nbre],LstMachines[Model-Spec],PrévisionBoris[[#This Row],[Spec]],LstMachines[Status],PrévisionBoris[[#This Row],[Status]],LstMachines[MoisLivr],AT$1)</f>
        <v>0</v>
      </c>
      <c r="AU54" s="219">
        <f>SUMIFS(LstMachines[Nbre],LstMachines[Model-Spec],PrévisionBoris[[#This Row],[Spec]],LstMachines[Status],PrévisionBoris[[#This Row],[Status]],LstMachines[MoisLivr],AU$1)</f>
        <v>0</v>
      </c>
      <c r="AV54" s="223">
        <f>SUMIFS(LstMachines[Nbre],LstMachines[Model-Spec],PrévisionBoris[[#This Row],[Spec]],LstMachines[Status],PrévisionBoris[[#This Row],[Status]],LstMachines[MoisLivr],AV$1)</f>
        <v>0</v>
      </c>
      <c r="AW54" s="224">
        <f>SUMIFS(LstMachines[Nbre],LstMachines[Model-Spec],PrévisionBoris[[#This Row],[Spec]],LstMachines[Status],PrévisionBoris[[#This Row],[Status]],LstMachines[MoisLivr],AW$1)</f>
        <v>0</v>
      </c>
      <c r="AX54" s="210"/>
      <c r="AY54" s="211">
        <f t="shared" si="3"/>
        <v>0</v>
      </c>
      <c r="AZ54" s="212">
        <f t="shared" si="4"/>
        <v>0</v>
      </c>
      <c r="BA54" s="212">
        <f t="shared" si="5"/>
        <v>0</v>
      </c>
      <c r="BB54" s="213">
        <f t="shared" si="6"/>
        <v>0</v>
      </c>
      <c r="BC54" s="225">
        <f t="shared" si="7"/>
        <v>0</v>
      </c>
      <c r="BD54" s="211">
        <f t="shared" si="8"/>
        <v>0</v>
      </c>
      <c r="BE54" s="212">
        <f t="shared" si="9"/>
        <v>0</v>
      </c>
      <c r="BF54" s="212">
        <f t="shared" si="10"/>
        <v>0</v>
      </c>
      <c r="BG54" s="213">
        <f t="shared" si="11"/>
        <v>0</v>
      </c>
      <c r="BH54" s="225">
        <f t="shared" si="12"/>
        <v>0</v>
      </c>
      <c r="BI54" s="214">
        <f t="shared" si="13"/>
        <v>0</v>
      </c>
      <c r="BJ54" s="215">
        <f t="shared" si="14"/>
        <v>0</v>
      </c>
      <c r="BK54" s="215">
        <f t="shared" si="15"/>
        <v>0</v>
      </c>
      <c r="BL54" s="216">
        <f t="shared" si="16"/>
        <v>0</v>
      </c>
      <c r="BM54" s="225">
        <f t="shared" si="17"/>
        <v>0</v>
      </c>
      <c r="BN54" s="225"/>
      <c r="BO54" s="217"/>
      <c r="BP54" s="218">
        <f t="shared" si="18"/>
        <v>0</v>
      </c>
    </row>
    <row r="55" spans="1:68">
      <c r="A55" s="171">
        <v>48</v>
      </c>
      <c r="B55" s="171" t="s">
        <v>151</v>
      </c>
      <c r="C55" s="201">
        <v>220</v>
      </c>
      <c r="D55" s="171" t="s">
        <v>168</v>
      </c>
      <c r="E55" s="171" t="s">
        <v>171</v>
      </c>
      <c r="F55" s="201">
        <f>VLOOKUP(PrévisionBoris[[#This Row],[Spec]],TabModelSpecs[[ModelSpec]:[Price]],2,FALSE)</f>
        <v>140</v>
      </c>
      <c r="G55" s="171" t="s">
        <v>463</v>
      </c>
      <c r="H55" s="226">
        <f>SUMIFS(LstMachines[Nbre],LstMachines[Model-Spec],PrévisionBoris[[#This Row],[Spec]],LstMachines[Status],PrévisionBoris[[#This Row],[Status]],LstMachines[MoisLivr],H$1)</f>
        <v>0</v>
      </c>
      <c r="I55" s="227">
        <f>SUMIFS(LstMachines[Nbre],LstMachines[Model-Spec],PrévisionBoris[[#This Row],[Spec]],LstMachines[Status],PrévisionBoris[[#This Row],[Status]],LstMachines[MoisLivr],I$1)</f>
        <v>0</v>
      </c>
      <c r="J55" s="228">
        <f>SUMIFS(LstMachines[Nbre],LstMachines[Model-Spec],PrévisionBoris[[#This Row],[Spec]],LstMachines[Status],PrévisionBoris[[#This Row],[Status]],LstMachines[MoisLivr],J$1)</f>
        <v>0</v>
      </c>
      <c r="K55" s="226">
        <f>SUMIFS(LstMachines[Nbre],LstMachines[Model-Spec],PrévisionBoris[[#This Row],[Spec]],LstMachines[Status],PrévisionBoris[[#This Row],[Status]],LstMachines[MoisLivr],K$1)</f>
        <v>0</v>
      </c>
      <c r="L55" s="227">
        <f>SUMIFS(LstMachines[Nbre],LstMachines[Model-Spec],PrévisionBoris[[#This Row],[Spec]],LstMachines[Status],PrévisionBoris[[#This Row],[Status]],LstMachines[MoisLivr],L$1)</f>
        <v>0</v>
      </c>
      <c r="M55" s="228">
        <f>SUMIFS(LstMachines[Nbre],LstMachines[Model-Spec],PrévisionBoris[[#This Row],[Spec]],LstMachines[Status],PrévisionBoris[[#This Row],[Status]],LstMachines[MoisLivr],M$1)</f>
        <v>0</v>
      </c>
      <c r="N55" s="226">
        <f>SUMIFS(LstMachines[Nbre],LstMachines[Model-Spec],PrévisionBoris[[#This Row],[Spec]],LstMachines[Status],PrévisionBoris[[#This Row],[Status]],LstMachines[MoisLivr],N$1)</f>
        <v>1</v>
      </c>
      <c r="O55" s="227">
        <f>SUMIFS(LstMachines[Nbre],LstMachines[Model-Spec],PrévisionBoris[[#This Row],[Spec]],LstMachines[Status],PrévisionBoris[[#This Row],[Status]],LstMachines[MoisLivr],O$1)</f>
        <v>0</v>
      </c>
      <c r="P55" s="228">
        <f>SUMIFS(LstMachines[Nbre],LstMachines[Model-Spec],PrévisionBoris[[#This Row],[Spec]],LstMachines[Status],PrévisionBoris[[#This Row],[Status]],LstMachines[MoisLivr],P$1)</f>
        <v>0</v>
      </c>
      <c r="Q55" s="229">
        <f>SUMIFS(LstMachines[Nbre],LstMachines[Model-Spec],PrévisionBoris[[#This Row],[Spec]],LstMachines[Status],PrévisionBoris[[#This Row],[Status]],LstMachines[MoisLivr],Q$1)</f>
        <v>0</v>
      </c>
      <c r="R55" s="227">
        <f>SUMIFS(LstMachines[Nbre],LstMachines[Model-Spec],PrévisionBoris[[#This Row],[Spec]],LstMachines[Status],PrévisionBoris[[#This Row],[Status]],LstMachines[MoisLivr],R$1)</f>
        <v>0</v>
      </c>
      <c r="S55" s="227">
        <f>SUMIFS(LstMachines[Nbre],LstMachines[Model-Spec],PrévisionBoris[[#This Row],[Spec]],LstMachines[Status],PrévisionBoris[[#This Row],[Status]],LstMachines[MoisLivr],S$1)</f>
        <v>0</v>
      </c>
      <c r="T55" s="226">
        <f>SUMIFS(LstMachines[Nbre],LstMachines[Model-Spec],PrévisionBoris[[#This Row],[Spec]],LstMachines[Status],PrévisionBoris[[#This Row],[Status]],LstMachines[MoisLivr],T$1)</f>
        <v>0</v>
      </c>
      <c r="U55" s="227">
        <f>SUMIFS(LstMachines[Nbre],LstMachines[Model-Spec],PrévisionBoris[[#This Row],[Spec]],LstMachines[Status],PrévisionBoris[[#This Row],[Status]],LstMachines[MoisLivr],U$1)</f>
        <v>0</v>
      </c>
      <c r="V55" s="227">
        <f>SUMIFS(LstMachines[Nbre],LstMachines[Model-Spec],PrévisionBoris[[#This Row],[Spec]],LstMachines[Status],PrévisionBoris[[#This Row],[Status]],LstMachines[MoisLivr],V$1)</f>
        <v>1</v>
      </c>
      <c r="W55" s="226">
        <f>SUMIFS(LstMachines[Nbre],LstMachines[Model-Spec],PrévisionBoris[[#This Row],[Spec]],LstMachines[Status],PrévisionBoris[[#This Row],[Status]],LstMachines[MoisLivr],W$1)</f>
        <v>0</v>
      </c>
      <c r="X55" s="227">
        <f>SUMIFS(LstMachines[Nbre],LstMachines[Model-Spec],PrévisionBoris[[#This Row],[Spec]],LstMachines[Status],PrévisionBoris[[#This Row],[Status]],LstMachines[MoisLivr],X$1)</f>
        <v>0</v>
      </c>
      <c r="Y55" s="227">
        <f>SUMIFS(LstMachines[Nbre],LstMachines[Model-Spec],PrévisionBoris[[#This Row],[Spec]],LstMachines[Status],PrévisionBoris[[#This Row],[Status]],LstMachines[MoisLivr],Y$1)</f>
        <v>0</v>
      </c>
      <c r="Z55" s="226">
        <f>SUMIFS(LstMachines[Nbre],LstMachines[Model-Spec],PrévisionBoris[[#This Row],[Spec]],LstMachines[Status],PrévisionBoris[[#This Row],[Status]],LstMachines[MoisLivr],Z$1)</f>
        <v>0</v>
      </c>
      <c r="AA55" s="227">
        <f>SUMIFS(LstMachines[Nbre],LstMachines[Model-Spec],PrévisionBoris[[#This Row],[Spec]],LstMachines[Status],PrévisionBoris[[#This Row],[Status]],LstMachines[MoisLivr],AA$1)</f>
        <v>0</v>
      </c>
      <c r="AB55" s="227">
        <f>SUMIFS(LstMachines[Nbre],LstMachines[Model-Spec],PrévisionBoris[[#This Row],[Spec]],LstMachines[Status],PrévisionBoris[[#This Row],[Status]],LstMachines[MoisLivr],AB$1)</f>
        <v>0</v>
      </c>
      <c r="AC55" s="226">
        <f>SUMIFS(LstMachines[Nbre],LstMachines[Model-Spec],PrévisionBoris[[#This Row],[Spec]],LstMachines[Status],PrévisionBoris[[#This Row],[Status]],LstMachines[MoisLivr],AC$1)</f>
        <v>0</v>
      </c>
      <c r="AD55" s="227">
        <f>SUMIFS(LstMachines[Nbre],LstMachines[Model-Spec],PrévisionBoris[[#This Row],[Spec]],LstMachines[Status],PrévisionBoris[[#This Row],[Status]],LstMachines[MoisLivr],AD$1)</f>
        <v>0</v>
      </c>
      <c r="AE55" s="227">
        <f>SUMIFS(LstMachines[Nbre],LstMachines[Model-Spec],PrévisionBoris[[#This Row],[Spec]],LstMachines[Status],PrévisionBoris[[#This Row],[Status]],LstMachines[MoisLivr],AE$1)</f>
        <v>0</v>
      </c>
      <c r="AF55" s="226">
        <f>SUMIFS(LstMachines[Nbre],LstMachines[Model-Spec],PrévisionBoris[[#This Row],[Spec]],LstMachines[Status],PrévisionBoris[[#This Row],[Status]],LstMachines[MoisLivr],AF$1)</f>
        <v>0</v>
      </c>
      <c r="AG55" s="227">
        <f>SUMIFS(LstMachines[Nbre],LstMachines[Model-Spec],PrévisionBoris[[#This Row],[Spec]],LstMachines[Status],PrévisionBoris[[#This Row],[Status]],LstMachines[MoisLivr],AG$1)</f>
        <v>0</v>
      </c>
      <c r="AH55" s="227">
        <f>SUMIFS(LstMachines[Nbre],LstMachines[Model-Spec],PrévisionBoris[[#This Row],[Spec]],LstMachines[Status],PrévisionBoris[[#This Row],[Status]],LstMachines[MoisLivr],AH$1)</f>
        <v>0</v>
      </c>
      <c r="AI55" s="226">
        <f>SUMIFS(LstMachines[Nbre],LstMachines[Model-Spec],PrévisionBoris[[#This Row],[Spec]],LstMachines[Status],PrévisionBoris[[#This Row],[Status]],LstMachines[MoisLivr],AI$1)</f>
        <v>0</v>
      </c>
      <c r="AJ55" s="227">
        <f>SUMIFS(LstMachines[Nbre],LstMachines[Model-Spec],PrévisionBoris[[#This Row],[Spec]],LstMachines[Status],PrévisionBoris[[#This Row],[Status]],LstMachines[MoisLivr],AJ$1)</f>
        <v>0</v>
      </c>
      <c r="AK55" s="227">
        <f>SUMIFS(LstMachines[Nbre],LstMachines[Model-Spec],PrévisionBoris[[#This Row],[Spec]],LstMachines[Status],PrévisionBoris[[#This Row],[Status]],LstMachines[MoisLivr],AK$1)</f>
        <v>0</v>
      </c>
      <c r="AL55" s="226">
        <f>SUMIFS(LstMachines[Nbre],LstMachines[Model-Spec],PrévisionBoris[[#This Row],[Spec]],LstMachines[Status],PrévisionBoris[[#This Row],[Status]],LstMachines[MoisLivr],AL$1)</f>
        <v>0</v>
      </c>
      <c r="AM55" s="227">
        <f>SUMIFS(LstMachines[Nbre],LstMachines[Model-Spec],PrévisionBoris[[#This Row],[Spec]],LstMachines[Status],PrévisionBoris[[#This Row],[Status]],LstMachines[MoisLivr],AM$1)</f>
        <v>0</v>
      </c>
      <c r="AN55" s="227">
        <f>SUMIFS(LstMachines[Nbre],LstMachines[Model-Spec],PrévisionBoris[[#This Row],[Spec]],LstMachines[Status],PrévisionBoris[[#This Row],[Status]],LstMachines[MoisLivr],AN$1)</f>
        <v>0</v>
      </c>
      <c r="AO55" s="226">
        <f>SUMIFS(LstMachines[Nbre],LstMachines[Model-Spec],PrévisionBoris[[#This Row],[Spec]],LstMachines[Status],PrévisionBoris[[#This Row],[Status]],LstMachines[MoisLivr],AO$1)</f>
        <v>0</v>
      </c>
      <c r="AP55" s="227">
        <f>SUMIFS(LstMachines[Nbre],LstMachines[Model-Spec],PrévisionBoris[[#This Row],[Spec]],LstMachines[Status],PrévisionBoris[[#This Row],[Status]],LstMachines[MoisLivr],AP$1)</f>
        <v>0</v>
      </c>
      <c r="AQ55" s="227">
        <f>SUMIFS(LstMachines[Nbre],LstMachines[Model-Spec],PrévisionBoris[[#This Row],[Spec]],LstMachines[Status],PrévisionBoris[[#This Row],[Status]],LstMachines[MoisLivr],AQ$1)</f>
        <v>0</v>
      </c>
      <c r="AR55" s="226">
        <f>SUMIFS(LstMachines[Nbre],LstMachines[Model-Spec],PrévisionBoris[[#This Row],[Spec]],LstMachines[Status],PrévisionBoris[[#This Row],[Status]],LstMachines[MoisLivr],AR$1)</f>
        <v>0</v>
      </c>
      <c r="AS55" s="227">
        <f>SUMIFS(LstMachines[Nbre],LstMachines[Model-Spec],PrévisionBoris[[#This Row],[Spec]],LstMachines[Status],PrévisionBoris[[#This Row],[Status]],LstMachines[MoisLivr],AS$1)</f>
        <v>0</v>
      </c>
      <c r="AT55" s="227">
        <f>SUMIFS(LstMachines[Nbre],LstMachines[Model-Spec],PrévisionBoris[[#This Row],[Spec]],LstMachines[Status],PrévisionBoris[[#This Row],[Status]],LstMachines[MoisLivr],AT$1)</f>
        <v>0</v>
      </c>
      <c r="AU55" s="226">
        <f>SUMIFS(LstMachines[Nbre],LstMachines[Model-Spec],PrévisionBoris[[#This Row],[Spec]],LstMachines[Status],PrévisionBoris[[#This Row],[Status]],LstMachines[MoisLivr],AU$1)</f>
        <v>0</v>
      </c>
      <c r="AV55" s="230">
        <f>SUMIFS(LstMachines[Nbre],LstMachines[Model-Spec],PrévisionBoris[[#This Row],[Spec]],LstMachines[Status],PrévisionBoris[[#This Row],[Status]],LstMachines[MoisLivr],AV$1)</f>
        <v>0</v>
      </c>
      <c r="AW55" s="231">
        <f>SUMIFS(LstMachines[Nbre],LstMachines[Model-Spec],PrévisionBoris[[#This Row],[Spec]],LstMachines[Status],PrévisionBoris[[#This Row],[Status]],LstMachines[MoisLivr],AW$1)</f>
        <v>0</v>
      </c>
      <c r="AX55" s="232"/>
      <c r="AY55" s="211">
        <f t="shared" si="3"/>
        <v>0</v>
      </c>
      <c r="AZ55" s="212">
        <f t="shared" si="4"/>
        <v>1</v>
      </c>
      <c r="BA55" s="212">
        <f t="shared" si="5"/>
        <v>0</v>
      </c>
      <c r="BB55" s="213">
        <f t="shared" si="6"/>
        <v>1</v>
      </c>
      <c r="BC55" s="225">
        <f t="shared" si="7"/>
        <v>2</v>
      </c>
      <c r="BD55" s="211">
        <f t="shared" si="8"/>
        <v>0</v>
      </c>
      <c r="BE55" s="212">
        <f t="shared" si="9"/>
        <v>0</v>
      </c>
      <c r="BF55" s="212">
        <f t="shared" si="10"/>
        <v>0</v>
      </c>
      <c r="BG55" s="213">
        <f t="shared" si="11"/>
        <v>0</v>
      </c>
      <c r="BH55" s="225">
        <f t="shared" si="12"/>
        <v>0</v>
      </c>
      <c r="BI55" s="214">
        <f t="shared" si="13"/>
        <v>0</v>
      </c>
      <c r="BJ55" s="215">
        <f t="shared" si="14"/>
        <v>0</v>
      </c>
      <c r="BK55" s="215">
        <f t="shared" si="15"/>
        <v>0</v>
      </c>
      <c r="BL55" s="216">
        <f t="shared" si="16"/>
        <v>0</v>
      </c>
      <c r="BM55" s="225">
        <f t="shared" si="17"/>
        <v>0</v>
      </c>
      <c r="BN55" s="225"/>
      <c r="BO55" s="217"/>
      <c r="BP55" s="218">
        <f t="shared" si="18"/>
        <v>2</v>
      </c>
    </row>
    <row r="56" spans="1:68">
      <c r="A56" s="172">
        <v>49</v>
      </c>
      <c r="B56" s="172" t="s">
        <v>151</v>
      </c>
      <c r="C56" s="202">
        <v>250</v>
      </c>
      <c r="D56" s="172" t="s">
        <v>172</v>
      </c>
      <c r="E56" s="172" t="s">
        <v>173</v>
      </c>
      <c r="F56" s="202">
        <f>VLOOKUP(PrévisionBoris[[#This Row],[Spec]],TabModelSpecs[[ModelSpec]:[Price]],2,FALSE)</f>
        <v>150</v>
      </c>
      <c r="G56" s="172" t="s">
        <v>461</v>
      </c>
      <c r="H56" s="206">
        <f>SUMIFS(LstMachines[Nbre],LstMachines[Model-Spec],PrévisionBoris[[#This Row],[Spec]],LstMachines[Status],PrévisionBoris[[#This Row],[Status]],LstMachines[MoisLivr],H$1)</f>
        <v>0</v>
      </c>
      <c r="I56" s="207">
        <f>SUMIFS(LstMachines[Nbre],LstMachines[Model-Spec],PrévisionBoris[[#This Row],[Spec]],LstMachines[Status],PrévisionBoris[[#This Row],[Status]],LstMachines[MoisLivr],I$1)</f>
        <v>0</v>
      </c>
      <c r="J56" s="208">
        <f>SUMIFS(LstMachines[Nbre],LstMachines[Model-Spec],PrévisionBoris[[#This Row],[Spec]],LstMachines[Status],PrévisionBoris[[#This Row],[Status]],LstMachines[MoisLivr],J$1)</f>
        <v>0</v>
      </c>
      <c r="K56" s="206">
        <f>SUMIFS(LstMachines[Nbre],LstMachines[Model-Spec],PrévisionBoris[[#This Row],[Spec]],LstMachines[Status],PrévisionBoris[[#This Row],[Status]],LstMachines[MoisLivr],K$1)</f>
        <v>0</v>
      </c>
      <c r="L56" s="207">
        <f>SUMIFS(LstMachines[Nbre],LstMachines[Model-Spec],PrévisionBoris[[#This Row],[Spec]],LstMachines[Status],PrévisionBoris[[#This Row],[Status]],LstMachines[MoisLivr],L$1)</f>
        <v>0</v>
      </c>
      <c r="M56" s="208">
        <f>SUMIFS(LstMachines[Nbre],LstMachines[Model-Spec],PrévisionBoris[[#This Row],[Spec]],LstMachines[Status],PrévisionBoris[[#This Row],[Status]],LstMachines[MoisLivr],M$1)</f>
        <v>0</v>
      </c>
      <c r="N56" s="206">
        <f>SUMIFS(LstMachines[Nbre],LstMachines[Model-Spec],PrévisionBoris[[#This Row],[Spec]],LstMachines[Status],PrévisionBoris[[#This Row],[Status]],LstMachines[MoisLivr],N$1)</f>
        <v>0</v>
      </c>
      <c r="O56" s="207">
        <f>SUMIFS(LstMachines[Nbre],LstMachines[Model-Spec],PrévisionBoris[[#This Row],[Spec]],LstMachines[Status],PrévisionBoris[[#This Row],[Status]],LstMachines[MoisLivr],O$1)</f>
        <v>0</v>
      </c>
      <c r="P56" s="208">
        <f>SUMIFS(LstMachines[Nbre],LstMachines[Model-Spec],PrévisionBoris[[#This Row],[Spec]],LstMachines[Status],PrévisionBoris[[#This Row],[Status]],LstMachines[MoisLivr],P$1)</f>
        <v>0</v>
      </c>
      <c r="Q56" s="209">
        <f>SUMIFS(LstMachines[Nbre],LstMachines[Model-Spec],PrévisionBoris[[#This Row],[Spec]],LstMachines[Status],PrévisionBoris[[#This Row],[Status]],LstMachines[MoisLivr],Q$1)</f>
        <v>0</v>
      </c>
      <c r="R56" s="207">
        <f>SUMIFS(LstMachines[Nbre],LstMachines[Model-Spec],PrévisionBoris[[#This Row],[Spec]],LstMachines[Status],PrévisionBoris[[#This Row],[Status]],LstMachines[MoisLivr],R$1)</f>
        <v>0</v>
      </c>
      <c r="S56" s="207">
        <f>SUMIFS(LstMachines[Nbre],LstMachines[Model-Spec],PrévisionBoris[[#This Row],[Spec]],LstMachines[Status],PrévisionBoris[[#This Row],[Status]],LstMachines[MoisLivr],S$1)</f>
        <v>0</v>
      </c>
      <c r="T56" s="206">
        <f>SUMIFS(LstMachines[Nbre],LstMachines[Model-Spec],PrévisionBoris[[#This Row],[Spec]],LstMachines[Status],PrévisionBoris[[#This Row],[Status]],LstMachines[MoisLivr],T$1)</f>
        <v>0</v>
      </c>
      <c r="U56" s="207">
        <f>SUMIFS(LstMachines[Nbre],LstMachines[Model-Spec],PrévisionBoris[[#This Row],[Spec]],LstMachines[Status],PrévisionBoris[[#This Row],[Status]],LstMachines[MoisLivr],U$1)</f>
        <v>0</v>
      </c>
      <c r="V56" s="207">
        <f>SUMIFS(LstMachines[Nbre],LstMachines[Model-Spec],PrévisionBoris[[#This Row],[Spec]],LstMachines[Status],PrévisionBoris[[#This Row],[Status]],LstMachines[MoisLivr],V$1)</f>
        <v>0</v>
      </c>
      <c r="W56" s="206">
        <f>SUMIFS(LstMachines[Nbre],LstMachines[Model-Spec],PrévisionBoris[[#This Row],[Spec]],LstMachines[Status],PrévisionBoris[[#This Row],[Status]],LstMachines[MoisLivr],W$1)</f>
        <v>0</v>
      </c>
      <c r="X56" s="207">
        <f>SUMIFS(LstMachines[Nbre],LstMachines[Model-Spec],PrévisionBoris[[#This Row],[Spec]],LstMachines[Status],PrévisionBoris[[#This Row],[Status]],LstMachines[MoisLivr],X$1)</f>
        <v>0</v>
      </c>
      <c r="Y56" s="207">
        <f>SUMIFS(LstMachines[Nbre],LstMachines[Model-Spec],PrévisionBoris[[#This Row],[Spec]],LstMachines[Status],PrévisionBoris[[#This Row],[Status]],LstMachines[MoisLivr],Y$1)</f>
        <v>0</v>
      </c>
      <c r="Z56" s="206">
        <f>SUMIFS(LstMachines[Nbre],LstMachines[Model-Spec],PrévisionBoris[[#This Row],[Spec]],LstMachines[Status],PrévisionBoris[[#This Row],[Status]],LstMachines[MoisLivr],Z$1)</f>
        <v>0</v>
      </c>
      <c r="AA56" s="207">
        <f>SUMIFS(LstMachines[Nbre],LstMachines[Model-Spec],PrévisionBoris[[#This Row],[Spec]],LstMachines[Status],PrévisionBoris[[#This Row],[Status]],LstMachines[MoisLivr],AA$1)</f>
        <v>0</v>
      </c>
      <c r="AB56" s="207">
        <f>SUMIFS(LstMachines[Nbre],LstMachines[Model-Spec],PrévisionBoris[[#This Row],[Spec]],LstMachines[Status],PrévisionBoris[[#This Row],[Status]],LstMachines[MoisLivr],AB$1)</f>
        <v>0</v>
      </c>
      <c r="AC56" s="206">
        <f>SUMIFS(LstMachines[Nbre],LstMachines[Model-Spec],PrévisionBoris[[#This Row],[Spec]],LstMachines[Status],PrévisionBoris[[#This Row],[Status]],LstMachines[MoisLivr],AC$1)</f>
        <v>0</v>
      </c>
      <c r="AD56" s="207">
        <f>SUMIFS(LstMachines[Nbre],LstMachines[Model-Spec],PrévisionBoris[[#This Row],[Spec]],LstMachines[Status],PrévisionBoris[[#This Row],[Status]],LstMachines[MoisLivr],AD$1)</f>
        <v>0</v>
      </c>
      <c r="AE56" s="207">
        <f>SUMIFS(LstMachines[Nbre],LstMachines[Model-Spec],PrévisionBoris[[#This Row],[Spec]],LstMachines[Status],PrévisionBoris[[#This Row],[Status]],LstMachines[MoisLivr],AE$1)</f>
        <v>0</v>
      </c>
      <c r="AF56" s="206">
        <f>SUMIFS(LstMachines[Nbre],LstMachines[Model-Spec],PrévisionBoris[[#This Row],[Spec]],LstMachines[Status],PrévisionBoris[[#This Row],[Status]],LstMachines[MoisLivr],AF$1)</f>
        <v>0</v>
      </c>
      <c r="AG56" s="207">
        <f>SUMIFS(LstMachines[Nbre],LstMachines[Model-Spec],PrévisionBoris[[#This Row],[Spec]],LstMachines[Status],PrévisionBoris[[#This Row],[Status]],LstMachines[MoisLivr],AG$1)</f>
        <v>0</v>
      </c>
      <c r="AH56" s="207">
        <f>SUMIFS(LstMachines[Nbre],LstMachines[Model-Spec],PrévisionBoris[[#This Row],[Spec]],LstMachines[Status],PrévisionBoris[[#This Row],[Status]],LstMachines[MoisLivr],AH$1)</f>
        <v>0</v>
      </c>
      <c r="AI56" s="206">
        <f>SUMIFS(LstMachines[Nbre],LstMachines[Model-Spec],PrévisionBoris[[#This Row],[Spec]],LstMachines[Status],PrévisionBoris[[#This Row],[Status]],LstMachines[MoisLivr],AI$1)</f>
        <v>0</v>
      </c>
      <c r="AJ56" s="207">
        <f>SUMIFS(LstMachines[Nbre],LstMachines[Model-Spec],PrévisionBoris[[#This Row],[Spec]],LstMachines[Status],PrévisionBoris[[#This Row],[Status]],LstMachines[MoisLivr],AJ$1)</f>
        <v>0</v>
      </c>
      <c r="AK56" s="207">
        <f>SUMIFS(LstMachines[Nbre],LstMachines[Model-Spec],PrévisionBoris[[#This Row],[Spec]],LstMachines[Status],PrévisionBoris[[#This Row],[Status]],LstMachines[MoisLivr],AK$1)</f>
        <v>0</v>
      </c>
      <c r="AL56" s="206">
        <f>SUMIFS(LstMachines[Nbre],LstMachines[Model-Spec],PrévisionBoris[[#This Row],[Spec]],LstMachines[Status],PrévisionBoris[[#This Row],[Status]],LstMachines[MoisLivr],AL$1)</f>
        <v>0</v>
      </c>
      <c r="AM56" s="207">
        <f>SUMIFS(LstMachines[Nbre],LstMachines[Model-Spec],PrévisionBoris[[#This Row],[Spec]],LstMachines[Status],PrévisionBoris[[#This Row],[Status]],LstMachines[MoisLivr],AM$1)</f>
        <v>0</v>
      </c>
      <c r="AN56" s="207">
        <f>SUMIFS(LstMachines[Nbre],LstMachines[Model-Spec],PrévisionBoris[[#This Row],[Spec]],LstMachines[Status],PrévisionBoris[[#This Row],[Status]],LstMachines[MoisLivr],AN$1)</f>
        <v>0</v>
      </c>
      <c r="AO56" s="206">
        <f>SUMIFS(LstMachines[Nbre],LstMachines[Model-Spec],PrévisionBoris[[#This Row],[Spec]],LstMachines[Status],PrévisionBoris[[#This Row],[Status]],LstMachines[MoisLivr],AO$1)</f>
        <v>0</v>
      </c>
      <c r="AP56" s="207">
        <f>SUMIFS(LstMachines[Nbre],LstMachines[Model-Spec],PrévisionBoris[[#This Row],[Spec]],LstMachines[Status],PrévisionBoris[[#This Row],[Status]],LstMachines[MoisLivr],AP$1)</f>
        <v>0</v>
      </c>
      <c r="AQ56" s="207">
        <f>SUMIFS(LstMachines[Nbre],LstMachines[Model-Spec],PrévisionBoris[[#This Row],[Spec]],LstMachines[Status],PrévisionBoris[[#This Row],[Status]],LstMachines[MoisLivr],AQ$1)</f>
        <v>0</v>
      </c>
      <c r="AR56" s="206">
        <f>SUMIFS(LstMachines[Nbre],LstMachines[Model-Spec],PrévisionBoris[[#This Row],[Spec]],LstMachines[Status],PrévisionBoris[[#This Row],[Status]],LstMachines[MoisLivr],AR$1)</f>
        <v>0</v>
      </c>
      <c r="AS56" s="207">
        <f>SUMIFS(LstMachines[Nbre],LstMachines[Model-Spec],PrévisionBoris[[#This Row],[Spec]],LstMachines[Status],PrévisionBoris[[#This Row],[Status]],LstMachines[MoisLivr],AS$1)</f>
        <v>0</v>
      </c>
      <c r="AT56" s="207">
        <f>SUMIFS(LstMachines[Nbre],LstMachines[Model-Spec],PrévisionBoris[[#This Row],[Spec]],LstMachines[Status],PrévisionBoris[[#This Row],[Status]],LstMachines[MoisLivr],AT$1)</f>
        <v>0</v>
      </c>
      <c r="AU56" s="206">
        <f>SUMIFS(LstMachines[Nbre],LstMachines[Model-Spec],PrévisionBoris[[#This Row],[Spec]],LstMachines[Status],PrévisionBoris[[#This Row],[Status]],LstMachines[MoisLivr],AU$1)</f>
        <v>0</v>
      </c>
      <c r="AV56" s="233">
        <f>SUMIFS(LstMachines[Nbre],LstMachines[Model-Spec],PrévisionBoris[[#This Row],[Spec]],LstMachines[Status],PrévisionBoris[[#This Row],[Status]],LstMachines[MoisLivr],AV$1)</f>
        <v>0</v>
      </c>
      <c r="AW56" s="208">
        <f>SUMIFS(LstMachines[Nbre],LstMachines[Model-Spec],PrévisionBoris[[#This Row],[Spec]],LstMachines[Status],PrévisionBoris[[#This Row],[Status]],LstMachines[MoisLivr],AW$1)</f>
        <v>0</v>
      </c>
      <c r="AX56" s="225"/>
      <c r="AY56" s="211">
        <f t="shared" si="3"/>
        <v>0</v>
      </c>
      <c r="AZ56" s="212">
        <f t="shared" si="4"/>
        <v>0</v>
      </c>
      <c r="BA56" s="212">
        <f t="shared" si="5"/>
        <v>0</v>
      </c>
      <c r="BB56" s="213">
        <f t="shared" si="6"/>
        <v>0</v>
      </c>
      <c r="BC56" s="225">
        <f t="shared" si="7"/>
        <v>0</v>
      </c>
      <c r="BD56" s="211">
        <f t="shared" si="8"/>
        <v>0</v>
      </c>
      <c r="BE56" s="212">
        <f t="shared" si="9"/>
        <v>0</v>
      </c>
      <c r="BF56" s="212">
        <f t="shared" si="10"/>
        <v>0</v>
      </c>
      <c r="BG56" s="213">
        <f t="shared" si="11"/>
        <v>0</v>
      </c>
      <c r="BH56" s="225">
        <f t="shared" si="12"/>
        <v>0</v>
      </c>
      <c r="BI56" s="214">
        <f t="shared" si="13"/>
        <v>0</v>
      </c>
      <c r="BJ56" s="215">
        <f t="shared" si="14"/>
        <v>0</v>
      </c>
      <c r="BK56" s="215">
        <f t="shared" si="15"/>
        <v>0</v>
      </c>
      <c r="BL56" s="216">
        <f t="shared" si="16"/>
        <v>0</v>
      </c>
      <c r="BM56" s="225">
        <f t="shared" si="17"/>
        <v>0</v>
      </c>
      <c r="BN56" s="225"/>
      <c r="BO56" s="234"/>
      <c r="BP56" s="218">
        <f t="shared" si="18"/>
        <v>0</v>
      </c>
    </row>
    <row r="57" spans="1:68">
      <c r="A57" s="170">
        <v>50</v>
      </c>
      <c r="B57" s="170" t="s">
        <v>151</v>
      </c>
      <c r="C57" s="200">
        <v>250</v>
      </c>
      <c r="D57" s="170" t="s">
        <v>172</v>
      </c>
      <c r="E57" s="170" t="s">
        <v>173</v>
      </c>
      <c r="F57" s="200">
        <f>VLOOKUP(PrévisionBoris[[#This Row],[Spec]],TabModelSpecs[[ModelSpec]:[Price]],2,FALSE)</f>
        <v>150</v>
      </c>
      <c r="G57" s="170" t="s">
        <v>462</v>
      </c>
      <c r="H57" s="219">
        <f>SUMIFS(LstMachines[Nbre],LstMachines[Model-Spec],PrévisionBoris[[#This Row],[Spec]],LstMachines[Status],PrévisionBoris[[#This Row],[Status]],LstMachines[MoisLivr],H$1)</f>
        <v>0</v>
      </c>
      <c r="I57" s="220">
        <f>SUMIFS(LstMachines[Nbre],LstMachines[Model-Spec],PrévisionBoris[[#This Row],[Spec]],LstMachines[Status],PrévisionBoris[[#This Row],[Status]],LstMachines[MoisLivr],I$1)</f>
        <v>0</v>
      </c>
      <c r="J57" s="221">
        <f>SUMIFS(LstMachines[Nbre],LstMachines[Model-Spec],PrévisionBoris[[#This Row],[Spec]],LstMachines[Status],PrévisionBoris[[#This Row],[Status]],LstMachines[MoisLivr],J$1)</f>
        <v>0</v>
      </c>
      <c r="K57" s="219">
        <f>SUMIFS(LstMachines[Nbre],LstMachines[Model-Spec],PrévisionBoris[[#This Row],[Spec]],LstMachines[Status],PrévisionBoris[[#This Row],[Status]],LstMachines[MoisLivr],K$1)</f>
        <v>0</v>
      </c>
      <c r="L57" s="220">
        <f>SUMIFS(LstMachines[Nbre],LstMachines[Model-Spec],PrévisionBoris[[#This Row],[Spec]],LstMachines[Status],PrévisionBoris[[#This Row],[Status]],LstMachines[MoisLivr],L$1)</f>
        <v>0</v>
      </c>
      <c r="M57" s="221">
        <f>SUMIFS(LstMachines[Nbre],LstMachines[Model-Spec],PrévisionBoris[[#This Row],[Spec]],LstMachines[Status],PrévisionBoris[[#This Row],[Status]],LstMachines[MoisLivr],M$1)</f>
        <v>0</v>
      </c>
      <c r="N57" s="219">
        <f>SUMIFS(LstMachines[Nbre],LstMachines[Model-Spec],PrévisionBoris[[#This Row],[Spec]],LstMachines[Status],PrévisionBoris[[#This Row],[Status]],LstMachines[MoisLivr],N$1)</f>
        <v>0</v>
      </c>
      <c r="O57" s="220">
        <f>SUMIFS(LstMachines[Nbre],LstMachines[Model-Spec],PrévisionBoris[[#This Row],[Spec]],LstMachines[Status],PrévisionBoris[[#This Row],[Status]],LstMachines[MoisLivr],O$1)</f>
        <v>0</v>
      </c>
      <c r="P57" s="221">
        <f>SUMIFS(LstMachines[Nbre],LstMachines[Model-Spec],PrévisionBoris[[#This Row],[Spec]],LstMachines[Status],PrévisionBoris[[#This Row],[Status]],LstMachines[MoisLivr],P$1)</f>
        <v>0</v>
      </c>
      <c r="Q57" s="222">
        <f>SUMIFS(LstMachines[Nbre],LstMachines[Model-Spec],PrévisionBoris[[#This Row],[Spec]],LstMachines[Status],PrévisionBoris[[#This Row],[Status]],LstMachines[MoisLivr],Q$1)</f>
        <v>0</v>
      </c>
      <c r="R57" s="220">
        <f>SUMIFS(LstMachines[Nbre],LstMachines[Model-Spec],PrévisionBoris[[#This Row],[Spec]],LstMachines[Status],PrévisionBoris[[#This Row],[Status]],LstMachines[MoisLivr],R$1)</f>
        <v>0</v>
      </c>
      <c r="S57" s="220">
        <f>SUMIFS(LstMachines[Nbre],LstMachines[Model-Spec],PrévisionBoris[[#This Row],[Spec]],LstMachines[Status],PrévisionBoris[[#This Row],[Status]],LstMachines[MoisLivr],S$1)</f>
        <v>0</v>
      </c>
      <c r="T57" s="219">
        <f>SUMIFS(LstMachines[Nbre],LstMachines[Model-Spec],PrévisionBoris[[#This Row],[Spec]],LstMachines[Status],PrévisionBoris[[#This Row],[Status]],LstMachines[MoisLivr],T$1)</f>
        <v>0</v>
      </c>
      <c r="U57" s="220">
        <f>SUMIFS(LstMachines[Nbre],LstMachines[Model-Spec],PrévisionBoris[[#This Row],[Spec]],LstMachines[Status],PrévisionBoris[[#This Row],[Status]],LstMachines[MoisLivr],U$1)</f>
        <v>0</v>
      </c>
      <c r="V57" s="220">
        <f>SUMIFS(LstMachines[Nbre],LstMachines[Model-Spec],PrévisionBoris[[#This Row],[Spec]],LstMachines[Status],PrévisionBoris[[#This Row],[Status]],LstMachines[MoisLivr],V$1)</f>
        <v>0</v>
      </c>
      <c r="W57" s="219">
        <f>SUMIFS(LstMachines[Nbre],LstMachines[Model-Spec],PrévisionBoris[[#This Row],[Spec]],LstMachines[Status],PrévisionBoris[[#This Row],[Status]],LstMachines[MoisLivr],W$1)</f>
        <v>0</v>
      </c>
      <c r="X57" s="220">
        <f>SUMIFS(LstMachines[Nbre],LstMachines[Model-Spec],PrévisionBoris[[#This Row],[Spec]],LstMachines[Status],PrévisionBoris[[#This Row],[Status]],LstMachines[MoisLivr],X$1)</f>
        <v>0</v>
      </c>
      <c r="Y57" s="220">
        <f>SUMIFS(LstMachines[Nbre],LstMachines[Model-Spec],PrévisionBoris[[#This Row],[Spec]],LstMachines[Status],PrévisionBoris[[#This Row],[Status]],LstMachines[MoisLivr],Y$1)</f>
        <v>0</v>
      </c>
      <c r="Z57" s="219">
        <f>SUMIFS(LstMachines[Nbre],LstMachines[Model-Spec],PrévisionBoris[[#This Row],[Spec]],LstMachines[Status],PrévisionBoris[[#This Row],[Status]],LstMachines[MoisLivr],Z$1)</f>
        <v>0</v>
      </c>
      <c r="AA57" s="220">
        <f>SUMIFS(LstMachines[Nbre],LstMachines[Model-Spec],PrévisionBoris[[#This Row],[Spec]],LstMachines[Status],PrévisionBoris[[#This Row],[Status]],LstMachines[MoisLivr],AA$1)</f>
        <v>0</v>
      </c>
      <c r="AB57" s="220">
        <f>SUMIFS(LstMachines[Nbre],LstMachines[Model-Spec],PrévisionBoris[[#This Row],[Spec]],LstMachines[Status],PrévisionBoris[[#This Row],[Status]],LstMachines[MoisLivr],AB$1)</f>
        <v>0</v>
      </c>
      <c r="AC57" s="219">
        <f>SUMIFS(LstMachines[Nbre],LstMachines[Model-Spec],PrévisionBoris[[#This Row],[Spec]],LstMachines[Status],PrévisionBoris[[#This Row],[Status]],LstMachines[MoisLivr],AC$1)</f>
        <v>0</v>
      </c>
      <c r="AD57" s="220">
        <f>SUMIFS(LstMachines[Nbre],LstMachines[Model-Spec],PrévisionBoris[[#This Row],[Spec]],LstMachines[Status],PrévisionBoris[[#This Row],[Status]],LstMachines[MoisLivr],AD$1)</f>
        <v>0</v>
      </c>
      <c r="AE57" s="220">
        <f>SUMIFS(LstMachines[Nbre],LstMachines[Model-Spec],PrévisionBoris[[#This Row],[Spec]],LstMachines[Status],PrévisionBoris[[#This Row],[Status]],LstMachines[MoisLivr],AE$1)</f>
        <v>0</v>
      </c>
      <c r="AF57" s="219">
        <f>SUMIFS(LstMachines[Nbre],LstMachines[Model-Spec],PrévisionBoris[[#This Row],[Spec]],LstMachines[Status],PrévisionBoris[[#This Row],[Status]],LstMachines[MoisLivr],AF$1)</f>
        <v>0</v>
      </c>
      <c r="AG57" s="220">
        <f>SUMIFS(LstMachines[Nbre],LstMachines[Model-Spec],PrévisionBoris[[#This Row],[Spec]],LstMachines[Status],PrévisionBoris[[#This Row],[Status]],LstMachines[MoisLivr],AG$1)</f>
        <v>0</v>
      </c>
      <c r="AH57" s="220">
        <f>SUMIFS(LstMachines[Nbre],LstMachines[Model-Spec],PrévisionBoris[[#This Row],[Spec]],LstMachines[Status],PrévisionBoris[[#This Row],[Status]],LstMachines[MoisLivr],AH$1)</f>
        <v>0</v>
      </c>
      <c r="AI57" s="219">
        <f>SUMIFS(LstMachines[Nbre],LstMachines[Model-Spec],PrévisionBoris[[#This Row],[Spec]],LstMachines[Status],PrévisionBoris[[#This Row],[Status]],LstMachines[MoisLivr],AI$1)</f>
        <v>0</v>
      </c>
      <c r="AJ57" s="220">
        <f>SUMIFS(LstMachines[Nbre],LstMachines[Model-Spec],PrévisionBoris[[#This Row],[Spec]],LstMachines[Status],PrévisionBoris[[#This Row],[Status]],LstMachines[MoisLivr],AJ$1)</f>
        <v>0</v>
      </c>
      <c r="AK57" s="220">
        <f>SUMIFS(LstMachines[Nbre],LstMachines[Model-Spec],PrévisionBoris[[#This Row],[Spec]],LstMachines[Status],PrévisionBoris[[#This Row],[Status]],LstMachines[MoisLivr],AK$1)</f>
        <v>0</v>
      </c>
      <c r="AL57" s="219">
        <f>SUMIFS(LstMachines[Nbre],LstMachines[Model-Spec],PrévisionBoris[[#This Row],[Spec]],LstMachines[Status],PrévisionBoris[[#This Row],[Status]],LstMachines[MoisLivr],AL$1)</f>
        <v>0</v>
      </c>
      <c r="AM57" s="220">
        <f>SUMIFS(LstMachines[Nbre],LstMachines[Model-Spec],PrévisionBoris[[#This Row],[Spec]],LstMachines[Status],PrévisionBoris[[#This Row],[Status]],LstMachines[MoisLivr],AM$1)</f>
        <v>0</v>
      </c>
      <c r="AN57" s="220">
        <f>SUMIFS(LstMachines[Nbre],LstMachines[Model-Spec],PrévisionBoris[[#This Row],[Spec]],LstMachines[Status],PrévisionBoris[[#This Row],[Status]],LstMachines[MoisLivr],AN$1)</f>
        <v>0</v>
      </c>
      <c r="AO57" s="219">
        <f>SUMIFS(LstMachines[Nbre],LstMachines[Model-Spec],PrévisionBoris[[#This Row],[Spec]],LstMachines[Status],PrévisionBoris[[#This Row],[Status]],LstMachines[MoisLivr],AO$1)</f>
        <v>0</v>
      </c>
      <c r="AP57" s="220">
        <f>SUMIFS(LstMachines[Nbre],LstMachines[Model-Spec],PrévisionBoris[[#This Row],[Spec]],LstMachines[Status],PrévisionBoris[[#This Row],[Status]],LstMachines[MoisLivr],AP$1)</f>
        <v>0</v>
      </c>
      <c r="AQ57" s="220">
        <f>SUMIFS(LstMachines[Nbre],LstMachines[Model-Spec],PrévisionBoris[[#This Row],[Spec]],LstMachines[Status],PrévisionBoris[[#This Row],[Status]],LstMachines[MoisLivr],AQ$1)</f>
        <v>0</v>
      </c>
      <c r="AR57" s="219">
        <f>SUMIFS(LstMachines[Nbre],LstMachines[Model-Spec],PrévisionBoris[[#This Row],[Spec]],LstMachines[Status],PrévisionBoris[[#This Row],[Status]],LstMachines[MoisLivr],AR$1)</f>
        <v>0</v>
      </c>
      <c r="AS57" s="220">
        <f>SUMIFS(LstMachines[Nbre],LstMachines[Model-Spec],PrévisionBoris[[#This Row],[Spec]],LstMachines[Status],PrévisionBoris[[#This Row],[Status]],LstMachines[MoisLivr],AS$1)</f>
        <v>0</v>
      </c>
      <c r="AT57" s="220">
        <f>SUMIFS(LstMachines[Nbre],LstMachines[Model-Spec],PrévisionBoris[[#This Row],[Spec]],LstMachines[Status],PrévisionBoris[[#This Row],[Status]],LstMachines[MoisLivr],AT$1)</f>
        <v>0</v>
      </c>
      <c r="AU57" s="219">
        <f>SUMIFS(LstMachines[Nbre],LstMachines[Model-Spec],PrévisionBoris[[#This Row],[Spec]],LstMachines[Status],PrévisionBoris[[#This Row],[Status]],LstMachines[MoisLivr],AU$1)</f>
        <v>0</v>
      </c>
      <c r="AV57" s="223">
        <f>SUMIFS(LstMachines[Nbre],LstMachines[Model-Spec],PrévisionBoris[[#This Row],[Spec]],LstMachines[Status],PrévisionBoris[[#This Row],[Status]],LstMachines[MoisLivr],AV$1)</f>
        <v>0</v>
      </c>
      <c r="AW57" s="224">
        <f>SUMIFS(LstMachines[Nbre],LstMachines[Model-Spec],PrévisionBoris[[#This Row],[Spec]],LstMachines[Status],PrévisionBoris[[#This Row],[Status]],LstMachines[MoisLivr],AW$1)</f>
        <v>0</v>
      </c>
      <c r="AX57" s="210"/>
      <c r="AY57" s="211">
        <f t="shared" si="3"/>
        <v>0</v>
      </c>
      <c r="AZ57" s="212">
        <f t="shared" si="4"/>
        <v>0</v>
      </c>
      <c r="BA57" s="212">
        <f t="shared" si="5"/>
        <v>0</v>
      </c>
      <c r="BB57" s="213">
        <f t="shared" si="6"/>
        <v>0</v>
      </c>
      <c r="BC57" s="225">
        <f t="shared" si="7"/>
        <v>0</v>
      </c>
      <c r="BD57" s="211">
        <f t="shared" si="8"/>
        <v>0</v>
      </c>
      <c r="BE57" s="212">
        <f t="shared" si="9"/>
        <v>0</v>
      </c>
      <c r="BF57" s="212">
        <f t="shared" si="10"/>
        <v>0</v>
      </c>
      <c r="BG57" s="213">
        <f t="shared" si="11"/>
        <v>0</v>
      </c>
      <c r="BH57" s="225">
        <f t="shared" si="12"/>
        <v>0</v>
      </c>
      <c r="BI57" s="214">
        <f t="shared" si="13"/>
        <v>0</v>
      </c>
      <c r="BJ57" s="215">
        <f t="shared" si="14"/>
        <v>0</v>
      </c>
      <c r="BK57" s="215">
        <f t="shared" si="15"/>
        <v>0</v>
      </c>
      <c r="BL57" s="216">
        <f t="shared" si="16"/>
        <v>0</v>
      </c>
      <c r="BM57" s="225">
        <f t="shared" si="17"/>
        <v>0</v>
      </c>
      <c r="BN57" s="225"/>
      <c r="BO57" s="217"/>
      <c r="BP57" s="218">
        <f t="shared" si="18"/>
        <v>0</v>
      </c>
    </row>
    <row r="58" spans="1:68">
      <c r="A58" s="171">
        <v>51</v>
      </c>
      <c r="B58" s="171" t="s">
        <v>151</v>
      </c>
      <c r="C58" s="201">
        <v>250</v>
      </c>
      <c r="D58" s="171" t="s">
        <v>172</v>
      </c>
      <c r="E58" s="171" t="s">
        <v>173</v>
      </c>
      <c r="F58" s="201">
        <f>VLOOKUP(PrévisionBoris[[#This Row],[Spec]],TabModelSpecs[[ModelSpec]:[Price]],2,FALSE)</f>
        <v>150</v>
      </c>
      <c r="G58" s="171" t="s">
        <v>463</v>
      </c>
      <c r="H58" s="226">
        <f>SUMIFS(LstMachines[Nbre],LstMachines[Model-Spec],PrévisionBoris[[#This Row],[Spec]],LstMachines[Status],PrévisionBoris[[#This Row],[Status]],LstMachines[MoisLivr],H$1)</f>
        <v>0</v>
      </c>
      <c r="I58" s="227">
        <f>SUMIFS(LstMachines[Nbre],LstMachines[Model-Spec],PrévisionBoris[[#This Row],[Spec]],LstMachines[Status],PrévisionBoris[[#This Row],[Status]],LstMachines[MoisLivr],I$1)</f>
        <v>0</v>
      </c>
      <c r="J58" s="228">
        <f>SUMIFS(LstMachines[Nbre],LstMachines[Model-Spec],PrévisionBoris[[#This Row],[Spec]],LstMachines[Status],PrévisionBoris[[#This Row],[Status]],LstMachines[MoisLivr],J$1)</f>
        <v>0</v>
      </c>
      <c r="K58" s="226">
        <f>SUMIFS(LstMachines[Nbre],LstMachines[Model-Spec],PrévisionBoris[[#This Row],[Spec]],LstMachines[Status],PrévisionBoris[[#This Row],[Status]],LstMachines[MoisLivr],K$1)</f>
        <v>0</v>
      </c>
      <c r="L58" s="227">
        <f>SUMIFS(LstMachines[Nbre],LstMachines[Model-Spec],PrévisionBoris[[#This Row],[Spec]],LstMachines[Status],PrévisionBoris[[#This Row],[Status]],LstMachines[MoisLivr],L$1)</f>
        <v>0</v>
      </c>
      <c r="M58" s="228">
        <f>SUMIFS(LstMachines[Nbre],LstMachines[Model-Spec],PrévisionBoris[[#This Row],[Spec]],LstMachines[Status],PrévisionBoris[[#This Row],[Status]],LstMachines[MoisLivr],M$1)</f>
        <v>0</v>
      </c>
      <c r="N58" s="226">
        <f>SUMIFS(LstMachines[Nbre],LstMachines[Model-Spec],PrévisionBoris[[#This Row],[Spec]],LstMachines[Status],PrévisionBoris[[#This Row],[Status]],LstMachines[MoisLivr],N$1)</f>
        <v>0</v>
      </c>
      <c r="O58" s="227">
        <f>SUMIFS(LstMachines[Nbre],LstMachines[Model-Spec],PrévisionBoris[[#This Row],[Spec]],LstMachines[Status],PrévisionBoris[[#This Row],[Status]],LstMachines[MoisLivr],O$1)</f>
        <v>0</v>
      </c>
      <c r="P58" s="228">
        <f>SUMIFS(LstMachines[Nbre],LstMachines[Model-Spec],PrévisionBoris[[#This Row],[Spec]],LstMachines[Status],PrévisionBoris[[#This Row],[Status]],LstMachines[MoisLivr],P$1)</f>
        <v>0</v>
      </c>
      <c r="Q58" s="229">
        <f>SUMIFS(LstMachines[Nbre],LstMachines[Model-Spec],PrévisionBoris[[#This Row],[Spec]],LstMachines[Status],PrévisionBoris[[#This Row],[Status]],LstMachines[MoisLivr],Q$1)</f>
        <v>0</v>
      </c>
      <c r="R58" s="227">
        <f>SUMIFS(LstMachines[Nbre],LstMachines[Model-Spec],PrévisionBoris[[#This Row],[Spec]],LstMachines[Status],PrévisionBoris[[#This Row],[Status]],LstMachines[MoisLivr],R$1)</f>
        <v>0</v>
      </c>
      <c r="S58" s="227">
        <f>SUMIFS(LstMachines[Nbre],LstMachines[Model-Spec],PrévisionBoris[[#This Row],[Spec]],LstMachines[Status],PrévisionBoris[[#This Row],[Status]],LstMachines[MoisLivr],S$1)</f>
        <v>0</v>
      </c>
      <c r="T58" s="226">
        <f>SUMIFS(LstMachines[Nbre],LstMachines[Model-Spec],PrévisionBoris[[#This Row],[Spec]],LstMachines[Status],PrévisionBoris[[#This Row],[Status]],LstMachines[MoisLivr],T$1)</f>
        <v>0</v>
      </c>
      <c r="U58" s="227">
        <f>SUMIFS(LstMachines[Nbre],LstMachines[Model-Spec],PrévisionBoris[[#This Row],[Spec]],LstMachines[Status],PrévisionBoris[[#This Row],[Status]],LstMachines[MoisLivr],U$1)</f>
        <v>0</v>
      </c>
      <c r="V58" s="227">
        <f>SUMIFS(LstMachines[Nbre],LstMachines[Model-Spec],PrévisionBoris[[#This Row],[Spec]],LstMachines[Status],PrévisionBoris[[#This Row],[Status]],LstMachines[MoisLivr],V$1)</f>
        <v>0</v>
      </c>
      <c r="W58" s="226">
        <f>SUMIFS(LstMachines[Nbre],LstMachines[Model-Spec],PrévisionBoris[[#This Row],[Spec]],LstMachines[Status],PrévisionBoris[[#This Row],[Status]],LstMachines[MoisLivr],W$1)</f>
        <v>0</v>
      </c>
      <c r="X58" s="227">
        <f>SUMIFS(LstMachines[Nbre],LstMachines[Model-Spec],PrévisionBoris[[#This Row],[Spec]],LstMachines[Status],PrévisionBoris[[#This Row],[Status]],LstMachines[MoisLivr],X$1)</f>
        <v>0</v>
      </c>
      <c r="Y58" s="227">
        <f>SUMIFS(LstMachines[Nbre],LstMachines[Model-Spec],PrévisionBoris[[#This Row],[Spec]],LstMachines[Status],PrévisionBoris[[#This Row],[Status]],LstMachines[MoisLivr],Y$1)</f>
        <v>0</v>
      </c>
      <c r="Z58" s="226">
        <f>SUMIFS(LstMachines[Nbre],LstMachines[Model-Spec],PrévisionBoris[[#This Row],[Spec]],LstMachines[Status],PrévisionBoris[[#This Row],[Status]],LstMachines[MoisLivr],Z$1)</f>
        <v>0</v>
      </c>
      <c r="AA58" s="227">
        <f>SUMIFS(LstMachines[Nbre],LstMachines[Model-Spec],PrévisionBoris[[#This Row],[Spec]],LstMachines[Status],PrévisionBoris[[#This Row],[Status]],LstMachines[MoisLivr],AA$1)</f>
        <v>0</v>
      </c>
      <c r="AB58" s="227">
        <f>SUMIFS(LstMachines[Nbre],LstMachines[Model-Spec],PrévisionBoris[[#This Row],[Spec]],LstMachines[Status],PrévisionBoris[[#This Row],[Status]],LstMachines[MoisLivr],AB$1)</f>
        <v>0</v>
      </c>
      <c r="AC58" s="226">
        <f>SUMIFS(LstMachines[Nbre],LstMachines[Model-Spec],PrévisionBoris[[#This Row],[Spec]],LstMachines[Status],PrévisionBoris[[#This Row],[Status]],LstMachines[MoisLivr],AC$1)</f>
        <v>0</v>
      </c>
      <c r="AD58" s="227">
        <f>SUMIFS(LstMachines[Nbre],LstMachines[Model-Spec],PrévisionBoris[[#This Row],[Spec]],LstMachines[Status],PrévisionBoris[[#This Row],[Status]],LstMachines[MoisLivr],AD$1)</f>
        <v>0</v>
      </c>
      <c r="AE58" s="227">
        <f>SUMIFS(LstMachines[Nbre],LstMachines[Model-Spec],PrévisionBoris[[#This Row],[Spec]],LstMachines[Status],PrévisionBoris[[#This Row],[Status]],LstMachines[MoisLivr],AE$1)</f>
        <v>0</v>
      </c>
      <c r="AF58" s="226">
        <f>SUMIFS(LstMachines[Nbre],LstMachines[Model-Spec],PrévisionBoris[[#This Row],[Spec]],LstMachines[Status],PrévisionBoris[[#This Row],[Status]],LstMachines[MoisLivr],AF$1)</f>
        <v>0</v>
      </c>
      <c r="AG58" s="227">
        <f>SUMIFS(LstMachines[Nbre],LstMachines[Model-Spec],PrévisionBoris[[#This Row],[Spec]],LstMachines[Status],PrévisionBoris[[#This Row],[Status]],LstMachines[MoisLivr],AG$1)</f>
        <v>0</v>
      </c>
      <c r="AH58" s="227">
        <f>SUMIFS(LstMachines[Nbre],LstMachines[Model-Spec],PrévisionBoris[[#This Row],[Spec]],LstMachines[Status],PrévisionBoris[[#This Row],[Status]],LstMachines[MoisLivr],AH$1)</f>
        <v>0</v>
      </c>
      <c r="AI58" s="226">
        <f>SUMIFS(LstMachines[Nbre],LstMachines[Model-Spec],PrévisionBoris[[#This Row],[Spec]],LstMachines[Status],PrévisionBoris[[#This Row],[Status]],LstMachines[MoisLivr],AI$1)</f>
        <v>0</v>
      </c>
      <c r="AJ58" s="227">
        <f>SUMIFS(LstMachines[Nbre],LstMachines[Model-Spec],PrévisionBoris[[#This Row],[Spec]],LstMachines[Status],PrévisionBoris[[#This Row],[Status]],LstMachines[MoisLivr],AJ$1)</f>
        <v>0</v>
      </c>
      <c r="AK58" s="227">
        <f>SUMIFS(LstMachines[Nbre],LstMachines[Model-Spec],PrévisionBoris[[#This Row],[Spec]],LstMachines[Status],PrévisionBoris[[#This Row],[Status]],LstMachines[MoisLivr],AK$1)</f>
        <v>0</v>
      </c>
      <c r="AL58" s="226">
        <f>SUMIFS(LstMachines[Nbre],LstMachines[Model-Spec],PrévisionBoris[[#This Row],[Spec]],LstMachines[Status],PrévisionBoris[[#This Row],[Status]],LstMachines[MoisLivr],AL$1)</f>
        <v>0</v>
      </c>
      <c r="AM58" s="227">
        <f>SUMIFS(LstMachines[Nbre],LstMachines[Model-Spec],PrévisionBoris[[#This Row],[Spec]],LstMachines[Status],PrévisionBoris[[#This Row],[Status]],LstMachines[MoisLivr],AM$1)</f>
        <v>0</v>
      </c>
      <c r="AN58" s="227">
        <f>SUMIFS(LstMachines[Nbre],LstMachines[Model-Spec],PrévisionBoris[[#This Row],[Spec]],LstMachines[Status],PrévisionBoris[[#This Row],[Status]],LstMachines[MoisLivr],AN$1)</f>
        <v>0</v>
      </c>
      <c r="AO58" s="226">
        <f>SUMIFS(LstMachines[Nbre],LstMachines[Model-Spec],PrévisionBoris[[#This Row],[Spec]],LstMachines[Status],PrévisionBoris[[#This Row],[Status]],LstMachines[MoisLivr],AO$1)</f>
        <v>0</v>
      </c>
      <c r="AP58" s="227">
        <f>SUMIFS(LstMachines[Nbre],LstMachines[Model-Spec],PrévisionBoris[[#This Row],[Spec]],LstMachines[Status],PrévisionBoris[[#This Row],[Status]],LstMachines[MoisLivr],AP$1)</f>
        <v>0</v>
      </c>
      <c r="AQ58" s="227">
        <f>SUMIFS(LstMachines[Nbre],LstMachines[Model-Spec],PrévisionBoris[[#This Row],[Spec]],LstMachines[Status],PrévisionBoris[[#This Row],[Status]],LstMachines[MoisLivr],AQ$1)</f>
        <v>0</v>
      </c>
      <c r="AR58" s="226">
        <f>SUMIFS(LstMachines[Nbre],LstMachines[Model-Spec],PrévisionBoris[[#This Row],[Spec]],LstMachines[Status],PrévisionBoris[[#This Row],[Status]],LstMachines[MoisLivr],AR$1)</f>
        <v>0</v>
      </c>
      <c r="AS58" s="227">
        <f>SUMIFS(LstMachines[Nbre],LstMachines[Model-Spec],PrévisionBoris[[#This Row],[Spec]],LstMachines[Status],PrévisionBoris[[#This Row],[Status]],LstMachines[MoisLivr],AS$1)</f>
        <v>0</v>
      </c>
      <c r="AT58" s="227">
        <f>SUMIFS(LstMachines[Nbre],LstMachines[Model-Spec],PrévisionBoris[[#This Row],[Spec]],LstMachines[Status],PrévisionBoris[[#This Row],[Status]],LstMachines[MoisLivr],AT$1)</f>
        <v>0</v>
      </c>
      <c r="AU58" s="226">
        <f>SUMIFS(LstMachines[Nbre],LstMachines[Model-Spec],PrévisionBoris[[#This Row],[Spec]],LstMachines[Status],PrévisionBoris[[#This Row],[Status]],LstMachines[MoisLivr],AU$1)</f>
        <v>0</v>
      </c>
      <c r="AV58" s="230">
        <f>SUMIFS(LstMachines[Nbre],LstMachines[Model-Spec],PrévisionBoris[[#This Row],[Spec]],LstMachines[Status],PrévisionBoris[[#This Row],[Status]],LstMachines[MoisLivr],AV$1)</f>
        <v>0</v>
      </c>
      <c r="AW58" s="231">
        <f>SUMIFS(LstMachines[Nbre],LstMachines[Model-Spec],PrévisionBoris[[#This Row],[Spec]],LstMachines[Status],PrévisionBoris[[#This Row],[Status]],LstMachines[MoisLivr],AW$1)</f>
        <v>0</v>
      </c>
      <c r="AX58" s="232"/>
      <c r="AY58" s="211">
        <f t="shared" si="3"/>
        <v>0</v>
      </c>
      <c r="AZ58" s="212">
        <f t="shared" si="4"/>
        <v>0</v>
      </c>
      <c r="BA58" s="212">
        <f t="shared" si="5"/>
        <v>0</v>
      </c>
      <c r="BB58" s="213">
        <f t="shared" si="6"/>
        <v>0</v>
      </c>
      <c r="BC58" s="225">
        <f t="shared" si="7"/>
        <v>0</v>
      </c>
      <c r="BD58" s="211">
        <f t="shared" si="8"/>
        <v>0</v>
      </c>
      <c r="BE58" s="212">
        <f t="shared" si="9"/>
        <v>0</v>
      </c>
      <c r="BF58" s="212">
        <f t="shared" si="10"/>
        <v>0</v>
      </c>
      <c r="BG58" s="213">
        <f t="shared" si="11"/>
        <v>0</v>
      </c>
      <c r="BH58" s="225">
        <f t="shared" si="12"/>
        <v>0</v>
      </c>
      <c r="BI58" s="214">
        <f t="shared" si="13"/>
        <v>0</v>
      </c>
      <c r="BJ58" s="215">
        <f t="shared" si="14"/>
        <v>0</v>
      </c>
      <c r="BK58" s="215">
        <f t="shared" si="15"/>
        <v>0</v>
      </c>
      <c r="BL58" s="216">
        <f t="shared" si="16"/>
        <v>0</v>
      </c>
      <c r="BM58" s="225">
        <f t="shared" si="17"/>
        <v>0</v>
      </c>
      <c r="BN58" s="225"/>
      <c r="BO58" s="217"/>
      <c r="BP58" s="218">
        <f t="shared" si="18"/>
        <v>0</v>
      </c>
    </row>
    <row r="59" spans="1:68">
      <c r="A59" s="172">
        <v>52</v>
      </c>
      <c r="B59" s="172" t="s">
        <v>151</v>
      </c>
      <c r="C59" s="202">
        <v>250</v>
      </c>
      <c r="D59" s="172" t="s">
        <v>172</v>
      </c>
      <c r="E59" s="172" t="s">
        <v>174</v>
      </c>
      <c r="F59" s="202">
        <f>VLOOKUP(PrévisionBoris[[#This Row],[Spec]],TabModelSpecs[[ModelSpec]:[Price]],2,FALSE)</f>
        <v>150</v>
      </c>
      <c r="G59" s="172" t="s">
        <v>461</v>
      </c>
      <c r="H59" s="206">
        <f>SUMIFS(LstMachines[Nbre],LstMachines[Model-Spec],PrévisionBoris[[#This Row],[Spec]],LstMachines[Status],PrévisionBoris[[#This Row],[Status]],LstMachines[MoisLivr],H$1)</f>
        <v>0</v>
      </c>
      <c r="I59" s="207">
        <f>SUMIFS(LstMachines[Nbre],LstMachines[Model-Spec],PrévisionBoris[[#This Row],[Spec]],LstMachines[Status],PrévisionBoris[[#This Row],[Status]],LstMachines[MoisLivr],I$1)</f>
        <v>0</v>
      </c>
      <c r="J59" s="208">
        <f>SUMIFS(LstMachines[Nbre],LstMachines[Model-Spec],PrévisionBoris[[#This Row],[Spec]],LstMachines[Status],PrévisionBoris[[#This Row],[Status]],LstMachines[MoisLivr],J$1)</f>
        <v>0</v>
      </c>
      <c r="K59" s="206">
        <f>SUMIFS(LstMachines[Nbre],LstMachines[Model-Spec],PrévisionBoris[[#This Row],[Spec]],LstMachines[Status],PrévisionBoris[[#This Row],[Status]],LstMachines[MoisLivr],K$1)</f>
        <v>0</v>
      </c>
      <c r="L59" s="207">
        <f>SUMIFS(LstMachines[Nbre],LstMachines[Model-Spec],PrévisionBoris[[#This Row],[Spec]],LstMachines[Status],PrévisionBoris[[#This Row],[Status]],LstMachines[MoisLivr],L$1)</f>
        <v>0</v>
      </c>
      <c r="M59" s="208">
        <f>SUMIFS(LstMachines[Nbre],LstMachines[Model-Spec],PrévisionBoris[[#This Row],[Spec]],LstMachines[Status],PrévisionBoris[[#This Row],[Status]],LstMachines[MoisLivr],M$1)</f>
        <v>0</v>
      </c>
      <c r="N59" s="206">
        <f>SUMIFS(LstMachines[Nbre],LstMachines[Model-Spec],PrévisionBoris[[#This Row],[Spec]],LstMachines[Status],PrévisionBoris[[#This Row],[Status]],LstMachines[MoisLivr],N$1)</f>
        <v>0</v>
      </c>
      <c r="O59" s="207">
        <f>SUMIFS(LstMachines[Nbre],LstMachines[Model-Spec],PrévisionBoris[[#This Row],[Spec]],LstMachines[Status],PrévisionBoris[[#This Row],[Status]],LstMachines[MoisLivr],O$1)</f>
        <v>0</v>
      </c>
      <c r="P59" s="208">
        <f>SUMIFS(LstMachines[Nbre],LstMachines[Model-Spec],PrévisionBoris[[#This Row],[Spec]],LstMachines[Status],PrévisionBoris[[#This Row],[Status]],LstMachines[MoisLivr],P$1)</f>
        <v>0</v>
      </c>
      <c r="Q59" s="209">
        <f>SUMIFS(LstMachines[Nbre],LstMachines[Model-Spec],PrévisionBoris[[#This Row],[Spec]],LstMachines[Status],PrévisionBoris[[#This Row],[Status]],LstMachines[MoisLivr],Q$1)</f>
        <v>0</v>
      </c>
      <c r="R59" s="207">
        <f>SUMIFS(LstMachines[Nbre],LstMachines[Model-Spec],PrévisionBoris[[#This Row],[Spec]],LstMachines[Status],PrévisionBoris[[#This Row],[Status]],LstMachines[MoisLivr],R$1)</f>
        <v>0</v>
      </c>
      <c r="S59" s="207">
        <f>SUMIFS(LstMachines[Nbre],LstMachines[Model-Spec],PrévisionBoris[[#This Row],[Spec]],LstMachines[Status],PrévisionBoris[[#This Row],[Status]],LstMachines[MoisLivr],S$1)</f>
        <v>0</v>
      </c>
      <c r="T59" s="206">
        <f>SUMIFS(LstMachines[Nbre],LstMachines[Model-Spec],PrévisionBoris[[#This Row],[Spec]],LstMachines[Status],PrévisionBoris[[#This Row],[Status]],LstMachines[MoisLivr],T$1)</f>
        <v>0</v>
      </c>
      <c r="U59" s="207">
        <f>SUMIFS(LstMachines[Nbre],LstMachines[Model-Spec],PrévisionBoris[[#This Row],[Spec]],LstMachines[Status],PrévisionBoris[[#This Row],[Status]],LstMachines[MoisLivr],U$1)</f>
        <v>0</v>
      </c>
      <c r="V59" s="207">
        <f>SUMIFS(LstMachines[Nbre],LstMachines[Model-Spec],PrévisionBoris[[#This Row],[Spec]],LstMachines[Status],PrévisionBoris[[#This Row],[Status]],LstMachines[MoisLivr],V$1)</f>
        <v>0</v>
      </c>
      <c r="W59" s="206">
        <f>SUMIFS(LstMachines[Nbre],LstMachines[Model-Spec],PrévisionBoris[[#This Row],[Spec]],LstMachines[Status],PrévisionBoris[[#This Row],[Status]],LstMachines[MoisLivr],W$1)</f>
        <v>0</v>
      </c>
      <c r="X59" s="207">
        <f>SUMIFS(LstMachines[Nbre],LstMachines[Model-Spec],PrévisionBoris[[#This Row],[Spec]],LstMachines[Status],PrévisionBoris[[#This Row],[Status]],LstMachines[MoisLivr],X$1)</f>
        <v>0</v>
      </c>
      <c r="Y59" s="207">
        <f>SUMIFS(LstMachines[Nbre],LstMachines[Model-Spec],PrévisionBoris[[#This Row],[Spec]],LstMachines[Status],PrévisionBoris[[#This Row],[Status]],LstMachines[MoisLivr],Y$1)</f>
        <v>0</v>
      </c>
      <c r="Z59" s="206">
        <f>SUMIFS(LstMachines[Nbre],LstMachines[Model-Spec],PrévisionBoris[[#This Row],[Spec]],LstMachines[Status],PrévisionBoris[[#This Row],[Status]],LstMachines[MoisLivr],Z$1)</f>
        <v>0</v>
      </c>
      <c r="AA59" s="207">
        <f>SUMIFS(LstMachines[Nbre],LstMachines[Model-Spec],PrévisionBoris[[#This Row],[Spec]],LstMachines[Status],PrévisionBoris[[#This Row],[Status]],LstMachines[MoisLivr],AA$1)</f>
        <v>0</v>
      </c>
      <c r="AB59" s="207">
        <f>SUMIFS(LstMachines[Nbre],LstMachines[Model-Spec],PrévisionBoris[[#This Row],[Spec]],LstMachines[Status],PrévisionBoris[[#This Row],[Status]],LstMachines[MoisLivr],AB$1)</f>
        <v>0</v>
      </c>
      <c r="AC59" s="206">
        <f>SUMIFS(LstMachines[Nbre],LstMachines[Model-Spec],PrévisionBoris[[#This Row],[Spec]],LstMachines[Status],PrévisionBoris[[#This Row],[Status]],LstMachines[MoisLivr],AC$1)</f>
        <v>0</v>
      </c>
      <c r="AD59" s="207">
        <f>SUMIFS(LstMachines[Nbre],LstMachines[Model-Spec],PrévisionBoris[[#This Row],[Spec]],LstMachines[Status],PrévisionBoris[[#This Row],[Status]],LstMachines[MoisLivr],AD$1)</f>
        <v>0</v>
      </c>
      <c r="AE59" s="207">
        <f>SUMIFS(LstMachines[Nbre],LstMachines[Model-Spec],PrévisionBoris[[#This Row],[Spec]],LstMachines[Status],PrévisionBoris[[#This Row],[Status]],LstMachines[MoisLivr],AE$1)</f>
        <v>0</v>
      </c>
      <c r="AF59" s="206">
        <f>SUMIFS(LstMachines[Nbre],LstMachines[Model-Spec],PrévisionBoris[[#This Row],[Spec]],LstMachines[Status],PrévisionBoris[[#This Row],[Status]],LstMachines[MoisLivr],AF$1)</f>
        <v>0</v>
      </c>
      <c r="AG59" s="207">
        <f>SUMIFS(LstMachines[Nbre],LstMachines[Model-Spec],PrévisionBoris[[#This Row],[Spec]],LstMachines[Status],PrévisionBoris[[#This Row],[Status]],LstMachines[MoisLivr],AG$1)</f>
        <v>0</v>
      </c>
      <c r="AH59" s="207">
        <f>SUMIFS(LstMachines[Nbre],LstMachines[Model-Spec],PrévisionBoris[[#This Row],[Spec]],LstMachines[Status],PrévisionBoris[[#This Row],[Status]],LstMachines[MoisLivr],AH$1)</f>
        <v>0</v>
      </c>
      <c r="AI59" s="206">
        <f>SUMIFS(LstMachines[Nbre],LstMachines[Model-Spec],PrévisionBoris[[#This Row],[Spec]],LstMachines[Status],PrévisionBoris[[#This Row],[Status]],LstMachines[MoisLivr],AI$1)</f>
        <v>0</v>
      </c>
      <c r="AJ59" s="207">
        <f>SUMIFS(LstMachines[Nbre],LstMachines[Model-Spec],PrévisionBoris[[#This Row],[Spec]],LstMachines[Status],PrévisionBoris[[#This Row],[Status]],LstMachines[MoisLivr],AJ$1)</f>
        <v>0</v>
      </c>
      <c r="AK59" s="207">
        <f>SUMIFS(LstMachines[Nbre],LstMachines[Model-Spec],PrévisionBoris[[#This Row],[Spec]],LstMachines[Status],PrévisionBoris[[#This Row],[Status]],LstMachines[MoisLivr],AK$1)</f>
        <v>0</v>
      </c>
      <c r="AL59" s="206">
        <f>SUMIFS(LstMachines[Nbre],LstMachines[Model-Spec],PrévisionBoris[[#This Row],[Spec]],LstMachines[Status],PrévisionBoris[[#This Row],[Status]],LstMachines[MoisLivr],AL$1)</f>
        <v>0</v>
      </c>
      <c r="AM59" s="207">
        <f>SUMIFS(LstMachines[Nbre],LstMachines[Model-Spec],PrévisionBoris[[#This Row],[Spec]],LstMachines[Status],PrévisionBoris[[#This Row],[Status]],LstMachines[MoisLivr],AM$1)</f>
        <v>0</v>
      </c>
      <c r="AN59" s="207">
        <f>SUMIFS(LstMachines[Nbre],LstMachines[Model-Spec],PrévisionBoris[[#This Row],[Spec]],LstMachines[Status],PrévisionBoris[[#This Row],[Status]],LstMachines[MoisLivr],AN$1)</f>
        <v>0</v>
      </c>
      <c r="AO59" s="206">
        <f>SUMIFS(LstMachines[Nbre],LstMachines[Model-Spec],PrévisionBoris[[#This Row],[Spec]],LstMachines[Status],PrévisionBoris[[#This Row],[Status]],LstMachines[MoisLivr],AO$1)</f>
        <v>0</v>
      </c>
      <c r="AP59" s="207">
        <f>SUMIFS(LstMachines[Nbre],LstMachines[Model-Spec],PrévisionBoris[[#This Row],[Spec]],LstMachines[Status],PrévisionBoris[[#This Row],[Status]],LstMachines[MoisLivr],AP$1)</f>
        <v>0</v>
      </c>
      <c r="AQ59" s="207">
        <f>SUMIFS(LstMachines[Nbre],LstMachines[Model-Spec],PrévisionBoris[[#This Row],[Spec]],LstMachines[Status],PrévisionBoris[[#This Row],[Status]],LstMachines[MoisLivr],AQ$1)</f>
        <v>0</v>
      </c>
      <c r="AR59" s="206">
        <f>SUMIFS(LstMachines[Nbre],LstMachines[Model-Spec],PrévisionBoris[[#This Row],[Spec]],LstMachines[Status],PrévisionBoris[[#This Row],[Status]],LstMachines[MoisLivr],AR$1)</f>
        <v>0</v>
      </c>
      <c r="AS59" s="207">
        <f>SUMIFS(LstMachines[Nbre],LstMachines[Model-Spec],PrévisionBoris[[#This Row],[Spec]],LstMachines[Status],PrévisionBoris[[#This Row],[Status]],LstMachines[MoisLivr],AS$1)</f>
        <v>0</v>
      </c>
      <c r="AT59" s="207">
        <f>SUMIFS(LstMachines[Nbre],LstMachines[Model-Spec],PrévisionBoris[[#This Row],[Spec]],LstMachines[Status],PrévisionBoris[[#This Row],[Status]],LstMachines[MoisLivr],AT$1)</f>
        <v>0</v>
      </c>
      <c r="AU59" s="206">
        <f>SUMIFS(LstMachines[Nbre],LstMachines[Model-Spec],PrévisionBoris[[#This Row],[Spec]],LstMachines[Status],PrévisionBoris[[#This Row],[Status]],LstMachines[MoisLivr],AU$1)</f>
        <v>0</v>
      </c>
      <c r="AV59" s="233">
        <f>SUMIFS(LstMachines[Nbre],LstMachines[Model-Spec],PrévisionBoris[[#This Row],[Spec]],LstMachines[Status],PrévisionBoris[[#This Row],[Status]],LstMachines[MoisLivr],AV$1)</f>
        <v>0</v>
      </c>
      <c r="AW59" s="208">
        <f>SUMIFS(LstMachines[Nbre],LstMachines[Model-Spec],PrévisionBoris[[#This Row],[Spec]],LstMachines[Status],PrévisionBoris[[#This Row],[Status]],LstMachines[MoisLivr],AW$1)</f>
        <v>0</v>
      </c>
      <c r="AX59" s="225"/>
      <c r="AY59" s="211">
        <f t="shared" si="3"/>
        <v>0</v>
      </c>
      <c r="AZ59" s="212">
        <f t="shared" si="4"/>
        <v>0</v>
      </c>
      <c r="BA59" s="212">
        <f t="shared" si="5"/>
        <v>0</v>
      </c>
      <c r="BB59" s="213">
        <f t="shared" si="6"/>
        <v>0</v>
      </c>
      <c r="BC59" s="225">
        <f t="shared" si="7"/>
        <v>0</v>
      </c>
      <c r="BD59" s="211">
        <f t="shared" si="8"/>
        <v>0</v>
      </c>
      <c r="BE59" s="212">
        <f t="shared" si="9"/>
        <v>0</v>
      </c>
      <c r="BF59" s="212">
        <f t="shared" si="10"/>
        <v>0</v>
      </c>
      <c r="BG59" s="213">
        <f t="shared" si="11"/>
        <v>0</v>
      </c>
      <c r="BH59" s="225">
        <f t="shared" si="12"/>
        <v>0</v>
      </c>
      <c r="BI59" s="214">
        <f t="shared" si="13"/>
        <v>0</v>
      </c>
      <c r="BJ59" s="215">
        <f t="shared" si="14"/>
        <v>0</v>
      </c>
      <c r="BK59" s="215">
        <f t="shared" si="15"/>
        <v>0</v>
      </c>
      <c r="BL59" s="216">
        <f t="shared" si="16"/>
        <v>0</v>
      </c>
      <c r="BM59" s="225">
        <f t="shared" si="17"/>
        <v>0</v>
      </c>
      <c r="BN59" s="225"/>
      <c r="BO59" s="234"/>
      <c r="BP59" s="218">
        <f t="shared" si="18"/>
        <v>0</v>
      </c>
    </row>
    <row r="60" spans="1:68">
      <c r="A60" s="170">
        <v>53</v>
      </c>
      <c r="B60" s="170" t="s">
        <v>151</v>
      </c>
      <c r="C60" s="200">
        <v>250</v>
      </c>
      <c r="D60" s="170" t="s">
        <v>172</v>
      </c>
      <c r="E60" s="170" t="s">
        <v>174</v>
      </c>
      <c r="F60" s="200">
        <f>VLOOKUP(PrévisionBoris[[#This Row],[Spec]],TabModelSpecs[[ModelSpec]:[Price]],2,FALSE)</f>
        <v>150</v>
      </c>
      <c r="G60" s="170" t="s">
        <v>462</v>
      </c>
      <c r="H60" s="219">
        <f>SUMIFS(LstMachines[Nbre],LstMachines[Model-Spec],PrévisionBoris[[#This Row],[Spec]],LstMachines[Status],PrévisionBoris[[#This Row],[Status]],LstMachines[MoisLivr],H$1)</f>
        <v>0</v>
      </c>
      <c r="I60" s="220">
        <f>SUMIFS(LstMachines[Nbre],LstMachines[Model-Spec],PrévisionBoris[[#This Row],[Spec]],LstMachines[Status],PrévisionBoris[[#This Row],[Status]],LstMachines[MoisLivr],I$1)</f>
        <v>0</v>
      </c>
      <c r="J60" s="221">
        <f>SUMIFS(LstMachines[Nbre],LstMachines[Model-Spec],PrévisionBoris[[#This Row],[Spec]],LstMachines[Status],PrévisionBoris[[#This Row],[Status]],LstMachines[MoisLivr],J$1)</f>
        <v>0</v>
      </c>
      <c r="K60" s="219">
        <f>SUMIFS(LstMachines[Nbre],LstMachines[Model-Spec],PrévisionBoris[[#This Row],[Spec]],LstMachines[Status],PrévisionBoris[[#This Row],[Status]],LstMachines[MoisLivr],K$1)</f>
        <v>0</v>
      </c>
      <c r="L60" s="220">
        <f>SUMIFS(LstMachines[Nbre],LstMachines[Model-Spec],PrévisionBoris[[#This Row],[Spec]],LstMachines[Status],PrévisionBoris[[#This Row],[Status]],LstMachines[MoisLivr],L$1)</f>
        <v>0</v>
      </c>
      <c r="M60" s="221">
        <f>SUMIFS(LstMachines[Nbre],LstMachines[Model-Spec],PrévisionBoris[[#This Row],[Spec]],LstMachines[Status],PrévisionBoris[[#This Row],[Status]],LstMachines[MoisLivr],M$1)</f>
        <v>0</v>
      </c>
      <c r="N60" s="219">
        <f>SUMIFS(LstMachines[Nbre],LstMachines[Model-Spec],PrévisionBoris[[#This Row],[Spec]],LstMachines[Status],PrévisionBoris[[#This Row],[Status]],LstMachines[MoisLivr],N$1)</f>
        <v>0</v>
      </c>
      <c r="O60" s="220">
        <f>SUMIFS(LstMachines[Nbre],LstMachines[Model-Spec],PrévisionBoris[[#This Row],[Spec]],LstMachines[Status],PrévisionBoris[[#This Row],[Status]],LstMachines[MoisLivr],O$1)</f>
        <v>0</v>
      </c>
      <c r="P60" s="221">
        <f>SUMIFS(LstMachines[Nbre],LstMachines[Model-Spec],PrévisionBoris[[#This Row],[Spec]],LstMachines[Status],PrévisionBoris[[#This Row],[Status]],LstMachines[MoisLivr],P$1)</f>
        <v>0</v>
      </c>
      <c r="Q60" s="222">
        <f>SUMIFS(LstMachines[Nbre],LstMachines[Model-Spec],PrévisionBoris[[#This Row],[Spec]],LstMachines[Status],PrévisionBoris[[#This Row],[Status]],LstMachines[MoisLivr],Q$1)</f>
        <v>0</v>
      </c>
      <c r="R60" s="220">
        <f>SUMIFS(LstMachines[Nbre],LstMachines[Model-Spec],PrévisionBoris[[#This Row],[Spec]],LstMachines[Status],PrévisionBoris[[#This Row],[Status]],LstMachines[MoisLivr],R$1)</f>
        <v>0</v>
      </c>
      <c r="S60" s="220">
        <f>SUMIFS(LstMachines[Nbre],LstMachines[Model-Spec],PrévisionBoris[[#This Row],[Spec]],LstMachines[Status],PrévisionBoris[[#This Row],[Status]],LstMachines[MoisLivr],S$1)</f>
        <v>0</v>
      </c>
      <c r="T60" s="219">
        <f>SUMIFS(LstMachines[Nbre],LstMachines[Model-Spec],PrévisionBoris[[#This Row],[Spec]],LstMachines[Status],PrévisionBoris[[#This Row],[Status]],LstMachines[MoisLivr],T$1)</f>
        <v>0</v>
      </c>
      <c r="U60" s="220">
        <f>SUMIFS(LstMachines[Nbre],LstMachines[Model-Spec],PrévisionBoris[[#This Row],[Spec]],LstMachines[Status],PrévisionBoris[[#This Row],[Status]],LstMachines[MoisLivr],U$1)</f>
        <v>0</v>
      </c>
      <c r="V60" s="220">
        <f>SUMIFS(LstMachines[Nbre],LstMachines[Model-Spec],PrévisionBoris[[#This Row],[Spec]],LstMachines[Status],PrévisionBoris[[#This Row],[Status]],LstMachines[MoisLivr],V$1)</f>
        <v>0</v>
      </c>
      <c r="W60" s="219">
        <f>SUMIFS(LstMachines[Nbre],LstMachines[Model-Spec],PrévisionBoris[[#This Row],[Spec]],LstMachines[Status],PrévisionBoris[[#This Row],[Status]],LstMachines[MoisLivr],W$1)</f>
        <v>0</v>
      </c>
      <c r="X60" s="220">
        <f>SUMIFS(LstMachines[Nbre],LstMachines[Model-Spec],PrévisionBoris[[#This Row],[Spec]],LstMachines[Status],PrévisionBoris[[#This Row],[Status]],LstMachines[MoisLivr],X$1)</f>
        <v>0</v>
      </c>
      <c r="Y60" s="220">
        <f>SUMIFS(LstMachines[Nbre],LstMachines[Model-Spec],PrévisionBoris[[#This Row],[Spec]],LstMachines[Status],PrévisionBoris[[#This Row],[Status]],LstMachines[MoisLivr],Y$1)</f>
        <v>0</v>
      </c>
      <c r="Z60" s="219">
        <f>SUMIFS(LstMachines[Nbre],LstMachines[Model-Spec],PrévisionBoris[[#This Row],[Spec]],LstMachines[Status],PrévisionBoris[[#This Row],[Status]],LstMachines[MoisLivr],Z$1)</f>
        <v>0</v>
      </c>
      <c r="AA60" s="220">
        <f>SUMIFS(LstMachines[Nbre],LstMachines[Model-Spec],PrévisionBoris[[#This Row],[Spec]],LstMachines[Status],PrévisionBoris[[#This Row],[Status]],LstMachines[MoisLivr],AA$1)</f>
        <v>0</v>
      </c>
      <c r="AB60" s="220">
        <f>SUMIFS(LstMachines[Nbre],LstMachines[Model-Spec],PrévisionBoris[[#This Row],[Spec]],LstMachines[Status],PrévisionBoris[[#This Row],[Status]],LstMachines[MoisLivr],AB$1)</f>
        <v>0</v>
      </c>
      <c r="AC60" s="219">
        <f>SUMIFS(LstMachines[Nbre],LstMachines[Model-Spec],PrévisionBoris[[#This Row],[Spec]],LstMachines[Status],PrévisionBoris[[#This Row],[Status]],LstMachines[MoisLivr],AC$1)</f>
        <v>0</v>
      </c>
      <c r="AD60" s="220">
        <f>SUMIFS(LstMachines[Nbre],LstMachines[Model-Spec],PrévisionBoris[[#This Row],[Spec]],LstMachines[Status],PrévisionBoris[[#This Row],[Status]],LstMachines[MoisLivr],AD$1)</f>
        <v>0</v>
      </c>
      <c r="AE60" s="220">
        <f>SUMIFS(LstMachines[Nbre],LstMachines[Model-Spec],PrévisionBoris[[#This Row],[Spec]],LstMachines[Status],PrévisionBoris[[#This Row],[Status]],LstMachines[MoisLivr],AE$1)</f>
        <v>0</v>
      </c>
      <c r="AF60" s="219">
        <f>SUMIFS(LstMachines[Nbre],LstMachines[Model-Spec],PrévisionBoris[[#This Row],[Spec]],LstMachines[Status],PrévisionBoris[[#This Row],[Status]],LstMachines[MoisLivr],AF$1)</f>
        <v>0</v>
      </c>
      <c r="AG60" s="220">
        <f>SUMIFS(LstMachines[Nbre],LstMachines[Model-Spec],PrévisionBoris[[#This Row],[Spec]],LstMachines[Status],PrévisionBoris[[#This Row],[Status]],LstMachines[MoisLivr],AG$1)</f>
        <v>0</v>
      </c>
      <c r="AH60" s="220">
        <f>SUMIFS(LstMachines[Nbre],LstMachines[Model-Spec],PrévisionBoris[[#This Row],[Spec]],LstMachines[Status],PrévisionBoris[[#This Row],[Status]],LstMachines[MoisLivr],AH$1)</f>
        <v>0</v>
      </c>
      <c r="AI60" s="219">
        <f>SUMIFS(LstMachines[Nbre],LstMachines[Model-Spec],PrévisionBoris[[#This Row],[Spec]],LstMachines[Status],PrévisionBoris[[#This Row],[Status]],LstMachines[MoisLivr],AI$1)</f>
        <v>0</v>
      </c>
      <c r="AJ60" s="220">
        <f>SUMIFS(LstMachines[Nbre],LstMachines[Model-Spec],PrévisionBoris[[#This Row],[Spec]],LstMachines[Status],PrévisionBoris[[#This Row],[Status]],LstMachines[MoisLivr],AJ$1)</f>
        <v>0</v>
      </c>
      <c r="AK60" s="220">
        <f>SUMIFS(LstMachines[Nbre],LstMachines[Model-Spec],PrévisionBoris[[#This Row],[Spec]],LstMachines[Status],PrévisionBoris[[#This Row],[Status]],LstMachines[MoisLivr],AK$1)</f>
        <v>0</v>
      </c>
      <c r="AL60" s="219">
        <f>SUMIFS(LstMachines[Nbre],LstMachines[Model-Spec],PrévisionBoris[[#This Row],[Spec]],LstMachines[Status],PrévisionBoris[[#This Row],[Status]],LstMachines[MoisLivr],AL$1)</f>
        <v>0</v>
      </c>
      <c r="AM60" s="220">
        <f>SUMIFS(LstMachines[Nbre],LstMachines[Model-Spec],PrévisionBoris[[#This Row],[Spec]],LstMachines[Status],PrévisionBoris[[#This Row],[Status]],LstMachines[MoisLivr],AM$1)</f>
        <v>0</v>
      </c>
      <c r="AN60" s="220">
        <f>SUMIFS(LstMachines[Nbre],LstMachines[Model-Spec],PrévisionBoris[[#This Row],[Spec]],LstMachines[Status],PrévisionBoris[[#This Row],[Status]],LstMachines[MoisLivr],AN$1)</f>
        <v>0</v>
      </c>
      <c r="AO60" s="219">
        <f>SUMIFS(LstMachines[Nbre],LstMachines[Model-Spec],PrévisionBoris[[#This Row],[Spec]],LstMachines[Status],PrévisionBoris[[#This Row],[Status]],LstMachines[MoisLivr],AO$1)</f>
        <v>0</v>
      </c>
      <c r="AP60" s="220">
        <f>SUMIFS(LstMachines[Nbre],LstMachines[Model-Spec],PrévisionBoris[[#This Row],[Spec]],LstMachines[Status],PrévisionBoris[[#This Row],[Status]],LstMachines[MoisLivr],AP$1)</f>
        <v>0</v>
      </c>
      <c r="AQ60" s="220">
        <f>SUMIFS(LstMachines[Nbre],LstMachines[Model-Spec],PrévisionBoris[[#This Row],[Spec]],LstMachines[Status],PrévisionBoris[[#This Row],[Status]],LstMachines[MoisLivr],AQ$1)</f>
        <v>0</v>
      </c>
      <c r="AR60" s="219">
        <f>SUMIFS(LstMachines[Nbre],LstMachines[Model-Spec],PrévisionBoris[[#This Row],[Spec]],LstMachines[Status],PrévisionBoris[[#This Row],[Status]],LstMachines[MoisLivr],AR$1)</f>
        <v>0</v>
      </c>
      <c r="AS60" s="220">
        <f>SUMIFS(LstMachines[Nbre],LstMachines[Model-Spec],PrévisionBoris[[#This Row],[Spec]],LstMachines[Status],PrévisionBoris[[#This Row],[Status]],LstMachines[MoisLivr],AS$1)</f>
        <v>0</v>
      </c>
      <c r="AT60" s="220">
        <f>SUMIFS(LstMachines[Nbre],LstMachines[Model-Spec],PrévisionBoris[[#This Row],[Spec]],LstMachines[Status],PrévisionBoris[[#This Row],[Status]],LstMachines[MoisLivr],AT$1)</f>
        <v>0</v>
      </c>
      <c r="AU60" s="219">
        <f>SUMIFS(LstMachines[Nbre],LstMachines[Model-Spec],PrévisionBoris[[#This Row],[Spec]],LstMachines[Status],PrévisionBoris[[#This Row],[Status]],LstMachines[MoisLivr],AU$1)</f>
        <v>0</v>
      </c>
      <c r="AV60" s="223">
        <f>SUMIFS(LstMachines[Nbre],LstMachines[Model-Spec],PrévisionBoris[[#This Row],[Spec]],LstMachines[Status],PrévisionBoris[[#This Row],[Status]],LstMachines[MoisLivr],AV$1)</f>
        <v>0</v>
      </c>
      <c r="AW60" s="224">
        <f>SUMIFS(LstMachines[Nbre],LstMachines[Model-Spec],PrévisionBoris[[#This Row],[Spec]],LstMachines[Status],PrévisionBoris[[#This Row],[Status]],LstMachines[MoisLivr],AW$1)</f>
        <v>0</v>
      </c>
      <c r="AX60" s="210"/>
      <c r="AY60" s="211">
        <f t="shared" si="3"/>
        <v>0</v>
      </c>
      <c r="AZ60" s="212">
        <f t="shared" si="4"/>
        <v>0</v>
      </c>
      <c r="BA60" s="212">
        <f t="shared" si="5"/>
        <v>0</v>
      </c>
      <c r="BB60" s="213">
        <f t="shared" si="6"/>
        <v>0</v>
      </c>
      <c r="BC60" s="225">
        <f t="shared" si="7"/>
        <v>0</v>
      </c>
      <c r="BD60" s="211">
        <f t="shared" si="8"/>
        <v>0</v>
      </c>
      <c r="BE60" s="212">
        <f t="shared" si="9"/>
        <v>0</v>
      </c>
      <c r="BF60" s="212">
        <f t="shared" si="10"/>
        <v>0</v>
      </c>
      <c r="BG60" s="213">
        <f t="shared" si="11"/>
        <v>0</v>
      </c>
      <c r="BH60" s="225">
        <f t="shared" si="12"/>
        <v>0</v>
      </c>
      <c r="BI60" s="214">
        <f t="shared" si="13"/>
        <v>0</v>
      </c>
      <c r="BJ60" s="215">
        <f t="shared" si="14"/>
        <v>0</v>
      </c>
      <c r="BK60" s="215">
        <f t="shared" si="15"/>
        <v>0</v>
      </c>
      <c r="BL60" s="216">
        <f t="shared" si="16"/>
        <v>0</v>
      </c>
      <c r="BM60" s="225">
        <f t="shared" si="17"/>
        <v>0</v>
      </c>
      <c r="BN60" s="225"/>
      <c r="BO60" s="217"/>
      <c r="BP60" s="218">
        <f t="shared" si="18"/>
        <v>0</v>
      </c>
    </row>
    <row r="61" spans="1:68">
      <c r="A61" s="171">
        <v>54</v>
      </c>
      <c r="B61" s="171" t="s">
        <v>151</v>
      </c>
      <c r="C61" s="201">
        <v>250</v>
      </c>
      <c r="D61" s="171" t="s">
        <v>172</v>
      </c>
      <c r="E61" s="171" t="s">
        <v>174</v>
      </c>
      <c r="F61" s="201">
        <f>VLOOKUP(PrévisionBoris[[#This Row],[Spec]],TabModelSpecs[[ModelSpec]:[Price]],2,FALSE)</f>
        <v>150</v>
      </c>
      <c r="G61" s="171" t="s">
        <v>463</v>
      </c>
      <c r="H61" s="226">
        <f>SUMIFS(LstMachines[Nbre],LstMachines[Model-Spec],PrévisionBoris[[#This Row],[Spec]],LstMachines[Status],PrévisionBoris[[#This Row],[Status]],LstMachines[MoisLivr],H$1)</f>
        <v>0</v>
      </c>
      <c r="I61" s="227">
        <f>SUMIFS(LstMachines[Nbre],LstMachines[Model-Spec],PrévisionBoris[[#This Row],[Spec]],LstMachines[Status],PrévisionBoris[[#This Row],[Status]],LstMachines[MoisLivr],I$1)</f>
        <v>0</v>
      </c>
      <c r="J61" s="228">
        <f>SUMIFS(LstMachines[Nbre],LstMachines[Model-Spec],PrévisionBoris[[#This Row],[Spec]],LstMachines[Status],PrévisionBoris[[#This Row],[Status]],LstMachines[MoisLivr],J$1)</f>
        <v>0</v>
      </c>
      <c r="K61" s="226">
        <f>SUMIFS(LstMachines[Nbre],LstMachines[Model-Spec],PrévisionBoris[[#This Row],[Spec]],LstMachines[Status],PrévisionBoris[[#This Row],[Status]],LstMachines[MoisLivr],K$1)</f>
        <v>0</v>
      </c>
      <c r="L61" s="227">
        <f>SUMIFS(LstMachines[Nbre],LstMachines[Model-Spec],PrévisionBoris[[#This Row],[Spec]],LstMachines[Status],PrévisionBoris[[#This Row],[Status]],LstMachines[MoisLivr],L$1)</f>
        <v>0</v>
      </c>
      <c r="M61" s="228">
        <f>SUMIFS(LstMachines[Nbre],LstMachines[Model-Spec],PrévisionBoris[[#This Row],[Spec]],LstMachines[Status],PrévisionBoris[[#This Row],[Status]],LstMachines[MoisLivr],M$1)</f>
        <v>0</v>
      </c>
      <c r="N61" s="226">
        <f>SUMIFS(LstMachines[Nbre],LstMachines[Model-Spec],PrévisionBoris[[#This Row],[Spec]],LstMachines[Status],PrévisionBoris[[#This Row],[Status]],LstMachines[MoisLivr],N$1)</f>
        <v>0</v>
      </c>
      <c r="O61" s="227">
        <f>SUMIFS(LstMachines[Nbre],LstMachines[Model-Spec],PrévisionBoris[[#This Row],[Spec]],LstMachines[Status],PrévisionBoris[[#This Row],[Status]],LstMachines[MoisLivr],O$1)</f>
        <v>0</v>
      </c>
      <c r="P61" s="228">
        <f>SUMIFS(LstMachines[Nbre],LstMachines[Model-Spec],PrévisionBoris[[#This Row],[Spec]],LstMachines[Status],PrévisionBoris[[#This Row],[Status]],LstMachines[MoisLivr],P$1)</f>
        <v>0</v>
      </c>
      <c r="Q61" s="229">
        <f>SUMIFS(LstMachines[Nbre],LstMachines[Model-Spec],PrévisionBoris[[#This Row],[Spec]],LstMachines[Status],PrévisionBoris[[#This Row],[Status]],LstMachines[MoisLivr],Q$1)</f>
        <v>0</v>
      </c>
      <c r="R61" s="227">
        <f>SUMIFS(LstMachines[Nbre],LstMachines[Model-Spec],PrévisionBoris[[#This Row],[Spec]],LstMachines[Status],PrévisionBoris[[#This Row],[Status]],LstMachines[MoisLivr],R$1)</f>
        <v>0</v>
      </c>
      <c r="S61" s="227">
        <f>SUMIFS(LstMachines[Nbre],LstMachines[Model-Spec],PrévisionBoris[[#This Row],[Spec]],LstMachines[Status],PrévisionBoris[[#This Row],[Status]],LstMachines[MoisLivr],S$1)</f>
        <v>0</v>
      </c>
      <c r="T61" s="226">
        <f>SUMIFS(LstMachines[Nbre],LstMachines[Model-Spec],PrévisionBoris[[#This Row],[Spec]],LstMachines[Status],PrévisionBoris[[#This Row],[Status]],LstMachines[MoisLivr],T$1)</f>
        <v>0</v>
      </c>
      <c r="U61" s="227">
        <f>SUMIFS(LstMachines[Nbre],LstMachines[Model-Spec],PrévisionBoris[[#This Row],[Spec]],LstMachines[Status],PrévisionBoris[[#This Row],[Status]],LstMachines[MoisLivr],U$1)</f>
        <v>0</v>
      </c>
      <c r="V61" s="227">
        <f>SUMIFS(LstMachines[Nbre],LstMachines[Model-Spec],PrévisionBoris[[#This Row],[Spec]],LstMachines[Status],PrévisionBoris[[#This Row],[Status]],LstMachines[MoisLivr],V$1)</f>
        <v>0</v>
      </c>
      <c r="W61" s="226">
        <f>SUMIFS(LstMachines[Nbre],LstMachines[Model-Spec],PrévisionBoris[[#This Row],[Spec]],LstMachines[Status],PrévisionBoris[[#This Row],[Status]],LstMachines[MoisLivr],W$1)</f>
        <v>0</v>
      </c>
      <c r="X61" s="227">
        <f>SUMIFS(LstMachines[Nbre],LstMachines[Model-Spec],PrévisionBoris[[#This Row],[Spec]],LstMachines[Status],PrévisionBoris[[#This Row],[Status]],LstMachines[MoisLivr],X$1)</f>
        <v>0</v>
      </c>
      <c r="Y61" s="227">
        <f>SUMIFS(LstMachines[Nbre],LstMachines[Model-Spec],PrévisionBoris[[#This Row],[Spec]],LstMachines[Status],PrévisionBoris[[#This Row],[Status]],LstMachines[MoisLivr],Y$1)</f>
        <v>0</v>
      </c>
      <c r="Z61" s="226">
        <f>SUMIFS(LstMachines[Nbre],LstMachines[Model-Spec],PrévisionBoris[[#This Row],[Spec]],LstMachines[Status],PrévisionBoris[[#This Row],[Status]],LstMachines[MoisLivr],Z$1)</f>
        <v>0</v>
      </c>
      <c r="AA61" s="227">
        <f>SUMIFS(LstMachines[Nbre],LstMachines[Model-Spec],PrévisionBoris[[#This Row],[Spec]],LstMachines[Status],PrévisionBoris[[#This Row],[Status]],LstMachines[MoisLivr],AA$1)</f>
        <v>0</v>
      </c>
      <c r="AB61" s="227">
        <f>SUMIFS(LstMachines[Nbre],LstMachines[Model-Spec],PrévisionBoris[[#This Row],[Spec]],LstMachines[Status],PrévisionBoris[[#This Row],[Status]],LstMachines[MoisLivr],AB$1)</f>
        <v>0</v>
      </c>
      <c r="AC61" s="226">
        <f>SUMIFS(LstMachines[Nbre],LstMachines[Model-Spec],PrévisionBoris[[#This Row],[Spec]],LstMachines[Status],PrévisionBoris[[#This Row],[Status]],LstMachines[MoisLivr],AC$1)</f>
        <v>0</v>
      </c>
      <c r="AD61" s="227">
        <f>SUMIFS(LstMachines[Nbre],LstMachines[Model-Spec],PrévisionBoris[[#This Row],[Spec]],LstMachines[Status],PrévisionBoris[[#This Row],[Status]],LstMachines[MoisLivr],AD$1)</f>
        <v>0</v>
      </c>
      <c r="AE61" s="227">
        <f>SUMIFS(LstMachines[Nbre],LstMachines[Model-Spec],PrévisionBoris[[#This Row],[Spec]],LstMachines[Status],PrévisionBoris[[#This Row],[Status]],LstMachines[MoisLivr],AE$1)</f>
        <v>0</v>
      </c>
      <c r="AF61" s="226">
        <f>SUMIFS(LstMachines[Nbre],LstMachines[Model-Spec],PrévisionBoris[[#This Row],[Spec]],LstMachines[Status],PrévisionBoris[[#This Row],[Status]],LstMachines[MoisLivr],AF$1)</f>
        <v>0</v>
      </c>
      <c r="AG61" s="227">
        <f>SUMIFS(LstMachines[Nbre],LstMachines[Model-Spec],PrévisionBoris[[#This Row],[Spec]],LstMachines[Status],PrévisionBoris[[#This Row],[Status]],LstMachines[MoisLivr],AG$1)</f>
        <v>0</v>
      </c>
      <c r="AH61" s="227">
        <f>SUMIFS(LstMachines[Nbre],LstMachines[Model-Spec],PrévisionBoris[[#This Row],[Spec]],LstMachines[Status],PrévisionBoris[[#This Row],[Status]],LstMachines[MoisLivr],AH$1)</f>
        <v>0</v>
      </c>
      <c r="AI61" s="226">
        <f>SUMIFS(LstMachines[Nbre],LstMachines[Model-Spec],PrévisionBoris[[#This Row],[Spec]],LstMachines[Status],PrévisionBoris[[#This Row],[Status]],LstMachines[MoisLivr],AI$1)</f>
        <v>0</v>
      </c>
      <c r="AJ61" s="227">
        <f>SUMIFS(LstMachines[Nbre],LstMachines[Model-Spec],PrévisionBoris[[#This Row],[Spec]],LstMachines[Status],PrévisionBoris[[#This Row],[Status]],LstMachines[MoisLivr],AJ$1)</f>
        <v>0</v>
      </c>
      <c r="AK61" s="227">
        <f>SUMIFS(LstMachines[Nbre],LstMachines[Model-Spec],PrévisionBoris[[#This Row],[Spec]],LstMachines[Status],PrévisionBoris[[#This Row],[Status]],LstMachines[MoisLivr],AK$1)</f>
        <v>0</v>
      </c>
      <c r="AL61" s="226">
        <f>SUMIFS(LstMachines[Nbre],LstMachines[Model-Spec],PrévisionBoris[[#This Row],[Spec]],LstMachines[Status],PrévisionBoris[[#This Row],[Status]],LstMachines[MoisLivr],AL$1)</f>
        <v>0</v>
      </c>
      <c r="AM61" s="227">
        <f>SUMIFS(LstMachines[Nbre],LstMachines[Model-Spec],PrévisionBoris[[#This Row],[Spec]],LstMachines[Status],PrévisionBoris[[#This Row],[Status]],LstMachines[MoisLivr],AM$1)</f>
        <v>0</v>
      </c>
      <c r="AN61" s="227">
        <f>SUMIFS(LstMachines[Nbre],LstMachines[Model-Spec],PrévisionBoris[[#This Row],[Spec]],LstMachines[Status],PrévisionBoris[[#This Row],[Status]],LstMachines[MoisLivr],AN$1)</f>
        <v>0</v>
      </c>
      <c r="AO61" s="226">
        <f>SUMIFS(LstMachines[Nbre],LstMachines[Model-Spec],PrévisionBoris[[#This Row],[Spec]],LstMachines[Status],PrévisionBoris[[#This Row],[Status]],LstMachines[MoisLivr],AO$1)</f>
        <v>0</v>
      </c>
      <c r="AP61" s="227">
        <f>SUMIFS(LstMachines[Nbre],LstMachines[Model-Spec],PrévisionBoris[[#This Row],[Spec]],LstMachines[Status],PrévisionBoris[[#This Row],[Status]],LstMachines[MoisLivr],AP$1)</f>
        <v>0</v>
      </c>
      <c r="AQ61" s="227">
        <f>SUMIFS(LstMachines[Nbre],LstMachines[Model-Spec],PrévisionBoris[[#This Row],[Spec]],LstMachines[Status],PrévisionBoris[[#This Row],[Status]],LstMachines[MoisLivr],AQ$1)</f>
        <v>0</v>
      </c>
      <c r="AR61" s="226">
        <f>SUMIFS(LstMachines[Nbre],LstMachines[Model-Spec],PrévisionBoris[[#This Row],[Spec]],LstMachines[Status],PrévisionBoris[[#This Row],[Status]],LstMachines[MoisLivr],AR$1)</f>
        <v>0</v>
      </c>
      <c r="AS61" s="227">
        <f>SUMIFS(LstMachines[Nbre],LstMachines[Model-Spec],PrévisionBoris[[#This Row],[Spec]],LstMachines[Status],PrévisionBoris[[#This Row],[Status]],LstMachines[MoisLivr],AS$1)</f>
        <v>0</v>
      </c>
      <c r="AT61" s="227">
        <f>SUMIFS(LstMachines[Nbre],LstMachines[Model-Spec],PrévisionBoris[[#This Row],[Spec]],LstMachines[Status],PrévisionBoris[[#This Row],[Status]],LstMachines[MoisLivr],AT$1)</f>
        <v>0</v>
      </c>
      <c r="AU61" s="226">
        <f>SUMIFS(LstMachines[Nbre],LstMachines[Model-Spec],PrévisionBoris[[#This Row],[Spec]],LstMachines[Status],PrévisionBoris[[#This Row],[Status]],LstMachines[MoisLivr],AU$1)</f>
        <v>0</v>
      </c>
      <c r="AV61" s="230">
        <f>SUMIFS(LstMachines[Nbre],LstMachines[Model-Spec],PrévisionBoris[[#This Row],[Spec]],LstMachines[Status],PrévisionBoris[[#This Row],[Status]],LstMachines[MoisLivr],AV$1)</f>
        <v>0</v>
      </c>
      <c r="AW61" s="231">
        <f>SUMIFS(LstMachines[Nbre],LstMachines[Model-Spec],PrévisionBoris[[#This Row],[Spec]],LstMachines[Status],PrévisionBoris[[#This Row],[Status]],LstMachines[MoisLivr],AW$1)</f>
        <v>0</v>
      </c>
      <c r="AX61" s="232"/>
      <c r="AY61" s="211">
        <f t="shared" si="3"/>
        <v>0</v>
      </c>
      <c r="AZ61" s="212">
        <f t="shared" si="4"/>
        <v>0</v>
      </c>
      <c r="BA61" s="212">
        <f t="shared" si="5"/>
        <v>0</v>
      </c>
      <c r="BB61" s="213">
        <f t="shared" si="6"/>
        <v>0</v>
      </c>
      <c r="BC61" s="225">
        <f t="shared" si="7"/>
        <v>0</v>
      </c>
      <c r="BD61" s="211">
        <f t="shared" si="8"/>
        <v>0</v>
      </c>
      <c r="BE61" s="212">
        <f t="shared" si="9"/>
        <v>0</v>
      </c>
      <c r="BF61" s="212">
        <f t="shared" si="10"/>
        <v>0</v>
      </c>
      <c r="BG61" s="213">
        <f t="shared" si="11"/>
        <v>0</v>
      </c>
      <c r="BH61" s="225">
        <f t="shared" si="12"/>
        <v>0</v>
      </c>
      <c r="BI61" s="214">
        <f t="shared" si="13"/>
        <v>0</v>
      </c>
      <c r="BJ61" s="215">
        <f t="shared" si="14"/>
        <v>0</v>
      </c>
      <c r="BK61" s="215">
        <f t="shared" si="15"/>
        <v>0</v>
      </c>
      <c r="BL61" s="216">
        <f t="shared" si="16"/>
        <v>0</v>
      </c>
      <c r="BM61" s="225">
        <f t="shared" si="17"/>
        <v>0</v>
      </c>
      <c r="BN61" s="225"/>
      <c r="BO61" s="217"/>
      <c r="BP61" s="218">
        <f t="shared" si="18"/>
        <v>0</v>
      </c>
    </row>
    <row r="62" spans="1:68">
      <c r="A62" s="172">
        <v>55</v>
      </c>
      <c r="B62" s="172" t="s">
        <v>151</v>
      </c>
      <c r="C62" s="202">
        <v>250</v>
      </c>
      <c r="D62" s="172" t="s">
        <v>172</v>
      </c>
      <c r="E62" s="172" t="s">
        <v>175</v>
      </c>
      <c r="F62" s="202">
        <f>VLOOKUP(PrévisionBoris[[#This Row],[Spec]],TabModelSpecs[[ModelSpec]:[Price]],2,FALSE)</f>
        <v>150</v>
      </c>
      <c r="G62" s="172" t="s">
        <v>461</v>
      </c>
      <c r="H62" s="206">
        <f>SUMIFS(LstMachines[Nbre],LstMachines[Model-Spec],PrévisionBoris[[#This Row],[Spec]],LstMachines[Status],PrévisionBoris[[#This Row],[Status]],LstMachines[MoisLivr],H$1)</f>
        <v>0</v>
      </c>
      <c r="I62" s="207">
        <f>SUMIFS(LstMachines[Nbre],LstMachines[Model-Spec],PrévisionBoris[[#This Row],[Spec]],LstMachines[Status],PrévisionBoris[[#This Row],[Status]],LstMachines[MoisLivr],I$1)</f>
        <v>0</v>
      </c>
      <c r="J62" s="208">
        <f>SUMIFS(LstMachines[Nbre],LstMachines[Model-Spec],PrévisionBoris[[#This Row],[Spec]],LstMachines[Status],PrévisionBoris[[#This Row],[Status]],LstMachines[MoisLivr],J$1)</f>
        <v>0</v>
      </c>
      <c r="K62" s="206">
        <f>SUMIFS(LstMachines[Nbre],LstMachines[Model-Spec],PrévisionBoris[[#This Row],[Spec]],LstMachines[Status],PrévisionBoris[[#This Row],[Status]],LstMachines[MoisLivr],K$1)</f>
        <v>0</v>
      </c>
      <c r="L62" s="207">
        <f>SUMIFS(LstMachines[Nbre],LstMachines[Model-Spec],PrévisionBoris[[#This Row],[Spec]],LstMachines[Status],PrévisionBoris[[#This Row],[Status]],LstMachines[MoisLivr],L$1)</f>
        <v>0</v>
      </c>
      <c r="M62" s="208">
        <f>SUMIFS(LstMachines[Nbre],LstMachines[Model-Spec],PrévisionBoris[[#This Row],[Spec]],LstMachines[Status],PrévisionBoris[[#This Row],[Status]],LstMachines[MoisLivr],M$1)</f>
        <v>0</v>
      </c>
      <c r="N62" s="206">
        <f>SUMIFS(LstMachines[Nbre],LstMachines[Model-Spec],PrévisionBoris[[#This Row],[Spec]],LstMachines[Status],PrévisionBoris[[#This Row],[Status]],LstMachines[MoisLivr],N$1)</f>
        <v>0</v>
      </c>
      <c r="O62" s="207">
        <f>SUMIFS(LstMachines[Nbre],LstMachines[Model-Spec],PrévisionBoris[[#This Row],[Spec]],LstMachines[Status],PrévisionBoris[[#This Row],[Status]],LstMachines[MoisLivr],O$1)</f>
        <v>0</v>
      </c>
      <c r="P62" s="208">
        <f>SUMIFS(LstMachines[Nbre],LstMachines[Model-Spec],PrévisionBoris[[#This Row],[Spec]],LstMachines[Status],PrévisionBoris[[#This Row],[Status]],LstMachines[MoisLivr],P$1)</f>
        <v>0</v>
      </c>
      <c r="Q62" s="209">
        <f>SUMIFS(LstMachines[Nbre],LstMachines[Model-Spec],PrévisionBoris[[#This Row],[Spec]],LstMachines[Status],PrévisionBoris[[#This Row],[Status]],LstMachines[MoisLivr],Q$1)</f>
        <v>0</v>
      </c>
      <c r="R62" s="207">
        <f>SUMIFS(LstMachines[Nbre],LstMachines[Model-Spec],PrévisionBoris[[#This Row],[Spec]],LstMachines[Status],PrévisionBoris[[#This Row],[Status]],LstMachines[MoisLivr],R$1)</f>
        <v>0</v>
      </c>
      <c r="S62" s="207">
        <f>SUMIFS(LstMachines[Nbre],LstMachines[Model-Spec],PrévisionBoris[[#This Row],[Spec]],LstMachines[Status],PrévisionBoris[[#This Row],[Status]],LstMachines[MoisLivr],S$1)</f>
        <v>0</v>
      </c>
      <c r="T62" s="206">
        <f>SUMIFS(LstMachines[Nbre],LstMachines[Model-Spec],PrévisionBoris[[#This Row],[Spec]],LstMachines[Status],PrévisionBoris[[#This Row],[Status]],LstMachines[MoisLivr],T$1)</f>
        <v>0</v>
      </c>
      <c r="U62" s="207">
        <f>SUMIFS(LstMachines[Nbre],LstMachines[Model-Spec],PrévisionBoris[[#This Row],[Spec]],LstMachines[Status],PrévisionBoris[[#This Row],[Status]],LstMachines[MoisLivr],U$1)</f>
        <v>0</v>
      </c>
      <c r="V62" s="207">
        <f>SUMIFS(LstMachines[Nbre],LstMachines[Model-Spec],PrévisionBoris[[#This Row],[Spec]],LstMachines[Status],PrévisionBoris[[#This Row],[Status]],LstMachines[MoisLivr],V$1)</f>
        <v>0</v>
      </c>
      <c r="W62" s="206">
        <f>SUMIFS(LstMachines[Nbre],LstMachines[Model-Spec],PrévisionBoris[[#This Row],[Spec]],LstMachines[Status],PrévisionBoris[[#This Row],[Status]],LstMachines[MoisLivr],W$1)</f>
        <v>0</v>
      </c>
      <c r="X62" s="207">
        <f>SUMIFS(LstMachines[Nbre],LstMachines[Model-Spec],PrévisionBoris[[#This Row],[Spec]],LstMachines[Status],PrévisionBoris[[#This Row],[Status]],LstMachines[MoisLivr],X$1)</f>
        <v>0</v>
      </c>
      <c r="Y62" s="207">
        <f>SUMIFS(LstMachines[Nbre],LstMachines[Model-Spec],PrévisionBoris[[#This Row],[Spec]],LstMachines[Status],PrévisionBoris[[#This Row],[Status]],LstMachines[MoisLivr],Y$1)</f>
        <v>0</v>
      </c>
      <c r="Z62" s="206">
        <f>SUMIFS(LstMachines[Nbre],LstMachines[Model-Spec],PrévisionBoris[[#This Row],[Spec]],LstMachines[Status],PrévisionBoris[[#This Row],[Status]],LstMachines[MoisLivr],Z$1)</f>
        <v>0</v>
      </c>
      <c r="AA62" s="207">
        <f>SUMIFS(LstMachines[Nbre],LstMachines[Model-Spec],PrévisionBoris[[#This Row],[Spec]],LstMachines[Status],PrévisionBoris[[#This Row],[Status]],LstMachines[MoisLivr],AA$1)</f>
        <v>0</v>
      </c>
      <c r="AB62" s="207">
        <f>SUMIFS(LstMachines[Nbre],LstMachines[Model-Spec],PrévisionBoris[[#This Row],[Spec]],LstMachines[Status],PrévisionBoris[[#This Row],[Status]],LstMachines[MoisLivr],AB$1)</f>
        <v>0</v>
      </c>
      <c r="AC62" s="206">
        <f>SUMIFS(LstMachines[Nbre],LstMachines[Model-Spec],PrévisionBoris[[#This Row],[Spec]],LstMachines[Status],PrévisionBoris[[#This Row],[Status]],LstMachines[MoisLivr],AC$1)</f>
        <v>0</v>
      </c>
      <c r="AD62" s="207">
        <f>SUMIFS(LstMachines[Nbre],LstMachines[Model-Spec],PrévisionBoris[[#This Row],[Spec]],LstMachines[Status],PrévisionBoris[[#This Row],[Status]],LstMachines[MoisLivr],AD$1)</f>
        <v>0</v>
      </c>
      <c r="AE62" s="207">
        <f>SUMIFS(LstMachines[Nbre],LstMachines[Model-Spec],PrévisionBoris[[#This Row],[Spec]],LstMachines[Status],PrévisionBoris[[#This Row],[Status]],LstMachines[MoisLivr],AE$1)</f>
        <v>0</v>
      </c>
      <c r="AF62" s="206">
        <f>SUMIFS(LstMachines[Nbre],LstMachines[Model-Spec],PrévisionBoris[[#This Row],[Spec]],LstMachines[Status],PrévisionBoris[[#This Row],[Status]],LstMachines[MoisLivr],AF$1)</f>
        <v>0</v>
      </c>
      <c r="AG62" s="207">
        <f>SUMIFS(LstMachines[Nbre],LstMachines[Model-Spec],PrévisionBoris[[#This Row],[Spec]],LstMachines[Status],PrévisionBoris[[#This Row],[Status]],LstMachines[MoisLivr],AG$1)</f>
        <v>0</v>
      </c>
      <c r="AH62" s="207">
        <f>SUMIFS(LstMachines[Nbre],LstMachines[Model-Spec],PrévisionBoris[[#This Row],[Spec]],LstMachines[Status],PrévisionBoris[[#This Row],[Status]],LstMachines[MoisLivr],AH$1)</f>
        <v>0</v>
      </c>
      <c r="AI62" s="206">
        <f>SUMIFS(LstMachines[Nbre],LstMachines[Model-Spec],PrévisionBoris[[#This Row],[Spec]],LstMachines[Status],PrévisionBoris[[#This Row],[Status]],LstMachines[MoisLivr],AI$1)</f>
        <v>0</v>
      </c>
      <c r="AJ62" s="207">
        <f>SUMIFS(LstMachines[Nbre],LstMachines[Model-Spec],PrévisionBoris[[#This Row],[Spec]],LstMachines[Status],PrévisionBoris[[#This Row],[Status]],LstMachines[MoisLivr],AJ$1)</f>
        <v>0</v>
      </c>
      <c r="AK62" s="207">
        <f>SUMIFS(LstMachines[Nbre],LstMachines[Model-Spec],PrévisionBoris[[#This Row],[Spec]],LstMachines[Status],PrévisionBoris[[#This Row],[Status]],LstMachines[MoisLivr],AK$1)</f>
        <v>0</v>
      </c>
      <c r="AL62" s="206">
        <f>SUMIFS(LstMachines[Nbre],LstMachines[Model-Spec],PrévisionBoris[[#This Row],[Spec]],LstMachines[Status],PrévisionBoris[[#This Row],[Status]],LstMachines[MoisLivr],AL$1)</f>
        <v>0</v>
      </c>
      <c r="AM62" s="207">
        <f>SUMIFS(LstMachines[Nbre],LstMachines[Model-Spec],PrévisionBoris[[#This Row],[Spec]],LstMachines[Status],PrévisionBoris[[#This Row],[Status]],LstMachines[MoisLivr],AM$1)</f>
        <v>0</v>
      </c>
      <c r="AN62" s="207">
        <f>SUMIFS(LstMachines[Nbre],LstMachines[Model-Spec],PrévisionBoris[[#This Row],[Spec]],LstMachines[Status],PrévisionBoris[[#This Row],[Status]],LstMachines[MoisLivr],AN$1)</f>
        <v>0</v>
      </c>
      <c r="AO62" s="206">
        <f>SUMIFS(LstMachines[Nbre],LstMachines[Model-Spec],PrévisionBoris[[#This Row],[Spec]],LstMachines[Status],PrévisionBoris[[#This Row],[Status]],LstMachines[MoisLivr],AO$1)</f>
        <v>0</v>
      </c>
      <c r="AP62" s="207">
        <f>SUMIFS(LstMachines[Nbre],LstMachines[Model-Spec],PrévisionBoris[[#This Row],[Spec]],LstMachines[Status],PrévisionBoris[[#This Row],[Status]],LstMachines[MoisLivr],AP$1)</f>
        <v>0</v>
      </c>
      <c r="AQ62" s="207">
        <f>SUMIFS(LstMachines[Nbre],LstMachines[Model-Spec],PrévisionBoris[[#This Row],[Spec]],LstMachines[Status],PrévisionBoris[[#This Row],[Status]],LstMachines[MoisLivr],AQ$1)</f>
        <v>0</v>
      </c>
      <c r="AR62" s="206">
        <f>SUMIFS(LstMachines[Nbre],LstMachines[Model-Spec],PrévisionBoris[[#This Row],[Spec]],LstMachines[Status],PrévisionBoris[[#This Row],[Status]],LstMachines[MoisLivr],AR$1)</f>
        <v>0</v>
      </c>
      <c r="AS62" s="207">
        <f>SUMIFS(LstMachines[Nbre],LstMachines[Model-Spec],PrévisionBoris[[#This Row],[Spec]],LstMachines[Status],PrévisionBoris[[#This Row],[Status]],LstMachines[MoisLivr],AS$1)</f>
        <v>0</v>
      </c>
      <c r="AT62" s="207">
        <f>SUMIFS(LstMachines[Nbre],LstMachines[Model-Spec],PrévisionBoris[[#This Row],[Spec]],LstMachines[Status],PrévisionBoris[[#This Row],[Status]],LstMachines[MoisLivr],AT$1)</f>
        <v>0</v>
      </c>
      <c r="AU62" s="206">
        <f>SUMIFS(LstMachines[Nbre],LstMachines[Model-Spec],PrévisionBoris[[#This Row],[Spec]],LstMachines[Status],PrévisionBoris[[#This Row],[Status]],LstMachines[MoisLivr],AU$1)</f>
        <v>0</v>
      </c>
      <c r="AV62" s="233">
        <f>SUMIFS(LstMachines[Nbre],LstMachines[Model-Spec],PrévisionBoris[[#This Row],[Spec]],LstMachines[Status],PrévisionBoris[[#This Row],[Status]],LstMachines[MoisLivr],AV$1)</f>
        <v>0</v>
      </c>
      <c r="AW62" s="208">
        <f>SUMIFS(LstMachines[Nbre],LstMachines[Model-Spec],PrévisionBoris[[#This Row],[Spec]],LstMachines[Status],PrévisionBoris[[#This Row],[Status]],LstMachines[MoisLivr],AW$1)</f>
        <v>0</v>
      </c>
      <c r="AX62" s="225"/>
      <c r="AY62" s="211">
        <f t="shared" si="3"/>
        <v>0</v>
      </c>
      <c r="AZ62" s="212">
        <f t="shared" si="4"/>
        <v>0</v>
      </c>
      <c r="BA62" s="212">
        <f t="shared" si="5"/>
        <v>0</v>
      </c>
      <c r="BB62" s="213">
        <f t="shared" si="6"/>
        <v>0</v>
      </c>
      <c r="BC62" s="225">
        <f t="shared" si="7"/>
        <v>0</v>
      </c>
      <c r="BD62" s="211">
        <f t="shared" si="8"/>
        <v>0</v>
      </c>
      <c r="BE62" s="212">
        <f t="shared" si="9"/>
        <v>0</v>
      </c>
      <c r="BF62" s="212">
        <f t="shared" si="10"/>
        <v>0</v>
      </c>
      <c r="BG62" s="213">
        <f t="shared" si="11"/>
        <v>0</v>
      </c>
      <c r="BH62" s="225">
        <f t="shared" si="12"/>
        <v>0</v>
      </c>
      <c r="BI62" s="214">
        <f t="shared" si="13"/>
        <v>0</v>
      </c>
      <c r="BJ62" s="215">
        <f t="shared" si="14"/>
        <v>0</v>
      </c>
      <c r="BK62" s="215">
        <f t="shared" si="15"/>
        <v>0</v>
      </c>
      <c r="BL62" s="216">
        <f t="shared" si="16"/>
        <v>0</v>
      </c>
      <c r="BM62" s="225">
        <f t="shared" si="17"/>
        <v>0</v>
      </c>
      <c r="BN62" s="225"/>
      <c r="BO62" s="234"/>
      <c r="BP62" s="218">
        <f t="shared" si="18"/>
        <v>0</v>
      </c>
    </row>
    <row r="63" spans="1:68">
      <c r="A63" s="170">
        <v>56</v>
      </c>
      <c r="B63" s="170" t="s">
        <v>151</v>
      </c>
      <c r="C63" s="200">
        <v>250</v>
      </c>
      <c r="D63" s="170" t="s">
        <v>172</v>
      </c>
      <c r="E63" s="170" t="s">
        <v>175</v>
      </c>
      <c r="F63" s="200">
        <f>VLOOKUP(PrévisionBoris[[#This Row],[Spec]],TabModelSpecs[[ModelSpec]:[Price]],2,FALSE)</f>
        <v>150</v>
      </c>
      <c r="G63" s="170" t="s">
        <v>462</v>
      </c>
      <c r="H63" s="219">
        <f>SUMIFS(LstMachines[Nbre],LstMachines[Model-Spec],PrévisionBoris[[#This Row],[Spec]],LstMachines[Status],PrévisionBoris[[#This Row],[Status]],LstMachines[MoisLivr],H$1)</f>
        <v>0</v>
      </c>
      <c r="I63" s="220">
        <f>SUMIFS(LstMachines[Nbre],LstMachines[Model-Spec],PrévisionBoris[[#This Row],[Spec]],LstMachines[Status],PrévisionBoris[[#This Row],[Status]],LstMachines[MoisLivr],I$1)</f>
        <v>0</v>
      </c>
      <c r="J63" s="221">
        <f>SUMIFS(LstMachines[Nbre],LstMachines[Model-Spec],PrévisionBoris[[#This Row],[Spec]],LstMachines[Status],PrévisionBoris[[#This Row],[Status]],LstMachines[MoisLivr],J$1)</f>
        <v>0</v>
      </c>
      <c r="K63" s="219">
        <f>SUMIFS(LstMachines[Nbre],LstMachines[Model-Spec],PrévisionBoris[[#This Row],[Spec]],LstMachines[Status],PrévisionBoris[[#This Row],[Status]],LstMachines[MoisLivr],K$1)</f>
        <v>0</v>
      </c>
      <c r="L63" s="220">
        <f>SUMIFS(LstMachines[Nbre],LstMachines[Model-Spec],PrévisionBoris[[#This Row],[Spec]],LstMachines[Status],PrévisionBoris[[#This Row],[Status]],LstMachines[MoisLivr],L$1)</f>
        <v>0</v>
      </c>
      <c r="M63" s="221">
        <f>SUMIFS(LstMachines[Nbre],LstMachines[Model-Spec],PrévisionBoris[[#This Row],[Spec]],LstMachines[Status],PrévisionBoris[[#This Row],[Status]],LstMachines[MoisLivr],M$1)</f>
        <v>0</v>
      </c>
      <c r="N63" s="219">
        <f>SUMIFS(LstMachines[Nbre],LstMachines[Model-Spec],PrévisionBoris[[#This Row],[Spec]],LstMachines[Status],PrévisionBoris[[#This Row],[Status]],LstMachines[MoisLivr],N$1)</f>
        <v>0</v>
      </c>
      <c r="O63" s="220">
        <f>SUMIFS(LstMachines[Nbre],LstMachines[Model-Spec],PrévisionBoris[[#This Row],[Spec]],LstMachines[Status],PrévisionBoris[[#This Row],[Status]],LstMachines[MoisLivr],O$1)</f>
        <v>0</v>
      </c>
      <c r="P63" s="221">
        <f>SUMIFS(LstMachines[Nbre],LstMachines[Model-Spec],PrévisionBoris[[#This Row],[Spec]],LstMachines[Status],PrévisionBoris[[#This Row],[Status]],LstMachines[MoisLivr],P$1)</f>
        <v>0</v>
      </c>
      <c r="Q63" s="222">
        <f>SUMIFS(LstMachines[Nbre],LstMachines[Model-Spec],PrévisionBoris[[#This Row],[Spec]],LstMachines[Status],PrévisionBoris[[#This Row],[Status]],LstMachines[MoisLivr],Q$1)</f>
        <v>0</v>
      </c>
      <c r="R63" s="220">
        <f>SUMIFS(LstMachines[Nbre],LstMachines[Model-Spec],PrévisionBoris[[#This Row],[Spec]],LstMachines[Status],PrévisionBoris[[#This Row],[Status]],LstMachines[MoisLivr],R$1)</f>
        <v>0</v>
      </c>
      <c r="S63" s="220">
        <f>SUMIFS(LstMachines[Nbre],LstMachines[Model-Spec],PrévisionBoris[[#This Row],[Spec]],LstMachines[Status],PrévisionBoris[[#This Row],[Status]],LstMachines[MoisLivr],S$1)</f>
        <v>0</v>
      </c>
      <c r="T63" s="219">
        <f>SUMIFS(LstMachines[Nbre],LstMachines[Model-Spec],PrévisionBoris[[#This Row],[Spec]],LstMachines[Status],PrévisionBoris[[#This Row],[Status]],LstMachines[MoisLivr],T$1)</f>
        <v>0</v>
      </c>
      <c r="U63" s="220">
        <f>SUMIFS(LstMachines[Nbre],LstMachines[Model-Spec],PrévisionBoris[[#This Row],[Spec]],LstMachines[Status],PrévisionBoris[[#This Row],[Status]],LstMachines[MoisLivr],U$1)</f>
        <v>0</v>
      </c>
      <c r="V63" s="220">
        <f>SUMIFS(LstMachines[Nbre],LstMachines[Model-Spec],PrévisionBoris[[#This Row],[Spec]],LstMachines[Status],PrévisionBoris[[#This Row],[Status]],LstMachines[MoisLivr],V$1)</f>
        <v>0</v>
      </c>
      <c r="W63" s="219">
        <f>SUMIFS(LstMachines[Nbre],LstMachines[Model-Spec],PrévisionBoris[[#This Row],[Spec]],LstMachines[Status],PrévisionBoris[[#This Row],[Status]],LstMachines[MoisLivr],W$1)</f>
        <v>0</v>
      </c>
      <c r="X63" s="220">
        <f>SUMIFS(LstMachines[Nbre],LstMachines[Model-Spec],PrévisionBoris[[#This Row],[Spec]],LstMachines[Status],PrévisionBoris[[#This Row],[Status]],LstMachines[MoisLivr],X$1)</f>
        <v>0</v>
      </c>
      <c r="Y63" s="220">
        <f>SUMIFS(LstMachines[Nbre],LstMachines[Model-Spec],PrévisionBoris[[#This Row],[Spec]],LstMachines[Status],PrévisionBoris[[#This Row],[Status]],LstMachines[MoisLivr],Y$1)</f>
        <v>0</v>
      </c>
      <c r="Z63" s="219">
        <f>SUMIFS(LstMachines[Nbre],LstMachines[Model-Spec],PrévisionBoris[[#This Row],[Spec]],LstMachines[Status],PrévisionBoris[[#This Row],[Status]],LstMachines[MoisLivr],Z$1)</f>
        <v>0</v>
      </c>
      <c r="AA63" s="220">
        <f>SUMIFS(LstMachines[Nbre],LstMachines[Model-Spec],PrévisionBoris[[#This Row],[Spec]],LstMachines[Status],PrévisionBoris[[#This Row],[Status]],LstMachines[MoisLivr],AA$1)</f>
        <v>0</v>
      </c>
      <c r="AB63" s="220">
        <f>SUMIFS(LstMachines[Nbre],LstMachines[Model-Spec],PrévisionBoris[[#This Row],[Spec]],LstMachines[Status],PrévisionBoris[[#This Row],[Status]],LstMachines[MoisLivr],AB$1)</f>
        <v>0</v>
      </c>
      <c r="AC63" s="219">
        <f>SUMIFS(LstMachines[Nbre],LstMachines[Model-Spec],PrévisionBoris[[#This Row],[Spec]],LstMachines[Status],PrévisionBoris[[#This Row],[Status]],LstMachines[MoisLivr],AC$1)</f>
        <v>0</v>
      </c>
      <c r="AD63" s="220">
        <f>SUMIFS(LstMachines[Nbre],LstMachines[Model-Spec],PrévisionBoris[[#This Row],[Spec]],LstMachines[Status],PrévisionBoris[[#This Row],[Status]],LstMachines[MoisLivr],AD$1)</f>
        <v>0</v>
      </c>
      <c r="AE63" s="220">
        <f>SUMIFS(LstMachines[Nbre],LstMachines[Model-Spec],PrévisionBoris[[#This Row],[Spec]],LstMachines[Status],PrévisionBoris[[#This Row],[Status]],LstMachines[MoisLivr],AE$1)</f>
        <v>0</v>
      </c>
      <c r="AF63" s="219">
        <f>SUMIFS(LstMachines[Nbre],LstMachines[Model-Spec],PrévisionBoris[[#This Row],[Spec]],LstMachines[Status],PrévisionBoris[[#This Row],[Status]],LstMachines[MoisLivr],AF$1)</f>
        <v>0</v>
      </c>
      <c r="AG63" s="220">
        <f>SUMIFS(LstMachines[Nbre],LstMachines[Model-Spec],PrévisionBoris[[#This Row],[Spec]],LstMachines[Status],PrévisionBoris[[#This Row],[Status]],LstMachines[MoisLivr],AG$1)</f>
        <v>0</v>
      </c>
      <c r="AH63" s="220">
        <f>SUMIFS(LstMachines[Nbre],LstMachines[Model-Spec],PrévisionBoris[[#This Row],[Spec]],LstMachines[Status],PrévisionBoris[[#This Row],[Status]],LstMachines[MoisLivr],AH$1)</f>
        <v>0</v>
      </c>
      <c r="AI63" s="219">
        <f>SUMIFS(LstMachines[Nbre],LstMachines[Model-Spec],PrévisionBoris[[#This Row],[Spec]],LstMachines[Status],PrévisionBoris[[#This Row],[Status]],LstMachines[MoisLivr],AI$1)</f>
        <v>0</v>
      </c>
      <c r="AJ63" s="220">
        <f>SUMIFS(LstMachines[Nbre],LstMachines[Model-Spec],PrévisionBoris[[#This Row],[Spec]],LstMachines[Status],PrévisionBoris[[#This Row],[Status]],LstMachines[MoisLivr],AJ$1)</f>
        <v>0</v>
      </c>
      <c r="AK63" s="220">
        <f>SUMIFS(LstMachines[Nbre],LstMachines[Model-Spec],PrévisionBoris[[#This Row],[Spec]],LstMachines[Status],PrévisionBoris[[#This Row],[Status]],LstMachines[MoisLivr],AK$1)</f>
        <v>0</v>
      </c>
      <c r="AL63" s="219">
        <f>SUMIFS(LstMachines[Nbre],LstMachines[Model-Spec],PrévisionBoris[[#This Row],[Spec]],LstMachines[Status],PrévisionBoris[[#This Row],[Status]],LstMachines[MoisLivr],AL$1)</f>
        <v>0</v>
      </c>
      <c r="AM63" s="220">
        <f>SUMIFS(LstMachines[Nbre],LstMachines[Model-Spec],PrévisionBoris[[#This Row],[Spec]],LstMachines[Status],PrévisionBoris[[#This Row],[Status]],LstMachines[MoisLivr],AM$1)</f>
        <v>0</v>
      </c>
      <c r="AN63" s="220">
        <f>SUMIFS(LstMachines[Nbre],LstMachines[Model-Spec],PrévisionBoris[[#This Row],[Spec]],LstMachines[Status],PrévisionBoris[[#This Row],[Status]],LstMachines[MoisLivr],AN$1)</f>
        <v>0</v>
      </c>
      <c r="AO63" s="219">
        <f>SUMIFS(LstMachines[Nbre],LstMachines[Model-Spec],PrévisionBoris[[#This Row],[Spec]],LstMachines[Status],PrévisionBoris[[#This Row],[Status]],LstMachines[MoisLivr],AO$1)</f>
        <v>0</v>
      </c>
      <c r="AP63" s="220">
        <f>SUMIFS(LstMachines[Nbre],LstMachines[Model-Spec],PrévisionBoris[[#This Row],[Spec]],LstMachines[Status],PrévisionBoris[[#This Row],[Status]],LstMachines[MoisLivr],AP$1)</f>
        <v>0</v>
      </c>
      <c r="AQ63" s="220">
        <f>SUMIFS(LstMachines[Nbre],LstMachines[Model-Spec],PrévisionBoris[[#This Row],[Spec]],LstMachines[Status],PrévisionBoris[[#This Row],[Status]],LstMachines[MoisLivr],AQ$1)</f>
        <v>0</v>
      </c>
      <c r="AR63" s="219">
        <f>SUMIFS(LstMachines[Nbre],LstMachines[Model-Spec],PrévisionBoris[[#This Row],[Spec]],LstMachines[Status],PrévisionBoris[[#This Row],[Status]],LstMachines[MoisLivr],AR$1)</f>
        <v>0</v>
      </c>
      <c r="AS63" s="220">
        <f>SUMIFS(LstMachines[Nbre],LstMachines[Model-Spec],PrévisionBoris[[#This Row],[Spec]],LstMachines[Status],PrévisionBoris[[#This Row],[Status]],LstMachines[MoisLivr],AS$1)</f>
        <v>0</v>
      </c>
      <c r="AT63" s="220">
        <f>SUMIFS(LstMachines[Nbre],LstMachines[Model-Spec],PrévisionBoris[[#This Row],[Spec]],LstMachines[Status],PrévisionBoris[[#This Row],[Status]],LstMachines[MoisLivr],AT$1)</f>
        <v>0</v>
      </c>
      <c r="AU63" s="219">
        <f>SUMIFS(LstMachines[Nbre],LstMachines[Model-Spec],PrévisionBoris[[#This Row],[Spec]],LstMachines[Status],PrévisionBoris[[#This Row],[Status]],LstMachines[MoisLivr],AU$1)</f>
        <v>0</v>
      </c>
      <c r="AV63" s="223">
        <f>SUMIFS(LstMachines[Nbre],LstMachines[Model-Spec],PrévisionBoris[[#This Row],[Spec]],LstMachines[Status],PrévisionBoris[[#This Row],[Status]],LstMachines[MoisLivr],AV$1)</f>
        <v>0</v>
      </c>
      <c r="AW63" s="224">
        <f>SUMIFS(LstMachines[Nbre],LstMachines[Model-Spec],PrévisionBoris[[#This Row],[Spec]],LstMachines[Status],PrévisionBoris[[#This Row],[Status]],LstMachines[MoisLivr],AW$1)</f>
        <v>0</v>
      </c>
      <c r="AX63" s="210"/>
      <c r="AY63" s="211">
        <f t="shared" si="3"/>
        <v>0</v>
      </c>
      <c r="AZ63" s="212">
        <f t="shared" si="4"/>
        <v>0</v>
      </c>
      <c r="BA63" s="212">
        <f t="shared" si="5"/>
        <v>0</v>
      </c>
      <c r="BB63" s="213">
        <f t="shared" si="6"/>
        <v>0</v>
      </c>
      <c r="BC63" s="225">
        <f t="shared" si="7"/>
        <v>0</v>
      </c>
      <c r="BD63" s="211">
        <f t="shared" si="8"/>
        <v>0</v>
      </c>
      <c r="BE63" s="212">
        <f t="shared" si="9"/>
        <v>0</v>
      </c>
      <c r="BF63" s="212">
        <f t="shared" si="10"/>
        <v>0</v>
      </c>
      <c r="BG63" s="213">
        <f t="shared" si="11"/>
        <v>0</v>
      </c>
      <c r="BH63" s="225">
        <f t="shared" si="12"/>
        <v>0</v>
      </c>
      <c r="BI63" s="214">
        <f t="shared" si="13"/>
        <v>0</v>
      </c>
      <c r="BJ63" s="215">
        <f t="shared" si="14"/>
        <v>0</v>
      </c>
      <c r="BK63" s="215">
        <f t="shared" si="15"/>
        <v>0</v>
      </c>
      <c r="BL63" s="216">
        <f t="shared" si="16"/>
        <v>0</v>
      </c>
      <c r="BM63" s="225">
        <f t="shared" si="17"/>
        <v>0</v>
      </c>
      <c r="BN63" s="225"/>
      <c r="BO63" s="217"/>
      <c r="BP63" s="218">
        <f t="shared" si="18"/>
        <v>0</v>
      </c>
    </row>
    <row r="64" spans="1:68">
      <c r="A64" s="171">
        <v>57</v>
      </c>
      <c r="B64" s="171" t="s">
        <v>151</v>
      </c>
      <c r="C64" s="201">
        <v>250</v>
      </c>
      <c r="D64" s="171" t="s">
        <v>172</v>
      </c>
      <c r="E64" s="171" t="s">
        <v>175</v>
      </c>
      <c r="F64" s="201">
        <f>VLOOKUP(PrévisionBoris[[#This Row],[Spec]],TabModelSpecs[[ModelSpec]:[Price]],2,FALSE)</f>
        <v>150</v>
      </c>
      <c r="G64" s="171" t="s">
        <v>463</v>
      </c>
      <c r="H64" s="226">
        <f>SUMIFS(LstMachines[Nbre],LstMachines[Model-Spec],PrévisionBoris[[#This Row],[Spec]],LstMachines[Status],PrévisionBoris[[#This Row],[Status]],LstMachines[MoisLivr],H$1)</f>
        <v>0</v>
      </c>
      <c r="I64" s="227">
        <f>SUMIFS(LstMachines[Nbre],LstMachines[Model-Spec],PrévisionBoris[[#This Row],[Spec]],LstMachines[Status],PrévisionBoris[[#This Row],[Status]],LstMachines[MoisLivr],I$1)</f>
        <v>0</v>
      </c>
      <c r="J64" s="228">
        <f>SUMIFS(LstMachines[Nbre],LstMachines[Model-Spec],PrévisionBoris[[#This Row],[Spec]],LstMachines[Status],PrévisionBoris[[#This Row],[Status]],LstMachines[MoisLivr],J$1)</f>
        <v>0</v>
      </c>
      <c r="K64" s="226">
        <f>SUMIFS(LstMachines[Nbre],LstMachines[Model-Spec],PrévisionBoris[[#This Row],[Spec]],LstMachines[Status],PrévisionBoris[[#This Row],[Status]],LstMachines[MoisLivr],K$1)</f>
        <v>0</v>
      </c>
      <c r="L64" s="227">
        <f>SUMIFS(LstMachines[Nbre],LstMachines[Model-Spec],PrévisionBoris[[#This Row],[Spec]],LstMachines[Status],PrévisionBoris[[#This Row],[Status]],LstMachines[MoisLivr],L$1)</f>
        <v>0</v>
      </c>
      <c r="M64" s="228">
        <f>SUMIFS(LstMachines[Nbre],LstMachines[Model-Spec],PrévisionBoris[[#This Row],[Spec]],LstMachines[Status],PrévisionBoris[[#This Row],[Status]],LstMachines[MoisLivr],M$1)</f>
        <v>0</v>
      </c>
      <c r="N64" s="226">
        <f>SUMIFS(LstMachines[Nbre],LstMachines[Model-Spec],PrévisionBoris[[#This Row],[Spec]],LstMachines[Status],PrévisionBoris[[#This Row],[Status]],LstMachines[MoisLivr],N$1)</f>
        <v>0</v>
      </c>
      <c r="O64" s="227">
        <f>SUMIFS(LstMachines[Nbre],LstMachines[Model-Spec],PrévisionBoris[[#This Row],[Spec]],LstMachines[Status],PrévisionBoris[[#This Row],[Status]],LstMachines[MoisLivr],O$1)</f>
        <v>0</v>
      </c>
      <c r="P64" s="228">
        <f>SUMIFS(LstMachines[Nbre],LstMachines[Model-Spec],PrévisionBoris[[#This Row],[Spec]],LstMachines[Status],PrévisionBoris[[#This Row],[Status]],LstMachines[MoisLivr],P$1)</f>
        <v>0</v>
      </c>
      <c r="Q64" s="229">
        <f>SUMIFS(LstMachines[Nbre],LstMachines[Model-Spec],PrévisionBoris[[#This Row],[Spec]],LstMachines[Status],PrévisionBoris[[#This Row],[Status]],LstMachines[MoisLivr],Q$1)</f>
        <v>0</v>
      </c>
      <c r="R64" s="227">
        <f>SUMIFS(LstMachines[Nbre],LstMachines[Model-Spec],PrévisionBoris[[#This Row],[Spec]],LstMachines[Status],PrévisionBoris[[#This Row],[Status]],LstMachines[MoisLivr],R$1)</f>
        <v>0</v>
      </c>
      <c r="S64" s="227">
        <f>SUMIFS(LstMachines[Nbre],LstMachines[Model-Spec],PrévisionBoris[[#This Row],[Spec]],LstMachines[Status],PrévisionBoris[[#This Row],[Status]],LstMachines[MoisLivr],S$1)</f>
        <v>0</v>
      </c>
      <c r="T64" s="226">
        <f>SUMIFS(LstMachines[Nbre],LstMachines[Model-Spec],PrévisionBoris[[#This Row],[Spec]],LstMachines[Status],PrévisionBoris[[#This Row],[Status]],LstMachines[MoisLivr],T$1)</f>
        <v>0</v>
      </c>
      <c r="U64" s="227">
        <f>SUMIFS(LstMachines[Nbre],LstMachines[Model-Spec],PrévisionBoris[[#This Row],[Spec]],LstMachines[Status],PrévisionBoris[[#This Row],[Status]],LstMachines[MoisLivr],U$1)</f>
        <v>0</v>
      </c>
      <c r="V64" s="227">
        <f>SUMIFS(LstMachines[Nbre],LstMachines[Model-Spec],PrévisionBoris[[#This Row],[Spec]],LstMachines[Status],PrévisionBoris[[#This Row],[Status]],LstMachines[MoisLivr],V$1)</f>
        <v>0</v>
      </c>
      <c r="W64" s="226">
        <f>SUMIFS(LstMachines[Nbre],LstMachines[Model-Spec],PrévisionBoris[[#This Row],[Spec]],LstMachines[Status],PrévisionBoris[[#This Row],[Status]],LstMachines[MoisLivr],W$1)</f>
        <v>0</v>
      </c>
      <c r="X64" s="227">
        <f>SUMIFS(LstMachines[Nbre],LstMachines[Model-Spec],PrévisionBoris[[#This Row],[Spec]],LstMachines[Status],PrévisionBoris[[#This Row],[Status]],LstMachines[MoisLivr],X$1)</f>
        <v>0</v>
      </c>
      <c r="Y64" s="227">
        <f>SUMIFS(LstMachines[Nbre],LstMachines[Model-Spec],PrévisionBoris[[#This Row],[Spec]],LstMachines[Status],PrévisionBoris[[#This Row],[Status]],LstMachines[MoisLivr],Y$1)</f>
        <v>0</v>
      </c>
      <c r="Z64" s="226">
        <f>SUMIFS(LstMachines[Nbre],LstMachines[Model-Spec],PrévisionBoris[[#This Row],[Spec]],LstMachines[Status],PrévisionBoris[[#This Row],[Status]],LstMachines[MoisLivr],Z$1)</f>
        <v>0</v>
      </c>
      <c r="AA64" s="227">
        <f>SUMIFS(LstMachines[Nbre],LstMachines[Model-Spec],PrévisionBoris[[#This Row],[Spec]],LstMachines[Status],PrévisionBoris[[#This Row],[Status]],LstMachines[MoisLivr],AA$1)</f>
        <v>0</v>
      </c>
      <c r="AB64" s="227">
        <f>SUMIFS(LstMachines[Nbre],LstMachines[Model-Spec],PrévisionBoris[[#This Row],[Spec]],LstMachines[Status],PrévisionBoris[[#This Row],[Status]],LstMachines[MoisLivr],AB$1)</f>
        <v>0</v>
      </c>
      <c r="AC64" s="226">
        <f>SUMIFS(LstMachines[Nbre],LstMachines[Model-Spec],PrévisionBoris[[#This Row],[Spec]],LstMachines[Status],PrévisionBoris[[#This Row],[Status]],LstMachines[MoisLivr],AC$1)</f>
        <v>0</v>
      </c>
      <c r="AD64" s="227">
        <f>SUMIFS(LstMachines[Nbre],LstMachines[Model-Spec],PrévisionBoris[[#This Row],[Spec]],LstMachines[Status],PrévisionBoris[[#This Row],[Status]],LstMachines[MoisLivr],AD$1)</f>
        <v>0</v>
      </c>
      <c r="AE64" s="227">
        <f>SUMIFS(LstMachines[Nbre],LstMachines[Model-Spec],PrévisionBoris[[#This Row],[Spec]],LstMachines[Status],PrévisionBoris[[#This Row],[Status]],LstMachines[MoisLivr],AE$1)</f>
        <v>0</v>
      </c>
      <c r="AF64" s="226">
        <f>SUMIFS(LstMachines[Nbre],LstMachines[Model-Spec],PrévisionBoris[[#This Row],[Spec]],LstMachines[Status],PrévisionBoris[[#This Row],[Status]],LstMachines[MoisLivr],AF$1)</f>
        <v>0</v>
      </c>
      <c r="AG64" s="227">
        <f>SUMIFS(LstMachines[Nbre],LstMachines[Model-Spec],PrévisionBoris[[#This Row],[Spec]],LstMachines[Status],PrévisionBoris[[#This Row],[Status]],LstMachines[MoisLivr],AG$1)</f>
        <v>0</v>
      </c>
      <c r="AH64" s="227">
        <f>SUMIFS(LstMachines[Nbre],LstMachines[Model-Spec],PrévisionBoris[[#This Row],[Spec]],LstMachines[Status],PrévisionBoris[[#This Row],[Status]],LstMachines[MoisLivr],AH$1)</f>
        <v>0</v>
      </c>
      <c r="AI64" s="226">
        <f>SUMIFS(LstMachines[Nbre],LstMachines[Model-Spec],PrévisionBoris[[#This Row],[Spec]],LstMachines[Status],PrévisionBoris[[#This Row],[Status]],LstMachines[MoisLivr],AI$1)</f>
        <v>0</v>
      </c>
      <c r="AJ64" s="227">
        <f>SUMIFS(LstMachines[Nbre],LstMachines[Model-Spec],PrévisionBoris[[#This Row],[Spec]],LstMachines[Status],PrévisionBoris[[#This Row],[Status]],LstMachines[MoisLivr],AJ$1)</f>
        <v>0</v>
      </c>
      <c r="AK64" s="227">
        <f>SUMIFS(LstMachines[Nbre],LstMachines[Model-Spec],PrévisionBoris[[#This Row],[Spec]],LstMachines[Status],PrévisionBoris[[#This Row],[Status]],LstMachines[MoisLivr],AK$1)</f>
        <v>0</v>
      </c>
      <c r="AL64" s="226">
        <f>SUMIFS(LstMachines[Nbre],LstMachines[Model-Spec],PrévisionBoris[[#This Row],[Spec]],LstMachines[Status],PrévisionBoris[[#This Row],[Status]],LstMachines[MoisLivr],AL$1)</f>
        <v>0</v>
      </c>
      <c r="AM64" s="227">
        <f>SUMIFS(LstMachines[Nbre],LstMachines[Model-Spec],PrévisionBoris[[#This Row],[Spec]],LstMachines[Status],PrévisionBoris[[#This Row],[Status]],LstMachines[MoisLivr],AM$1)</f>
        <v>0</v>
      </c>
      <c r="AN64" s="227">
        <f>SUMIFS(LstMachines[Nbre],LstMachines[Model-Spec],PrévisionBoris[[#This Row],[Spec]],LstMachines[Status],PrévisionBoris[[#This Row],[Status]],LstMachines[MoisLivr],AN$1)</f>
        <v>0</v>
      </c>
      <c r="AO64" s="226">
        <f>SUMIFS(LstMachines[Nbre],LstMachines[Model-Spec],PrévisionBoris[[#This Row],[Spec]],LstMachines[Status],PrévisionBoris[[#This Row],[Status]],LstMachines[MoisLivr],AO$1)</f>
        <v>0</v>
      </c>
      <c r="AP64" s="227">
        <f>SUMIFS(LstMachines[Nbre],LstMachines[Model-Spec],PrévisionBoris[[#This Row],[Spec]],LstMachines[Status],PrévisionBoris[[#This Row],[Status]],LstMachines[MoisLivr],AP$1)</f>
        <v>0</v>
      </c>
      <c r="AQ64" s="227">
        <f>SUMIFS(LstMachines[Nbre],LstMachines[Model-Spec],PrévisionBoris[[#This Row],[Spec]],LstMachines[Status],PrévisionBoris[[#This Row],[Status]],LstMachines[MoisLivr],AQ$1)</f>
        <v>0</v>
      </c>
      <c r="AR64" s="226">
        <f>SUMIFS(LstMachines[Nbre],LstMachines[Model-Spec],PrévisionBoris[[#This Row],[Spec]],LstMachines[Status],PrévisionBoris[[#This Row],[Status]],LstMachines[MoisLivr],AR$1)</f>
        <v>0</v>
      </c>
      <c r="AS64" s="227">
        <f>SUMIFS(LstMachines[Nbre],LstMachines[Model-Spec],PrévisionBoris[[#This Row],[Spec]],LstMachines[Status],PrévisionBoris[[#This Row],[Status]],LstMachines[MoisLivr],AS$1)</f>
        <v>0</v>
      </c>
      <c r="AT64" s="227">
        <f>SUMIFS(LstMachines[Nbre],LstMachines[Model-Spec],PrévisionBoris[[#This Row],[Spec]],LstMachines[Status],PrévisionBoris[[#This Row],[Status]],LstMachines[MoisLivr],AT$1)</f>
        <v>0</v>
      </c>
      <c r="AU64" s="226">
        <f>SUMIFS(LstMachines[Nbre],LstMachines[Model-Spec],PrévisionBoris[[#This Row],[Spec]],LstMachines[Status],PrévisionBoris[[#This Row],[Status]],LstMachines[MoisLivr],AU$1)</f>
        <v>0</v>
      </c>
      <c r="AV64" s="230">
        <f>SUMIFS(LstMachines[Nbre],LstMachines[Model-Spec],PrévisionBoris[[#This Row],[Spec]],LstMachines[Status],PrévisionBoris[[#This Row],[Status]],LstMachines[MoisLivr],AV$1)</f>
        <v>0</v>
      </c>
      <c r="AW64" s="231">
        <f>SUMIFS(LstMachines[Nbre],LstMachines[Model-Spec],PrévisionBoris[[#This Row],[Spec]],LstMachines[Status],PrévisionBoris[[#This Row],[Status]],LstMachines[MoisLivr],AW$1)</f>
        <v>0</v>
      </c>
      <c r="AX64" s="232"/>
      <c r="AY64" s="211">
        <f t="shared" si="3"/>
        <v>0</v>
      </c>
      <c r="AZ64" s="212">
        <f t="shared" si="4"/>
        <v>0</v>
      </c>
      <c r="BA64" s="212">
        <f t="shared" si="5"/>
        <v>0</v>
      </c>
      <c r="BB64" s="213">
        <f t="shared" si="6"/>
        <v>0</v>
      </c>
      <c r="BC64" s="225">
        <f t="shared" si="7"/>
        <v>0</v>
      </c>
      <c r="BD64" s="211">
        <f t="shared" si="8"/>
        <v>0</v>
      </c>
      <c r="BE64" s="212">
        <f t="shared" si="9"/>
        <v>0</v>
      </c>
      <c r="BF64" s="212">
        <f t="shared" si="10"/>
        <v>0</v>
      </c>
      <c r="BG64" s="213">
        <f t="shared" si="11"/>
        <v>0</v>
      </c>
      <c r="BH64" s="225">
        <f t="shared" si="12"/>
        <v>0</v>
      </c>
      <c r="BI64" s="214">
        <f t="shared" si="13"/>
        <v>0</v>
      </c>
      <c r="BJ64" s="215">
        <f t="shared" si="14"/>
        <v>0</v>
      </c>
      <c r="BK64" s="215">
        <f t="shared" si="15"/>
        <v>0</v>
      </c>
      <c r="BL64" s="216">
        <f t="shared" si="16"/>
        <v>0</v>
      </c>
      <c r="BM64" s="225">
        <f t="shared" si="17"/>
        <v>0</v>
      </c>
      <c r="BN64" s="225"/>
      <c r="BO64" s="217"/>
      <c r="BP64" s="218">
        <f t="shared" si="18"/>
        <v>0</v>
      </c>
    </row>
    <row r="65" spans="1:68">
      <c r="A65" s="172">
        <v>58</v>
      </c>
      <c r="B65" s="172" t="s">
        <v>151</v>
      </c>
      <c r="C65" s="202">
        <v>310</v>
      </c>
      <c r="D65" s="172" t="s">
        <v>176</v>
      </c>
      <c r="E65" s="172" t="s">
        <v>177</v>
      </c>
      <c r="F65" s="202">
        <f>VLOOKUP(PrévisionBoris[[#This Row],[Spec]],TabModelSpecs[[ModelSpec]:[Price]],2,FALSE)</f>
        <v>180</v>
      </c>
      <c r="G65" s="172" t="s">
        <v>461</v>
      </c>
      <c r="H65" s="206">
        <f>SUMIFS(LstMachines[Nbre],LstMachines[Model-Spec],PrévisionBoris[[#This Row],[Spec]],LstMachines[Status],PrévisionBoris[[#This Row],[Status]],LstMachines[MoisLivr],H$1)</f>
        <v>0</v>
      </c>
      <c r="I65" s="207">
        <f>SUMIFS(LstMachines[Nbre],LstMachines[Model-Spec],PrévisionBoris[[#This Row],[Spec]],LstMachines[Status],PrévisionBoris[[#This Row],[Status]],LstMachines[MoisLivr],I$1)</f>
        <v>0</v>
      </c>
      <c r="J65" s="208">
        <f>SUMIFS(LstMachines[Nbre],LstMachines[Model-Spec],PrévisionBoris[[#This Row],[Spec]],LstMachines[Status],PrévisionBoris[[#This Row],[Status]],LstMachines[MoisLivr],J$1)</f>
        <v>0</v>
      </c>
      <c r="K65" s="206">
        <f>SUMIFS(LstMachines[Nbre],LstMachines[Model-Spec],PrévisionBoris[[#This Row],[Spec]],LstMachines[Status],PrévisionBoris[[#This Row],[Status]],LstMachines[MoisLivr],K$1)</f>
        <v>0</v>
      </c>
      <c r="L65" s="207">
        <f>SUMIFS(LstMachines[Nbre],LstMachines[Model-Spec],PrévisionBoris[[#This Row],[Spec]],LstMachines[Status],PrévisionBoris[[#This Row],[Status]],LstMachines[MoisLivr],L$1)</f>
        <v>0</v>
      </c>
      <c r="M65" s="208">
        <f>SUMIFS(LstMachines[Nbre],LstMachines[Model-Spec],PrévisionBoris[[#This Row],[Spec]],LstMachines[Status],PrévisionBoris[[#This Row],[Status]],LstMachines[MoisLivr],M$1)</f>
        <v>0</v>
      </c>
      <c r="N65" s="206">
        <f>SUMIFS(LstMachines[Nbre],LstMachines[Model-Spec],PrévisionBoris[[#This Row],[Spec]],LstMachines[Status],PrévisionBoris[[#This Row],[Status]],LstMachines[MoisLivr],N$1)</f>
        <v>0</v>
      </c>
      <c r="O65" s="207">
        <f>SUMIFS(LstMachines[Nbre],LstMachines[Model-Spec],PrévisionBoris[[#This Row],[Spec]],LstMachines[Status],PrévisionBoris[[#This Row],[Status]],LstMachines[MoisLivr],O$1)</f>
        <v>0</v>
      </c>
      <c r="P65" s="208">
        <f>SUMIFS(LstMachines[Nbre],LstMachines[Model-Spec],PrévisionBoris[[#This Row],[Spec]],LstMachines[Status],PrévisionBoris[[#This Row],[Status]],LstMachines[MoisLivr],P$1)</f>
        <v>1</v>
      </c>
      <c r="Q65" s="209">
        <f>SUMIFS(LstMachines[Nbre],LstMachines[Model-Spec],PrévisionBoris[[#This Row],[Spec]],LstMachines[Status],PrévisionBoris[[#This Row],[Status]],LstMachines[MoisLivr],Q$1)</f>
        <v>1</v>
      </c>
      <c r="R65" s="207">
        <f>SUMIFS(LstMachines[Nbre],LstMachines[Model-Spec],PrévisionBoris[[#This Row],[Spec]],LstMachines[Status],PrévisionBoris[[#This Row],[Status]],LstMachines[MoisLivr],R$1)</f>
        <v>0</v>
      </c>
      <c r="S65" s="207">
        <f>SUMIFS(LstMachines[Nbre],LstMachines[Model-Spec],PrévisionBoris[[#This Row],[Spec]],LstMachines[Status],PrévisionBoris[[#This Row],[Status]],LstMachines[MoisLivr],S$1)</f>
        <v>0</v>
      </c>
      <c r="T65" s="206">
        <f>SUMIFS(LstMachines[Nbre],LstMachines[Model-Spec],PrévisionBoris[[#This Row],[Spec]],LstMachines[Status],PrévisionBoris[[#This Row],[Status]],LstMachines[MoisLivr],T$1)</f>
        <v>0</v>
      </c>
      <c r="U65" s="207">
        <f>SUMIFS(LstMachines[Nbre],LstMachines[Model-Spec],PrévisionBoris[[#This Row],[Spec]],LstMachines[Status],PrévisionBoris[[#This Row],[Status]],LstMachines[MoisLivr],U$1)</f>
        <v>0</v>
      </c>
      <c r="V65" s="207">
        <f>SUMIFS(LstMachines[Nbre],LstMachines[Model-Spec],PrévisionBoris[[#This Row],[Spec]],LstMachines[Status],PrévisionBoris[[#This Row],[Status]],LstMachines[MoisLivr],V$1)</f>
        <v>0</v>
      </c>
      <c r="W65" s="206">
        <f>SUMIFS(LstMachines[Nbre],LstMachines[Model-Spec],PrévisionBoris[[#This Row],[Spec]],LstMachines[Status],PrévisionBoris[[#This Row],[Status]],LstMachines[MoisLivr],W$1)</f>
        <v>0</v>
      </c>
      <c r="X65" s="207">
        <f>SUMIFS(LstMachines[Nbre],LstMachines[Model-Spec],PrévisionBoris[[#This Row],[Spec]],LstMachines[Status],PrévisionBoris[[#This Row],[Status]],LstMachines[MoisLivr],X$1)</f>
        <v>0</v>
      </c>
      <c r="Y65" s="207">
        <f>SUMIFS(LstMachines[Nbre],LstMachines[Model-Spec],PrévisionBoris[[#This Row],[Spec]],LstMachines[Status],PrévisionBoris[[#This Row],[Status]],LstMachines[MoisLivr],Y$1)</f>
        <v>1</v>
      </c>
      <c r="Z65" s="206">
        <f>SUMIFS(LstMachines[Nbre],LstMachines[Model-Spec],PrévisionBoris[[#This Row],[Spec]],LstMachines[Status],PrévisionBoris[[#This Row],[Status]],LstMachines[MoisLivr],Z$1)</f>
        <v>0</v>
      </c>
      <c r="AA65" s="207">
        <f>SUMIFS(LstMachines[Nbre],LstMachines[Model-Spec],PrévisionBoris[[#This Row],[Spec]],LstMachines[Status],PrévisionBoris[[#This Row],[Status]],LstMachines[MoisLivr],AA$1)</f>
        <v>0</v>
      </c>
      <c r="AB65" s="207">
        <f>SUMIFS(LstMachines[Nbre],LstMachines[Model-Spec],PrévisionBoris[[#This Row],[Spec]],LstMachines[Status],PrévisionBoris[[#This Row],[Status]],LstMachines[MoisLivr],AB$1)</f>
        <v>3</v>
      </c>
      <c r="AC65" s="206">
        <f>SUMIFS(LstMachines[Nbre],LstMachines[Model-Spec],PrévisionBoris[[#This Row],[Spec]],LstMachines[Status],PrévisionBoris[[#This Row],[Status]],LstMachines[MoisLivr],AC$1)</f>
        <v>0</v>
      </c>
      <c r="AD65" s="207">
        <f>SUMIFS(LstMachines[Nbre],LstMachines[Model-Spec],PrévisionBoris[[#This Row],[Spec]],LstMachines[Status],PrévisionBoris[[#This Row],[Status]],LstMachines[MoisLivr],AD$1)</f>
        <v>0</v>
      </c>
      <c r="AE65" s="207">
        <f>SUMIFS(LstMachines[Nbre],LstMachines[Model-Spec],PrévisionBoris[[#This Row],[Spec]],LstMachines[Status],PrévisionBoris[[#This Row],[Status]],LstMachines[MoisLivr],AE$1)</f>
        <v>0</v>
      </c>
      <c r="AF65" s="206">
        <f>SUMIFS(LstMachines[Nbre],LstMachines[Model-Spec],PrévisionBoris[[#This Row],[Spec]],LstMachines[Status],PrévisionBoris[[#This Row],[Status]],LstMachines[MoisLivr],AF$1)</f>
        <v>0</v>
      </c>
      <c r="AG65" s="207">
        <f>SUMIFS(LstMachines[Nbre],LstMachines[Model-Spec],PrévisionBoris[[#This Row],[Spec]],LstMachines[Status],PrévisionBoris[[#This Row],[Status]],LstMachines[MoisLivr],AG$1)</f>
        <v>0</v>
      </c>
      <c r="AH65" s="207">
        <f>SUMIFS(LstMachines[Nbre],LstMachines[Model-Spec],PrévisionBoris[[#This Row],[Spec]],LstMachines[Status],PrévisionBoris[[#This Row],[Status]],LstMachines[MoisLivr],AH$1)</f>
        <v>0</v>
      </c>
      <c r="AI65" s="206">
        <f>SUMIFS(LstMachines[Nbre],LstMachines[Model-Spec],PrévisionBoris[[#This Row],[Spec]],LstMachines[Status],PrévisionBoris[[#This Row],[Status]],LstMachines[MoisLivr],AI$1)</f>
        <v>0</v>
      </c>
      <c r="AJ65" s="207">
        <f>SUMIFS(LstMachines[Nbre],LstMachines[Model-Spec],PrévisionBoris[[#This Row],[Spec]],LstMachines[Status],PrévisionBoris[[#This Row],[Status]],LstMachines[MoisLivr],AJ$1)</f>
        <v>0</v>
      </c>
      <c r="AK65" s="207">
        <f>SUMIFS(LstMachines[Nbre],LstMachines[Model-Spec],PrévisionBoris[[#This Row],[Spec]],LstMachines[Status],PrévisionBoris[[#This Row],[Status]],LstMachines[MoisLivr],AK$1)</f>
        <v>0</v>
      </c>
      <c r="AL65" s="206">
        <f>SUMIFS(LstMachines[Nbre],LstMachines[Model-Spec],PrévisionBoris[[#This Row],[Spec]],LstMachines[Status],PrévisionBoris[[#This Row],[Status]],LstMachines[MoisLivr],AL$1)</f>
        <v>0</v>
      </c>
      <c r="AM65" s="207">
        <f>SUMIFS(LstMachines[Nbre],LstMachines[Model-Spec],PrévisionBoris[[#This Row],[Spec]],LstMachines[Status],PrévisionBoris[[#This Row],[Status]],LstMachines[MoisLivr],AM$1)</f>
        <v>0</v>
      </c>
      <c r="AN65" s="207">
        <f>SUMIFS(LstMachines[Nbre],LstMachines[Model-Spec],PrévisionBoris[[#This Row],[Spec]],LstMachines[Status],PrévisionBoris[[#This Row],[Status]],LstMachines[MoisLivr],AN$1)</f>
        <v>4</v>
      </c>
      <c r="AO65" s="206">
        <f>SUMIFS(LstMachines[Nbre],LstMachines[Model-Spec],PrévisionBoris[[#This Row],[Spec]],LstMachines[Status],PrévisionBoris[[#This Row],[Status]],LstMachines[MoisLivr],AO$1)</f>
        <v>0</v>
      </c>
      <c r="AP65" s="207">
        <f>SUMIFS(LstMachines[Nbre],LstMachines[Model-Spec],PrévisionBoris[[#This Row],[Spec]],LstMachines[Status],PrévisionBoris[[#This Row],[Status]],LstMachines[MoisLivr],AP$1)</f>
        <v>0</v>
      </c>
      <c r="AQ65" s="207">
        <f>SUMIFS(LstMachines[Nbre],LstMachines[Model-Spec],PrévisionBoris[[#This Row],[Spec]],LstMachines[Status],PrévisionBoris[[#This Row],[Status]],LstMachines[MoisLivr],AQ$1)</f>
        <v>0</v>
      </c>
      <c r="AR65" s="206">
        <f>SUMIFS(LstMachines[Nbre],LstMachines[Model-Spec],PrévisionBoris[[#This Row],[Spec]],LstMachines[Status],PrévisionBoris[[#This Row],[Status]],LstMachines[MoisLivr],AR$1)</f>
        <v>0</v>
      </c>
      <c r="AS65" s="207">
        <f>SUMIFS(LstMachines[Nbre],LstMachines[Model-Spec],PrévisionBoris[[#This Row],[Spec]],LstMachines[Status],PrévisionBoris[[#This Row],[Status]],LstMachines[MoisLivr],AS$1)</f>
        <v>0</v>
      </c>
      <c r="AT65" s="207">
        <f>SUMIFS(LstMachines[Nbre],LstMachines[Model-Spec],PrévisionBoris[[#This Row],[Spec]],LstMachines[Status],PrévisionBoris[[#This Row],[Status]],LstMachines[MoisLivr],AT$1)</f>
        <v>0</v>
      </c>
      <c r="AU65" s="206">
        <f>SUMIFS(LstMachines[Nbre],LstMachines[Model-Spec],PrévisionBoris[[#This Row],[Spec]],LstMachines[Status],PrévisionBoris[[#This Row],[Status]],LstMachines[MoisLivr],AU$1)</f>
        <v>0</v>
      </c>
      <c r="AV65" s="233">
        <f>SUMIFS(LstMachines[Nbre],LstMachines[Model-Spec],PrévisionBoris[[#This Row],[Spec]],LstMachines[Status],PrévisionBoris[[#This Row],[Status]],LstMachines[MoisLivr],AV$1)</f>
        <v>0</v>
      </c>
      <c r="AW65" s="208">
        <f>SUMIFS(LstMachines[Nbre],LstMachines[Model-Spec],PrévisionBoris[[#This Row],[Spec]],LstMachines[Status],PrévisionBoris[[#This Row],[Status]],LstMachines[MoisLivr],AW$1)</f>
        <v>0</v>
      </c>
      <c r="AX65" s="225"/>
      <c r="AY65" s="211">
        <f t="shared" si="3"/>
        <v>0</v>
      </c>
      <c r="AZ65" s="212">
        <f t="shared" si="4"/>
        <v>1</v>
      </c>
      <c r="BA65" s="212">
        <f t="shared" si="5"/>
        <v>1</v>
      </c>
      <c r="BB65" s="213">
        <f t="shared" si="6"/>
        <v>0</v>
      </c>
      <c r="BC65" s="225">
        <f t="shared" si="7"/>
        <v>2</v>
      </c>
      <c r="BD65" s="211">
        <f t="shared" si="8"/>
        <v>1</v>
      </c>
      <c r="BE65" s="212">
        <f t="shared" si="9"/>
        <v>3</v>
      </c>
      <c r="BF65" s="212">
        <f t="shared" si="10"/>
        <v>0</v>
      </c>
      <c r="BG65" s="213">
        <f t="shared" si="11"/>
        <v>0</v>
      </c>
      <c r="BH65" s="225">
        <f t="shared" si="12"/>
        <v>4</v>
      </c>
      <c r="BI65" s="214">
        <f t="shared" si="13"/>
        <v>0</v>
      </c>
      <c r="BJ65" s="215">
        <f t="shared" si="14"/>
        <v>4</v>
      </c>
      <c r="BK65" s="215">
        <f t="shared" si="15"/>
        <v>0</v>
      </c>
      <c r="BL65" s="216">
        <f t="shared" si="16"/>
        <v>0</v>
      </c>
      <c r="BM65" s="225">
        <f t="shared" si="17"/>
        <v>4</v>
      </c>
      <c r="BN65" s="225"/>
      <c r="BO65" s="234"/>
      <c r="BP65" s="218">
        <f t="shared" si="18"/>
        <v>10</v>
      </c>
    </row>
    <row r="66" spans="1:68">
      <c r="A66" s="170">
        <v>59</v>
      </c>
      <c r="B66" s="170" t="s">
        <v>151</v>
      </c>
      <c r="C66" s="200">
        <v>310</v>
      </c>
      <c r="D66" s="170" t="s">
        <v>176</v>
      </c>
      <c r="E66" s="170" t="s">
        <v>177</v>
      </c>
      <c r="F66" s="200">
        <f>VLOOKUP(PrévisionBoris[[#This Row],[Spec]],TabModelSpecs[[ModelSpec]:[Price]],2,FALSE)</f>
        <v>180</v>
      </c>
      <c r="G66" s="170" t="s">
        <v>462</v>
      </c>
      <c r="H66" s="219">
        <f>SUMIFS(LstMachines[Nbre],LstMachines[Model-Spec],PrévisionBoris[[#This Row],[Spec]],LstMachines[Status],PrévisionBoris[[#This Row],[Status]],LstMachines[MoisLivr],H$1)</f>
        <v>0</v>
      </c>
      <c r="I66" s="220">
        <f>SUMIFS(LstMachines[Nbre],LstMachines[Model-Spec],PrévisionBoris[[#This Row],[Spec]],LstMachines[Status],PrévisionBoris[[#This Row],[Status]],LstMachines[MoisLivr],I$1)</f>
        <v>0</v>
      </c>
      <c r="J66" s="221">
        <f>SUMIFS(LstMachines[Nbre],LstMachines[Model-Spec],PrévisionBoris[[#This Row],[Spec]],LstMachines[Status],PrévisionBoris[[#This Row],[Status]],LstMachines[MoisLivr],J$1)</f>
        <v>0</v>
      </c>
      <c r="K66" s="219">
        <f>SUMIFS(LstMachines[Nbre],LstMachines[Model-Spec],PrévisionBoris[[#This Row],[Spec]],LstMachines[Status],PrévisionBoris[[#This Row],[Status]],LstMachines[MoisLivr],K$1)</f>
        <v>0</v>
      </c>
      <c r="L66" s="220">
        <f>SUMIFS(LstMachines[Nbre],LstMachines[Model-Spec],PrévisionBoris[[#This Row],[Spec]],LstMachines[Status],PrévisionBoris[[#This Row],[Status]],LstMachines[MoisLivr],L$1)</f>
        <v>0</v>
      </c>
      <c r="M66" s="221">
        <f>SUMIFS(LstMachines[Nbre],LstMachines[Model-Spec],PrévisionBoris[[#This Row],[Spec]],LstMachines[Status],PrévisionBoris[[#This Row],[Status]],LstMachines[MoisLivr],M$1)</f>
        <v>0</v>
      </c>
      <c r="N66" s="219">
        <f>SUMIFS(LstMachines[Nbre],LstMachines[Model-Spec],PrévisionBoris[[#This Row],[Spec]],LstMachines[Status],PrévisionBoris[[#This Row],[Status]],LstMachines[MoisLivr],N$1)</f>
        <v>0</v>
      </c>
      <c r="O66" s="220">
        <f>SUMIFS(LstMachines[Nbre],LstMachines[Model-Spec],PrévisionBoris[[#This Row],[Spec]],LstMachines[Status],PrévisionBoris[[#This Row],[Status]],LstMachines[MoisLivr],O$1)</f>
        <v>0</v>
      </c>
      <c r="P66" s="221">
        <f>SUMIFS(LstMachines[Nbre],LstMachines[Model-Spec],PrévisionBoris[[#This Row],[Spec]],LstMachines[Status],PrévisionBoris[[#This Row],[Status]],LstMachines[MoisLivr],P$1)</f>
        <v>0</v>
      </c>
      <c r="Q66" s="222">
        <f>SUMIFS(LstMachines[Nbre],LstMachines[Model-Spec],PrévisionBoris[[#This Row],[Spec]],LstMachines[Status],PrévisionBoris[[#This Row],[Status]],LstMachines[MoisLivr],Q$1)</f>
        <v>0</v>
      </c>
      <c r="R66" s="220">
        <f>SUMIFS(LstMachines[Nbre],LstMachines[Model-Spec],PrévisionBoris[[#This Row],[Spec]],LstMachines[Status],PrévisionBoris[[#This Row],[Status]],LstMachines[MoisLivr],R$1)</f>
        <v>0</v>
      </c>
      <c r="S66" s="220">
        <f>SUMIFS(LstMachines[Nbre],LstMachines[Model-Spec],PrévisionBoris[[#This Row],[Spec]],LstMachines[Status],PrévisionBoris[[#This Row],[Status]],LstMachines[MoisLivr],S$1)</f>
        <v>0</v>
      </c>
      <c r="T66" s="219">
        <f>SUMIFS(LstMachines[Nbre],LstMachines[Model-Spec],PrévisionBoris[[#This Row],[Spec]],LstMachines[Status],PrévisionBoris[[#This Row],[Status]],LstMachines[MoisLivr],T$1)</f>
        <v>0</v>
      </c>
      <c r="U66" s="220">
        <f>SUMIFS(LstMachines[Nbre],LstMachines[Model-Spec],PrévisionBoris[[#This Row],[Spec]],LstMachines[Status],PrévisionBoris[[#This Row],[Status]],LstMachines[MoisLivr],U$1)</f>
        <v>0</v>
      </c>
      <c r="V66" s="220">
        <f>SUMIFS(LstMachines[Nbre],LstMachines[Model-Spec],PrévisionBoris[[#This Row],[Spec]],LstMachines[Status],PrévisionBoris[[#This Row],[Status]],LstMachines[MoisLivr],V$1)</f>
        <v>0</v>
      </c>
      <c r="W66" s="219">
        <f>SUMIFS(LstMachines[Nbre],LstMachines[Model-Spec],PrévisionBoris[[#This Row],[Spec]],LstMachines[Status],PrévisionBoris[[#This Row],[Status]],LstMachines[MoisLivr],W$1)</f>
        <v>0</v>
      </c>
      <c r="X66" s="220">
        <f>SUMIFS(LstMachines[Nbre],LstMachines[Model-Spec],PrévisionBoris[[#This Row],[Spec]],LstMachines[Status],PrévisionBoris[[#This Row],[Status]],LstMachines[MoisLivr],X$1)</f>
        <v>0</v>
      </c>
      <c r="Y66" s="220">
        <f>SUMIFS(LstMachines[Nbre],LstMachines[Model-Spec],PrévisionBoris[[#This Row],[Spec]],LstMachines[Status],PrévisionBoris[[#This Row],[Status]],LstMachines[MoisLivr],Y$1)</f>
        <v>0</v>
      </c>
      <c r="Z66" s="219">
        <f>SUMIFS(LstMachines[Nbre],LstMachines[Model-Spec],PrévisionBoris[[#This Row],[Spec]],LstMachines[Status],PrévisionBoris[[#This Row],[Status]],LstMachines[MoisLivr],Z$1)</f>
        <v>0</v>
      </c>
      <c r="AA66" s="220">
        <f>SUMIFS(LstMachines[Nbre],LstMachines[Model-Spec],PrévisionBoris[[#This Row],[Spec]],LstMachines[Status],PrévisionBoris[[#This Row],[Status]],LstMachines[MoisLivr],AA$1)</f>
        <v>0</v>
      </c>
      <c r="AB66" s="220">
        <f>SUMIFS(LstMachines[Nbre],LstMachines[Model-Spec],PrévisionBoris[[#This Row],[Spec]],LstMachines[Status],PrévisionBoris[[#This Row],[Status]],LstMachines[MoisLivr],AB$1)</f>
        <v>0</v>
      </c>
      <c r="AC66" s="219">
        <f>SUMIFS(LstMachines[Nbre],LstMachines[Model-Spec],PrévisionBoris[[#This Row],[Spec]],LstMachines[Status],PrévisionBoris[[#This Row],[Status]],LstMachines[MoisLivr],AC$1)</f>
        <v>0</v>
      </c>
      <c r="AD66" s="220">
        <f>SUMIFS(LstMachines[Nbre],LstMachines[Model-Spec],PrévisionBoris[[#This Row],[Spec]],LstMachines[Status],PrévisionBoris[[#This Row],[Status]],LstMachines[MoisLivr],AD$1)</f>
        <v>0</v>
      </c>
      <c r="AE66" s="220">
        <f>SUMIFS(LstMachines[Nbre],LstMachines[Model-Spec],PrévisionBoris[[#This Row],[Spec]],LstMachines[Status],PrévisionBoris[[#This Row],[Status]],LstMachines[MoisLivr],AE$1)</f>
        <v>0</v>
      </c>
      <c r="AF66" s="219">
        <f>SUMIFS(LstMachines[Nbre],LstMachines[Model-Spec],PrévisionBoris[[#This Row],[Spec]],LstMachines[Status],PrévisionBoris[[#This Row],[Status]],LstMachines[MoisLivr],AF$1)</f>
        <v>0</v>
      </c>
      <c r="AG66" s="220">
        <f>SUMIFS(LstMachines[Nbre],LstMachines[Model-Spec],PrévisionBoris[[#This Row],[Spec]],LstMachines[Status],PrévisionBoris[[#This Row],[Status]],LstMachines[MoisLivr],AG$1)</f>
        <v>0</v>
      </c>
      <c r="AH66" s="220">
        <f>SUMIFS(LstMachines[Nbre],LstMachines[Model-Spec],PrévisionBoris[[#This Row],[Spec]],LstMachines[Status],PrévisionBoris[[#This Row],[Status]],LstMachines[MoisLivr],AH$1)</f>
        <v>0</v>
      </c>
      <c r="AI66" s="219">
        <f>SUMIFS(LstMachines[Nbre],LstMachines[Model-Spec],PrévisionBoris[[#This Row],[Spec]],LstMachines[Status],PrévisionBoris[[#This Row],[Status]],LstMachines[MoisLivr],AI$1)</f>
        <v>0</v>
      </c>
      <c r="AJ66" s="220">
        <f>SUMIFS(LstMachines[Nbre],LstMachines[Model-Spec],PrévisionBoris[[#This Row],[Spec]],LstMachines[Status],PrévisionBoris[[#This Row],[Status]],LstMachines[MoisLivr],AJ$1)</f>
        <v>0</v>
      </c>
      <c r="AK66" s="220">
        <f>SUMIFS(LstMachines[Nbre],LstMachines[Model-Spec],PrévisionBoris[[#This Row],[Spec]],LstMachines[Status],PrévisionBoris[[#This Row],[Status]],LstMachines[MoisLivr],AK$1)</f>
        <v>0</v>
      </c>
      <c r="AL66" s="219">
        <f>SUMIFS(LstMachines[Nbre],LstMachines[Model-Spec],PrévisionBoris[[#This Row],[Spec]],LstMachines[Status],PrévisionBoris[[#This Row],[Status]],LstMachines[MoisLivr],AL$1)</f>
        <v>0</v>
      </c>
      <c r="AM66" s="220">
        <f>SUMIFS(LstMachines[Nbre],LstMachines[Model-Spec],PrévisionBoris[[#This Row],[Spec]],LstMachines[Status],PrévisionBoris[[#This Row],[Status]],LstMachines[MoisLivr],AM$1)</f>
        <v>0</v>
      </c>
      <c r="AN66" s="220">
        <f>SUMIFS(LstMachines[Nbre],LstMachines[Model-Spec],PrévisionBoris[[#This Row],[Spec]],LstMachines[Status],PrévisionBoris[[#This Row],[Status]],LstMachines[MoisLivr],AN$1)</f>
        <v>0</v>
      </c>
      <c r="AO66" s="219">
        <f>SUMIFS(LstMachines[Nbre],LstMachines[Model-Spec],PrévisionBoris[[#This Row],[Spec]],LstMachines[Status],PrévisionBoris[[#This Row],[Status]],LstMachines[MoisLivr],AO$1)</f>
        <v>0</v>
      </c>
      <c r="AP66" s="220">
        <f>SUMIFS(LstMachines[Nbre],LstMachines[Model-Spec],PrévisionBoris[[#This Row],[Spec]],LstMachines[Status],PrévisionBoris[[#This Row],[Status]],LstMachines[MoisLivr],AP$1)</f>
        <v>0</v>
      </c>
      <c r="AQ66" s="220">
        <f>SUMIFS(LstMachines[Nbre],LstMachines[Model-Spec],PrévisionBoris[[#This Row],[Spec]],LstMachines[Status],PrévisionBoris[[#This Row],[Status]],LstMachines[MoisLivr],AQ$1)</f>
        <v>0</v>
      </c>
      <c r="AR66" s="219">
        <f>SUMIFS(LstMachines[Nbre],LstMachines[Model-Spec],PrévisionBoris[[#This Row],[Spec]],LstMachines[Status],PrévisionBoris[[#This Row],[Status]],LstMachines[MoisLivr],AR$1)</f>
        <v>0</v>
      </c>
      <c r="AS66" s="220">
        <f>SUMIFS(LstMachines[Nbre],LstMachines[Model-Spec],PrévisionBoris[[#This Row],[Spec]],LstMachines[Status],PrévisionBoris[[#This Row],[Status]],LstMachines[MoisLivr],AS$1)</f>
        <v>0</v>
      </c>
      <c r="AT66" s="220">
        <f>SUMIFS(LstMachines[Nbre],LstMachines[Model-Spec],PrévisionBoris[[#This Row],[Spec]],LstMachines[Status],PrévisionBoris[[#This Row],[Status]],LstMachines[MoisLivr],AT$1)</f>
        <v>0</v>
      </c>
      <c r="AU66" s="219">
        <f>SUMIFS(LstMachines[Nbre],LstMachines[Model-Spec],PrévisionBoris[[#This Row],[Spec]],LstMachines[Status],PrévisionBoris[[#This Row],[Status]],LstMachines[MoisLivr],AU$1)</f>
        <v>0</v>
      </c>
      <c r="AV66" s="223">
        <f>SUMIFS(LstMachines[Nbre],LstMachines[Model-Spec],PrévisionBoris[[#This Row],[Spec]],LstMachines[Status],PrévisionBoris[[#This Row],[Status]],LstMachines[MoisLivr],AV$1)</f>
        <v>0</v>
      </c>
      <c r="AW66" s="224">
        <f>SUMIFS(LstMachines[Nbre],LstMachines[Model-Spec],PrévisionBoris[[#This Row],[Spec]],LstMachines[Status],PrévisionBoris[[#This Row],[Status]],LstMachines[MoisLivr],AW$1)</f>
        <v>0</v>
      </c>
      <c r="AX66" s="210"/>
      <c r="AY66" s="211">
        <f t="shared" si="3"/>
        <v>0</v>
      </c>
      <c r="AZ66" s="212">
        <f t="shared" si="4"/>
        <v>0</v>
      </c>
      <c r="BA66" s="212">
        <f t="shared" si="5"/>
        <v>0</v>
      </c>
      <c r="BB66" s="213">
        <f t="shared" si="6"/>
        <v>0</v>
      </c>
      <c r="BC66" s="225">
        <f t="shared" si="7"/>
        <v>0</v>
      </c>
      <c r="BD66" s="211">
        <f t="shared" si="8"/>
        <v>0</v>
      </c>
      <c r="BE66" s="212">
        <f t="shared" si="9"/>
        <v>0</v>
      </c>
      <c r="BF66" s="212">
        <f t="shared" si="10"/>
        <v>0</v>
      </c>
      <c r="BG66" s="213">
        <f t="shared" si="11"/>
        <v>0</v>
      </c>
      <c r="BH66" s="225">
        <f t="shared" si="12"/>
        <v>0</v>
      </c>
      <c r="BI66" s="214">
        <f t="shared" si="13"/>
        <v>0</v>
      </c>
      <c r="BJ66" s="215">
        <f t="shared" si="14"/>
        <v>0</v>
      </c>
      <c r="BK66" s="215">
        <f t="shared" si="15"/>
        <v>0</v>
      </c>
      <c r="BL66" s="216">
        <f t="shared" si="16"/>
        <v>0</v>
      </c>
      <c r="BM66" s="225">
        <f t="shared" si="17"/>
        <v>0</v>
      </c>
      <c r="BN66" s="225"/>
      <c r="BO66" s="217"/>
      <c r="BP66" s="218">
        <f t="shared" si="18"/>
        <v>0</v>
      </c>
    </row>
    <row r="67" spans="1:68">
      <c r="A67" s="171">
        <v>60</v>
      </c>
      <c r="B67" s="171" t="s">
        <v>151</v>
      </c>
      <c r="C67" s="201">
        <v>310</v>
      </c>
      <c r="D67" s="171" t="s">
        <v>176</v>
      </c>
      <c r="E67" s="171" t="s">
        <v>177</v>
      </c>
      <c r="F67" s="201">
        <f>VLOOKUP(PrévisionBoris[[#This Row],[Spec]],TabModelSpecs[[ModelSpec]:[Price]],2,FALSE)</f>
        <v>180</v>
      </c>
      <c r="G67" s="171" t="s">
        <v>463</v>
      </c>
      <c r="H67" s="226">
        <f>SUMIFS(LstMachines[Nbre],LstMachines[Model-Spec],PrévisionBoris[[#This Row],[Spec]],LstMachines[Status],PrévisionBoris[[#This Row],[Status]],LstMachines[MoisLivr],H$1)</f>
        <v>0</v>
      </c>
      <c r="I67" s="227">
        <f>SUMIFS(LstMachines[Nbre],LstMachines[Model-Spec],PrévisionBoris[[#This Row],[Spec]],LstMachines[Status],PrévisionBoris[[#This Row],[Status]],LstMachines[MoisLivr],I$1)</f>
        <v>0</v>
      </c>
      <c r="J67" s="228">
        <f>SUMIFS(LstMachines[Nbre],LstMachines[Model-Spec],PrévisionBoris[[#This Row],[Spec]],LstMachines[Status],PrévisionBoris[[#This Row],[Status]],LstMachines[MoisLivr],J$1)</f>
        <v>0</v>
      </c>
      <c r="K67" s="226">
        <f>SUMIFS(LstMachines[Nbre],LstMachines[Model-Spec],PrévisionBoris[[#This Row],[Spec]],LstMachines[Status],PrévisionBoris[[#This Row],[Status]],LstMachines[MoisLivr],K$1)</f>
        <v>0</v>
      </c>
      <c r="L67" s="227">
        <f>SUMIFS(LstMachines[Nbre],LstMachines[Model-Spec],PrévisionBoris[[#This Row],[Spec]],LstMachines[Status],PrévisionBoris[[#This Row],[Status]],LstMachines[MoisLivr],L$1)</f>
        <v>0</v>
      </c>
      <c r="M67" s="228">
        <f>SUMIFS(LstMachines[Nbre],LstMachines[Model-Spec],PrévisionBoris[[#This Row],[Spec]],LstMachines[Status],PrévisionBoris[[#This Row],[Status]],LstMachines[MoisLivr],M$1)</f>
        <v>0</v>
      </c>
      <c r="N67" s="226">
        <f>SUMIFS(LstMachines[Nbre],LstMachines[Model-Spec],PrévisionBoris[[#This Row],[Spec]],LstMachines[Status],PrévisionBoris[[#This Row],[Status]],LstMachines[MoisLivr],N$1)</f>
        <v>0</v>
      </c>
      <c r="O67" s="227">
        <f>SUMIFS(LstMachines[Nbre],LstMachines[Model-Spec],PrévisionBoris[[#This Row],[Spec]],LstMachines[Status],PrévisionBoris[[#This Row],[Status]],LstMachines[MoisLivr],O$1)</f>
        <v>0</v>
      </c>
      <c r="P67" s="228">
        <f>SUMIFS(LstMachines[Nbre],LstMachines[Model-Spec],PrévisionBoris[[#This Row],[Spec]],LstMachines[Status],PrévisionBoris[[#This Row],[Status]],LstMachines[MoisLivr],P$1)</f>
        <v>0</v>
      </c>
      <c r="Q67" s="229">
        <f>SUMIFS(LstMachines[Nbre],LstMachines[Model-Spec],PrévisionBoris[[#This Row],[Spec]],LstMachines[Status],PrévisionBoris[[#This Row],[Status]],LstMachines[MoisLivr],Q$1)</f>
        <v>0</v>
      </c>
      <c r="R67" s="227">
        <f>SUMIFS(LstMachines[Nbre],LstMachines[Model-Spec],PrévisionBoris[[#This Row],[Spec]],LstMachines[Status],PrévisionBoris[[#This Row],[Status]],LstMachines[MoisLivr],R$1)</f>
        <v>0</v>
      </c>
      <c r="S67" s="227">
        <f>SUMIFS(LstMachines[Nbre],LstMachines[Model-Spec],PrévisionBoris[[#This Row],[Spec]],LstMachines[Status],PrévisionBoris[[#This Row],[Status]],LstMachines[MoisLivr],S$1)</f>
        <v>0</v>
      </c>
      <c r="T67" s="226">
        <f>SUMIFS(LstMachines[Nbre],LstMachines[Model-Spec],PrévisionBoris[[#This Row],[Spec]],LstMachines[Status],PrévisionBoris[[#This Row],[Status]],LstMachines[MoisLivr],T$1)</f>
        <v>0</v>
      </c>
      <c r="U67" s="227">
        <f>SUMIFS(LstMachines[Nbre],LstMachines[Model-Spec],PrévisionBoris[[#This Row],[Spec]],LstMachines[Status],PrévisionBoris[[#This Row],[Status]],LstMachines[MoisLivr],U$1)</f>
        <v>0</v>
      </c>
      <c r="V67" s="227">
        <f>SUMIFS(LstMachines[Nbre],LstMachines[Model-Spec],PrévisionBoris[[#This Row],[Spec]],LstMachines[Status],PrévisionBoris[[#This Row],[Status]],LstMachines[MoisLivr],V$1)</f>
        <v>0</v>
      </c>
      <c r="W67" s="226">
        <f>SUMIFS(LstMachines[Nbre],LstMachines[Model-Spec],PrévisionBoris[[#This Row],[Spec]],LstMachines[Status],PrévisionBoris[[#This Row],[Status]],LstMachines[MoisLivr],W$1)</f>
        <v>0</v>
      </c>
      <c r="X67" s="227">
        <f>SUMIFS(LstMachines[Nbre],LstMachines[Model-Spec],PrévisionBoris[[#This Row],[Spec]],LstMachines[Status],PrévisionBoris[[#This Row],[Status]],LstMachines[MoisLivr],X$1)</f>
        <v>0</v>
      </c>
      <c r="Y67" s="227">
        <f>SUMIFS(LstMachines[Nbre],LstMachines[Model-Spec],PrévisionBoris[[#This Row],[Spec]],LstMachines[Status],PrévisionBoris[[#This Row],[Status]],LstMachines[MoisLivr],Y$1)</f>
        <v>0</v>
      </c>
      <c r="Z67" s="226">
        <f>SUMIFS(LstMachines[Nbre],LstMachines[Model-Spec],PrévisionBoris[[#This Row],[Spec]],LstMachines[Status],PrévisionBoris[[#This Row],[Status]],LstMachines[MoisLivr],Z$1)</f>
        <v>0</v>
      </c>
      <c r="AA67" s="227">
        <f>SUMIFS(LstMachines[Nbre],LstMachines[Model-Spec],PrévisionBoris[[#This Row],[Spec]],LstMachines[Status],PrévisionBoris[[#This Row],[Status]],LstMachines[MoisLivr],AA$1)</f>
        <v>0</v>
      </c>
      <c r="AB67" s="227">
        <f>SUMIFS(LstMachines[Nbre],LstMachines[Model-Spec],PrévisionBoris[[#This Row],[Spec]],LstMachines[Status],PrévisionBoris[[#This Row],[Status]],LstMachines[MoisLivr],AB$1)</f>
        <v>0</v>
      </c>
      <c r="AC67" s="226">
        <f>SUMIFS(LstMachines[Nbre],LstMachines[Model-Spec],PrévisionBoris[[#This Row],[Spec]],LstMachines[Status],PrévisionBoris[[#This Row],[Status]],LstMachines[MoisLivr],AC$1)</f>
        <v>0</v>
      </c>
      <c r="AD67" s="227">
        <f>SUMIFS(LstMachines[Nbre],LstMachines[Model-Spec],PrévisionBoris[[#This Row],[Spec]],LstMachines[Status],PrévisionBoris[[#This Row],[Status]],LstMachines[MoisLivr],AD$1)</f>
        <v>0</v>
      </c>
      <c r="AE67" s="227">
        <f>SUMIFS(LstMachines[Nbre],LstMachines[Model-Spec],PrévisionBoris[[#This Row],[Spec]],LstMachines[Status],PrévisionBoris[[#This Row],[Status]],LstMachines[MoisLivr],AE$1)</f>
        <v>0</v>
      </c>
      <c r="AF67" s="226">
        <f>SUMIFS(LstMachines[Nbre],LstMachines[Model-Spec],PrévisionBoris[[#This Row],[Spec]],LstMachines[Status],PrévisionBoris[[#This Row],[Status]],LstMachines[MoisLivr],AF$1)</f>
        <v>0</v>
      </c>
      <c r="AG67" s="227">
        <f>SUMIFS(LstMachines[Nbre],LstMachines[Model-Spec],PrévisionBoris[[#This Row],[Spec]],LstMachines[Status],PrévisionBoris[[#This Row],[Status]],LstMachines[MoisLivr],AG$1)</f>
        <v>0</v>
      </c>
      <c r="AH67" s="227">
        <f>SUMIFS(LstMachines[Nbre],LstMachines[Model-Spec],PrévisionBoris[[#This Row],[Spec]],LstMachines[Status],PrévisionBoris[[#This Row],[Status]],LstMachines[MoisLivr],AH$1)</f>
        <v>0</v>
      </c>
      <c r="AI67" s="226">
        <f>SUMIFS(LstMachines[Nbre],LstMachines[Model-Spec],PrévisionBoris[[#This Row],[Spec]],LstMachines[Status],PrévisionBoris[[#This Row],[Status]],LstMachines[MoisLivr],AI$1)</f>
        <v>0</v>
      </c>
      <c r="AJ67" s="227">
        <f>SUMIFS(LstMachines[Nbre],LstMachines[Model-Spec],PrévisionBoris[[#This Row],[Spec]],LstMachines[Status],PrévisionBoris[[#This Row],[Status]],LstMachines[MoisLivr],AJ$1)</f>
        <v>0</v>
      </c>
      <c r="AK67" s="227">
        <f>SUMIFS(LstMachines[Nbre],LstMachines[Model-Spec],PrévisionBoris[[#This Row],[Spec]],LstMachines[Status],PrévisionBoris[[#This Row],[Status]],LstMachines[MoisLivr],AK$1)</f>
        <v>0</v>
      </c>
      <c r="AL67" s="226">
        <f>SUMIFS(LstMachines[Nbre],LstMachines[Model-Spec],PrévisionBoris[[#This Row],[Spec]],LstMachines[Status],PrévisionBoris[[#This Row],[Status]],LstMachines[MoisLivr],AL$1)</f>
        <v>0</v>
      </c>
      <c r="AM67" s="227">
        <f>SUMIFS(LstMachines[Nbre],LstMachines[Model-Spec],PrévisionBoris[[#This Row],[Spec]],LstMachines[Status],PrévisionBoris[[#This Row],[Status]],LstMachines[MoisLivr],AM$1)</f>
        <v>0</v>
      </c>
      <c r="AN67" s="227">
        <f>SUMIFS(LstMachines[Nbre],LstMachines[Model-Spec],PrévisionBoris[[#This Row],[Spec]],LstMachines[Status],PrévisionBoris[[#This Row],[Status]],LstMachines[MoisLivr],AN$1)</f>
        <v>0</v>
      </c>
      <c r="AO67" s="226">
        <f>SUMIFS(LstMachines[Nbre],LstMachines[Model-Spec],PrévisionBoris[[#This Row],[Spec]],LstMachines[Status],PrévisionBoris[[#This Row],[Status]],LstMachines[MoisLivr],AO$1)</f>
        <v>0</v>
      </c>
      <c r="AP67" s="227">
        <f>SUMIFS(LstMachines[Nbre],LstMachines[Model-Spec],PrévisionBoris[[#This Row],[Spec]],LstMachines[Status],PrévisionBoris[[#This Row],[Status]],LstMachines[MoisLivr],AP$1)</f>
        <v>0</v>
      </c>
      <c r="AQ67" s="227">
        <f>SUMIFS(LstMachines[Nbre],LstMachines[Model-Spec],PrévisionBoris[[#This Row],[Spec]],LstMachines[Status],PrévisionBoris[[#This Row],[Status]],LstMachines[MoisLivr],AQ$1)</f>
        <v>0</v>
      </c>
      <c r="AR67" s="226">
        <f>SUMIFS(LstMachines[Nbre],LstMachines[Model-Spec],PrévisionBoris[[#This Row],[Spec]],LstMachines[Status],PrévisionBoris[[#This Row],[Status]],LstMachines[MoisLivr],AR$1)</f>
        <v>0</v>
      </c>
      <c r="AS67" s="227">
        <f>SUMIFS(LstMachines[Nbre],LstMachines[Model-Spec],PrévisionBoris[[#This Row],[Spec]],LstMachines[Status],PrévisionBoris[[#This Row],[Status]],LstMachines[MoisLivr],AS$1)</f>
        <v>0</v>
      </c>
      <c r="AT67" s="227">
        <f>SUMIFS(LstMachines[Nbre],LstMachines[Model-Spec],PrévisionBoris[[#This Row],[Spec]],LstMachines[Status],PrévisionBoris[[#This Row],[Status]],LstMachines[MoisLivr],AT$1)</f>
        <v>0</v>
      </c>
      <c r="AU67" s="226">
        <f>SUMIFS(LstMachines[Nbre],LstMachines[Model-Spec],PrévisionBoris[[#This Row],[Spec]],LstMachines[Status],PrévisionBoris[[#This Row],[Status]],LstMachines[MoisLivr],AU$1)</f>
        <v>0</v>
      </c>
      <c r="AV67" s="230">
        <f>SUMIFS(LstMachines[Nbre],LstMachines[Model-Spec],PrévisionBoris[[#This Row],[Spec]],LstMachines[Status],PrévisionBoris[[#This Row],[Status]],LstMachines[MoisLivr],AV$1)</f>
        <v>0</v>
      </c>
      <c r="AW67" s="231">
        <f>SUMIFS(LstMachines[Nbre],LstMachines[Model-Spec],PrévisionBoris[[#This Row],[Spec]],LstMachines[Status],PrévisionBoris[[#This Row],[Status]],LstMachines[MoisLivr],AW$1)</f>
        <v>0</v>
      </c>
      <c r="AX67" s="232"/>
      <c r="AY67" s="211">
        <f t="shared" si="3"/>
        <v>0</v>
      </c>
      <c r="AZ67" s="212">
        <f t="shared" si="4"/>
        <v>0</v>
      </c>
      <c r="BA67" s="212">
        <f t="shared" si="5"/>
        <v>0</v>
      </c>
      <c r="BB67" s="213">
        <f t="shared" si="6"/>
        <v>0</v>
      </c>
      <c r="BC67" s="225">
        <f t="shared" si="7"/>
        <v>0</v>
      </c>
      <c r="BD67" s="211">
        <f t="shared" si="8"/>
        <v>0</v>
      </c>
      <c r="BE67" s="212">
        <f t="shared" si="9"/>
        <v>0</v>
      </c>
      <c r="BF67" s="212">
        <f t="shared" si="10"/>
        <v>0</v>
      </c>
      <c r="BG67" s="213">
        <f t="shared" si="11"/>
        <v>0</v>
      </c>
      <c r="BH67" s="225">
        <f t="shared" si="12"/>
        <v>0</v>
      </c>
      <c r="BI67" s="214">
        <f t="shared" si="13"/>
        <v>0</v>
      </c>
      <c r="BJ67" s="215">
        <f t="shared" si="14"/>
        <v>0</v>
      </c>
      <c r="BK67" s="215">
        <f t="shared" si="15"/>
        <v>0</v>
      </c>
      <c r="BL67" s="216">
        <f t="shared" si="16"/>
        <v>0</v>
      </c>
      <c r="BM67" s="225">
        <f t="shared" si="17"/>
        <v>0</v>
      </c>
      <c r="BN67" s="225"/>
      <c r="BO67" s="217"/>
      <c r="BP67" s="218">
        <f t="shared" si="18"/>
        <v>0</v>
      </c>
    </row>
    <row r="68" spans="1:68">
      <c r="A68" s="172">
        <v>61</v>
      </c>
      <c r="B68" s="172" t="s">
        <v>75</v>
      </c>
      <c r="C68" s="202">
        <v>10</v>
      </c>
      <c r="D68" s="172" t="s">
        <v>178</v>
      </c>
      <c r="E68" s="172" t="s">
        <v>178</v>
      </c>
      <c r="F68" s="202">
        <f>VLOOKUP(PrévisionBoris[[#This Row],[Spec]],TabModelSpecs[[ModelSpec]:[Price]],2,FALSE)</f>
        <v>15</v>
      </c>
      <c r="G68" s="172" t="s">
        <v>461</v>
      </c>
      <c r="H68" s="206">
        <f>SUMIFS(LstMachines[Nbre],LstMachines[Model-Spec],PrévisionBoris[[#This Row],[Spec]],LstMachines[Status],PrévisionBoris[[#This Row],[Status]],LstMachines[MoisLivr],H$1)</f>
        <v>0</v>
      </c>
      <c r="I68" s="207">
        <f>SUMIFS(LstMachines[Nbre],LstMachines[Model-Spec],PrévisionBoris[[#This Row],[Spec]],LstMachines[Status],PrévisionBoris[[#This Row],[Status]],LstMachines[MoisLivr],I$1)</f>
        <v>0</v>
      </c>
      <c r="J68" s="208">
        <f>SUMIFS(LstMachines[Nbre],LstMachines[Model-Spec],PrévisionBoris[[#This Row],[Spec]],LstMachines[Status],PrévisionBoris[[#This Row],[Status]],LstMachines[MoisLivr],J$1)</f>
        <v>0</v>
      </c>
      <c r="K68" s="206">
        <f>SUMIFS(LstMachines[Nbre],LstMachines[Model-Spec],PrévisionBoris[[#This Row],[Spec]],LstMachines[Status],PrévisionBoris[[#This Row],[Status]],LstMachines[MoisLivr],K$1)</f>
        <v>1</v>
      </c>
      <c r="L68" s="207">
        <f>SUMIFS(LstMachines[Nbre],LstMachines[Model-Spec],PrévisionBoris[[#This Row],[Spec]],LstMachines[Status],PrévisionBoris[[#This Row],[Status]],LstMachines[MoisLivr],L$1)</f>
        <v>0</v>
      </c>
      <c r="M68" s="208">
        <f>SUMIFS(LstMachines[Nbre],LstMachines[Model-Spec],PrévisionBoris[[#This Row],[Spec]],LstMachines[Status],PrévisionBoris[[#This Row],[Status]],LstMachines[MoisLivr],M$1)</f>
        <v>0</v>
      </c>
      <c r="N68" s="206">
        <f>SUMIFS(LstMachines[Nbre],LstMachines[Model-Spec],PrévisionBoris[[#This Row],[Spec]],LstMachines[Status],PrévisionBoris[[#This Row],[Status]],LstMachines[MoisLivr],N$1)</f>
        <v>0</v>
      </c>
      <c r="O68" s="207">
        <f>SUMIFS(LstMachines[Nbre],LstMachines[Model-Spec],PrévisionBoris[[#This Row],[Spec]],LstMachines[Status],PrévisionBoris[[#This Row],[Status]],LstMachines[MoisLivr],O$1)</f>
        <v>0</v>
      </c>
      <c r="P68" s="208">
        <f>SUMIFS(LstMachines[Nbre],LstMachines[Model-Spec],PrévisionBoris[[#This Row],[Spec]],LstMachines[Status],PrévisionBoris[[#This Row],[Status]],LstMachines[MoisLivr],P$1)</f>
        <v>3</v>
      </c>
      <c r="Q68" s="209">
        <f>SUMIFS(LstMachines[Nbre],LstMachines[Model-Spec],PrévisionBoris[[#This Row],[Spec]],LstMachines[Status],PrévisionBoris[[#This Row],[Status]],LstMachines[MoisLivr],Q$1)</f>
        <v>0</v>
      </c>
      <c r="R68" s="207">
        <f>SUMIFS(LstMachines[Nbre],LstMachines[Model-Spec],PrévisionBoris[[#This Row],[Spec]],LstMachines[Status],PrévisionBoris[[#This Row],[Status]],LstMachines[MoisLivr],R$1)</f>
        <v>0</v>
      </c>
      <c r="S68" s="207">
        <f>SUMIFS(LstMachines[Nbre],LstMachines[Model-Spec],PrévisionBoris[[#This Row],[Spec]],LstMachines[Status],PrévisionBoris[[#This Row],[Status]],LstMachines[MoisLivr],S$1)</f>
        <v>0</v>
      </c>
      <c r="T68" s="206">
        <f>SUMIFS(LstMachines[Nbre],LstMachines[Model-Spec],PrévisionBoris[[#This Row],[Spec]],LstMachines[Status],PrévisionBoris[[#This Row],[Status]],LstMachines[MoisLivr],T$1)</f>
        <v>0</v>
      </c>
      <c r="U68" s="207">
        <f>SUMIFS(LstMachines[Nbre],LstMachines[Model-Spec],PrévisionBoris[[#This Row],[Spec]],LstMachines[Status],PrévisionBoris[[#This Row],[Status]],LstMachines[MoisLivr],U$1)</f>
        <v>0</v>
      </c>
      <c r="V68" s="207">
        <f>SUMIFS(LstMachines[Nbre],LstMachines[Model-Spec],PrévisionBoris[[#This Row],[Spec]],LstMachines[Status],PrévisionBoris[[#This Row],[Status]],LstMachines[MoisLivr],V$1)</f>
        <v>0</v>
      </c>
      <c r="W68" s="206">
        <f>SUMIFS(LstMachines[Nbre],LstMachines[Model-Spec],PrévisionBoris[[#This Row],[Spec]],LstMachines[Status],PrévisionBoris[[#This Row],[Status]],LstMachines[MoisLivr],W$1)</f>
        <v>0</v>
      </c>
      <c r="X68" s="207">
        <f>SUMIFS(LstMachines[Nbre],LstMachines[Model-Spec],PrévisionBoris[[#This Row],[Spec]],LstMachines[Status],PrévisionBoris[[#This Row],[Status]],LstMachines[MoisLivr],X$1)</f>
        <v>0</v>
      </c>
      <c r="Y68" s="207">
        <f>SUMIFS(LstMachines[Nbre],LstMachines[Model-Spec],PrévisionBoris[[#This Row],[Spec]],LstMachines[Status],PrévisionBoris[[#This Row],[Status]],LstMachines[MoisLivr],Y$1)</f>
        <v>0</v>
      </c>
      <c r="Z68" s="206">
        <f>SUMIFS(LstMachines[Nbre],LstMachines[Model-Spec],PrévisionBoris[[#This Row],[Spec]],LstMachines[Status],PrévisionBoris[[#This Row],[Status]],LstMachines[MoisLivr],Z$1)</f>
        <v>0</v>
      </c>
      <c r="AA68" s="207">
        <f>SUMIFS(LstMachines[Nbre],LstMachines[Model-Spec],PrévisionBoris[[#This Row],[Spec]],LstMachines[Status],PrévisionBoris[[#This Row],[Status]],LstMachines[MoisLivr],AA$1)</f>
        <v>0</v>
      </c>
      <c r="AB68" s="207">
        <f>SUMIFS(LstMachines[Nbre],LstMachines[Model-Spec],PrévisionBoris[[#This Row],[Spec]],LstMachines[Status],PrévisionBoris[[#This Row],[Status]],LstMachines[MoisLivr],AB$1)</f>
        <v>1</v>
      </c>
      <c r="AC68" s="206">
        <f>SUMIFS(LstMachines[Nbre],LstMachines[Model-Spec],PrévisionBoris[[#This Row],[Spec]],LstMachines[Status],PrévisionBoris[[#This Row],[Status]],LstMachines[MoisLivr],AC$1)</f>
        <v>0</v>
      </c>
      <c r="AD68" s="207">
        <f>SUMIFS(LstMachines[Nbre],LstMachines[Model-Spec],PrévisionBoris[[#This Row],[Spec]],LstMachines[Status],PrévisionBoris[[#This Row],[Status]],LstMachines[MoisLivr],AD$1)</f>
        <v>0</v>
      </c>
      <c r="AE68" s="207">
        <f>SUMIFS(LstMachines[Nbre],LstMachines[Model-Spec],PrévisionBoris[[#This Row],[Spec]],LstMachines[Status],PrévisionBoris[[#This Row],[Status]],LstMachines[MoisLivr],AE$1)</f>
        <v>0</v>
      </c>
      <c r="AF68" s="206">
        <f>SUMIFS(LstMachines[Nbre],LstMachines[Model-Spec],PrévisionBoris[[#This Row],[Spec]],LstMachines[Status],PrévisionBoris[[#This Row],[Status]],LstMachines[MoisLivr],AF$1)</f>
        <v>0</v>
      </c>
      <c r="AG68" s="207">
        <f>SUMIFS(LstMachines[Nbre],LstMachines[Model-Spec],PrévisionBoris[[#This Row],[Spec]],LstMachines[Status],PrévisionBoris[[#This Row],[Status]],LstMachines[MoisLivr],AG$1)</f>
        <v>0</v>
      </c>
      <c r="AH68" s="207">
        <f>SUMIFS(LstMachines[Nbre],LstMachines[Model-Spec],PrévisionBoris[[#This Row],[Spec]],LstMachines[Status],PrévisionBoris[[#This Row],[Status]],LstMachines[MoisLivr],AH$1)</f>
        <v>0</v>
      </c>
      <c r="AI68" s="206">
        <f>SUMIFS(LstMachines[Nbre],LstMachines[Model-Spec],PrévisionBoris[[#This Row],[Spec]],LstMachines[Status],PrévisionBoris[[#This Row],[Status]],LstMachines[MoisLivr],AI$1)</f>
        <v>0</v>
      </c>
      <c r="AJ68" s="207">
        <f>SUMIFS(LstMachines[Nbre],LstMachines[Model-Spec],PrévisionBoris[[#This Row],[Spec]],LstMachines[Status],PrévisionBoris[[#This Row],[Status]],LstMachines[MoisLivr],AJ$1)</f>
        <v>0</v>
      </c>
      <c r="AK68" s="207">
        <f>SUMIFS(LstMachines[Nbre],LstMachines[Model-Spec],PrévisionBoris[[#This Row],[Spec]],LstMachines[Status],PrévisionBoris[[#This Row],[Status]],LstMachines[MoisLivr],AK$1)</f>
        <v>0</v>
      </c>
      <c r="AL68" s="206">
        <f>SUMIFS(LstMachines[Nbre],LstMachines[Model-Spec],PrévisionBoris[[#This Row],[Spec]],LstMachines[Status],PrévisionBoris[[#This Row],[Status]],LstMachines[MoisLivr],AL$1)</f>
        <v>0</v>
      </c>
      <c r="AM68" s="207">
        <f>SUMIFS(LstMachines[Nbre],LstMachines[Model-Spec],PrévisionBoris[[#This Row],[Spec]],LstMachines[Status],PrévisionBoris[[#This Row],[Status]],LstMachines[MoisLivr],AM$1)</f>
        <v>0</v>
      </c>
      <c r="AN68" s="207">
        <f>SUMIFS(LstMachines[Nbre],LstMachines[Model-Spec],PrévisionBoris[[#This Row],[Spec]],LstMachines[Status],PrévisionBoris[[#This Row],[Status]],LstMachines[MoisLivr],AN$1)</f>
        <v>1</v>
      </c>
      <c r="AO68" s="206">
        <f>SUMIFS(LstMachines[Nbre],LstMachines[Model-Spec],PrévisionBoris[[#This Row],[Spec]],LstMachines[Status],PrévisionBoris[[#This Row],[Status]],LstMachines[MoisLivr],AO$1)</f>
        <v>0</v>
      </c>
      <c r="AP68" s="207">
        <f>SUMIFS(LstMachines[Nbre],LstMachines[Model-Spec],PrévisionBoris[[#This Row],[Spec]],LstMachines[Status],PrévisionBoris[[#This Row],[Status]],LstMachines[MoisLivr],AP$1)</f>
        <v>0</v>
      </c>
      <c r="AQ68" s="207">
        <f>SUMIFS(LstMachines[Nbre],LstMachines[Model-Spec],PrévisionBoris[[#This Row],[Spec]],LstMachines[Status],PrévisionBoris[[#This Row],[Status]],LstMachines[MoisLivr],AQ$1)</f>
        <v>0</v>
      </c>
      <c r="AR68" s="206">
        <f>SUMIFS(LstMachines[Nbre],LstMachines[Model-Spec],PrévisionBoris[[#This Row],[Spec]],LstMachines[Status],PrévisionBoris[[#This Row],[Status]],LstMachines[MoisLivr],AR$1)</f>
        <v>0</v>
      </c>
      <c r="AS68" s="207">
        <f>SUMIFS(LstMachines[Nbre],LstMachines[Model-Spec],PrévisionBoris[[#This Row],[Spec]],LstMachines[Status],PrévisionBoris[[#This Row],[Status]],LstMachines[MoisLivr],AS$1)</f>
        <v>0</v>
      </c>
      <c r="AT68" s="207">
        <f>SUMIFS(LstMachines[Nbre],LstMachines[Model-Spec],PrévisionBoris[[#This Row],[Spec]],LstMachines[Status],PrévisionBoris[[#This Row],[Status]],LstMachines[MoisLivr],AT$1)</f>
        <v>0</v>
      </c>
      <c r="AU68" s="206">
        <f>SUMIFS(LstMachines[Nbre],LstMachines[Model-Spec],PrévisionBoris[[#This Row],[Spec]],LstMachines[Status],PrévisionBoris[[#This Row],[Status]],LstMachines[MoisLivr],AU$1)</f>
        <v>0</v>
      </c>
      <c r="AV68" s="233">
        <f>SUMIFS(LstMachines[Nbre],LstMachines[Model-Spec],PrévisionBoris[[#This Row],[Spec]],LstMachines[Status],PrévisionBoris[[#This Row],[Status]],LstMachines[MoisLivr],AV$1)</f>
        <v>0</v>
      </c>
      <c r="AW68" s="208">
        <f>SUMIFS(LstMachines[Nbre],LstMachines[Model-Spec],PrévisionBoris[[#This Row],[Spec]],LstMachines[Status],PrévisionBoris[[#This Row],[Status]],LstMachines[MoisLivr],AW$1)</f>
        <v>0</v>
      </c>
      <c r="AX68" s="225"/>
      <c r="AY68" s="211">
        <f t="shared" si="3"/>
        <v>1</v>
      </c>
      <c r="AZ68" s="212">
        <f t="shared" si="4"/>
        <v>3</v>
      </c>
      <c r="BA68" s="212">
        <f t="shared" si="5"/>
        <v>0</v>
      </c>
      <c r="BB68" s="213">
        <f t="shared" si="6"/>
        <v>0</v>
      </c>
      <c r="BC68" s="225">
        <f t="shared" si="7"/>
        <v>4</v>
      </c>
      <c r="BD68" s="211">
        <f t="shared" si="8"/>
        <v>0</v>
      </c>
      <c r="BE68" s="212">
        <f t="shared" si="9"/>
        <v>1</v>
      </c>
      <c r="BF68" s="212">
        <f t="shared" si="10"/>
        <v>0</v>
      </c>
      <c r="BG68" s="213">
        <f t="shared" si="11"/>
        <v>0</v>
      </c>
      <c r="BH68" s="225">
        <f t="shared" si="12"/>
        <v>1</v>
      </c>
      <c r="BI68" s="214">
        <f t="shared" si="13"/>
        <v>0</v>
      </c>
      <c r="BJ68" s="215">
        <f t="shared" si="14"/>
        <v>1</v>
      </c>
      <c r="BK68" s="215">
        <f t="shared" si="15"/>
        <v>0</v>
      </c>
      <c r="BL68" s="216">
        <f t="shared" si="16"/>
        <v>0</v>
      </c>
      <c r="BM68" s="225">
        <f t="shared" si="17"/>
        <v>1</v>
      </c>
      <c r="BN68" s="225"/>
      <c r="BO68" s="234"/>
      <c r="BP68" s="218">
        <f t="shared" si="18"/>
        <v>6</v>
      </c>
    </row>
    <row r="69" spans="1:68">
      <c r="A69" s="170">
        <v>62</v>
      </c>
      <c r="B69" s="170" t="s">
        <v>75</v>
      </c>
      <c r="C69" s="200">
        <v>10</v>
      </c>
      <c r="D69" s="170" t="s">
        <v>178</v>
      </c>
      <c r="E69" s="170" t="s">
        <v>178</v>
      </c>
      <c r="F69" s="200">
        <f>VLOOKUP(PrévisionBoris[[#This Row],[Spec]],TabModelSpecs[[ModelSpec]:[Price]],2,FALSE)</f>
        <v>15</v>
      </c>
      <c r="G69" s="170" t="s">
        <v>462</v>
      </c>
      <c r="H69" s="219">
        <f>SUMIFS(LstMachines[Nbre],LstMachines[Model-Spec],PrévisionBoris[[#This Row],[Spec]],LstMachines[Status],PrévisionBoris[[#This Row],[Status]],LstMachines[MoisLivr],H$1)</f>
        <v>0</v>
      </c>
      <c r="I69" s="220">
        <f>SUMIFS(LstMachines[Nbre],LstMachines[Model-Spec],PrévisionBoris[[#This Row],[Spec]],LstMachines[Status],PrévisionBoris[[#This Row],[Status]],LstMachines[MoisLivr],I$1)</f>
        <v>0</v>
      </c>
      <c r="J69" s="221">
        <f>SUMIFS(LstMachines[Nbre],LstMachines[Model-Spec],PrévisionBoris[[#This Row],[Spec]],LstMachines[Status],PrévisionBoris[[#This Row],[Status]],LstMachines[MoisLivr],J$1)</f>
        <v>0</v>
      </c>
      <c r="K69" s="219">
        <f>SUMIFS(LstMachines[Nbre],LstMachines[Model-Spec],PrévisionBoris[[#This Row],[Spec]],LstMachines[Status],PrévisionBoris[[#This Row],[Status]],LstMachines[MoisLivr],K$1)</f>
        <v>0</v>
      </c>
      <c r="L69" s="220">
        <f>SUMIFS(LstMachines[Nbre],LstMachines[Model-Spec],PrévisionBoris[[#This Row],[Spec]],LstMachines[Status],PrévisionBoris[[#This Row],[Status]],LstMachines[MoisLivr],L$1)</f>
        <v>0</v>
      </c>
      <c r="M69" s="221">
        <f>SUMIFS(LstMachines[Nbre],LstMachines[Model-Spec],PrévisionBoris[[#This Row],[Spec]],LstMachines[Status],PrévisionBoris[[#This Row],[Status]],LstMachines[MoisLivr],M$1)</f>
        <v>0</v>
      </c>
      <c r="N69" s="219">
        <f>SUMIFS(LstMachines[Nbre],LstMachines[Model-Spec],PrévisionBoris[[#This Row],[Spec]],LstMachines[Status],PrévisionBoris[[#This Row],[Status]],LstMachines[MoisLivr],N$1)</f>
        <v>0</v>
      </c>
      <c r="O69" s="220">
        <f>SUMIFS(LstMachines[Nbre],LstMachines[Model-Spec],PrévisionBoris[[#This Row],[Spec]],LstMachines[Status],PrévisionBoris[[#This Row],[Status]],LstMachines[MoisLivr],O$1)</f>
        <v>0</v>
      </c>
      <c r="P69" s="221">
        <f>SUMIFS(LstMachines[Nbre],LstMachines[Model-Spec],PrévisionBoris[[#This Row],[Spec]],LstMachines[Status],PrévisionBoris[[#This Row],[Status]],LstMachines[MoisLivr],P$1)</f>
        <v>0</v>
      </c>
      <c r="Q69" s="222">
        <f>SUMIFS(LstMachines[Nbre],LstMachines[Model-Spec],PrévisionBoris[[#This Row],[Spec]],LstMachines[Status],PrévisionBoris[[#This Row],[Status]],LstMachines[MoisLivr],Q$1)</f>
        <v>0</v>
      </c>
      <c r="R69" s="220">
        <f>SUMIFS(LstMachines[Nbre],LstMachines[Model-Spec],PrévisionBoris[[#This Row],[Spec]],LstMachines[Status],PrévisionBoris[[#This Row],[Status]],LstMachines[MoisLivr],R$1)</f>
        <v>0</v>
      </c>
      <c r="S69" s="220">
        <f>SUMIFS(LstMachines[Nbre],LstMachines[Model-Spec],PrévisionBoris[[#This Row],[Spec]],LstMachines[Status],PrévisionBoris[[#This Row],[Status]],LstMachines[MoisLivr],S$1)</f>
        <v>0</v>
      </c>
      <c r="T69" s="219">
        <f>SUMIFS(LstMachines[Nbre],LstMachines[Model-Spec],PrévisionBoris[[#This Row],[Spec]],LstMachines[Status],PrévisionBoris[[#This Row],[Status]],LstMachines[MoisLivr],T$1)</f>
        <v>0</v>
      </c>
      <c r="U69" s="220">
        <f>SUMIFS(LstMachines[Nbre],LstMachines[Model-Spec],PrévisionBoris[[#This Row],[Spec]],LstMachines[Status],PrévisionBoris[[#This Row],[Status]],LstMachines[MoisLivr],U$1)</f>
        <v>0</v>
      </c>
      <c r="V69" s="220">
        <f>SUMIFS(LstMachines[Nbre],LstMachines[Model-Spec],PrévisionBoris[[#This Row],[Spec]],LstMachines[Status],PrévisionBoris[[#This Row],[Status]],LstMachines[MoisLivr],V$1)</f>
        <v>0</v>
      </c>
      <c r="W69" s="219">
        <f>SUMIFS(LstMachines[Nbre],LstMachines[Model-Spec],PrévisionBoris[[#This Row],[Spec]],LstMachines[Status],PrévisionBoris[[#This Row],[Status]],LstMachines[MoisLivr],W$1)</f>
        <v>0</v>
      </c>
      <c r="X69" s="220">
        <f>SUMIFS(LstMachines[Nbre],LstMachines[Model-Spec],PrévisionBoris[[#This Row],[Spec]],LstMachines[Status],PrévisionBoris[[#This Row],[Status]],LstMachines[MoisLivr],X$1)</f>
        <v>0</v>
      </c>
      <c r="Y69" s="220">
        <f>SUMIFS(LstMachines[Nbre],LstMachines[Model-Spec],PrévisionBoris[[#This Row],[Spec]],LstMachines[Status],PrévisionBoris[[#This Row],[Status]],LstMachines[MoisLivr],Y$1)</f>
        <v>0</v>
      </c>
      <c r="Z69" s="219">
        <f>SUMIFS(LstMachines[Nbre],LstMachines[Model-Spec],PrévisionBoris[[#This Row],[Spec]],LstMachines[Status],PrévisionBoris[[#This Row],[Status]],LstMachines[MoisLivr],Z$1)</f>
        <v>0</v>
      </c>
      <c r="AA69" s="220">
        <f>SUMIFS(LstMachines[Nbre],LstMachines[Model-Spec],PrévisionBoris[[#This Row],[Spec]],LstMachines[Status],PrévisionBoris[[#This Row],[Status]],LstMachines[MoisLivr],AA$1)</f>
        <v>0</v>
      </c>
      <c r="AB69" s="220">
        <f>SUMIFS(LstMachines[Nbre],LstMachines[Model-Spec],PrévisionBoris[[#This Row],[Spec]],LstMachines[Status],PrévisionBoris[[#This Row],[Status]],LstMachines[MoisLivr],AB$1)</f>
        <v>0</v>
      </c>
      <c r="AC69" s="219">
        <f>SUMIFS(LstMachines[Nbre],LstMachines[Model-Spec],PrévisionBoris[[#This Row],[Spec]],LstMachines[Status],PrévisionBoris[[#This Row],[Status]],LstMachines[MoisLivr],AC$1)</f>
        <v>0</v>
      </c>
      <c r="AD69" s="220">
        <f>SUMIFS(LstMachines[Nbre],LstMachines[Model-Spec],PrévisionBoris[[#This Row],[Spec]],LstMachines[Status],PrévisionBoris[[#This Row],[Status]],LstMachines[MoisLivr],AD$1)</f>
        <v>0</v>
      </c>
      <c r="AE69" s="220">
        <f>SUMIFS(LstMachines[Nbre],LstMachines[Model-Spec],PrévisionBoris[[#This Row],[Spec]],LstMachines[Status],PrévisionBoris[[#This Row],[Status]],LstMachines[MoisLivr],AE$1)</f>
        <v>0</v>
      </c>
      <c r="AF69" s="219">
        <f>SUMIFS(LstMachines[Nbre],LstMachines[Model-Spec],PrévisionBoris[[#This Row],[Spec]],LstMachines[Status],PrévisionBoris[[#This Row],[Status]],LstMachines[MoisLivr],AF$1)</f>
        <v>0</v>
      </c>
      <c r="AG69" s="220">
        <f>SUMIFS(LstMachines[Nbre],LstMachines[Model-Spec],PrévisionBoris[[#This Row],[Spec]],LstMachines[Status],PrévisionBoris[[#This Row],[Status]],LstMachines[MoisLivr],AG$1)</f>
        <v>0</v>
      </c>
      <c r="AH69" s="220">
        <f>SUMIFS(LstMachines[Nbre],LstMachines[Model-Spec],PrévisionBoris[[#This Row],[Spec]],LstMachines[Status],PrévisionBoris[[#This Row],[Status]],LstMachines[MoisLivr],AH$1)</f>
        <v>0</v>
      </c>
      <c r="AI69" s="219">
        <f>SUMIFS(LstMachines[Nbre],LstMachines[Model-Spec],PrévisionBoris[[#This Row],[Spec]],LstMachines[Status],PrévisionBoris[[#This Row],[Status]],LstMachines[MoisLivr],AI$1)</f>
        <v>0</v>
      </c>
      <c r="AJ69" s="220">
        <f>SUMIFS(LstMachines[Nbre],LstMachines[Model-Spec],PrévisionBoris[[#This Row],[Spec]],LstMachines[Status],PrévisionBoris[[#This Row],[Status]],LstMachines[MoisLivr],AJ$1)</f>
        <v>0</v>
      </c>
      <c r="AK69" s="220">
        <f>SUMIFS(LstMachines[Nbre],LstMachines[Model-Spec],PrévisionBoris[[#This Row],[Spec]],LstMachines[Status],PrévisionBoris[[#This Row],[Status]],LstMachines[MoisLivr],AK$1)</f>
        <v>0</v>
      </c>
      <c r="AL69" s="219">
        <f>SUMIFS(LstMachines[Nbre],LstMachines[Model-Spec],PrévisionBoris[[#This Row],[Spec]],LstMachines[Status],PrévisionBoris[[#This Row],[Status]],LstMachines[MoisLivr],AL$1)</f>
        <v>0</v>
      </c>
      <c r="AM69" s="220">
        <f>SUMIFS(LstMachines[Nbre],LstMachines[Model-Spec],PrévisionBoris[[#This Row],[Spec]],LstMachines[Status],PrévisionBoris[[#This Row],[Status]],LstMachines[MoisLivr],AM$1)</f>
        <v>0</v>
      </c>
      <c r="AN69" s="220">
        <f>SUMIFS(LstMachines[Nbre],LstMachines[Model-Spec],PrévisionBoris[[#This Row],[Spec]],LstMachines[Status],PrévisionBoris[[#This Row],[Status]],LstMachines[MoisLivr],AN$1)</f>
        <v>0</v>
      </c>
      <c r="AO69" s="219">
        <f>SUMIFS(LstMachines[Nbre],LstMachines[Model-Spec],PrévisionBoris[[#This Row],[Spec]],LstMachines[Status],PrévisionBoris[[#This Row],[Status]],LstMachines[MoisLivr],AO$1)</f>
        <v>0</v>
      </c>
      <c r="AP69" s="220">
        <f>SUMIFS(LstMachines[Nbre],LstMachines[Model-Spec],PrévisionBoris[[#This Row],[Spec]],LstMachines[Status],PrévisionBoris[[#This Row],[Status]],LstMachines[MoisLivr],AP$1)</f>
        <v>0</v>
      </c>
      <c r="AQ69" s="220">
        <f>SUMIFS(LstMachines[Nbre],LstMachines[Model-Spec],PrévisionBoris[[#This Row],[Spec]],LstMachines[Status],PrévisionBoris[[#This Row],[Status]],LstMachines[MoisLivr],AQ$1)</f>
        <v>0</v>
      </c>
      <c r="AR69" s="219">
        <f>SUMIFS(LstMachines[Nbre],LstMachines[Model-Spec],PrévisionBoris[[#This Row],[Spec]],LstMachines[Status],PrévisionBoris[[#This Row],[Status]],LstMachines[MoisLivr],AR$1)</f>
        <v>0</v>
      </c>
      <c r="AS69" s="220">
        <f>SUMIFS(LstMachines[Nbre],LstMachines[Model-Spec],PrévisionBoris[[#This Row],[Spec]],LstMachines[Status],PrévisionBoris[[#This Row],[Status]],LstMachines[MoisLivr],AS$1)</f>
        <v>0</v>
      </c>
      <c r="AT69" s="220">
        <f>SUMIFS(LstMachines[Nbre],LstMachines[Model-Spec],PrévisionBoris[[#This Row],[Spec]],LstMachines[Status],PrévisionBoris[[#This Row],[Status]],LstMachines[MoisLivr],AT$1)</f>
        <v>0</v>
      </c>
      <c r="AU69" s="219">
        <f>SUMIFS(LstMachines[Nbre],LstMachines[Model-Spec],PrévisionBoris[[#This Row],[Spec]],LstMachines[Status],PrévisionBoris[[#This Row],[Status]],LstMachines[MoisLivr],AU$1)</f>
        <v>0</v>
      </c>
      <c r="AV69" s="223">
        <f>SUMIFS(LstMachines[Nbre],LstMachines[Model-Spec],PrévisionBoris[[#This Row],[Spec]],LstMachines[Status],PrévisionBoris[[#This Row],[Status]],LstMachines[MoisLivr],AV$1)</f>
        <v>0</v>
      </c>
      <c r="AW69" s="224">
        <f>SUMIFS(LstMachines[Nbre],LstMachines[Model-Spec],PrévisionBoris[[#This Row],[Spec]],LstMachines[Status],PrévisionBoris[[#This Row],[Status]],LstMachines[MoisLivr],AW$1)</f>
        <v>0</v>
      </c>
      <c r="AX69" s="210"/>
      <c r="AY69" s="211">
        <f t="shared" si="3"/>
        <v>0</v>
      </c>
      <c r="AZ69" s="212">
        <f t="shared" si="4"/>
        <v>0</v>
      </c>
      <c r="BA69" s="212">
        <f t="shared" si="5"/>
        <v>0</v>
      </c>
      <c r="BB69" s="213">
        <f t="shared" si="6"/>
        <v>0</v>
      </c>
      <c r="BC69" s="225">
        <f t="shared" si="7"/>
        <v>0</v>
      </c>
      <c r="BD69" s="211">
        <f t="shared" si="8"/>
        <v>0</v>
      </c>
      <c r="BE69" s="212">
        <f t="shared" si="9"/>
        <v>0</v>
      </c>
      <c r="BF69" s="212">
        <f t="shared" si="10"/>
        <v>0</v>
      </c>
      <c r="BG69" s="213">
        <f t="shared" si="11"/>
        <v>0</v>
      </c>
      <c r="BH69" s="225">
        <f t="shared" si="12"/>
        <v>0</v>
      </c>
      <c r="BI69" s="214">
        <f t="shared" si="13"/>
        <v>0</v>
      </c>
      <c r="BJ69" s="215">
        <f t="shared" si="14"/>
        <v>0</v>
      </c>
      <c r="BK69" s="215">
        <f t="shared" si="15"/>
        <v>0</v>
      </c>
      <c r="BL69" s="216">
        <f t="shared" si="16"/>
        <v>0</v>
      </c>
      <c r="BM69" s="225">
        <f t="shared" si="17"/>
        <v>0</v>
      </c>
      <c r="BN69" s="225"/>
      <c r="BO69" s="217"/>
      <c r="BP69" s="218">
        <f t="shared" si="18"/>
        <v>0</v>
      </c>
    </row>
    <row r="70" spans="1:68">
      <c r="A70" s="171">
        <v>63</v>
      </c>
      <c r="B70" s="171" t="s">
        <v>75</v>
      </c>
      <c r="C70" s="201">
        <v>10</v>
      </c>
      <c r="D70" s="171" t="s">
        <v>178</v>
      </c>
      <c r="E70" s="171" t="s">
        <v>178</v>
      </c>
      <c r="F70" s="201">
        <f>VLOOKUP(PrévisionBoris[[#This Row],[Spec]],TabModelSpecs[[ModelSpec]:[Price]],2,FALSE)</f>
        <v>15</v>
      </c>
      <c r="G70" s="171" t="s">
        <v>463</v>
      </c>
      <c r="H70" s="226">
        <f>SUMIFS(LstMachines[Nbre],LstMachines[Model-Spec],PrévisionBoris[[#This Row],[Spec]],LstMachines[Status],PrévisionBoris[[#This Row],[Status]],LstMachines[MoisLivr],H$1)</f>
        <v>0</v>
      </c>
      <c r="I70" s="227">
        <f>SUMIFS(LstMachines[Nbre],LstMachines[Model-Spec],PrévisionBoris[[#This Row],[Spec]],LstMachines[Status],PrévisionBoris[[#This Row],[Status]],LstMachines[MoisLivr],I$1)</f>
        <v>0</v>
      </c>
      <c r="J70" s="228">
        <f>SUMIFS(LstMachines[Nbre],LstMachines[Model-Spec],PrévisionBoris[[#This Row],[Spec]],LstMachines[Status],PrévisionBoris[[#This Row],[Status]],LstMachines[MoisLivr],J$1)</f>
        <v>0</v>
      </c>
      <c r="K70" s="226">
        <f>SUMIFS(LstMachines[Nbre],LstMachines[Model-Spec],PrévisionBoris[[#This Row],[Spec]],LstMachines[Status],PrévisionBoris[[#This Row],[Status]],LstMachines[MoisLivr],K$1)</f>
        <v>0</v>
      </c>
      <c r="L70" s="227">
        <f>SUMIFS(LstMachines[Nbre],LstMachines[Model-Spec],PrévisionBoris[[#This Row],[Spec]],LstMachines[Status],PrévisionBoris[[#This Row],[Status]],LstMachines[MoisLivr],L$1)</f>
        <v>0</v>
      </c>
      <c r="M70" s="228">
        <f>SUMIFS(LstMachines[Nbre],LstMachines[Model-Spec],PrévisionBoris[[#This Row],[Spec]],LstMachines[Status],PrévisionBoris[[#This Row],[Status]],LstMachines[MoisLivr],M$1)</f>
        <v>0</v>
      </c>
      <c r="N70" s="226">
        <f>SUMIFS(LstMachines[Nbre],LstMachines[Model-Spec],PrévisionBoris[[#This Row],[Spec]],LstMachines[Status],PrévisionBoris[[#This Row],[Status]],LstMachines[MoisLivr],N$1)</f>
        <v>0</v>
      </c>
      <c r="O70" s="227">
        <f>SUMIFS(LstMachines[Nbre],LstMachines[Model-Spec],PrévisionBoris[[#This Row],[Spec]],LstMachines[Status],PrévisionBoris[[#This Row],[Status]],LstMachines[MoisLivr],O$1)</f>
        <v>0</v>
      </c>
      <c r="P70" s="228">
        <f>SUMIFS(LstMachines[Nbre],LstMachines[Model-Spec],PrévisionBoris[[#This Row],[Spec]],LstMachines[Status],PrévisionBoris[[#This Row],[Status]],LstMachines[MoisLivr],P$1)</f>
        <v>0</v>
      </c>
      <c r="Q70" s="229">
        <f>SUMIFS(LstMachines[Nbre],LstMachines[Model-Spec],PrévisionBoris[[#This Row],[Spec]],LstMachines[Status],PrévisionBoris[[#This Row],[Status]],LstMachines[MoisLivr],Q$1)</f>
        <v>0</v>
      </c>
      <c r="R70" s="227">
        <f>SUMIFS(LstMachines[Nbre],LstMachines[Model-Spec],PrévisionBoris[[#This Row],[Spec]],LstMachines[Status],PrévisionBoris[[#This Row],[Status]],LstMachines[MoisLivr],R$1)</f>
        <v>0</v>
      </c>
      <c r="S70" s="227">
        <f>SUMIFS(LstMachines[Nbre],LstMachines[Model-Spec],PrévisionBoris[[#This Row],[Spec]],LstMachines[Status],PrévisionBoris[[#This Row],[Status]],LstMachines[MoisLivr],S$1)</f>
        <v>0</v>
      </c>
      <c r="T70" s="226">
        <f>SUMIFS(LstMachines[Nbre],LstMachines[Model-Spec],PrévisionBoris[[#This Row],[Spec]],LstMachines[Status],PrévisionBoris[[#This Row],[Status]],LstMachines[MoisLivr],T$1)</f>
        <v>0</v>
      </c>
      <c r="U70" s="227">
        <f>SUMIFS(LstMachines[Nbre],LstMachines[Model-Spec],PrévisionBoris[[#This Row],[Spec]],LstMachines[Status],PrévisionBoris[[#This Row],[Status]],LstMachines[MoisLivr],U$1)</f>
        <v>0</v>
      </c>
      <c r="V70" s="227">
        <f>SUMIFS(LstMachines[Nbre],LstMachines[Model-Spec],PrévisionBoris[[#This Row],[Spec]],LstMachines[Status],PrévisionBoris[[#This Row],[Status]],LstMachines[MoisLivr],V$1)</f>
        <v>0</v>
      </c>
      <c r="W70" s="226">
        <f>SUMIFS(LstMachines[Nbre],LstMachines[Model-Spec],PrévisionBoris[[#This Row],[Spec]],LstMachines[Status],PrévisionBoris[[#This Row],[Status]],LstMachines[MoisLivr],W$1)</f>
        <v>0</v>
      </c>
      <c r="X70" s="227">
        <f>SUMIFS(LstMachines[Nbre],LstMachines[Model-Spec],PrévisionBoris[[#This Row],[Spec]],LstMachines[Status],PrévisionBoris[[#This Row],[Status]],LstMachines[MoisLivr],X$1)</f>
        <v>0</v>
      </c>
      <c r="Y70" s="227">
        <f>SUMIFS(LstMachines[Nbre],LstMachines[Model-Spec],PrévisionBoris[[#This Row],[Spec]],LstMachines[Status],PrévisionBoris[[#This Row],[Status]],LstMachines[MoisLivr],Y$1)</f>
        <v>0</v>
      </c>
      <c r="Z70" s="226">
        <f>SUMIFS(LstMachines[Nbre],LstMachines[Model-Spec],PrévisionBoris[[#This Row],[Spec]],LstMachines[Status],PrévisionBoris[[#This Row],[Status]],LstMachines[MoisLivr],Z$1)</f>
        <v>0</v>
      </c>
      <c r="AA70" s="227">
        <f>SUMIFS(LstMachines[Nbre],LstMachines[Model-Spec],PrévisionBoris[[#This Row],[Spec]],LstMachines[Status],PrévisionBoris[[#This Row],[Status]],LstMachines[MoisLivr],AA$1)</f>
        <v>0</v>
      </c>
      <c r="AB70" s="227">
        <f>SUMIFS(LstMachines[Nbre],LstMachines[Model-Spec],PrévisionBoris[[#This Row],[Spec]],LstMachines[Status],PrévisionBoris[[#This Row],[Status]],LstMachines[MoisLivr],AB$1)</f>
        <v>0</v>
      </c>
      <c r="AC70" s="226">
        <f>SUMIFS(LstMachines[Nbre],LstMachines[Model-Spec],PrévisionBoris[[#This Row],[Spec]],LstMachines[Status],PrévisionBoris[[#This Row],[Status]],LstMachines[MoisLivr],AC$1)</f>
        <v>0</v>
      </c>
      <c r="AD70" s="227">
        <f>SUMIFS(LstMachines[Nbre],LstMachines[Model-Spec],PrévisionBoris[[#This Row],[Spec]],LstMachines[Status],PrévisionBoris[[#This Row],[Status]],LstMachines[MoisLivr],AD$1)</f>
        <v>0</v>
      </c>
      <c r="AE70" s="227">
        <f>SUMIFS(LstMachines[Nbre],LstMachines[Model-Spec],PrévisionBoris[[#This Row],[Spec]],LstMachines[Status],PrévisionBoris[[#This Row],[Status]],LstMachines[MoisLivr],AE$1)</f>
        <v>0</v>
      </c>
      <c r="AF70" s="226">
        <f>SUMIFS(LstMachines[Nbre],LstMachines[Model-Spec],PrévisionBoris[[#This Row],[Spec]],LstMachines[Status],PrévisionBoris[[#This Row],[Status]],LstMachines[MoisLivr],AF$1)</f>
        <v>0</v>
      </c>
      <c r="AG70" s="227">
        <f>SUMIFS(LstMachines[Nbre],LstMachines[Model-Spec],PrévisionBoris[[#This Row],[Spec]],LstMachines[Status],PrévisionBoris[[#This Row],[Status]],LstMachines[MoisLivr],AG$1)</f>
        <v>0</v>
      </c>
      <c r="AH70" s="227">
        <f>SUMIFS(LstMachines[Nbre],LstMachines[Model-Spec],PrévisionBoris[[#This Row],[Spec]],LstMachines[Status],PrévisionBoris[[#This Row],[Status]],LstMachines[MoisLivr],AH$1)</f>
        <v>0</v>
      </c>
      <c r="AI70" s="226">
        <f>SUMIFS(LstMachines[Nbre],LstMachines[Model-Spec],PrévisionBoris[[#This Row],[Spec]],LstMachines[Status],PrévisionBoris[[#This Row],[Status]],LstMachines[MoisLivr],AI$1)</f>
        <v>0</v>
      </c>
      <c r="AJ70" s="227">
        <f>SUMIFS(LstMachines[Nbre],LstMachines[Model-Spec],PrévisionBoris[[#This Row],[Spec]],LstMachines[Status],PrévisionBoris[[#This Row],[Status]],LstMachines[MoisLivr],AJ$1)</f>
        <v>0</v>
      </c>
      <c r="AK70" s="227">
        <f>SUMIFS(LstMachines[Nbre],LstMachines[Model-Spec],PrévisionBoris[[#This Row],[Spec]],LstMachines[Status],PrévisionBoris[[#This Row],[Status]],LstMachines[MoisLivr],AK$1)</f>
        <v>0</v>
      </c>
      <c r="AL70" s="226">
        <f>SUMIFS(LstMachines[Nbre],LstMachines[Model-Spec],PrévisionBoris[[#This Row],[Spec]],LstMachines[Status],PrévisionBoris[[#This Row],[Status]],LstMachines[MoisLivr],AL$1)</f>
        <v>0</v>
      </c>
      <c r="AM70" s="227">
        <f>SUMIFS(LstMachines[Nbre],LstMachines[Model-Spec],PrévisionBoris[[#This Row],[Spec]],LstMachines[Status],PrévisionBoris[[#This Row],[Status]],LstMachines[MoisLivr],AM$1)</f>
        <v>0</v>
      </c>
      <c r="AN70" s="227">
        <f>SUMIFS(LstMachines[Nbre],LstMachines[Model-Spec],PrévisionBoris[[#This Row],[Spec]],LstMachines[Status],PrévisionBoris[[#This Row],[Status]],LstMachines[MoisLivr],AN$1)</f>
        <v>0</v>
      </c>
      <c r="AO70" s="226">
        <f>SUMIFS(LstMachines[Nbre],LstMachines[Model-Spec],PrévisionBoris[[#This Row],[Spec]],LstMachines[Status],PrévisionBoris[[#This Row],[Status]],LstMachines[MoisLivr],AO$1)</f>
        <v>0</v>
      </c>
      <c r="AP70" s="227">
        <f>SUMIFS(LstMachines[Nbre],LstMachines[Model-Spec],PrévisionBoris[[#This Row],[Spec]],LstMachines[Status],PrévisionBoris[[#This Row],[Status]],LstMachines[MoisLivr],AP$1)</f>
        <v>0</v>
      </c>
      <c r="AQ70" s="227">
        <f>SUMIFS(LstMachines[Nbre],LstMachines[Model-Spec],PrévisionBoris[[#This Row],[Spec]],LstMachines[Status],PrévisionBoris[[#This Row],[Status]],LstMachines[MoisLivr],AQ$1)</f>
        <v>0</v>
      </c>
      <c r="AR70" s="226">
        <f>SUMIFS(LstMachines[Nbre],LstMachines[Model-Spec],PrévisionBoris[[#This Row],[Spec]],LstMachines[Status],PrévisionBoris[[#This Row],[Status]],LstMachines[MoisLivr],AR$1)</f>
        <v>0</v>
      </c>
      <c r="AS70" s="227">
        <f>SUMIFS(LstMachines[Nbre],LstMachines[Model-Spec],PrévisionBoris[[#This Row],[Spec]],LstMachines[Status],PrévisionBoris[[#This Row],[Status]],LstMachines[MoisLivr],AS$1)</f>
        <v>0</v>
      </c>
      <c r="AT70" s="227">
        <f>SUMIFS(LstMachines[Nbre],LstMachines[Model-Spec],PrévisionBoris[[#This Row],[Spec]],LstMachines[Status],PrévisionBoris[[#This Row],[Status]],LstMachines[MoisLivr],AT$1)</f>
        <v>0</v>
      </c>
      <c r="AU70" s="226">
        <f>SUMIFS(LstMachines[Nbre],LstMachines[Model-Spec],PrévisionBoris[[#This Row],[Spec]],LstMachines[Status],PrévisionBoris[[#This Row],[Status]],LstMachines[MoisLivr],AU$1)</f>
        <v>0</v>
      </c>
      <c r="AV70" s="230">
        <f>SUMIFS(LstMachines[Nbre],LstMachines[Model-Spec],PrévisionBoris[[#This Row],[Spec]],LstMachines[Status],PrévisionBoris[[#This Row],[Status]],LstMachines[MoisLivr],AV$1)</f>
        <v>0</v>
      </c>
      <c r="AW70" s="231">
        <f>SUMIFS(LstMachines[Nbre],LstMachines[Model-Spec],PrévisionBoris[[#This Row],[Spec]],LstMachines[Status],PrévisionBoris[[#This Row],[Status]],LstMachines[MoisLivr],AW$1)</f>
        <v>0</v>
      </c>
      <c r="AX70" s="232"/>
      <c r="AY70" s="211">
        <f t="shared" si="3"/>
        <v>0</v>
      </c>
      <c r="AZ70" s="212">
        <f t="shared" si="4"/>
        <v>0</v>
      </c>
      <c r="BA70" s="212">
        <f t="shared" si="5"/>
        <v>0</v>
      </c>
      <c r="BB70" s="213">
        <f t="shared" si="6"/>
        <v>0</v>
      </c>
      <c r="BC70" s="225">
        <f t="shared" si="7"/>
        <v>0</v>
      </c>
      <c r="BD70" s="211">
        <f t="shared" si="8"/>
        <v>0</v>
      </c>
      <c r="BE70" s="212">
        <f t="shared" si="9"/>
        <v>0</v>
      </c>
      <c r="BF70" s="212">
        <f t="shared" si="10"/>
        <v>0</v>
      </c>
      <c r="BG70" s="213">
        <f t="shared" si="11"/>
        <v>0</v>
      </c>
      <c r="BH70" s="225">
        <f t="shared" si="12"/>
        <v>0</v>
      </c>
      <c r="BI70" s="214">
        <f t="shared" si="13"/>
        <v>0</v>
      </c>
      <c r="BJ70" s="215">
        <f t="shared" si="14"/>
        <v>0</v>
      </c>
      <c r="BK70" s="215">
        <f t="shared" si="15"/>
        <v>0</v>
      </c>
      <c r="BL70" s="216">
        <f t="shared" si="16"/>
        <v>0</v>
      </c>
      <c r="BM70" s="225">
        <f t="shared" si="17"/>
        <v>0</v>
      </c>
      <c r="BN70" s="225"/>
      <c r="BO70" s="217"/>
      <c r="BP70" s="218">
        <f t="shared" si="18"/>
        <v>0</v>
      </c>
    </row>
    <row r="71" spans="1:68">
      <c r="A71" s="172">
        <v>64</v>
      </c>
      <c r="B71" s="172" t="s">
        <v>75</v>
      </c>
      <c r="C71" s="202">
        <v>17</v>
      </c>
      <c r="D71" s="172" t="s">
        <v>179</v>
      </c>
      <c r="E71" s="172" t="s">
        <v>179</v>
      </c>
      <c r="F71" s="202">
        <f>VLOOKUP(PrévisionBoris[[#This Row],[Spec]],TabModelSpecs[[ModelSpec]:[Price]],2,FALSE)</f>
        <v>18</v>
      </c>
      <c r="G71" s="172" t="s">
        <v>461</v>
      </c>
      <c r="H71" s="206">
        <f>SUMIFS(LstMachines[Nbre],LstMachines[Model-Spec],PrévisionBoris[[#This Row],[Spec]],LstMachines[Status],PrévisionBoris[[#This Row],[Status]],LstMachines[MoisLivr],H$1)</f>
        <v>0</v>
      </c>
      <c r="I71" s="207">
        <f>SUMIFS(LstMachines[Nbre],LstMachines[Model-Spec],PrévisionBoris[[#This Row],[Spec]],LstMachines[Status],PrévisionBoris[[#This Row],[Status]],LstMachines[MoisLivr],I$1)</f>
        <v>0</v>
      </c>
      <c r="J71" s="208">
        <f>SUMIFS(LstMachines[Nbre],LstMachines[Model-Spec],PrévisionBoris[[#This Row],[Spec]],LstMachines[Status],PrévisionBoris[[#This Row],[Status]],LstMachines[MoisLivr],J$1)</f>
        <v>0</v>
      </c>
      <c r="K71" s="206">
        <f>SUMIFS(LstMachines[Nbre],LstMachines[Model-Spec],PrévisionBoris[[#This Row],[Spec]],LstMachines[Status],PrévisionBoris[[#This Row],[Status]],LstMachines[MoisLivr],K$1)</f>
        <v>0</v>
      </c>
      <c r="L71" s="207">
        <f>SUMIFS(LstMachines[Nbre],LstMachines[Model-Spec],PrévisionBoris[[#This Row],[Spec]],LstMachines[Status],PrévisionBoris[[#This Row],[Status]],LstMachines[MoisLivr],L$1)</f>
        <v>0</v>
      </c>
      <c r="M71" s="208">
        <f>SUMIFS(LstMachines[Nbre],LstMachines[Model-Spec],PrévisionBoris[[#This Row],[Spec]],LstMachines[Status],PrévisionBoris[[#This Row],[Status]],LstMachines[MoisLivr],M$1)</f>
        <v>0</v>
      </c>
      <c r="N71" s="206">
        <f>SUMIFS(LstMachines[Nbre],LstMachines[Model-Spec],PrévisionBoris[[#This Row],[Spec]],LstMachines[Status],PrévisionBoris[[#This Row],[Status]],LstMachines[MoisLivr],N$1)</f>
        <v>0</v>
      </c>
      <c r="O71" s="207">
        <f>SUMIFS(LstMachines[Nbre],LstMachines[Model-Spec],PrévisionBoris[[#This Row],[Spec]],LstMachines[Status],PrévisionBoris[[#This Row],[Status]],LstMachines[MoisLivr],O$1)</f>
        <v>0</v>
      </c>
      <c r="P71" s="208">
        <f>SUMIFS(LstMachines[Nbre],LstMachines[Model-Spec],PrévisionBoris[[#This Row],[Spec]],LstMachines[Status],PrévisionBoris[[#This Row],[Status]],LstMachines[MoisLivr],P$1)</f>
        <v>0</v>
      </c>
      <c r="Q71" s="209">
        <f>SUMIFS(LstMachines[Nbre],LstMachines[Model-Spec],PrévisionBoris[[#This Row],[Spec]],LstMachines[Status],PrévisionBoris[[#This Row],[Status]],LstMachines[MoisLivr],Q$1)</f>
        <v>0</v>
      </c>
      <c r="R71" s="207">
        <f>SUMIFS(LstMachines[Nbre],LstMachines[Model-Spec],PrévisionBoris[[#This Row],[Spec]],LstMachines[Status],PrévisionBoris[[#This Row],[Status]],LstMachines[MoisLivr],R$1)</f>
        <v>0</v>
      </c>
      <c r="S71" s="207">
        <f>SUMIFS(LstMachines[Nbre],LstMachines[Model-Spec],PrévisionBoris[[#This Row],[Spec]],LstMachines[Status],PrévisionBoris[[#This Row],[Status]],LstMachines[MoisLivr],S$1)</f>
        <v>0</v>
      </c>
      <c r="T71" s="206">
        <f>SUMIFS(LstMachines[Nbre],LstMachines[Model-Spec],PrévisionBoris[[#This Row],[Spec]],LstMachines[Status],PrévisionBoris[[#This Row],[Status]],LstMachines[MoisLivr],T$1)</f>
        <v>0</v>
      </c>
      <c r="U71" s="207">
        <f>SUMIFS(LstMachines[Nbre],LstMachines[Model-Spec],PrévisionBoris[[#This Row],[Spec]],LstMachines[Status],PrévisionBoris[[#This Row],[Status]],LstMachines[MoisLivr],U$1)</f>
        <v>0</v>
      </c>
      <c r="V71" s="207">
        <f>SUMIFS(LstMachines[Nbre],LstMachines[Model-Spec],PrévisionBoris[[#This Row],[Spec]],LstMachines[Status],PrévisionBoris[[#This Row],[Status]],LstMachines[MoisLivr],V$1)</f>
        <v>0</v>
      </c>
      <c r="W71" s="206">
        <f>SUMIFS(LstMachines[Nbre],LstMachines[Model-Spec],PrévisionBoris[[#This Row],[Spec]],LstMachines[Status],PrévisionBoris[[#This Row],[Status]],LstMachines[MoisLivr],W$1)</f>
        <v>0</v>
      </c>
      <c r="X71" s="207">
        <f>SUMIFS(LstMachines[Nbre],LstMachines[Model-Spec],PrévisionBoris[[#This Row],[Spec]],LstMachines[Status],PrévisionBoris[[#This Row],[Status]],LstMachines[MoisLivr],X$1)</f>
        <v>0</v>
      </c>
      <c r="Y71" s="207">
        <f>SUMIFS(LstMachines[Nbre],LstMachines[Model-Spec],PrévisionBoris[[#This Row],[Spec]],LstMachines[Status],PrévisionBoris[[#This Row],[Status]],LstMachines[MoisLivr],Y$1)</f>
        <v>0</v>
      </c>
      <c r="Z71" s="206">
        <f>SUMIFS(LstMachines[Nbre],LstMachines[Model-Spec],PrévisionBoris[[#This Row],[Spec]],LstMachines[Status],PrévisionBoris[[#This Row],[Status]],LstMachines[MoisLivr],Z$1)</f>
        <v>0</v>
      </c>
      <c r="AA71" s="207">
        <f>SUMIFS(LstMachines[Nbre],LstMachines[Model-Spec],PrévisionBoris[[#This Row],[Spec]],LstMachines[Status],PrévisionBoris[[#This Row],[Status]],LstMachines[MoisLivr],AA$1)</f>
        <v>0</v>
      </c>
      <c r="AB71" s="207">
        <f>SUMIFS(LstMachines[Nbre],LstMachines[Model-Spec],PrévisionBoris[[#This Row],[Spec]],LstMachines[Status],PrévisionBoris[[#This Row],[Status]],LstMachines[MoisLivr],AB$1)</f>
        <v>0</v>
      </c>
      <c r="AC71" s="206">
        <f>SUMIFS(LstMachines[Nbre],LstMachines[Model-Spec],PrévisionBoris[[#This Row],[Spec]],LstMachines[Status],PrévisionBoris[[#This Row],[Status]],LstMachines[MoisLivr],AC$1)</f>
        <v>0</v>
      </c>
      <c r="AD71" s="207">
        <f>SUMIFS(LstMachines[Nbre],LstMachines[Model-Spec],PrévisionBoris[[#This Row],[Spec]],LstMachines[Status],PrévisionBoris[[#This Row],[Status]],LstMachines[MoisLivr],AD$1)</f>
        <v>0</v>
      </c>
      <c r="AE71" s="207">
        <f>SUMIFS(LstMachines[Nbre],LstMachines[Model-Spec],PrévisionBoris[[#This Row],[Spec]],LstMachines[Status],PrévisionBoris[[#This Row],[Status]],LstMachines[MoisLivr],AE$1)</f>
        <v>0</v>
      </c>
      <c r="AF71" s="206">
        <f>SUMIFS(LstMachines[Nbre],LstMachines[Model-Spec],PrévisionBoris[[#This Row],[Spec]],LstMachines[Status],PrévisionBoris[[#This Row],[Status]],LstMachines[MoisLivr],AF$1)</f>
        <v>0</v>
      </c>
      <c r="AG71" s="207">
        <f>SUMIFS(LstMachines[Nbre],LstMachines[Model-Spec],PrévisionBoris[[#This Row],[Spec]],LstMachines[Status],PrévisionBoris[[#This Row],[Status]],LstMachines[MoisLivr],AG$1)</f>
        <v>0</v>
      </c>
      <c r="AH71" s="207">
        <f>SUMIFS(LstMachines[Nbre],LstMachines[Model-Spec],PrévisionBoris[[#This Row],[Spec]],LstMachines[Status],PrévisionBoris[[#This Row],[Status]],LstMachines[MoisLivr],AH$1)</f>
        <v>0</v>
      </c>
      <c r="AI71" s="206">
        <f>SUMIFS(LstMachines[Nbre],LstMachines[Model-Spec],PrévisionBoris[[#This Row],[Spec]],LstMachines[Status],PrévisionBoris[[#This Row],[Status]],LstMachines[MoisLivr],AI$1)</f>
        <v>0</v>
      </c>
      <c r="AJ71" s="207">
        <f>SUMIFS(LstMachines[Nbre],LstMachines[Model-Spec],PrévisionBoris[[#This Row],[Spec]],LstMachines[Status],PrévisionBoris[[#This Row],[Status]],LstMachines[MoisLivr],AJ$1)</f>
        <v>0</v>
      </c>
      <c r="AK71" s="207">
        <f>SUMIFS(LstMachines[Nbre],LstMachines[Model-Spec],PrévisionBoris[[#This Row],[Spec]],LstMachines[Status],PrévisionBoris[[#This Row],[Status]],LstMachines[MoisLivr],AK$1)</f>
        <v>0</v>
      </c>
      <c r="AL71" s="206">
        <f>SUMIFS(LstMachines[Nbre],LstMachines[Model-Spec],PrévisionBoris[[#This Row],[Spec]],LstMachines[Status],PrévisionBoris[[#This Row],[Status]],LstMachines[MoisLivr],AL$1)</f>
        <v>0</v>
      </c>
      <c r="AM71" s="207">
        <f>SUMIFS(LstMachines[Nbre],LstMachines[Model-Spec],PrévisionBoris[[#This Row],[Spec]],LstMachines[Status],PrévisionBoris[[#This Row],[Status]],LstMachines[MoisLivr],AM$1)</f>
        <v>0</v>
      </c>
      <c r="AN71" s="207">
        <f>SUMIFS(LstMachines[Nbre],LstMachines[Model-Spec],PrévisionBoris[[#This Row],[Spec]],LstMachines[Status],PrévisionBoris[[#This Row],[Status]],LstMachines[MoisLivr],AN$1)</f>
        <v>0</v>
      </c>
      <c r="AO71" s="206">
        <f>SUMIFS(LstMachines[Nbre],LstMachines[Model-Spec],PrévisionBoris[[#This Row],[Spec]],LstMachines[Status],PrévisionBoris[[#This Row],[Status]],LstMachines[MoisLivr],AO$1)</f>
        <v>0</v>
      </c>
      <c r="AP71" s="207">
        <f>SUMIFS(LstMachines[Nbre],LstMachines[Model-Spec],PrévisionBoris[[#This Row],[Spec]],LstMachines[Status],PrévisionBoris[[#This Row],[Status]],LstMachines[MoisLivr],AP$1)</f>
        <v>0</v>
      </c>
      <c r="AQ71" s="207">
        <f>SUMIFS(LstMachines[Nbre],LstMachines[Model-Spec],PrévisionBoris[[#This Row],[Spec]],LstMachines[Status],PrévisionBoris[[#This Row],[Status]],LstMachines[MoisLivr],AQ$1)</f>
        <v>0</v>
      </c>
      <c r="AR71" s="206">
        <f>SUMIFS(LstMachines[Nbre],LstMachines[Model-Spec],PrévisionBoris[[#This Row],[Spec]],LstMachines[Status],PrévisionBoris[[#This Row],[Status]],LstMachines[MoisLivr],AR$1)</f>
        <v>0</v>
      </c>
      <c r="AS71" s="207">
        <f>SUMIFS(LstMachines[Nbre],LstMachines[Model-Spec],PrévisionBoris[[#This Row],[Spec]],LstMachines[Status],PrévisionBoris[[#This Row],[Status]],LstMachines[MoisLivr],AS$1)</f>
        <v>0</v>
      </c>
      <c r="AT71" s="207">
        <f>SUMIFS(LstMachines[Nbre],LstMachines[Model-Spec],PrévisionBoris[[#This Row],[Spec]],LstMachines[Status],PrévisionBoris[[#This Row],[Status]],LstMachines[MoisLivr],AT$1)</f>
        <v>0</v>
      </c>
      <c r="AU71" s="206">
        <f>SUMIFS(LstMachines[Nbre],LstMachines[Model-Spec],PrévisionBoris[[#This Row],[Spec]],LstMachines[Status],PrévisionBoris[[#This Row],[Status]],LstMachines[MoisLivr],AU$1)</f>
        <v>0</v>
      </c>
      <c r="AV71" s="233">
        <f>SUMIFS(LstMachines[Nbre],LstMachines[Model-Spec],PrévisionBoris[[#This Row],[Spec]],LstMachines[Status],PrévisionBoris[[#This Row],[Status]],LstMachines[MoisLivr],AV$1)</f>
        <v>0</v>
      </c>
      <c r="AW71" s="208">
        <f>SUMIFS(LstMachines[Nbre],LstMachines[Model-Spec],PrévisionBoris[[#This Row],[Spec]],LstMachines[Status],PrévisionBoris[[#This Row],[Status]],LstMachines[MoisLivr],AW$1)</f>
        <v>0</v>
      </c>
      <c r="AX71" s="225"/>
      <c r="AY71" s="211">
        <f t="shared" si="3"/>
        <v>0</v>
      </c>
      <c r="AZ71" s="212">
        <f t="shared" si="4"/>
        <v>0</v>
      </c>
      <c r="BA71" s="212">
        <f t="shared" si="5"/>
        <v>0</v>
      </c>
      <c r="BB71" s="213">
        <f t="shared" si="6"/>
        <v>0</v>
      </c>
      <c r="BC71" s="225">
        <f t="shared" si="7"/>
        <v>0</v>
      </c>
      <c r="BD71" s="211">
        <f t="shared" si="8"/>
        <v>0</v>
      </c>
      <c r="BE71" s="212">
        <f t="shared" si="9"/>
        <v>0</v>
      </c>
      <c r="BF71" s="212">
        <f t="shared" si="10"/>
        <v>0</v>
      </c>
      <c r="BG71" s="213">
        <f t="shared" si="11"/>
        <v>0</v>
      </c>
      <c r="BH71" s="225">
        <f t="shared" si="12"/>
        <v>0</v>
      </c>
      <c r="BI71" s="214">
        <f t="shared" si="13"/>
        <v>0</v>
      </c>
      <c r="BJ71" s="215">
        <f t="shared" si="14"/>
        <v>0</v>
      </c>
      <c r="BK71" s="215">
        <f t="shared" si="15"/>
        <v>0</v>
      </c>
      <c r="BL71" s="216">
        <f t="shared" si="16"/>
        <v>0</v>
      </c>
      <c r="BM71" s="225">
        <f t="shared" si="17"/>
        <v>0</v>
      </c>
      <c r="BN71" s="225"/>
      <c r="BO71" s="234"/>
      <c r="BP71" s="218">
        <f t="shared" si="18"/>
        <v>0</v>
      </c>
    </row>
    <row r="72" spans="1:68">
      <c r="A72" s="170">
        <v>65</v>
      </c>
      <c r="B72" s="170" t="s">
        <v>75</v>
      </c>
      <c r="C72" s="200">
        <v>17</v>
      </c>
      <c r="D72" s="170" t="s">
        <v>179</v>
      </c>
      <c r="E72" s="170" t="s">
        <v>179</v>
      </c>
      <c r="F72" s="200">
        <f>VLOOKUP(PrévisionBoris[[#This Row],[Spec]],TabModelSpecs[[ModelSpec]:[Price]],2,FALSE)</f>
        <v>18</v>
      </c>
      <c r="G72" s="170" t="s">
        <v>462</v>
      </c>
      <c r="H72" s="219">
        <f>SUMIFS(LstMachines[Nbre],LstMachines[Model-Spec],PrévisionBoris[[#This Row],[Spec]],LstMachines[Status],PrévisionBoris[[#This Row],[Status]],LstMachines[MoisLivr],H$1)</f>
        <v>0</v>
      </c>
      <c r="I72" s="220">
        <f>SUMIFS(LstMachines[Nbre],LstMachines[Model-Spec],PrévisionBoris[[#This Row],[Spec]],LstMachines[Status],PrévisionBoris[[#This Row],[Status]],LstMachines[MoisLivr],I$1)</f>
        <v>0</v>
      </c>
      <c r="J72" s="221">
        <f>SUMIFS(LstMachines[Nbre],LstMachines[Model-Spec],PrévisionBoris[[#This Row],[Spec]],LstMachines[Status],PrévisionBoris[[#This Row],[Status]],LstMachines[MoisLivr],J$1)</f>
        <v>0</v>
      </c>
      <c r="K72" s="219">
        <f>SUMIFS(LstMachines[Nbre],LstMachines[Model-Spec],PrévisionBoris[[#This Row],[Spec]],LstMachines[Status],PrévisionBoris[[#This Row],[Status]],LstMachines[MoisLivr],K$1)</f>
        <v>0</v>
      </c>
      <c r="L72" s="220">
        <f>SUMIFS(LstMachines[Nbre],LstMachines[Model-Spec],PrévisionBoris[[#This Row],[Spec]],LstMachines[Status],PrévisionBoris[[#This Row],[Status]],LstMachines[MoisLivr],L$1)</f>
        <v>0</v>
      </c>
      <c r="M72" s="221">
        <f>SUMIFS(LstMachines[Nbre],LstMachines[Model-Spec],PrévisionBoris[[#This Row],[Spec]],LstMachines[Status],PrévisionBoris[[#This Row],[Status]],LstMachines[MoisLivr],M$1)</f>
        <v>0</v>
      </c>
      <c r="N72" s="219">
        <f>SUMIFS(LstMachines[Nbre],LstMachines[Model-Spec],PrévisionBoris[[#This Row],[Spec]],LstMachines[Status],PrévisionBoris[[#This Row],[Status]],LstMachines[MoisLivr],N$1)</f>
        <v>0</v>
      </c>
      <c r="O72" s="220">
        <f>SUMIFS(LstMachines[Nbre],LstMachines[Model-Spec],PrévisionBoris[[#This Row],[Spec]],LstMachines[Status],PrévisionBoris[[#This Row],[Status]],LstMachines[MoisLivr],O$1)</f>
        <v>0</v>
      </c>
      <c r="P72" s="221">
        <f>SUMIFS(LstMachines[Nbre],LstMachines[Model-Spec],PrévisionBoris[[#This Row],[Spec]],LstMachines[Status],PrévisionBoris[[#This Row],[Status]],LstMachines[MoisLivr],P$1)</f>
        <v>0</v>
      </c>
      <c r="Q72" s="222">
        <f>SUMIFS(LstMachines[Nbre],LstMachines[Model-Spec],PrévisionBoris[[#This Row],[Spec]],LstMachines[Status],PrévisionBoris[[#This Row],[Status]],LstMachines[MoisLivr],Q$1)</f>
        <v>0</v>
      </c>
      <c r="R72" s="220">
        <f>SUMIFS(LstMachines[Nbre],LstMachines[Model-Spec],PrévisionBoris[[#This Row],[Spec]],LstMachines[Status],PrévisionBoris[[#This Row],[Status]],LstMachines[MoisLivr],R$1)</f>
        <v>0</v>
      </c>
      <c r="S72" s="220">
        <f>SUMIFS(LstMachines[Nbre],LstMachines[Model-Spec],PrévisionBoris[[#This Row],[Spec]],LstMachines[Status],PrévisionBoris[[#This Row],[Status]],LstMachines[MoisLivr],S$1)</f>
        <v>0</v>
      </c>
      <c r="T72" s="219">
        <f>SUMIFS(LstMachines[Nbre],LstMachines[Model-Spec],PrévisionBoris[[#This Row],[Spec]],LstMachines[Status],PrévisionBoris[[#This Row],[Status]],LstMachines[MoisLivr],T$1)</f>
        <v>0</v>
      </c>
      <c r="U72" s="220">
        <f>SUMIFS(LstMachines[Nbre],LstMachines[Model-Spec],PrévisionBoris[[#This Row],[Spec]],LstMachines[Status],PrévisionBoris[[#This Row],[Status]],LstMachines[MoisLivr],U$1)</f>
        <v>0</v>
      </c>
      <c r="V72" s="220">
        <f>SUMIFS(LstMachines[Nbre],LstMachines[Model-Spec],PrévisionBoris[[#This Row],[Spec]],LstMachines[Status],PrévisionBoris[[#This Row],[Status]],LstMachines[MoisLivr],V$1)</f>
        <v>0</v>
      </c>
      <c r="W72" s="219">
        <f>SUMIFS(LstMachines[Nbre],LstMachines[Model-Spec],PrévisionBoris[[#This Row],[Spec]],LstMachines[Status],PrévisionBoris[[#This Row],[Status]],LstMachines[MoisLivr],W$1)</f>
        <v>0</v>
      </c>
      <c r="X72" s="220">
        <f>SUMIFS(LstMachines[Nbre],LstMachines[Model-Spec],PrévisionBoris[[#This Row],[Spec]],LstMachines[Status],PrévisionBoris[[#This Row],[Status]],LstMachines[MoisLivr],X$1)</f>
        <v>0</v>
      </c>
      <c r="Y72" s="220">
        <f>SUMIFS(LstMachines[Nbre],LstMachines[Model-Spec],PrévisionBoris[[#This Row],[Spec]],LstMachines[Status],PrévisionBoris[[#This Row],[Status]],LstMachines[MoisLivr],Y$1)</f>
        <v>0</v>
      </c>
      <c r="Z72" s="219">
        <f>SUMIFS(LstMachines[Nbre],LstMachines[Model-Spec],PrévisionBoris[[#This Row],[Spec]],LstMachines[Status],PrévisionBoris[[#This Row],[Status]],LstMachines[MoisLivr],Z$1)</f>
        <v>0</v>
      </c>
      <c r="AA72" s="220">
        <f>SUMIFS(LstMachines[Nbre],LstMachines[Model-Spec],PrévisionBoris[[#This Row],[Spec]],LstMachines[Status],PrévisionBoris[[#This Row],[Status]],LstMachines[MoisLivr],AA$1)</f>
        <v>0</v>
      </c>
      <c r="AB72" s="220">
        <f>SUMIFS(LstMachines[Nbre],LstMachines[Model-Spec],PrévisionBoris[[#This Row],[Spec]],LstMachines[Status],PrévisionBoris[[#This Row],[Status]],LstMachines[MoisLivr],AB$1)</f>
        <v>0</v>
      </c>
      <c r="AC72" s="219">
        <f>SUMIFS(LstMachines[Nbre],LstMachines[Model-Spec],PrévisionBoris[[#This Row],[Spec]],LstMachines[Status],PrévisionBoris[[#This Row],[Status]],LstMachines[MoisLivr],AC$1)</f>
        <v>0</v>
      </c>
      <c r="AD72" s="220">
        <f>SUMIFS(LstMachines[Nbre],LstMachines[Model-Spec],PrévisionBoris[[#This Row],[Spec]],LstMachines[Status],PrévisionBoris[[#This Row],[Status]],LstMachines[MoisLivr],AD$1)</f>
        <v>0</v>
      </c>
      <c r="AE72" s="220">
        <f>SUMIFS(LstMachines[Nbre],LstMachines[Model-Spec],PrévisionBoris[[#This Row],[Spec]],LstMachines[Status],PrévisionBoris[[#This Row],[Status]],LstMachines[MoisLivr],AE$1)</f>
        <v>0</v>
      </c>
      <c r="AF72" s="219">
        <f>SUMIFS(LstMachines[Nbre],LstMachines[Model-Spec],PrévisionBoris[[#This Row],[Spec]],LstMachines[Status],PrévisionBoris[[#This Row],[Status]],LstMachines[MoisLivr],AF$1)</f>
        <v>0</v>
      </c>
      <c r="AG72" s="220">
        <f>SUMIFS(LstMachines[Nbre],LstMachines[Model-Spec],PrévisionBoris[[#This Row],[Spec]],LstMachines[Status],PrévisionBoris[[#This Row],[Status]],LstMachines[MoisLivr],AG$1)</f>
        <v>0</v>
      </c>
      <c r="AH72" s="220">
        <f>SUMIFS(LstMachines[Nbre],LstMachines[Model-Spec],PrévisionBoris[[#This Row],[Spec]],LstMachines[Status],PrévisionBoris[[#This Row],[Status]],LstMachines[MoisLivr],AH$1)</f>
        <v>0</v>
      </c>
      <c r="AI72" s="219">
        <f>SUMIFS(LstMachines[Nbre],LstMachines[Model-Spec],PrévisionBoris[[#This Row],[Spec]],LstMachines[Status],PrévisionBoris[[#This Row],[Status]],LstMachines[MoisLivr],AI$1)</f>
        <v>0</v>
      </c>
      <c r="AJ72" s="220">
        <f>SUMIFS(LstMachines[Nbre],LstMachines[Model-Spec],PrévisionBoris[[#This Row],[Spec]],LstMachines[Status],PrévisionBoris[[#This Row],[Status]],LstMachines[MoisLivr],AJ$1)</f>
        <v>0</v>
      </c>
      <c r="AK72" s="220">
        <f>SUMIFS(LstMachines[Nbre],LstMachines[Model-Spec],PrévisionBoris[[#This Row],[Spec]],LstMachines[Status],PrévisionBoris[[#This Row],[Status]],LstMachines[MoisLivr],AK$1)</f>
        <v>0</v>
      </c>
      <c r="AL72" s="219">
        <f>SUMIFS(LstMachines[Nbre],LstMachines[Model-Spec],PrévisionBoris[[#This Row],[Spec]],LstMachines[Status],PrévisionBoris[[#This Row],[Status]],LstMachines[MoisLivr],AL$1)</f>
        <v>0</v>
      </c>
      <c r="AM72" s="220">
        <f>SUMIFS(LstMachines[Nbre],LstMachines[Model-Spec],PrévisionBoris[[#This Row],[Spec]],LstMachines[Status],PrévisionBoris[[#This Row],[Status]],LstMachines[MoisLivr],AM$1)</f>
        <v>0</v>
      </c>
      <c r="AN72" s="220">
        <f>SUMIFS(LstMachines[Nbre],LstMachines[Model-Spec],PrévisionBoris[[#This Row],[Spec]],LstMachines[Status],PrévisionBoris[[#This Row],[Status]],LstMachines[MoisLivr],AN$1)</f>
        <v>0</v>
      </c>
      <c r="AO72" s="219">
        <f>SUMIFS(LstMachines[Nbre],LstMachines[Model-Spec],PrévisionBoris[[#This Row],[Spec]],LstMachines[Status],PrévisionBoris[[#This Row],[Status]],LstMachines[MoisLivr],AO$1)</f>
        <v>0</v>
      </c>
      <c r="AP72" s="220">
        <f>SUMIFS(LstMachines[Nbre],LstMachines[Model-Spec],PrévisionBoris[[#This Row],[Spec]],LstMachines[Status],PrévisionBoris[[#This Row],[Status]],LstMachines[MoisLivr],AP$1)</f>
        <v>0</v>
      </c>
      <c r="AQ72" s="220">
        <f>SUMIFS(LstMachines[Nbre],LstMachines[Model-Spec],PrévisionBoris[[#This Row],[Spec]],LstMachines[Status],PrévisionBoris[[#This Row],[Status]],LstMachines[MoisLivr],AQ$1)</f>
        <v>0</v>
      </c>
      <c r="AR72" s="219">
        <f>SUMIFS(LstMachines[Nbre],LstMachines[Model-Spec],PrévisionBoris[[#This Row],[Spec]],LstMachines[Status],PrévisionBoris[[#This Row],[Status]],LstMachines[MoisLivr],AR$1)</f>
        <v>0</v>
      </c>
      <c r="AS72" s="220">
        <f>SUMIFS(LstMachines[Nbre],LstMachines[Model-Spec],PrévisionBoris[[#This Row],[Spec]],LstMachines[Status],PrévisionBoris[[#This Row],[Status]],LstMachines[MoisLivr],AS$1)</f>
        <v>0</v>
      </c>
      <c r="AT72" s="220">
        <f>SUMIFS(LstMachines[Nbre],LstMachines[Model-Spec],PrévisionBoris[[#This Row],[Spec]],LstMachines[Status],PrévisionBoris[[#This Row],[Status]],LstMachines[MoisLivr],AT$1)</f>
        <v>0</v>
      </c>
      <c r="AU72" s="219">
        <f>SUMIFS(LstMachines[Nbre],LstMachines[Model-Spec],PrévisionBoris[[#This Row],[Spec]],LstMachines[Status],PrévisionBoris[[#This Row],[Status]],LstMachines[MoisLivr],AU$1)</f>
        <v>0</v>
      </c>
      <c r="AV72" s="223">
        <f>SUMIFS(LstMachines[Nbre],LstMachines[Model-Spec],PrévisionBoris[[#This Row],[Spec]],LstMachines[Status],PrévisionBoris[[#This Row],[Status]],LstMachines[MoisLivr],AV$1)</f>
        <v>0</v>
      </c>
      <c r="AW72" s="224">
        <f>SUMIFS(LstMachines[Nbre],LstMachines[Model-Spec],PrévisionBoris[[#This Row],[Spec]],LstMachines[Status],PrévisionBoris[[#This Row],[Status]],LstMachines[MoisLivr],AW$1)</f>
        <v>0</v>
      </c>
      <c r="AX72" s="210"/>
      <c r="AY72" s="211">
        <f t="shared" ref="AY72:AY135" si="19">SUM(K72:M72)</f>
        <v>0</v>
      </c>
      <c r="AZ72" s="212">
        <f t="shared" ref="AZ72:AZ135" si="20">SUM(N72:P72)</f>
        <v>0</v>
      </c>
      <c r="BA72" s="212">
        <f t="shared" ref="BA72:BA135" si="21">SUM(Q72:S72)</f>
        <v>0</v>
      </c>
      <c r="BB72" s="213">
        <f t="shared" ref="BB72:BB135" si="22">SUM(T72:V72)</f>
        <v>0</v>
      </c>
      <c r="BC72" s="225">
        <f t="shared" ref="BC72:BC135" si="23">SUM(AY72:BB72)</f>
        <v>0</v>
      </c>
      <c r="BD72" s="211">
        <f t="shared" ref="BD72:BD135" si="24">SUM(W72:Y72)</f>
        <v>0</v>
      </c>
      <c r="BE72" s="212">
        <f t="shared" ref="BE72:BE135" si="25">SUM(Z72:AB72)</f>
        <v>0</v>
      </c>
      <c r="BF72" s="212">
        <f t="shared" ref="BF72:BF135" si="26">SUM(AC72:AE72)</f>
        <v>0</v>
      </c>
      <c r="BG72" s="213">
        <f t="shared" ref="BG72:BG135" si="27">SUM(AF72:AH72)</f>
        <v>0</v>
      </c>
      <c r="BH72" s="225">
        <f t="shared" ref="BH72:BH135" si="28">SUM(BD72:BG72)</f>
        <v>0</v>
      </c>
      <c r="BI72" s="214">
        <f t="shared" ref="BI72:BI135" si="29">SUM(AI72:AK72)</f>
        <v>0</v>
      </c>
      <c r="BJ72" s="215">
        <f t="shared" ref="BJ72:BJ135" si="30">SUM(AL72:AN72)</f>
        <v>0</v>
      </c>
      <c r="BK72" s="215">
        <f t="shared" ref="BK72:BK135" si="31">SUM(AO72:AQ72)</f>
        <v>0</v>
      </c>
      <c r="BL72" s="216">
        <f t="shared" ref="BL72:BL135" si="32">SUM(AR72:AT72)</f>
        <v>0</v>
      </c>
      <c r="BM72" s="225">
        <f t="shared" ref="BM72:BM135" si="33">SUM(BI72:BL72)</f>
        <v>0</v>
      </c>
      <c r="BN72" s="225"/>
      <c r="BO72" s="217"/>
      <c r="BP72" s="218">
        <f t="shared" ref="BP72:BP135" si="34">SUM(H72:AU72)</f>
        <v>0</v>
      </c>
    </row>
    <row r="73" spans="1:68">
      <c r="A73" s="171">
        <v>66</v>
      </c>
      <c r="B73" s="171" t="s">
        <v>75</v>
      </c>
      <c r="C73" s="201">
        <v>17</v>
      </c>
      <c r="D73" s="171" t="s">
        <v>179</v>
      </c>
      <c r="E73" s="171" t="s">
        <v>179</v>
      </c>
      <c r="F73" s="201">
        <f>VLOOKUP(PrévisionBoris[[#This Row],[Spec]],TabModelSpecs[[ModelSpec]:[Price]],2,FALSE)</f>
        <v>18</v>
      </c>
      <c r="G73" s="171" t="s">
        <v>463</v>
      </c>
      <c r="H73" s="226">
        <f>SUMIFS(LstMachines[Nbre],LstMachines[Model-Spec],PrévisionBoris[[#This Row],[Spec]],LstMachines[Status],PrévisionBoris[[#This Row],[Status]],LstMachines[MoisLivr],H$1)</f>
        <v>0</v>
      </c>
      <c r="I73" s="227">
        <f>SUMIFS(LstMachines[Nbre],LstMachines[Model-Spec],PrévisionBoris[[#This Row],[Spec]],LstMachines[Status],PrévisionBoris[[#This Row],[Status]],LstMachines[MoisLivr],I$1)</f>
        <v>0</v>
      </c>
      <c r="J73" s="228">
        <f>SUMIFS(LstMachines[Nbre],LstMachines[Model-Spec],PrévisionBoris[[#This Row],[Spec]],LstMachines[Status],PrévisionBoris[[#This Row],[Status]],LstMachines[MoisLivr],J$1)</f>
        <v>0</v>
      </c>
      <c r="K73" s="226">
        <f>SUMIFS(LstMachines[Nbre],LstMachines[Model-Spec],PrévisionBoris[[#This Row],[Spec]],LstMachines[Status],PrévisionBoris[[#This Row],[Status]],LstMachines[MoisLivr],K$1)</f>
        <v>0</v>
      </c>
      <c r="L73" s="227">
        <f>SUMIFS(LstMachines[Nbre],LstMachines[Model-Spec],PrévisionBoris[[#This Row],[Spec]],LstMachines[Status],PrévisionBoris[[#This Row],[Status]],LstMachines[MoisLivr],L$1)</f>
        <v>0</v>
      </c>
      <c r="M73" s="228">
        <f>SUMIFS(LstMachines[Nbre],LstMachines[Model-Spec],PrévisionBoris[[#This Row],[Spec]],LstMachines[Status],PrévisionBoris[[#This Row],[Status]],LstMachines[MoisLivr],M$1)</f>
        <v>0</v>
      </c>
      <c r="N73" s="226">
        <f>SUMIFS(LstMachines[Nbre],LstMachines[Model-Spec],PrévisionBoris[[#This Row],[Spec]],LstMachines[Status],PrévisionBoris[[#This Row],[Status]],LstMachines[MoisLivr],N$1)</f>
        <v>0</v>
      </c>
      <c r="O73" s="227">
        <f>SUMIFS(LstMachines[Nbre],LstMachines[Model-Spec],PrévisionBoris[[#This Row],[Spec]],LstMachines[Status],PrévisionBoris[[#This Row],[Status]],LstMachines[MoisLivr],O$1)</f>
        <v>0</v>
      </c>
      <c r="P73" s="228">
        <f>SUMIFS(LstMachines[Nbre],LstMachines[Model-Spec],PrévisionBoris[[#This Row],[Spec]],LstMachines[Status],PrévisionBoris[[#This Row],[Status]],LstMachines[MoisLivr],P$1)</f>
        <v>0</v>
      </c>
      <c r="Q73" s="229">
        <f>SUMIFS(LstMachines[Nbre],LstMachines[Model-Spec],PrévisionBoris[[#This Row],[Spec]],LstMachines[Status],PrévisionBoris[[#This Row],[Status]],LstMachines[MoisLivr],Q$1)</f>
        <v>0</v>
      </c>
      <c r="R73" s="227">
        <f>SUMIFS(LstMachines[Nbre],LstMachines[Model-Spec],PrévisionBoris[[#This Row],[Spec]],LstMachines[Status],PrévisionBoris[[#This Row],[Status]],LstMachines[MoisLivr],R$1)</f>
        <v>0</v>
      </c>
      <c r="S73" s="227">
        <f>SUMIFS(LstMachines[Nbre],LstMachines[Model-Spec],PrévisionBoris[[#This Row],[Spec]],LstMachines[Status],PrévisionBoris[[#This Row],[Status]],LstMachines[MoisLivr],S$1)</f>
        <v>0</v>
      </c>
      <c r="T73" s="226">
        <f>SUMIFS(LstMachines[Nbre],LstMachines[Model-Spec],PrévisionBoris[[#This Row],[Spec]],LstMachines[Status],PrévisionBoris[[#This Row],[Status]],LstMachines[MoisLivr],T$1)</f>
        <v>0</v>
      </c>
      <c r="U73" s="227">
        <f>SUMIFS(LstMachines[Nbre],LstMachines[Model-Spec],PrévisionBoris[[#This Row],[Spec]],LstMachines[Status],PrévisionBoris[[#This Row],[Status]],LstMachines[MoisLivr],U$1)</f>
        <v>0</v>
      </c>
      <c r="V73" s="227">
        <f>SUMIFS(LstMachines[Nbre],LstMachines[Model-Spec],PrévisionBoris[[#This Row],[Spec]],LstMachines[Status],PrévisionBoris[[#This Row],[Status]],LstMachines[MoisLivr],V$1)</f>
        <v>0</v>
      </c>
      <c r="W73" s="226">
        <f>SUMIFS(LstMachines[Nbre],LstMachines[Model-Spec],PrévisionBoris[[#This Row],[Spec]],LstMachines[Status],PrévisionBoris[[#This Row],[Status]],LstMachines[MoisLivr],W$1)</f>
        <v>0</v>
      </c>
      <c r="X73" s="227">
        <f>SUMIFS(LstMachines[Nbre],LstMachines[Model-Spec],PrévisionBoris[[#This Row],[Spec]],LstMachines[Status],PrévisionBoris[[#This Row],[Status]],LstMachines[MoisLivr],X$1)</f>
        <v>0</v>
      </c>
      <c r="Y73" s="227">
        <f>SUMIFS(LstMachines[Nbre],LstMachines[Model-Spec],PrévisionBoris[[#This Row],[Spec]],LstMachines[Status],PrévisionBoris[[#This Row],[Status]],LstMachines[MoisLivr],Y$1)</f>
        <v>0</v>
      </c>
      <c r="Z73" s="226">
        <f>SUMIFS(LstMachines[Nbre],LstMachines[Model-Spec],PrévisionBoris[[#This Row],[Spec]],LstMachines[Status],PrévisionBoris[[#This Row],[Status]],LstMachines[MoisLivr],Z$1)</f>
        <v>0</v>
      </c>
      <c r="AA73" s="227">
        <f>SUMIFS(LstMachines[Nbre],LstMachines[Model-Spec],PrévisionBoris[[#This Row],[Spec]],LstMachines[Status],PrévisionBoris[[#This Row],[Status]],LstMachines[MoisLivr],AA$1)</f>
        <v>0</v>
      </c>
      <c r="AB73" s="227">
        <f>SUMIFS(LstMachines[Nbre],LstMachines[Model-Spec],PrévisionBoris[[#This Row],[Spec]],LstMachines[Status],PrévisionBoris[[#This Row],[Status]],LstMachines[MoisLivr],AB$1)</f>
        <v>0</v>
      </c>
      <c r="AC73" s="226">
        <f>SUMIFS(LstMachines[Nbre],LstMachines[Model-Spec],PrévisionBoris[[#This Row],[Spec]],LstMachines[Status],PrévisionBoris[[#This Row],[Status]],LstMachines[MoisLivr],AC$1)</f>
        <v>0</v>
      </c>
      <c r="AD73" s="227">
        <f>SUMIFS(LstMachines[Nbre],LstMachines[Model-Spec],PrévisionBoris[[#This Row],[Spec]],LstMachines[Status],PrévisionBoris[[#This Row],[Status]],LstMachines[MoisLivr],AD$1)</f>
        <v>0</v>
      </c>
      <c r="AE73" s="227">
        <f>SUMIFS(LstMachines[Nbre],LstMachines[Model-Spec],PrévisionBoris[[#This Row],[Spec]],LstMachines[Status],PrévisionBoris[[#This Row],[Status]],LstMachines[MoisLivr],AE$1)</f>
        <v>0</v>
      </c>
      <c r="AF73" s="226">
        <f>SUMIFS(LstMachines[Nbre],LstMachines[Model-Spec],PrévisionBoris[[#This Row],[Spec]],LstMachines[Status],PrévisionBoris[[#This Row],[Status]],LstMachines[MoisLivr],AF$1)</f>
        <v>0</v>
      </c>
      <c r="AG73" s="227">
        <f>SUMIFS(LstMachines[Nbre],LstMachines[Model-Spec],PrévisionBoris[[#This Row],[Spec]],LstMachines[Status],PrévisionBoris[[#This Row],[Status]],LstMachines[MoisLivr],AG$1)</f>
        <v>0</v>
      </c>
      <c r="AH73" s="227">
        <f>SUMIFS(LstMachines[Nbre],LstMachines[Model-Spec],PrévisionBoris[[#This Row],[Spec]],LstMachines[Status],PrévisionBoris[[#This Row],[Status]],LstMachines[MoisLivr],AH$1)</f>
        <v>0</v>
      </c>
      <c r="AI73" s="226">
        <f>SUMIFS(LstMachines[Nbre],LstMachines[Model-Spec],PrévisionBoris[[#This Row],[Spec]],LstMachines[Status],PrévisionBoris[[#This Row],[Status]],LstMachines[MoisLivr],AI$1)</f>
        <v>0</v>
      </c>
      <c r="AJ73" s="227">
        <f>SUMIFS(LstMachines[Nbre],LstMachines[Model-Spec],PrévisionBoris[[#This Row],[Spec]],LstMachines[Status],PrévisionBoris[[#This Row],[Status]],LstMachines[MoisLivr],AJ$1)</f>
        <v>0</v>
      </c>
      <c r="AK73" s="227">
        <f>SUMIFS(LstMachines[Nbre],LstMachines[Model-Spec],PrévisionBoris[[#This Row],[Spec]],LstMachines[Status],PrévisionBoris[[#This Row],[Status]],LstMachines[MoisLivr],AK$1)</f>
        <v>0</v>
      </c>
      <c r="AL73" s="226">
        <f>SUMIFS(LstMachines[Nbre],LstMachines[Model-Spec],PrévisionBoris[[#This Row],[Spec]],LstMachines[Status],PrévisionBoris[[#This Row],[Status]],LstMachines[MoisLivr],AL$1)</f>
        <v>0</v>
      </c>
      <c r="AM73" s="227">
        <f>SUMIFS(LstMachines[Nbre],LstMachines[Model-Spec],PrévisionBoris[[#This Row],[Spec]],LstMachines[Status],PrévisionBoris[[#This Row],[Status]],LstMachines[MoisLivr],AM$1)</f>
        <v>0</v>
      </c>
      <c r="AN73" s="227">
        <f>SUMIFS(LstMachines[Nbre],LstMachines[Model-Spec],PrévisionBoris[[#This Row],[Spec]],LstMachines[Status],PrévisionBoris[[#This Row],[Status]],LstMachines[MoisLivr],AN$1)</f>
        <v>0</v>
      </c>
      <c r="AO73" s="226">
        <f>SUMIFS(LstMachines[Nbre],LstMachines[Model-Spec],PrévisionBoris[[#This Row],[Spec]],LstMachines[Status],PrévisionBoris[[#This Row],[Status]],LstMachines[MoisLivr],AO$1)</f>
        <v>0</v>
      </c>
      <c r="AP73" s="227">
        <f>SUMIFS(LstMachines[Nbre],LstMachines[Model-Spec],PrévisionBoris[[#This Row],[Spec]],LstMachines[Status],PrévisionBoris[[#This Row],[Status]],LstMachines[MoisLivr],AP$1)</f>
        <v>0</v>
      </c>
      <c r="AQ73" s="227">
        <f>SUMIFS(LstMachines[Nbre],LstMachines[Model-Spec],PrévisionBoris[[#This Row],[Spec]],LstMachines[Status],PrévisionBoris[[#This Row],[Status]],LstMachines[MoisLivr],AQ$1)</f>
        <v>0</v>
      </c>
      <c r="AR73" s="226">
        <f>SUMIFS(LstMachines[Nbre],LstMachines[Model-Spec],PrévisionBoris[[#This Row],[Spec]],LstMachines[Status],PrévisionBoris[[#This Row],[Status]],LstMachines[MoisLivr],AR$1)</f>
        <v>0</v>
      </c>
      <c r="AS73" s="227">
        <f>SUMIFS(LstMachines[Nbre],LstMachines[Model-Spec],PrévisionBoris[[#This Row],[Spec]],LstMachines[Status],PrévisionBoris[[#This Row],[Status]],LstMachines[MoisLivr],AS$1)</f>
        <v>0</v>
      </c>
      <c r="AT73" s="227">
        <f>SUMIFS(LstMachines[Nbre],LstMachines[Model-Spec],PrévisionBoris[[#This Row],[Spec]],LstMachines[Status],PrévisionBoris[[#This Row],[Status]],LstMachines[MoisLivr],AT$1)</f>
        <v>0</v>
      </c>
      <c r="AU73" s="226">
        <f>SUMIFS(LstMachines[Nbre],LstMachines[Model-Spec],PrévisionBoris[[#This Row],[Spec]],LstMachines[Status],PrévisionBoris[[#This Row],[Status]],LstMachines[MoisLivr],AU$1)</f>
        <v>0</v>
      </c>
      <c r="AV73" s="230">
        <f>SUMIFS(LstMachines[Nbre],LstMachines[Model-Spec],PrévisionBoris[[#This Row],[Spec]],LstMachines[Status],PrévisionBoris[[#This Row],[Status]],LstMachines[MoisLivr],AV$1)</f>
        <v>0</v>
      </c>
      <c r="AW73" s="231">
        <f>SUMIFS(LstMachines[Nbre],LstMachines[Model-Spec],PrévisionBoris[[#This Row],[Spec]],LstMachines[Status],PrévisionBoris[[#This Row],[Status]],LstMachines[MoisLivr],AW$1)</f>
        <v>0</v>
      </c>
      <c r="AX73" s="232"/>
      <c r="AY73" s="211">
        <f t="shared" si="19"/>
        <v>0</v>
      </c>
      <c r="AZ73" s="212">
        <f t="shared" si="20"/>
        <v>0</v>
      </c>
      <c r="BA73" s="212">
        <f t="shared" si="21"/>
        <v>0</v>
      </c>
      <c r="BB73" s="213">
        <f t="shared" si="22"/>
        <v>0</v>
      </c>
      <c r="BC73" s="225">
        <f t="shared" si="23"/>
        <v>0</v>
      </c>
      <c r="BD73" s="211">
        <f t="shared" si="24"/>
        <v>0</v>
      </c>
      <c r="BE73" s="212">
        <f t="shared" si="25"/>
        <v>0</v>
      </c>
      <c r="BF73" s="212">
        <f t="shared" si="26"/>
        <v>0</v>
      </c>
      <c r="BG73" s="213">
        <f t="shared" si="27"/>
        <v>0</v>
      </c>
      <c r="BH73" s="225">
        <f t="shared" si="28"/>
        <v>0</v>
      </c>
      <c r="BI73" s="214">
        <f t="shared" si="29"/>
        <v>0</v>
      </c>
      <c r="BJ73" s="215">
        <f t="shared" si="30"/>
        <v>0</v>
      </c>
      <c r="BK73" s="215">
        <f t="shared" si="31"/>
        <v>0</v>
      </c>
      <c r="BL73" s="216">
        <f t="shared" si="32"/>
        <v>0</v>
      </c>
      <c r="BM73" s="225">
        <f t="shared" si="33"/>
        <v>0</v>
      </c>
      <c r="BN73" s="225"/>
      <c r="BO73" s="217"/>
      <c r="BP73" s="218">
        <f t="shared" si="34"/>
        <v>0</v>
      </c>
    </row>
    <row r="74" spans="1:68">
      <c r="A74" s="172">
        <v>67</v>
      </c>
      <c r="B74" s="172" t="s">
        <v>75</v>
      </c>
      <c r="C74" s="202">
        <v>19</v>
      </c>
      <c r="D74" s="172" t="s">
        <v>180</v>
      </c>
      <c r="E74" s="172" t="s">
        <v>180</v>
      </c>
      <c r="F74" s="202">
        <f>VLOOKUP(PrévisionBoris[[#This Row],[Spec]],TabModelSpecs[[ModelSpec]:[Price]],2,FALSE)</f>
        <v>18</v>
      </c>
      <c r="G74" s="172" t="s">
        <v>461</v>
      </c>
      <c r="H74" s="206">
        <f>SUMIFS(LstMachines[Nbre],LstMachines[Model-Spec],PrévisionBoris[[#This Row],[Spec]],LstMachines[Status],PrévisionBoris[[#This Row],[Status]],LstMachines[MoisLivr],H$1)</f>
        <v>0</v>
      </c>
      <c r="I74" s="207">
        <f>SUMIFS(LstMachines[Nbre],LstMachines[Model-Spec],PrévisionBoris[[#This Row],[Spec]],LstMachines[Status],PrévisionBoris[[#This Row],[Status]],LstMachines[MoisLivr],I$1)</f>
        <v>0</v>
      </c>
      <c r="J74" s="208">
        <f>SUMIFS(LstMachines[Nbre],LstMachines[Model-Spec],PrévisionBoris[[#This Row],[Spec]],LstMachines[Status],PrévisionBoris[[#This Row],[Status]],LstMachines[MoisLivr],J$1)</f>
        <v>0</v>
      </c>
      <c r="K74" s="206">
        <f>SUMIFS(LstMachines[Nbre],LstMachines[Model-Spec],PrévisionBoris[[#This Row],[Spec]],LstMachines[Status],PrévisionBoris[[#This Row],[Status]],LstMachines[MoisLivr],K$1)</f>
        <v>0</v>
      </c>
      <c r="L74" s="207">
        <f>SUMIFS(LstMachines[Nbre],LstMachines[Model-Spec],PrévisionBoris[[#This Row],[Spec]],LstMachines[Status],PrévisionBoris[[#This Row],[Status]],LstMachines[MoisLivr],L$1)</f>
        <v>0</v>
      </c>
      <c r="M74" s="208">
        <f>SUMIFS(LstMachines[Nbre],LstMachines[Model-Spec],PrévisionBoris[[#This Row],[Spec]],LstMachines[Status],PrévisionBoris[[#This Row],[Status]],LstMachines[MoisLivr],M$1)</f>
        <v>1</v>
      </c>
      <c r="N74" s="206">
        <f>SUMIFS(LstMachines[Nbre],LstMachines[Model-Spec],PrévisionBoris[[#This Row],[Spec]],LstMachines[Status],PrévisionBoris[[#This Row],[Status]],LstMachines[MoisLivr],N$1)</f>
        <v>0</v>
      </c>
      <c r="O74" s="207">
        <f>SUMIFS(LstMachines[Nbre],LstMachines[Model-Spec],PrévisionBoris[[#This Row],[Spec]],LstMachines[Status],PrévisionBoris[[#This Row],[Status]],LstMachines[MoisLivr],O$1)</f>
        <v>1</v>
      </c>
      <c r="P74" s="208">
        <f>SUMIFS(LstMachines[Nbre],LstMachines[Model-Spec],PrévisionBoris[[#This Row],[Spec]],LstMachines[Status],PrévisionBoris[[#This Row],[Status]],LstMachines[MoisLivr],P$1)</f>
        <v>0</v>
      </c>
      <c r="Q74" s="209">
        <f>SUMIFS(LstMachines[Nbre],LstMachines[Model-Spec],PrévisionBoris[[#This Row],[Spec]],LstMachines[Status],PrévisionBoris[[#This Row],[Status]],LstMachines[MoisLivr],Q$1)</f>
        <v>0</v>
      </c>
      <c r="R74" s="207">
        <f>SUMIFS(LstMachines[Nbre],LstMachines[Model-Spec],PrévisionBoris[[#This Row],[Spec]],LstMachines[Status],PrévisionBoris[[#This Row],[Status]],LstMachines[MoisLivr],R$1)</f>
        <v>0</v>
      </c>
      <c r="S74" s="207">
        <f>SUMIFS(LstMachines[Nbre],LstMachines[Model-Spec],PrévisionBoris[[#This Row],[Spec]],LstMachines[Status],PrévisionBoris[[#This Row],[Status]],LstMachines[MoisLivr],S$1)</f>
        <v>1</v>
      </c>
      <c r="T74" s="206">
        <f>SUMIFS(LstMachines[Nbre],LstMachines[Model-Spec],PrévisionBoris[[#This Row],[Spec]],LstMachines[Status],PrévisionBoris[[#This Row],[Status]],LstMachines[MoisLivr],T$1)</f>
        <v>0</v>
      </c>
      <c r="U74" s="207">
        <f>SUMIFS(LstMachines[Nbre],LstMachines[Model-Spec],PrévisionBoris[[#This Row],[Spec]],LstMachines[Status],PrévisionBoris[[#This Row],[Status]],LstMachines[MoisLivr],U$1)</f>
        <v>0</v>
      </c>
      <c r="V74" s="207">
        <f>SUMIFS(LstMachines[Nbre],LstMachines[Model-Spec],PrévisionBoris[[#This Row],[Spec]],LstMachines[Status],PrévisionBoris[[#This Row],[Status]],LstMachines[MoisLivr],V$1)</f>
        <v>0</v>
      </c>
      <c r="W74" s="206">
        <f>SUMIFS(LstMachines[Nbre],LstMachines[Model-Spec],PrévisionBoris[[#This Row],[Spec]],LstMachines[Status],PrévisionBoris[[#This Row],[Status]],LstMachines[MoisLivr],W$1)</f>
        <v>0</v>
      </c>
      <c r="X74" s="207">
        <f>SUMIFS(LstMachines[Nbre],LstMachines[Model-Spec],PrévisionBoris[[#This Row],[Spec]],LstMachines[Status],PrévisionBoris[[#This Row],[Status]],LstMachines[MoisLivr],X$1)</f>
        <v>0</v>
      </c>
      <c r="Y74" s="207">
        <f>SUMIFS(LstMachines[Nbre],LstMachines[Model-Spec],PrévisionBoris[[#This Row],[Spec]],LstMachines[Status],PrévisionBoris[[#This Row],[Status]],LstMachines[MoisLivr],Y$1)</f>
        <v>0</v>
      </c>
      <c r="Z74" s="206">
        <f>SUMIFS(LstMachines[Nbre],LstMachines[Model-Spec],PrévisionBoris[[#This Row],[Spec]],LstMachines[Status],PrévisionBoris[[#This Row],[Status]],LstMachines[MoisLivr],Z$1)</f>
        <v>0</v>
      </c>
      <c r="AA74" s="207">
        <f>SUMIFS(LstMachines[Nbre],LstMachines[Model-Spec],PrévisionBoris[[#This Row],[Spec]],LstMachines[Status],PrévisionBoris[[#This Row],[Status]],LstMachines[MoisLivr],AA$1)</f>
        <v>0</v>
      </c>
      <c r="AB74" s="207">
        <f>SUMIFS(LstMachines[Nbre],LstMachines[Model-Spec],PrévisionBoris[[#This Row],[Spec]],LstMachines[Status],PrévisionBoris[[#This Row],[Status]],LstMachines[MoisLivr],AB$1)</f>
        <v>0</v>
      </c>
      <c r="AC74" s="206">
        <f>SUMIFS(LstMachines[Nbre],LstMachines[Model-Spec],PrévisionBoris[[#This Row],[Spec]],LstMachines[Status],PrévisionBoris[[#This Row],[Status]],LstMachines[MoisLivr],AC$1)</f>
        <v>0</v>
      </c>
      <c r="AD74" s="207">
        <f>SUMIFS(LstMachines[Nbre],LstMachines[Model-Spec],PrévisionBoris[[#This Row],[Spec]],LstMachines[Status],PrévisionBoris[[#This Row],[Status]],LstMachines[MoisLivr],AD$1)</f>
        <v>0</v>
      </c>
      <c r="AE74" s="207">
        <f>SUMIFS(LstMachines[Nbre],LstMachines[Model-Spec],PrévisionBoris[[#This Row],[Spec]],LstMachines[Status],PrévisionBoris[[#This Row],[Status]],LstMachines[MoisLivr],AE$1)</f>
        <v>0</v>
      </c>
      <c r="AF74" s="206">
        <f>SUMIFS(LstMachines[Nbre],LstMachines[Model-Spec],PrévisionBoris[[#This Row],[Spec]],LstMachines[Status],PrévisionBoris[[#This Row],[Status]],LstMachines[MoisLivr],AF$1)</f>
        <v>0</v>
      </c>
      <c r="AG74" s="207">
        <f>SUMIFS(LstMachines[Nbre],LstMachines[Model-Spec],PrévisionBoris[[#This Row],[Spec]],LstMachines[Status],PrévisionBoris[[#This Row],[Status]],LstMachines[MoisLivr],AG$1)</f>
        <v>0</v>
      </c>
      <c r="AH74" s="207">
        <f>SUMIFS(LstMachines[Nbre],LstMachines[Model-Spec],PrévisionBoris[[#This Row],[Spec]],LstMachines[Status],PrévisionBoris[[#This Row],[Status]],LstMachines[MoisLivr],AH$1)</f>
        <v>0</v>
      </c>
      <c r="AI74" s="206">
        <f>SUMIFS(LstMachines[Nbre],LstMachines[Model-Spec],PrévisionBoris[[#This Row],[Spec]],LstMachines[Status],PrévisionBoris[[#This Row],[Status]],LstMachines[MoisLivr],AI$1)</f>
        <v>0</v>
      </c>
      <c r="AJ74" s="207">
        <f>SUMIFS(LstMachines[Nbre],LstMachines[Model-Spec],PrévisionBoris[[#This Row],[Spec]],LstMachines[Status],PrévisionBoris[[#This Row],[Status]],LstMachines[MoisLivr],AJ$1)</f>
        <v>0</v>
      </c>
      <c r="AK74" s="207">
        <f>SUMIFS(LstMachines[Nbre],LstMachines[Model-Spec],PrévisionBoris[[#This Row],[Spec]],LstMachines[Status],PrévisionBoris[[#This Row],[Status]],LstMachines[MoisLivr],AK$1)</f>
        <v>0</v>
      </c>
      <c r="AL74" s="206">
        <f>SUMIFS(LstMachines[Nbre],LstMachines[Model-Spec],PrévisionBoris[[#This Row],[Spec]],LstMachines[Status],PrévisionBoris[[#This Row],[Status]],LstMachines[MoisLivr],AL$1)</f>
        <v>0</v>
      </c>
      <c r="AM74" s="207">
        <f>SUMIFS(LstMachines[Nbre],LstMachines[Model-Spec],PrévisionBoris[[#This Row],[Spec]],LstMachines[Status],PrévisionBoris[[#This Row],[Status]],LstMachines[MoisLivr],AM$1)</f>
        <v>0</v>
      </c>
      <c r="AN74" s="207">
        <f>SUMIFS(LstMachines[Nbre],LstMachines[Model-Spec],PrévisionBoris[[#This Row],[Spec]],LstMachines[Status],PrévisionBoris[[#This Row],[Status]],LstMachines[MoisLivr],AN$1)</f>
        <v>0</v>
      </c>
      <c r="AO74" s="206">
        <f>SUMIFS(LstMachines[Nbre],LstMachines[Model-Spec],PrévisionBoris[[#This Row],[Spec]],LstMachines[Status],PrévisionBoris[[#This Row],[Status]],LstMachines[MoisLivr],AO$1)</f>
        <v>0</v>
      </c>
      <c r="AP74" s="207">
        <f>SUMIFS(LstMachines[Nbre],LstMachines[Model-Spec],PrévisionBoris[[#This Row],[Spec]],LstMachines[Status],PrévisionBoris[[#This Row],[Status]],LstMachines[MoisLivr],AP$1)</f>
        <v>0</v>
      </c>
      <c r="AQ74" s="207">
        <f>SUMIFS(LstMachines[Nbre],LstMachines[Model-Spec],PrévisionBoris[[#This Row],[Spec]],LstMachines[Status],PrévisionBoris[[#This Row],[Status]],LstMachines[MoisLivr],AQ$1)</f>
        <v>0</v>
      </c>
      <c r="AR74" s="206">
        <f>SUMIFS(LstMachines[Nbre],LstMachines[Model-Spec],PrévisionBoris[[#This Row],[Spec]],LstMachines[Status],PrévisionBoris[[#This Row],[Status]],LstMachines[MoisLivr],AR$1)</f>
        <v>0</v>
      </c>
      <c r="AS74" s="207">
        <f>SUMIFS(LstMachines[Nbre],LstMachines[Model-Spec],PrévisionBoris[[#This Row],[Spec]],LstMachines[Status],PrévisionBoris[[#This Row],[Status]],LstMachines[MoisLivr],AS$1)</f>
        <v>0</v>
      </c>
      <c r="AT74" s="207">
        <f>SUMIFS(LstMachines[Nbre],LstMachines[Model-Spec],PrévisionBoris[[#This Row],[Spec]],LstMachines[Status],PrévisionBoris[[#This Row],[Status]],LstMachines[MoisLivr],AT$1)</f>
        <v>0</v>
      </c>
      <c r="AU74" s="206">
        <f>SUMIFS(LstMachines[Nbre],LstMachines[Model-Spec],PrévisionBoris[[#This Row],[Spec]],LstMachines[Status],PrévisionBoris[[#This Row],[Status]],LstMachines[MoisLivr],AU$1)</f>
        <v>0</v>
      </c>
      <c r="AV74" s="233">
        <f>SUMIFS(LstMachines[Nbre],LstMachines[Model-Spec],PrévisionBoris[[#This Row],[Spec]],LstMachines[Status],PrévisionBoris[[#This Row],[Status]],LstMachines[MoisLivr],AV$1)</f>
        <v>0</v>
      </c>
      <c r="AW74" s="208">
        <f>SUMIFS(LstMachines[Nbre],LstMachines[Model-Spec],PrévisionBoris[[#This Row],[Spec]],LstMachines[Status],PrévisionBoris[[#This Row],[Status]],LstMachines[MoisLivr],AW$1)</f>
        <v>0</v>
      </c>
      <c r="AX74" s="225"/>
      <c r="AY74" s="211">
        <f t="shared" si="19"/>
        <v>1</v>
      </c>
      <c r="AZ74" s="212">
        <f t="shared" si="20"/>
        <v>1</v>
      </c>
      <c r="BA74" s="212">
        <f t="shared" si="21"/>
        <v>1</v>
      </c>
      <c r="BB74" s="213">
        <f t="shared" si="22"/>
        <v>0</v>
      </c>
      <c r="BC74" s="225">
        <f t="shared" si="23"/>
        <v>3</v>
      </c>
      <c r="BD74" s="211">
        <f t="shared" si="24"/>
        <v>0</v>
      </c>
      <c r="BE74" s="212">
        <f t="shared" si="25"/>
        <v>0</v>
      </c>
      <c r="BF74" s="212">
        <f t="shared" si="26"/>
        <v>0</v>
      </c>
      <c r="BG74" s="213">
        <f t="shared" si="27"/>
        <v>0</v>
      </c>
      <c r="BH74" s="225">
        <f t="shared" si="28"/>
        <v>0</v>
      </c>
      <c r="BI74" s="214">
        <f t="shared" si="29"/>
        <v>0</v>
      </c>
      <c r="BJ74" s="215">
        <f t="shared" si="30"/>
        <v>0</v>
      </c>
      <c r="BK74" s="215">
        <f t="shared" si="31"/>
        <v>0</v>
      </c>
      <c r="BL74" s="216">
        <f t="shared" si="32"/>
        <v>0</v>
      </c>
      <c r="BM74" s="225">
        <f t="shared" si="33"/>
        <v>0</v>
      </c>
      <c r="BN74" s="225"/>
      <c r="BO74" s="234"/>
      <c r="BP74" s="218">
        <f t="shared" si="34"/>
        <v>3</v>
      </c>
    </row>
    <row r="75" spans="1:68">
      <c r="A75" s="170">
        <v>68</v>
      </c>
      <c r="B75" s="170" t="s">
        <v>75</v>
      </c>
      <c r="C75" s="200">
        <v>19</v>
      </c>
      <c r="D75" s="170" t="s">
        <v>180</v>
      </c>
      <c r="E75" s="170" t="s">
        <v>180</v>
      </c>
      <c r="F75" s="200">
        <f>VLOOKUP(PrévisionBoris[[#This Row],[Spec]],TabModelSpecs[[ModelSpec]:[Price]],2,FALSE)</f>
        <v>18</v>
      </c>
      <c r="G75" s="170" t="s">
        <v>462</v>
      </c>
      <c r="H75" s="219">
        <f>SUMIFS(LstMachines[Nbre],LstMachines[Model-Spec],PrévisionBoris[[#This Row],[Spec]],LstMachines[Status],PrévisionBoris[[#This Row],[Status]],LstMachines[MoisLivr],H$1)</f>
        <v>0</v>
      </c>
      <c r="I75" s="220">
        <f>SUMIFS(LstMachines[Nbre],LstMachines[Model-Spec],PrévisionBoris[[#This Row],[Spec]],LstMachines[Status],PrévisionBoris[[#This Row],[Status]],LstMachines[MoisLivr],I$1)</f>
        <v>0</v>
      </c>
      <c r="J75" s="221">
        <f>SUMIFS(LstMachines[Nbre],LstMachines[Model-Spec],PrévisionBoris[[#This Row],[Spec]],LstMachines[Status],PrévisionBoris[[#This Row],[Status]],LstMachines[MoisLivr],J$1)</f>
        <v>0</v>
      </c>
      <c r="K75" s="219">
        <f>SUMIFS(LstMachines[Nbre],LstMachines[Model-Spec],PrévisionBoris[[#This Row],[Spec]],LstMachines[Status],PrévisionBoris[[#This Row],[Status]],LstMachines[MoisLivr],K$1)</f>
        <v>0</v>
      </c>
      <c r="L75" s="220">
        <f>SUMIFS(LstMachines[Nbre],LstMachines[Model-Spec],PrévisionBoris[[#This Row],[Spec]],LstMachines[Status],PrévisionBoris[[#This Row],[Status]],LstMachines[MoisLivr],L$1)</f>
        <v>0</v>
      </c>
      <c r="M75" s="221">
        <f>SUMIFS(LstMachines[Nbre],LstMachines[Model-Spec],PrévisionBoris[[#This Row],[Spec]],LstMachines[Status],PrévisionBoris[[#This Row],[Status]],LstMachines[MoisLivr],M$1)</f>
        <v>0</v>
      </c>
      <c r="N75" s="219">
        <f>SUMIFS(LstMachines[Nbre],LstMachines[Model-Spec],PrévisionBoris[[#This Row],[Spec]],LstMachines[Status],PrévisionBoris[[#This Row],[Status]],LstMachines[MoisLivr],N$1)</f>
        <v>0</v>
      </c>
      <c r="O75" s="220">
        <f>SUMIFS(LstMachines[Nbre],LstMachines[Model-Spec],PrévisionBoris[[#This Row],[Spec]],LstMachines[Status],PrévisionBoris[[#This Row],[Status]],LstMachines[MoisLivr],O$1)</f>
        <v>0</v>
      </c>
      <c r="P75" s="221">
        <f>SUMIFS(LstMachines[Nbre],LstMachines[Model-Spec],PrévisionBoris[[#This Row],[Spec]],LstMachines[Status],PrévisionBoris[[#This Row],[Status]],LstMachines[MoisLivr],P$1)</f>
        <v>0</v>
      </c>
      <c r="Q75" s="222">
        <f>SUMIFS(LstMachines[Nbre],LstMachines[Model-Spec],PrévisionBoris[[#This Row],[Spec]],LstMachines[Status],PrévisionBoris[[#This Row],[Status]],LstMachines[MoisLivr],Q$1)</f>
        <v>0</v>
      </c>
      <c r="R75" s="220">
        <f>SUMIFS(LstMachines[Nbre],LstMachines[Model-Spec],PrévisionBoris[[#This Row],[Spec]],LstMachines[Status],PrévisionBoris[[#This Row],[Status]],LstMachines[MoisLivr],R$1)</f>
        <v>0</v>
      </c>
      <c r="S75" s="220">
        <f>SUMIFS(LstMachines[Nbre],LstMachines[Model-Spec],PrévisionBoris[[#This Row],[Spec]],LstMachines[Status],PrévisionBoris[[#This Row],[Status]],LstMachines[MoisLivr],S$1)</f>
        <v>0</v>
      </c>
      <c r="T75" s="219">
        <f>SUMIFS(LstMachines[Nbre],LstMachines[Model-Spec],PrévisionBoris[[#This Row],[Spec]],LstMachines[Status],PrévisionBoris[[#This Row],[Status]],LstMachines[MoisLivr],T$1)</f>
        <v>0</v>
      </c>
      <c r="U75" s="220">
        <f>SUMIFS(LstMachines[Nbre],LstMachines[Model-Spec],PrévisionBoris[[#This Row],[Spec]],LstMachines[Status],PrévisionBoris[[#This Row],[Status]],LstMachines[MoisLivr],U$1)</f>
        <v>0</v>
      </c>
      <c r="V75" s="220">
        <f>SUMIFS(LstMachines[Nbre],LstMachines[Model-Spec],PrévisionBoris[[#This Row],[Spec]],LstMachines[Status],PrévisionBoris[[#This Row],[Status]],LstMachines[MoisLivr],V$1)</f>
        <v>0</v>
      </c>
      <c r="W75" s="219">
        <f>SUMIFS(LstMachines[Nbre],LstMachines[Model-Spec],PrévisionBoris[[#This Row],[Spec]],LstMachines[Status],PrévisionBoris[[#This Row],[Status]],LstMachines[MoisLivr],W$1)</f>
        <v>0</v>
      </c>
      <c r="X75" s="220">
        <f>SUMIFS(LstMachines[Nbre],LstMachines[Model-Spec],PrévisionBoris[[#This Row],[Spec]],LstMachines[Status],PrévisionBoris[[#This Row],[Status]],LstMachines[MoisLivr],X$1)</f>
        <v>0</v>
      </c>
      <c r="Y75" s="220">
        <f>SUMIFS(LstMachines[Nbre],LstMachines[Model-Spec],PrévisionBoris[[#This Row],[Spec]],LstMachines[Status],PrévisionBoris[[#This Row],[Status]],LstMachines[MoisLivr],Y$1)</f>
        <v>0</v>
      </c>
      <c r="Z75" s="219">
        <f>SUMIFS(LstMachines[Nbre],LstMachines[Model-Spec],PrévisionBoris[[#This Row],[Spec]],LstMachines[Status],PrévisionBoris[[#This Row],[Status]],LstMachines[MoisLivr],Z$1)</f>
        <v>0</v>
      </c>
      <c r="AA75" s="220">
        <f>SUMIFS(LstMachines[Nbre],LstMachines[Model-Spec],PrévisionBoris[[#This Row],[Spec]],LstMachines[Status],PrévisionBoris[[#This Row],[Status]],LstMachines[MoisLivr],AA$1)</f>
        <v>0</v>
      </c>
      <c r="AB75" s="220">
        <f>SUMIFS(LstMachines[Nbre],LstMachines[Model-Spec],PrévisionBoris[[#This Row],[Spec]],LstMachines[Status],PrévisionBoris[[#This Row],[Status]],LstMachines[MoisLivr],AB$1)</f>
        <v>0</v>
      </c>
      <c r="AC75" s="219">
        <f>SUMIFS(LstMachines[Nbre],LstMachines[Model-Spec],PrévisionBoris[[#This Row],[Spec]],LstMachines[Status],PrévisionBoris[[#This Row],[Status]],LstMachines[MoisLivr],AC$1)</f>
        <v>0</v>
      </c>
      <c r="AD75" s="220">
        <f>SUMIFS(LstMachines[Nbre],LstMachines[Model-Spec],PrévisionBoris[[#This Row],[Spec]],LstMachines[Status],PrévisionBoris[[#This Row],[Status]],LstMachines[MoisLivr],AD$1)</f>
        <v>0</v>
      </c>
      <c r="AE75" s="220">
        <f>SUMIFS(LstMachines[Nbre],LstMachines[Model-Spec],PrévisionBoris[[#This Row],[Spec]],LstMachines[Status],PrévisionBoris[[#This Row],[Status]],LstMachines[MoisLivr],AE$1)</f>
        <v>0</v>
      </c>
      <c r="AF75" s="219">
        <f>SUMIFS(LstMachines[Nbre],LstMachines[Model-Spec],PrévisionBoris[[#This Row],[Spec]],LstMachines[Status],PrévisionBoris[[#This Row],[Status]],LstMachines[MoisLivr],AF$1)</f>
        <v>0</v>
      </c>
      <c r="AG75" s="220">
        <f>SUMIFS(LstMachines[Nbre],LstMachines[Model-Spec],PrévisionBoris[[#This Row],[Spec]],LstMachines[Status],PrévisionBoris[[#This Row],[Status]],LstMachines[MoisLivr],AG$1)</f>
        <v>0</v>
      </c>
      <c r="AH75" s="220">
        <f>SUMIFS(LstMachines[Nbre],LstMachines[Model-Spec],PrévisionBoris[[#This Row],[Spec]],LstMachines[Status],PrévisionBoris[[#This Row],[Status]],LstMachines[MoisLivr],AH$1)</f>
        <v>0</v>
      </c>
      <c r="AI75" s="219">
        <f>SUMIFS(LstMachines[Nbre],LstMachines[Model-Spec],PrévisionBoris[[#This Row],[Spec]],LstMachines[Status],PrévisionBoris[[#This Row],[Status]],LstMachines[MoisLivr],AI$1)</f>
        <v>0</v>
      </c>
      <c r="AJ75" s="220">
        <f>SUMIFS(LstMachines[Nbre],LstMachines[Model-Spec],PrévisionBoris[[#This Row],[Spec]],LstMachines[Status],PrévisionBoris[[#This Row],[Status]],LstMachines[MoisLivr],AJ$1)</f>
        <v>0</v>
      </c>
      <c r="AK75" s="220">
        <f>SUMIFS(LstMachines[Nbre],LstMachines[Model-Spec],PrévisionBoris[[#This Row],[Spec]],LstMachines[Status],PrévisionBoris[[#This Row],[Status]],LstMachines[MoisLivr],AK$1)</f>
        <v>0</v>
      </c>
      <c r="AL75" s="219">
        <f>SUMIFS(LstMachines[Nbre],LstMachines[Model-Spec],PrévisionBoris[[#This Row],[Spec]],LstMachines[Status],PrévisionBoris[[#This Row],[Status]],LstMachines[MoisLivr],AL$1)</f>
        <v>0</v>
      </c>
      <c r="AM75" s="220">
        <f>SUMIFS(LstMachines[Nbre],LstMachines[Model-Spec],PrévisionBoris[[#This Row],[Spec]],LstMachines[Status],PrévisionBoris[[#This Row],[Status]],LstMachines[MoisLivr],AM$1)</f>
        <v>0</v>
      </c>
      <c r="AN75" s="220">
        <f>SUMIFS(LstMachines[Nbre],LstMachines[Model-Spec],PrévisionBoris[[#This Row],[Spec]],LstMachines[Status],PrévisionBoris[[#This Row],[Status]],LstMachines[MoisLivr],AN$1)</f>
        <v>0</v>
      </c>
      <c r="AO75" s="219">
        <f>SUMIFS(LstMachines[Nbre],LstMachines[Model-Spec],PrévisionBoris[[#This Row],[Spec]],LstMachines[Status],PrévisionBoris[[#This Row],[Status]],LstMachines[MoisLivr],AO$1)</f>
        <v>0</v>
      </c>
      <c r="AP75" s="220">
        <f>SUMIFS(LstMachines[Nbre],LstMachines[Model-Spec],PrévisionBoris[[#This Row],[Spec]],LstMachines[Status],PrévisionBoris[[#This Row],[Status]],LstMachines[MoisLivr],AP$1)</f>
        <v>0</v>
      </c>
      <c r="AQ75" s="220">
        <f>SUMIFS(LstMachines[Nbre],LstMachines[Model-Spec],PrévisionBoris[[#This Row],[Spec]],LstMachines[Status],PrévisionBoris[[#This Row],[Status]],LstMachines[MoisLivr],AQ$1)</f>
        <v>0</v>
      </c>
      <c r="AR75" s="219">
        <f>SUMIFS(LstMachines[Nbre],LstMachines[Model-Spec],PrévisionBoris[[#This Row],[Spec]],LstMachines[Status],PrévisionBoris[[#This Row],[Status]],LstMachines[MoisLivr],AR$1)</f>
        <v>0</v>
      </c>
      <c r="AS75" s="220">
        <f>SUMIFS(LstMachines[Nbre],LstMachines[Model-Spec],PrévisionBoris[[#This Row],[Spec]],LstMachines[Status],PrévisionBoris[[#This Row],[Status]],LstMachines[MoisLivr],AS$1)</f>
        <v>0</v>
      </c>
      <c r="AT75" s="220">
        <f>SUMIFS(LstMachines[Nbre],LstMachines[Model-Spec],PrévisionBoris[[#This Row],[Spec]],LstMachines[Status],PrévisionBoris[[#This Row],[Status]],LstMachines[MoisLivr],AT$1)</f>
        <v>0</v>
      </c>
      <c r="AU75" s="219">
        <f>SUMIFS(LstMachines[Nbre],LstMachines[Model-Spec],PrévisionBoris[[#This Row],[Spec]],LstMachines[Status],PrévisionBoris[[#This Row],[Status]],LstMachines[MoisLivr],AU$1)</f>
        <v>0</v>
      </c>
      <c r="AV75" s="223">
        <f>SUMIFS(LstMachines[Nbre],LstMachines[Model-Spec],PrévisionBoris[[#This Row],[Spec]],LstMachines[Status],PrévisionBoris[[#This Row],[Status]],LstMachines[MoisLivr],AV$1)</f>
        <v>0</v>
      </c>
      <c r="AW75" s="224">
        <f>SUMIFS(LstMachines[Nbre],LstMachines[Model-Spec],PrévisionBoris[[#This Row],[Spec]],LstMachines[Status],PrévisionBoris[[#This Row],[Status]],LstMachines[MoisLivr],AW$1)</f>
        <v>0</v>
      </c>
      <c r="AX75" s="210"/>
      <c r="AY75" s="211">
        <f t="shared" si="19"/>
        <v>0</v>
      </c>
      <c r="AZ75" s="212">
        <f t="shared" si="20"/>
        <v>0</v>
      </c>
      <c r="BA75" s="212">
        <f t="shared" si="21"/>
        <v>0</v>
      </c>
      <c r="BB75" s="213">
        <f t="shared" si="22"/>
        <v>0</v>
      </c>
      <c r="BC75" s="225">
        <f t="shared" si="23"/>
        <v>0</v>
      </c>
      <c r="BD75" s="211">
        <f t="shared" si="24"/>
        <v>0</v>
      </c>
      <c r="BE75" s="212">
        <f t="shared" si="25"/>
        <v>0</v>
      </c>
      <c r="BF75" s="212">
        <f t="shared" si="26"/>
        <v>0</v>
      </c>
      <c r="BG75" s="213">
        <f t="shared" si="27"/>
        <v>0</v>
      </c>
      <c r="BH75" s="225">
        <f t="shared" si="28"/>
        <v>0</v>
      </c>
      <c r="BI75" s="214">
        <f t="shared" si="29"/>
        <v>0</v>
      </c>
      <c r="BJ75" s="215">
        <f t="shared" si="30"/>
        <v>0</v>
      </c>
      <c r="BK75" s="215">
        <f t="shared" si="31"/>
        <v>0</v>
      </c>
      <c r="BL75" s="216">
        <f t="shared" si="32"/>
        <v>0</v>
      </c>
      <c r="BM75" s="225">
        <f t="shared" si="33"/>
        <v>0</v>
      </c>
      <c r="BN75" s="225"/>
      <c r="BO75" s="217"/>
      <c r="BP75" s="218">
        <f t="shared" si="34"/>
        <v>0</v>
      </c>
    </row>
    <row r="76" spans="1:68">
      <c r="A76" s="171">
        <v>69</v>
      </c>
      <c r="B76" s="171" t="s">
        <v>75</v>
      </c>
      <c r="C76" s="201">
        <v>19</v>
      </c>
      <c r="D76" s="171" t="s">
        <v>180</v>
      </c>
      <c r="E76" s="171" t="s">
        <v>180</v>
      </c>
      <c r="F76" s="201">
        <f>VLOOKUP(PrévisionBoris[[#This Row],[Spec]],TabModelSpecs[[ModelSpec]:[Price]],2,FALSE)</f>
        <v>18</v>
      </c>
      <c r="G76" s="171" t="s">
        <v>463</v>
      </c>
      <c r="H76" s="226">
        <f>SUMIFS(LstMachines[Nbre],LstMachines[Model-Spec],PrévisionBoris[[#This Row],[Spec]],LstMachines[Status],PrévisionBoris[[#This Row],[Status]],LstMachines[MoisLivr],H$1)</f>
        <v>0</v>
      </c>
      <c r="I76" s="227">
        <f>SUMIFS(LstMachines[Nbre],LstMachines[Model-Spec],PrévisionBoris[[#This Row],[Spec]],LstMachines[Status],PrévisionBoris[[#This Row],[Status]],LstMachines[MoisLivr],I$1)</f>
        <v>0</v>
      </c>
      <c r="J76" s="228">
        <f>SUMIFS(LstMachines[Nbre],LstMachines[Model-Spec],PrévisionBoris[[#This Row],[Spec]],LstMachines[Status],PrévisionBoris[[#This Row],[Status]],LstMachines[MoisLivr],J$1)</f>
        <v>0</v>
      </c>
      <c r="K76" s="226">
        <f>SUMIFS(LstMachines[Nbre],LstMachines[Model-Spec],PrévisionBoris[[#This Row],[Spec]],LstMachines[Status],PrévisionBoris[[#This Row],[Status]],LstMachines[MoisLivr],K$1)</f>
        <v>0</v>
      </c>
      <c r="L76" s="227">
        <f>SUMIFS(LstMachines[Nbre],LstMachines[Model-Spec],PrévisionBoris[[#This Row],[Spec]],LstMachines[Status],PrévisionBoris[[#This Row],[Status]],LstMachines[MoisLivr],L$1)</f>
        <v>0</v>
      </c>
      <c r="M76" s="228">
        <f>SUMIFS(LstMachines[Nbre],LstMachines[Model-Spec],PrévisionBoris[[#This Row],[Spec]],LstMachines[Status],PrévisionBoris[[#This Row],[Status]],LstMachines[MoisLivr],M$1)</f>
        <v>0</v>
      </c>
      <c r="N76" s="226">
        <f>SUMIFS(LstMachines[Nbre],LstMachines[Model-Spec],PrévisionBoris[[#This Row],[Spec]],LstMachines[Status],PrévisionBoris[[#This Row],[Status]],LstMachines[MoisLivr],N$1)</f>
        <v>0</v>
      </c>
      <c r="O76" s="227">
        <f>SUMIFS(LstMachines[Nbre],LstMachines[Model-Spec],PrévisionBoris[[#This Row],[Spec]],LstMachines[Status],PrévisionBoris[[#This Row],[Status]],LstMachines[MoisLivr],O$1)</f>
        <v>0</v>
      </c>
      <c r="P76" s="228">
        <f>SUMIFS(LstMachines[Nbre],LstMachines[Model-Spec],PrévisionBoris[[#This Row],[Spec]],LstMachines[Status],PrévisionBoris[[#This Row],[Status]],LstMachines[MoisLivr],P$1)</f>
        <v>0</v>
      </c>
      <c r="Q76" s="229">
        <f>SUMIFS(LstMachines[Nbre],LstMachines[Model-Spec],PrévisionBoris[[#This Row],[Spec]],LstMachines[Status],PrévisionBoris[[#This Row],[Status]],LstMachines[MoisLivr],Q$1)</f>
        <v>0</v>
      </c>
      <c r="R76" s="227">
        <f>SUMIFS(LstMachines[Nbre],LstMachines[Model-Spec],PrévisionBoris[[#This Row],[Spec]],LstMachines[Status],PrévisionBoris[[#This Row],[Status]],LstMachines[MoisLivr],R$1)</f>
        <v>0</v>
      </c>
      <c r="S76" s="227">
        <f>SUMIFS(LstMachines[Nbre],LstMachines[Model-Spec],PrévisionBoris[[#This Row],[Spec]],LstMachines[Status],PrévisionBoris[[#This Row],[Status]],LstMachines[MoisLivr],S$1)</f>
        <v>2</v>
      </c>
      <c r="T76" s="226">
        <f>SUMIFS(LstMachines[Nbre],LstMachines[Model-Spec],PrévisionBoris[[#This Row],[Spec]],LstMachines[Status],PrévisionBoris[[#This Row],[Status]],LstMachines[MoisLivr],T$1)</f>
        <v>0</v>
      </c>
      <c r="U76" s="227">
        <f>SUMIFS(LstMachines[Nbre],LstMachines[Model-Spec],PrévisionBoris[[#This Row],[Spec]],LstMachines[Status],PrévisionBoris[[#This Row],[Status]],LstMachines[MoisLivr],U$1)</f>
        <v>0</v>
      </c>
      <c r="V76" s="227">
        <f>SUMIFS(LstMachines[Nbre],LstMachines[Model-Spec],PrévisionBoris[[#This Row],[Spec]],LstMachines[Status],PrévisionBoris[[#This Row],[Status]],LstMachines[MoisLivr],V$1)</f>
        <v>0</v>
      </c>
      <c r="W76" s="226">
        <f>SUMIFS(LstMachines[Nbre],LstMachines[Model-Spec],PrévisionBoris[[#This Row],[Spec]],LstMachines[Status],PrévisionBoris[[#This Row],[Status]],LstMachines[MoisLivr],W$1)</f>
        <v>0</v>
      </c>
      <c r="X76" s="227">
        <f>SUMIFS(LstMachines[Nbre],LstMachines[Model-Spec],PrévisionBoris[[#This Row],[Spec]],LstMachines[Status],PrévisionBoris[[#This Row],[Status]],LstMachines[MoisLivr],X$1)</f>
        <v>0</v>
      </c>
      <c r="Y76" s="227">
        <f>SUMIFS(LstMachines[Nbre],LstMachines[Model-Spec],PrévisionBoris[[#This Row],[Spec]],LstMachines[Status],PrévisionBoris[[#This Row],[Status]],LstMachines[MoisLivr],Y$1)</f>
        <v>0</v>
      </c>
      <c r="Z76" s="226">
        <f>SUMIFS(LstMachines[Nbre],LstMachines[Model-Spec],PrévisionBoris[[#This Row],[Spec]],LstMachines[Status],PrévisionBoris[[#This Row],[Status]],LstMachines[MoisLivr],Z$1)</f>
        <v>0</v>
      </c>
      <c r="AA76" s="227">
        <f>SUMIFS(LstMachines[Nbre],LstMachines[Model-Spec],PrévisionBoris[[#This Row],[Spec]],LstMachines[Status],PrévisionBoris[[#This Row],[Status]],LstMachines[MoisLivr],AA$1)</f>
        <v>0</v>
      </c>
      <c r="AB76" s="227">
        <f>SUMIFS(LstMachines[Nbre],LstMachines[Model-Spec],PrévisionBoris[[#This Row],[Spec]],LstMachines[Status],PrévisionBoris[[#This Row],[Status]],LstMachines[MoisLivr],AB$1)</f>
        <v>0</v>
      </c>
      <c r="AC76" s="226">
        <f>SUMIFS(LstMachines[Nbre],LstMachines[Model-Spec],PrévisionBoris[[#This Row],[Spec]],LstMachines[Status],PrévisionBoris[[#This Row],[Status]],LstMachines[MoisLivr],AC$1)</f>
        <v>0</v>
      </c>
      <c r="AD76" s="227">
        <f>SUMIFS(LstMachines[Nbre],LstMachines[Model-Spec],PrévisionBoris[[#This Row],[Spec]],LstMachines[Status],PrévisionBoris[[#This Row],[Status]],LstMachines[MoisLivr],AD$1)</f>
        <v>0</v>
      </c>
      <c r="AE76" s="227">
        <f>SUMIFS(LstMachines[Nbre],LstMachines[Model-Spec],PrévisionBoris[[#This Row],[Spec]],LstMachines[Status],PrévisionBoris[[#This Row],[Status]],LstMachines[MoisLivr],AE$1)</f>
        <v>0</v>
      </c>
      <c r="AF76" s="226">
        <f>SUMIFS(LstMachines[Nbre],LstMachines[Model-Spec],PrévisionBoris[[#This Row],[Spec]],LstMachines[Status],PrévisionBoris[[#This Row],[Status]],LstMachines[MoisLivr],AF$1)</f>
        <v>0</v>
      </c>
      <c r="AG76" s="227">
        <f>SUMIFS(LstMachines[Nbre],LstMachines[Model-Spec],PrévisionBoris[[#This Row],[Spec]],LstMachines[Status],PrévisionBoris[[#This Row],[Status]],LstMachines[MoisLivr],AG$1)</f>
        <v>0</v>
      </c>
      <c r="AH76" s="227">
        <f>SUMIFS(LstMachines[Nbre],LstMachines[Model-Spec],PrévisionBoris[[#This Row],[Spec]],LstMachines[Status],PrévisionBoris[[#This Row],[Status]],LstMachines[MoisLivr],AH$1)</f>
        <v>0</v>
      </c>
      <c r="AI76" s="226">
        <f>SUMIFS(LstMachines[Nbre],LstMachines[Model-Spec],PrévisionBoris[[#This Row],[Spec]],LstMachines[Status],PrévisionBoris[[#This Row],[Status]],LstMachines[MoisLivr],AI$1)</f>
        <v>0</v>
      </c>
      <c r="AJ76" s="227">
        <f>SUMIFS(LstMachines[Nbre],LstMachines[Model-Spec],PrévisionBoris[[#This Row],[Spec]],LstMachines[Status],PrévisionBoris[[#This Row],[Status]],LstMachines[MoisLivr],AJ$1)</f>
        <v>0</v>
      </c>
      <c r="AK76" s="227">
        <f>SUMIFS(LstMachines[Nbre],LstMachines[Model-Spec],PrévisionBoris[[#This Row],[Spec]],LstMachines[Status],PrévisionBoris[[#This Row],[Status]],LstMachines[MoisLivr],AK$1)</f>
        <v>0</v>
      </c>
      <c r="AL76" s="226">
        <f>SUMIFS(LstMachines[Nbre],LstMachines[Model-Spec],PrévisionBoris[[#This Row],[Spec]],LstMachines[Status],PrévisionBoris[[#This Row],[Status]],LstMachines[MoisLivr],AL$1)</f>
        <v>0</v>
      </c>
      <c r="AM76" s="227">
        <f>SUMIFS(LstMachines[Nbre],LstMachines[Model-Spec],PrévisionBoris[[#This Row],[Spec]],LstMachines[Status],PrévisionBoris[[#This Row],[Status]],LstMachines[MoisLivr],AM$1)</f>
        <v>0</v>
      </c>
      <c r="AN76" s="227">
        <f>SUMIFS(LstMachines[Nbre],LstMachines[Model-Spec],PrévisionBoris[[#This Row],[Spec]],LstMachines[Status],PrévisionBoris[[#This Row],[Status]],LstMachines[MoisLivr],AN$1)</f>
        <v>0</v>
      </c>
      <c r="AO76" s="226">
        <f>SUMIFS(LstMachines[Nbre],LstMachines[Model-Spec],PrévisionBoris[[#This Row],[Spec]],LstMachines[Status],PrévisionBoris[[#This Row],[Status]],LstMachines[MoisLivr],AO$1)</f>
        <v>0</v>
      </c>
      <c r="AP76" s="227">
        <f>SUMIFS(LstMachines[Nbre],LstMachines[Model-Spec],PrévisionBoris[[#This Row],[Spec]],LstMachines[Status],PrévisionBoris[[#This Row],[Status]],LstMachines[MoisLivr],AP$1)</f>
        <v>0</v>
      </c>
      <c r="AQ76" s="227">
        <f>SUMIFS(LstMachines[Nbre],LstMachines[Model-Spec],PrévisionBoris[[#This Row],[Spec]],LstMachines[Status],PrévisionBoris[[#This Row],[Status]],LstMachines[MoisLivr],AQ$1)</f>
        <v>0</v>
      </c>
      <c r="AR76" s="226">
        <f>SUMIFS(LstMachines[Nbre],LstMachines[Model-Spec],PrévisionBoris[[#This Row],[Spec]],LstMachines[Status],PrévisionBoris[[#This Row],[Status]],LstMachines[MoisLivr],AR$1)</f>
        <v>0</v>
      </c>
      <c r="AS76" s="227">
        <f>SUMIFS(LstMachines[Nbre],LstMachines[Model-Spec],PrévisionBoris[[#This Row],[Spec]],LstMachines[Status],PrévisionBoris[[#This Row],[Status]],LstMachines[MoisLivr],AS$1)</f>
        <v>0</v>
      </c>
      <c r="AT76" s="227">
        <f>SUMIFS(LstMachines[Nbre],LstMachines[Model-Spec],PrévisionBoris[[#This Row],[Spec]],LstMachines[Status],PrévisionBoris[[#This Row],[Status]],LstMachines[MoisLivr],AT$1)</f>
        <v>0</v>
      </c>
      <c r="AU76" s="226">
        <f>SUMIFS(LstMachines[Nbre],LstMachines[Model-Spec],PrévisionBoris[[#This Row],[Spec]],LstMachines[Status],PrévisionBoris[[#This Row],[Status]],LstMachines[MoisLivr],AU$1)</f>
        <v>0</v>
      </c>
      <c r="AV76" s="230">
        <f>SUMIFS(LstMachines[Nbre],LstMachines[Model-Spec],PrévisionBoris[[#This Row],[Spec]],LstMachines[Status],PrévisionBoris[[#This Row],[Status]],LstMachines[MoisLivr],AV$1)</f>
        <v>0</v>
      </c>
      <c r="AW76" s="231">
        <f>SUMIFS(LstMachines[Nbre],LstMachines[Model-Spec],PrévisionBoris[[#This Row],[Spec]],LstMachines[Status],PrévisionBoris[[#This Row],[Status]],LstMachines[MoisLivr],AW$1)</f>
        <v>0</v>
      </c>
      <c r="AX76" s="232"/>
      <c r="AY76" s="211">
        <f t="shared" si="19"/>
        <v>0</v>
      </c>
      <c r="AZ76" s="212">
        <f t="shared" si="20"/>
        <v>0</v>
      </c>
      <c r="BA76" s="212">
        <f t="shared" si="21"/>
        <v>2</v>
      </c>
      <c r="BB76" s="213">
        <f t="shared" si="22"/>
        <v>0</v>
      </c>
      <c r="BC76" s="225">
        <f t="shared" si="23"/>
        <v>2</v>
      </c>
      <c r="BD76" s="211">
        <f t="shared" si="24"/>
        <v>0</v>
      </c>
      <c r="BE76" s="212">
        <f t="shared" si="25"/>
        <v>0</v>
      </c>
      <c r="BF76" s="212">
        <f t="shared" si="26"/>
        <v>0</v>
      </c>
      <c r="BG76" s="213">
        <f t="shared" si="27"/>
        <v>0</v>
      </c>
      <c r="BH76" s="225">
        <f t="shared" si="28"/>
        <v>0</v>
      </c>
      <c r="BI76" s="214">
        <f t="shared" si="29"/>
        <v>0</v>
      </c>
      <c r="BJ76" s="215">
        <f t="shared" si="30"/>
        <v>0</v>
      </c>
      <c r="BK76" s="215">
        <f t="shared" si="31"/>
        <v>0</v>
      </c>
      <c r="BL76" s="216">
        <f t="shared" si="32"/>
        <v>0</v>
      </c>
      <c r="BM76" s="225">
        <f t="shared" si="33"/>
        <v>0</v>
      </c>
      <c r="BN76" s="225"/>
      <c r="BO76" s="217"/>
      <c r="BP76" s="218">
        <f t="shared" si="34"/>
        <v>2</v>
      </c>
    </row>
    <row r="77" spans="1:68">
      <c r="A77" s="172">
        <v>70</v>
      </c>
      <c r="B77" s="172" t="s">
        <v>75</v>
      </c>
      <c r="C77" s="202">
        <v>19</v>
      </c>
      <c r="D77" s="172" t="s">
        <v>76</v>
      </c>
      <c r="E77" s="172" t="s">
        <v>76</v>
      </c>
      <c r="F77" s="202">
        <f>VLOOKUP(PrévisionBoris[[#This Row],[Spec]],TabModelSpecs[[ModelSpec]:[Price]],2,FALSE)</f>
        <v>18</v>
      </c>
      <c r="G77" s="172" t="s">
        <v>461</v>
      </c>
      <c r="H77" s="206">
        <f>SUMIFS(LstMachines[Nbre],LstMachines[Model-Spec],PrévisionBoris[[#This Row],[Spec]],LstMachines[Status],PrévisionBoris[[#This Row],[Status]],LstMachines[MoisLivr],H$1)</f>
        <v>0</v>
      </c>
      <c r="I77" s="207">
        <f>SUMIFS(LstMachines[Nbre],LstMachines[Model-Spec],PrévisionBoris[[#This Row],[Spec]],LstMachines[Status],PrévisionBoris[[#This Row],[Status]],LstMachines[MoisLivr],I$1)</f>
        <v>0</v>
      </c>
      <c r="J77" s="208">
        <f>SUMIFS(LstMachines[Nbre],LstMachines[Model-Spec],PrévisionBoris[[#This Row],[Spec]],LstMachines[Status],PrévisionBoris[[#This Row],[Status]],LstMachines[MoisLivr],J$1)</f>
        <v>0</v>
      </c>
      <c r="K77" s="206">
        <f>SUMIFS(LstMachines[Nbre],LstMachines[Model-Spec],PrévisionBoris[[#This Row],[Spec]],LstMachines[Status],PrévisionBoris[[#This Row],[Status]],LstMachines[MoisLivr],K$1)</f>
        <v>1</v>
      </c>
      <c r="L77" s="207">
        <f>SUMIFS(LstMachines[Nbre],LstMachines[Model-Spec],PrévisionBoris[[#This Row],[Spec]],LstMachines[Status],PrévisionBoris[[#This Row],[Status]],LstMachines[MoisLivr],L$1)</f>
        <v>0</v>
      </c>
      <c r="M77" s="208">
        <f>SUMIFS(LstMachines[Nbre],LstMachines[Model-Spec],PrévisionBoris[[#This Row],[Spec]],LstMachines[Status],PrévisionBoris[[#This Row],[Status]],LstMachines[MoisLivr],M$1)</f>
        <v>2</v>
      </c>
      <c r="N77" s="206">
        <f>SUMIFS(LstMachines[Nbre],LstMachines[Model-Spec],PrévisionBoris[[#This Row],[Spec]],LstMachines[Status],PrévisionBoris[[#This Row],[Status]],LstMachines[MoisLivr],N$1)</f>
        <v>3</v>
      </c>
      <c r="O77" s="207">
        <f>SUMIFS(LstMachines[Nbre],LstMachines[Model-Spec],PrévisionBoris[[#This Row],[Spec]],LstMachines[Status],PrévisionBoris[[#This Row],[Status]],LstMachines[MoisLivr],O$1)</f>
        <v>2</v>
      </c>
      <c r="P77" s="208">
        <f>SUMIFS(LstMachines[Nbre],LstMachines[Model-Spec],PrévisionBoris[[#This Row],[Spec]],LstMachines[Status],PrévisionBoris[[#This Row],[Status]],LstMachines[MoisLivr],P$1)</f>
        <v>3</v>
      </c>
      <c r="Q77" s="209">
        <f>SUMIFS(LstMachines[Nbre],LstMachines[Model-Spec],PrévisionBoris[[#This Row],[Spec]],LstMachines[Status],PrévisionBoris[[#This Row],[Status]],LstMachines[MoisLivr],Q$1)</f>
        <v>2</v>
      </c>
      <c r="R77" s="207">
        <f>SUMIFS(LstMachines[Nbre],LstMachines[Model-Spec],PrévisionBoris[[#This Row],[Spec]],LstMachines[Status],PrévisionBoris[[#This Row],[Status]],LstMachines[MoisLivr],R$1)</f>
        <v>1</v>
      </c>
      <c r="S77" s="207">
        <f>SUMIFS(LstMachines[Nbre],LstMachines[Model-Spec],PrévisionBoris[[#This Row],[Spec]],LstMachines[Status],PrévisionBoris[[#This Row],[Status]],LstMachines[MoisLivr],S$1)</f>
        <v>2</v>
      </c>
      <c r="T77" s="206">
        <f>SUMIFS(LstMachines[Nbre],LstMachines[Model-Spec],PrévisionBoris[[#This Row],[Spec]],LstMachines[Status],PrévisionBoris[[#This Row],[Status]],LstMachines[MoisLivr],T$1)</f>
        <v>1</v>
      </c>
      <c r="U77" s="207">
        <f>SUMIFS(LstMachines[Nbre],LstMachines[Model-Spec],PrévisionBoris[[#This Row],[Spec]],LstMachines[Status],PrévisionBoris[[#This Row],[Status]],LstMachines[MoisLivr],U$1)</f>
        <v>1</v>
      </c>
      <c r="V77" s="207">
        <f>SUMIFS(LstMachines[Nbre],LstMachines[Model-Spec],PrévisionBoris[[#This Row],[Spec]],LstMachines[Status],PrévisionBoris[[#This Row],[Status]],LstMachines[MoisLivr],V$1)</f>
        <v>1</v>
      </c>
      <c r="W77" s="206">
        <f>SUMIFS(LstMachines[Nbre],LstMachines[Model-Spec],PrévisionBoris[[#This Row],[Spec]],LstMachines[Status],PrévisionBoris[[#This Row],[Status]],LstMachines[MoisLivr],W$1)</f>
        <v>0</v>
      </c>
      <c r="X77" s="207">
        <f>SUMIFS(LstMachines[Nbre],LstMachines[Model-Spec],PrévisionBoris[[#This Row],[Spec]],LstMachines[Status],PrévisionBoris[[#This Row],[Status]],LstMachines[MoisLivr],X$1)</f>
        <v>2</v>
      </c>
      <c r="Y77" s="207">
        <f>SUMIFS(LstMachines[Nbre],LstMachines[Model-Spec],PrévisionBoris[[#This Row],[Spec]],LstMachines[Status],PrévisionBoris[[#This Row],[Status]],LstMachines[MoisLivr],Y$1)</f>
        <v>0</v>
      </c>
      <c r="Z77" s="206">
        <f>SUMIFS(LstMachines[Nbre],LstMachines[Model-Spec],PrévisionBoris[[#This Row],[Spec]],LstMachines[Status],PrévisionBoris[[#This Row],[Status]],LstMachines[MoisLivr],Z$1)</f>
        <v>3</v>
      </c>
      <c r="AA77" s="207">
        <f>SUMIFS(LstMachines[Nbre],LstMachines[Model-Spec],PrévisionBoris[[#This Row],[Spec]],LstMachines[Status],PrévisionBoris[[#This Row],[Status]],LstMachines[MoisLivr],AA$1)</f>
        <v>1</v>
      </c>
      <c r="AB77" s="207">
        <f>SUMIFS(LstMachines[Nbre],LstMachines[Model-Spec],PrévisionBoris[[#This Row],[Spec]],LstMachines[Status],PrévisionBoris[[#This Row],[Status]],LstMachines[MoisLivr],AB$1)</f>
        <v>18</v>
      </c>
      <c r="AC77" s="206">
        <f>SUMIFS(LstMachines[Nbre],LstMachines[Model-Spec],PrévisionBoris[[#This Row],[Spec]],LstMachines[Status],PrévisionBoris[[#This Row],[Status]],LstMachines[MoisLivr],AC$1)</f>
        <v>1</v>
      </c>
      <c r="AD77" s="207">
        <f>SUMIFS(LstMachines[Nbre],LstMachines[Model-Spec],PrévisionBoris[[#This Row],[Spec]],LstMachines[Status],PrévisionBoris[[#This Row],[Status]],LstMachines[MoisLivr],AD$1)</f>
        <v>1</v>
      </c>
      <c r="AE77" s="207">
        <f>SUMIFS(LstMachines[Nbre],LstMachines[Model-Spec],PrévisionBoris[[#This Row],[Spec]],LstMachines[Status],PrévisionBoris[[#This Row],[Status]],LstMachines[MoisLivr],AE$1)</f>
        <v>3</v>
      </c>
      <c r="AF77" s="206">
        <f>SUMIFS(LstMachines[Nbre],LstMachines[Model-Spec],PrévisionBoris[[#This Row],[Spec]],LstMachines[Status],PrévisionBoris[[#This Row],[Status]],LstMachines[MoisLivr],AF$1)</f>
        <v>1</v>
      </c>
      <c r="AG77" s="207">
        <f>SUMIFS(LstMachines[Nbre],LstMachines[Model-Spec],PrévisionBoris[[#This Row],[Spec]],LstMachines[Status],PrévisionBoris[[#This Row],[Status]],LstMachines[MoisLivr],AG$1)</f>
        <v>1</v>
      </c>
      <c r="AH77" s="207">
        <f>SUMIFS(LstMachines[Nbre],LstMachines[Model-Spec],PrévisionBoris[[#This Row],[Spec]],LstMachines[Status],PrévisionBoris[[#This Row],[Status]],LstMachines[MoisLivr],AH$1)</f>
        <v>1</v>
      </c>
      <c r="AI77" s="206">
        <f>SUMIFS(LstMachines[Nbre],LstMachines[Model-Spec],PrévisionBoris[[#This Row],[Spec]],LstMachines[Status],PrévisionBoris[[#This Row],[Status]],LstMachines[MoisLivr],AI$1)</f>
        <v>0</v>
      </c>
      <c r="AJ77" s="207">
        <f>SUMIFS(LstMachines[Nbre],LstMachines[Model-Spec],PrévisionBoris[[#This Row],[Spec]],LstMachines[Status],PrévisionBoris[[#This Row],[Status]],LstMachines[MoisLivr],AJ$1)</f>
        <v>0</v>
      </c>
      <c r="AK77" s="207">
        <f>SUMIFS(LstMachines[Nbre],LstMachines[Model-Spec],PrévisionBoris[[#This Row],[Spec]],LstMachines[Status],PrévisionBoris[[#This Row],[Status]],LstMachines[MoisLivr],AK$1)</f>
        <v>0</v>
      </c>
      <c r="AL77" s="206">
        <f>SUMIFS(LstMachines[Nbre],LstMachines[Model-Spec],PrévisionBoris[[#This Row],[Spec]],LstMachines[Status],PrévisionBoris[[#This Row],[Status]],LstMachines[MoisLivr],AL$1)</f>
        <v>2</v>
      </c>
      <c r="AM77" s="207">
        <f>SUMIFS(LstMachines[Nbre],LstMachines[Model-Spec],PrévisionBoris[[#This Row],[Spec]],LstMachines[Status],PrévisionBoris[[#This Row],[Status]],LstMachines[MoisLivr],AM$1)</f>
        <v>1</v>
      </c>
      <c r="AN77" s="207">
        <f>SUMIFS(LstMachines[Nbre],LstMachines[Model-Spec],PrévisionBoris[[#This Row],[Spec]],LstMachines[Status],PrévisionBoris[[#This Row],[Status]],LstMachines[MoisLivr],AN$1)</f>
        <v>13</v>
      </c>
      <c r="AO77" s="206">
        <f>SUMIFS(LstMachines[Nbre],LstMachines[Model-Spec],PrévisionBoris[[#This Row],[Spec]],LstMachines[Status],PrévisionBoris[[#This Row],[Status]],LstMachines[MoisLivr],AO$1)</f>
        <v>1</v>
      </c>
      <c r="AP77" s="207">
        <f>SUMIFS(LstMachines[Nbre],LstMachines[Model-Spec],PrévisionBoris[[#This Row],[Spec]],LstMachines[Status],PrévisionBoris[[#This Row],[Status]],LstMachines[MoisLivr],AP$1)</f>
        <v>1</v>
      </c>
      <c r="AQ77" s="207">
        <f>SUMIFS(LstMachines[Nbre],LstMachines[Model-Spec],PrévisionBoris[[#This Row],[Spec]],LstMachines[Status],PrévisionBoris[[#This Row],[Status]],LstMachines[MoisLivr],AQ$1)</f>
        <v>1</v>
      </c>
      <c r="AR77" s="206">
        <f>SUMIFS(LstMachines[Nbre],LstMachines[Model-Spec],PrévisionBoris[[#This Row],[Spec]],LstMachines[Status],PrévisionBoris[[#This Row],[Status]],LstMachines[MoisLivr],AR$1)</f>
        <v>1</v>
      </c>
      <c r="AS77" s="207">
        <f>SUMIFS(LstMachines[Nbre],LstMachines[Model-Spec],PrévisionBoris[[#This Row],[Spec]],LstMachines[Status],PrévisionBoris[[#This Row],[Status]],LstMachines[MoisLivr],AS$1)</f>
        <v>1</v>
      </c>
      <c r="AT77" s="207">
        <f>SUMIFS(LstMachines[Nbre],LstMachines[Model-Spec],PrévisionBoris[[#This Row],[Spec]],LstMachines[Status],PrévisionBoris[[#This Row],[Status]],LstMachines[MoisLivr],AT$1)</f>
        <v>1</v>
      </c>
      <c r="AU77" s="206">
        <f>SUMIFS(LstMachines[Nbre],LstMachines[Model-Spec],PrévisionBoris[[#This Row],[Spec]],LstMachines[Status],PrévisionBoris[[#This Row],[Status]],LstMachines[MoisLivr],AU$1)</f>
        <v>0</v>
      </c>
      <c r="AV77" s="233">
        <f>SUMIFS(LstMachines[Nbre],LstMachines[Model-Spec],PrévisionBoris[[#This Row],[Spec]],LstMachines[Status],PrévisionBoris[[#This Row],[Status]],LstMachines[MoisLivr],AV$1)</f>
        <v>0</v>
      </c>
      <c r="AW77" s="208">
        <f>SUMIFS(LstMachines[Nbre],LstMachines[Model-Spec],PrévisionBoris[[#This Row],[Spec]],LstMachines[Status],PrévisionBoris[[#This Row],[Status]],LstMachines[MoisLivr],AW$1)</f>
        <v>0</v>
      </c>
      <c r="AX77" s="225"/>
      <c r="AY77" s="211">
        <f t="shared" si="19"/>
        <v>3</v>
      </c>
      <c r="AZ77" s="212">
        <f t="shared" si="20"/>
        <v>8</v>
      </c>
      <c r="BA77" s="212">
        <f t="shared" si="21"/>
        <v>5</v>
      </c>
      <c r="BB77" s="213">
        <f t="shared" si="22"/>
        <v>3</v>
      </c>
      <c r="BC77" s="225">
        <f t="shared" si="23"/>
        <v>19</v>
      </c>
      <c r="BD77" s="211">
        <f t="shared" si="24"/>
        <v>2</v>
      </c>
      <c r="BE77" s="212">
        <f t="shared" si="25"/>
        <v>22</v>
      </c>
      <c r="BF77" s="212">
        <f t="shared" si="26"/>
        <v>5</v>
      </c>
      <c r="BG77" s="213">
        <f t="shared" si="27"/>
        <v>3</v>
      </c>
      <c r="BH77" s="225">
        <f t="shared" si="28"/>
        <v>32</v>
      </c>
      <c r="BI77" s="214">
        <f t="shared" si="29"/>
        <v>0</v>
      </c>
      <c r="BJ77" s="215">
        <f t="shared" si="30"/>
        <v>16</v>
      </c>
      <c r="BK77" s="215">
        <f t="shared" si="31"/>
        <v>3</v>
      </c>
      <c r="BL77" s="216">
        <f t="shared" si="32"/>
        <v>3</v>
      </c>
      <c r="BM77" s="225">
        <f t="shared" si="33"/>
        <v>22</v>
      </c>
      <c r="BN77" s="225"/>
      <c r="BO77" s="234"/>
      <c r="BP77" s="218">
        <f t="shared" si="34"/>
        <v>73</v>
      </c>
    </row>
    <row r="78" spans="1:68">
      <c r="A78" s="170">
        <v>71</v>
      </c>
      <c r="B78" s="170" t="s">
        <v>75</v>
      </c>
      <c r="C78" s="200">
        <v>19</v>
      </c>
      <c r="D78" s="170" t="s">
        <v>76</v>
      </c>
      <c r="E78" s="170" t="s">
        <v>76</v>
      </c>
      <c r="F78" s="200">
        <f>VLOOKUP(PrévisionBoris[[#This Row],[Spec]],TabModelSpecs[[ModelSpec]:[Price]],2,FALSE)</f>
        <v>18</v>
      </c>
      <c r="G78" s="170" t="s">
        <v>462</v>
      </c>
      <c r="H78" s="219">
        <f>SUMIFS(LstMachines[Nbre],LstMachines[Model-Spec],PrévisionBoris[[#This Row],[Spec]],LstMachines[Status],PrévisionBoris[[#This Row],[Status]],LstMachines[MoisLivr],H$1)</f>
        <v>0</v>
      </c>
      <c r="I78" s="220">
        <f>SUMIFS(LstMachines[Nbre],LstMachines[Model-Spec],PrévisionBoris[[#This Row],[Spec]],LstMachines[Status],PrévisionBoris[[#This Row],[Status]],LstMachines[MoisLivr],I$1)</f>
        <v>0</v>
      </c>
      <c r="J78" s="221">
        <f>SUMIFS(LstMachines[Nbre],LstMachines[Model-Spec],PrévisionBoris[[#This Row],[Spec]],LstMachines[Status],PrévisionBoris[[#This Row],[Status]],LstMachines[MoisLivr],J$1)</f>
        <v>0</v>
      </c>
      <c r="K78" s="219">
        <f>SUMIFS(LstMachines[Nbre],LstMachines[Model-Spec],PrévisionBoris[[#This Row],[Spec]],LstMachines[Status],PrévisionBoris[[#This Row],[Status]],LstMachines[MoisLivr],K$1)</f>
        <v>0</v>
      </c>
      <c r="L78" s="220">
        <f>SUMIFS(LstMachines[Nbre],LstMachines[Model-Spec],PrévisionBoris[[#This Row],[Spec]],LstMachines[Status],PrévisionBoris[[#This Row],[Status]],LstMachines[MoisLivr],L$1)</f>
        <v>0</v>
      </c>
      <c r="M78" s="221">
        <f>SUMIFS(LstMachines[Nbre],LstMachines[Model-Spec],PrévisionBoris[[#This Row],[Spec]],LstMachines[Status],PrévisionBoris[[#This Row],[Status]],LstMachines[MoisLivr],M$1)</f>
        <v>0</v>
      </c>
      <c r="N78" s="219">
        <f>SUMIFS(LstMachines[Nbre],LstMachines[Model-Spec],PrévisionBoris[[#This Row],[Spec]],LstMachines[Status],PrévisionBoris[[#This Row],[Status]],LstMachines[MoisLivr],N$1)</f>
        <v>0</v>
      </c>
      <c r="O78" s="220">
        <f>SUMIFS(LstMachines[Nbre],LstMachines[Model-Spec],PrévisionBoris[[#This Row],[Spec]],LstMachines[Status],PrévisionBoris[[#This Row],[Status]],LstMachines[MoisLivr],O$1)</f>
        <v>0</v>
      </c>
      <c r="P78" s="221">
        <f>SUMIFS(LstMachines[Nbre],LstMachines[Model-Spec],PrévisionBoris[[#This Row],[Spec]],LstMachines[Status],PrévisionBoris[[#This Row],[Status]],LstMachines[MoisLivr],P$1)</f>
        <v>0</v>
      </c>
      <c r="Q78" s="222">
        <f>SUMIFS(LstMachines[Nbre],LstMachines[Model-Spec],PrévisionBoris[[#This Row],[Spec]],LstMachines[Status],PrévisionBoris[[#This Row],[Status]],LstMachines[MoisLivr],Q$1)</f>
        <v>0</v>
      </c>
      <c r="R78" s="220">
        <f>SUMIFS(LstMachines[Nbre],LstMachines[Model-Spec],PrévisionBoris[[#This Row],[Spec]],LstMachines[Status],PrévisionBoris[[#This Row],[Status]],LstMachines[MoisLivr],R$1)</f>
        <v>0</v>
      </c>
      <c r="S78" s="220">
        <f>SUMIFS(LstMachines[Nbre],LstMachines[Model-Spec],PrévisionBoris[[#This Row],[Spec]],LstMachines[Status],PrévisionBoris[[#This Row],[Status]],LstMachines[MoisLivr],S$1)</f>
        <v>0</v>
      </c>
      <c r="T78" s="219">
        <f>SUMIFS(LstMachines[Nbre],LstMachines[Model-Spec],PrévisionBoris[[#This Row],[Spec]],LstMachines[Status],PrévisionBoris[[#This Row],[Status]],LstMachines[MoisLivr],T$1)</f>
        <v>0</v>
      </c>
      <c r="U78" s="220">
        <f>SUMIFS(LstMachines[Nbre],LstMachines[Model-Spec],PrévisionBoris[[#This Row],[Spec]],LstMachines[Status],PrévisionBoris[[#This Row],[Status]],LstMachines[MoisLivr],U$1)</f>
        <v>0</v>
      </c>
      <c r="V78" s="220">
        <f>SUMIFS(LstMachines[Nbre],LstMachines[Model-Spec],PrévisionBoris[[#This Row],[Spec]],LstMachines[Status],PrévisionBoris[[#This Row],[Status]],LstMachines[MoisLivr],V$1)</f>
        <v>0</v>
      </c>
      <c r="W78" s="219">
        <f>SUMIFS(LstMachines[Nbre],LstMachines[Model-Spec],PrévisionBoris[[#This Row],[Spec]],LstMachines[Status],PrévisionBoris[[#This Row],[Status]],LstMachines[MoisLivr],W$1)</f>
        <v>0</v>
      </c>
      <c r="X78" s="220">
        <f>SUMIFS(LstMachines[Nbre],LstMachines[Model-Spec],PrévisionBoris[[#This Row],[Spec]],LstMachines[Status],PrévisionBoris[[#This Row],[Status]],LstMachines[MoisLivr],X$1)</f>
        <v>0</v>
      </c>
      <c r="Y78" s="220">
        <f>SUMIFS(LstMachines[Nbre],LstMachines[Model-Spec],PrévisionBoris[[#This Row],[Spec]],LstMachines[Status],PrévisionBoris[[#This Row],[Status]],LstMachines[MoisLivr],Y$1)</f>
        <v>0</v>
      </c>
      <c r="Z78" s="219">
        <f>SUMIFS(LstMachines[Nbre],LstMachines[Model-Spec],PrévisionBoris[[#This Row],[Spec]],LstMachines[Status],PrévisionBoris[[#This Row],[Status]],LstMachines[MoisLivr],Z$1)</f>
        <v>0</v>
      </c>
      <c r="AA78" s="220">
        <f>SUMIFS(LstMachines[Nbre],LstMachines[Model-Spec],PrévisionBoris[[#This Row],[Spec]],LstMachines[Status],PrévisionBoris[[#This Row],[Status]],LstMachines[MoisLivr],AA$1)</f>
        <v>0</v>
      </c>
      <c r="AB78" s="220">
        <f>SUMIFS(LstMachines[Nbre],LstMachines[Model-Spec],PrévisionBoris[[#This Row],[Spec]],LstMachines[Status],PrévisionBoris[[#This Row],[Status]],LstMachines[MoisLivr],AB$1)</f>
        <v>0</v>
      </c>
      <c r="AC78" s="219">
        <f>SUMIFS(LstMachines[Nbre],LstMachines[Model-Spec],PrévisionBoris[[#This Row],[Spec]],LstMachines[Status],PrévisionBoris[[#This Row],[Status]],LstMachines[MoisLivr],AC$1)</f>
        <v>0</v>
      </c>
      <c r="AD78" s="220">
        <f>SUMIFS(LstMachines[Nbre],LstMachines[Model-Spec],PrévisionBoris[[#This Row],[Spec]],LstMachines[Status],PrévisionBoris[[#This Row],[Status]],LstMachines[MoisLivr],AD$1)</f>
        <v>0</v>
      </c>
      <c r="AE78" s="220">
        <f>SUMIFS(LstMachines[Nbre],LstMachines[Model-Spec],PrévisionBoris[[#This Row],[Spec]],LstMachines[Status],PrévisionBoris[[#This Row],[Status]],LstMachines[MoisLivr],AE$1)</f>
        <v>0</v>
      </c>
      <c r="AF78" s="219">
        <f>SUMIFS(LstMachines[Nbre],LstMachines[Model-Spec],PrévisionBoris[[#This Row],[Spec]],LstMachines[Status],PrévisionBoris[[#This Row],[Status]],LstMachines[MoisLivr],AF$1)</f>
        <v>0</v>
      </c>
      <c r="AG78" s="220">
        <f>SUMIFS(LstMachines[Nbre],LstMachines[Model-Spec],PrévisionBoris[[#This Row],[Spec]],LstMachines[Status],PrévisionBoris[[#This Row],[Status]],LstMachines[MoisLivr],AG$1)</f>
        <v>0</v>
      </c>
      <c r="AH78" s="220">
        <f>SUMIFS(LstMachines[Nbre],LstMachines[Model-Spec],PrévisionBoris[[#This Row],[Spec]],LstMachines[Status],PrévisionBoris[[#This Row],[Status]],LstMachines[MoisLivr],AH$1)</f>
        <v>0</v>
      </c>
      <c r="AI78" s="219">
        <f>SUMIFS(LstMachines[Nbre],LstMachines[Model-Spec],PrévisionBoris[[#This Row],[Spec]],LstMachines[Status],PrévisionBoris[[#This Row],[Status]],LstMachines[MoisLivr],AI$1)</f>
        <v>0</v>
      </c>
      <c r="AJ78" s="220">
        <f>SUMIFS(LstMachines[Nbre],LstMachines[Model-Spec],PrévisionBoris[[#This Row],[Spec]],LstMachines[Status],PrévisionBoris[[#This Row],[Status]],LstMachines[MoisLivr],AJ$1)</f>
        <v>0</v>
      </c>
      <c r="AK78" s="220">
        <f>SUMIFS(LstMachines[Nbre],LstMachines[Model-Spec],PrévisionBoris[[#This Row],[Spec]],LstMachines[Status],PrévisionBoris[[#This Row],[Status]],LstMachines[MoisLivr],AK$1)</f>
        <v>0</v>
      </c>
      <c r="AL78" s="219">
        <f>SUMIFS(LstMachines[Nbre],LstMachines[Model-Spec],PrévisionBoris[[#This Row],[Spec]],LstMachines[Status],PrévisionBoris[[#This Row],[Status]],LstMachines[MoisLivr],AL$1)</f>
        <v>0</v>
      </c>
      <c r="AM78" s="220">
        <f>SUMIFS(LstMachines[Nbre],LstMachines[Model-Spec],PrévisionBoris[[#This Row],[Spec]],LstMachines[Status],PrévisionBoris[[#This Row],[Status]],LstMachines[MoisLivr],AM$1)</f>
        <v>0</v>
      </c>
      <c r="AN78" s="220">
        <f>SUMIFS(LstMachines[Nbre],LstMachines[Model-Spec],PrévisionBoris[[#This Row],[Spec]],LstMachines[Status],PrévisionBoris[[#This Row],[Status]],LstMachines[MoisLivr],AN$1)</f>
        <v>0</v>
      </c>
      <c r="AO78" s="219">
        <f>SUMIFS(LstMachines[Nbre],LstMachines[Model-Spec],PrévisionBoris[[#This Row],[Spec]],LstMachines[Status],PrévisionBoris[[#This Row],[Status]],LstMachines[MoisLivr],AO$1)</f>
        <v>0</v>
      </c>
      <c r="AP78" s="220">
        <f>SUMIFS(LstMachines[Nbre],LstMachines[Model-Spec],PrévisionBoris[[#This Row],[Spec]],LstMachines[Status],PrévisionBoris[[#This Row],[Status]],LstMachines[MoisLivr],AP$1)</f>
        <v>0</v>
      </c>
      <c r="AQ78" s="220">
        <f>SUMIFS(LstMachines[Nbre],LstMachines[Model-Spec],PrévisionBoris[[#This Row],[Spec]],LstMachines[Status],PrévisionBoris[[#This Row],[Status]],LstMachines[MoisLivr],AQ$1)</f>
        <v>0</v>
      </c>
      <c r="AR78" s="219">
        <f>SUMIFS(LstMachines[Nbre],LstMachines[Model-Spec],PrévisionBoris[[#This Row],[Spec]],LstMachines[Status],PrévisionBoris[[#This Row],[Status]],LstMachines[MoisLivr],AR$1)</f>
        <v>0</v>
      </c>
      <c r="AS78" s="220">
        <f>SUMIFS(LstMachines[Nbre],LstMachines[Model-Spec],PrévisionBoris[[#This Row],[Spec]],LstMachines[Status],PrévisionBoris[[#This Row],[Status]],LstMachines[MoisLivr],AS$1)</f>
        <v>0</v>
      </c>
      <c r="AT78" s="220">
        <f>SUMIFS(LstMachines[Nbre],LstMachines[Model-Spec],PrévisionBoris[[#This Row],[Spec]],LstMachines[Status],PrévisionBoris[[#This Row],[Status]],LstMachines[MoisLivr],AT$1)</f>
        <v>0</v>
      </c>
      <c r="AU78" s="219">
        <f>SUMIFS(LstMachines[Nbre],LstMachines[Model-Spec],PrévisionBoris[[#This Row],[Spec]],LstMachines[Status],PrévisionBoris[[#This Row],[Status]],LstMachines[MoisLivr],AU$1)</f>
        <v>0</v>
      </c>
      <c r="AV78" s="223">
        <f>SUMIFS(LstMachines[Nbre],LstMachines[Model-Spec],PrévisionBoris[[#This Row],[Spec]],LstMachines[Status],PrévisionBoris[[#This Row],[Status]],LstMachines[MoisLivr],AV$1)</f>
        <v>0</v>
      </c>
      <c r="AW78" s="224">
        <f>SUMIFS(LstMachines[Nbre],LstMachines[Model-Spec],PrévisionBoris[[#This Row],[Spec]],LstMachines[Status],PrévisionBoris[[#This Row],[Status]],LstMachines[MoisLivr],AW$1)</f>
        <v>0</v>
      </c>
      <c r="AX78" s="210"/>
      <c r="AY78" s="211">
        <f t="shared" si="19"/>
        <v>0</v>
      </c>
      <c r="AZ78" s="212">
        <f t="shared" si="20"/>
        <v>0</v>
      </c>
      <c r="BA78" s="212">
        <f t="shared" si="21"/>
        <v>0</v>
      </c>
      <c r="BB78" s="213">
        <f t="shared" si="22"/>
        <v>0</v>
      </c>
      <c r="BC78" s="225">
        <f t="shared" si="23"/>
        <v>0</v>
      </c>
      <c r="BD78" s="211">
        <f t="shared" si="24"/>
        <v>0</v>
      </c>
      <c r="BE78" s="212">
        <f t="shared" si="25"/>
        <v>0</v>
      </c>
      <c r="BF78" s="212">
        <f t="shared" si="26"/>
        <v>0</v>
      </c>
      <c r="BG78" s="213">
        <f t="shared" si="27"/>
        <v>0</v>
      </c>
      <c r="BH78" s="225">
        <f t="shared" si="28"/>
        <v>0</v>
      </c>
      <c r="BI78" s="214">
        <f t="shared" si="29"/>
        <v>0</v>
      </c>
      <c r="BJ78" s="215">
        <f t="shared" si="30"/>
        <v>0</v>
      </c>
      <c r="BK78" s="215">
        <f t="shared" si="31"/>
        <v>0</v>
      </c>
      <c r="BL78" s="216">
        <f t="shared" si="32"/>
        <v>0</v>
      </c>
      <c r="BM78" s="225">
        <f t="shared" si="33"/>
        <v>0</v>
      </c>
      <c r="BN78" s="225"/>
      <c r="BO78" s="217"/>
      <c r="BP78" s="218">
        <f t="shared" si="34"/>
        <v>0</v>
      </c>
    </row>
    <row r="79" spans="1:68">
      <c r="A79" s="171">
        <v>72</v>
      </c>
      <c r="B79" s="171" t="s">
        <v>75</v>
      </c>
      <c r="C79" s="201">
        <v>19</v>
      </c>
      <c r="D79" s="171" t="s">
        <v>76</v>
      </c>
      <c r="E79" s="171" t="s">
        <v>76</v>
      </c>
      <c r="F79" s="201">
        <f>VLOOKUP(PrévisionBoris[[#This Row],[Spec]],TabModelSpecs[[ModelSpec]:[Price]],2,FALSE)</f>
        <v>18</v>
      </c>
      <c r="G79" s="171" t="s">
        <v>463</v>
      </c>
      <c r="H79" s="226">
        <f>SUMIFS(LstMachines[Nbre],LstMachines[Model-Spec],PrévisionBoris[[#This Row],[Spec]],LstMachines[Status],PrévisionBoris[[#This Row],[Status]],LstMachines[MoisLivr],H$1)</f>
        <v>0</v>
      </c>
      <c r="I79" s="227">
        <f>SUMIFS(LstMachines[Nbre],LstMachines[Model-Spec],PrévisionBoris[[#This Row],[Spec]],LstMachines[Status],PrévisionBoris[[#This Row],[Status]],LstMachines[MoisLivr],I$1)</f>
        <v>1</v>
      </c>
      <c r="J79" s="228">
        <f>SUMIFS(LstMachines[Nbre],LstMachines[Model-Spec],PrévisionBoris[[#This Row],[Spec]],LstMachines[Status],PrévisionBoris[[#This Row],[Status]],LstMachines[MoisLivr],J$1)</f>
        <v>1</v>
      </c>
      <c r="K79" s="226">
        <f>SUMIFS(LstMachines[Nbre],LstMachines[Model-Spec],PrévisionBoris[[#This Row],[Spec]],LstMachines[Status],PrévisionBoris[[#This Row],[Status]],LstMachines[MoisLivr],K$1)</f>
        <v>0</v>
      </c>
      <c r="L79" s="227">
        <f>SUMIFS(LstMachines[Nbre],LstMachines[Model-Spec],PrévisionBoris[[#This Row],[Spec]],LstMachines[Status],PrévisionBoris[[#This Row],[Status]],LstMachines[MoisLivr],L$1)</f>
        <v>0</v>
      </c>
      <c r="M79" s="228">
        <f>SUMIFS(LstMachines[Nbre],LstMachines[Model-Spec],PrévisionBoris[[#This Row],[Spec]],LstMachines[Status],PrévisionBoris[[#This Row],[Status]],LstMachines[MoisLivr],M$1)</f>
        <v>1</v>
      </c>
      <c r="N79" s="226">
        <f>SUMIFS(LstMachines[Nbre],LstMachines[Model-Spec],PrévisionBoris[[#This Row],[Spec]],LstMachines[Status],PrévisionBoris[[#This Row],[Status]],LstMachines[MoisLivr],N$1)</f>
        <v>1</v>
      </c>
      <c r="O79" s="227">
        <f>SUMIFS(LstMachines[Nbre],LstMachines[Model-Spec],PrévisionBoris[[#This Row],[Spec]],LstMachines[Status],PrévisionBoris[[#This Row],[Status]],LstMachines[MoisLivr],O$1)</f>
        <v>0</v>
      </c>
      <c r="P79" s="228">
        <f>SUMIFS(LstMachines[Nbre],LstMachines[Model-Spec],PrévisionBoris[[#This Row],[Spec]],LstMachines[Status],PrévisionBoris[[#This Row],[Status]],LstMachines[MoisLivr],P$1)</f>
        <v>0</v>
      </c>
      <c r="Q79" s="229">
        <f>SUMIFS(LstMachines[Nbre],LstMachines[Model-Spec],PrévisionBoris[[#This Row],[Spec]],LstMachines[Status],PrévisionBoris[[#This Row],[Status]],LstMachines[MoisLivr],Q$1)</f>
        <v>0</v>
      </c>
      <c r="R79" s="227">
        <f>SUMIFS(LstMachines[Nbre],LstMachines[Model-Spec],PrévisionBoris[[#This Row],[Spec]],LstMachines[Status],PrévisionBoris[[#This Row],[Status]],LstMachines[MoisLivr],R$1)</f>
        <v>2</v>
      </c>
      <c r="S79" s="227">
        <f>SUMIFS(LstMachines[Nbre],LstMachines[Model-Spec],PrévisionBoris[[#This Row],[Spec]],LstMachines[Status],PrévisionBoris[[#This Row],[Status]],LstMachines[MoisLivr],S$1)</f>
        <v>0</v>
      </c>
      <c r="T79" s="226">
        <f>SUMIFS(LstMachines[Nbre],LstMachines[Model-Spec],PrévisionBoris[[#This Row],[Spec]],LstMachines[Status],PrévisionBoris[[#This Row],[Status]],LstMachines[MoisLivr],T$1)</f>
        <v>2</v>
      </c>
      <c r="U79" s="227">
        <f>SUMIFS(LstMachines[Nbre],LstMachines[Model-Spec],PrévisionBoris[[#This Row],[Spec]],LstMachines[Status],PrévisionBoris[[#This Row],[Status]],LstMachines[MoisLivr],U$1)</f>
        <v>0</v>
      </c>
      <c r="V79" s="227">
        <f>SUMIFS(LstMachines[Nbre],LstMachines[Model-Spec],PrévisionBoris[[#This Row],[Spec]],LstMachines[Status],PrévisionBoris[[#This Row],[Status]],LstMachines[MoisLivr],V$1)</f>
        <v>0</v>
      </c>
      <c r="W79" s="226">
        <f>SUMIFS(LstMachines[Nbre],LstMachines[Model-Spec],PrévisionBoris[[#This Row],[Spec]],LstMachines[Status],PrévisionBoris[[#This Row],[Status]],LstMachines[MoisLivr],W$1)</f>
        <v>0</v>
      </c>
      <c r="X79" s="227">
        <f>SUMIFS(LstMachines[Nbre],LstMachines[Model-Spec],PrévisionBoris[[#This Row],[Spec]],LstMachines[Status],PrévisionBoris[[#This Row],[Status]],LstMachines[MoisLivr],X$1)</f>
        <v>0</v>
      </c>
      <c r="Y79" s="227">
        <f>SUMIFS(LstMachines[Nbre],LstMachines[Model-Spec],PrévisionBoris[[#This Row],[Spec]],LstMachines[Status],PrévisionBoris[[#This Row],[Status]],LstMachines[MoisLivr],Y$1)</f>
        <v>0</v>
      </c>
      <c r="Z79" s="226">
        <f>SUMIFS(LstMachines[Nbre],LstMachines[Model-Spec],PrévisionBoris[[#This Row],[Spec]],LstMachines[Status],PrévisionBoris[[#This Row],[Status]],LstMachines[MoisLivr],Z$1)</f>
        <v>0</v>
      </c>
      <c r="AA79" s="227">
        <f>SUMIFS(LstMachines[Nbre],LstMachines[Model-Spec],PrévisionBoris[[#This Row],[Spec]],LstMachines[Status],PrévisionBoris[[#This Row],[Status]],LstMachines[MoisLivr],AA$1)</f>
        <v>0</v>
      </c>
      <c r="AB79" s="227">
        <f>SUMIFS(LstMachines[Nbre],LstMachines[Model-Spec],PrévisionBoris[[#This Row],[Spec]],LstMachines[Status],PrévisionBoris[[#This Row],[Status]],LstMachines[MoisLivr],AB$1)</f>
        <v>0</v>
      </c>
      <c r="AC79" s="226">
        <f>SUMIFS(LstMachines[Nbre],LstMachines[Model-Spec],PrévisionBoris[[#This Row],[Spec]],LstMachines[Status],PrévisionBoris[[#This Row],[Status]],LstMachines[MoisLivr],AC$1)</f>
        <v>0</v>
      </c>
      <c r="AD79" s="227">
        <f>SUMIFS(LstMachines[Nbre],LstMachines[Model-Spec],PrévisionBoris[[#This Row],[Spec]],LstMachines[Status],PrévisionBoris[[#This Row],[Status]],LstMachines[MoisLivr],AD$1)</f>
        <v>0</v>
      </c>
      <c r="AE79" s="227">
        <f>SUMIFS(LstMachines[Nbre],LstMachines[Model-Spec],PrévisionBoris[[#This Row],[Spec]],LstMachines[Status],PrévisionBoris[[#This Row],[Status]],LstMachines[MoisLivr],AE$1)</f>
        <v>0</v>
      </c>
      <c r="AF79" s="226">
        <f>SUMIFS(LstMachines[Nbre],LstMachines[Model-Spec],PrévisionBoris[[#This Row],[Spec]],LstMachines[Status],PrévisionBoris[[#This Row],[Status]],LstMachines[MoisLivr],AF$1)</f>
        <v>0</v>
      </c>
      <c r="AG79" s="227">
        <f>SUMIFS(LstMachines[Nbre],LstMachines[Model-Spec],PrévisionBoris[[#This Row],[Spec]],LstMachines[Status],PrévisionBoris[[#This Row],[Status]],LstMachines[MoisLivr],AG$1)</f>
        <v>0</v>
      </c>
      <c r="AH79" s="227">
        <f>SUMIFS(LstMachines[Nbre],LstMachines[Model-Spec],PrévisionBoris[[#This Row],[Spec]],LstMachines[Status],PrévisionBoris[[#This Row],[Status]],LstMachines[MoisLivr],AH$1)</f>
        <v>0</v>
      </c>
      <c r="AI79" s="226">
        <f>SUMIFS(LstMachines[Nbre],LstMachines[Model-Spec],PrévisionBoris[[#This Row],[Spec]],LstMachines[Status],PrévisionBoris[[#This Row],[Status]],LstMachines[MoisLivr],AI$1)</f>
        <v>0</v>
      </c>
      <c r="AJ79" s="227">
        <f>SUMIFS(LstMachines[Nbre],LstMachines[Model-Spec],PrévisionBoris[[#This Row],[Spec]],LstMachines[Status],PrévisionBoris[[#This Row],[Status]],LstMachines[MoisLivr],AJ$1)</f>
        <v>0</v>
      </c>
      <c r="AK79" s="227">
        <f>SUMIFS(LstMachines[Nbre],LstMachines[Model-Spec],PrévisionBoris[[#This Row],[Spec]],LstMachines[Status],PrévisionBoris[[#This Row],[Status]],LstMachines[MoisLivr],AK$1)</f>
        <v>0</v>
      </c>
      <c r="AL79" s="226">
        <f>SUMIFS(LstMachines[Nbre],LstMachines[Model-Spec],PrévisionBoris[[#This Row],[Spec]],LstMachines[Status],PrévisionBoris[[#This Row],[Status]],LstMachines[MoisLivr],AL$1)</f>
        <v>0</v>
      </c>
      <c r="AM79" s="227">
        <f>SUMIFS(LstMachines[Nbre],LstMachines[Model-Spec],PrévisionBoris[[#This Row],[Spec]],LstMachines[Status],PrévisionBoris[[#This Row],[Status]],LstMachines[MoisLivr],AM$1)</f>
        <v>0</v>
      </c>
      <c r="AN79" s="227">
        <f>SUMIFS(LstMachines[Nbre],LstMachines[Model-Spec],PrévisionBoris[[#This Row],[Spec]],LstMachines[Status],PrévisionBoris[[#This Row],[Status]],LstMachines[MoisLivr],AN$1)</f>
        <v>0</v>
      </c>
      <c r="AO79" s="226">
        <f>SUMIFS(LstMachines[Nbre],LstMachines[Model-Spec],PrévisionBoris[[#This Row],[Spec]],LstMachines[Status],PrévisionBoris[[#This Row],[Status]],LstMachines[MoisLivr],AO$1)</f>
        <v>0</v>
      </c>
      <c r="AP79" s="227">
        <f>SUMIFS(LstMachines[Nbre],LstMachines[Model-Spec],PrévisionBoris[[#This Row],[Spec]],LstMachines[Status],PrévisionBoris[[#This Row],[Status]],LstMachines[MoisLivr],AP$1)</f>
        <v>0</v>
      </c>
      <c r="AQ79" s="227">
        <f>SUMIFS(LstMachines[Nbre],LstMachines[Model-Spec],PrévisionBoris[[#This Row],[Spec]],LstMachines[Status],PrévisionBoris[[#This Row],[Status]],LstMachines[MoisLivr],AQ$1)</f>
        <v>0</v>
      </c>
      <c r="AR79" s="226">
        <f>SUMIFS(LstMachines[Nbre],LstMachines[Model-Spec],PrévisionBoris[[#This Row],[Spec]],LstMachines[Status],PrévisionBoris[[#This Row],[Status]],LstMachines[MoisLivr],AR$1)</f>
        <v>0</v>
      </c>
      <c r="AS79" s="227">
        <f>SUMIFS(LstMachines[Nbre],LstMachines[Model-Spec],PrévisionBoris[[#This Row],[Spec]],LstMachines[Status],PrévisionBoris[[#This Row],[Status]],LstMachines[MoisLivr],AS$1)</f>
        <v>0</v>
      </c>
      <c r="AT79" s="227">
        <f>SUMIFS(LstMachines[Nbre],LstMachines[Model-Spec],PrévisionBoris[[#This Row],[Spec]],LstMachines[Status],PrévisionBoris[[#This Row],[Status]],LstMachines[MoisLivr],AT$1)</f>
        <v>0</v>
      </c>
      <c r="AU79" s="226">
        <f>SUMIFS(LstMachines[Nbre],LstMachines[Model-Spec],PrévisionBoris[[#This Row],[Spec]],LstMachines[Status],PrévisionBoris[[#This Row],[Status]],LstMachines[MoisLivr],AU$1)</f>
        <v>0</v>
      </c>
      <c r="AV79" s="230">
        <f>SUMIFS(LstMachines[Nbre],LstMachines[Model-Spec],PrévisionBoris[[#This Row],[Spec]],LstMachines[Status],PrévisionBoris[[#This Row],[Status]],LstMachines[MoisLivr],AV$1)</f>
        <v>0</v>
      </c>
      <c r="AW79" s="231">
        <f>SUMIFS(LstMachines[Nbre],LstMachines[Model-Spec],PrévisionBoris[[#This Row],[Spec]],LstMachines[Status],PrévisionBoris[[#This Row],[Status]],LstMachines[MoisLivr],AW$1)</f>
        <v>0</v>
      </c>
      <c r="AX79" s="232"/>
      <c r="AY79" s="211">
        <f t="shared" si="19"/>
        <v>1</v>
      </c>
      <c r="AZ79" s="212">
        <f t="shared" si="20"/>
        <v>1</v>
      </c>
      <c r="BA79" s="212">
        <f t="shared" si="21"/>
        <v>2</v>
      </c>
      <c r="BB79" s="213">
        <f t="shared" si="22"/>
        <v>2</v>
      </c>
      <c r="BC79" s="225">
        <f t="shared" si="23"/>
        <v>6</v>
      </c>
      <c r="BD79" s="211">
        <f t="shared" si="24"/>
        <v>0</v>
      </c>
      <c r="BE79" s="212">
        <f t="shared" si="25"/>
        <v>0</v>
      </c>
      <c r="BF79" s="212">
        <f t="shared" si="26"/>
        <v>0</v>
      </c>
      <c r="BG79" s="213">
        <f t="shared" si="27"/>
        <v>0</v>
      </c>
      <c r="BH79" s="225">
        <f t="shared" si="28"/>
        <v>0</v>
      </c>
      <c r="BI79" s="214">
        <f t="shared" si="29"/>
        <v>0</v>
      </c>
      <c r="BJ79" s="215">
        <f t="shared" si="30"/>
        <v>0</v>
      </c>
      <c r="BK79" s="215">
        <f t="shared" si="31"/>
        <v>0</v>
      </c>
      <c r="BL79" s="216">
        <f t="shared" si="32"/>
        <v>0</v>
      </c>
      <c r="BM79" s="225">
        <f t="shared" si="33"/>
        <v>0</v>
      </c>
      <c r="BN79" s="225"/>
      <c r="BO79" s="217"/>
      <c r="BP79" s="218">
        <f t="shared" si="34"/>
        <v>8</v>
      </c>
    </row>
    <row r="80" spans="1:68">
      <c r="A80" s="172">
        <v>73</v>
      </c>
      <c r="B80" s="172" t="s">
        <v>75</v>
      </c>
      <c r="C80" s="202">
        <v>26</v>
      </c>
      <c r="D80" s="172" t="s">
        <v>77</v>
      </c>
      <c r="E80" s="172" t="s">
        <v>361</v>
      </c>
      <c r="F80" s="202">
        <f>VLOOKUP(PrévisionBoris[[#This Row],[Spec]],TabModelSpecs[[ModelSpec]:[Price]],2,FALSE)</f>
        <v>23</v>
      </c>
      <c r="G80" s="172" t="s">
        <v>461</v>
      </c>
      <c r="H80" s="206">
        <f>SUMIFS(LstMachines[Nbre],LstMachines[Model-Spec],PrévisionBoris[[#This Row],[Spec]],LstMachines[Status],PrévisionBoris[[#This Row],[Status]],LstMachines[MoisLivr],H$1)</f>
        <v>0</v>
      </c>
      <c r="I80" s="207">
        <f>SUMIFS(LstMachines[Nbre],LstMachines[Model-Spec],PrévisionBoris[[#This Row],[Spec]],LstMachines[Status],PrévisionBoris[[#This Row],[Status]],LstMachines[MoisLivr],I$1)</f>
        <v>0</v>
      </c>
      <c r="J80" s="208">
        <f>SUMIFS(LstMachines[Nbre],LstMachines[Model-Spec],PrévisionBoris[[#This Row],[Spec]],LstMachines[Status],PrévisionBoris[[#This Row],[Status]],LstMachines[MoisLivr],J$1)</f>
        <v>0</v>
      </c>
      <c r="K80" s="206">
        <f>SUMIFS(LstMachines[Nbre],LstMachines[Model-Spec],PrévisionBoris[[#This Row],[Spec]],LstMachines[Status],PrévisionBoris[[#This Row],[Status]],LstMachines[MoisLivr],K$1)</f>
        <v>0</v>
      </c>
      <c r="L80" s="207">
        <f>SUMIFS(LstMachines[Nbre],LstMachines[Model-Spec],PrévisionBoris[[#This Row],[Spec]],LstMachines[Status],PrévisionBoris[[#This Row],[Status]],LstMachines[MoisLivr],L$1)</f>
        <v>0</v>
      </c>
      <c r="M80" s="208">
        <f>SUMIFS(LstMachines[Nbre],LstMachines[Model-Spec],PrévisionBoris[[#This Row],[Spec]],LstMachines[Status],PrévisionBoris[[#This Row],[Status]],LstMachines[MoisLivr],M$1)</f>
        <v>1</v>
      </c>
      <c r="N80" s="206">
        <f>SUMIFS(LstMachines[Nbre],LstMachines[Model-Spec],PrévisionBoris[[#This Row],[Spec]],LstMachines[Status],PrévisionBoris[[#This Row],[Status]],LstMachines[MoisLivr],N$1)</f>
        <v>0</v>
      </c>
      <c r="O80" s="207">
        <f>SUMIFS(LstMachines[Nbre],LstMachines[Model-Spec],PrévisionBoris[[#This Row],[Spec]],LstMachines[Status],PrévisionBoris[[#This Row],[Status]],LstMachines[MoisLivr],O$1)</f>
        <v>1</v>
      </c>
      <c r="P80" s="208">
        <f>SUMIFS(LstMachines[Nbre],LstMachines[Model-Spec],PrévisionBoris[[#This Row],[Spec]],LstMachines[Status],PrévisionBoris[[#This Row],[Status]],LstMachines[MoisLivr],P$1)</f>
        <v>0</v>
      </c>
      <c r="Q80" s="209">
        <f>SUMIFS(LstMachines[Nbre],LstMachines[Model-Spec],PrévisionBoris[[#This Row],[Spec]],LstMachines[Status],PrévisionBoris[[#This Row],[Status]],LstMachines[MoisLivr],Q$1)</f>
        <v>0</v>
      </c>
      <c r="R80" s="207">
        <f>SUMIFS(LstMachines[Nbre],LstMachines[Model-Spec],PrévisionBoris[[#This Row],[Spec]],LstMachines[Status],PrévisionBoris[[#This Row],[Status]],LstMachines[MoisLivr],R$1)</f>
        <v>0</v>
      </c>
      <c r="S80" s="207">
        <f>SUMIFS(LstMachines[Nbre],LstMachines[Model-Spec],PrévisionBoris[[#This Row],[Spec]],LstMachines[Status],PrévisionBoris[[#This Row],[Status]],LstMachines[MoisLivr],S$1)</f>
        <v>1</v>
      </c>
      <c r="T80" s="206">
        <f>SUMIFS(LstMachines[Nbre],LstMachines[Model-Spec],PrévisionBoris[[#This Row],[Spec]],LstMachines[Status],PrévisionBoris[[#This Row],[Status]],LstMachines[MoisLivr],T$1)</f>
        <v>1</v>
      </c>
      <c r="U80" s="207">
        <f>SUMIFS(LstMachines[Nbre],LstMachines[Model-Spec],PrévisionBoris[[#This Row],[Spec]],LstMachines[Status],PrévisionBoris[[#This Row],[Status]],LstMachines[MoisLivr],U$1)</f>
        <v>1</v>
      </c>
      <c r="V80" s="207">
        <f>SUMIFS(LstMachines[Nbre],LstMachines[Model-Spec],PrévisionBoris[[#This Row],[Spec]],LstMachines[Status],PrévisionBoris[[#This Row],[Status]],LstMachines[MoisLivr],V$1)</f>
        <v>0</v>
      </c>
      <c r="W80" s="206">
        <f>SUMIFS(LstMachines[Nbre],LstMachines[Model-Spec],PrévisionBoris[[#This Row],[Spec]],LstMachines[Status],PrévisionBoris[[#This Row],[Status]],LstMachines[MoisLivr],W$1)</f>
        <v>3</v>
      </c>
      <c r="X80" s="207">
        <f>SUMIFS(LstMachines[Nbre],LstMachines[Model-Spec],PrévisionBoris[[#This Row],[Spec]],LstMachines[Status],PrévisionBoris[[#This Row],[Status]],LstMachines[MoisLivr],X$1)</f>
        <v>3</v>
      </c>
      <c r="Y80" s="207">
        <f>SUMIFS(LstMachines[Nbre],LstMachines[Model-Spec],PrévisionBoris[[#This Row],[Spec]],LstMachines[Status],PrévisionBoris[[#This Row],[Status]],LstMachines[MoisLivr],Y$1)</f>
        <v>0</v>
      </c>
      <c r="Z80" s="206">
        <f>SUMIFS(LstMachines[Nbre],LstMachines[Model-Spec],PrévisionBoris[[#This Row],[Spec]],LstMachines[Status],PrévisionBoris[[#This Row],[Status]],LstMachines[MoisLivr],Z$1)</f>
        <v>3</v>
      </c>
      <c r="AA80" s="207">
        <f>SUMIFS(LstMachines[Nbre],LstMachines[Model-Spec],PrévisionBoris[[#This Row],[Spec]],LstMachines[Status],PrévisionBoris[[#This Row],[Status]],LstMachines[MoisLivr],AA$1)</f>
        <v>1</v>
      </c>
      <c r="AB80" s="207">
        <f>SUMIFS(LstMachines[Nbre],LstMachines[Model-Spec],PrévisionBoris[[#This Row],[Spec]],LstMachines[Status],PrévisionBoris[[#This Row],[Status]],LstMachines[MoisLivr],AB$1)</f>
        <v>27</v>
      </c>
      <c r="AC80" s="206">
        <f>SUMIFS(LstMachines[Nbre],LstMachines[Model-Spec],PrévisionBoris[[#This Row],[Spec]],LstMachines[Status],PrévisionBoris[[#This Row],[Status]],LstMachines[MoisLivr],AC$1)</f>
        <v>0</v>
      </c>
      <c r="AD80" s="207">
        <f>SUMIFS(LstMachines[Nbre],LstMachines[Model-Spec],PrévisionBoris[[#This Row],[Spec]],LstMachines[Status],PrévisionBoris[[#This Row],[Status]],LstMachines[MoisLivr],AD$1)</f>
        <v>3</v>
      </c>
      <c r="AE80" s="207">
        <f>SUMIFS(LstMachines[Nbre],LstMachines[Model-Spec],PrévisionBoris[[#This Row],[Spec]],LstMachines[Status],PrévisionBoris[[#This Row],[Status]],LstMachines[MoisLivr],AE$1)</f>
        <v>1</v>
      </c>
      <c r="AF80" s="206">
        <f>SUMIFS(LstMachines[Nbre],LstMachines[Model-Spec],PrévisionBoris[[#This Row],[Spec]],LstMachines[Status],PrévisionBoris[[#This Row],[Status]],LstMachines[MoisLivr],AF$1)</f>
        <v>1</v>
      </c>
      <c r="AG80" s="207">
        <f>SUMIFS(LstMachines[Nbre],LstMachines[Model-Spec],PrévisionBoris[[#This Row],[Spec]],LstMachines[Status],PrévisionBoris[[#This Row],[Status]],LstMachines[MoisLivr],AG$1)</f>
        <v>1</v>
      </c>
      <c r="AH80" s="207">
        <f>SUMIFS(LstMachines[Nbre],LstMachines[Model-Spec],PrévisionBoris[[#This Row],[Spec]],LstMachines[Status],PrévisionBoris[[#This Row],[Status]],LstMachines[MoisLivr],AH$1)</f>
        <v>0</v>
      </c>
      <c r="AI80" s="206">
        <f>SUMIFS(LstMachines[Nbre],LstMachines[Model-Spec],PrévisionBoris[[#This Row],[Spec]],LstMachines[Status],PrévisionBoris[[#This Row],[Status]],LstMachines[MoisLivr],AI$1)</f>
        <v>0</v>
      </c>
      <c r="AJ80" s="207">
        <f>SUMIFS(LstMachines[Nbre],LstMachines[Model-Spec],PrévisionBoris[[#This Row],[Spec]],LstMachines[Status],PrévisionBoris[[#This Row],[Status]],LstMachines[MoisLivr],AJ$1)</f>
        <v>0</v>
      </c>
      <c r="AK80" s="207">
        <f>SUMIFS(LstMachines[Nbre],LstMachines[Model-Spec],PrévisionBoris[[#This Row],[Spec]],LstMachines[Status],PrévisionBoris[[#This Row],[Status]],LstMachines[MoisLivr],AK$1)</f>
        <v>0</v>
      </c>
      <c r="AL80" s="206">
        <f>SUMIFS(LstMachines[Nbre],LstMachines[Model-Spec],PrévisionBoris[[#This Row],[Spec]],LstMachines[Status],PrévisionBoris[[#This Row],[Status]],LstMachines[MoisLivr],AL$1)</f>
        <v>0</v>
      </c>
      <c r="AM80" s="207">
        <f>SUMIFS(LstMachines[Nbre],LstMachines[Model-Spec],PrévisionBoris[[#This Row],[Spec]],LstMachines[Status],PrévisionBoris[[#This Row],[Status]],LstMachines[MoisLivr],AM$1)</f>
        <v>1</v>
      </c>
      <c r="AN80" s="207">
        <f>SUMIFS(LstMachines[Nbre],LstMachines[Model-Spec],PrévisionBoris[[#This Row],[Spec]],LstMachines[Status],PrévisionBoris[[#This Row],[Status]],LstMachines[MoisLivr],AN$1)</f>
        <v>10</v>
      </c>
      <c r="AO80" s="206">
        <f>SUMIFS(LstMachines[Nbre],LstMachines[Model-Spec],PrévisionBoris[[#This Row],[Spec]],LstMachines[Status],PrévisionBoris[[#This Row],[Status]],LstMachines[MoisLivr],AO$1)</f>
        <v>0</v>
      </c>
      <c r="AP80" s="207">
        <f>SUMIFS(LstMachines[Nbre],LstMachines[Model-Spec],PrévisionBoris[[#This Row],[Spec]],LstMachines[Status],PrévisionBoris[[#This Row],[Status]],LstMachines[MoisLivr],AP$1)</f>
        <v>0</v>
      </c>
      <c r="AQ80" s="207">
        <f>SUMIFS(LstMachines[Nbre],LstMachines[Model-Spec],PrévisionBoris[[#This Row],[Spec]],LstMachines[Status],PrévisionBoris[[#This Row],[Status]],LstMachines[MoisLivr],AQ$1)</f>
        <v>1</v>
      </c>
      <c r="AR80" s="206">
        <f>SUMIFS(LstMachines[Nbre],LstMachines[Model-Spec],PrévisionBoris[[#This Row],[Spec]],LstMachines[Status],PrévisionBoris[[#This Row],[Status]],LstMachines[MoisLivr],AR$1)</f>
        <v>1</v>
      </c>
      <c r="AS80" s="207">
        <f>SUMIFS(LstMachines[Nbre],LstMachines[Model-Spec],PrévisionBoris[[#This Row],[Spec]],LstMachines[Status],PrévisionBoris[[#This Row],[Status]],LstMachines[MoisLivr],AS$1)</f>
        <v>1</v>
      </c>
      <c r="AT80" s="207">
        <f>SUMIFS(LstMachines[Nbre],LstMachines[Model-Spec],PrévisionBoris[[#This Row],[Spec]],LstMachines[Status],PrévisionBoris[[#This Row],[Status]],LstMachines[MoisLivr],AT$1)</f>
        <v>0</v>
      </c>
      <c r="AU80" s="206">
        <f>SUMIFS(LstMachines[Nbre],LstMachines[Model-Spec],PrévisionBoris[[#This Row],[Spec]],LstMachines[Status],PrévisionBoris[[#This Row],[Status]],LstMachines[MoisLivr],AU$1)</f>
        <v>0</v>
      </c>
      <c r="AV80" s="233">
        <f>SUMIFS(LstMachines[Nbre],LstMachines[Model-Spec],PrévisionBoris[[#This Row],[Spec]],LstMachines[Status],PrévisionBoris[[#This Row],[Status]],LstMachines[MoisLivr],AV$1)</f>
        <v>0</v>
      </c>
      <c r="AW80" s="208">
        <f>SUMIFS(LstMachines[Nbre],LstMachines[Model-Spec],PrévisionBoris[[#This Row],[Spec]],LstMachines[Status],PrévisionBoris[[#This Row],[Status]],LstMachines[MoisLivr],AW$1)</f>
        <v>0</v>
      </c>
      <c r="AX80" s="225"/>
      <c r="AY80" s="211">
        <f t="shared" si="19"/>
        <v>1</v>
      </c>
      <c r="AZ80" s="212">
        <f t="shared" si="20"/>
        <v>1</v>
      </c>
      <c r="BA80" s="212">
        <f t="shared" si="21"/>
        <v>1</v>
      </c>
      <c r="BB80" s="213">
        <f t="shared" si="22"/>
        <v>2</v>
      </c>
      <c r="BC80" s="225">
        <f t="shared" si="23"/>
        <v>5</v>
      </c>
      <c r="BD80" s="211">
        <f t="shared" si="24"/>
        <v>6</v>
      </c>
      <c r="BE80" s="212">
        <f t="shared" si="25"/>
        <v>31</v>
      </c>
      <c r="BF80" s="212">
        <f t="shared" si="26"/>
        <v>4</v>
      </c>
      <c r="BG80" s="213">
        <f t="shared" si="27"/>
        <v>2</v>
      </c>
      <c r="BH80" s="225">
        <f t="shared" si="28"/>
        <v>43</v>
      </c>
      <c r="BI80" s="214">
        <f t="shared" si="29"/>
        <v>0</v>
      </c>
      <c r="BJ80" s="215">
        <f t="shared" si="30"/>
        <v>11</v>
      </c>
      <c r="BK80" s="215">
        <f t="shared" si="31"/>
        <v>1</v>
      </c>
      <c r="BL80" s="216">
        <f t="shared" si="32"/>
        <v>2</v>
      </c>
      <c r="BM80" s="225">
        <f t="shared" si="33"/>
        <v>14</v>
      </c>
      <c r="BN80" s="225"/>
      <c r="BO80" s="234"/>
      <c r="BP80" s="218">
        <f t="shared" si="34"/>
        <v>62</v>
      </c>
    </row>
    <row r="81" spans="1:68">
      <c r="A81" s="170">
        <v>74</v>
      </c>
      <c r="B81" s="170" t="s">
        <v>75</v>
      </c>
      <c r="C81" s="200">
        <v>26</v>
      </c>
      <c r="D81" s="170" t="s">
        <v>77</v>
      </c>
      <c r="E81" s="170" t="s">
        <v>361</v>
      </c>
      <c r="F81" s="200">
        <f>VLOOKUP(PrévisionBoris[[#This Row],[Spec]],TabModelSpecs[[ModelSpec]:[Price]],2,FALSE)</f>
        <v>23</v>
      </c>
      <c r="G81" s="170" t="s">
        <v>462</v>
      </c>
      <c r="H81" s="219">
        <f>SUMIFS(LstMachines[Nbre],LstMachines[Model-Spec],PrévisionBoris[[#This Row],[Spec]],LstMachines[Status],PrévisionBoris[[#This Row],[Status]],LstMachines[MoisLivr],H$1)</f>
        <v>0</v>
      </c>
      <c r="I81" s="220">
        <f>SUMIFS(LstMachines[Nbre],LstMachines[Model-Spec],PrévisionBoris[[#This Row],[Spec]],LstMachines[Status],PrévisionBoris[[#This Row],[Status]],LstMachines[MoisLivr],I$1)</f>
        <v>0</v>
      </c>
      <c r="J81" s="221">
        <f>SUMIFS(LstMachines[Nbre],LstMachines[Model-Spec],PrévisionBoris[[#This Row],[Spec]],LstMachines[Status],PrévisionBoris[[#This Row],[Status]],LstMachines[MoisLivr],J$1)</f>
        <v>0</v>
      </c>
      <c r="K81" s="219">
        <f>SUMIFS(LstMachines[Nbre],LstMachines[Model-Spec],PrévisionBoris[[#This Row],[Spec]],LstMachines[Status],PrévisionBoris[[#This Row],[Status]],LstMachines[MoisLivr],K$1)</f>
        <v>0</v>
      </c>
      <c r="L81" s="220">
        <f>SUMIFS(LstMachines[Nbre],LstMachines[Model-Spec],PrévisionBoris[[#This Row],[Spec]],LstMachines[Status],PrévisionBoris[[#This Row],[Status]],LstMachines[MoisLivr],L$1)</f>
        <v>0</v>
      </c>
      <c r="M81" s="221">
        <f>SUMIFS(LstMachines[Nbre],LstMachines[Model-Spec],PrévisionBoris[[#This Row],[Spec]],LstMachines[Status],PrévisionBoris[[#This Row],[Status]],LstMachines[MoisLivr],M$1)</f>
        <v>0</v>
      </c>
      <c r="N81" s="219">
        <f>SUMIFS(LstMachines[Nbre],LstMachines[Model-Spec],PrévisionBoris[[#This Row],[Spec]],LstMachines[Status],PrévisionBoris[[#This Row],[Status]],LstMachines[MoisLivr],N$1)</f>
        <v>0</v>
      </c>
      <c r="O81" s="220">
        <f>SUMIFS(LstMachines[Nbre],LstMachines[Model-Spec],PrévisionBoris[[#This Row],[Spec]],LstMachines[Status],PrévisionBoris[[#This Row],[Status]],LstMachines[MoisLivr],O$1)</f>
        <v>0</v>
      </c>
      <c r="P81" s="221">
        <f>SUMIFS(LstMachines[Nbre],LstMachines[Model-Spec],PrévisionBoris[[#This Row],[Spec]],LstMachines[Status],PrévisionBoris[[#This Row],[Status]],LstMachines[MoisLivr],P$1)</f>
        <v>0</v>
      </c>
      <c r="Q81" s="222">
        <f>SUMIFS(LstMachines[Nbre],LstMachines[Model-Spec],PrévisionBoris[[#This Row],[Spec]],LstMachines[Status],PrévisionBoris[[#This Row],[Status]],LstMachines[MoisLivr],Q$1)</f>
        <v>0</v>
      </c>
      <c r="R81" s="220">
        <f>SUMIFS(LstMachines[Nbre],LstMachines[Model-Spec],PrévisionBoris[[#This Row],[Spec]],LstMachines[Status],PrévisionBoris[[#This Row],[Status]],LstMachines[MoisLivr],R$1)</f>
        <v>0</v>
      </c>
      <c r="S81" s="220">
        <f>SUMIFS(LstMachines[Nbre],LstMachines[Model-Spec],PrévisionBoris[[#This Row],[Spec]],LstMachines[Status],PrévisionBoris[[#This Row],[Status]],LstMachines[MoisLivr],S$1)</f>
        <v>0</v>
      </c>
      <c r="T81" s="219">
        <f>SUMIFS(LstMachines[Nbre],LstMachines[Model-Spec],PrévisionBoris[[#This Row],[Spec]],LstMachines[Status],PrévisionBoris[[#This Row],[Status]],LstMachines[MoisLivr],T$1)</f>
        <v>0</v>
      </c>
      <c r="U81" s="220">
        <f>SUMIFS(LstMachines[Nbre],LstMachines[Model-Spec],PrévisionBoris[[#This Row],[Spec]],LstMachines[Status],PrévisionBoris[[#This Row],[Status]],LstMachines[MoisLivr],U$1)</f>
        <v>0</v>
      </c>
      <c r="V81" s="220">
        <f>SUMIFS(LstMachines[Nbre],LstMachines[Model-Spec],PrévisionBoris[[#This Row],[Spec]],LstMachines[Status],PrévisionBoris[[#This Row],[Status]],LstMachines[MoisLivr],V$1)</f>
        <v>0</v>
      </c>
      <c r="W81" s="219">
        <f>SUMIFS(LstMachines[Nbre],LstMachines[Model-Spec],PrévisionBoris[[#This Row],[Spec]],LstMachines[Status],PrévisionBoris[[#This Row],[Status]],LstMachines[MoisLivr],W$1)</f>
        <v>0</v>
      </c>
      <c r="X81" s="220">
        <f>SUMIFS(LstMachines[Nbre],LstMachines[Model-Spec],PrévisionBoris[[#This Row],[Spec]],LstMachines[Status],PrévisionBoris[[#This Row],[Status]],LstMachines[MoisLivr],X$1)</f>
        <v>0</v>
      </c>
      <c r="Y81" s="220">
        <f>SUMIFS(LstMachines[Nbre],LstMachines[Model-Spec],PrévisionBoris[[#This Row],[Spec]],LstMachines[Status],PrévisionBoris[[#This Row],[Status]],LstMachines[MoisLivr],Y$1)</f>
        <v>0</v>
      </c>
      <c r="Z81" s="219">
        <f>SUMIFS(LstMachines[Nbre],LstMachines[Model-Spec],PrévisionBoris[[#This Row],[Spec]],LstMachines[Status],PrévisionBoris[[#This Row],[Status]],LstMachines[MoisLivr],Z$1)</f>
        <v>0</v>
      </c>
      <c r="AA81" s="220">
        <f>SUMIFS(LstMachines[Nbre],LstMachines[Model-Spec],PrévisionBoris[[#This Row],[Spec]],LstMachines[Status],PrévisionBoris[[#This Row],[Status]],LstMachines[MoisLivr],AA$1)</f>
        <v>0</v>
      </c>
      <c r="AB81" s="220">
        <f>SUMIFS(LstMachines[Nbre],LstMachines[Model-Spec],PrévisionBoris[[#This Row],[Spec]],LstMachines[Status],PrévisionBoris[[#This Row],[Status]],LstMachines[MoisLivr],AB$1)</f>
        <v>0</v>
      </c>
      <c r="AC81" s="219">
        <f>SUMIFS(LstMachines[Nbre],LstMachines[Model-Spec],PrévisionBoris[[#This Row],[Spec]],LstMachines[Status],PrévisionBoris[[#This Row],[Status]],LstMachines[MoisLivr],AC$1)</f>
        <v>0</v>
      </c>
      <c r="AD81" s="220">
        <f>SUMIFS(LstMachines[Nbre],LstMachines[Model-Spec],PrévisionBoris[[#This Row],[Spec]],LstMachines[Status],PrévisionBoris[[#This Row],[Status]],LstMachines[MoisLivr],AD$1)</f>
        <v>0</v>
      </c>
      <c r="AE81" s="220">
        <f>SUMIFS(LstMachines[Nbre],LstMachines[Model-Spec],PrévisionBoris[[#This Row],[Spec]],LstMachines[Status],PrévisionBoris[[#This Row],[Status]],LstMachines[MoisLivr],AE$1)</f>
        <v>0</v>
      </c>
      <c r="AF81" s="219">
        <f>SUMIFS(LstMachines[Nbre],LstMachines[Model-Spec],PrévisionBoris[[#This Row],[Spec]],LstMachines[Status],PrévisionBoris[[#This Row],[Status]],LstMachines[MoisLivr],AF$1)</f>
        <v>0</v>
      </c>
      <c r="AG81" s="220">
        <f>SUMIFS(LstMachines[Nbre],LstMachines[Model-Spec],PrévisionBoris[[#This Row],[Spec]],LstMachines[Status],PrévisionBoris[[#This Row],[Status]],LstMachines[MoisLivr],AG$1)</f>
        <v>0</v>
      </c>
      <c r="AH81" s="220">
        <f>SUMIFS(LstMachines[Nbre],LstMachines[Model-Spec],PrévisionBoris[[#This Row],[Spec]],LstMachines[Status],PrévisionBoris[[#This Row],[Status]],LstMachines[MoisLivr],AH$1)</f>
        <v>0</v>
      </c>
      <c r="AI81" s="219">
        <f>SUMIFS(LstMachines[Nbre],LstMachines[Model-Spec],PrévisionBoris[[#This Row],[Spec]],LstMachines[Status],PrévisionBoris[[#This Row],[Status]],LstMachines[MoisLivr],AI$1)</f>
        <v>0</v>
      </c>
      <c r="AJ81" s="220">
        <f>SUMIFS(LstMachines[Nbre],LstMachines[Model-Spec],PrévisionBoris[[#This Row],[Spec]],LstMachines[Status],PrévisionBoris[[#This Row],[Status]],LstMachines[MoisLivr],AJ$1)</f>
        <v>0</v>
      </c>
      <c r="AK81" s="220">
        <f>SUMIFS(LstMachines[Nbre],LstMachines[Model-Spec],PrévisionBoris[[#This Row],[Spec]],LstMachines[Status],PrévisionBoris[[#This Row],[Status]],LstMachines[MoisLivr],AK$1)</f>
        <v>0</v>
      </c>
      <c r="AL81" s="219">
        <f>SUMIFS(LstMachines[Nbre],LstMachines[Model-Spec],PrévisionBoris[[#This Row],[Spec]],LstMachines[Status],PrévisionBoris[[#This Row],[Status]],LstMachines[MoisLivr],AL$1)</f>
        <v>0</v>
      </c>
      <c r="AM81" s="220">
        <f>SUMIFS(LstMachines[Nbre],LstMachines[Model-Spec],PrévisionBoris[[#This Row],[Spec]],LstMachines[Status],PrévisionBoris[[#This Row],[Status]],LstMachines[MoisLivr],AM$1)</f>
        <v>0</v>
      </c>
      <c r="AN81" s="220">
        <f>SUMIFS(LstMachines[Nbre],LstMachines[Model-Spec],PrévisionBoris[[#This Row],[Spec]],LstMachines[Status],PrévisionBoris[[#This Row],[Status]],LstMachines[MoisLivr],AN$1)</f>
        <v>0</v>
      </c>
      <c r="AO81" s="219">
        <f>SUMIFS(LstMachines[Nbre],LstMachines[Model-Spec],PrévisionBoris[[#This Row],[Spec]],LstMachines[Status],PrévisionBoris[[#This Row],[Status]],LstMachines[MoisLivr],AO$1)</f>
        <v>0</v>
      </c>
      <c r="AP81" s="220">
        <f>SUMIFS(LstMachines[Nbre],LstMachines[Model-Spec],PrévisionBoris[[#This Row],[Spec]],LstMachines[Status],PrévisionBoris[[#This Row],[Status]],LstMachines[MoisLivr],AP$1)</f>
        <v>0</v>
      </c>
      <c r="AQ81" s="220">
        <f>SUMIFS(LstMachines[Nbre],LstMachines[Model-Spec],PrévisionBoris[[#This Row],[Spec]],LstMachines[Status],PrévisionBoris[[#This Row],[Status]],LstMachines[MoisLivr],AQ$1)</f>
        <v>0</v>
      </c>
      <c r="AR81" s="219">
        <f>SUMIFS(LstMachines[Nbre],LstMachines[Model-Spec],PrévisionBoris[[#This Row],[Spec]],LstMachines[Status],PrévisionBoris[[#This Row],[Status]],LstMachines[MoisLivr],AR$1)</f>
        <v>0</v>
      </c>
      <c r="AS81" s="220">
        <f>SUMIFS(LstMachines[Nbre],LstMachines[Model-Spec],PrévisionBoris[[#This Row],[Spec]],LstMachines[Status],PrévisionBoris[[#This Row],[Status]],LstMachines[MoisLivr],AS$1)</f>
        <v>0</v>
      </c>
      <c r="AT81" s="220">
        <f>SUMIFS(LstMachines[Nbre],LstMachines[Model-Spec],PrévisionBoris[[#This Row],[Spec]],LstMachines[Status],PrévisionBoris[[#This Row],[Status]],LstMachines[MoisLivr],AT$1)</f>
        <v>0</v>
      </c>
      <c r="AU81" s="219">
        <f>SUMIFS(LstMachines[Nbre],LstMachines[Model-Spec],PrévisionBoris[[#This Row],[Spec]],LstMachines[Status],PrévisionBoris[[#This Row],[Status]],LstMachines[MoisLivr],AU$1)</f>
        <v>0</v>
      </c>
      <c r="AV81" s="223">
        <f>SUMIFS(LstMachines[Nbre],LstMachines[Model-Spec],PrévisionBoris[[#This Row],[Spec]],LstMachines[Status],PrévisionBoris[[#This Row],[Status]],LstMachines[MoisLivr],AV$1)</f>
        <v>0</v>
      </c>
      <c r="AW81" s="224">
        <f>SUMIFS(LstMachines[Nbre],LstMachines[Model-Spec],PrévisionBoris[[#This Row],[Spec]],LstMachines[Status],PrévisionBoris[[#This Row],[Status]],LstMachines[MoisLivr],AW$1)</f>
        <v>0</v>
      </c>
      <c r="AX81" s="210"/>
      <c r="AY81" s="211">
        <f t="shared" si="19"/>
        <v>0</v>
      </c>
      <c r="AZ81" s="212">
        <f t="shared" si="20"/>
        <v>0</v>
      </c>
      <c r="BA81" s="212">
        <f t="shared" si="21"/>
        <v>0</v>
      </c>
      <c r="BB81" s="213">
        <f t="shared" si="22"/>
        <v>0</v>
      </c>
      <c r="BC81" s="225">
        <f t="shared" si="23"/>
        <v>0</v>
      </c>
      <c r="BD81" s="211">
        <f t="shared" si="24"/>
        <v>0</v>
      </c>
      <c r="BE81" s="212">
        <f t="shared" si="25"/>
        <v>0</v>
      </c>
      <c r="BF81" s="212">
        <f t="shared" si="26"/>
        <v>0</v>
      </c>
      <c r="BG81" s="213">
        <f t="shared" si="27"/>
        <v>0</v>
      </c>
      <c r="BH81" s="225">
        <f t="shared" si="28"/>
        <v>0</v>
      </c>
      <c r="BI81" s="214">
        <f t="shared" si="29"/>
        <v>0</v>
      </c>
      <c r="BJ81" s="215">
        <f t="shared" si="30"/>
        <v>0</v>
      </c>
      <c r="BK81" s="215">
        <f t="shared" si="31"/>
        <v>0</v>
      </c>
      <c r="BL81" s="216">
        <f t="shared" si="32"/>
        <v>0</v>
      </c>
      <c r="BM81" s="225">
        <f t="shared" si="33"/>
        <v>0</v>
      </c>
      <c r="BN81" s="225"/>
      <c r="BO81" s="217"/>
      <c r="BP81" s="218">
        <f t="shared" si="34"/>
        <v>0</v>
      </c>
    </row>
    <row r="82" spans="1:68">
      <c r="A82" s="171">
        <v>75</v>
      </c>
      <c r="B82" s="171" t="s">
        <v>75</v>
      </c>
      <c r="C82" s="201">
        <v>26</v>
      </c>
      <c r="D82" s="171" t="s">
        <v>77</v>
      </c>
      <c r="E82" s="171" t="s">
        <v>361</v>
      </c>
      <c r="F82" s="201">
        <f>VLOOKUP(PrévisionBoris[[#This Row],[Spec]],TabModelSpecs[[ModelSpec]:[Price]],2,FALSE)</f>
        <v>23</v>
      </c>
      <c r="G82" s="171" t="s">
        <v>463</v>
      </c>
      <c r="H82" s="226">
        <f>SUMIFS(LstMachines[Nbre],LstMachines[Model-Spec],PrévisionBoris[[#This Row],[Spec]],LstMachines[Status],PrévisionBoris[[#This Row],[Status]],LstMachines[MoisLivr],H$1)</f>
        <v>0</v>
      </c>
      <c r="I82" s="227">
        <f>SUMIFS(LstMachines[Nbre],LstMachines[Model-Spec],PrévisionBoris[[#This Row],[Spec]],LstMachines[Status],PrévisionBoris[[#This Row],[Status]],LstMachines[MoisLivr],I$1)</f>
        <v>0</v>
      </c>
      <c r="J82" s="228">
        <f>SUMIFS(LstMachines[Nbre],LstMachines[Model-Spec],PrévisionBoris[[#This Row],[Spec]],LstMachines[Status],PrévisionBoris[[#This Row],[Status]],LstMachines[MoisLivr],J$1)</f>
        <v>0</v>
      </c>
      <c r="K82" s="226">
        <f>SUMIFS(LstMachines[Nbre],LstMachines[Model-Spec],PrévisionBoris[[#This Row],[Spec]],LstMachines[Status],PrévisionBoris[[#This Row],[Status]],LstMachines[MoisLivr],K$1)</f>
        <v>1</v>
      </c>
      <c r="L82" s="227">
        <f>SUMIFS(LstMachines[Nbre],LstMachines[Model-Spec],PrévisionBoris[[#This Row],[Spec]],LstMachines[Status],PrévisionBoris[[#This Row],[Status]],LstMachines[MoisLivr],L$1)</f>
        <v>0</v>
      </c>
      <c r="M82" s="228">
        <f>SUMIFS(LstMachines[Nbre],LstMachines[Model-Spec],PrévisionBoris[[#This Row],[Spec]],LstMachines[Status],PrévisionBoris[[#This Row],[Status]],LstMachines[MoisLivr],M$1)</f>
        <v>1</v>
      </c>
      <c r="N82" s="226">
        <f>SUMIFS(LstMachines[Nbre],LstMachines[Model-Spec],PrévisionBoris[[#This Row],[Spec]],LstMachines[Status],PrévisionBoris[[#This Row],[Status]],LstMachines[MoisLivr],N$1)</f>
        <v>0</v>
      </c>
      <c r="O82" s="227">
        <f>SUMIFS(LstMachines[Nbre],LstMachines[Model-Spec],PrévisionBoris[[#This Row],[Spec]],LstMachines[Status],PrévisionBoris[[#This Row],[Status]],LstMachines[MoisLivr],O$1)</f>
        <v>2</v>
      </c>
      <c r="P82" s="228">
        <f>SUMIFS(LstMachines[Nbre],LstMachines[Model-Spec],PrévisionBoris[[#This Row],[Spec]],LstMachines[Status],PrévisionBoris[[#This Row],[Status]],LstMachines[MoisLivr],P$1)</f>
        <v>4</v>
      </c>
      <c r="Q82" s="229">
        <f>SUMIFS(LstMachines[Nbre],LstMachines[Model-Spec],PrévisionBoris[[#This Row],[Spec]],LstMachines[Status],PrévisionBoris[[#This Row],[Status]],LstMachines[MoisLivr],Q$1)</f>
        <v>2</v>
      </c>
      <c r="R82" s="227">
        <f>SUMIFS(LstMachines[Nbre],LstMachines[Model-Spec],PrévisionBoris[[#This Row],[Spec]],LstMachines[Status],PrévisionBoris[[#This Row],[Status]],LstMachines[MoisLivr],R$1)</f>
        <v>2</v>
      </c>
      <c r="S82" s="227">
        <f>SUMIFS(LstMachines[Nbre],LstMachines[Model-Spec],PrévisionBoris[[#This Row],[Spec]],LstMachines[Status],PrévisionBoris[[#This Row],[Status]],LstMachines[MoisLivr],S$1)</f>
        <v>0</v>
      </c>
      <c r="T82" s="226">
        <f>SUMIFS(LstMachines[Nbre],LstMachines[Model-Spec],PrévisionBoris[[#This Row],[Spec]],LstMachines[Status],PrévisionBoris[[#This Row],[Status]],LstMachines[MoisLivr],T$1)</f>
        <v>6</v>
      </c>
      <c r="U82" s="227">
        <f>SUMIFS(LstMachines[Nbre],LstMachines[Model-Spec],PrévisionBoris[[#This Row],[Spec]],LstMachines[Status],PrévisionBoris[[#This Row],[Status]],LstMachines[MoisLivr],U$1)</f>
        <v>0</v>
      </c>
      <c r="V82" s="227">
        <f>SUMIFS(LstMachines[Nbre],LstMachines[Model-Spec],PrévisionBoris[[#This Row],[Spec]],LstMachines[Status],PrévisionBoris[[#This Row],[Status]],LstMachines[MoisLivr],V$1)</f>
        <v>0</v>
      </c>
      <c r="W82" s="226">
        <f>SUMIFS(LstMachines[Nbre],LstMachines[Model-Spec],PrévisionBoris[[#This Row],[Spec]],LstMachines[Status],PrévisionBoris[[#This Row],[Status]],LstMachines[MoisLivr],W$1)</f>
        <v>0</v>
      </c>
      <c r="X82" s="227">
        <f>SUMIFS(LstMachines[Nbre],LstMachines[Model-Spec],PrévisionBoris[[#This Row],[Spec]],LstMachines[Status],PrévisionBoris[[#This Row],[Status]],LstMachines[MoisLivr],X$1)</f>
        <v>0</v>
      </c>
      <c r="Y82" s="227">
        <f>SUMIFS(LstMachines[Nbre],LstMachines[Model-Spec],PrévisionBoris[[#This Row],[Spec]],LstMachines[Status],PrévisionBoris[[#This Row],[Status]],LstMachines[MoisLivr],Y$1)</f>
        <v>0</v>
      </c>
      <c r="Z82" s="226">
        <f>SUMIFS(LstMachines[Nbre],LstMachines[Model-Spec],PrévisionBoris[[#This Row],[Spec]],LstMachines[Status],PrévisionBoris[[#This Row],[Status]],LstMachines[MoisLivr],Z$1)</f>
        <v>0</v>
      </c>
      <c r="AA82" s="227">
        <f>SUMIFS(LstMachines[Nbre],LstMachines[Model-Spec],PrévisionBoris[[#This Row],[Spec]],LstMachines[Status],PrévisionBoris[[#This Row],[Status]],LstMachines[MoisLivr],AA$1)</f>
        <v>0</v>
      </c>
      <c r="AB82" s="227">
        <f>SUMIFS(LstMachines[Nbre],LstMachines[Model-Spec],PrévisionBoris[[#This Row],[Spec]],LstMachines[Status],PrévisionBoris[[#This Row],[Status]],LstMachines[MoisLivr],AB$1)</f>
        <v>0</v>
      </c>
      <c r="AC82" s="226">
        <f>SUMIFS(LstMachines[Nbre],LstMachines[Model-Spec],PrévisionBoris[[#This Row],[Spec]],LstMachines[Status],PrévisionBoris[[#This Row],[Status]],LstMachines[MoisLivr],AC$1)</f>
        <v>0</v>
      </c>
      <c r="AD82" s="227">
        <f>SUMIFS(LstMachines[Nbre],LstMachines[Model-Spec],PrévisionBoris[[#This Row],[Spec]],LstMachines[Status],PrévisionBoris[[#This Row],[Status]],LstMachines[MoisLivr],AD$1)</f>
        <v>0</v>
      </c>
      <c r="AE82" s="227">
        <f>SUMIFS(LstMachines[Nbre],LstMachines[Model-Spec],PrévisionBoris[[#This Row],[Spec]],LstMachines[Status],PrévisionBoris[[#This Row],[Status]],LstMachines[MoisLivr],AE$1)</f>
        <v>0</v>
      </c>
      <c r="AF82" s="226">
        <f>SUMIFS(LstMachines[Nbre],LstMachines[Model-Spec],PrévisionBoris[[#This Row],[Spec]],LstMachines[Status],PrévisionBoris[[#This Row],[Status]],LstMachines[MoisLivr],AF$1)</f>
        <v>0</v>
      </c>
      <c r="AG82" s="227">
        <f>SUMIFS(LstMachines[Nbre],LstMachines[Model-Spec],PrévisionBoris[[#This Row],[Spec]],LstMachines[Status],PrévisionBoris[[#This Row],[Status]],LstMachines[MoisLivr],AG$1)</f>
        <v>0</v>
      </c>
      <c r="AH82" s="227">
        <f>SUMIFS(LstMachines[Nbre],LstMachines[Model-Spec],PrévisionBoris[[#This Row],[Spec]],LstMachines[Status],PrévisionBoris[[#This Row],[Status]],LstMachines[MoisLivr],AH$1)</f>
        <v>0</v>
      </c>
      <c r="AI82" s="226">
        <f>SUMIFS(LstMachines[Nbre],LstMachines[Model-Spec],PrévisionBoris[[#This Row],[Spec]],LstMachines[Status],PrévisionBoris[[#This Row],[Status]],LstMachines[MoisLivr],AI$1)</f>
        <v>0</v>
      </c>
      <c r="AJ82" s="227">
        <f>SUMIFS(LstMachines[Nbre],LstMachines[Model-Spec],PrévisionBoris[[#This Row],[Spec]],LstMachines[Status],PrévisionBoris[[#This Row],[Status]],LstMachines[MoisLivr],AJ$1)</f>
        <v>0</v>
      </c>
      <c r="AK82" s="227">
        <f>SUMIFS(LstMachines[Nbre],LstMachines[Model-Spec],PrévisionBoris[[#This Row],[Spec]],LstMachines[Status],PrévisionBoris[[#This Row],[Status]],LstMachines[MoisLivr],AK$1)</f>
        <v>0</v>
      </c>
      <c r="AL82" s="226">
        <f>SUMIFS(LstMachines[Nbre],LstMachines[Model-Spec],PrévisionBoris[[#This Row],[Spec]],LstMachines[Status],PrévisionBoris[[#This Row],[Status]],LstMachines[MoisLivr],AL$1)</f>
        <v>0</v>
      </c>
      <c r="AM82" s="227">
        <f>SUMIFS(LstMachines[Nbre],LstMachines[Model-Spec],PrévisionBoris[[#This Row],[Spec]],LstMachines[Status],PrévisionBoris[[#This Row],[Status]],LstMachines[MoisLivr],AM$1)</f>
        <v>0</v>
      </c>
      <c r="AN82" s="227">
        <f>SUMIFS(LstMachines[Nbre],LstMachines[Model-Spec],PrévisionBoris[[#This Row],[Spec]],LstMachines[Status],PrévisionBoris[[#This Row],[Status]],LstMachines[MoisLivr],AN$1)</f>
        <v>0</v>
      </c>
      <c r="AO82" s="226">
        <f>SUMIFS(LstMachines[Nbre],LstMachines[Model-Spec],PrévisionBoris[[#This Row],[Spec]],LstMachines[Status],PrévisionBoris[[#This Row],[Status]],LstMachines[MoisLivr],AO$1)</f>
        <v>0</v>
      </c>
      <c r="AP82" s="227">
        <f>SUMIFS(LstMachines[Nbre],LstMachines[Model-Spec],PrévisionBoris[[#This Row],[Spec]],LstMachines[Status],PrévisionBoris[[#This Row],[Status]],LstMachines[MoisLivr],AP$1)</f>
        <v>0</v>
      </c>
      <c r="AQ82" s="227">
        <f>SUMIFS(LstMachines[Nbre],LstMachines[Model-Spec],PrévisionBoris[[#This Row],[Spec]],LstMachines[Status],PrévisionBoris[[#This Row],[Status]],LstMachines[MoisLivr],AQ$1)</f>
        <v>0</v>
      </c>
      <c r="AR82" s="226">
        <f>SUMIFS(LstMachines[Nbre],LstMachines[Model-Spec],PrévisionBoris[[#This Row],[Spec]],LstMachines[Status],PrévisionBoris[[#This Row],[Status]],LstMachines[MoisLivr],AR$1)</f>
        <v>0</v>
      </c>
      <c r="AS82" s="227">
        <f>SUMIFS(LstMachines[Nbre],LstMachines[Model-Spec],PrévisionBoris[[#This Row],[Spec]],LstMachines[Status],PrévisionBoris[[#This Row],[Status]],LstMachines[MoisLivr],AS$1)</f>
        <v>0</v>
      </c>
      <c r="AT82" s="227">
        <f>SUMIFS(LstMachines[Nbre],LstMachines[Model-Spec],PrévisionBoris[[#This Row],[Spec]],LstMachines[Status],PrévisionBoris[[#This Row],[Status]],LstMachines[MoisLivr],AT$1)</f>
        <v>0</v>
      </c>
      <c r="AU82" s="226">
        <f>SUMIFS(LstMachines[Nbre],LstMachines[Model-Spec],PrévisionBoris[[#This Row],[Spec]],LstMachines[Status],PrévisionBoris[[#This Row],[Status]],LstMachines[MoisLivr],AU$1)</f>
        <v>0</v>
      </c>
      <c r="AV82" s="230">
        <f>SUMIFS(LstMachines[Nbre],LstMachines[Model-Spec],PrévisionBoris[[#This Row],[Spec]],LstMachines[Status],PrévisionBoris[[#This Row],[Status]],LstMachines[MoisLivr],AV$1)</f>
        <v>0</v>
      </c>
      <c r="AW82" s="231">
        <f>SUMIFS(LstMachines[Nbre],LstMachines[Model-Spec],PrévisionBoris[[#This Row],[Spec]],LstMachines[Status],PrévisionBoris[[#This Row],[Status]],LstMachines[MoisLivr],AW$1)</f>
        <v>0</v>
      </c>
      <c r="AX82" s="232"/>
      <c r="AY82" s="211">
        <f t="shared" si="19"/>
        <v>2</v>
      </c>
      <c r="AZ82" s="212">
        <f t="shared" si="20"/>
        <v>6</v>
      </c>
      <c r="BA82" s="212">
        <f t="shared" si="21"/>
        <v>4</v>
      </c>
      <c r="BB82" s="213">
        <f t="shared" si="22"/>
        <v>6</v>
      </c>
      <c r="BC82" s="225">
        <f t="shared" si="23"/>
        <v>18</v>
      </c>
      <c r="BD82" s="211">
        <f t="shared" si="24"/>
        <v>0</v>
      </c>
      <c r="BE82" s="212">
        <f t="shared" si="25"/>
        <v>0</v>
      </c>
      <c r="BF82" s="212">
        <f t="shared" si="26"/>
        <v>0</v>
      </c>
      <c r="BG82" s="213">
        <f t="shared" si="27"/>
        <v>0</v>
      </c>
      <c r="BH82" s="225">
        <f t="shared" si="28"/>
        <v>0</v>
      </c>
      <c r="BI82" s="214">
        <f t="shared" si="29"/>
        <v>0</v>
      </c>
      <c r="BJ82" s="215">
        <f t="shared" si="30"/>
        <v>0</v>
      </c>
      <c r="BK82" s="215">
        <f t="shared" si="31"/>
        <v>0</v>
      </c>
      <c r="BL82" s="216">
        <f t="shared" si="32"/>
        <v>0</v>
      </c>
      <c r="BM82" s="225">
        <f t="shared" si="33"/>
        <v>0</v>
      </c>
      <c r="BN82" s="225"/>
      <c r="BO82" s="217"/>
      <c r="BP82" s="218">
        <f t="shared" si="34"/>
        <v>18</v>
      </c>
    </row>
    <row r="83" spans="1:68">
      <c r="A83" s="172">
        <v>76</v>
      </c>
      <c r="B83" s="172" t="s">
        <v>75</v>
      </c>
      <c r="C83" s="202">
        <v>26</v>
      </c>
      <c r="D83" s="172" t="s">
        <v>77</v>
      </c>
      <c r="E83" s="172" t="s">
        <v>403</v>
      </c>
      <c r="F83" s="202">
        <f>VLOOKUP(PrévisionBoris[[#This Row],[Spec]],TabModelSpecs[[ModelSpec]:[Price]],2,FALSE)</f>
        <v>23</v>
      </c>
      <c r="G83" s="172" t="s">
        <v>461</v>
      </c>
      <c r="H83" s="206">
        <f>SUMIFS(LstMachines[Nbre],LstMachines[Model-Spec],PrévisionBoris[[#This Row],[Spec]],LstMachines[Status],PrévisionBoris[[#This Row],[Status]],LstMachines[MoisLivr],H$1)</f>
        <v>0</v>
      </c>
      <c r="I83" s="207">
        <f>SUMIFS(LstMachines[Nbre],LstMachines[Model-Spec],PrévisionBoris[[#This Row],[Spec]],LstMachines[Status],PrévisionBoris[[#This Row],[Status]],LstMachines[MoisLivr],I$1)</f>
        <v>0</v>
      </c>
      <c r="J83" s="208">
        <f>SUMIFS(LstMachines[Nbre],LstMachines[Model-Spec],PrévisionBoris[[#This Row],[Spec]],LstMachines[Status],PrévisionBoris[[#This Row],[Status]],LstMachines[MoisLivr],J$1)</f>
        <v>0</v>
      </c>
      <c r="K83" s="206">
        <f>SUMIFS(LstMachines[Nbre],LstMachines[Model-Spec],PrévisionBoris[[#This Row],[Spec]],LstMachines[Status],PrévisionBoris[[#This Row],[Status]],LstMachines[MoisLivr],K$1)</f>
        <v>0</v>
      </c>
      <c r="L83" s="207">
        <f>SUMIFS(LstMachines[Nbre],LstMachines[Model-Spec],PrévisionBoris[[#This Row],[Spec]],LstMachines[Status],PrévisionBoris[[#This Row],[Status]],LstMachines[MoisLivr],L$1)</f>
        <v>0</v>
      </c>
      <c r="M83" s="208">
        <f>SUMIFS(LstMachines[Nbre],LstMachines[Model-Spec],PrévisionBoris[[#This Row],[Spec]],LstMachines[Status],PrévisionBoris[[#This Row],[Status]],LstMachines[MoisLivr],M$1)</f>
        <v>0</v>
      </c>
      <c r="N83" s="206">
        <f>SUMIFS(LstMachines[Nbre],LstMachines[Model-Spec],PrévisionBoris[[#This Row],[Spec]],LstMachines[Status],PrévisionBoris[[#This Row],[Status]],LstMachines[MoisLivr],N$1)</f>
        <v>0</v>
      </c>
      <c r="O83" s="207">
        <f>SUMIFS(LstMachines[Nbre],LstMachines[Model-Spec],PrévisionBoris[[#This Row],[Spec]],LstMachines[Status],PrévisionBoris[[#This Row],[Status]],LstMachines[MoisLivr],O$1)</f>
        <v>0</v>
      </c>
      <c r="P83" s="208">
        <f>SUMIFS(LstMachines[Nbre],LstMachines[Model-Spec],PrévisionBoris[[#This Row],[Spec]],LstMachines[Status],PrévisionBoris[[#This Row],[Status]],LstMachines[MoisLivr],P$1)</f>
        <v>0</v>
      </c>
      <c r="Q83" s="209">
        <f>SUMIFS(LstMachines[Nbre],LstMachines[Model-Spec],PrévisionBoris[[#This Row],[Spec]],LstMachines[Status],PrévisionBoris[[#This Row],[Status]],LstMachines[MoisLivr],Q$1)</f>
        <v>0</v>
      </c>
      <c r="R83" s="207">
        <f>SUMIFS(LstMachines[Nbre],LstMachines[Model-Spec],PrévisionBoris[[#This Row],[Spec]],LstMachines[Status],PrévisionBoris[[#This Row],[Status]],LstMachines[MoisLivr],R$1)</f>
        <v>0</v>
      </c>
      <c r="S83" s="207">
        <f>SUMIFS(LstMachines[Nbre],LstMachines[Model-Spec],PrévisionBoris[[#This Row],[Spec]],LstMachines[Status],PrévisionBoris[[#This Row],[Status]],LstMachines[MoisLivr],S$1)</f>
        <v>0</v>
      </c>
      <c r="T83" s="206">
        <f>SUMIFS(LstMachines[Nbre],LstMachines[Model-Spec],PrévisionBoris[[#This Row],[Spec]],LstMachines[Status],PrévisionBoris[[#This Row],[Status]],LstMachines[MoisLivr],T$1)</f>
        <v>0</v>
      </c>
      <c r="U83" s="207">
        <f>SUMIFS(LstMachines[Nbre],LstMachines[Model-Spec],PrévisionBoris[[#This Row],[Spec]],LstMachines[Status],PrévisionBoris[[#This Row],[Status]],LstMachines[MoisLivr],U$1)</f>
        <v>0</v>
      </c>
      <c r="V83" s="207">
        <f>SUMIFS(LstMachines[Nbre],LstMachines[Model-Spec],PrévisionBoris[[#This Row],[Spec]],LstMachines[Status],PrévisionBoris[[#This Row],[Status]],LstMachines[MoisLivr],V$1)</f>
        <v>0</v>
      </c>
      <c r="W83" s="206">
        <f>SUMIFS(LstMachines[Nbre],LstMachines[Model-Spec],PrévisionBoris[[#This Row],[Spec]],LstMachines[Status],PrévisionBoris[[#This Row],[Status]],LstMachines[MoisLivr],W$1)</f>
        <v>0</v>
      </c>
      <c r="X83" s="207">
        <f>SUMIFS(LstMachines[Nbre],LstMachines[Model-Spec],PrévisionBoris[[#This Row],[Spec]],LstMachines[Status],PrévisionBoris[[#This Row],[Status]],LstMachines[MoisLivr],X$1)</f>
        <v>0</v>
      </c>
      <c r="Y83" s="207">
        <f>SUMIFS(LstMachines[Nbre],LstMachines[Model-Spec],PrévisionBoris[[#This Row],[Spec]],LstMachines[Status],PrévisionBoris[[#This Row],[Status]],LstMachines[MoisLivr],Y$1)</f>
        <v>0</v>
      </c>
      <c r="Z83" s="206">
        <f>SUMIFS(LstMachines[Nbre],LstMachines[Model-Spec],PrévisionBoris[[#This Row],[Spec]],LstMachines[Status],PrévisionBoris[[#This Row],[Status]],LstMachines[MoisLivr],Z$1)</f>
        <v>0</v>
      </c>
      <c r="AA83" s="207">
        <f>SUMIFS(LstMachines[Nbre],LstMachines[Model-Spec],PrévisionBoris[[#This Row],[Spec]],LstMachines[Status],PrévisionBoris[[#This Row],[Status]],LstMachines[MoisLivr],AA$1)</f>
        <v>0</v>
      </c>
      <c r="AB83" s="207">
        <f>SUMIFS(LstMachines[Nbre],LstMachines[Model-Spec],PrévisionBoris[[#This Row],[Spec]],LstMachines[Status],PrévisionBoris[[#This Row],[Status]],LstMachines[MoisLivr],AB$1)</f>
        <v>0</v>
      </c>
      <c r="AC83" s="206">
        <f>SUMIFS(LstMachines[Nbre],LstMachines[Model-Spec],PrévisionBoris[[#This Row],[Spec]],LstMachines[Status],PrévisionBoris[[#This Row],[Status]],LstMachines[MoisLivr],AC$1)</f>
        <v>0</v>
      </c>
      <c r="AD83" s="207">
        <f>SUMIFS(LstMachines[Nbre],LstMachines[Model-Spec],PrévisionBoris[[#This Row],[Spec]],LstMachines[Status],PrévisionBoris[[#This Row],[Status]],LstMachines[MoisLivr],AD$1)</f>
        <v>0</v>
      </c>
      <c r="AE83" s="207">
        <f>SUMIFS(LstMachines[Nbre],LstMachines[Model-Spec],PrévisionBoris[[#This Row],[Spec]],LstMachines[Status],PrévisionBoris[[#This Row],[Status]],LstMachines[MoisLivr],AE$1)</f>
        <v>0</v>
      </c>
      <c r="AF83" s="206">
        <f>SUMIFS(LstMachines[Nbre],LstMachines[Model-Spec],PrévisionBoris[[#This Row],[Spec]],LstMachines[Status],PrévisionBoris[[#This Row],[Status]],LstMachines[MoisLivr],AF$1)</f>
        <v>0</v>
      </c>
      <c r="AG83" s="207">
        <f>SUMIFS(LstMachines[Nbre],LstMachines[Model-Spec],PrévisionBoris[[#This Row],[Spec]],LstMachines[Status],PrévisionBoris[[#This Row],[Status]],LstMachines[MoisLivr],AG$1)</f>
        <v>0</v>
      </c>
      <c r="AH83" s="207">
        <f>SUMIFS(LstMachines[Nbre],LstMachines[Model-Spec],PrévisionBoris[[#This Row],[Spec]],LstMachines[Status],PrévisionBoris[[#This Row],[Status]],LstMachines[MoisLivr],AH$1)</f>
        <v>0</v>
      </c>
      <c r="AI83" s="206">
        <f>SUMIFS(LstMachines[Nbre],LstMachines[Model-Spec],PrévisionBoris[[#This Row],[Spec]],LstMachines[Status],PrévisionBoris[[#This Row],[Status]],LstMachines[MoisLivr],AI$1)</f>
        <v>0</v>
      </c>
      <c r="AJ83" s="207">
        <f>SUMIFS(LstMachines[Nbre],LstMachines[Model-Spec],PrévisionBoris[[#This Row],[Spec]],LstMachines[Status],PrévisionBoris[[#This Row],[Status]],LstMachines[MoisLivr],AJ$1)</f>
        <v>0</v>
      </c>
      <c r="AK83" s="207">
        <f>SUMIFS(LstMachines[Nbre],LstMachines[Model-Spec],PrévisionBoris[[#This Row],[Spec]],LstMachines[Status],PrévisionBoris[[#This Row],[Status]],LstMachines[MoisLivr],AK$1)</f>
        <v>0</v>
      </c>
      <c r="AL83" s="206">
        <f>SUMIFS(LstMachines[Nbre],LstMachines[Model-Spec],PrévisionBoris[[#This Row],[Spec]],LstMachines[Status],PrévisionBoris[[#This Row],[Status]],LstMachines[MoisLivr],AL$1)</f>
        <v>0</v>
      </c>
      <c r="AM83" s="207">
        <f>SUMIFS(LstMachines[Nbre],LstMachines[Model-Spec],PrévisionBoris[[#This Row],[Spec]],LstMachines[Status],PrévisionBoris[[#This Row],[Status]],LstMachines[MoisLivr],AM$1)</f>
        <v>0</v>
      </c>
      <c r="AN83" s="207">
        <f>SUMIFS(LstMachines[Nbre],LstMachines[Model-Spec],PrévisionBoris[[#This Row],[Spec]],LstMachines[Status],PrévisionBoris[[#This Row],[Status]],LstMachines[MoisLivr],AN$1)</f>
        <v>0</v>
      </c>
      <c r="AO83" s="206">
        <f>SUMIFS(LstMachines[Nbre],LstMachines[Model-Spec],PrévisionBoris[[#This Row],[Spec]],LstMachines[Status],PrévisionBoris[[#This Row],[Status]],LstMachines[MoisLivr],AO$1)</f>
        <v>0</v>
      </c>
      <c r="AP83" s="207">
        <f>SUMIFS(LstMachines[Nbre],LstMachines[Model-Spec],PrévisionBoris[[#This Row],[Spec]],LstMachines[Status],PrévisionBoris[[#This Row],[Status]],LstMachines[MoisLivr],AP$1)</f>
        <v>0</v>
      </c>
      <c r="AQ83" s="207">
        <f>SUMIFS(LstMachines[Nbre],LstMachines[Model-Spec],PrévisionBoris[[#This Row],[Spec]],LstMachines[Status],PrévisionBoris[[#This Row],[Status]],LstMachines[MoisLivr],AQ$1)</f>
        <v>0</v>
      </c>
      <c r="AR83" s="206">
        <f>SUMIFS(LstMachines[Nbre],LstMachines[Model-Spec],PrévisionBoris[[#This Row],[Spec]],LstMachines[Status],PrévisionBoris[[#This Row],[Status]],LstMachines[MoisLivr],AR$1)</f>
        <v>0</v>
      </c>
      <c r="AS83" s="207">
        <f>SUMIFS(LstMachines[Nbre],LstMachines[Model-Spec],PrévisionBoris[[#This Row],[Spec]],LstMachines[Status],PrévisionBoris[[#This Row],[Status]],LstMachines[MoisLivr],AS$1)</f>
        <v>0</v>
      </c>
      <c r="AT83" s="207">
        <f>SUMIFS(LstMachines[Nbre],LstMachines[Model-Spec],PrévisionBoris[[#This Row],[Spec]],LstMachines[Status],PrévisionBoris[[#This Row],[Status]],LstMachines[MoisLivr],AT$1)</f>
        <v>0</v>
      </c>
      <c r="AU83" s="206">
        <f>SUMIFS(LstMachines[Nbre],LstMachines[Model-Spec],PrévisionBoris[[#This Row],[Spec]],LstMachines[Status],PrévisionBoris[[#This Row],[Status]],LstMachines[MoisLivr],AU$1)</f>
        <v>0</v>
      </c>
      <c r="AV83" s="233">
        <f>SUMIFS(LstMachines[Nbre],LstMachines[Model-Spec],PrévisionBoris[[#This Row],[Spec]],LstMachines[Status],PrévisionBoris[[#This Row],[Status]],LstMachines[MoisLivr],AV$1)</f>
        <v>0</v>
      </c>
      <c r="AW83" s="208">
        <f>SUMIFS(LstMachines[Nbre],LstMachines[Model-Spec],PrévisionBoris[[#This Row],[Spec]],LstMachines[Status],PrévisionBoris[[#This Row],[Status]],LstMachines[MoisLivr],AW$1)</f>
        <v>0</v>
      </c>
      <c r="AX83" s="225"/>
      <c r="AY83" s="211">
        <f t="shared" si="19"/>
        <v>0</v>
      </c>
      <c r="AZ83" s="212">
        <f t="shared" si="20"/>
        <v>0</v>
      </c>
      <c r="BA83" s="212">
        <f t="shared" si="21"/>
        <v>0</v>
      </c>
      <c r="BB83" s="213">
        <f t="shared" si="22"/>
        <v>0</v>
      </c>
      <c r="BC83" s="225">
        <f t="shared" si="23"/>
        <v>0</v>
      </c>
      <c r="BD83" s="211">
        <f t="shared" si="24"/>
        <v>0</v>
      </c>
      <c r="BE83" s="212">
        <f t="shared" si="25"/>
        <v>0</v>
      </c>
      <c r="BF83" s="212">
        <f t="shared" si="26"/>
        <v>0</v>
      </c>
      <c r="BG83" s="213">
        <f t="shared" si="27"/>
        <v>0</v>
      </c>
      <c r="BH83" s="225">
        <f t="shared" si="28"/>
        <v>0</v>
      </c>
      <c r="BI83" s="214">
        <f t="shared" si="29"/>
        <v>0</v>
      </c>
      <c r="BJ83" s="215">
        <f t="shared" si="30"/>
        <v>0</v>
      </c>
      <c r="BK83" s="215">
        <f t="shared" si="31"/>
        <v>0</v>
      </c>
      <c r="BL83" s="216">
        <f t="shared" si="32"/>
        <v>0</v>
      </c>
      <c r="BM83" s="225">
        <f t="shared" si="33"/>
        <v>0</v>
      </c>
      <c r="BN83" s="225"/>
      <c r="BO83" s="234"/>
      <c r="BP83" s="218">
        <f t="shared" si="34"/>
        <v>0</v>
      </c>
    </row>
    <row r="84" spans="1:68">
      <c r="A84" s="170">
        <v>77</v>
      </c>
      <c r="B84" s="170" t="s">
        <v>75</v>
      </c>
      <c r="C84" s="200">
        <v>26</v>
      </c>
      <c r="D84" s="170" t="s">
        <v>77</v>
      </c>
      <c r="E84" s="170" t="s">
        <v>403</v>
      </c>
      <c r="F84" s="200">
        <f>VLOOKUP(PrévisionBoris[[#This Row],[Spec]],TabModelSpecs[[ModelSpec]:[Price]],2,FALSE)</f>
        <v>23</v>
      </c>
      <c r="G84" s="170" t="s">
        <v>462</v>
      </c>
      <c r="H84" s="219">
        <f>SUMIFS(LstMachines[Nbre],LstMachines[Model-Spec],PrévisionBoris[[#This Row],[Spec]],LstMachines[Status],PrévisionBoris[[#This Row],[Status]],LstMachines[MoisLivr],H$1)</f>
        <v>0</v>
      </c>
      <c r="I84" s="220">
        <f>SUMIFS(LstMachines[Nbre],LstMachines[Model-Spec],PrévisionBoris[[#This Row],[Spec]],LstMachines[Status],PrévisionBoris[[#This Row],[Status]],LstMachines[MoisLivr],I$1)</f>
        <v>0</v>
      </c>
      <c r="J84" s="221">
        <f>SUMIFS(LstMachines[Nbre],LstMachines[Model-Spec],PrévisionBoris[[#This Row],[Spec]],LstMachines[Status],PrévisionBoris[[#This Row],[Status]],LstMachines[MoisLivr],J$1)</f>
        <v>0</v>
      </c>
      <c r="K84" s="219">
        <f>SUMIFS(LstMachines[Nbre],LstMachines[Model-Spec],PrévisionBoris[[#This Row],[Spec]],LstMachines[Status],PrévisionBoris[[#This Row],[Status]],LstMachines[MoisLivr],K$1)</f>
        <v>0</v>
      </c>
      <c r="L84" s="220">
        <f>SUMIFS(LstMachines[Nbre],LstMachines[Model-Spec],PrévisionBoris[[#This Row],[Spec]],LstMachines[Status],PrévisionBoris[[#This Row],[Status]],LstMachines[MoisLivr],L$1)</f>
        <v>0</v>
      </c>
      <c r="M84" s="221">
        <f>SUMIFS(LstMachines[Nbre],LstMachines[Model-Spec],PrévisionBoris[[#This Row],[Spec]],LstMachines[Status],PrévisionBoris[[#This Row],[Status]],LstMachines[MoisLivr],M$1)</f>
        <v>0</v>
      </c>
      <c r="N84" s="219">
        <f>SUMIFS(LstMachines[Nbre],LstMachines[Model-Spec],PrévisionBoris[[#This Row],[Spec]],LstMachines[Status],PrévisionBoris[[#This Row],[Status]],LstMachines[MoisLivr],N$1)</f>
        <v>0</v>
      </c>
      <c r="O84" s="220">
        <f>SUMIFS(LstMachines[Nbre],LstMachines[Model-Spec],PrévisionBoris[[#This Row],[Spec]],LstMachines[Status],PrévisionBoris[[#This Row],[Status]],LstMachines[MoisLivr],O$1)</f>
        <v>0</v>
      </c>
      <c r="P84" s="221">
        <f>SUMIFS(LstMachines[Nbre],LstMachines[Model-Spec],PrévisionBoris[[#This Row],[Spec]],LstMachines[Status],PrévisionBoris[[#This Row],[Status]],LstMachines[MoisLivr],P$1)</f>
        <v>0</v>
      </c>
      <c r="Q84" s="222">
        <f>SUMIFS(LstMachines[Nbre],LstMachines[Model-Spec],PrévisionBoris[[#This Row],[Spec]],LstMachines[Status],PrévisionBoris[[#This Row],[Status]],LstMachines[MoisLivr],Q$1)</f>
        <v>0</v>
      </c>
      <c r="R84" s="220">
        <f>SUMIFS(LstMachines[Nbre],LstMachines[Model-Spec],PrévisionBoris[[#This Row],[Spec]],LstMachines[Status],PrévisionBoris[[#This Row],[Status]],LstMachines[MoisLivr],R$1)</f>
        <v>0</v>
      </c>
      <c r="S84" s="220">
        <f>SUMIFS(LstMachines[Nbre],LstMachines[Model-Spec],PrévisionBoris[[#This Row],[Spec]],LstMachines[Status],PrévisionBoris[[#This Row],[Status]],LstMachines[MoisLivr],S$1)</f>
        <v>0</v>
      </c>
      <c r="T84" s="219">
        <f>SUMIFS(LstMachines[Nbre],LstMachines[Model-Spec],PrévisionBoris[[#This Row],[Spec]],LstMachines[Status],PrévisionBoris[[#This Row],[Status]],LstMachines[MoisLivr],T$1)</f>
        <v>0</v>
      </c>
      <c r="U84" s="220">
        <f>SUMIFS(LstMachines[Nbre],LstMachines[Model-Spec],PrévisionBoris[[#This Row],[Spec]],LstMachines[Status],PrévisionBoris[[#This Row],[Status]],LstMachines[MoisLivr],U$1)</f>
        <v>0</v>
      </c>
      <c r="V84" s="220">
        <f>SUMIFS(LstMachines[Nbre],LstMachines[Model-Spec],PrévisionBoris[[#This Row],[Spec]],LstMachines[Status],PrévisionBoris[[#This Row],[Status]],LstMachines[MoisLivr],V$1)</f>
        <v>0</v>
      </c>
      <c r="W84" s="219">
        <f>SUMIFS(LstMachines[Nbre],LstMachines[Model-Spec],PrévisionBoris[[#This Row],[Spec]],LstMachines[Status],PrévisionBoris[[#This Row],[Status]],LstMachines[MoisLivr],W$1)</f>
        <v>0</v>
      </c>
      <c r="X84" s="220">
        <f>SUMIFS(LstMachines[Nbre],LstMachines[Model-Spec],PrévisionBoris[[#This Row],[Spec]],LstMachines[Status],PrévisionBoris[[#This Row],[Status]],LstMachines[MoisLivr],X$1)</f>
        <v>0</v>
      </c>
      <c r="Y84" s="220">
        <f>SUMIFS(LstMachines[Nbre],LstMachines[Model-Spec],PrévisionBoris[[#This Row],[Spec]],LstMachines[Status],PrévisionBoris[[#This Row],[Status]],LstMachines[MoisLivr],Y$1)</f>
        <v>0</v>
      </c>
      <c r="Z84" s="219">
        <f>SUMIFS(LstMachines[Nbre],LstMachines[Model-Spec],PrévisionBoris[[#This Row],[Spec]],LstMachines[Status],PrévisionBoris[[#This Row],[Status]],LstMachines[MoisLivr],Z$1)</f>
        <v>0</v>
      </c>
      <c r="AA84" s="220">
        <f>SUMIFS(LstMachines[Nbre],LstMachines[Model-Spec],PrévisionBoris[[#This Row],[Spec]],LstMachines[Status],PrévisionBoris[[#This Row],[Status]],LstMachines[MoisLivr],AA$1)</f>
        <v>0</v>
      </c>
      <c r="AB84" s="220">
        <f>SUMIFS(LstMachines[Nbre],LstMachines[Model-Spec],PrévisionBoris[[#This Row],[Spec]],LstMachines[Status],PrévisionBoris[[#This Row],[Status]],LstMachines[MoisLivr],AB$1)</f>
        <v>0</v>
      </c>
      <c r="AC84" s="219">
        <f>SUMIFS(LstMachines[Nbre],LstMachines[Model-Spec],PrévisionBoris[[#This Row],[Spec]],LstMachines[Status],PrévisionBoris[[#This Row],[Status]],LstMachines[MoisLivr],AC$1)</f>
        <v>0</v>
      </c>
      <c r="AD84" s="220">
        <f>SUMIFS(LstMachines[Nbre],LstMachines[Model-Spec],PrévisionBoris[[#This Row],[Spec]],LstMachines[Status],PrévisionBoris[[#This Row],[Status]],LstMachines[MoisLivr],AD$1)</f>
        <v>0</v>
      </c>
      <c r="AE84" s="220">
        <f>SUMIFS(LstMachines[Nbre],LstMachines[Model-Spec],PrévisionBoris[[#This Row],[Spec]],LstMachines[Status],PrévisionBoris[[#This Row],[Status]],LstMachines[MoisLivr],AE$1)</f>
        <v>0</v>
      </c>
      <c r="AF84" s="219">
        <f>SUMIFS(LstMachines[Nbre],LstMachines[Model-Spec],PrévisionBoris[[#This Row],[Spec]],LstMachines[Status],PrévisionBoris[[#This Row],[Status]],LstMachines[MoisLivr],AF$1)</f>
        <v>0</v>
      </c>
      <c r="AG84" s="220">
        <f>SUMIFS(LstMachines[Nbre],LstMachines[Model-Spec],PrévisionBoris[[#This Row],[Spec]],LstMachines[Status],PrévisionBoris[[#This Row],[Status]],LstMachines[MoisLivr],AG$1)</f>
        <v>0</v>
      </c>
      <c r="AH84" s="220">
        <f>SUMIFS(LstMachines[Nbre],LstMachines[Model-Spec],PrévisionBoris[[#This Row],[Spec]],LstMachines[Status],PrévisionBoris[[#This Row],[Status]],LstMachines[MoisLivr],AH$1)</f>
        <v>0</v>
      </c>
      <c r="AI84" s="219">
        <f>SUMIFS(LstMachines[Nbre],LstMachines[Model-Spec],PrévisionBoris[[#This Row],[Spec]],LstMachines[Status],PrévisionBoris[[#This Row],[Status]],LstMachines[MoisLivr],AI$1)</f>
        <v>0</v>
      </c>
      <c r="AJ84" s="220">
        <f>SUMIFS(LstMachines[Nbre],LstMachines[Model-Spec],PrévisionBoris[[#This Row],[Spec]],LstMachines[Status],PrévisionBoris[[#This Row],[Status]],LstMachines[MoisLivr],AJ$1)</f>
        <v>0</v>
      </c>
      <c r="AK84" s="220">
        <f>SUMIFS(LstMachines[Nbre],LstMachines[Model-Spec],PrévisionBoris[[#This Row],[Spec]],LstMachines[Status],PrévisionBoris[[#This Row],[Status]],LstMachines[MoisLivr],AK$1)</f>
        <v>0</v>
      </c>
      <c r="AL84" s="219">
        <f>SUMIFS(LstMachines[Nbre],LstMachines[Model-Spec],PrévisionBoris[[#This Row],[Spec]],LstMachines[Status],PrévisionBoris[[#This Row],[Status]],LstMachines[MoisLivr],AL$1)</f>
        <v>0</v>
      </c>
      <c r="AM84" s="220">
        <f>SUMIFS(LstMachines[Nbre],LstMachines[Model-Spec],PrévisionBoris[[#This Row],[Spec]],LstMachines[Status],PrévisionBoris[[#This Row],[Status]],LstMachines[MoisLivr],AM$1)</f>
        <v>0</v>
      </c>
      <c r="AN84" s="220">
        <f>SUMIFS(LstMachines[Nbre],LstMachines[Model-Spec],PrévisionBoris[[#This Row],[Spec]],LstMachines[Status],PrévisionBoris[[#This Row],[Status]],LstMachines[MoisLivr],AN$1)</f>
        <v>0</v>
      </c>
      <c r="AO84" s="219">
        <f>SUMIFS(LstMachines[Nbre],LstMachines[Model-Spec],PrévisionBoris[[#This Row],[Spec]],LstMachines[Status],PrévisionBoris[[#This Row],[Status]],LstMachines[MoisLivr],AO$1)</f>
        <v>0</v>
      </c>
      <c r="AP84" s="220">
        <f>SUMIFS(LstMachines[Nbre],LstMachines[Model-Spec],PrévisionBoris[[#This Row],[Spec]],LstMachines[Status],PrévisionBoris[[#This Row],[Status]],LstMachines[MoisLivr],AP$1)</f>
        <v>0</v>
      </c>
      <c r="AQ84" s="220">
        <f>SUMIFS(LstMachines[Nbre],LstMachines[Model-Spec],PrévisionBoris[[#This Row],[Spec]],LstMachines[Status],PrévisionBoris[[#This Row],[Status]],LstMachines[MoisLivr],AQ$1)</f>
        <v>0</v>
      </c>
      <c r="AR84" s="219">
        <f>SUMIFS(LstMachines[Nbre],LstMachines[Model-Spec],PrévisionBoris[[#This Row],[Spec]],LstMachines[Status],PrévisionBoris[[#This Row],[Status]],LstMachines[MoisLivr],AR$1)</f>
        <v>0</v>
      </c>
      <c r="AS84" s="220">
        <f>SUMIFS(LstMachines[Nbre],LstMachines[Model-Spec],PrévisionBoris[[#This Row],[Spec]],LstMachines[Status],PrévisionBoris[[#This Row],[Status]],LstMachines[MoisLivr],AS$1)</f>
        <v>0</v>
      </c>
      <c r="AT84" s="220">
        <f>SUMIFS(LstMachines[Nbre],LstMachines[Model-Spec],PrévisionBoris[[#This Row],[Spec]],LstMachines[Status],PrévisionBoris[[#This Row],[Status]],LstMachines[MoisLivr],AT$1)</f>
        <v>0</v>
      </c>
      <c r="AU84" s="219">
        <f>SUMIFS(LstMachines[Nbre],LstMachines[Model-Spec],PrévisionBoris[[#This Row],[Spec]],LstMachines[Status],PrévisionBoris[[#This Row],[Status]],LstMachines[MoisLivr],AU$1)</f>
        <v>0</v>
      </c>
      <c r="AV84" s="223">
        <f>SUMIFS(LstMachines[Nbre],LstMachines[Model-Spec],PrévisionBoris[[#This Row],[Spec]],LstMachines[Status],PrévisionBoris[[#This Row],[Status]],LstMachines[MoisLivr],AV$1)</f>
        <v>0</v>
      </c>
      <c r="AW84" s="224">
        <f>SUMIFS(LstMachines[Nbre],LstMachines[Model-Spec],PrévisionBoris[[#This Row],[Spec]],LstMachines[Status],PrévisionBoris[[#This Row],[Status]],LstMachines[MoisLivr],AW$1)</f>
        <v>0</v>
      </c>
      <c r="AX84" s="210"/>
      <c r="AY84" s="211">
        <f t="shared" si="19"/>
        <v>0</v>
      </c>
      <c r="AZ84" s="212">
        <f t="shared" si="20"/>
        <v>0</v>
      </c>
      <c r="BA84" s="212">
        <f t="shared" si="21"/>
        <v>0</v>
      </c>
      <c r="BB84" s="213">
        <f t="shared" si="22"/>
        <v>0</v>
      </c>
      <c r="BC84" s="225">
        <f t="shared" si="23"/>
        <v>0</v>
      </c>
      <c r="BD84" s="211">
        <f t="shared" si="24"/>
        <v>0</v>
      </c>
      <c r="BE84" s="212">
        <f t="shared" si="25"/>
        <v>0</v>
      </c>
      <c r="BF84" s="212">
        <f t="shared" si="26"/>
        <v>0</v>
      </c>
      <c r="BG84" s="213">
        <f t="shared" si="27"/>
        <v>0</v>
      </c>
      <c r="BH84" s="225">
        <f t="shared" si="28"/>
        <v>0</v>
      </c>
      <c r="BI84" s="214">
        <f t="shared" si="29"/>
        <v>0</v>
      </c>
      <c r="BJ84" s="215">
        <f t="shared" si="30"/>
        <v>0</v>
      </c>
      <c r="BK84" s="215">
        <f t="shared" si="31"/>
        <v>0</v>
      </c>
      <c r="BL84" s="216">
        <f t="shared" si="32"/>
        <v>0</v>
      </c>
      <c r="BM84" s="225">
        <f t="shared" si="33"/>
        <v>0</v>
      </c>
      <c r="BN84" s="225"/>
      <c r="BO84" s="217"/>
      <c r="BP84" s="218">
        <f t="shared" si="34"/>
        <v>0</v>
      </c>
    </row>
    <row r="85" spans="1:68">
      <c r="A85" s="171">
        <v>78</v>
      </c>
      <c r="B85" s="171" t="s">
        <v>75</v>
      </c>
      <c r="C85" s="201">
        <v>26</v>
      </c>
      <c r="D85" s="171" t="s">
        <v>77</v>
      </c>
      <c r="E85" s="171" t="s">
        <v>403</v>
      </c>
      <c r="F85" s="201">
        <f>VLOOKUP(PrévisionBoris[[#This Row],[Spec]],TabModelSpecs[[ModelSpec]:[Price]],2,FALSE)</f>
        <v>23</v>
      </c>
      <c r="G85" s="171" t="s">
        <v>463</v>
      </c>
      <c r="H85" s="226">
        <f>SUMIFS(LstMachines[Nbre],LstMachines[Model-Spec],PrévisionBoris[[#This Row],[Spec]],LstMachines[Status],PrévisionBoris[[#This Row],[Status]],LstMachines[MoisLivr],H$1)</f>
        <v>0</v>
      </c>
      <c r="I85" s="227">
        <f>SUMIFS(LstMachines[Nbre],LstMachines[Model-Spec],PrévisionBoris[[#This Row],[Spec]],LstMachines[Status],PrévisionBoris[[#This Row],[Status]],LstMachines[MoisLivr],I$1)</f>
        <v>0</v>
      </c>
      <c r="J85" s="228">
        <f>SUMIFS(LstMachines[Nbre],LstMachines[Model-Spec],PrévisionBoris[[#This Row],[Spec]],LstMachines[Status],PrévisionBoris[[#This Row],[Status]],LstMachines[MoisLivr],J$1)</f>
        <v>0</v>
      </c>
      <c r="K85" s="226">
        <f>SUMIFS(LstMachines[Nbre],LstMachines[Model-Spec],PrévisionBoris[[#This Row],[Spec]],LstMachines[Status],PrévisionBoris[[#This Row],[Status]],LstMachines[MoisLivr],K$1)</f>
        <v>0</v>
      </c>
      <c r="L85" s="227">
        <f>SUMIFS(LstMachines[Nbre],LstMachines[Model-Spec],PrévisionBoris[[#This Row],[Spec]],LstMachines[Status],PrévisionBoris[[#This Row],[Status]],LstMachines[MoisLivr],L$1)</f>
        <v>0</v>
      </c>
      <c r="M85" s="228">
        <f>SUMIFS(LstMachines[Nbre],LstMachines[Model-Spec],PrévisionBoris[[#This Row],[Spec]],LstMachines[Status],PrévisionBoris[[#This Row],[Status]],LstMachines[MoisLivr],M$1)</f>
        <v>0</v>
      </c>
      <c r="N85" s="226">
        <f>SUMIFS(LstMachines[Nbre],LstMachines[Model-Spec],PrévisionBoris[[#This Row],[Spec]],LstMachines[Status],PrévisionBoris[[#This Row],[Status]],LstMachines[MoisLivr],N$1)</f>
        <v>0</v>
      </c>
      <c r="O85" s="227">
        <f>SUMIFS(LstMachines[Nbre],LstMachines[Model-Spec],PrévisionBoris[[#This Row],[Spec]],LstMachines[Status],PrévisionBoris[[#This Row],[Status]],LstMachines[MoisLivr],O$1)</f>
        <v>0</v>
      </c>
      <c r="P85" s="228">
        <f>SUMIFS(LstMachines[Nbre],LstMachines[Model-Spec],PrévisionBoris[[#This Row],[Spec]],LstMachines[Status],PrévisionBoris[[#This Row],[Status]],LstMachines[MoisLivr],P$1)</f>
        <v>0</v>
      </c>
      <c r="Q85" s="229">
        <f>SUMIFS(LstMachines[Nbre],LstMachines[Model-Spec],PrévisionBoris[[#This Row],[Spec]],LstMachines[Status],PrévisionBoris[[#This Row],[Status]],LstMachines[MoisLivr],Q$1)</f>
        <v>0</v>
      </c>
      <c r="R85" s="227">
        <f>SUMIFS(LstMachines[Nbre],LstMachines[Model-Spec],PrévisionBoris[[#This Row],[Spec]],LstMachines[Status],PrévisionBoris[[#This Row],[Status]],LstMachines[MoisLivr],R$1)</f>
        <v>0</v>
      </c>
      <c r="S85" s="227">
        <f>SUMIFS(LstMachines[Nbre],LstMachines[Model-Spec],PrévisionBoris[[#This Row],[Spec]],LstMachines[Status],PrévisionBoris[[#This Row],[Status]],LstMachines[MoisLivr],S$1)</f>
        <v>0</v>
      </c>
      <c r="T85" s="226">
        <f>SUMIFS(LstMachines[Nbre],LstMachines[Model-Spec],PrévisionBoris[[#This Row],[Spec]],LstMachines[Status],PrévisionBoris[[#This Row],[Status]],LstMachines[MoisLivr],T$1)</f>
        <v>0</v>
      </c>
      <c r="U85" s="227">
        <f>SUMIFS(LstMachines[Nbre],LstMachines[Model-Spec],PrévisionBoris[[#This Row],[Spec]],LstMachines[Status],PrévisionBoris[[#This Row],[Status]],LstMachines[MoisLivr],U$1)</f>
        <v>0</v>
      </c>
      <c r="V85" s="227">
        <f>SUMIFS(LstMachines[Nbre],LstMachines[Model-Spec],PrévisionBoris[[#This Row],[Spec]],LstMachines[Status],PrévisionBoris[[#This Row],[Status]],LstMachines[MoisLivr],V$1)</f>
        <v>0</v>
      </c>
      <c r="W85" s="226">
        <f>SUMIFS(LstMachines[Nbre],LstMachines[Model-Spec],PrévisionBoris[[#This Row],[Spec]],LstMachines[Status],PrévisionBoris[[#This Row],[Status]],LstMachines[MoisLivr],W$1)</f>
        <v>0</v>
      </c>
      <c r="X85" s="227">
        <f>SUMIFS(LstMachines[Nbre],LstMachines[Model-Spec],PrévisionBoris[[#This Row],[Spec]],LstMachines[Status],PrévisionBoris[[#This Row],[Status]],LstMachines[MoisLivr],X$1)</f>
        <v>0</v>
      </c>
      <c r="Y85" s="227">
        <f>SUMIFS(LstMachines[Nbre],LstMachines[Model-Spec],PrévisionBoris[[#This Row],[Spec]],LstMachines[Status],PrévisionBoris[[#This Row],[Status]],LstMachines[MoisLivr],Y$1)</f>
        <v>0</v>
      </c>
      <c r="Z85" s="226">
        <f>SUMIFS(LstMachines[Nbre],LstMachines[Model-Spec],PrévisionBoris[[#This Row],[Spec]],LstMachines[Status],PrévisionBoris[[#This Row],[Status]],LstMachines[MoisLivr],Z$1)</f>
        <v>0</v>
      </c>
      <c r="AA85" s="227">
        <f>SUMIFS(LstMachines[Nbre],LstMachines[Model-Spec],PrévisionBoris[[#This Row],[Spec]],LstMachines[Status],PrévisionBoris[[#This Row],[Status]],LstMachines[MoisLivr],AA$1)</f>
        <v>0</v>
      </c>
      <c r="AB85" s="227">
        <f>SUMIFS(LstMachines[Nbre],LstMachines[Model-Spec],PrévisionBoris[[#This Row],[Spec]],LstMachines[Status],PrévisionBoris[[#This Row],[Status]],LstMachines[MoisLivr],AB$1)</f>
        <v>0</v>
      </c>
      <c r="AC85" s="226">
        <f>SUMIFS(LstMachines[Nbre],LstMachines[Model-Spec],PrévisionBoris[[#This Row],[Spec]],LstMachines[Status],PrévisionBoris[[#This Row],[Status]],LstMachines[MoisLivr],AC$1)</f>
        <v>0</v>
      </c>
      <c r="AD85" s="227">
        <f>SUMIFS(LstMachines[Nbre],LstMachines[Model-Spec],PrévisionBoris[[#This Row],[Spec]],LstMachines[Status],PrévisionBoris[[#This Row],[Status]],LstMachines[MoisLivr],AD$1)</f>
        <v>0</v>
      </c>
      <c r="AE85" s="227">
        <f>SUMIFS(LstMachines[Nbre],LstMachines[Model-Spec],PrévisionBoris[[#This Row],[Spec]],LstMachines[Status],PrévisionBoris[[#This Row],[Status]],LstMachines[MoisLivr],AE$1)</f>
        <v>0</v>
      </c>
      <c r="AF85" s="226">
        <f>SUMIFS(LstMachines[Nbre],LstMachines[Model-Spec],PrévisionBoris[[#This Row],[Spec]],LstMachines[Status],PrévisionBoris[[#This Row],[Status]],LstMachines[MoisLivr],AF$1)</f>
        <v>0</v>
      </c>
      <c r="AG85" s="227">
        <f>SUMIFS(LstMachines[Nbre],LstMachines[Model-Spec],PrévisionBoris[[#This Row],[Spec]],LstMachines[Status],PrévisionBoris[[#This Row],[Status]],LstMachines[MoisLivr],AG$1)</f>
        <v>0</v>
      </c>
      <c r="AH85" s="227">
        <f>SUMIFS(LstMachines[Nbre],LstMachines[Model-Spec],PrévisionBoris[[#This Row],[Spec]],LstMachines[Status],PrévisionBoris[[#This Row],[Status]],LstMachines[MoisLivr],AH$1)</f>
        <v>0</v>
      </c>
      <c r="AI85" s="226">
        <f>SUMIFS(LstMachines[Nbre],LstMachines[Model-Spec],PrévisionBoris[[#This Row],[Spec]],LstMachines[Status],PrévisionBoris[[#This Row],[Status]],LstMachines[MoisLivr],AI$1)</f>
        <v>0</v>
      </c>
      <c r="AJ85" s="227">
        <f>SUMIFS(LstMachines[Nbre],LstMachines[Model-Spec],PrévisionBoris[[#This Row],[Spec]],LstMachines[Status],PrévisionBoris[[#This Row],[Status]],LstMachines[MoisLivr],AJ$1)</f>
        <v>0</v>
      </c>
      <c r="AK85" s="227">
        <f>SUMIFS(LstMachines[Nbre],LstMachines[Model-Spec],PrévisionBoris[[#This Row],[Spec]],LstMachines[Status],PrévisionBoris[[#This Row],[Status]],LstMachines[MoisLivr],AK$1)</f>
        <v>0</v>
      </c>
      <c r="AL85" s="226">
        <f>SUMIFS(LstMachines[Nbre],LstMachines[Model-Spec],PrévisionBoris[[#This Row],[Spec]],LstMachines[Status],PrévisionBoris[[#This Row],[Status]],LstMachines[MoisLivr],AL$1)</f>
        <v>0</v>
      </c>
      <c r="AM85" s="227">
        <f>SUMIFS(LstMachines[Nbre],LstMachines[Model-Spec],PrévisionBoris[[#This Row],[Spec]],LstMachines[Status],PrévisionBoris[[#This Row],[Status]],LstMachines[MoisLivr],AM$1)</f>
        <v>0</v>
      </c>
      <c r="AN85" s="227">
        <f>SUMIFS(LstMachines[Nbre],LstMachines[Model-Spec],PrévisionBoris[[#This Row],[Spec]],LstMachines[Status],PrévisionBoris[[#This Row],[Status]],LstMachines[MoisLivr],AN$1)</f>
        <v>0</v>
      </c>
      <c r="AO85" s="226">
        <f>SUMIFS(LstMachines[Nbre],LstMachines[Model-Spec],PrévisionBoris[[#This Row],[Spec]],LstMachines[Status],PrévisionBoris[[#This Row],[Status]],LstMachines[MoisLivr],AO$1)</f>
        <v>0</v>
      </c>
      <c r="AP85" s="227">
        <f>SUMIFS(LstMachines[Nbre],LstMachines[Model-Spec],PrévisionBoris[[#This Row],[Spec]],LstMachines[Status],PrévisionBoris[[#This Row],[Status]],LstMachines[MoisLivr],AP$1)</f>
        <v>0</v>
      </c>
      <c r="AQ85" s="227">
        <f>SUMIFS(LstMachines[Nbre],LstMachines[Model-Spec],PrévisionBoris[[#This Row],[Spec]],LstMachines[Status],PrévisionBoris[[#This Row],[Status]],LstMachines[MoisLivr],AQ$1)</f>
        <v>0</v>
      </c>
      <c r="AR85" s="226">
        <f>SUMIFS(LstMachines[Nbre],LstMachines[Model-Spec],PrévisionBoris[[#This Row],[Spec]],LstMachines[Status],PrévisionBoris[[#This Row],[Status]],LstMachines[MoisLivr],AR$1)</f>
        <v>0</v>
      </c>
      <c r="AS85" s="227">
        <f>SUMIFS(LstMachines[Nbre],LstMachines[Model-Spec],PrévisionBoris[[#This Row],[Spec]],LstMachines[Status],PrévisionBoris[[#This Row],[Status]],LstMachines[MoisLivr],AS$1)</f>
        <v>0</v>
      </c>
      <c r="AT85" s="227">
        <f>SUMIFS(LstMachines[Nbre],LstMachines[Model-Spec],PrévisionBoris[[#This Row],[Spec]],LstMachines[Status],PrévisionBoris[[#This Row],[Status]],LstMachines[MoisLivr],AT$1)</f>
        <v>0</v>
      </c>
      <c r="AU85" s="226">
        <f>SUMIFS(LstMachines[Nbre],LstMachines[Model-Spec],PrévisionBoris[[#This Row],[Spec]],LstMachines[Status],PrévisionBoris[[#This Row],[Status]],LstMachines[MoisLivr],AU$1)</f>
        <v>0</v>
      </c>
      <c r="AV85" s="230">
        <f>SUMIFS(LstMachines[Nbre],LstMachines[Model-Spec],PrévisionBoris[[#This Row],[Spec]],LstMachines[Status],PrévisionBoris[[#This Row],[Status]],LstMachines[MoisLivr],AV$1)</f>
        <v>0</v>
      </c>
      <c r="AW85" s="231">
        <f>SUMIFS(LstMachines[Nbre],LstMachines[Model-Spec],PrévisionBoris[[#This Row],[Spec]],LstMachines[Status],PrévisionBoris[[#This Row],[Status]],LstMachines[MoisLivr],AW$1)</f>
        <v>0</v>
      </c>
      <c r="AX85" s="232"/>
      <c r="AY85" s="211">
        <f t="shared" si="19"/>
        <v>0</v>
      </c>
      <c r="AZ85" s="212">
        <f t="shared" si="20"/>
        <v>0</v>
      </c>
      <c r="BA85" s="212">
        <f t="shared" si="21"/>
        <v>0</v>
      </c>
      <c r="BB85" s="213">
        <f t="shared" si="22"/>
        <v>0</v>
      </c>
      <c r="BC85" s="225">
        <f t="shared" si="23"/>
        <v>0</v>
      </c>
      <c r="BD85" s="211">
        <f t="shared" si="24"/>
        <v>0</v>
      </c>
      <c r="BE85" s="212">
        <f t="shared" si="25"/>
        <v>0</v>
      </c>
      <c r="BF85" s="212">
        <f t="shared" si="26"/>
        <v>0</v>
      </c>
      <c r="BG85" s="213">
        <f t="shared" si="27"/>
        <v>0</v>
      </c>
      <c r="BH85" s="225">
        <f t="shared" si="28"/>
        <v>0</v>
      </c>
      <c r="BI85" s="214">
        <f t="shared" si="29"/>
        <v>0</v>
      </c>
      <c r="BJ85" s="215">
        <f t="shared" si="30"/>
        <v>0</v>
      </c>
      <c r="BK85" s="215">
        <f t="shared" si="31"/>
        <v>0</v>
      </c>
      <c r="BL85" s="216">
        <f t="shared" si="32"/>
        <v>0</v>
      </c>
      <c r="BM85" s="225">
        <f t="shared" si="33"/>
        <v>0</v>
      </c>
      <c r="BN85" s="225"/>
      <c r="BO85" s="217"/>
      <c r="BP85" s="218">
        <f t="shared" si="34"/>
        <v>0</v>
      </c>
    </row>
    <row r="86" spans="1:68">
      <c r="A86" s="172">
        <v>79</v>
      </c>
      <c r="B86" s="172" t="s">
        <v>75</v>
      </c>
      <c r="C86" s="202">
        <v>26</v>
      </c>
      <c r="D86" s="172" t="s">
        <v>77</v>
      </c>
      <c r="E86" s="172" t="s">
        <v>355</v>
      </c>
      <c r="F86" s="202">
        <f>VLOOKUP(PrévisionBoris[[#This Row],[Spec]],TabModelSpecs[[ModelSpec]:[Price]],2,FALSE)</f>
        <v>20</v>
      </c>
      <c r="G86" s="172" t="s">
        <v>461</v>
      </c>
      <c r="H86" s="206">
        <f>SUMIFS(LstMachines[Nbre],LstMachines[Model-Spec],PrévisionBoris[[#This Row],[Spec]],LstMachines[Status],PrévisionBoris[[#This Row],[Status]],LstMachines[MoisLivr],H$1)</f>
        <v>0</v>
      </c>
      <c r="I86" s="207">
        <f>SUMIFS(LstMachines[Nbre],LstMachines[Model-Spec],PrévisionBoris[[#This Row],[Spec]],LstMachines[Status],PrévisionBoris[[#This Row],[Status]],LstMachines[MoisLivr],I$1)</f>
        <v>0</v>
      </c>
      <c r="J86" s="208">
        <f>SUMIFS(LstMachines[Nbre],LstMachines[Model-Spec],PrévisionBoris[[#This Row],[Spec]],LstMachines[Status],PrévisionBoris[[#This Row],[Status]],LstMachines[MoisLivr],J$1)</f>
        <v>0</v>
      </c>
      <c r="K86" s="206">
        <f>SUMIFS(LstMachines[Nbre],LstMachines[Model-Spec],PrévisionBoris[[#This Row],[Spec]],LstMachines[Status],PrévisionBoris[[#This Row],[Status]],LstMachines[MoisLivr],K$1)</f>
        <v>0</v>
      </c>
      <c r="L86" s="207">
        <f>SUMIFS(LstMachines[Nbre],LstMachines[Model-Spec],PrévisionBoris[[#This Row],[Spec]],LstMachines[Status],PrévisionBoris[[#This Row],[Status]],LstMachines[MoisLivr],L$1)</f>
        <v>1</v>
      </c>
      <c r="M86" s="208">
        <f>SUMIFS(LstMachines[Nbre],LstMachines[Model-Spec],PrévisionBoris[[#This Row],[Spec]],LstMachines[Status],PrévisionBoris[[#This Row],[Status]],LstMachines[MoisLivr],M$1)</f>
        <v>0</v>
      </c>
      <c r="N86" s="206">
        <f>SUMIFS(LstMachines[Nbre],LstMachines[Model-Spec],PrévisionBoris[[#This Row],[Spec]],LstMachines[Status],PrévisionBoris[[#This Row],[Status]],LstMachines[MoisLivr],N$1)</f>
        <v>2</v>
      </c>
      <c r="O86" s="207">
        <f>SUMIFS(LstMachines[Nbre],LstMachines[Model-Spec],PrévisionBoris[[#This Row],[Spec]],LstMachines[Status],PrévisionBoris[[#This Row],[Status]],LstMachines[MoisLivr],O$1)</f>
        <v>3</v>
      </c>
      <c r="P86" s="208">
        <f>SUMIFS(LstMachines[Nbre],LstMachines[Model-Spec],PrévisionBoris[[#This Row],[Spec]],LstMachines[Status],PrévisionBoris[[#This Row],[Status]],LstMachines[MoisLivr],P$1)</f>
        <v>3</v>
      </c>
      <c r="Q86" s="209">
        <f>SUMIFS(LstMachines[Nbre],LstMachines[Model-Spec],PrévisionBoris[[#This Row],[Spec]],LstMachines[Status],PrévisionBoris[[#This Row],[Status]],LstMachines[MoisLivr],Q$1)</f>
        <v>1</v>
      </c>
      <c r="R86" s="207">
        <f>SUMIFS(LstMachines[Nbre],LstMachines[Model-Spec],PrévisionBoris[[#This Row],[Spec]],LstMachines[Status],PrévisionBoris[[#This Row],[Status]],LstMachines[MoisLivr],R$1)</f>
        <v>1</v>
      </c>
      <c r="S86" s="207">
        <f>SUMIFS(LstMachines[Nbre],LstMachines[Model-Spec],PrévisionBoris[[#This Row],[Spec]],LstMachines[Status],PrévisionBoris[[#This Row],[Status]],LstMachines[MoisLivr],S$1)</f>
        <v>2</v>
      </c>
      <c r="T86" s="206">
        <f>SUMIFS(LstMachines[Nbre],LstMachines[Model-Spec],PrévisionBoris[[#This Row],[Spec]],LstMachines[Status],PrévisionBoris[[#This Row],[Status]],LstMachines[MoisLivr],T$1)</f>
        <v>3</v>
      </c>
      <c r="U86" s="207">
        <f>SUMIFS(LstMachines[Nbre],LstMachines[Model-Spec],PrévisionBoris[[#This Row],[Spec]],LstMachines[Status],PrévisionBoris[[#This Row],[Status]],LstMachines[MoisLivr],U$1)</f>
        <v>3</v>
      </c>
      <c r="V86" s="207">
        <f>SUMIFS(LstMachines[Nbre],LstMachines[Model-Spec],PrévisionBoris[[#This Row],[Spec]],LstMachines[Status],PrévisionBoris[[#This Row],[Status]],LstMachines[MoisLivr],V$1)</f>
        <v>1</v>
      </c>
      <c r="W86" s="206">
        <f>SUMIFS(LstMachines[Nbre],LstMachines[Model-Spec],PrévisionBoris[[#This Row],[Spec]],LstMachines[Status],PrévisionBoris[[#This Row],[Status]],LstMachines[MoisLivr],W$1)</f>
        <v>0</v>
      </c>
      <c r="X86" s="207">
        <f>SUMIFS(LstMachines[Nbre],LstMachines[Model-Spec],PrévisionBoris[[#This Row],[Spec]],LstMachines[Status],PrévisionBoris[[#This Row],[Status]],LstMachines[MoisLivr],X$1)</f>
        <v>0</v>
      </c>
      <c r="Y86" s="207">
        <f>SUMIFS(LstMachines[Nbre],LstMachines[Model-Spec],PrévisionBoris[[#This Row],[Spec]],LstMachines[Status],PrévisionBoris[[#This Row],[Status]],LstMachines[MoisLivr],Y$1)</f>
        <v>3</v>
      </c>
      <c r="Z86" s="206">
        <f>SUMIFS(LstMachines[Nbre],LstMachines[Model-Spec],PrévisionBoris[[#This Row],[Spec]],LstMachines[Status],PrévisionBoris[[#This Row],[Status]],LstMachines[MoisLivr],Z$1)</f>
        <v>0</v>
      </c>
      <c r="AA86" s="207">
        <f>SUMIFS(LstMachines[Nbre],LstMachines[Model-Spec],PrévisionBoris[[#This Row],[Spec]],LstMachines[Status],PrévisionBoris[[#This Row],[Status]],LstMachines[MoisLivr],AA$1)</f>
        <v>6</v>
      </c>
      <c r="AB86" s="207">
        <f>SUMIFS(LstMachines[Nbre],LstMachines[Model-Spec],PrévisionBoris[[#This Row],[Spec]],LstMachines[Status],PrévisionBoris[[#This Row],[Status]],LstMachines[MoisLivr],AB$1)</f>
        <v>10</v>
      </c>
      <c r="AC86" s="206">
        <f>SUMIFS(LstMachines[Nbre],LstMachines[Model-Spec],PrévisionBoris[[#This Row],[Spec]],LstMachines[Status],PrévisionBoris[[#This Row],[Status]],LstMachines[MoisLivr],AC$1)</f>
        <v>4</v>
      </c>
      <c r="AD86" s="207">
        <f>SUMIFS(LstMachines[Nbre],LstMachines[Model-Spec],PrévisionBoris[[#This Row],[Spec]],LstMachines[Status],PrévisionBoris[[#This Row],[Status]],LstMachines[MoisLivr],AD$1)</f>
        <v>1</v>
      </c>
      <c r="AE86" s="207">
        <f>SUMIFS(LstMachines[Nbre],LstMachines[Model-Spec],PrévisionBoris[[#This Row],[Spec]],LstMachines[Status],PrévisionBoris[[#This Row],[Status]],LstMachines[MoisLivr],AE$1)</f>
        <v>5</v>
      </c>
      <c r="AF86" s="206">
        <f>SUMIFS(LstMachines[Nbre],LstMachines[Model-Spec],PrévisionBoris[[#This Row],[Spec]],LstMachines[Status],PrévisionBoris[[#This Row],[Status]],LstMachines[MoisLivr],AF$1)</f>
        <v>0</v>
      </c>
      <c r="AG86" s="207">
        <f>SUMIFS(LstMachines[Nbre],LstMachines[Model-Spec],PrévisionBoris[[#This Row],[Spec]],LstMachines[Status],PrévisionBoris[[#This Row],[Status]],LstMachines[MoisLivr],AG$1)</f>
        <v>1</v>
      </c>
      <c r="AH86" s="207">
        <f>SUMIFS(LstMachines[Nbre],LstMachines[Model-Spec],PrévisionBoris[[#This Row],[Spec]],LstMachines[Status],PrévisionBoris[[#This Row],[Status]],LstMachines[MoisLivr],AH$1)</f>
        <v>1</v>
      </c>
      <c r="AI86" s="206">
        <f>SUMIFS(LstMachines[Nbre],LstMachines[Model-Spec],PrévisionBoris[[#This Row],[Spec]],LstMachines[Status],PrévisionBoris[[#This Row],[Status]],LstMachines[MoisLivr],AI$1)</f>
        <v>0</v>
      </c>
      <c r="AJ86" s="207">
        <f>SUMIFS(LstMachines[Nbre],LstMachines[Model-Spec],PrévisionBoris[[#This Row],[Spec]],LstMachines[Status],PrévisionBoris[[#This Row],[Status]],LstMachines[MoisLivr],AJ$1)</f>
        <v>0</v>
      </c>
      <c r="AK86" s="207">
        <f>SUMIFS(LstMachines[Nbre],LstMachines[Model-Spec],PrévisionBoris[[#This Row],[Spec]],LstMachines[Status],PrévisionBoris[[#This Row],[Status]],LstMachines[MoisLivr],AK$1)</f>
        <v>0</v>
      </c>
      <c r="AL86" s="206">
        <f>SUMIFS(LstMachines[Nbre],LstMachines[Model-Spec],PrévisionBoris[[#This Row],[Spec]],LstMachines[Status],PrévisionBoris[[#This Row],[Status]],LstMachines[MoisLivr],AL$1)</f>
        <v>0</v>
      </c>
      <c r="AM86" s="207">
        <f>SUMIFS(LstMachines[Nbre],LstMachines[Model-Spec],PrévisionBoris[[#This Row],[Spec]],LstMachines[Status],PrévisionBoris[[#This Row],[Status]],LstMachines[MoisLivr],AM$1)</f>
        <v>2</v>
      </c>
      <c r="AN86" s="207">
        <f>SUMIFS(LstMachines[Nbre],LstMachines[Model-Spec],PrévisionBoris[[#This Row],[Spec]],LstMachines[Status],PrévisionBoris[[#This Row],[Status]],LstMachines[MoisLivr],AN$1)</f>
        <v>24</v>
      </c>
      <c r="AO86" s="206">
        <f>SUMIFS(LstMachines[Nbre],LstMachines[Model-Spec],PrévisionBoris[[#This Row],[Spec]],LstMachines[Status],PrévisionBoris[[#This Row],[Status]],LstMachines[MoisLivr],AO$1)</f>
        <v>1</v>
      </c>
      <c r="AP86" s="207">
        <f>SUMIFS(LstMachines[Nbre],LstMachines[Model-Spec],PrévisionBoris[[#This Row],[Spec]],LstMachines[Status],PrévisionBoris[[#This Row],[Status]],LstMachines[MoisLivr],AP$1)</f>
        <v>1</v>
      </c>
      <c r="AQ86" s="207">
        <f>SUMIFS(LstMachines[Nbre],LstMachines[Model-Spec],PrévisionBoris[[#This Row],[Spec]],LstMachines[Status],PrévisionBoris[[#This Row],[Status]],LstMachines[MoisLivr],AQ$1)</f>
        <v>1</v>
      </c>
      <c r="AR86" s="206">
        <f>SUMIFS(LstMachines[Nbre],LstMachines[Model-Spec],PrévisionBoris[[#This Row],[Spec]],LstMachines[Status],PrévisionBoris[[#This Row],[Status]],LstMachines[MoisLivr],AR$1)</f>
        <v>0</v>
      </c>
      <c r="AS86" s="207">
        <f>SUMIFS(LstMachines[Nbre],LstMachines[Model-Spec],PrévisionBoris[[#This Row],[Spec]],LstMachines[Status],PrévisionBoris[[#This Row],[Status]],LstMachines[MoisLivr],AS$1)</f>
        <v>1</v>
      </c>
      <c r="AT86" s="207">
        <f>SUMIFS(LstMachines[Nbre],LstMachines[Model-Spec],PrévisionBoris[[#This Row],[Spec]],LstMachines[Status],PrévisionBoris[[#This Row],[Status]],LstMachines[MoisLivr],AT$1)</f>
        <v>1</v>
      </c>
      <c r="AU86" s="206">
        <f>SUMIFS(LstMachines[Nbre],LstMachines[Model-Spec],PrévisionBoris[[#This Row],[Spec]],LstMachines[Status],PrévisionBoris[[#This Row],[Status]],LstMachines[MoisLivr],AU$1)</f>
        <v>0</v>
      </c>
      <c r="AV86" s="233">
        <f>SUMIFS(LstMachines[Nbre],LstMachines[Model-Spec],PrévisionBoris[[#This Row],[Spec]],LstMachines[Status],PrévisionBoris[[#This Row],[Status]],LstMachines[MoisLivr],AV$1)</f>
        <v>0</v>
      </c>
      <c r="AW86" s="208">
        <f>SUMIFS(LstMachines[Nbre],LstMachines[Model-Spec],PrévisionBoris[[#This Row],[Spec]],LstMachines[Status],PrévisionBoris[[#This Row],[Status]],LstMachines[MoisLivr],AW$1)</f>
        <v>0</v>
      </c>
      <c r="AX86" s="225"/>
      <c r="AY86" s="211">
        <f t="shared" si="19"/>
        <v>1</v>
      </c>
      <c r="AZ86" s="212">
        <f t="shared" si="20"/>
        <v>8</v>
      </c>
      <c r="BA86" s="212">
        <f t="shared" si="21"/>
        <v>4</v>
      </c>
      <c r="BB86" s="213">
        <f t="shared" si="22"/>
        <v>7</v>
      </c>
      <c r="BC86" s="225">
        <f t="shared" si="23"/>
        <v>20</v>
      </c>
      <c r="BD86" s="211">
        <f t="shared" si="24"/>
        <v>3</v>
      </c>
      <c r="BE86" s="212">
        <f t="shared" si="25"/>
        <v>16</v>
      </c>
      <c r="BF86" s="212">
        <f t="shared" si="26"/>
        <v>10</v>
      </c>
      <c r="BG86" s="213">
        <f t="shared" si="27"/>
        <v>2</v>
      </c>
      <c r="BH86" s="225">
        <f t="shared" si="28"/>
        <v>31</v>
      </c>
      <c r="BI86" s="214">
        <f t="shared" si="29"/>
        <v>0</v>
      </c>
      <c r="BJ86" s="215">
        <f t="shared" si="30"/>
        <v>26</v>
      </c>
      <c r="BK86" s="215">
        <f t="shared" si="31"/>
        <v>3</v>
      </c>
      <c r="BL86" s="216">
        <f t="shared" si="32"/>
        <v>2</v>
      </c>
      <c r="BM86" s="225">
        <f t="shared" si="33"/>
        <v>31</v>
      </c>
      <c r="BN86" s="225"/>
      <c r="BO86" s="234"/>
      <c r="BP86" s="218">
        <f t="shared" si="34"/>
        <v>82</v>
      </c>
    </row>
    <row r="87" spans="1:68">
      <c r="A87" s="170">
        <v>80</v>
      </c>
      <c r="B87" s="170" t="s">
        <v>75</v>
      </c>
      <c r="C87" s="200">
        <v>26</v>
      </c>
      <c r="D87" s="170" t="s">
        <v>77</v>
      </c>
      <c r="E87" s="170" t="s">
        <v>355</v>
      </c>
      <c r="F87" s="200">
        <f>VLOOKUP(PrévisionBoris[[#This Row],[Spec]],TabModelSpecs[[ModelSpec]:[Price]],2,FALSE)</f>
        <v>20</v>
      </c>
      <c r="G87" s="170" t="s">
        <v>462</v>
      </c>
      <c r="H87" s="219">
        <f>SUMIFS(LstMachines[Nbre],LstMachines[Model-Spec],PrévisionBoris[[#This Row],[Spec]],LstMachines[Status],PrévisionBoris[[#This Row],[Status]],LstMachines[MoisLivr],H$1)</f>
        <v>0</v>
      </c>
      <c r="I87" s="220">
        <f>SUMIFS(LstMachines[Nbre],LstMachines[Model-Spec],PrévisionBoris[[#This Row],[Spec]],LstMachines[Status],PrévisionBoris[[#This Row],[Status]],LstMachines[MoisLivr],I$1)</f>
        <v>0</v>
      </c>
      <c r="J87" s="221">
        <f>SUMIFS(LstMachines[Nbre],LstMachines[Model-Spec],PrévisionBoris[[#This Row],[Spec]],LstMachines[Status],PrévisionBoris[[#This Row],[Status]],LstMachines[MoisLivr],J$1)</f>
        <v>0</v>
      </c>
      <c r="K87" s="219">
        <f>SUMIFS(LstMachines[Nbre],LstMachines[Model-Spec],PrévisionBoris[[#This Row],[Spec]],LstMachines[Status],PrévisionBoris[[#This Row],[Status]],LstMachines[MoisLivr],K$1)</f>
        <v>0</v>
      </c>
      <c r="L87" s="220">
        <f>SUMIFS(LstMachines[Nbre],LstMachines[Model-Spec],PrévisionBoris[[#This Row],[Spec]],LstMachines[Status],PrévisionBoris[[#This Row],[Status]],LstMachines[MoisLivr],L$1)</f>
        <v>0</v>
      </c>
      <c r="M87" s="221">
        <f>SUMIFS(LstMachines[Nbre],LstMachines[Model-Spec],PrévisionBoris[[#This Row],[Spec]],LstMachines[Status],PrévisionBoris[[#This Row],[Status]],LstMachines[MoisLivr],M$1)</f>
        <v>0</v>
      </c>
      <c r="N87" s="219">
        <f>SUMIFS(LstMachines[Nbre],LstMachines[Model-Spec],PrévisionBoris[[#This Row],[Spec]],LstMachines[Status],PrévisionBoris[[#This Row],[Status]],LstMachines[MoisLivr],N$1)</f>
        <v>0</v>
      </c>
      <c r="O87" s="220">
        <f>SUMIFS(LstMachines[Nbre],LstMachines[Model-Spec],PrévisionBoris[[#This Row],[Spec]],LstMachines[Status],PrévisionBoris[[#This Row],[Status]],LstMachines[MoisLivr],O$1)</f>
        <v>0</v>
      </c>
      <c r="P87" s="221">
        <f>SUMIFS(LstMachines[Nbre],LstMachines[Model-Spec],PrévisionBoris[[#This Row],[Spec]],LstMachines[Status],PrévisionBoris[[#This Row],[Status]],LstMachines[MoisLivr],P$1)</f>
        <v>0</v>
      </c>
      <c r="Q87" s="222">
        <f>SUMIFS(LstMachines[Nbre],LstMachines[Model-Spec],PrévisionBoris[[#This Row],[Spec]],LstMachines[Status],PrévisionBoris[[#This Row],[Status]],LstMachines[MoisLivr],Q$1)</f>
        <v>0</v>
      </c>
      <c r="R87" s="220">
        <f>SUMIFS(LstMachines[Nbre],LstMachines[Model-Spec],PrévisionBoris[[#This Row],[Spec]],LstMachines[Status],PrévisionBoris[[#This Row],[Status]],LstMachines[MoisLivr],R$1)</f>
        <v>0</v>
      </c>
      <c r="S87" s="220">
        <f>SUMIFS(LstMachines[Nbre],LstMachines[Model-Spec],PrévisionBoris[[#This Row],[Spec]],LstMachines[Status],PrévisionBoris[[#This Row],[Status]],LstMachines[MoisLivr],S$1)</f>
        <v>0</v>
      </c>
      <c r="T87" s="219">
        <f>SUMIFS(LstMachines[Nbre],LstMachines[Model-Spec],PrévisionBoris[[#This Row],[Spec]],LstMachines[Status],PrévisionBoris[[#This Row],[Status]],LstMachines[MoisLivr],T$1)</f>
        <v>0</v>
      </c>
      <c r="U87" s="220">
        <f>SUMIFS(LstMachines[Nbre],LstMachines[Model-Spec],PrévisionBoris[[#This Row],[Spec]],LstMachines[Status],PrévisionBoris[[#This Row],[Status]],LstMachines[MoisLivr],U$1)</f>
        <v>0</v>
      </c>
      <c r="V87" s="220">
        <f>SUMIFS(LstMachines[Nbre],LstMachines[Model-Spec],PrévisionBoris[[#This Row],[Spec]],LstMachines[Status],PrévisionBoris[[#This Row],[Status]],LstMachines[MoisLivr],V$1)</f>
        <v>0</v>
      </c>
      <c r="W87" s="219">
        <f>SUMIFS(LstMachines[Nbre],LstMachines[Model-Spec],PrévisionBoris[[#This Row],[Spec]],LstMachines[Status],PrévisionBoris[[#This Row],[Status]],LstMachines[MoisLivr],W$1)</f>
        <v>0</v>
      </c>
      <c r="X87" s="220">
        <f>SUMIFS(LstMachines[Nbre],LstMachines[Model-Spec],PrévisionBoris[[#This Row],[Spec]],LstMachines[Status],PrévisionBoris[[#This Row],[Status]],LstMachines[MoisLivr],X$1)</f>
        <v>0</v>
      </c>
      <c r="Y87" s="220">
        <f>SUMIFS(LstMachines[Nbre],LstMachines[Model-Spec],PrévisionBoris[[#This Row],[Spec]],LstMachines[Status],PrévisionBoris[[#This Row],[Status]],LstMachines[MoisLivr],Y$1)</f>
        <v>0</v>
      </c>
      <c r="Z87" s="219">
        <f>SUMIFS(LstMachines[Nbre],LstMachines[Model-Spec],PrévisionBoris[[#This Row],[Spec]],LstMachines[Status],PrévisionBoris[[#This Row],[Status]],LstMachines[MoisLivr],Z$1)</f>
        <v>0</v>
      </c>
      <c r="AA87" s="220">
        <f>SUMIFS(LstMachines[Nbre],LstMachines[Model-Spec],PrévisionBoris[[#This Row],[Spec]],LstMachines[Status],PrévisionBoris[[#This Row],[Status]],LstMachines[MoisLivr],AA$1)</f>
        <v>0</v>
      </c>
      <c r="AB87" s="220">
        <f>SUMIFS(LstMachines[Nbre],LstMachines[Model-Spec],PrévisionBoris[[#This Row],[Spec]],LstMachines[Status],PrévisionBoris[[#This Row],[Status]],LstMachines[MoisLivr],AB$1)</f>
        <v>0</v>
      </c>
      <c r="AC87" s="219">
        <f>SUMIFS(LstMachines[Nbre],LstMachines[Model-Spec],PrévisionBoris[[#This Row],[Spec]],LstMachines[Status],PrévisionBoris[[#This Row],[Status]],LstMachines[MoisLivr],AC$1)</f>
        <v>0</v>
      </c>
      <c r="AD87" s="220">
        <f>SUMIFS(LstMachines[Nbre],LstMachines[Model-Spec],PrévisionBoris[[#This Row],[Spec]],LstMachines[Status],PrévisionBoris[[#This Row],[Status]],LstMachines[MoisLivr],AD$1)</f>
        <v>0</v>
      </c>
      <c r="AE87" s="220">
        <f>SUMIFS(LstMachines[Nbre],LstMachines[Model-Spec],PrévisionBoris[[#This Row],[Spec]],LstMachines[Status],PrévisionBoris[[#This Row],[Status]],LstMachines[MoisLivr],AE$1)</f>
        <v>0</v>
      </c>
      <c r="AF87" s="219">
        <f>SUMIFS(LstMachines[Nbre],LstMachines[Model-Spec],PrévisionBoris[[#This Row],[Spec]],LstMachines[Status],PrévisionBoris[[#This Row],[Status]],LstMachines[MoisLivr],AF$1)</f>
        <v>0</v>
      </c>
      <c r="AG87" s="220">
        <f>SUMIFS(LstMachines[Nbre],LstMachines[Model-Spec],PrévisionBoris[[#This Row],[Spec]],LstMachines[Status],PrévisionBoris[[#This Row],[Status]],LstMachines[MoisLivr],AG$1)</f>
        <v>0</v>
      </c>
      <c r="AH87" s="220">
        <f>SUMIFS(LstMachines[Nbre],LstMachines[Model-Spec],PrévisionBoris[[#This Row],[Spec]],LstMachines[Status],PrévisionBoris[[#This Row],[Status]],LstMachines[MoisLivr],AH$1)</f>
        <v>0</v>
      </c>
      <c r="AI87" s="219">
        <f>SUMIFS(LstMachines[Nbre],LstMachines[Model-Spec],PrévisionBoris[[#This Row],[Spec]],LstMachines[Status],PrévisionBoris[[#This Row],[Status]],LstMachines[MoisLivr],AI$1)</f>
        <v>0</v>
      </c>
      <c r="AJ87" s="220">
        <f>SUMIFS(LstMachines[Nbre],LstMachines[Model-Spec],PrévisionBoris[[#This Row],[Spec]],LstMachines[Status],PrévisionBoris[[#This Row],[Status]],LstMachines[MoisLivr],AJ$1)</f>
        <v>0</v>
      </c>
      <c r="AK87" s="220">
        <f>SUMIFS(LstMachines[Nbre],LstMachines[Model-Spec],PrévisionBoris[[#This Row],[Spec]],LstMachines[Status],PrévisionBoris[[#This Row],[Status]],LstMachines[MoisLivr],AK$1)</f>
        <v>0</v>
      </c>
      <c r="AL87" s="219">
        <f>SUMIFS(LstMachines[Nbre],LstMachines[Model-Spec],PrévisionBoris[[#This Row],[Spec]],LstMachines[Status],PrévisionBoris[[#This Row],[Status]],LstMachines[MoisLivr],AL$1)</f>
        <v>0</v>
      </c>
      <c r="AM87" s="220">
        <f>SUMIFS(LstMachines[Nbre],LstMachines[Model-Spec],PrévisionBoris[[#This Row],[Spec]],LstMachines[Status],PrévisionBoris[[#This Row],[Status]],LstMachines[MoisLivr],AM$1)</f>
        <v>0</v>
      </c>
      <c r="AN87" s="220">
        <f>SUMIFS(LstMachines[Nbre],LstMachines[Model-Spec],PrévisionBoris[[#This Row],[Spec]],LstMachines[Status],PrévisionBoris[[#This Row],[Status]],LstMachines[MoisLivr],AN$1)</f>
        <v>0</v>
      </c>
      <c r="AO87" s="219">
        <f>SUMIFS(LstMachines[Nbre],LstMachines[Model-Spec],PrévisionBoris[[#This Row],[Spec]],LstMachines[Status],PrévisionBoris[[#This Row],[Status]],LstMachines[MoisLivr],AO$1)</f>
        <v>0</v>
      </c>
      <c r="AP87" s="220">
        <f>SUMIFS(LstMachines[Nbre],LstMachines[Model-Spec],PrévisionBoris[[#This Row],[Spec]],LstMachines[Status],PrévisionBoris[[#This Row],[Status]],LstMachines[MoisLivr],AP$1)</f>
        <v>0</v>
      </c>
      <c r="AQ87" s="220">
        <f>SUMIFS(LstMachines[Nbre],LstMachines[Model-Spec],PrévisionBoris[[#This Row],[Spec]],LstMachines[Status],PrévisionBoris[[#This Row],[Status]],LstMachines[MoisLivr],AQ$1)</f>
        <v>0</v>
      </c>
      <c r="AR87" s="219">
        <f>SUMIFS(LstMachines[Nbre],LstMachines[Model-Spec],PrévisionBoris[[#This Row],[Spec]],LstMachines[Status],PrévisionBoris[[#This Row],[Status]],LstMachines[MoisLivr],AR$1)</f>
        <v>0</v>
      </c>
      <c r="AS87" s="220">
        <f>SUMIFS(LstMachines[Nbre],LstMachines[Model-Spec],PrévisionBoris[[#This Row],[Spec]],LstMachines[Status],PrévisionBoris[[#This Row],[Status]],LstMachines[MoisLivr],AS$1)</f>
        <v>0</v>
      </c>
      <c r="AT87" s="220">
        <f>SUMIFS(LstMachines[Nbre],LstMachines[Model-Spec],PrévisionBoris[[#This Row],[Spec]],LstMachines[Status],PrévisionBoris[[#This Row],[Status]],LstMachines[MoisLivr],AT$1)</f>
        <v>0</v>
      </c>
      <c r="AU87" s="219">
        <f>SUMIFS(LstMachines[Nbre],LstMachines[Model-Spec],PrévisionBoris[[#This Row],[Spec]],LstMachines[Status],PrévisionBoris[[#This Row],[Status]],LstMachines[MoisLivr],AU$1)</f>
        <v>0</v>
      </c>
      <c r="AV87" s="223">
        <f>SUMIFS(LstMachines[Nbre],LstMachines[Model-Spec],PrévisionBoris[[#This Row],[Spec]],LstMachines[Status],PrévisionBoris[[#This Row],[Status]],LstMachines[MoisLivr],AV$1)</f>
        <v>0</v>
      </c>
      <c r="AW87" s="224">
        <f>SUMIFS(LstMachines[Nbre],LstMachines[Model-Spec],PrévisionBoris[[#This Row],[Spec]],LstMachines[Status],PrévisionBoris[[#This Row],[Status]],LstMachines[MoisLivr],AW$1)</f>
        <v>0</v>
      </c>
      <c r="AX87" s="210"/>
      <c r="AY87" s="211">
        <f t="shared" si="19"/>
        <v>0</v>
      </c>
      <c r="AZ87" s="212">
        <f t="shared" si="20"/>
        <v>0</v>
      </c>
      <c r="BA87" s="212">
        <f t="shared" si="21"/>
        <v>0</v>
      </c>
      <c r="BB87" s="213">
        <f t="shared" si="22"/>
        <v>0</v>
      </c>
      <c r="BC87" s="225">
        <f t="shared" si="23"/>
        <v>0</v>
      </c>
      <c r="BD87" s="211">
        <f t="shared" si="24"/>
        <v>0</v>
      </c>
      <c r="BE87" s="212">
        <f t="shared" si="25"/>
        <v>0</v>
      </c>
      <c r="BF87" s="212">
        <f t="shared" si="26"/>
        <v>0</v>
      </c>
      <c r="BG87" s="213">
        <f t="shared" si="27"/>
        <v>0</v>
      </c>
      <c r="BH87" s="225">
        <f t="shared" si="28"/>
        <v>0</v>
      </c>
      <c r="BI87" s="214">
        <f t="shared" si="29"/>
        <v>0</v>
      </c>
      <c r="BJ87" s="215">
        <f t="shared" si="30"/>
        <v>0</v>
      </c>
      <c r="BK87" s="215">
        <f t="shared" si="31"/>
        <v>0</v>
      </c>
      <c r="BL87" s="216">
        <f t="shared" si="32"/>
        <v>0</v>
      </c>
      <c r="BM87" s="225">
        <f t="shared" si="33"/>
        <v>0</v>
      </c>
      <c r="BN87" s="225"/>
      <c r="BO87" s="217"/>
      <c r="BP87" s="218">
        <f t="shared" si="34"/>
        <v>0</v>
      </c>
    </row>
    <row r="88" spans="1:68">
      <c r="A88" s="171">
        <v>81</v>
      </c>
      <c r="B88" s="171" t="s">
        <v>75</v>
      </c>
      <c r="C88" s="201">
        <v>26</v>
      </c>
      <c r="D88" s="171" t="s">
        <v>77</v>
      </c>
      <c r="E88" s="171" t="s">
        <v>355</v>
      </c>
      <c r="F88" s="201">
        <f>VLOOKUP(PrévisionBoris[[#This Row],[Spec]],TabModelSpecs[[ModelSpec]:[Price]],2,FALSE)</f>
        <v>20</v>
      </c>
      <c r="G88" s="171" t="s">
        <v>463</v>
      </c>
      <c r="H88" s="226">
        <f>SUMIFS(LstMachines[Nbre],LstMachines[Model-Spec],PrévisionBoris[[#This Row],[Spec]],LstMachines[Status],PrévisionBoris[[#This Row],[Status]],LstMachines[MoisLivr],H$1)</f>
        <v>0</v>
      </c>
      <c r="I88" s="227">
        <f>SUMIFS(LstMachines[Nbre],LstMachines[Model-Spec],PrévisionBoris[[#This Row],[Spec]],LstMachines[Status],PrévisionBoris[[#This Row],[Status]],LstMachines[MoisLivr],I$1)</f>
        <v>1</v>
      </c>
      <c r="J88" s="228">
        <f>SUMIFS(LstMachines[Nbre],LstMachines[Model-Spec],PrévisionBoris[[#This Row],[Spec]],LstMachines[Status],PrévisionBoris[[#This Row],[Status]],LstMachines[MoisLivr],J$1)</f>
        <v>0</v>
      </c>
      <c r="K88" s="226">
        <f>SUMIFS(LstMachines[Nbre],LstMachines[Model-Spec],PrévisionBoris[[#This Row],[Spec]],LstMachines[Status],PrévisionBoris[[#This Row],[Status]],LstMachines[MoisLivr],K$1)</f>
        <v>4</v>
      </c>
      <c r="L88" s="227">
        <f>SUMIFS(LstMachines[Nbre],LstMachines[Model-Spec],PrévisionBoris[[#This Row],[Spec]],LstMachines[Status],PrévisionBoris[[#This Row],[Status]],LstMachines[MoisLivr],L$1)</f>
        <v>5</v>
      </c>
      <c r="M88" s="228">
        <f>SUMIFS(LstMachines[Nbre],LstMachines[Model-Spec],PrévisionBoris[[#This Row],[Spec]],LstMachines[Status],PrévisionBoris[[#This Row],[Status]],LstMachines[MoisLivr],M$1)</f>
        <v>0</v>
      </c>
      <c r="N88" s="226">
        <f>SUMIFS(LstMachines[Nbre],LstMachines[Model-Spec],PrévisionBoris[[#This Row],[Spec]],LstMachines[Status],PrévisionBoris[[#This Row],[Status]],LstMachines[MoisLivr],N$1)</f>
        <v>10</v>
      </c>
      <c r="O88" s="227">
        <f>SUMIFS(LstMachines[Nbre],LstMachines[Model-Spec],PrévisionBoris[[#This Row],[Spec]],LstMachines[Status],PrévisionBoris[[#This Row],[Status]],LstMachines[MoisLivr],O$1)</f>
        <v>0</v>
      </c>
      <c r="P88" s="228">
        <f>SUMIFS(LstMachines[Nbre],LstMachines[Model-Spec],PrévisionBoris[[#This Row],[Spec]],LstMachines[Status],PrévisionBoris[[#This Row],[Status]],LstMachines[MoisLivr],P$1)</f>
        <v>2</v>
      </c>
      <c r="Q88" s="229">
        <f>SUMIFS(LstMachines[Nbre],LstMachines[Model-Spec],PrévisionBoris[[#This Row],[Spec]],LstMachines[Status],PrévisionBoris[[#This Row],[Status]],LstMachines[MoisLivr],Q$1)</f>
        <v>1</v>
      </c>
      <c r="R88" s="227">
        <f>SUMIFS(LstMachines[Nbre],LstMachines[Model-Spec],PrévisionBoris[[#This Row],[Spec]],LstMachines[Status],PrévisionBoris[[#This Row],[Status]],LstMachines[MoisLivr],R$1)</f>
        <v>3</v>
      </c>
      <c r="S88" s="227">
        <f>SUMIFS(LstMachines[Nbre],LstMachines[Model-Spec],PrévisionBoris[[#This Row],[Spec]],LstMachines[Status],PrévisionBoris[[#This Row],[Status]],LstMachines[MoisLivr],S$1)</f>
        <v>0</v>
      </c>
      <c r="T88" s="226">
        <f>SUMIFS(LstMachines[Nbre],LstMachines[Model-Spec],PrévisionBoris[[#This Row],[Spec]],LstMachines[Status],PrévisionBoris[[#This Row],[Status]],LstMachines[MoisLivr],T$1)</f>
        <v>3</v>
      </c>
      <c r="U88" s="227">
        <f>SUMIFS(LstMachines[Nbre],LstMachines[Model-Spec],PrévisionBoris[[#This Row],[Spec]],LstMachines[Status],PrévisionBoris[[#This Row],[Status]],LstMachines[MoisLivr],U$1)</f>
        <v>2</v>
      </c>
      <c r="V88" s="227">
        <f>SUMIFS(LstMachines[Nbre],LstMachines[Model-Spec],PrévisionBoris[[#This Row],[Spec]],LstMachines[Status],PrévisionBoris[[#This Row],[Status]],LstMachines[MoisLivr],V$1)</f>
        <v>4</v>
      </c>
      <c r="W88" s="226">
        <f>SUMIFS(LstMachines[Nbre],LstMachines[Model-Spec],PrévisionBoris[[#This Row],[Spec]],LstMachines[Status],PrévisionBoris[[#This Row],[Status]],LstMachines[MoisLivr],W$1)</f>
        <v>1</v>
      </c>
      <c r="X88" s="227">
        <f>SUMIFS(LstMachines[Nbre],LstMachines[Model-Spec],PrévisionBoris[[#This Row],[Spec]],LstMachines[Status],PrévisionBoris[[#This Row],[Status]],LstMachines[MoisLivr],X$1)</f>
        <v>0</v>
      </c>
      <c r="Y88" s="227">
        <f>SUMIFS(LstMachines[Nbre],LstMachines[Model-Spec],PrévisionBoris[[#This Row],[Spec]],LstMachines[Status],PrévisionBoris[[#This Row],[Status]],LstMachines[MoisLivr],Y$1)</f>
        <v>0</v>
      </c>
      <c r="Z88" s="226">
        <f>SUMIFS(LstMachines[Nbre],LstMachines[Model-Spec],PrévisionBoris[[#This Row],[Spec]],LstMachines[Status],PrévisionBoris[[#This Row],[Status]],LstMachines[MoisLivr],Z$1)</f>
        <v>0</v>
      </c>
      <c r="AA88" s="227">
        <f>SUMIFS(LstMachines[Nbre],LstMachines[Model-Spec],PrévisionBoris[[#This Row],[Spec]],LstMachines[Status],PrévisionBoris[[#This Row],[Status]],LstMachines[MoisLivr],AA$1)</f>
        <v>0</v>
      </c>
      <c r="AB88" s="227">
        <f>SUMIFS(LstMachines[Nbre],LstMachines[Model-Spec],PrévisionBoris[[#This Row],[Spec]],LstMachines[Status],PrévisionBoris[[#This Row],[Status]],LstMachines[MoisLivr],AB$1)</f>
        <v>0</v>
      </c>
      <c r="AC88" s="226">
        <f>SUMIFS(LstMachines[Nbre],LstMachines[Model-Spec],PrévisionBoris[[#This Row],[Spec]],LstMachines[Status],PrévisionBoris[[#This Row],[Status]],LstMachines[MoisLivr],AC$1)</f>
        <v>0</v>
      </c>
      <c r="AD88" s="227">
        <f>SUMIFS(LstMachines[Nbre],LstMachines[Model-Spec],PrévisionBoris[[#This Row],[Spec]],LstMachines[Status],PrévisionBoris[[#This Row],[Status]],LstMachines[MoisLivr],AD$1)</f>
        <v>0</v>
      </c>
      <c r="AE88" s="227">
        <f>SUMIFS(LstMachines[Nbre],LstMachines[Model-Spec],PrévisionBoris[[#This Row],[Spec]],LstMachines[Status],PrévisionBoris[[#This Row],[Status]],LstMachines[MoisLivr],AE$1)</f>
        <v>0</v>
      </c>
      <c r="AF88" s="226">
        <f>SUMIFS(LstMachines[Nbre],LstMachines[Model-Spec],PrévisionBoris[[#This Row],[Spec]],LstMachines[Status],PrévisionBoris[[#This Row],[Status]],LstMachines[MoisLivr],AF$1)</f>
        <v>0</v>
      </c>
      <c r="AG88" s="227">
        <f>SUMIFS(LstMachines[Nbre],LstMachines[Model-Spec],PrévisionBoris[[#This Row],[Spec]],LstMachines[Status],PrévisionBoris[[#This Row],[Status]],LstMachines[MoisLivr],AG$1)</f>
        <v>0</v>
      </c>
      <c r="AH88" s="227">
        <f>SUMIFS(LstMachines[Nbre],LstMachines[Model-Spec],PrévisionBoris[[#This Row],[Spec]],LstMachines[Status],PrévisionBoris[[#This Row],[Status]],LstMachines[MoisLivr],AH$1)</f>
        <v>0</v>
      </c>
      <c r="AI88" s="226">
        <f>SUMIFS(LstMachines[Nbre],LstMachines[Model-Spec],PrévisionBoris[[#This Row],[Spec]],LstMachines[Status],PrévisionBoris[[#This Row],[Status]],LstMachines[MoisLivr],AI$1)</f>
        <v>0</v>
      </c>
      <c r="AJ88" s="227">
        <f>SUMIFS(LstMachines[Nbre],LstMachines[Model-Spec],PrévisionBoris[[#This Row],[Spec]],LstMachines[Status],PrévisionBoris[[#This Row],[Status]],LstMachines[MoisLivr],AJ$1)</f>
        <v>0</v>
      </c>
      <c r="AK88" s="227">
        <f>SUMIFS(LstMachines[Nbre],LstMachines[Model-Spec],PrévisionBoris[[#This Row],[Spec]],LstMachines[Status],PrévisionBoris[[#This Row],[Status]],LstMachines[MoisLivr],AK$1)</f>
        <v>0</v>
      </c>
      <c r="AL88" s="226">
        <f>SUMIFS(LstMachines[Nbre],LstMachines[Model-Spec],PrévisionBoris[[#This Row],[Spec]],LstMachines[Status],PrévisionBoris[[#This Row],[Status]],LstMachines[MoisLivr],AL$1)</f>
        <v>0</v>
      </c>
      <c r="AM88" s="227">
        <f>SUMIFS(LstMachines[Nbre],LstMachines[Model-Spec],PrévisionBoris[[#This Row],[Spec]],LstMachines[Status],PrévisionBoris[[#This Row],[Status]],LstMachines[MoisLivr],AM$1)</f>
        <v>0</v>
      </c>
      <c r="AN88" s="227">
        <f>SUMIFS(LstMachines[Nbre],LstMachines[Model-Spec],PrévisionBoris[[#This Row],[Spec]],LstMachines[Status],PrévisionBoris[[#This Row],[Status]],LstMachines[MoisLivr],AN$1)</f>
        <v>0</v>
      </c>
      <c r="AO88" s="226">
        <f>SUMIFS(LstMachines[Nbre],LstMachines[Model-Spec],PrévisionBoris[[#This Row],[Spec]],LstMachines[Status],PrévisionBoris[[#This Row],[Status]],LstMachines[MoisLivr],AO$1)</f>
        <v>0</v>
      </c>
      <c r="AP88" s="227">
        <f>SUMIFS(LstMachines[Nbre],LstMachines[Model-Spec],PrévisionBoris[[#This Row],[Spec]],LstMachines[Status],PrévisionBoris[[#This Row],[Status]],LstMachines[MoisLivr],AP$1)</f>
        <v>0</v>
      </c>
      <c r="AQ88" s="227">
        <f>SUMIFS(LstMachines[Nbre],LstMachines[Model-Spec],PrévisionBoris[[#This Row],[Spec]],LstMachines[Status],PrévisionBoris[[#This Row],[Status]],LstMachines[MoisLivr],AQ$1)</f>
        <v>0</v>
      </c>
      <c r="AR88" s="226">
        <f>SUMIFS(LstMachines[Nbre],LstMachines[Model-Spec],PrévisionBoris[[#This Row],[Spec]],LstMachines[Status],PrévisionBoris[[#This Row],[Status]],LstMachines[MoisLivr],AR$1)</f>
        <v>0</v>
      </c>
      <c r="AS88" s="227">
        <f>SUMIFS(LstMachines[Nbre],LstMachines[Model-Spec],PrévisionBoris[[#This Row],[Spec]],LstMachines[Status],PrévisionBoris[[#This Row],[Status]],LstMachines[MoisLivr],AS$1)</f>
        <v>0</v>
      </c>
      <c r="AT88" s="227">
        <f>SUMIFS(LstMachines[Nbre],LstMachines[Model-Spec],PrévisionBoris[[#This Row],[Spec]],LstMachines[Status],PrévisionBoris[[#This Row],[Status]],LstMachines[MoisLivr],AT$1)</f>
        <v>0</v>
      </c>
      <c r="AU88" s="226">
        <f>SUMIFS(LstMachines[Nbre],LstMachines[Model-Spec],PrévisionBoris[[#This Row],[Spec]],LstMachines[Status],PrévisionBoris[[#This Row],[Status]],LstMachines[MoisLivr],AU$1)</f>
        <v>0</v>
      </c>
      <c r="AV88" s="230">
        <f>SUMIFS(LstMachines[Nbre],LstMachines[Model-Spec],PrévisionBoris[[#This Row],[Spec]],LstMachines[Status],PrévisionBoris[[#This Row],[Status]],LstMachines[MoisLivr],AV$1)</f>
        <v>0</v>
      </c>
      <c r="AW88" s="231">
        <f>SUMIFS(LstMachines[Nbre],LstMachines[Model-Spec],PrévisionBoris[[#This Row],[Spec]],LstMachines[Status],PrévisionBoris[[#This Row],[Status]],LstMachines[MoisLivr],AW$1)</f>
        <v>0</v>
      </c>
      <c r="AX88" s="232"/>
      <c r="AY88" s="211">
        <f t="shared" si="19"/>
        <v>9</v>
      </c>
      <c r="AZ88" s="212">
        <f t="shared" si="20"/>
        <v>12</v>
      </c>
      <c r="BA88" s="212">
        <f t="shared" si="21"/>
        <v>4</v>
      </c>
      <c r="BB88" s="213">
        <f t="shared" si="22"/>
        <v>9</v>
      </c>
      <c r="BC88" s="225">
        <f t="shared" si="23"/>
        <v>34</v>
      </c>
      <c r="BD88" s="211">
        <f t="shared" si="24"/>
        <v>1</v>
      </c>
      <c r="BE88" s="212">
        <f t="shared" si="25"/>
        <v>0</v>
      </c>
      <c r="BF88" s="212">
        <f t="shared" si="26"/>
        <v>0</v>
      </c>
      <c r="BG88" s="213">
        <f t="shared" si="27"/>
        <v>0</v>
      </c>
      <c r="BH88" s="225">
        <f t="shared" si="28"/>
        <v>1</v>
      </c>
      <c r="BI88" s="214">
        <f t="shared" si="29"/>
        <v>0</v>
      </c>
      <c r="BJ88" s="215">
        <f t="shared" si="30"/>
        <v>0</v>
      </c>
      <c r="BK88" s="215">
        <f t="shared" si="31"/>
        <v>0</v>
      </c>
      <c r="BL88" s="216">
        <f t="shared" si="32"/>
        <v>0</v>
      </c>
      <c r="BM88" s="225">
        <f t="shared" si="33"/>
        <v>0</v>
      </c>
      <c r="BN88" s="225"/>
      <c r="BO88" s="217"/>
      <c r="BP88" s="218">
        <f t="shared" si="34"/>
        <v>36</v>
      </c>
    </row>
    <row r="89" spans="1:68">
      <c r="A89" s="172">
        <v>82</v>
      </c>
      <c r="B89" s="172" t="s">
        <v>75</v>
      </c>
      <c r="C89" s="202">
        <v>26</v>
      </c>
      <c r="D89" s="172" t="s">
        <v>77</v>
      </c>
      <c r="E89" s="172" t="s">
        <v>404</v>
      </c>
      <c r="F89" s="202">
        <f>VLOOKUP(PrévisionBoris[[#This Row],[Spec]],TabModelSpecs[[ModelSpec]:[Price]],2,FALSE)</f>
        <v>20</v>
      </c>
      <c r="G89" s="172" t="s">
        <v>461</v>
      </c>
      <c r="H89" s="206">
        <f>SUMIFS(LstMachines[Nbre],LstMachines[Model-Spec],PrévisionBoris[[#This Row],[Spec]],LstMachines[Status],PrévisionBoris[[#This Row],[Status]],LstMachines[MoisLivr],H$1)</f>
        <v>0</v>
      </c>
      <c r="I89" s="207">
        <f>SUMIFS(LstMachines[Nbre],LstMachines[Model-Spec],PrévisionBoris[[#This Row],[Spec]],LstMachines[Status],PrévisionBoris[[#This Row],[Status]],LstMachines[MoisLivr],I$1)</f>
        <v>0</v>
      </c>
      <c r="J89" s="208">
        <f>SUMIFS(LstMachines[Nbre],LstMachines[Model-Spec],PrévisionBoris[[#This Row],[Spec]],LstMachines[Status],PrévisionBoris[[#This Row],[Status]],LstMachines[MoisLivr],J$1)</f>
        <v>0</v>
      </c>
      <c r="K89" s="206">
        <f>SUMIFS(LstMachines[Nbre],LstMachines[Model-Spec],PrévisionBoris[[#This Row],[Spec]],LstMachines[Status],PrévisionBoris[[#This Row],[Status]],LstMachines[MoisLivr],K$1)</f>
        <v>0</v>
      </c>
      <c r="L89" s="207">
        <f>SUMIFS(LstMachines[Nbre],LstMachines[Model-Spec],PrévisionBoris[[#This Row],[Spec]],LstMachines[Status],PrévisionBoris[[#This Row],[Status]],LstMachines[MoisLivr],L$1)</f>
        <v>0</v>
      </c>
      <c r="M89" s="208">
        <f>SUMIFS(LstMachines[Nbre],LstMachines[Model-Spec],PrévisionBoris[[#This Row],[Spec]],LstMachines[Status],PrévisionBoris[[#This Row],[Status]],LstMachines[MoisLivr],M$1)</f>
        <v>0</v>
      </c>
      <c r="N89" s="206">
        <f>SUMIFS(LstMachines[Nbre],LstMachines[Model-Spec],PrévisionBoris[[#This Row],[Spec]],LstMachines[Status],PrévisionBoris[[#This Row],[Status]],LstMachines[MoisLivr],N$1)</f>
        <v>0</v>
      </c>
      <c r="O89" s="207">
        <f>SUMIFS(LstMachines[Nbre],LstMachines[Model-Spec],PrévisionBoris[[#This Row],[Spec]],LstMachines[Status],PrévisionBoris[[#This Row],[Status]],LstMachines[MoisLivr],O$1)</f>
        <v>0</v>
      </c>
      <c r="P89" s="208">
        <f>SUMIFS(LstMachines[Nbre],LstMachines[Model-Spec],PrévisionBoris[[#This Row],[Spec]],LstMachines[Status],PrévisionBoris[[#This Row],[Status]],LstMachines[MoisLivr],P$1)</f>
        <v>0</v>
      </c>
      <c r="Q89" s="209">
        <f>SUMIFS(LstMachines[Nbre],LstMachines[Model-Spec],PrévisionBoris[[#This Row],[Spec]],LstMachines[Status],PrévisionBoris[[#This Row],[Status]],LstMachines[MoisLivr],Q$1)</f>
        <v>0</v>
      </c>
      <c r="R89" s="207">
        <f>SUMIFS(LstMachines[Nbre],LstMachines[Model-Spec],PrévisionBoris[[#This Row],[Spec]],LstMachines[Status],PrévisionBoris[[#This Row],[Status]],LstMachines[MoisLivr],R$1)</f>
        <v>0</v>
      </c>
      <c r="S89" s="207">
        <f>SUMIFS(LstMachines[Nbre],LstMachines[Model-Spec],PrévisionBoris[[#This Row],[Spec]],LstMachines[Status],PrévisionBoris[[#This Row],[Status]],LstMachines[MoisLivr],S$1)</f>
        <v>0</v>
      </c>
      <c r="T89" s="206">
        <f>SUMIFS(LstMachines[Nbre],LstMachines[Model-Spec],PrévisionBoris[[#This Row],[Spec]],LstMachines[Status],PrévisionBoris[[#This Row],[Status]],LstMachines[MoisLivr],T$1)</f>
        <v>0</v>
      </c>
      <c r="U89" s="207">
        <f>SUMIFS(LstMachines[Nbre],LstMachines[Model-Spec],PrévisionBoris[[#This Row],[Spec]],LstMachines[Status],PrévisionBoris[[#This Row],[Status]],LstMachines[MoisLivr],U$1)</f>
        <v>0</v>
      </c>
      <c r="V89" s="207">
        <f>SUMIFS(LstMachines[Nbre],LstMachines[Model-Spec],PrévisionBoris[[#This Row],[Spec]],LstMachines[Status],PrévisionBoris[[#This Row],[Status]],LstMachines[MoisLivr],V$1)</f>
        <v>0</v>
      </c>
      <c r="W89" s="206">
        <f>SUMIFS(LstMachines[Nbre],LstMachines[Model-Spec],PrévisionBoris[[#This Row],[Spec]],LstMachines[Status],PrévisionBoris[[#This Row],[Status]],LstMachines[MoisLivr],W$1)</f>
        <v>0</v>
      </c>
      <c r="X89" s="207">
        <f>SUMIFS(LstMachines[Nbre],LstMachines[Model-Spec],PrévisionBoris[[#This Row],[Spec]],LstMachines[Status],PrévisionBoris[[#This Row],[Status]],LstMachines[MoisLivr],X$1)</f>
        <v>0</v>
      </c>
      <c r="Y89" s="207">
        <f>SUMIFS(LstMachines[Nbre],LstMachines[Model-Spec],PrévisionBoris[[#This Row],[Spec]],LstMachines[Status],PrévisionBoris[[#This Row],[Status]],LstMachines[MoisLivr],Y$1)</f>
        <v>0</v>
      </c>
      <c r="Z89" s="206">
        <f>SUMIFS(LstMachines[Nbre],LstMachines[Model-Spec],PrévisionBoris[[#This Row],[Spec]],LstMachines[Status],PrévisionBoris[[#This Row],[Status]],LstMachines[MoisLivr],Z$1)</f>
        <v>0</v>
      </c>
      <c r="AA89" s="207">
        <f>SUMIFS(LstMachines[Nbre],LstMachines[Model-Spec],PrévisionBoris[[#This Row],[Spec]],LstMachines[Status],PrévisionBoris[[#This Row],[Status]],LstMachines[MoisLivr],AA$1)</f>
        <v>0</v>
      </c>
      <c r="AB89" s="207">
        <f>SUMIFS(LstMachines[Nbre],LstMachines[Model-Spec],PrévisionBoris[[#This Row],[Spec]],LstMachines[Status],PrévisionBoris[[#This Row],[Status]],LstMachines[MoisLivr],AB$1)</f>
        <v>0</v>
      </c>
      <c r="AC89" s="206">
        <f>SUMIFS(LstMachines[Nbre],LstMachines[Model-Spec],PrévisionBoris[[#This Row],[Spec]],LstMachines[Status],PrévisionBoris[[#This Row],[Status]],LstMachines[MoisLivr],AC$1)</f>
        <v>0</v>
      </c>
      <c r="AD89" s="207">
        <f>SUMIFS(LstMachines[Nbre],LstMachines[Model-Spec],PrévisionBoris[[#This Row],[Spec]],LstMachines[Status],PrévisionBoris[[#This Row],[Status]],LstMachines[MoisLivr],AD$1)</f>
        <v>0</v>
      </c>
      <c r="AE89" s="207">
        <f>SUMIFS(LstMachines[Nbre],LstMachines[Model-Spec],PrévisionBoris[[#This Row],[Spec]],LstMachines[Status],PrévisionBoris[[#This Row],[Status]],LstMachines[MoisLivr],AE$1)</f>
        <v>0</v>
      </c>
      <c r="AF89" s="206">
        <f>SUMIFS(LstMachines[Nbre],LstMachines[Model-Spec],PrévisionBoris[[#This Row],[Spec]],LstMachines[Status],PrévisionBoris[[#This Row],[Status]],LstMachines[MoisLivr],AF$1)</f>
        <v>0</v>
      </c>
      <c r="AG89" s="207">
        <f>SUMIFS(LstMachines[Nbre],LstMachines[Model-Spec],PrévisionBoris[[#This Row],[Spec]],LstMachines[Status],PrévisionBoris[[#This Row],[Status]],LstMachines[MoisLivr],AG$1)</f>
        <v>0</v>
      </c>
      <c r="AH89" s="207">
        <f>SUMIFS(LstMachines[Nbre],LstMachines[Model-Spec],PrévisionBoris[[#This Row],[Spec]],LstMachines[Status],PrévisionBoris[[#This Row],[Status]],LstMachines[MoisLivr],AH$1)</f>
        <v>0</v>
      </c>
      <c r="AI89" s="206">
        <f>SUMIFS(LstMachines[Nbre],LstMachines[Model-Spec],PrévisionBoris[[#This Row],[Spec]],LstMachines[Status],PrévisionBoris[[#This Row],[Status]],LstMachines[MoisLivr],AI$1)</f>
        <v>0</v>
      </c>
      <c r="AJ89" s="207">
        <f>SUMIFS(LstMachines[Nbre],LstMachines[Model-Spec],PrévisionBoris[[#This Row],[Spec]],LstMachines[Status],PrévisionBoris[[#This Row],[Status]],LstMachines[MoisLivr],AJ$1)</f>
        <v>0</v>
      </c>
      <c r="AK89" s="207">
        <f>SUMIFS(LstMachines[Nbre],LstMachines[Model-Spec],PrévisionBoris[[#This Row],[Spec]],LstMachines[Status],PrévisionBoris[[#This Row],[Status]],LstMachines[MoisLivr],AK$1)</f>
        <v>0</v>
      </c>
      <c r="AL89" s="206">
        <f>SUMIFS(LstMachines[Nbre],LstMachines[Model-Spec],PrévisionBoris[[#This Row],[Spec]],LstMachines[Status],PrévisionBoris[[#This Row],[Status]],LstMachines[MoisLivr],AL$1)</f>
        <v>0</v>
      </c>
      <c r="AM89" s="207">
        <f>SUMIFS(LstMachines[Nbre],LstMachines[Model-Spec],PrévisionBoris[[#This Row],[Spec]],LstMachines[Status],PrévisionBoris[[#This Row],[Status]],LstMachines[MoisLivr],AM$1)</f>
        <v>0</v>
      </c>
      <c r="AN89" s="207">
        <f>SUMIFS(LstMachines[Nbre],LstMachines[Model-Spec],PrévisionBoris[[#This Row],[Spec]],LstMachines[Status],PrévisionBoris[[#This Row],[Status]],LstMachines[MoisLivr],AN$1)</f>
        <v>0</v>
      </c>
      <c r="AO89" s="206">
        <f>SUMIFS(LstMachines[Nbre],LstMachines[Model-Spec],PrévisionBoris[[#This Row],[Spec]],LstMachines[Status],PrévisionBoris[[#This Row],[Status]],LstMachines[MoisLivr],AO$1)</f>
        <v>0</v>
      </c>
      <c r="AP89" s="207">
        <f>SUMIFS(LstMachines[Nbre],LstMachines[Model-Spec],PrévisionBoris[[#This Row],[Spec]],LstMachines[Status],PrévisionBoris[[#This Row],[Status]],LstMachines[MoisLivr],AP$1)</f>
        <v>0</v>
      </c>
      <c r="AQ89" s="207">
        <f>SUMIFS(LstMachines[Nbre],LstMachines[Model-Spec],PrévisionBoris[[#This Row],[Spec]],LstMachines[Status],PrévisionBoris[[#This Row],[Status]],LstMachines[MoisLivr],AQ$1)</f>
        <v>0</v>
      </c>
      <c r="AR89" s="206">
        <f>SUMIFS(LstMachines[Nbre],LstMachines[Model-Spec],PrévisionBoris[[#This Row],[Spec]],LstMachines[Status],PrévisionBoris[[#This Row],[Status]],LstMachines[MoisLivr],AR$1)</f>
        <v>0</v>
      </c>
      <c r="AS89" s="207">
        <f>SUMIFS(LstMachines[Nbre],LstMachines[Model-Spec],PrévisionBoris[[#This Row],[Spec]],LstMachines[Status],PrévisionBoris[[#This Row],[Status]],LstMachines[MoisLivr],AS$1)</f>
        <v>0</v>
      </c>
      <c r="AT89" s="207">
        <f>SUMIFS(LstMachines[Nbre],LstMachines[Model-Spec],PrévisionBoris[[#This Row],[Spec]],LstMachines[Status],PrévisionBoris[[#This Row],[Status]],LstMachines[MoisLivr],AT$1)</f>
        <v>0</v>
      </c>
      <c r="AU89" s="206">
        <f>SUMIFS(LstMachines[Nbre],LstMachines[Model-Spec],PrévisionBoris[[#This Row],[Spec]],LstMachines[Status],PrévisionBoris[[#This Row],[Status]],LstMachines[MoisLivr],AU$1)</f>
        <v>0</v>
      </c>
      <c r="AV89" s="233">
        <f>SUMIFS(LstMachines[Nbre],LstMachines[Model-Spec],PrévisionBoris[[#This Row],[Spec]],LstMachines[Status],PrévisionBoris[[#This Row],[Status]],LstMachines[MoisLivr],AV$1)</f>
        <v>0</v>
      </c>
      <c r="AW89" s="208">
        <f>SUMIFS(LstMachines[Nbre],LstMachines[Model-Spec],PrévisionBoris[[#This Row],[Spec]],LstMachines[Status],PrévisionBoris[[#This Row],[Status]],LstMachines[MoisLivr],AW$1)</f>
        <v>0</v>
      </c>
      <c r="AX89" s="225"/>
      <c r="AY89" s="211">
        <f t="shared" si="19"/>
        <v>0</v>
      </c>
      <c r="AZ89" s="212">
        <f t="shared" si="20"/>
        <v>0</v>
      </c>
      <c r="BA89" s="212">
        <f t="shared" si="21"/>
        <v>0</v>
      </c>
      <c r="BB89" s="213">
        <f t="shared" si="22"/>
        <v>0</v>
      </c>
      <c r="BC89" s="225">
        <f t="shared" si="23"/>
        <v>0</v>
      </c>
      <c r="BD89" s="211">
        <f t="shared" si="24"/>
        <v>0</v>
      </c>
      <c r="BE89" s="212">
        <f t="shared" si="25"/>
        <v>0</v>
      </c>
      <c r="BF89" s="212">
        <f t="shared" si="26"/>
        <v>0</v>
      </c>
      <c r="BG89" s="213">
        <f t="shared" si="27"/>
        <v>0</v>
      </c>
      <c r="BH89" s="225">
        <f t="shared" si="28"/>
        <v>0</v>
      </c>
      <c r="BI89" s="214">
        <f t="shared" si="29"/>
        <v>0</v>
      </c>
      <c r="BJ89" s="215">
        <f t="shared" si="30"/>
        <v>0</v>
      </c>
      <c r="BK89" s="215">
        <f t="shared" si="31"/>
        <v>0</v>
      </c>
      <c r="BL89" s="216">
        <f t="shared" si="32"/>
        <v>0</v>
      </c>
      <c r="BM89" s="225">
        <f t="shared" si="33"/>
        <v>0</v>
      </c>
      <c r="BN89" s="225"/>
      <c r="BO89" s="234"/>
      <c r="BP89" s="218">
        <f t="shared" si="34"/>
        <v>0</v>
      </c>
    </row>
    <row r="90" spans="1:68">
      <c r="A90" s="170">
        <v>83</v>
      </c>
      <c r="B90" s="170" t="s">
        <v>75</v>
      </c>
      <c r="C90" s="200">
        <v>26</v>
      </c>
      <c r="D90" s="170" t="s">
        <v>77</v>
      </c>
      <c r="E90" s="170" t="s">
        <v>404</v>
      </c>
      <c r="F90" s="200">
        <f>VLOOKUP(PrévisionBoris[[#This Row],[Spec]],TabModelSpecs[[ModelSpec]:[Price]],2,FALSE)</f>
        <v>20</v>
      </c>
      <c r="G90" s="170" t="s">
        <v>462</v>
      </c>
      <c r="H90" s="219">
        <f>SUMIFS(LstMachines[Nbre],LstMachines[Model-Spec],PrévisionBoris[[#This Row],[Spec]],LstMachines[Status],PrévisionBoris[[#This Row],[Status]],LstMachines[MoisLivr],H$1)</f>
        <v>0</v>
      </c>
      <c r="I90" s="220">
        <f>SUMIFS(LstMachines[Nbre],LstMachines[Model-Spec],PrévisionBoris[[#This Row],[Spec]],LstMachines[Status],PrévisionBoris[[#This Row],[Status]],LstMachines[MoisLivr],I$1)</f>
        <v>0</v>
      </c>
      <c r="J90" s="221">
        <f>SUMIFS(LstMachines[Nbre],LstMachines[Model-Spec],PrévisionBoris[[#This Row],[Spec]],LstMachines[Status],PrévisionBoris[[#This Row],[Status]],LstMachines[MoisLivr],J$1)</f>
        <v>0</v>
      </c>
      <c r="K90" s="219">
        <f>SUMIFS(LstMachines[Nbre],LstMachines[Model-Spec],PrévisionBoris[[#This Row],[Spec]],LstMachines[Status],PrévisionBoris[[#This Row],[Status]],LstMachines[MoisLivr],K$1)</f>
        <v>0</v>
      </c>
      <c r="L90" s="220">
        <f>SUMIFS(LstMachines[Nbre],LstMachines[Model-Spec],PrévisionBoris[[#This Row],[Spec]],LstMachines[Status],PrévisionBoris[[#This Row],[Status]],LstMachines[MoisLivr],L$1)</f>
        <v>0</v>
      </c>
      <c r="M90" s="221">
        <f>SUMIFS(LstMachines[Nbre],LstMachines[Model-Spec],PrévisionBoris[[#This Row],[Spec]],LstMachines[Status],PrévisionBoris[[#This Row],[Status]],LstMachines[MoisLivr],M$1)</f>
        <v>0</v>
      </c>
      <c r="N90" s="219">
        <f>SUMIFS(LstMachines[Nbre],LstMachines[Model-Spec],PrévisionBoris[[#This Row],[Spec]],LstMachines[Status],PrévisionBoris[[#This Row],[Status]],LstMachines[MoisLivr],N$1)</f>
        <v>0</v>
      </c>
      <c r="O90" s="220">
        <f>SUMIFS(LstMachines[Nbre],LstMachines[Model-Spec],PrévisionBoris[[#This Row],[Spec]],LstMachines[Status],PrévisionBoris[[#This Row],[Status]],LstMachines[MoisLivr],O$1)</f>
        <v>0</v>
      </c>
      <c r="P90" s="221">
        <f>SUMIFS(LstMachines[Nbre],LstMachines[Model-Spec],PrévisionBoris[[#This Row],[Spec]],LstMachines[Status],PrévisionBoris[[#This Row],[Status]],LstMachines[MoisLivr],P$1)</f>
        <v>0</v>
      </c>
      <c r="Q90" s="222">
        <f>SUMIFS(LstMachines[Nbre],LstMachines[Model-Spec],PrévisionBoris[[#This Row],[Spec]],LstMachines[Status],PrévisionBoris[[#This Row],[Status]],LstMachines[MoisLivr],Q$1)</f>
        <v>0</v>
      </c>
      <c r="R90" s="220">
        <f>SUMIFS(LstMachines[Nbre],LstMachines[Model-Spec],PrévisionBoris[[#This Row],[Spec]],LstMachines[Status],PrévisionBoris[[#This Row],[Status]],LstMachines[MoisLivr],R$1)</f>
        <v>0</v>
      </c>
      <c r="S90" s="220">
        <f>SUMIFS(LstMachines[Nbre],LstMachines[Model-Spec],PrévisionBoris[[#This Row],[Spec]],LstMachines[Status],PrévisionBoris[[#This Row],[Status]],LstMachines[MoisLivr],S$1)</f>
        <v>0</v>
      </c>
      <c r="T90" s="219">
        <f>SUMIFS(LstMachines[Nbre],LstMachines[Model-Spec],PrévisionBoris[[#This Row],[Spec]],LstMachines[Status],PrévisionBoris[[#This Row],[Status]],LstMachines[MoisLivr],T$1)</f>
        <v>0</v>
      </c>
      <c r="U90" s="220">
        <f>SUMIFS(LstMachines[Nbre],LstMachines[Model-Spec],PrévisionBoris[[#This Row],[Spec]],LstMachines[Status],PrévisionBoris[[#This Row],[Status]],LstMachines[MoisLivr],U$1)</f>
        <v>0</v>
      </c>
      <c r="V90" s="220">
        <f>SUMIFS(LstMachines[Nbre],LstMachines[Model-Spec],PrévisionBoris[[#This Row],[Spec]],LstMachines[Status],PrévisionBoris[[#This Row],[Status]],LstMachines[MoisLivr],V$1)</f>
        <v>0</v>
      </c>
      <c r="W90" s="219">
        <f>SUMIFS(LstMachines[Nbre],LstMachines[Model-Spec],PrévisionBoris[[#This Row],[Spec]],LstMachines[Status],PrévisionBoris[[#This Row],[Status]],LstMachines[MoisLivr],W$1)</f>
        <v>0</v>
      </c>
      <c r="X90" s="220">
        <f>SUMIFS(LstMachines[Nbre],LstMachines[Model-Spec],PrévisionBoris[[#This Row],[Spec]],LstMachines[Status],PrévisionBoris[[#This Row],[Status]],LstMachines[MoisLivr],X$1)</f>
        <v>0</v>
      </c>
      <c r="Y90" s="220">
        <f>SUMIFS(LstMachines[Nbre],LstMachines[Model-Spec],PrévisionBoris[[#This Row],[Spec]],LstMachines[Status],PrévisionBoris[[#This Row],[Status]],LstMachines[MoisLivr],Y$1)</f>
        <v>0</v>
      </c>
      <c r="Z90" s="219">
        <f>SUMIFS(LstMachines[Nbre],LstMachines[Model-Spec],PrévisionBoris[[#This Row],[Spec]],LstMachines[Status],PrévisionBoris[[#This Row],[Status]],LstMachines[MoisLivr],Z$1)</f>
        <v>0</v>
      </c>
      <c r="AA90" s="220">
        <f>SUMIFS(LstMachines[Nbre],LstMachines[Model-Spec],PrévisionBoris[[#This Row],[Spec]],LstMachines[Status],PrévisionBoris[[#This Row],[Status]],LstMachines[MoisLivr],AA$1)</f>
        <v>0</v>
      </c>
      <c r="AB90" s="220">
        <f>SUMIFS(LstMachines[Nbre],LstMachines[Model-Spec],PrévisionBoris[[#This Row],[Spec]],LstMachines[Status],PrévisionBoris[[#This Row],[Status]],LstMachines[MoisLivr],AB$1)</f>
        <v>0</v>
      </c>
      <c r="AC90" s="219">
        <f>SUMIFS(LstMachines[Nbre],LstMachines[Model-Spec],PrévisionBoris[[#This Row],[Spec]],LstMachines[Status],PrévisionBoris[[#This Row],[Status]],LstMachines[MoisLivr],AC$1)</f>
        <v>0</v>
      </c>
      <c r="AD90" s="220">
        <f>SUMIFS(LstMachines[Nbre],LstMachines[Model-Spec],PrévisionBoris[[#This Row],[Spec]],LstMachines[Status],PrévisionBoris[[#This Row],[Status]],LstMachines[MoisLivr],AD$1)</f>
        <v>0</v>
      </c>
      <c r="AE90" s="220">
        <f>SUMIFS(LstMachines[Nbre],LstMachines[Model-Spec],PrévisionBoris[[#This Row],[Spec]],LstMachines[Status],PrévisionBoris[[#This Row],[Status]],LstMachines[MoisLivr],AE$1)</f>
        <v>0</v>
      </c>
      <c r="AF90" s="219">
        <f>SUMIFS(LstMachines[Nbre],LstMachines[Model-Spec],PrévisionBoris[[#This Row],[Spec]],LstMachines[Status],PrévisionBoris[[#This Row],[Status]],LstMachines[MoisLivr],AF$1)</f>
        <v>0</v>
      </c>
      <c r="AG90" s="220">
        <f>SUMIFS(LstMachines[Nbre],LstMachines[Model-Spec],PrévisionBoris[[#This Row],[Spec]],LstMachines[Status],PrévisionBoris[[#This Row],[Status]],LstMachines[MoisLivr],AG$1)</f>
        <v>0</v>
      </c>
      <c r="AH90" s="220">
        <f>SUMIFS(LstMachines[Nbre],LstMachines[Model-Spec],PrévisionBoris[[#This Row],[Spec]],LstMachines[Status],PrévisionBoris[[#This Row],[Status]],LstMachines[MoisLivr],AH$1)</f>
        <v>0</v>
      </c>
      <c r="AI90" s="219">
        <f>SUMIFS(LstMachines[Nbre],LstMachines[Model-Spec],PrévisionBoris[[#This Row],[Spec]],LstMachines[Status],PrévisionBoris[[#This Row],[Status]],LstMachines[MoisLivr],AI$1)</f>
        <v>0</v>
      </c>
      <c r="AJ90" s="220">
        <f>SUMIFS(LstMachines[Nbre],LstMachines[Model-Spec],PrévisionBoris[[#This Row],[Spec]],LstMachines[Status],PrévisionBoris[[#This Row],[Status]],LstMachines[MoisLivr],AJ$1)</f>
        <v>0</v>
      </c>
      <c r="AK90" s="220">
        <f>SUMIFS(LstMachines[Nbre],LstMachines[Model-Spec],PrévisionBoris[[#This Row],[Spec]],LstMachines[Status],PrévisionBoris[[#This Row],[Status]],LstMachines[MoisLivr],AK$1)</f>
        <v>0</v>
      </c>
      <c r="AL90" s="219">
        <f>SUMIFS(LstMachines[Nbre],LstMachines[Model-Spec],PrévisionBoris[[#This Row],[Spec]],LstMachines[Status],PrévisionBoris[[#This Row],[Status]],LstMachines[MoisLivr],AL$1)</f>
        <v>0</v>
      </c>
      <c r="AM90" s="220">
        <f>SUMIFS(LstMachines[Nbre],LstMachines[Model-Spec],PrévisionBoris[[#This Row],[Spec]],LstMachines[Status],PrévisionBoris[[#This Row],[Status]],LstMachines[MoisLivr],AM$1)</f>
        <v>0</v>
      </c>
      <c r="AN90" s="220">
        <f>SUMIFS(LstMachines[Nbre],LstMachines[Model-Spec],PrévisionBoris[[#This Row],[Spec]],LstMachines[Status],PrévisionBoris[[#This Row],[Status]],LstMachines[MoisLivr],AN$1)</f>
        <v>0</v>
      </c>
      <c r="AO90" s="219">
        <f>SUMIFS(LstMachines[Nbre],LstMachines[Model-Spec],PrévisionBoris[[#This Row],[Spec]],LstMachines[Status],PrévisionBoris[[#This Row],[Status]],LstMachines[MoisLivr],AO$1)</f>
        <v>0</v>
      </c>
      <c r="AP90" s="220">
        <f>SUMIFS(LstMachines[Nbre],LstMachines[Model-Spec],PrévisionBoris[[#This Row],[Spec]],LstMachines[Status],PrévisionBoris[[#This Row],[Status]],LstMachines[MoisLivr],AP$1)</f>
        <v>0</v>
      </c>
      <c r="AQ90" s="220">
        <f>SUMIFS(LstMachines[Nbre],LstMachines[Model-Spec],PrévisionBoris[[#This Row],[Spec]],LstMachines[Status],PrévisionBoris[[#This Row],[Status]],LstMachines[MoisLivr],AQ$1)</f>
        <v>0</v>
      </c>
      <c r="AR90" s="219">
        <f>SUMIFS(LstMachines[Nbre],LstMachines[Model-Spec],PrévisionBoris[[#This Row],[Spec]],LstMachines[Status],PrévisionBoris[[#This Row],[Status]],LstMachines[MoisLivr],AR$1)</f>
        <v>0</v>
      </c>
      <c r="AS90" s="220">
        <f>SUMIFS(LstMachines[Nbre],LstMachines[Model-Spec],PrévisionBoris[[#This Row],[Spec]],LstMachines[Status],PrévisionBoris[[#This Row],[Status]],LstMachines[MoisLivr],AS$1)</f>
        <v>0</v>
      </c>
      <c r="AT90" s="220">
        <f>SUMIFS(LstMachines[Nbre],LstMachines[Model-Spec],PrévisionBoris[[#This Row],[Spec]],LstMachines[Status],PrévisionBoris[[#This Row],[Status]],LstMachines[MoisLivr],AT$1)</f>
        <v>0</v>
      </c>
      <c r="AU90" s="219">
        <f>SUMIFS(LstMachines[Nbre],LstMachines[Model-Spec],PrévisionBoris[[#This Row],[Spec]],LstMachines[Status],PrévisionBoris[[#This Row],[Status]],LstMachines[MoisLivr],AU$1)</f>
        <v>0</v>
      </c>
      <c r="AV90" s="223">
        <f>SUMIFS(LstMachines[Nbre],LstMachines[Model-Spec],PrévisionBoris[[#This Row],[Spec]],LstMachines[Status],PrévisionBoris[[#This Row],[Status]],LstMachines[MoisLivr],AV$1)</f>
        <v>0</v>
      </c>
      <c r="AW90" s="224">
        <f>SUMIFS(LstMachines[Nbre],LstMachines[Model-Spec],PrévisionBoris[[#This Row],[Spec]],LstMachines[Status],PrévisionBoris[[#This Row],[Status]],LstMachines[MoisLivr],AW$1)</f>
        <v>0</v>
      </c>
      <c r="AX90" s="210"/>
      <c r="AY90" s="211">
        <f t="shared" si="19"/>
        <v>0</v>
      </c>
      <c r="AZ90" s="212">
        <f t="shared" si="20"/>
        <v>0</v>
      </c>
      <c r="BA90" s="212">
        <f t="shared" si="21"/>
        <v>0</v>
      </c>
      <c r="BB90" s="213">
        <f t="shared" si="22"/>
        <v>0</v>
      </c>
      <c r="BC90" s="225">
        <f t="shared" si="23"/>
        <v>0</v>
      </c>
      <c r="BD90" s="211">
        <f t="shared" si="24"/>
        <v>0</v>
      </c>
      <c r="BE90" s="212">
        <f t="shared" si="25"/>
        <v>0</v>
      </c>
      <c r="BF90" s="212">
        <f t="shared" si="26"/>
        <v>0</v>
      </c>
      <c r="BG90" s="213">
        <f t="shared" si="27"/>
        <v>0</v>
      </c>
      <c r="BH90" s="225">
        <f t="shared" si="28"/>
        <v>0</v>
      </c>
      <c r="BI90" s="214">
        <f t="shared" si="29"/>
        <v>0</v>
      </c>
      <c r="BJ90" s="215">
        <f t="shared" si="30"/>
        <v>0</v>
      </c>
      <c r="BK90" s="215">
        <f t="shared" si="31"/>
        <v>0</v>
      </c>
      <c r="BL90" s="216">
        <f t="shared" si="32"/>
        <v>0</v>
      </c>
      <c r="BM90" s="225">
        <f t="shared" si="33"/>
        <v>0</v>
      </c>
      <c r="BN90" s="225"/>
      <c r="BO90" s="217"/>
      <c r="BP90" s="218">
        <f t="shared" si="34"/>
        <v>0</v>
      </c>
    </row>
    <row r="91" spans="1:68">
      <c r="A91" s="171">
        <v>84</v>
      </c>
      <c r="B91" s="171" t="s">
        <v>75</v>
      </c>
      <c r="C91" s="201">
        <v>26</v>
      </c>
      <c r="D91" s="171" t="s">
        <v>77</v>
      </c>
      <c r="E91" s="171" t="s">
        <v>404</v>
      </c>
      <c r="F91" s="201">
        <f>VLOOKUP(PrévisionBoris[[#This Row],[Spec]],TabModelSpecs[[ModelSpec]:[Price]],2,FALSE)</f>
        <v>20</v>
      </c>
      <c r="G91" s="171" t="s">
        <v>463</v>
      </c>
      <c r="H91" s="226">
        <f>SUMIFS(LstMachines[Nbre],LstMachines[Model-Spec],PrévisionBoris[[#This Row],[Spec]],LstMachines[Status],PrévisionBoris[[#This Row],[Status]],LstMachines[MoisLivr],H$1)</f>
        <v>0</v>
      </c>
      <c r="I91" s="227">
        <f>SUMIFS(LstMachines[Nbre],LstMachines[Model-Spec],PrévisionBoris[[#This Row],[Spec]],LstMachines[Status],PrévisionBoris[[#This Row],[Status]],LstMachines[MoisLivr],I$1)</f>
        <v>0</v>
      </c>
      <c r="J91" s="228">
        <f>SUMIFS(LstMachines[Nbre],LstMachines[Model-Spec],PrévisionBoris[[#This Row],[Spec]],LstMachines[Status],PrévisionBoris[[#This Row],[Status]],LstMachines[MoisLivr],J$1)</f>
        <v>0</v>
      </c>
      <c r="K91" s="226">
        <f>SUMIFS(LstMachines[Nbre],LstMachines[Model-Spec],PrévisionBoris[[#This Row],[Spec]],LstMachines[Status],PrévisionBoris[[#This Row],[Status]],LstMachines[MoisLivr],K$1)</f>
        <v>0</v>
      </c>
      <c r="L91" s="227">
        <f>SUMIFS(LstMachines[Nbre],LstMachines[Model-Spec],PrévisionBoris[[#This Row],[Spec]],LstMachines[Status],PrévisionBoris[[#This Row],[Status]],LstMachines[MoisLivr],L$1)</f>
        <v>0</v>
      </c>
      <c r="M91" s="228">
        <f>SUMIFS(LstMachines[Nbre],LstMachines[Model-Spec],PrévisionBoris[[#This Row],[Spec]],LstMachines[Status],PrévisionBoris[[#This Row],[Status]],LstMachines[MoisLivr],M$1)</f>
        <v>0</v>
      </c>
      <c r="N91" s="226">
        <f>SUMIFS(LstMachines[Nbre],LstMachines[Model-Spec],PrévisionBoris[[#This Row],[Spec]],LstMachines[Status],PrévisionBoris[[#This Row],[Status]],LstMachines[MoisLivr],N$1)</f>
        <v>0</v>
      </c>
      <c r="O91" s="227">
        <f>SUMIFS(LstMachines[Nbre],LstMachines[Model-Spec],PrévisionBoris[[#This Row],[Spec]],LstMachines[Status],PrévisionBoris[[#This Row],[Status]],LstMachines[MoisLivr],O$1)</f>
        <v>0</v>
      </c>
      <c r="P91" s="228">
        <f>SUMIFS(LstMachines[Nbre],LstMachines[Model-Spec],PrévisionBoris[[#This Row],[Spec]],LstMachines[Status],PrévisionBoris[[#This Row],[Status]],LstMachines[MoisLivr],P$1)</f>
        <v>0</v>
      </c>
      <c r="Q91" s="229">
        <f>SUMIFS(LstMachines[Nbre],LstMachines[Model-Spec],PrévisionBoris[[#This Row],[Spec]],LstMachines[Status],PrévisionBoris[[#This Row],[Status]],LstMachines[MoisLivr],Q$1)</f>
        <v>0</v>
      </c>
      <c r="R91" s="227">
        <f>SUMIFS(LstMachines[Nbre],LstMachines[Model-Spec],PrévisionBoris[[#This Row],[Spec]],LstMachines[Status],PrévisionBoris[[#This Row],[Status]],LstMachines[MoisLivr],R$1)</f>
        <v>0</v>
      </c>
      <c r="S91" s="227">
        <f>SUMIFS(LstMachines[Nbre],LstMachines[Model-Spec],PrévisionBoris[[#This Row],[Spec]],LstMachines[Status],PrévisionBoris[[#This Row],[Status]],LstMachines[MoisLivr],S$1)</f>
        <v>0</v>
      </c>
      <c r="T91" s="226">
        <f>SUMIFS(LstMachines[Nbre],LstMachines[Model-Spec],PrévisionBoris[[#This Row],[Spec]],LstMachines[Status],PrévisionBoris[[#This Row],[Status]],LstMachines[MoisLivr],T$1)</f>
        <v>0</v>
      </c>
      <c r="U91" s="227">
        <f>SUMIFS(LstMachines[Nbre],LstMachines[Model-Spec],PrévisionBoris[[#This Row],[Spec]],LstMachines[Status],PrévisionBoris[[#This Row],[Status]],LstMachines[MoisLivr],U$1)</f>
        <v>0</v>
      </c>
      <c r="V91" s="227">
        <f>SUMIFS(LstMachines[Nbre],LstMachines[Model-Spec],PrévisionBoris[[#This Row],[Spec]],LstMachines[Status],PrévisionBoris[[#This Row],[Status]],LstMachines[MoisLivr],V$1)</f>
        <v>0</v>
      </c>
      <c r="W91" s="226">
        <f>SUMIFS(LstMachines[Nbre],LstMachines[Model-Spec],PrévisionBoris[[#This Row],[Spec]],LstMachines[Status],PrévisionBoris[[#This Row],[Status]],LstMachines[MoisLivr],W$1)</f>
        <v>0</v>
      </c>
      <c r="X91" s="227">
        <f>SUMIFS(LstMachines[Nbre],LstMachines[Model-Spec],PrévisionBoris[[#This Row],[Spec]],LstMachines[Status],PrévisionBoris[[#This Row],[Status]],LstMachines[MoisLivr],X$1)</f>
        <v>0</v>
      </c>
      <c r="Y91" s="227">
        <f>SUMIFS(LstMachines[Nbre],LstMachines[Model-Spec],PrévisionBoris[[#This Row],[Spec]],LstMachines[Status],PrévisionBoris[[#This Row],[Status]],LstMachines[MoisLivr],Y$1)</f>
        <v>0</v>
      </c>
      <c r="Z91" s="226">
        <f>SUMIFS(LstMachines[Nbre],LstMachines[Model-Spec],PrévisionBoris[[#This Row],[Spec]],LstMachines[Status],PrévisionBoris[[#This Row],[Status]],LstMachines[MoisLivr],Z$1)</f>
        <v>0</v>
      </c>
      <c r="AA91" s="227">
        <f>SUMIFS(LstMachines[Nbre],LstMachines[Model-Spec],PrévisionBoris[[#This Row],[Spec]],LstMachines[Status],PrévisionBoris[[#This Row],[Status]],LstMachines[MoisLivr],AA$1)</f>
        <v>0</v>
      </c>
      <c r="AB91" s="227">
        <f>SUMIFS(LstMachines[Nbre],LstMachines[Model-Spec],PrévisionBoris[[#This Row],[Spec]],LstMachines[Status],PrévisionBoris[[#This Row],[Status]],LstMachines[MoisLivr],AB$1)</f>
        <v>0</v>
      </c>
      <c r="AC91" s="226">
        <f>SUMIFS(LstMachines[Nbre],LstMachines[Model-Spec],PrévisionBoris[[#This Row],[Spec]],LstMachines[Status],PrévisionBoris[[#This Row],[Status]],LstMachines[MoisLivr],AC$1)</f>
        <v>0</v>
      </c>
      <c r="AD91" s="227">
        <f>SUMIFS(LstMachines[Nbre],LstMachines[Model-Spec],PrévisionBoris[[#This Row],[Spec]],LstMachines[Status],PrévisionBoris[[#This Row],[Status]],LstMachines[MoisLivr],AD$1)</f>
        <v>0</v>
      </c>
      <c r="AE91" s="227">
        <f>SUMIFS(LstMachines[Nbre],LstMachines[Model-Spec],PrévisionBoris[[#This Row],[Spec]],LstMachines[Status],PrévisionBoris[[#This Row],[Status]],LstMachines[MoisLivr],AE$1)</f>
        <v>0</v>
      </c>
      <c r="AF91" s="226">
        <f>SUMIFS(LstMachines[Nbre],LstMachines[Model-Spec],PrévisionBoris[[#This Row],[Spec]],LstMachines[Status],PrévisionBoris[[#This Row],[Status]],LstMachines[MoisLivr],AF$1)</f>
        <v>0</v>
      </c>
      <c r="AG91" s="227">
        <f>SUMIFS(LstMachines[Nbre],LstMachines[Model-Spec],PrévisionBoris[[#This Row],[Spec]],LstMachines[Status],PrévisionBoris[[#This Row],[Status]],LstMachines[MoisLivr],AG$1)</f>
        <v>0</v>
      </c>
      <c r="AH91" s="227">
        <f>SUMIFS(LstMachines[Nbre],LstMachines[Model-Spec],PrévisionBoris[[#This Row],[Spec]],LstMachines[Status],PrévisionBoris[[#This Row],[Status]],LstMachines[MoisLivr],AH$1)</f>
        <v>0</v>
      </c>
      <c r="AI91" s="226">
        <f>SUMIFS(LstMachines[Nbre],LstMachines[Model-Spec],PrévisionBoris[[#This Row],[Spec]],LstMachines[Status],PrévisionBoris[[#This Row],[Status]],LstMachines[MoisLivr],AI$1)</f>
        <v>0</v>
      </c>
      <c r="AJ91" s="227">
        <f>SUMIFS(LstMachines[Nbre],LstMachines[Model-Spec],PrévisionBoris[[#This Row],[Spec]],LstMachines[Status],PrévisionBoris[[#This Row],[Status]],LstMachines[MoisLivr],AJ$1)</f>
        <v>0</v>
      </c>
      <c r="AK91" s="227">
        <f>SUMIFS(LstMachines[Nbre],LstMachines[Model-Spec],PrévisionBoris[[#This Row],[Spec]],LstMachines[Status],PrévisionBoris[[#This Row],[Status]],LstMachines[MoisLivr],AK$1)</f>
        <v>0</v>
      </c>
      <c r="AL91" s="226">
        <f>SUMIFS(LstMachines[Nbre],LstMachines[Model-Spec],PrévisionBoris[[#This Row],[Spec]],LstMachines[Status],PrévisionBoris[[#This Row],[Status]],LstMachines[MoisLivr],AL$1)</f>
        <v>0</v>
      </c>
      <c r="AM91" s="227">
        <f>SUMIFS(LstMachines[Nbre],LstMachines[Model-Spec],PrévisionBoris[[#This Row],[Spec]],LstMachines[Status],PrévisionBoris[[#This Row],[Status]],LstMachines[MoisLivr],AM$1)</f>
        <v>0</v>
      </c>
      <c r="AN91" s="227">
        <f>SUMIFS(LstMachines[Nbre],LstMachines[Model-Spec],PrévisionBoris[[#This Row],[Spec]],LstMachines[Status],PrévisionBoris[[#This Row],[Status]],LstMachines[MoisLivr],AN$1)</f>
        <v>0</v>
      </c>
      <c r="AO91" s="226">
        <f>SUMIFS(LstMachines[Nbre],LstMachines[Model-Spec],PrévisionBoris[[#This Row],[Spec]],LstMachines[Status],PrévisionBoris[[#This Row],[Status]],LstMachines[MoisLivr],AO$1)</f>
        <v>0</v>
      </c>
      <c r="AP91" s="227">
        <f>SUMIFS(LstMachines[Nbre],LstMachines[Model-Spec],PrévisionBoris[[#This Row],[Spec]],LstMachines[Status],PrévisionBoris[[#This Row],[Status]],LstMachines[MoisLivr],AP$1)</f>
        <v>0</v>
      </c>
      <c r="AQ91" s="227">
        <f>SUMIFS(LstMachines[Nbre],LstMachines[Model-Spec],PrévisionBoris[[#This Row],[Spec]],LstMachines[Status],PrévisionBoris[[#This Row],[Status]],LstMachines[MoisLivr],AQ$1)</f>
        <v>0</v>
      </c>
      <c r="AR91" s="226">
        <f>SUMIFS(LstMachines[Nbre],LstMachines[Model-Spec],PrévisionBoris[[#This Row],[Spec]],LstMachines[Status],PrévisionBoris[[#This Row],[Status]],LstMachines[MoisLivr],AR$1)</f>
        <v>0</v>
      </c>
      <c r="AS91" s="227">
        <f>SUMIFS(LstMachines[Nbre],LstMachines[Model-Spec],PrévisionBoris[[#This Row],[Spec]],LstMachines[Status],PrévisionBoris[[#This Row],[Status]],LstMachines[MoisLivr],AS$1)</f>
        <v>0</v>
      </c>
      <c r="AT91" s="227">
        <f>SUMIFS(LstMachines[Nbre],LstMachines[Model-Spec],PrévisionBoris[[#This Row],[Spec]],LstMachines[Status],PrévisionBoris[[#This Row],[Status]],LstMachines[MoisLivr],AT$1)</f>
        <v>0</v>
      </c>
      <c r="AU91" s="226">
        <f>SUMIFS(LstMachines[Nbre],LstMachines[Model-Spec],PrévisionBoris[[#This Row],[Spec]],LstMachines[Status],PrévisionBoris[[#This Row],[Status]],LstMachines[MoisLivr],AU$1)</f>
        <v>0</v>
      </c>
      <c r="AV91" s="230">
        <f>SUMIFS(LstMachines[Nbre],LstMachines[Model-Spec],PrévisionBoris[[#This Row],[Spec]],LstMachines[Status],PrévisionBoris[[#This Row],[Status]],LstMachines[MoisLivr],AV$1)</f>
        <v>0</v>
      </c>
      <c r="AW91" s="231">
        <f>SUMIFS(LstMachines[Nbre],LstMachines[Model-Spec],PrévisionBoris[[#This Row],[Spec]],LstMachines[Status],PrévisionBoris[[#This Row],[Status]],LstMachines[MoisLivr],AW$1)</f>
        <v>0</v>
      </c>
      <c r="AX91" s="232"/>
      <c r="AY91" s="211">
        <f t="shared" si="19"/>
        <v>0</v>
      </c>
      <c r="AZ91" s="212">
        <f t="shared" si="20"/>
        <v>0</v>
      </c>
      <c r="BA91" s="212">
        <f t="shared" si="21"/>
        <v>0</v>
      </c>
      <c r="BB91" s="213">
        <f t="shared" si="22"/>
        <v>0</v>
      </c>
      <c r="BC91" s="225">
        <f t="shared" si="23"/>
        <v>0</v>
      </c>
      <c r="BD91" s="211">
        <f t="shared" si="24"/>
        <v>0</v>
      </c>
      <c r="BE91" s="212">
        <f t="shared" si="25"/>
        <v>0</v>
      </c>
      <c r="BF91" s="212">
        <f t="shared" si="26"/>
        <v>0</v>
      </c>
      <c r="BG91" s="213">
        <f t="shared" si="27"/>
        <v>0</v>
      </c>
      <c r="BH91" s="225">
        <f t="shared" si="28"/>
        <v>0</v>
      </c>
      <c r="BI91" s="214">
        <f t="shared" si="29"/>
        <v>0</v>
      </c>
      <c r="BJ91" s="215">
        <f t="shared" si="30"/>
        <v>0</v>
      </c>
      <c r="BK91" s="215">
        <f t="shared" si="31"/>
        <v>0</v>
      </c>
      <c r="BL91" s="216">
        <f t="shared" si="32"/>
        <v>0</v>
      </c>
      <c r="BM91" s="225">
        <f t="shared" si="33"/>
        <v>0</v>
      </c>
      <c r="BN91" s="225"/>
      <c r="BO91" s="217"/>
      <c r="BP91" s="218">
        <f t="shared" si="34"/>
        <v>0</v>
      </c>
    </row>
    <row r="92" spans="1:68">
      <c r="A92" s="172">
        <v>85</v>
      </c>
      <c r="B92" s="172" t="s">
        <v>75</v>
      </c>
      <c r="C92" s="202">
        <v>33</v>
      </c>
      <c r="D92" s="172" t="s">
        <v>80</v>
      </c>
      <c r="E92" s="172" t="s">
        <v>362</v>
      </c>
      <c r="F92" s="202">
        <f>VLOOKUP(PrévisionBoris[[#This Row],[Spec]],TabModelSpecs[[ModelSpec]:[Price]],2,FALSE)</f>
        <v>32</v>
      </c>
      <c r="G92" s="172" t="s">
        <v>461</v>
      </c>
      <c r="H92" s="206">
        <f>SUMIFS(LstMachines[Nbre],LstMachines[Model-Spec],PrévisionBoris[[#This Row],[Spec]],LstMachines[Status],PrévisionBoris[[#This Row],[Status]],LstMachines[MoisLivr],H$1)</f>
        <v>0</v>
      </c>
      <c r="I92" s="207">
        <f>SUMIFS(LstMachines[Nbre],LstMachines[Model-Spec],PrévisionBoris[[#This Row],[Spec]],LstMachines[Status],PrévisionBoris[[#This Row],[Status]],LstMachines[MoisLivr],I$1)</f>
        <v>0</v>
      </c>
      <c r="J92" s="208">
        <f>SUMIFS(LstMachines[Nbre],LstMachines[Model-Spec],PrévisionBoris[[#This Row],[Spec]],LstMachines[Status],PrévisionBoris[[#This Row],[Status]],LstMachines[MoisLivr],J$1)</f>
        <v>0</v>
      </c>
      <c r="K92" s="206">
        <f>SUMIFS(LstMachines[Nbre],LstMachines[Model-Spec],PrévisionBoris[[#This Row],[Spec]],LstMachines[Status],PrévisionBoris[[#This Row],[Status]],LstMachines[MoisLivr],K$1)</f>
        <v>0</v>
      </c>
      <c r="L92" s="207">
        <f>SUMIFS(LstMachines[Nbre],LstMachines[Model-Spec],PrévisionBoris[[#This Row],[Spec]],LstMachines[Status],PrévisionBoris[[#This Row],[Status]],LstMachines[MoisLivr],L$1)</f>
        <v>0</v>
      </c>
      <c r="M92" s="208">
        <f>SUMIFS(LstMachines[Nbre],LstMachines[Model-Spec],PrévisionBoris[[#This Row],[Spec]],LstMachines[Status],PrévisionBoris[[#This Row],[Status]],LstMachines[MoisLivr],M$1)</f>
        <v>0</v>
      </c>
      <c r="N92" s="206">
        <f>SUMIFS(LstMachines[Nbre],LstMachines[Model-Spec],PrévisionBoris[[#This Row],[Spec]],LstMachines[Status],PrévisionBoris[[#This Row],[Status]],LstMachines[MoisLivr],N$1)</f>
        <v>1</v>
      </c>
      <c r="O92" s="207">
        <f>SUMIFS(LstMachines[Nbre],LstMachines[Model-Spec],PrévisionBoris[[#This Row],[Spec]],LstMachines[Status],PrévisionBoris[[#This Row],[Status]],LstMachines[MoisLivr],O$1)</f>
        <v>0</v>
      </c>
      <c r="P92" s="208">
        <f>SUMIFS(LstMachines[Nbre],LstMachines[Model-Spec],PrévisionBoris[[#This Row],[Spec]],LstMachines[Status],PrévisionBoris[[#This Row],[Status]],LstMachines[MoisLivr],P$1)</f>
        <v>0</v>
      </c>
      <c r="Q92" s="209">
        <f>SUMIFS(LstMachines[Nbre],LstMachines[Model-Spec],PrévisionBoris[[#This Row],[Spec]],LstMachines[Status],PrévisionBoris[[#This Row],[Status]],LstMachines[MoisLivr],Q$1)</f>
        <v>1</v>
      </c>
      <c r="R92" s="207">
        <f>SUMIFS(LstMachines[Nbre],LstMachines[Model-Spec],PrévisionBoris[[#This Row],[Spec]],LstMachines[Status],PrévisionBoris[[#This Row],[Status]],LstMachines[MoisLivr],R$1)</f>
        <v>0</v>
      </c>
      <c r="S92" s="207">
        <f>SUMIFS(LstMachines[Nbre],LstMachines[Model-Spec],PrévisionBoris[[#This Row],[Spec]],LstMachines[Status],PrévisionBoris[[#This Row],[Status]],LstMachines[MoisLivr],S$1)</f>
        <v>0</v>
      </c>
      <c r="T92" s="206">
        <f>SUMIFS(LstMachines[Nbre],LstMachines[Model-Spec],PrévisionBoris[[#This Row],[Spec]],LstMachines[Status],PrévisionBoris[[#This Row],[Status]],LstMachines[MoisLivr],T$1)</f>
        <v>0</v>
      </c>
      <c r="U92" s="207">
        <f>SUMIFS(LstMachines[Nbre],LstMachines[Model-Spec],PrévisionBoris[[#This Row],[Spec]],LstMachines[Status],PrévisionBoris[[#This Row],[Status]],LstMachines[MoisLivr],U$1)</f>
        <v>0</v>
      </c>
      <c r="V92" s="207">
        <f>SUMIFS(LstMachines[Nbre],LstMachines[Model-Spec],PrévisionBoris[[#This Row],[Spec]],LstMachines[Status],PrévisionBoris[[#This Row],[Status]],LstMachines[MoisLivr],V$1)</f>
        <v>0</v>
      </c>
      <c r="W92" s="206">
        <f>SUMIFS(LstMachines[Nbre],LstMachines[Model-Spec],PrévisionBoris[[#This Row],[Spec]],LstMachines[Status],PrévisionBoris[[#This Row],[Status]],LstMachines[MoisLivr],W$1)</f>
        <v>0</v>
      </c>
      <c r="X92" s="207">
        <f>SUMIFS(LstMachines[Nbre],LstMachines[Model-Spec],PrévisionBoris[[#This Row],[Spec]],LstMachines[Status],PrévisionBoris[[#This Row],[Status]],LstMachines[MoisLivr],X$1)</f>
        <v>0</v>
      </c>
      <c r="Y92" s="207">
        <f>SUMIFS(LstMachines[Nbre],LstMachines[Model-Spec],PrévisionBoris[[#This Row],[Spec]],LstMachines[Status],PrévisionBoris[[#This Row],[Status]],LstMachines[MoisLivr],Y$1)</f>
        <v>2</v>
      </c>
      <c r="Z92" s="206">
        <f>SUMIFS(LstMachines[Nbre],LstMachines[Model-Spec],PrévisionBoris[[#This Row],[Spec]],LstMachines[Status],PrévisionBoris[[#This Row],[Status]],LstMachines[MoisLivr],Z$1)</f>
        <v>0</v>
      </c>
      <c r="AA92" s="207">
        <f>SUMIFS(LstMachines[Nbre],LstMachines[Model-Spec],PrévisionBoris[[#This Row],[Spec]],LstMachines[Status],PrévisionBoris[[#This Row],[Status]],LstMachines[MoisLivr],AA$1)</f>
        <v>0</v>
      </c>
      <c r="AB92" s="207">
        <f>SUMIFS(LstMachines[Nbre],LstMachines[Model-Spec],PrévisionBoris[[#This Row],[Spec]],LstMachines[Status],PrévisionBoris[[#This Row],[Status]],LstMachines[MoisLivr],AB$1)</f>
        <v>2</v>
      </c>
      <c r="AC92" s="206">
        <f>SUMIFS(LstMachines[Nbre],LstMachines[Model-Spec],PrévisionBoris[[#This Row],[Spec]],LstMachines[Status],PrévisionBoris[[#This Row],[Status]],LstMachines[MoisLivr],AC$1)</f>
        <v>0</v>
      </c>
      <c r="AD92" s="207">
        <f>SUMIFS(LstMachines[Nbre],LstMachines[Model-Spec],PrévisionBoris[[#This Row],[Spec]],LstMachines[Status],PrévisionBoris[[#This Row],[Status]],LstMachines[MoisLivr],AD$1)</f>
        <v>0</v>
      </c>
      <c r="AE92" s="207">
        <f>SUMIFS(LstMachines[Nbre],LstMachines[Model-Spec],PrévisionBoris[[#This Row],[Spec]],LstMachines[Status],PrévisionBoris[[#This Row],[Status]],LstMachines[MoisLivr],AE$1)</f>
        <v>0</v>
      </c>
      <c r="AF92" s="206">
        <f>SUMIFS(LstMachines[Nbre],LstMachines[Model-Spec],PrévisionBoris[[#This Row],[Spec]],LstMachines[Status],PrévisionBoris[[#This Row],[Status]],LstMachines[MoisLivr],AF$1)</f>
        <v>0</v>
      </c>
      <c r="AG92" s="207">
        <f>SUMIFS(LstMachines[Nbre],LstMachines[Model-Spec],PrévisionBoris[[#This Row],[Spec]],LstMachines[Status],PrévisionBoris[[#This Row],[Status]],LstMachines[MoisLivr],AG$1)</f>
        <v>0</v>
      </c>
      <c r="AH92" s="207">
        <f>SUMIFS(LstMachines[Nbre],LstMachines[Model-Spec],PrévisionBoris[[#This Row],[Spec]],LstMachines[Status],PrévisionBoris[[#This Row],[Status]],LstMachines[MoisLivr],AH$1)</f>
        <v>0</v>
      </c>
      <c r="AI92" s="206">
        <f>SUMIFS(LstMachines[Nbre],LstMachines[Model-Spec],PrévisionBoris[[#This Row],[Spec]],LstMachines[Status],PrévisionBoris[[#This Row],[Status]],LstMachines[MoisLivr],AI$1)</f>
        <v>0</v>
      </c>
      <c r="AJ92" s="207">
        <f>SUMIFS(LstMachines[Nbre],LstMachines[Model-Spec],PrévisionBoris[[#This Row],[Spec]],LstMachines[Status],PrévisionBoris[[#This Row],[Status]],LstMachines[MoisLivr],AJ$1)</f>
        <v>0</v>
      </c>
      <c r="AK92" s="207">
        <f>SUMIFS(LstMachines[Nbre],LstMachines[Model-Spec],PrévisionBoris[[#This Row],[Spec]],LstMachines[Status],PrévisionBoris[[#This Row],[Status]],LstMachines[MoisLivr],AK$1)</f>
        <v>0</v>
      </c>
      <c r="AL92" s="206">
        <f>SUMIFS(LstMachines[Nbre],LstMachines[Model-Spec],PrévisionBoris[[#This Row],[Spec]],LstMachines[Status],PrévisionBoris[[#This Row],[Status]],LstMachines[MoisLivr],AL$1)</f>
        <v>0</v>
      </c>
      <c r="AM92" s="207">
        <f>SUMIFS(LstMachines[Nbre],LstMachines[Model-Spec],PrévisionBoris[[#This Row],[Spec]],LstMachines[Status],PrévisionBoris[[#This Row],[Status]],LstMachines[MoisLivr],AM$1)</f>
        <v>0</v>
      </c>
      <c r="AN92" s="207">
        <f>SUMIFS(LstMachines[Nbre],LstMachines[Model-Spec],PrévisionBoris[[#This Row],[Spec]],LstMachines[Status],PrévisionBoris[[#This Row],[Status]],LstMachines[MoisLivr],AN$1)</f>
        <v>0</v>
      </c>
      <c r="AO92" s="206">
        <f>SUMIFS(LstMachines[Nbre],LstMachines[Model-Spec],PrévisionBoris[[#This Row],[Spec]],LstMachines[Status],PrévisionBoris[[#This Row],[Status]],LstMachines[MoisLivr],AO$1)</f>
        <v>0</v>
      </c>
      <c r="AP92" s="207">
        <f>SUMIFS(LstMachines[Nbre],LstMachines[Model-Spec],PrévisionBoris[[#This Row],[Spec]],LstMachines[Status],PrévisionBoris[[#This Row],[Status]],LstMachines[MoisLivr],AP$1)</f>
        <v>0</v>
      </c>
      <c r="AQ92" s="207">
        <f>SUMIFS(LstMachines[Nbre],LstMachines[Model-Spec],PrévisionBoris[[#This Row],[Spec]],LstMachines[Status],PrévisionBoris[[#This Row],[Status]],LstMachines[MoisLivr],AQ$1)</f>
        <v>0</v>
      </c>
      <c r="AR92" s="206">
        <f>SUMIFS(LstMachines[Nbre],LstMachines[Model-Spec],PrévisionBoris[[#This Row],[Spec]],LstMachines[Status],PrévisionBoris[[#This Row],[Status]],LstMachines[MoisLivr],AR$1)</f>
        <v>0</v>
      </c>
      <c r="AS92" s="207">
        <f>SUMIFS(LstMachines[Nbre],LstMachines[Model-Spec],PrévisionBoris[[#This Row],[Spec]],LstMachines[Status],PrévisionBoris[[#This Row],[Status]],LstMachines[MoisLivr],AS$1)</f>
        <v>0</v>
      </c>
      <c r="AT92" s="207">
        <f>SUMIFS(LstMachines[Nbre],LstMachines[Model-Spec],PrévisionBoris[[#This Row],[Spec]],LstMachines[Status],PrévisionBoris[[#This Row],[Status]],LstMachines[MoisLivr],AT$1)</f>
        <v>0</v>
      </c>
      <c r="AU92" s="206">
        <f>SUMIFS(LstMachines[Nbre],LstMachines[Model-Spec],PrévisionBoris[[#This Row],[Spec]],LstMachines[Status],PrévisionBoris[[#This Row],[Status]],LstMachines[MoisLivr],AU$1)</f>
        <v>0</v>
      </c>
      <c r="AV92" s="233">
        <f>SUMIFS(LstMachines[Nbre],LstMachines[Model-Spec],PrévisionBoris[[#This Row],[Spec]],LstMachines[Status],PrévisionBoris[[#This Row],[Status]],LstMachines[MoisLivr],AV$1)</f>
        <v>0</v>
      </c>
      <c r="AW92" s="208">
        <f>SUMIFS(LstMachines[Nbre],LstMachines[Model-Spec],PrévisionBoris[[#This Row],[Spec]],LstMachines[Status],PrévisionBoris[[#This Row],[Status]],LstMachines[MoisLivr],AW$1)</f>
        <v>0</v>
      </c>
      <c r="AX92" s="225"/>
      <c r="AY92" s="211">
        <f t="shared" si="19"/>
        <v>0</v>
      </c>
      <c r="AZ92" s="212">
        <f t="shared" si="20"/>
        <v>1</v>
      </c>
      <c r="BA92" s="212">
        <f t="shared" si="21"/>
        <v>1</v>
      </c>
      <c r="BB92" s="213">
        <f t="shared" si="22"/>
        <v>0</v>
      </c>
      <c r="BC92" s="225">
        <f t="shared" si="23"/>
        <v>2</v>
      </c>
      <c r="BD92" s="211">
        <f t="shared" si="24"/>
        <v>2</v>
      </c>
      <c r="BE92" s="212">
        <f t="shared" si="25"/>
        <v>2</v>
      </c>
      <c r="BF92" s="212">
        <f t="shared" si="26"/>
        <v>0</v>
      </c>
      <c r="BG92" s="213">
        <f t="shared" si="27"/>
        <v>0</v>
      </c>
      <c r="BH92" s="225">
        <f t="shared" si="28"/>
        <v>4</v>
      </c>
      <c r="BI92" s="214">
        <f t="shared" si="29"/>
        <v>0</v>
      </c>
      <c r="BJ92" s="215">
        <f t="shared" si="30"/>
        <v>0</v>
      </c>
      <c r="BK92" s="215">
        <f t="shared" si="31"/>
        <v>0</v>
      </c>
      <c r="BL92" s="216">
        <f t="shared" si="32"/>
        <v>0</v>
      </c>
      <c r="BM92" s="225">
        <f t="shared" si="33"/>
        <v>0</v>
      </c>
      <c r="BN92" s="225"/>
      <c r="BO92" s="234"/>
      <c r="BP92" s="218">
        <f t="shared" si="34"/>
        <v>6</v>
      </c>
    </row>
    <row r="93" spans="1:68">
      <c r="A93" s="170">
        <v>86</v>
      </c>
      <c r="B93" s="170" t="s">
        <v>75</v>
      </c>
      <c r="C93" s="200">
        <v>33</v>
      </c>
      <c r="D93" s="170" t="s">
        <v>80</v>
      </c>
      <c r="E93" s="170" t="s">
        <v>362</v>
      </c>
      <c r="F93" s="200">
        <f>VLOOKUP(PrévisionBoris[[#This Row],[Spec]],TabModelSpecs[[ModelSpec]:[Price]],2,FALSE)</f>
        <v>32</v>
      </c>
      <c r="G93" s="170" t="s">
        <v>462</v>
      </c>
      <c r="H93" s="219">
        <f>SUMIFS(LstMachines[Nbre],LstMachines[Model-Spec],PrévisionBoris[[#This Row],[Spec]],LstMachines[Status],PrévisionBoris[[#This Row],[Status]],LstMachines[MoisLivr],H$1)</f>
        <v>0</v>
      </c>
      <c r="I93" s="220">
        <f>SUMIFS(LstMachines[Nbre],LstMachines[Model-Spec],PrévisionBoris[[#This Row],[Spec]],LstMachines[Status],PrévisionBoris[[#This Row],[Status]],LstMachines[MoisLivr],I$1)</f>
        <v>0</v>
      </c>
      <c r="J93" s="221">
        <f>SUMIFS(LstMachines[Nbre],LstMachines[Model-Spec],PrévisionBoris[[#This Row],[Spec]],LstMachines[Status],PrévisionBoris[[#This Row],[Status]],LstMachines[MoisLivr],J$1)</f>
        <v>0</v>
      </c>
      <c r="K93" s="219">
        <f>SUMIFS(LstMachines[Nbre],LstMachines[Model-Spec],PrévisionBoris[[#This Row],[Spec]],LstMachines[Status],PrévisionBoris[[#This Row],[Status]],LstMachines[MoisLivr],K$1)</f>
        <v>0</v>
      </c>
      <c r="L93" s="220">
        <f>SUMIFS(LstMachines[Nbre],LstMachines[Model-Spec],PrévisionBoris[[#This Row],[Spec]],LstMachines[Status],PrévisionBoris[[#This Row],[Status]],LstMachines[MoisLivr],L$1)</f>
        <v>0</v>
      </c>
      <c r="M93" s="221">
        <f>SUMIFS(LstMachines[Nbre],LstMachines[Model-Spec],PrévisionBoris[[#This Row],[Spec]],LstMachines[Status],PrévisionBoris[[#This Row],[Status]],LstMachines[MoisLivr],M$1)</f>
        <v>0</v>
      </c>
      <c r="N93" s="219">
        <f>SUMIFS(LstMachines[Nbre],LstMachines[Model-Spec],PrévisionBoris[[#This Row],[Spec]],LstMachines[Status],PrévisionBoris[[#This Row],[Status]],LstMachines[MoisLivr],N$1)</f>
        <v>0</v>
      </c>
      <c r="O93" s="220">
        <f>SUMIFS(LstMachines[Nbre],LstMachines[Model-Spec],PrévisionBoris[[#This Row],[Spec]],LstMachines[Status],PrévisionBoris[[#This Row],[Status]],LstMachines[MoisLivr],O$1)</f>
        <v>0</v>
      </c>
      <c r="P93" s="221">
        <f>SUMIFS(LstMachines[Nbre],LstMachines[Model-Spec],PrévisionBoris[[#This Row],[Spec]],LstMachines[Status],PrévisionBoris[[#This Row],[Status]],LstMachines[MoisLivr],P$1)</f>
        <v>0</v>
      </c>
      <c r="Q93" s="222">
        <f>SUMIFS(LstMachines[Nbre],LstMachines[Model-Spec],PrévisionBoris[[#This Row],[Spec]],LstMachines[Status],PrévisionBoris[[#This Row],[Status]],LstMachines[MoisLivr],Q$1)</f>
        <v>0</v>
      </c>
      <c r="R93" s="220">
        <f>SUMIFS(LstMachines[Nbre],LstMachines[Model-Spec],PrévisionBoris[[#This Row],[Spec]],LstMachines[Status],PrévisionBoris[[#This Row],[Status]],LstMachines[MoisLivr],R$1)</f>
        <v>0</v>
      </c>
      <c r="S93" s="220">
        <f>SUMIFS(LstMachines[Nbre],LstMachines[Model-Spec],PrévisionBoris[[#This Row],[Spec]],LstMachines[Status],PrévisionBoris[[#This Row],[Status]],LstMachines[MoisLivr],S$1)</f>
        <v>0</v>
      </c>
      <c r="T93" s="219">
        <f>SUMIFS(LstMachines[Nbre],LstMachines[Model-Spec],PrévisionBoris[[#This Row],[Spec]],LstMachines[Status],PrévisionBoris[[#This Row],[Status]],LstMachines[MoisLivr],T$1)</f>
        <v>0</v>
      </c>
      <c r="U93" s="220">
        <f>SUMIFS(LstMachines[Nbre],LstMachines[Model-Spec],PrévisionBoris[[#This Row],[Spec]],LstMachines[Status],PrévisionBoris[[#This Row],[Status]],LstMachines[MoisLivr],U$1)</f>
        <v>0</v>
      </c>
      <c r="V93" s="220">
        <f>SUMIFS(LstMachines[Nbre],LstMachines[Model-Spec],PrévisionBoris[[#This Row],[Spec]],LstMachines[Status],PrévisionBoris[[#This Row],[Status]],LstMachines[MoisLivr],V$1)</f>
        <v>0</v>
      </c>
      <c r="W93" s="219">
        <f>SUMIFS(LstMachines[Nbre],LstMachines[Model-Spec],PrévisionBoris[[#This Row],[Spec]],LstMachines[Status],PrévisionBoris[[#This Row],[Status]],LstMachines[MoisLivr],W$1)</f>
        <v>0</v>
      </c>
      <c r="X93" s="220">
        <f>SUMIFS(LstMachines[Nbre],LstMachines[Model-Spec],PrévisionBoris[[#This Row],[Spec]],LstMachines[Status],PrévisionBoris[[#This Row],[Status]],LstMachines[MoisLivr],X$1)</f>
        <v>0</v>
      </c>
      <c r="Y93" s="220">
        <f>SUMIFS(LstMachines[Nbre],LstMachines[Model-Spec],PrévisionBoris[[#This Row],[Spec]],LstMachines[Status],PrévisionBoris[[#This Row],[Status]],LstMachines[MoisLivr],Y$1)</f>
        <v>0</v>
      </c>
      <c r="Z93" s="219">
        <f>SUMIFS(LstMachines[Nbre],LstMachines[Model-Spec],PrévisionBoris[[#This Row],[Spec]],LstMachines[Status],PrévisionBoris[[#This Row],[Status]],LstMachines[MoisLivr],Z$1)</f>
        <v>0</v>
      </c>
      <c r="AA93" s="220">
        <f>SUMIFS(LstMachines[Nbre],LstMachines[Model-Spec],PrévisionBoris[[#This Row],[Spec]],LstMachines[Status],PrévisionBoris[[#This Row],[Status]],LstMachines[MoisLivr],AA$1)</f>
        <v>0</v>
      </c>
      <c r="AB93" s="220">
        <f>SUMIFS(LstMachines[Nbre],LstMachines[Model-Spec],PrévisionBoris[[#This Row],[Spec]],LstMachines[Status],PrévisionBoris[[#This Row],[Status]],LstMachines[MoisLivr],AB$1)</f>
        <v>0</v>
      </c>
      <c r="AC93" s="219">
        <f>SUMIFS(LstMachines[Nbre],LstMachines[Model-Spec],PrévisionBoris[[#This Row],[Spec]],LstMachines[Status],PrévisionBoris[[#This Row],[Status]],LstMachines[MoisLivr],AC$1)</f>
        <v>0</v>
      </c>
      <c r="AD93" s="220">
        <f>SUMIFS(LstMachines[Nbre],LstMachines[Model-Spec],PrévisionBoris[[#This Row],[Spec]],LstMachines[Status],PrévisionBoris[[#This Row],[Status]],LstMachines[MoisLivr],AD$1)</f>
        <v>0</v>
      </c>
      <c r="AE93" s="220">
        <f>SUMIFS(LstMachines[Nbre],LstMachines[Model-Spec],PrévisionBoris[[#This Row],[Spec]],LstMachines[Status],PrévisionBoris[[#This Row],[Status]],LstMachines[MoisLivr],AE$1)</f>
        <v>0</v>
      </c>
      <c r="AF93" s="219">
        <f>SUMIFS(LstMachines[Nbre],LstMachines[Model-Spec],PrévisionBoris[[#This Row],[Spec]],LstMachines[Status],PrévisionBoris[[#This Row],[Status]],LstMachines[MoisLivr],AF$1)</f>
        <v>0</v>
      </c>
      <c r="AG93" s="220">
        <f>SUMIFS(LstMachines[Nbre],LstMachines[Model-Spec],PrévisionBoris[[#This Row],[Spec]],LstMachines[Status],PrévisionBoris[[#This Row],[Status]],LstMachines[MoisLivr],AG$1)</f>
        <v>0</v>
      </c>
      <c r="AH93" s="220">
        <f>SUMIFS(LstMachines[Nbre],LstMachines[Model-Spec],PrévisionBoris[[#This Row],[Spec]],LstMachines[Status],PrévisionBoris[[#This Row],[Status]],LstMachines[MoisLivr],AH$1)</f>
        <v>0</v>
      </c>
      <c r="AI93" s="219">
        <f>SUMIFS(LstMachines[Nbre],LstMachines[Model-Spec],PrévisionBoris[[#This Row],[Spec]],LstMachines[Status],PrévisionBoris[[#This Row],[Status]],LstMachines[MoisLivr],AI$1)</f>
        <v>0</v>
      </c>
      <c r="AJ93" s="220">
        <f>SUMIFS(LstMachines[Nbre],LstMachines[Model-Spec],PrévisionBoris[[#This Row],[Spec]],LstMachines[Status],PrévisionBoris[[#This Row],[Status]],LstMachines[MoisLivr],AJ$1)</f>
        <v>0</v>
      </c>
      <c r="AK93" s="220">
        <f>SUMIFS(LstMachines[Nbre],LstMachines[Model-Spec],PrévisionBoris[[#This Row],[Spec]],LstMachines[Status],PrévisionBoris[[#This Row],[Status]],LstMachines[MoisLivr],AK$1)</f>
        <v>0</v>
      </c>
      <c r="AL93" s="219">
        <f>SUMIFS(LstMachines[Nbre],LstMachines[Model-Spec],PrévisionBoris[[#This Row],[Spec]],LstMachines[Status],PrévisionBoris[[#This Row],[Status]],LstMachines[MoisLivr],AL$1)</f>
        <v>0</v>
      </c>
      <c r="AM93" s="220">
        <f>SUMIFS(LstMachines[Nbre],LstMachines[Model-Spec],PrévisionBoris[[#This Row],[Spec]],LstMachines[Status],PrévisionBoris[[#This Row],[Status]],LstMachines[MoisLivr],AM$1)</f>
        <v>0</v>
      </c>
      <c r="AN93" s="220">
        <f>SUMIFS(LstMachines[Nbre],LstMachines[Model-Spec],PrévisionBoris[[#This Row],[Spec]],LstMachines[Status],PrévisionBoris[[#This Row],[Status]],LstMachines[MoisLivr],AN$1)</f>
        <v>0</v>
      </c>
      <c r="AO93" s="219">
        <f>SUMIFS(LstMachines[Nbre],LstMachines[Model-Spec],PrévisionBoris[[#This Row],[Spec]],LstMachines[Status],PrévisionBoris[[#This Row],[Status]],LstMachines[MoisLivr],AO$1)</f>
        <v>0</v>
      </c>
      <c r="AP93" s="220">
        <f>SUMIFS(LstMachines[Nbre],LstMachines[Model-Spec],PrévisionBoris[[#This Row],[Spec]],LstMachines[Status],PrévisionBoris[[#This Row],[Status]],LstMachines[MoisLivr],AP$1)</f>
        <v>0</v>
      </c>
      <c r="AQ93" s="220">
        <f>SUMIFS(LstMachines[Nbre],LstMachines[Model-Spec],PrévisionBoris[[#This Row],[Spec]],LstMachines[Status],PrévisionBoris[[#This Row],[Status]],LstMachines[MoisLivr],AQ$1)</f>
        <v>0</v>
      </c>
      <c r="AR93" s="219">
        <f>SUMIFS(LstMachines[Nbre],LstMachines[Model-Spec],PrévisionBoris[[#This Row],[Spec]],LstMachines[Status],PrévisionBoris[[#This Row],[Status]],LstMachines[MoisLivr],AR$1)</f>
        <v>0</v>
      </c>
      <c r="AS93" s="220">
        <f>SUMIFS(LstMachines[Nbre],LstMachines[Model-Spec],PrévisionBoris[[#This Row],[Spec]],LstMachines[Status],PrévisionBoris[[#This Row],[Status]],LstMachines[MoisLivr],AS$1)</f>
        <v>0</v>
      </c>
      <c r="AT93" s="220">
        <f>SUMIFS(LstMachines[Nbre],LstMachines[Model-Spec],PrévisionBoris[[#This Row],[Spec]],LstMachines[Status],PrévisionBoris[[#This Row],[Status]],LstMachines[MoisLivr],AT$1)</f>
        <v>0</v>
      </c>
      <c r="AU93" s="219">
        <f>SUMIFS(LstMachines[Nbre],LstMachines[Model-Spec],PrévisionBoris[[#This Row],[Spec]],LstMachines[Status],PrévisionBoris[[#This Row],[Status]],LstMachines[MoisLivr],AU$1)</f>
        <v>0</v>
      </c>
      <c r="AV93" s="223">
        <f>SUMIFS(LstMachines[Nbre],LstMachines[Model-Spec],PrévisionBoris[[#This Row],[Spec]],LstMachines[Status],PrévisionBoris[[#This Row],[Status]],LstMachines[MoisLivr],AV$1)</f>
        <v>0</v>
      </c>
      <c r="AW93" s="224">
        <f>SUMIFS(LstMachines[Nbre],LstMachines[Model-Spec],PrévisionBoris[[#This Row],[Spec]],LstMachines[Status],PrévisionBoris[[#This Row],[Status]],LstMachines[MoisLivr],AW$1)</f>
        <v>0</v>
      </c>
      <c r="AX93" s="210"/>
      <c r="AY93" s="211">
        <f t="shared" si="19"/>
        <v>0</v>
      </c>
      <c r="AZ93" s="212">
        <f t="shared" si="20"/>
        <v>0</v>
      </c>
      <c r="BA93" s="212">
        <f t="shared" si="21"/>
        <v>0</v>
      </c>
      <c r="BB93" s="213">
        <f t="shared" si="22"/>
        <v>0</v>
      </c>
      <c r="BC93" s="225">
        <f t="shared" si="23"/>
        <v>0</v>
      </c>
      <c r="BD93" s="211">
        <f t="shared" si="24"/>
        <v>0</v>
      </c>
      <c r="BE93" s="212">
        <f t="shared" si="25"/>
        <v>0</v>
      </c>
      <c r="BF93" s="212">
        <f t="shared" si="26"/>
        <v>0</v>
      </c>
      <c r="BG93" s="213">
        <f t="shared" si="27"/>
        <v>0</v>
      </c>
      <c r="BH93" s="225">
        <f t="shared" si="28"/>
        <v>0</v>
      </c>
      <c r="BI93" s="214">
        <f t="shared" si="29"/>
        <v>0</v>
      </c>
      <c r="BJ93" s="215">
        <f t="shared" si="30"/>
        <v>0</v>
      </c>
      <c r="BK93" s="215">
        <f t="shared" si="31"/>
        <v>0</v>
      </c>
      <c r="BL93" s="216">
        <f t="shared" si="32"/>
        <v>0</v>
      </c>
      <c r="BM93" s="225">
        <f t="shared" si="33"/>
        <v>0</v>
      </c>
      <c r="BN93" s="225"/>
      <c r="BO93" s="217"/>
      <c r="BP93" s="218">
        <f t="shared" si="34"/>
        <v>0</v>
      </c>
    </row>
    <row r="94" spans="1:68">
      <c r="A94" s="171">
        <v>87</v>
      </c>
      <c r="B94" s="171" t="s">
        <v>75</v>
      </c>
      <c r="C94" s="201">
        <v>33</v>
      </c>
      <c r="D94" s="171" t="s">
        <v>80</v>
      </c>
      <c r="E94" s="171" t="s">
        <v>362</v>
      </c>
      <c r="F94" s="201">
        <f>VLOOKUP(PrévisionBoris[[#This Row],[Spec]],TabModelSpecs[[ModelSpec]:[Price]],2,FALSE)</f>
        <v>32</v>
      </c>
      <c r="G94" s="171" t="s">
        <v>463</v>
      </c>
      <c r="H94" s="226">
        <f>SUMIFS(LstMachines[Nbre],LstMachines[Model-Spec],PrévisionBoris[[#This Row],[Spec]],LstMachines[Status],PrévisionBoris[[#This Row],[Status]],LstMachines[MoisLivr],H$1)</f>
        <v>0</v>
      </c>
      <c r="I94" s="227">
        <f>SUMIFS(LstMachines[Nbre],LstMachines[Model-Spec],PrévisionBoris[[#This Row],[Spec]],LstMachines[Status],PrévisionBoris[[#This Row],[Status]],LstMachines[MoisLivr],I$1)</f>
        <v>0</v>
      </c>
      <c r="J94" s="228">
        <f>SUMIFS(LstMachines[Nbre],LstMachines[Model-Spec],PrévisionBoris[[#This Row],[Spec]],LstMachines[Status],PrévisionBoris[[#This Row],[Status]],LstMachines[MoisLivr],J$1)</f>
        <v>0</v>
      </c>
      <c r="K94" s="226">
        <f>SUMIFS(LstMachines[Nbre],LstMachines[Model-Spec],PrévisionBoris[[#This Row],[Spec]],LstMachines[Status],PrévisionBoris[[#This Row],[Status]],LstMachines[MoisLivr],K$1)</f>
        <v>0</v>
      </c>
      <c r="L94" s="227">
        <f>SUMIFS(LstMachines[Nbre],LstMachines[Model-Spec],PrévisionBoris[[#This Row],[Spec]],LstMachines[Status],PrévisionBoris[[#This Row],[Status]],LstMachines[MoisLivr],L$1)</f>
        <v>1</v>
      </c>
      <c r="M94" s="228">
        <f>SUMIFS(LstMachines[Nbre],LstMachines[Model-Spec],PrévisionBoris[[#This Row],[Spec]],LstMachines[Status],PrévisionBoris[[#This Row],[Status]],LstMachines[MoisLivr],M$1)</f>
        <v>1</v>
      </c>
      <c r="N94" s="226">
        <f>SUMIFS(LstMachines[Nbre],LstMachines[Model-Spec],PrévisionBoris[[#This Row],[Spec]],LstMachines[Status],PrévisionBoris[[#This Row],[Status]],LstMachines[MoisLivr],N$1)</f>
        <v>0</v>
      </c>
      <c r="O94" s="227">
        <f>SUMIFS(LstMachines[Nbre],LstMachines[Model-Spec],PrévisionBoris[[#This Row],[Spec]],LstMachines[Status],PrévisionBoris[[#This Row],[Status]],LstMachines[MoisLivr],O$1)</f>
        <v>0</v>
      </c>
      <c r="P94" s="228">
        <f>SUMIFS(LstMachines[Nbre],LstMachines[Model-Spec],PrévisionBoris[[#This Row],[Spec]],LstMachines[Status],PrévisionBoris[[#This Row],[Status]],LstMachines[MoisLivr],P$1)</f>
        <v>0</v>
      </c>
      <c r="Q94" s="229">
        <f>SUMIFS(LstMachines[Nbre],LstMachines[Model-Spec],PrévisionBoris[[#This Row],[Spec]],LstMachines[Status],PrévisionBoris[[#This Row],[Status]],LstMachines[MoisLivr],Q$1)</f>
        <v>0</v>
      </c>
      <c r="R94" s="227">
        <f>SUMIFS(LstMachines[Nbre],LstMachines[Model-Spec],PrévisionBoris[[#This Row],[Spec]],LstMachines[Status],PrévisionBoris[[#This Row],[Status]],LstMachines[MoisLivr],R$1)</f>
        <v>0</v>
      </c>
      <c r="S94" s="227">
        <f>SUMIFS(LstMachines[Nbre],LstMachines[Model-Spec],PrévisionBoris[[#This Row],[Spec]],LstMachines[Status],PrévisionBoris[[#This Row],[Status]],LstMachines[MoisLivr],S$1)</f>
        <v>0</v>
      </c>
      <c r="T94" s="226">
        <f>SUMIFS(LstMachines[Nbre],LstMachines[Model-Spec],PrévisionBoris[[#This Row],[Spec]],LstMachines[Status],PrévisionBoris[[#This Row],[Status]],LstMachines[MoisLivr],T$1)</f>
        <v>0</v>
      </c>
      <c r="U94" s="227">
        <f>SUMIFS(LstMachines[Nbre],LstMachines[Model-Spec],PrévisionBoris[[#This Row],[Spec]],LstMachines[Status],PrévisionBoris[[#This Row],[Status]],LstMachines[MoisLivr],U$1)</f>
        <v>0</v>
      </c>
      <c r="V94" s="227">
        <f>SUMIFS(LstMachines[Nbre],LstMachines[Model-Spec],PrévisionBoris[[#This Row],[Spec]],LstMachines[Status],PrévisionBoris[[#This Row],[Status]],LstMachines[MoisLivr],V$1)</f>
        <v>0</v>
      </c>
      <c r="W94" s="226">
        <f>SUMIFS(LstMachines[Nbre],LstMachines[Model-Spec],PrévisionBoris[[#This Row],[Spec]],LstMachines[Status],PrévisionBoris[[#This Row],[Status]],LstMachines[MoisLivr],W$1)</f>
        <v>0</v>
      </c>
      <c r="X94" s="227">
        <f>SUMIFS(LstMachines[Nbre],LstMachines[Model-Spec],PrévisionBoris[[#This Row],[Spec]],LstMachines[Status],PrévisionBoris[[#This Row],[Status]],LstMachines[MoisLivr],X$1)</f>
        <v>0</v>
      </c>
      <c r="Y94" s="227">
        <f>SUMIFS(LstMachines[Nbre],LstMachines[Model-Spec],PrévisionBoris[[#This Row],[Spec]],LstMachines[Status],PrévisionBoris[[#This Row],[Status]],LstMachines[MoisLivr],Y$1)</f>
        <v>0</v>
      </c>
      <c r="Z94" s="226">
        <f>SUMIFS(LstMachines[Nbre],LstMachines[Model-Spec],PrévisionBoris[[#This Row],[Spec]],LstMachines[Status],PrévisionBoris[[#This Row],[Status]],LstMachines[MoisLivr],Z$1)</f>
        <v>0</v>
      </c>
      <c r="AA94" s="227">
        <f>SUMIFS(LstMachines[Nbre],LstMachines[Model-Spec],PrévisionBoris[[#This Row],[Spec]],LstMachines[Status],PrévisionBoris[[#This Row],[Status]],LstMachines[MoisLivr],AA$1)</f>
        <v>0</v>
      </c>
      <c r="AB94" s="227">
        <f>SUMIFS(LstMachines[Nbre],LstMachines[Model-Spec],PrévisionBoris[[#This Row],[Spec]],LstMachines[Status],PrévisionBoris[[#This Row],[Status]],LstMachines[MoisLivr],AB$1)</f>
        <v>0</v>
      </c>
      <c r="AC94" s="226">
        <f>SUMIFS(LstMachines[Nbre],LstMachines[Model-Spec],PrévisionBoris[[#This Row],[Spec]],LstMachines[Status],PrévisionBoris[[#This Row],[Status]],LstMachines[MoisLivr],AC$1)</f>
        <v>0</v>
      </c>
      <c r="AD94" s="227">
        <f>SUMIFS(LstMachines[Nbre],LstMachines[Model-Spec],PrévisionBoris[[#This Row],[Spec]],LstMachines[Status],PrévisionBoris[[#This Row],[Status]],LstMachines[MoisLivr],AD$1)</f>
        <v>0</v>
      </c>
      <c r="AE94" s="227">
        <f>SUMIFS(LstMachines[Nbre],LstMachines[Model-Spec],PrévisionBoris[[#This Row],[Spec]],LstMachines[Status],PrévisionBoris[[#This Row],[Status]],LstMachines[MoisLivr],AE$1)</f>
        <v>0</v>
      </c>
      <c r="AF94" s="226">
        <f>SUMIFS(LstMachines[Nbre],LstMachines[Model-Spec],PrévisionBoris[[#This Row],[Spec]],LstMachines[Status],PrévisionBoris[[#This Row],[Status]],LstMachines[MoisLivr],AF$1)</f>
        <v>0</v>
      </c>
      <c r="AG94" s="227">
        <f>SUMIFS(LstMachines[Nbre],LstMachines[Model-Spec],PrévisionBoris[[#This Row],[Spec]],LstMachines[Status],PrévisionBoris[[#This Row],[Status]],LstMachines[MoisLivr],AG$1)</f>
        <v>0</v>
      </c>
      <c r="AH94" s="227">
        <f>SUMIFS(LstMachines[Nbre],LstMachines[Model-Spec],PrévisionBoris[[#This Row],[Spec]],LstMachines[Status],PrévisionBoris[[#This Row],[Status]],LstMachines[MoisLivr],AH$1)</f>
        <v>0</v>
      </c>
      <c r="AI94" s="226">
        <f>SUMIFS(LstMachines[Nbre],LstMachines[Model-Spec],PrévisionBoris[[#This Row],[Spec]],LstMachines[Status],PrévisionBoris[[#This Row],[Status]],LstMachines[MoisLivr],AI$1)</f>
        <v>0</v>
      </c>
      <c r="AJ94" s="227">
        <f>SUMIFS(LstMachines[Nbre],LstMachines[Model-Spec],PrévisionBoris[[#This Row],[Spec]],LstMachines[Status],PrévisionBoris[[#This Row],[Status]],LstMachines[MoisLivr],AJ$1)</f>
        <v>0</v>
      </c>
      <c r="AK94" s="227">
        <f>SUMIFS(LstMachines[Nbre],LstMachines[Model-Spec],PrévisionBoris[[#This Row],[Spec]],LstMachines[Status],PrévisionBoris[[#This Row],[Status]],LstMachines[MoisLivr],AK$1)</f>
        <v>0</v>
      </c>
      <c r="AL94" s="226">
        <f>SUMIFS(LstMachines[Nbre],LstMachines[Model-Spec],PrévisionBoris[[#This Row],[Spec]],LstMachines[Status],PrévisionBoris[[#This Row],[Status]],LstMachines[MoisLivr],AL$1)</f>
        <v>0</v>
      </c>
      <c r="AM94" s="227">
        <f>SUMIFS(LstMachines[Nbre],LstMachines[Model-Spec],PrévisionBoris[[#This Row],[Spec]],LstMachines[Status],PrévisionBoris[[#This Row],[Status]],LstMachines[MoisLivr],AM$1)</f>
        <v>0</v>
      </c>
      <c r="AN94" s="227">
        <f>SUMIFS(LstMachines[Nbre],LstMachines[Model-Spec],PrévisionBoris[[#This Row],[Spec]],LstMachines[Status],PrévisionBoris[[#This Row],[Status]],LstMachines[MoisLivr],AN$1)</f>
        <v>0</v>
      </c>
      <c r="AO94" s="226">
        <f>SUMIFS(LstMachines[Nbre],LstMachines[Model-Spec],PrévisionBoris[[#This Row],[Spec]],LstMachines[Status],PrévisionBoris[[#This Row],[Status]],LstMachines[MoisLivr],AO$1)</f>
        <v>0</v>
      </c>
      <c r="AP94" s="227">
        <f>SUMIFS(LstMachines[Nbre],LstMachines[Model-Spec],PrévisionBoris[[#This Row],[Spec]],LstMachines[Status],PrévisionBoris[[#This Row],[Status]],LstMachines[MoisLivr],AP$1)</f>
        <v>0</v>
      </c>
      <c r="AQ94" s="227">
        <f>SUMIFS(LstMachines[Nbre],LstMachines[Model-Spec],PrévisionBoris[[#This Row],[Spec]],LstMachines[Status],PrévisionBoris[[#This Row],[Status]],LstMachines[MoisLivr],AQ$1)</f>
        <v>0</v>
      </c>
      <c r="AR94" s="226">
        <f>SUMIFS(LstMachines[Nbre],LstMachines[Model-Spec],PrévisionBoris[[#This Row],[Spec]],LstMachines[Status],PrévisionBoris[[#This Row],[Status]],LstMachines[MoisLivr],AR$1)</f>
        <v>0</v>
      </c>
      <c r="AS94" s="227">
        <f>SUMIFS(LstMachines[Nbre],LstMachines[Model-Spec],PrévisionBoris[[#This Row],[Spec]],LstMachines[Status],PrévisionBoris[[#This Row],[Status]],LstMachines[MoisLivr],AS$1)</f>
        <v>0</v>
      </c>
      <c r="AT94" s="227">
        <f>SUMIFS(LstMachines[Nbre],LstMachines[Model-Spec],PrévisionBoris[[#This Row],[Spec]],LstMachines[Status],PrévisionBoris[[#This Row],[Status]],LstMachines[MoisLivr],AT$1)</f>
        <v>0</v>
      </c>
      <c r="AU94" s="226">
        <f>SUMIFS(LstMachines[Nbre],LstMachines[Model-Spec],PrévisionBoris[[#This Row],[Spec]],LstMachines[Status],PrévisionBoris[[#This Row],[Status]],LstMachines[MoisLivr],AU$1)</f>
        <v>0</v>
      </c>
      <c r="AV94" s="230">
        <f>SUMIFS(LstMachines[Nbre],LstMachines[Model-Spec],PrévisionBoris[[#This Row],[Spec]],LstMachines[Status],PrévisionBoris[[#This Row],[Status]],LstMachines[MoisLivr],AV$1)</f>
        <v>0</v>
      </c>
      <c r="AW94" s="231">
        <f>SUMIFS(LstMachines[Nbre],LstMachines[Model-Spec],PrévisionBoris[[#This Row],[Spec]],LstMachines[Status],PrévisionBoris[[#This Row],[Status]],LstMachines[MoisLivr],AW$1)</f>
        <v>0</v>
      </c>
      <c r="AX94" s="232"/>
      <c r="AY94" s="211">
        <f t="shared" si="19"/>
        <v>2</v>
      </c>
      <c r="AZ94" s="212">
        <f t="shared" si="20"/>
        <v>0</v>
      </c>
      <c r="BA94" s="212">
        <f t="shared" si="21"/>
        <v>0</v>
      </c>
      <c r="BB94" s="213">
        <f t="shared" si="22"/>
        <v>0</v>
      </c>
      <c r="BC94" s="225">
        <f t="shared" si="23"/>
        <v>2</v>
      </c>
      <c r="BD94" s="211">
        <f t="shared" si="24"/>
        <v>0</v>
      </c>
      <c r="BE94" s="212">
        <f t="shared" si="25"/>
        <v>0</v>
      </c>
      <c r="BF94" s="212">
        <f t="shared" si="26"/>
        <v>0</v>
      </c>
      <c r="BG94" s="213">
        <f t="shared" si="27"/>
        <v>0</v>
      </c>
      <c r="BH94" s="225">
        <f t="shared" si="28"/>
        <v>0</v>
      </c>
      <c r="BI94" s="214">
        <f t="shared" si="29"/>
        <v>0</v>
      </c>
      <c r="BJ94" s="215">
        <f t="shared" si="30"/>
        <v>0</v>
      </c>
      <c r="BK94" s="215">
        <f t="shared" si="31"/>
        <v>0</v>
      </c>
      <c r="BL94" s="216">
        <f t="shared" si="32"/>
        <v>0</v>
      </c>
      <c r="BM94" s="225">
        <f t="shared" si="33"/>
        <v>0</v>
      </c>
      <c r="BN94" s="225"/>
      <c r="BO94" s="217"/>
      <c r="BP94" s="218">
        <f t="shared" si="34"/>
        <v>2</v>
      </c>
    </row>
    <row r="95" spans="1:68">
      <c r="A95" s="172">
        <v>88</v>
      </c>
      <c r="B95" s="172" t="s">
        <v>75</v>
      </c>
      <c r="C95" s="202">
        <v>33</v>
      </c>
      <c r="D95" s="172" t="s">
        <v>80</v>
      </c>
      <c r="E95" s="172" t="s">
        <v>405</v>
      </c>
      <c r="F95" s="202">
        <f>VLOOKUP(PrévisionBoris[[#This Row],[Spec]],TabModelSpecs[[ModelSpec]:[Price]],2,FALSE)</f>
        <v>32</v>
      </c>
      <c r="G95" s="172" t="s">
        <v>461</v>
      </c>
      <c r="H95" s="206">
        <f>SUMIFS(LstMachines[Nbre],LstMachines[Model-Spec],PrévisionBoris[[#This Row],[Spec]],LstMachines[Status],PrévisionBoris[[#This Row],[Status]],LstMachines[MoisLivr],H$1)</f>
        <v>0</v>
      </c>
      <c r="I95" s="207">
        <f>SUMIFS(LstMachines[Nbre],LstMachines[Model-Spec],PrévisionBoris[[#This Row],[Spec]],LstMachines[Status],PrévisionBoris[[#This Row],[Status]],LstMachines[MoisLivr],I$1)</f>
        <v>0</v>
      </c>
      <c r="J95" s="208">
        <f>SUMIFS(LstMachines[Nbre],LstMachines[Model-Spec],PrévisionBoris[[#This Row],[Spec]],LstMachines[Status],PrévisionBoris[[#This Row],[Status]],LstMachines[MoisLivr],J$1)</f>
        <v>0</v>
      </c>
      <c r="K95" s="206">
        <f>SUMIFS(LstMachines[Nbre],LstMachines[Model-Spec],PrévisionBoris[[#This Row],[Spec]],LstMachines[Status],PrévisionBoris[[#This Row],[Status]],LstMachines[MoisLivr],K$1)</f>
        <v>0</v>
      </c>
      <c r="L95" s="207">
        <f>SUMIFS(LstMachines[Nbre],LstMachines[Model-Spec],PrévisionBoris[[#This Row],[Spec]],LstMachines[Status],PrévisionBoris[[#This Row],[Status]],LstMachines[MoisLivr],L$1)</f>
        <v>0</v>
      </c>
      <c r="M95" s="208">
        <f>SUMIFS(LstMachines[Nbre],LstMachines[Model-Spec],PrévisionBoris[[#This Row],[Spec]],LstMachines[Status],PrévisionBoris[[#This Row],[Status]],LstMachines[MoisLivr],M$1)</f>
        <v>0</v>
      </c>
      <c r="N95" s="206">
        <f>SUMIFS(LstMachines[Nbre],LstMachines[Model-Spec],PrévisionBoris[[#This Row],[Spec]],LstMachines[Status],PrévisionBoris[[#This Row],[Status]],LstMachines[MoisLivr],N$1)</f>
        <v>0</v>
      </c>
      <c r="O95" s="207">
        <f>SUMIFS(LstMachines[Nbre],LstMachines[Model-Spec],PrévisionBoris[[#This Row],[Spec]],LstMachines[Status],PrévisionBoris[[#This Row],[Status]],LstMachines[MoisLivr],O$1)</f>
        <v>0</v>
      </c>
      <c r="P95" s="208">
        <f>SUMIFS(LstMachines[Nbre],LstMachines[Model-Spec],PrévisionBoris[[#This Row],[Spec]],LstMachines[Status],PrévisionBoris[[#This Row],[Status]],LstMachines[MoisLivr],P$1)</f>
        <v>0</v>
      </c>
      <c r="Q95" s="209">
        <f>SUMIFS(LstMachines[Nbre],LstMachines[Model-Spec],PrévisionBoris[[#This Row],[Spec]],LstMachines[Status],PrévisionBoris[[#This Row],[Status]],LstMachines[MoisLivr],Q$1)</f>
        <v>0</v>
      </c>
      <c r="R95" s="207">
        <f>SUMIFS(LstMachines[Nbre],LstMachines[Model-Spec],PrévisionBoris[[#This Row],[Spec]],LstMachines[Status],PrévisionBoris[[#This Row],[Status]],LstMachines[MoisLivr],R$1)</f>
        <v>0</v>
      </c>
      <c r="S95" s="207">
        <f>SUMIFS(LstMachines[Nbre],LstMachines[Model-Spec],PrévisionBoris[[#This Row],[Spec]],LstMachines[Status],PrévisionBoris[[#This Row],[Status]],LstMachines[MoisLivr],S$1)</f>
        <v>0</v>
      </c>
      <c r="T95" s="206">
        <f>SUMIFS(LstMachines[Nbre],LstMachines[Model-Spec],PrévisionBoris[[#This Row],[Spec]],LstMachines[Status],PrévisionBoris[[#This Row],[Status]],LstMachines[MoisLivr],T$1)</f>
        <v>0</v>
      </c>
      <c r="U95" s="207">
        <f>SUMIFS(LstMachines[Nbre],LstMachines[Model-Spec],PrévisionBoris[[#This Row],[Spec]],LstMachines[Status],PrévisionBoris[[#This Row],[Status]],LstMachines[MoisLivr],U$1)</f>
        <v>0</v>
      </c>
      <c r="V95" s="207">
        <f>SUMIFS(LstMachines[Nbre],LstMachines[Model-Spec],PrévisionBoris[[#This Row],[Spec]],LstMachines[Status],PrévisionBoris[[#This Row],[Status]],LstMachines[MoisLivr],V$1)</f>
        <v>0</v>
      </c>
      <c r="W95" s="206">
        <f>SUMIFS(LstMachines[Nbre],LstMachines[Model-Spec],PrévisionBoris[[#This Row],[Spec]],LstMachines[Status],PrévisionBoris[[#This Row],[Status]],LstMachines[MoisLivr],W$1)</f>
        <v>0</v>
      </c>
      <c r="X95" s="207">
        <f>SUMIFS(LstMachines[Nbre],LstMachines[Model-Spec],PrévisionBoris[[#This Row],[Spec]],LstMachines[Status],PrévisionBoris[[#This Row],[Status]],LstMachines[MoisLivr],X$1)</f>
        <v>0</v>
      </c>
      <c r="Y95" s="207">
        <f>SUMIFS(LstMachines[Nbre],LstMachines[Model-Spec],PrévisionBoris[[#This Row],[Spec]],LstMachines[Status],PrévisionBoris[[#This Row],[Status]],LstMachines[MoisLivr],Y$1)</f>
        <v>0</v>
      </c>
      <c r="Z95" s="206">
        <f>SUMIFS(LstMachines[Nbre],LstMachines[Model-Spec],PrévisionBoris[[#This Row],[Spec]],LstMachines[Status],PrévisionBoris[[#This Row],[Status]],LstMachines[MoisLivr],Z$1)</f>
        <v>0</v>
      </c>
      <c r="AA95" s="207">
        <f>SUMIFS(LstMachines[Nbre],LstMachines[Model-Spec],PrévisionBoris[[#This Row],[Spec]],LstMachines[Status],PrévisionBoris[[#This Row],[Status]],LstMachines[MoisLivr],AA$1)</f>
        <v>0</v>
      </c>
      <c r="AB95" s="207">
        <f>SUMIFS(LstMachines[Nbre],LstMachines[Model-Spec],PrévisionBoris[[#This Row],[Spec]],LstMachines[Status],PrévisionBoris[[#This Row],[Status]],LstMachines[MoisLivr],AB$1)</f>
        <v>0</v>
      </c>
      <c r="AC95" s="206">
        <f>SUMIFS(LstMachines[Nbre],LstMachines[Model-Spec],PrévisionBoris[[#This Row],[Spec]],LstMachines[Status],PrévisionBoris[[#This Row],[Status]],LstMachines[MoisLivr],AC$1)</f>
        <v>0</v>
      </c>
      <c r="AD95" s="207">
        <f>SUMIFS(LstMachines[Nbre],LstMachines[Model-Spec],PrévisionBoris[[#This Row],[Spec]],LstMachines[Status],PrévisionBoris[[#This Row],[Status]],LstMachines[MoisLivr],AD$1)</f>
        <v>0</v>
      </c>
      <c r="AE95" s="207">
        <f>SUMIFS(LstMachines[Nbre],LstMachines[Model-Spec],PrévisionBoris[[#This Row],[Spec]],LstMachines[Status],PrévisionBoris[[#This Row],[Status]],LstMachines[MoisLivr],AE$1)</f>
        <v>0</v>
      </c>
      <c r="AF95" s="206">
        <f>SUMIFS(LstMachines[Nbre],LstMachines[Model-Spec],PrévisionBoris[[#This Row],[Spec]],LstMachines[Status],PrévisionBoris[[#This Row],[Status]],LstMachines[MoisLivr],AF$1)</f>
        <v>0</v>
      </c>
      <c r="AG95" s="207">
        <f>SUMIFS(LstMachines[Nbre],LstMachines[Model-Spec],PrévisionBoris[[#This Row],[Spec]],LstMachines[Status],PrévisionBoris[[#This Row],[Status]],LstMachines[MoisLivr],AG$1)</f>
        <v>0</v>
      </c>
      <c r="AH95" s="207">
        <f>SUMIFS(LstMachines[Nbre],LstMachines[Model-Spec],PrévisionBoris[[#This Row],[Spec]],LstMachines[Status],PrévisionBoris[[#This Row],[Status]],LstMachines[MoisLivr],AH$1)</f>
        <v>0</v>
      </c>
      <c r="AI95" s="206">
        <f>SUMIFS(LstMachines[Nbre],LstMachines[Model-Spec],PrévisionBoris[[#This Row],[Spec]],LstMachines[Status],PrévisionBoris[[#This Row],[Status]],LstMachines[MoisLivr],AI$1)</f>
        <v>0</v>
      </c>
      <c r="AJ95" s="207">
        <f>SUMIFS(LstMachines[Nbre],LstMachines[Model-Spec],PrévisionBoris[[#This Row],[Spec]],LstMachines[Status],PrévisionBoris[[#This Row],[Status]],LstMachines[MoisLivr],AJ$1)</f>
        <v>0</v>
      </c>
      <c r="AK95" s="207">
        <f>SUMIFS(LstMachines[Nbre],LstMachines[Model-Spec],PrévisionBoris[[#This Row],[Spec]],LstMachines[Status],PrévisionBoris[[#This Row],[Status]],LstMachines[MoisLivr],AK$1)</f>
        <v>0</v>
      </c>
      <c r="AL95" s="206">
        <f>SUMIFS(LstMachines[Nbre],LstMachines[Model-Spec],PrévisionBoris[[#This Row],[Spec]],LstMachines[Status],PrévisionBoris[[#This Row],[Status]],LstMachines[MoisLivr],AL$1)</f>
        <v>0</v>
      </c>
      <c r="AM95" s="207">
        <f>SUMIFS(LstMachines[Nbre],LstMachines[Model-Spec],PrévisionBoris[[#This Row],[Spec]],LstMachines[Status],PrévisionBoris[[#This Row],[Status]],LstMachines[MoisLivr],AM$1)</f>
        <v>0</v>
      </c>
      <c r="AN95" s="207">
        <f>SUMIFS(LstMachines[Nbre],LstMachines[Model-Spec],PrévisionBoris[[#This Row],[Spec]],LstMachines[Status],PrévisionBoris[[#This Row],[Status]],LstMachines[MoisLivr],AN$1)</f>
        <v>0</v>
      </c>
      <c r="AO95" s="206">
        <f>SUMIFS(LstMachines[Nbre],LstMachines[Model-Spec],PrévisionBoris[[#This Row],[Spec]],LstMachines[Status],PrévisionBoris[[#This Row],[Status]],LstMachines[MoisLivr],AO$1)</f>
        <v>0</v>
      </c>
      <c r="AP95" s="207">
        <f>SUMIFS(LstMachines[Nbre],LstMachines[Model-Spec],PrévisionBoris[[#This Row],[Spec]],LstMachines[Status],PrévisionBoris[[#This Row],[Status]],LstMachines[MoisLivr],AP$1)</f>
        <v>0</v>
      </c>
      <c r="AQ95" s="207">
        <f>SUMIFS(LstMachines[Nbre],LstMachines[Model-Spec],PrévisionBoris[[#This Row],[Spec]],LstMachines[Status],PrévisionBoris[[#This Row],[Status]],LstMachines[MoisLivr],AQ$1)</f>
        <v>0</v>
      </c>
      <c r="AR95" s="206">
        <f>SUMIFS(LstMachines[Nbre],LstMachines[Model-Spec],PrévisionBoris[[#This Row],[Spec]],LstMachines[Status],PrévisionBoris[[#This Row],[Status]],LstMachines[MoisLivr],AR$1)</f>
        <v>0</v>
      </c>
      <c r="AS95" s="207">
        <f>SUMIFS(LstMachines[Nbre],LstMachines[Model-Spec],PrévisionBoris[[#This Row],[Spec]],LstMachines[Status],PrévisionBoris[[#This Row],[Status]],LstMachines[MoisLivr],AS$1)</f>
        <v>0</v>
      </c>
      <c r="AT95" s="207">
        <f>SUMIFS(LstMachines[Nbre],LstMachines[Model-Spec],PrévisionBoris[[#This Row],[Spec]],LstMachines[Status],PrévisionBoris[[#This Row],[Status]],LstMachines[MoisLivr],AT$1)</f>
        <v>0</v>
      </c>
      <c r="AU95" s="206">
        <f>SUMIFS(LstMachines[Nbre],LstMachines[Model-Spec],PrévisionBoris[[#This Row],[Spec]],LstMachines[Status],PrévisionBoris[[#This Row],[Status]],LstMachines[MoisLivr],AU$1)</f>
        <v>0</v>
      </c>
      <c r="AV95" s="233">
        <f>SUMIFS(LstMachines[Nbre],LstMachines[Model-Spec],PrévisionBoris[[#This Row],[Spec]],LstMachines[Status],PrévisionBoris[[#This Row],[Status]],LstMachines[MoisLivr],AV$1)</f>
        <v>0</v>
      </c>
      <c r="AW95" s="208">
        <f>SUMIFS(LstMachines[Nbre],LstMachines[Model-Spec],PrévisionBoris[[#This Row],[Spec]],LstMachines[Status],PrévisionBoris[[#This Row],[Status]],LstMachines[MoisLivr],AW$1)</f>
        <v>0</v>
      </c>
      <c r="AX95" s="225"/>
      <c r="AY95" s="211">
        <f t="shared" si="19"/>
        <v>0</v>
      </c>
      <c r="AZ95" s="212">
        <f t="shared" si="20"/>
        <v>0</v>
      </c>
      <c r="BA95" s="212">
        <f t="shared" si="21"/>
        <v>0</v>
      </c>
      <c r="BB95" s="213">
        <f t="shared" si="22"/>
        <v>0</v>
      </c>
      <c r="BC95" s="225">
        <f t="shared" si="23"/>
        <v>0</v>
      </c>
      <c r="BD95" s="211">
        <f t="shared" si="24"/>
        <v>0</v>
      </c>
      <c r="BE95" s="212">
        <f t="shared" si="25"/>
        <v>0</v>
      </c>
      <c r="BF95" s="212">
        <f t="shared" si="26"/>
        <v>0</v>
      </c>
      <c r="BG95" s="213">
        <f t="shared" si="27"/>
        <v>0</v>
      </c>
      <c r="BH95" s="225">
        <f t="shared" si="28"/>
        <v>0</v>
      </c>
      <c r="BI95" s="214">
        <f t="shared" si="29"/>
        <v>0</v>
      </c>
      <c r="BJ95" s="215">
        <f t="shared" si="30"/>
        <v>0</v>
      </c>
      <c r="BK95" s="215">
        <f t="shared" si="31"/>
        <v>0</v>
      </c>
      <c r="BL95" s="216">
        <f t="shared" si="32"/>
        <v>0</v>
      </c>
      <c r="BM95" s="225">
        <f t="shared" si="33"/>
        <v>0</v>
      </c>
      <c r="BN95" s="225"/>
      <c r="BO95" s="234"/>
      <c r="BP95" s="218">
        <f t="shared" si="34"/>
        <v>0</v>
      </c>
    </row>
    <row r="96" spans="1:68">
      <c r="A96" s="170">
        <v>89</v>
      </c>
      <c r="B96" s="170" t="s">
        <v>75</v>
      </c>
      <c r="C96" s="200">
        <v>33</v>
      </c>
      <c r="D96" s="170" t="s">
        <v>80</v>
      </c>
      <c r="E96" s="170" t="s">
        <v>405</v>
      </c>
      <c r="F96" s="200">
        <f>VLOOKUP(PrévisionBoris[[#This Row],[Spec]],TabModelSpecs[[ModelSpec]:[Price]],2,FALSE)</f>
        <v>32</v>
      </c>
      <c r="G96" s="170" t="s">
        <v>462</v>
      </c>
      <c r="H96" s="219">
        <f>SUMIFS(LstMachines[Nbre],LstMachines[Model-Spec],PrévisionBoris[[#This Row],[Spec]],LstMachines[Status],PrévisionBoris[[#This Row],[Status]],LstMachines[MoisLivr],H$1)</f>
        <v>0</v>
      </c>
      <c r="I96" s="220">
        <f>SUMIFS(LstMachines[Nbre],LstMachines[Model-Spec],PrévisionBoris[[#This Row],[Spec]],LstMachines[Status],PrévisionBoris[[#This Row],[Status]],LstMachines[MoisLivr],I$1)</f>
        <v>0</v>
      </c>
      <c r="J96" s="221">
        <f>SUMIFS(LstMachines[Nbre],LstMachines[Model-Spec],PrévisionBoris[[#This Row],[Spec]],LstMachines[Status],PrévisionBoris[[#This Row],[Status]],LstMachines[MoisLivr],J$1)</f>
        <v>0</v>
      </c>
      <c r="K96" s="219">
        <f>SUMIFS(LstMachines[Nbre],LstMachines[Model-Spec],PrévisionBoris[[#This Row],[Spec]],LstMachines[Status],PrévisionBoris[[#This Row],[Status]],LstMachines[MoisLivr],K$1)</f>
        <v>0</v>
      </c>
      <c r="L96" s="220">
        <f>SUMIFS(LstMachines[Nbre],LstMachines[Model-Spec],PrévisionBoris[[#This Row],[Spec]],LstMachines[Status],PrévisionBoris[[#This Row],[Status]],LstMachines[MoisLivr],L$1)</f>
        <v>0</v>
      </c>
      <c r="M96" s="221">
        <f>SUMIFS(LstMachines[Nbre],LstMachines[Model-Spec],PrévisionBoris[[#This Row],[Spec]],LstMachines[Status],PrévisionBoris[[#This Row],[Status]],LstMachines[MoisLivr],M$1)</f>
        <v>0</v>
      </c>
      <c r="N96" s="219">
        <f>SUMIFS(LstMachines[Nbre],LstMachines[Model-Spec],PrévisionBoris[[#This Row],[Spec]],LstMachines[Status],PrévisionBoris[[#This Row],[Status]],LstMachines[MoisLivr],N$1)</f>
        <v>0</v>
      </c>
      <c r="O96" s="220">
        <f>SUMIFS(LstMachines[Nbre],LstMachines[Model-Spec],PrévisionBoris[[#This Row],[Spec]],LstMachines[Status],PrévisionBoris[[#This Row],[Status]],LstMachines[MoisLivr],O$1)</f>
        <v>0</v>
      </c>
      <c r="P96" s="221">
        <f>SUMIFS(LstMachines[Nbre],LstMachines[Model-Spec],PrévisionBoris[[#This Row],[Spec]],LstMachines[Status],PrévisionBoris[[#This Row],[Status]],LstMachines[MoisLivr],P$1)</f>
        <v>0</v>
      </c>
      <c r="Q96" s="222">
        <f>SUMIFS(LstMachines[Nbre],LstMachines[Model-Spec],PrévisionBoris[[#This Row],[Spec]],LstMachines[Status],PrévisionBoris[[#This Row],[Status]],LstMachines[MoisLivr],Q$1)</f>
        <v>0</v>
      </c>
      <c r="R96" s="220">
        <f>SUMIFS(LstMachines[Nbre],LstMachines[Model-Spec],PrévisionBoris[[#This Row],[Spec]],LstMachines[Status],PrévisionBoris[[#This Row],[Status]],LstMachines[MoisLivr],R$1)</f>
        <v>0</v>
      </c>
      <c r="S96" s="220">
        <f>SUMIFS(LstMachines[Nbre],LstMachines[Model-Spec],PrévisionBoris[[#This Row],[Spec]],LstMachines[Status],PrévisionBoris[[#This Row],[Status]],LstMachines[MoisLivr],S$1)</f>
        <v>0</v>
      </c>
      <c r="T96" s="219">
        <f>SUMIFS(LstMachines[Nbre],LstMachines[Model-Spec],PrévisionBoris[[#This Row],[Spec]],LstMachines[Status],PrévisionBoris[[#This Row],[Status]],LstMachines[MoisLivr],T$1)</f>
        <v>0</v>
      </c>
      <c r="U96" s="220">
        <f>SUMIFS(LstMachines[Nbre],LstMachines[Model-Spec],PrévisionBoris[[#This Row],[Spec]],LstMachines[Status],PrévisionBoris[[#This Row],[Status]],LstMachines[MoisLivr],U$1)</f>
        <v>0</v>
      </c>
      <c r="V96" s="220">
        <f>SUMIFS(LstMachines[Nbre],LstMachines[Model-Spec],PrévisionBoris[[#This Row],[Spec]],LstMachines[Status],PrévisionBoris[[#This Row],[Status]],LstMachines[MoisLivr],V$1)</f>
        <v>0</v>
      </c>
      <c r="W96" s="219">
        <f>SUMIFS(LstMachines[Nbre],LstMachines[Model-Spec],PrévisionBoris[[#This Row],[Spec]],LstMachines[Status],PrévisionBoris[[#This Row],[Status]],LstMachines[MoisLivr],W$1)</f>
        <v>0</v>
      </c>
      <c r="X96" s="220">
        <f>SUMIFS(LstMachines[Nbre],LstMachines[Model-Spec],PrévisionBoris[[#This Row],[Spec]],LstMachines[Status],PrévisionBoris[[#This Row],[Status]],LstMachines[MoisLivr],X$1)</f>
        <v>0</v>
      </c>
      <c r="Y96" s="220">
        <f>SUMIFS(LstMachines[Nbre],LstMachines[Model-Spec],PrévisionBoris[[#This Row],[Spec]],LstMachines[Status],PrévisionBoris[[#This Row],[Status]],LstMachines[MoisLivr],Y$1)</f>
        <v>0</v>
      </c>
      <c r="Z96" s="219">
        <f>SUMIFS(LstMachines[Nbre],LstMachines[Model-Spec],PrévisionBoris[[#This Row],[Spec]],LstMachines[Status],PrévisionBoris[[#This Row],[Status]],LstMachines[MoisLivr],Z$1)</f>
        <v>0</v>
      </c>
      <c r="AA96" s="220">
        <f>SUMIFS(LstMachines[Nbre],LstMachines[Model-Spec],PrévisionBoris[[#This Row],[Spec]],LstMachines[Status],PrévisionBoris[[#This Row],[Status]],LstMachines[MoisLivr],AA$1)</f>
        <v>0</v>
      </c>
      <c r="AB96" s="220">
        <f>SUMIFS(LstMachines[Nbre],LstMachines[Model-Spec],PrévisionBoris[[#This Row],[Spec]],LstMachines[Status],PrévisionBoris[[#This Row],[Status]],LstMachines[MoisLivr],AB$1)</f>
        <v>0</v>
      </c>
      <c r="AC96" s="219">
        <f>SUMIFS(LstMachines[Nbre],LstMachines[Model-Spec],PrévisionBoris[[#This Row],[Spec]],LstMachines[Status],PrévisionBoris[[#This Row],[Status]],LstMachines[MoisLivr],AC$1)</f>
        <v>0</v>
      </c>
      <c r="AD96" s="220">
        <f>SUMIFS(LstMachines[Nbre],LstMachines[Model-Spec],PrévisionBoris[[#This Row],[Spec]],LstMachines[Status],PrévisionBoris[[#This Row],[Status]],LstMachines[MoisLivr],AD$1)</f>
        <v>0</v>
      </c>
      <c r="AE96" s="220">
        <f>SUMIFS(LstMachines[Nbre],LstMachines[Model-Spec],PrévisionBoris[[#This Row],[Spec]],LstMachines[Status],PrévisionBoris[[#This Row],[Status]],LstMachines[MoisLivr],AE$1)</f>
        <v>0</v>
      </c>
      <c r="AF96" s="219">
        <f>SUMIFS(LstMachines[Nbre],LstMachines[Model-Spec],PrévisionBoris[[#This Row],[Spec]],LstMachines[Status],PrévisionBoris[[#This Row],[Status]],LstMachines[MoisLivr],AF$1)</f>
        <v>0</v>
      </c>
      <c r="AG96" s="220">
        <f>SUMIFS(LstMachines[Nbre],LstMachines[Model-Spec],PrévisionBoris[[#This Row],[Spec]],LstMachines[Status],PrévisionBoris[[#This Row],[Status]],LstMachines[MoisLivr],AG$1)</f>
        <v>0</v>
      </c>
      <c r="AH96" s="220">
        <f>SUMIFS(LstMachines[Nbre],LstMachines[Model-Spec],PrévisionBoris[[#This Row],[Spec]],LstMachines[Status],PrévisionBoris[[#This Row],[Status]],LstMachines[MoisLivr],AH$1)</f>
        <v>0</v>
      </c>
      <c r="AI96" s="219">
        <f>SUMIFS(LstMachines[Nbre],LstMachines[Model-Spec],PrévisionBoris[[#This Row],[Spec]],LstMachines[Status],PrévisionBoris[[#This Row],[Status]],LstMachines[MoisLivr],AI$1)</f>
        <v>0</v>
      </c>
      <c r="AJ96" s="220">
        <f>SUMIFS(LstMachines[Nbre],LstMachines[Model-Spec],PrévisionBoris[[#This Row],[Spec]],LstMachines[Status],PrévisionBoris[[#This Row],[Status]],LstMachines[MoisLivr],AJ$1)</f>
        <v>0</v>
      </c>
      <c r="AK96" s="220">
        <f>SUMIFS(LstMachines[Nbre],LstMachines[Model-Spec],PrévisionBoris[[#This Row],[Spec]],LstMachines[Status],PrévisionBoris[[#This Row],[Status]],LstMachines[MoisLivr],AK$1)</f>
        <v>0</v>
      </c>
      <c r="AL96" s="219">
        <f>SUMIFS(LstMachines[Nbre],LstMachines[Model-Spec],PrévisionBoris[[#This Row],[Spec]],LstMachines[Status],PrévisionBoris[[#This Row],[Status]],LstMachines[MoisLivr],AL$1)</f>
        <v>0</v>
      </c>
      <c r="AM96" s="220">
        <f>SUMIFS(LstMachines[Nbre],LstMachines[Model-Spec],PrévisionBoris[[#This Row],[Spec]],LstMachines[Status],PrévisionBoris[[#This Row],[Status]],LstMachines[MoisLivr],AM$1)</f>
        <v>0</v>
      </c>
      <c r="AN96" s="220">
        <f>SUMIFS(LstMachines[Nbre],LstMachines[Model-Spec],PrévisionBoris[[#This Row],[Spec]],LstMachines[Status],PrévisionBoris[[#This Row],[Status]],LstMachines[MoisLivr],AN$1)</f>
        <v>0</v>
      </c>
      <c r="AO96" s="219">
        <f>SUMIFS(LstMachines[Nbre],LstMachines[Model-Spec],PrévisionBoris[[#This Row],[Spec]],LstMachines[Status],PrévisionBoris[[#This Row],[Status]],LstMachines[MoisLivr],AO$1)</f>
        <v>0</v>
      </c>
      <c r="AP96" s="220">
        <f>SUMIFS(LstMachines[Nbre],LstMachines[Model-Spec],PrévisionBoris[[#This Row],[Spec]],LstMachines[Status],PrévisionBoris[[#This Row],[Status]],LstMachines[MoisLivr],AP$1)</f>
        <v>0</v>
      </c>
      <c r="AQ96" s="220">
        <f>SUMIFS(LstMachines[Nbre],LstMachines[Model-Spec],PrévisionBoris[[#This Row],[Spec]],LstMachines[Status],PrévisionBoris[[#This Row],[Status]],LstMachines[MoisLivr],AQ$1)</f>
        <v>0</v>
      </c>
      <c r="AR96" s="219">
        <f>SUMIFS(LstMachines[Nbre],LstMachines[Model-Spec],PrévisionBoris[[#This Row],[Spec]],LstMachines[Status],PrévisionBoris[[#This Row],[Status]],LstMachines[MoisLivr],AR$1)</f>
        <v>0</v>
      </c>
      <c r="AS96" s="220">
        <f>SUMIFS(LstMachines[Nbre],LstMachines[Model-Spec],PrévisionBoris[[#This Row],[Spec]],LstMachines[Status],PrévisionBoris[[#This Row],[Status]],LstMachines[MoisLivr],AS$1)</f>
        <v>0</v>
      </c>
      <c r="AT96" s="220">
        <f>SUMIFS(LstMachines[Nbre],LstMachines[Model-Spec],PrévisionBoris[[#This Row],[Spec]],LstMachines[Status],PrévisionBoris[[#This Row],[Status]],LstMachines[MoisLivr],AT$1)</f>
        <v>0</v>
      </c>
      <c r="AU96" s="219">
        <f>SUMIFS(LstMachines[Nbre],LstMachines[Model-Spec],PrévisionBoris[[#This Row],[Spec]],LstMachines[Status],PrévisionBoris[[#This Row],[Status]],LstMachines[MoisLivr],AU$1)</f>
        <v>0</v>
      </c>
      <c r="AV96" s="223">
        <f>SUMIFS(LstMachines[Nbre],LstMachines[Model-Spec],PrévisionBoris[[#This Row],[Spec]],LstMachines[Status],PrévisionBoris[[#This Row],[Status]],LstMachines[MoisLivr],AV$1)</f>
        <v>0</v>
      </c>
      <c r="AW96" s="224">
        <f>SUMIFS(LstMachines[Nbre],LstMachines[Model-Spec],PrévisionBoris[[#This Row],[Spec]],LstMachines[Status],PrévisionBoris[[#This Row],[Status]],LstMachines[MoisLivr],AW$1)</f>
        <v>0</v>
      </c>
      <c r="AX96" s="210"/>
      <c r="AY96" s="211">
        <f t="shared" si="19"/>
        <v>0</v>
      </c>
      <c r="AZ96" s="212">
        <f t="shared" si="20"/>
        <v>0</v>
      </c>
      <c r="BA96" s="212">
        <f t="shared" si="21"/>
        <v>0</v>
      </c>
      <c r="BB96" s="213">
        <f t="shared" si="22"/>
        <v>0</v>
      </c>
      <c r="BC96" s="225">
        <f t="shared" si="23"/>
        <v>0</v>
      </c>
      <c r="BD96" s="211">
        <f t="shared" si="24"/>
        <v>0</v>
      </c>
      <c r="BE96" s="212">
        <f t="shared" si="25"/>
        <v>0</v>
      </c>
      <c r="BF96" s="212">
        <f t="shared" si="26"/>
        <v>0</v>
      </c>
      <c r="BG96" s="213">
        <f t="shared" si="27"/>
        <v>0</v>
      </c>
      <c r="BH96" s="225">
        <f t="shared" si="28"/>
        <v>0</v>
      </c>
      <c r="BI96" s="214">
        <f t="shared" si="29"/>
        <v>0</v>
      </c>
      <c r="BJ96" s="215">
        <f t="shared" si="30"/>
        <v>0</v>
      </c>
      <c r="BK96" s="215">
        <f t="shared" si="31"/>
        <v>0</v>
      </c>
      <c r="BL96" s="216">
        <f t="shared" si="32"/>
        <v>0</v>
      </c>
      <c r="BM96" s="225">
        <f t="shared" si="33"/>
        <v>0</v>
      </c>
      <c r="BN96" s="225"/>
      <c r="BO96" s="217"/>
      <c r="BP96" s="218">
        <f t="shared" si="34"/>
        <v>0</v>
      </c>
    </row>
    <row r="97" spans="1:68">
      <c r="A97" s="171">
        <v>90</v>
      </c>
      <c r="B97" s="171" t="s">
        <v>75</v>
      </c>
      <c r="C97" s="201">
        <v>33</v>
      </c>
      <c r="D97" s="171" t="s">
        <v>80</v>
      </c>
      <c r="E97" s="171" t="s">
        <v>405</v>
      </c>
      <c r="F97" s="201">
        <f>VLOOKUP(PrévisionBoris[[#This Row],[Spec]],TabModelSpecs[[ModelSpec]:[Price]],2,FALSE)</f>
        <v>32</v>
      </c>
      <c r="G97" s="171" t="s">
        <v>463</v>
      </c>
      <c r="H97" s="226">
        <f>SUMIFS(LstMachines[Nbre],LstMachines[Model-Spec],PrévisionBoris[[#This Row],[Spec]],LstMachines[Status],PrévisionBoris[[#This Row],[Status]],LstMachines[MoisLivr],H$1)</f>
        <v>0</v>
      </c>
      <c r="I97" s="227">
        <f>SUMIFS(LstMachines[Nbre],LstMachines[Model-Spec],PrévisionBoris[[#This Row],[Spec]],LstMachines[Status],PrévisionBoris[[#This Row],[Status]],LstMachines[MoisLivr],I$1)</f>
        <v>0</v>
      </c>
      <c r="J97" s="228">
        <f>SUMIFS(LstMachines[Nbre],LstMachines[Model-Spec],PrévisionBoris[[#This Row],[Spec]],LstMachines[Status],PrévisionBoris[[#This Row],[Status]],LstMachines[MoisLivr],J$1)</f>
        <v>0</v>
      </c>
      <c r="K97" s="226">
        <f>SUMIFS(LstMachines[Nbre],LstMachines[Model-Spec],PrévisionBoris[[#This Row],[Spec]],LstMachines[Status],PrévisionBoris[[#This Row],[Status]],LstMachines[MoisLivr],K$1)</f>
        <v>0</v>
      </c>
      <c r="L97" s="227">
        <f>SUMIFS(LstMachines[Nbre],LstMachines[Model-Spec],PrévisionBoris[[#This Row],[Spec]],LstMachines[Status],PrévisionBoris[[#This Row],[Status]],LstMachines[MoisLivr],L$1)</f>
        <v>0</v>
      </c>
      <c r="M97" s="228">
        <f>SUMIFS(LstMachines[Nbre],LstMachines[Model-Spec],PrévisionBoris[[#This Row],[Spec]],LstMachines[Status],PrévisionBoris[[#This Row],[Status]],LstMachines[MoisLivr],M$1)</f>
        <v>0</v>
      </c>
      <c r="N97" s="226">
        <f>SUMIFS(LstMachines[Nbre],LstMachines[Model-Spec],PrévisionBoris[[#This Row],[Spec]],LstMachines[Status],PrévisionBoris[[#This Row],[Status]],LstMachines[MoisLivr],N$1)</f>
        <v>0</v>
      </c>
      <c r="O97" s="227">
        <f>SUMIFS(LstMachines[Nbre],LstMachines[Model-Spec],PrévisionBoris[[#This Row],[Spec]],LstMachines[Status],PrévisionBoris[[#This Row],[Status]],LstMachines[MoisLivr],O$1)</f>
        <v>0</v>
      </c>
      <c r="P97" s="228">
        <f>SUMIFS(LstMachines[Nbre],LstMachines[Model-Spec],PrévisionBoris[[#This Row],[Spec]],LstMachines[Status],PrévisionBoris[[#This Row],[Status]],LstMachines[MoisLivr],P$1)</f>
        <v>0</v>
      </c>
      <c r="Q97" s="229">
        <f>SUMIFS(LstMachines[Nbre],LstMachines[Model-Spec],PrévisionBoris[[#This Row],[Spec]],LstMachines[Status],PrévisionBoris[[#This Row],[Status]],LstMachines[MoisLivr],Q$1)</f>
        <v>0</v>
      </c>
      <c r="R97" s="227">
        <f>SUMIFS(LstMachines[Nbre],LstMachines[Model-Spec],PrévisionBoris[[#This Row],[Spec]],LstMachines[Status],PrévisionBoris[[#This Row],[Status]],LstMachines[MoisLivr],R$1)</f>
        <v>0</v>
      </c>
      <c r="S97" s="227">
        <f>SUMIFS(LstMachines[Nbre],LstMachines[Model-Spec],PrévisionBoris[[#This Row],[Spec]],LstMachines[Status],PrévisionBoris[[#This Row],[Status]],LstMachines[MoisLivr],S$1)</f>
        <v>0</v>
      </c>
      <c r="T97" s="226">
        <f>SUMIFS(LstMachines[Nbre],LstMachines[Model-Spec],PrévisionBoris[[#This Row],[Spec]],LstMachines[Status],PrévisionBoris[[#This Row],[Status]],LstMachines[MoisLivr],T$1)</f>
        <v>0</v>
      </c>
      <c r="U97" s="227">
        <f>SUMIFS(LstMachines[Nbre],LstMachines[Model-Spec],PrévisionBoris[[#This Row],[Spec]],LstMachines[Status],PrévisionBoris[[#This Row],[Status]],LstMachines[MoisLivr],U$1)</f>
        <v>0</v>
      </c>
      <c r="V97" s="227">
        <f>SUMIFS(LstMachines[Nbre],LstMachines[Model-Spec],PrévisionBoris[[#This Row],[Spec]],LstMachines[Status],PrévisionBoris[[#This Row],[Status]],LstMachines[MoisLivr],V$1)</f>
        <v>0</v>
      </c>
      <c r="W97" s="226">
        <f>SUMIFS(LstMachines[Nbre],LstMachines[Model-Spec],PrévisionBoris[[#This Row],[Spec]],LstMachines[Status],PrévisionBoris[[#This Row],[Status]],LstMachines[MoisLivr],W$1)</f>
        <v>0</v>
      </c>
      <c r="X97" s="227">
        <f>SUMIFS(LstMachines[Nbre],LstMachines[Model-Spec],PrévisionBoris[[#This Row],[Spec]],LstMachines[Status],PrévisionBoris[[#This Row],[Status]],LstMachines[MoisLivr],X$1)</f>
        <v>0</v>
      </c>
      <c r="Y97" s="227">
        <f>SUMIFS(LstMachines[Nbre],LstMachines[Model-Spec],PrévisionBoris[[#This Row],[Spec]],LstMachines[Status],PrévisionBoris[[#This Row],[Status]],LstMachines[MoisLivr],Y$1)</f>
        <v>0</v>
      </c>
      <c r="Z97" s="226">
        <f>SUMIFS(LstMachines[Nbre],LstMachines[Model-Spec],PrévisionBoris[[#This Row],[Spec]],LstMachines[Status],PrévisionBoris[[#This Row],[Status]],LstMachines[MoisLivr],Z$1)</f>
        <v>0</v>
      </c>
      <c r="AA97" s="227">
        <f>SUMIFS(LstMachines[Nbre],LstMachines[Model-Spec],PrévisionBoris[[#This Row],[Spec]],LstMachines[Status],PrévisionBoris[[#This Row],[Status]],LstMachines[MoisLivr],AA$1)</f>
        <v>0</v>
      </c>
      <c r="AB97" s="227">
        <f>SUMIFS(LstMachines[Nbre],LstMachines[Model-Spec],PrévisionBoris[[#This Row],[Spec]],LstMachines[Status],PrévisionBoris[[#This Row],[Status]],LstMachines[MoisLivr],AB$1)</f>
        <v>0</v>
      </c>
      <c r="AC97" s="226">
        <f>SUMIFS(LstMachines[Nbre],LstMachines[Model-Spec],PrévisionBoris[[#This Row],[Spec]],LstMachines[Status],PrévisionBoris[[#This Row],[Status]],LstMachines[MoisLivr],AC$1)</f>
        <v>0</v>
      </c>
      <c r="AD97" s="227">
        <f>SUMIFS(LstMachines[Nbre],LstMachines[Model-Spec],PrévisionBoris[[#This Row],[Spec]],LstMachines[Status],PrévisionBoris[[#This Row],[Status]],LstMachines[MoisLivr],AD$1)</f>
        <v>0</v>
      </c>
      <c r="AE97" s="227">
        <f>SUMIFS(LstMachines[Nbre],LstMachines[Model-Spec],PrévisionBoris[[#This Row],[Spec]],LstMachines[Status],PrévisionBoris[[#This Row],[Status]],LstMachines[MoisLivr],AE$1)</f>
        <v>0</v>
      </c>
      <c r="AF97" s="226">
        <f>SUMIFS(LstMachines[Nbre],LstMachines[Model-Spec],PrévisionBoris[[#This Row],[Spec]],LstMachines[Status],PrévisionBoris[[#This Row],[Status]],LstMachines[MoisLivr],AF$1)</f>
        <v>0</v>
      </c>
      <c r="AG97" s="227">
        <f>SUMIFS(LstMachines[Nbre],LstMachines[Model-Spec],PrévisionBoris[[#This Row],[Spec]],LstMachines[Status],PrévisionBoris[[#This Row],[Status]],LstMachines[MoisLivr],AG$1)</f>
        <v>0</v>
      </c>
      <c r="AH97" s="227">
        <f>SUMIFS(LstMachines[Nbre],LstMachines[Model-Spec],PrévisionBoris[[#This Row],[Spec]],LstMachines[Status],PrévisionBoris[[#This Row],[Status]],LstMachines[MoisLivr],AH$1)</f>
        <v>0</v>
      </c>
      <c r="AI97" s="226">
        <f>SUMIFS(LstMachines[Nbre],LstMachines[Model-Spec],PrévisionBoris[[#This Row],[Spec]],LstMachines[Status],PrévisionBoris[[#This Row],[Status]],LstMachines[MoisLivr],AI$1)</f>
        <v>0</v>
      </c>
      <c r="AJ97" s="227">
        <f>SUMIFS(LstMachines[Nbre],LstMachines[Model-Spec],PrévisionBoris[[#This Row],[Spec]],LstMachines[Status],PrévisionBoris[[#This Row],[Status]],LstMachines[MoisLivr],AJ$1)</f>
        <v>0</v>
      </c>
      <c r="AK97" s="227">
        <f>SUMIFS(LstMachines[Nbre],LstMachines[Model-Spec],PrévisionBoris[[#This Row],[Spec]],LstMachines[Status],PrévisionBoris[[#This Row],[Status]],LstMachines[MoisLivr],AK$1)</f>
        <v>0</v>
      </c>
      <c r="AL97" s="226">
        <f>SUMIFS(LstMachines[Nbre],LstMachines[Model-Spec],PrévisionBoris[[#This Row],[Spec]],LstMachines[Status],PrévisionBoris[[#This Row],[Status]],LstMachines[MoisLivr],AL$1)</f>
        <v>0</v>
      </c>
      <c r="AM97" s="227">
        <f>SUMIFS(LstMachines[Nbre],LstMachines[Model-Spec],PrévisionBoris[[#This Row],[Spec]],LstMachines[Status],PrévisionBoris[[#This Row],[Status]],LstMachines[MoisLivr],AM$1)</f>
        <v>0</v>
      </c>
      <c r="AN97" s="227">
        <f>SUMIFS(LstMachines[Nbre],LstMachines[Model-Spec],PrévisionBoris[[#This Row],[Spec]],LstMachines[Status],PrévisionBoris[[#This Row],[Status]],LstMachines[MoisLivr],AN$1)</f>
        <v>0</v>
      </c>
      <c r="AO97" s="226">
        <f>SUMIFS(LstMachines[Nbre],LstMachines[Model-Spec],PrévisionBoris[[#This Row],[Spec]],LstMachines[Status],PrévisionBoris[[#This Row],[Status]],LstMachines[MoisLivr],AO$1)</f>
        <v>0</v>
      </c>
      <c r="AP97" s="227">
        <f>SUMIFS(LstMachines[Nbre],LstMachines[Model-Spec],PrévisionBoris[[#This Row],[Spec]],LstMachines[Status],PrévisionBoris[[#This Row],[Status]],LstMachines[MoisLivr],AP$1)</f>
        <v>0</v>
      </c>
      <c r="AQ97" s="227">
        <f>SUMIFS(LstMachines[Nbre],LstMachines[Model-Spec],PrévisionBoris[[#This Row],[Spec]],LstMachines[Status],PrévisionBoris[[#This Row],[Status]],LstMachines[MoisLivr],AQ$1)</f>
        <v>0</v>
      </c>
      <c r="AR97" s="226">
        <f>SUMIFS(LstMachines[Nbre],LstMachines[Model-Spec],PrévisionBoris[[#This Row],[Spec]],LstMachines[Status],PrévisionBoris[[#This Row],[Status]],LstMachines[MoisLivr],AR$1)</f>
        <v>0</v>
      </c>
      <c r="AS97" s="227">
        <f>SUMIFS(LstMachines[Nbre],LstMachines[Model-Spec],PrévisionBoris[[#This Row],[Spec]],LstMachines[Status],PrévisionBoris[[#This Row],[Status]],LstMachines[MoisLivr],AS$1)</f>
        <v>0</v>
      </c>
      <c r="AT97" s="227">
        <f>SUMIFS(LstMachines[Nbre],LstMachines[Model-Spec],PrévisionBoris[[#This Row],[Spec]],LstMachines[Status],PrévisionBoris[[#This Row],[Status]],LstMachines[MoisLivr],AT$1)</f>
        <v>0</v>
      </c>
      <c r="AU97" s="226">
        <f>SUMIFS(LstMachines[Nbre],LstMachines[Model-Spec],PrévisionBoris[[#This Row],[Spec]],LstMachines[Status],PrévisionBoris[[#This Row],[Status]],LstMachines[MoisLivr],AU$1)</f>
        <v>0</v>
      </c>
      <c r="AV97" s="230">
        <f>SUMIFS(LstMachines[Nbre],LstMachines[Model-Spec],PrévisionBoris[[#This Row],[Spec]],LstMachines[Status],PrévisionBoris[[#This Row],[Status]],LstMachines[MoisLivr],AV$1)</f>
        <v>0</v>
      </c>
      <c r="AW97" s="231">
        <f>SUMIFS(LstMachines[Nbre],LstMachines[Model-Spec],PrévisionBoris[[#This Row],[Spec]],LstMachines[Status],PrévisionBoris[[#This Row],[Status]],LstMachines[MoisLivr],AW$1)</f>
        <v>0</v>
      </c>
      <c r="AX97" s="232"/>
      <c r="AY97" s="211">
        <f t="shared" si="19"/>
        <v>0</v>
      </c>
      <c r="AZ97" s="212">
        <f t="shared" si="20"/>
        <v>0</v>
      </c>
      <c r="BA97" s="212">
        <f t="shared" si="21"/>
        <v>0</v>
      </c>
      <c r="BB97" s="213">
        <f t="shared" si="22"/>
        <v>0</v>
      </c>
      <c r="BC97" s="225">
        <f t="shared" si="23"/>
        <v>0</v>
      </c>
      <c r="BD97" s="211">
        <f t="shared" si="24"/>
        <v>0</v>
      </c>
      <c r="BE97" s="212">
        <f t="shared" si="25"/>
        <v>0</v>
      </c>
      <c r="BF97" s="212">
        <f t="shared" si="26"/>
        <v>0</v>
      </c>
      <c r="BG97" s="213">
        <f t="shared" si="27"/>
        <v>0</v>
      </c>
      <c r="BH97" s="225">
        <f t="shared" si="28"/>
        <v>0</v>
      </c>
      <c r="BI97" s="214">
        <f t="shared" si="29"/>
        <v>0</v>
      </c>
      <c r="BJ97" s="215">
        <f t="shared" si="30"/>
        <v>0</v>
      </c>
      <c r="BK97" s="215">
        <f t="shared" si="31"/>
        <v>0</v>
      </c>
      <c r="BL97" s="216">
        <f t="shared" si="32"/>
        <v>0</v>
      </c>
      <c r="BM97" s="225">
        <f t="shared" si="33"/>
        <v>0</v>
      </c>
      <c r="BN97" s="225"/>
      <c r="BO97" s="217"/>
      <c r="BP97" s="218">
        <f t="shared" si="34"/>
        <v>0</v>
      </c>
    </row>
    <row r="98" spans="1:68">
      <c r="A98" s="172">
        <v>91</v>
      </c>
      <c r="B98" s="172" t="s">
        <v>75</v>
      </c>
      <c r="C98" s="202">
        <v>33</v>
      </c>
      <c r="D98" s="172" t="s">
        <v>80</v>
      </c>
      <c r="E98" s="172" t="s">
        <v>406</v>
      </c>
      <c r="F98" s="202">
        <f>VLOOKUP(PrévisionBoris[[#This Row],[Spec]],TabModelSpecs[[ModelSpec]:[Price]],2,FALSE)</f>
        <v>32</v>
      </c>
      <c r="G98" s="172" t="s">
        <v>461</v>
      </c>
      <c r="H98" s="206">
        <f>SUMIFS(LstMachines[Nbre],LstMachines[Model-Spec],PrévisionBoris[[#This Row],[Spec]],LstMachines[Status],PrévisionBoris[[#This Row],[Status]],LstMachines[MoisLivr],H$1)</f>
        <v>0</v>
      </c>
      <c r="I98" s="207">
        <f>SUMIFS(LstMachines[Nbre],LstMachines[Model-Spec],PrévisionBoris[[#This Row],[Spec]],LstMachines[Status],PrévisionBoris[[#This Row],[Status]],LstMachines[MoisLivr],I$1)</f>
        <v>0</v>
      </c>
      <c r="J98" s="208">
        <f>SUMIFS(LstMachines[Nbre],LstMachines[Model-Spec],PrévisionBoris[[#This Row],[Spec]],LstMachines[Status],PrévisionBoris[[#This Row],[Status]],LstMachines[MoisLivr],J$1)</f>
        <v>0</v>
      </c>
      <c r="K98" s="206">
        <f>SUMIFS(LstMachines[Nbre],LstMachines[Model-Spec],PrévisionBoris[[#This Row],[Spec]],LstMachines[Status],PrévisionBoris[[#This Row],[Status]],LstMachines[MoisLivr],K$1)</f>
        <v>0</v>
      </c>
      <c r="L98" s="207">
        <f>SUMIFS(LstMachines[Nbre],LstMachines[Model-Spec],PrévisionBoris[[#This Row],[Spec]],LstMachines[Status],PrévisionBoris[[#This Row],[Status]],LstMachines[MoisLivr],L$1)</f>
        <v>0</v>
      </c>
      <c r="M98" s="208">
        <f>SUMIFS(LstMachines[Nbre],LstMachines[Model-Spec],PrévisionBoris[[#This Row],[Spec]],LstMachines[Status],PrévisionBoris[[#This Row],[Status]],LstMachines[MoisLivr],M$1)</f>
        <v>0</v>
      </c>
      <c r="N98" s="206">
        <f>SUMIFS(LstMachines[Nbre],LstMachines[Model-Spec],PrévisionBoris[[#This Row],[Spec]],LstMachines[Status],PrévisionBoris[[#This Row],[Status]],LstMachines[MoisLivr],N$1)</f>
        <v>0</v>
      </c>
      <c r="O98" s="207">
        <f>SUMIFS(LstMachines[Nbre],LstMachines[Model-Spec],PrévisionBoris[[#This Row],[Spec]],LstMachines[Status],PrévisionBoris[[#This Row],[Status]],LstMachines[MoisLivr],O$1)</f>
        <v>0</v>
      </c>
      <c r="P98" s="208">
        <f>SUMIFS(LstMachines[Nbre],LstMachines[Model-Spec],PrévisionBoris[[#This Row],[Spec]],LstMachines[Status],PrévisionBoris[[#This Row],[Status]],LstMachines[MoisLivr],P$1)</f>
        <v>0</v>
      </c>
      <c r="Q98" s="209">
        <f>SUMIFS(LstMachines[Nbre],LstMachines[Model-Spec],PrévisionBoris[[#This Row],[Spec]],LstMachines[Status],PrévisionBoris[[#This Row],[Status]],LstMachines[MoisLivr],Q$1)</f>
        <v>0</v>
      </c>
      <c r="R98" s="207">
        <f>SUMIFS(LstMachines[Nbre],LstMachines[Model-Spec],PrévisionBoris[[#This Row],[Spec]],LstMachines[Status],PrévisionBoris[[#This Row],[Status]],LstMachines[MoisLivr],R$1)</f>
        <v>0</v>
      </c>
      <c r="S98" s="207">
        <f>SUMIFS(LstMachines[Nbre],LstMachines[Model-Spec],PrévisionBoris[[#This Row],[Spec]],LstMachines[Status],PrévisionBoris[[#This Row],[Status]],LstMachines[MoisLivr],S$1)</f>
        <v>0</v>
      </c>
      <c r="T98" s="206">
        <f>SUMIFS(LstMachines[Nbre],LstMachines[Model-Spec],PrévisionBoris[[#This Row],[Spec]],LstMachines[Status],PrévisionBoris[[#This Row],[Status]],LstMachines[MoisLivr],T$1)</f>
        <v>0</v>
      </c>
      <c r="U98" s="207">
        <f>SUMIFS(LstMachines[Nbre],LstMachines[Model-Spec],PrévisionBoris[[#This Row],[Spec]],LstMachines[Status],PrévisionBoris[[#This Row],[Status]],LstMachines[MoisLivr],U$1)</f>
        <v>0</v>
      </c>
      <c r="V98" s="207">
        <f>SUMIFS(LstMachines[Nbre],LstMachines[Model-Spec],PrévisionBoris[[#This Row],[Spec]],LstMachines[Status],PrévisionBoris[[#This Row],[Status]],LstMachines[MoisLivr],V$1)</f>
        <v>0</v>
      </c>
      <c r="W98" s="206">
        <f>SUMIFS(LstMachines[Nbre],LstMachines[Model-Spec],PrévisionBoris[[#This Row],[Spec]],LstMachines[Status],PrévisionBoris[[#This Row],[Status]],LstMachines[MoisLivr],W$1)</f>
        <v>0</v>
      </c>
      <c r="X98" s="207">
        <f>SUMIFS(LstMachines[Nbre],LstMachines[Model-Spec],PrévisionBoris[[#This Row],[Spec]],LstMachines[Status],PrévisionBoris[[#This Row],[Status]],LstMachines[MoisLivr],X$1)</f>
        <v>0</v>
      </c>
      <c r="Y98" s="207">
        <f>SUMIFS(LstMachines[Nbre],LstMachines[Model-Spec],PrévisionBoris[[#This Row],[Spec]],LstMachines[Status],PrévisionBoris[[#This Row],[Status]],LstMachines[MoisLivr],Y$1)</f>
        <v>0</v>
      </c>
      <c r="Z98" s="206">
        <f>SUMIFS(LstMachines[Nbre],LstMachines[Model-Spec],PrévisionBoris[[#This Row],[Spec]],LstMachines[Status],PrévisionBoris[[#This Row],[Status]],LstMachines[MoisLivr],Z$1)</f>
        <v>0</v>
      </c>
      <c r="AA98" s="207">
        <f>SUMIFS(LstMachines[Nbre],LstMachines[Model-Spec],PrévisionBoris[[#This Row],[Spec]],LstMachines[Status],PrévisionBoris[[#This Row],[Status]],LstMachines[MoisLivr],AA$1)</f>
        <v>0</v>
      </c>
      <c r="AB98" s="207">
        <f>SUMIFS(LstMachines[Nbre],LstMachines[Model-Spec],PrévisionBoris[[#This Row],[Spec]],LstMachines[Status],PrévisionBoris[[#This Row],[Status]],LstMachines[MoisLivr],AB$1)</f>
        <v>0</v>
      </c>
      <c r="AC98" s="206">
        <f>SUMIFS(LstMachines[Nbre],LstMachines[Model-Spec],PrévisionBoris[[#This Row],[Spec]],LstMachines[Status],PrévisionBoris[[#This Row],[Status]],LstMachines[MoisLivr],AC$1)</f>
        <v>0</v>
      </c>
      <c r="AD98" s="207">
        <f>SUMIFS(LstMachines[Nbre],LstMachines[Model-Spec],PrévisionBoris[[#This Row],[Spec]],LstMachines[Status],PrévisionBoris[[#This Row],[Status]],LstMachines[MoisLivr],AD$1)</f>
        <v>0</v>
      </c>
      <c r="AE98" s="207">
        <f>SUMIFS(LstMachines[Nbre],LstMachines[Model-Spec],PrévisionBoris[[#This Row],[Spec]],LstMachines[Status],PrévisionBoris[[#This Row],[Status]],LstMachines[MoisLivr],AE$1)</f>
        <v>0</v>
      </c>
      <c r="AF98" s="206">
        <f>SUMIFS(LstMachines[Nbre],LstMachines[Model-Spec],PrévisionBoris[[#This Row],[Spec]],LstMachines[Status],PrévisionBoris[[#This Row],[Status]],LstMachines[MoisLivr],AF$1)</f>
        <v>0</v>
      </c>
      <c r="AG98" s="207">
        <f>SUMIFS(LstMachines[Nbre],LstMachines[Model-Spec],PrévisionBoris[[#This Row],[Spec]],LstMachines[Status],PrévisionBoris[[#This Row],[Status]],LstMachines[MoisLivr],AG$1)</f>
        <v>0</v>
      </c>
      <c r="AH98" s="207">
        <f>SUMIFS(LstMachines[Nbre],LstMachines[Model-Spec],PrévisionBoris[[#This Row],[Spec]],LstMachines[Status],PrévisionBoris[[#This Row],[Status]],LstMachines[MoisLivr],AH$1)</f>
        <v>0</v>
      </c>
      <c r="AI98" s="206">
        <f>SUMIFS(LstMachines[Nbre],LstMachines[Model-Spec],PrévisionBoris[[#This Row],[Spec]],LstMachines[Status],PrévisionBoris[[#This Row],[Status]],LstMachines[MoisLivr],AI$1)</f>
        <v>0</v>
      </c>
      <c r="AJ98" s="207">
        <f>SUMIFS(LstMachines[Nbre],LstMachines[Model-Spec],PrévisionBoris[[#This Row],[Spec]],LstMachines[Status],PrévisionBoris[[#This Row],[Status]],LstMachines[MoisLivr],AJ$1)</f>
        <v>0</v>
      </c>
      <c r="AK98" s="207">
        <f>SUMIFS(LstMachines[Nbre],LstMachines[Model-Spec],PrévisionBoris[[#This Row],[Spec]],LstMachines[Status],PrévisionBoris[[#This Row],[Status]],LstMachines[MoisLivr],AK$1)</f>
        <v>0</v>
      </c>
      <c r="AL98" s="206">
        <f>SUMIFS(LstMachines[Nbre],LstMachines[Model-Spec],PrévisionBoris[[#This Row],[Spec]],LstMachines[Status],PrévisionBoris[[#This Row],[Status]],LstMachines[MoisLivr],AL$1)</f>
        <v>0</v>
      </c>
      <c r="AM98" s="207">
        <f>SUMIFS(LstMachines[Nbre],LstMachines[Model-Spec],PrévisionBoris[[#This Row],[Spec]],LstMachines[Status],PrévisionBoris[[#This Row],[Status]],LstMachines[MoisLivr],AM$1)</f>
        <v>0</v>
      </c>
      <c r="AN98" s="207">
        <f>SUMIFS(LstMachines[Nbre],LstMachines[Model-Spec],PrévisionBoris[[#This Row],[Spec]],LstMachines[Status],PrévisionBoris[[#This Row],[Status]],LstMachines[MoisLivr],AN$1)</f>
        <v>0</v>
      </c>
      <c r="AO98" s="206">
        <f>SUMIFS(LstMachines[Nbre],LstMachines[Model-Spec],PrévisionBoris[[#This Row],[Spec]],LstMachines[Status],PrévisionBoris[[#This Row],[Status]],LstMachines[MoisLivr],AO$1)</f>
        <v>0</v>
      </c>
      <c r="AP98" s="207">
        <f>SUMIFS(LstMachines[Nbre],LstMachines[Model-Spec],PrévisionBoris[[#This Row],[Spec]],LstMachines[Status],PrévisionBoris[[#This Row],[Status]],LstMachines[MoisLivr],AP$1)</f>
        <v>0</v>
      </c>
      <c r="AQ98" s="207">
        <f>SUMIFS(LstMachines[Nbre],LstMachines[Model-Spec],PrévisionBoris[[#This Row],[Spec]],LstMachines[Status],PrévisionBoris[[#This Row],[Status]],LstMachines[MoisLivr],AQ$1)</f>
        <v>0</v>
      </c>
      <c r="AR98" s="206">
        <f>SUMIFS(LstMachines[Nbre],LstMachines[Model-Spec],PrévisionBoris[[#This Row],[Spec]],LstMachines[Status],PrévisionBoris[[#This Row],[Status]],LstMachines[MoisLivr],AR$1)</f>
        <v>0</v>
      </c>
      <c r="AS98" s="207">
        <f>SUMIFS(LstMachines[Nbre],LstMachines[Model-Spec],PrévisionBoris[[#This Row],[Spec]],LstMachines[Status],PrévisionBoris[[#This Row],[Status]],LstMachines[MoisLivr],AS$1)</f>
        <v>0</v>
      </c>
      <c r="AT98" s="207">
        <f>SUMIFS(LstMachines[Nbre],LstMachines[Model-Spec],PrévisionBoris[[#This Row],[Spec]],LstMachines[Status],PrévisionBoris[[#This Row],[Status]],LstMachines[MoisLivr],AT$1)</f>
        <v>0</v>
      </c>
      <c r="AU98" s="206">
        <f>SUMIFS(LstMachines[Nbre],LstMachines[Model-Spec],PrévisionBoris[[#This Row],[Spec]],LstMachines[Status],PrévisionBoris[[#This Row],[Status]],LstMachines[MoisLivr],AU$1)</f>
        <v>0</v>
      </c>
      <c r="AV98" s="233">
        <f>SUMIFS(LstMachines[Nbre],LstMachines[Model-Spec],PrévisionBoris[[#This Row],[Spec]],LstMachines[Status],PrévisionBoris[[#This Row],[Status]],LstMachines[MoisLivr],AV$1)</f>
        <v>0</v>
      </c>
      <c r="AW98" s="208">
        <f>SUMIFS(LstMachines[Nbre],LstMachines[Model-Spec],PrévisionBoris[[#This Row],[Spec]],LstMachines[Status],PrévisionBoris[[#This Row],[Status]],LstMachines[MoisLivr],AW$1)</f>
        <v>0</v>
      </c>
      <c r="AX98" s="225"/>
      <c r="AY98" s="211">
        <f t="shared" si="19"/>
        <v>0</v>
      </c>
      <c r="AZ98" s="212">
        <f t="shared" si="20"/>
        <v>0</v>
      </c>
      <c r="BA98" s="212">
        <f t="shared" si="21"/>
        <v>0</v>
      </c>
      <c r="BB98" s="213">
        <f t="shared" si="22"/>
        <v>0</v>
      </c>
      <c r="BC98" s="225">
        <f t="shared" si="23"/>
        <v>0</v>
      </c>
      <c r="BD98" s="211">
        <f t="shared" si="24"/>
        <v>0</v>
      </c>
      <c r="BE98" s="212">
        <f t="shared" si="25"/>
        <v>0</v>
      </c>
      <c r="BF98" s="212">
        <f t="shared" si="26"/>
        <v>0</v>
      </c>
      <c r="BG98" s="213">
        <f t="shared" si="27"/>
        <v>0</v>
      </c>
      <c r="BH98" s="225">
        <f t="shared" si="28"/>
        <v>0</v>
      </c>
      <c r="BI98" s="214">
        <f t="shared" si="29"/>
        <v>0</v>
      </c>
      <c r="BJ98" s="215">
        <f t="shared" si="30"/>
        <v>0</v>
      </c>
      <c r="BK98" s="215">
        <f t="shared" si="31"/>
        <v>0</v>
      </c>
      <c r="BL98" s="216">
        <f t="shared" si="32"/>
        <v>0</v>
      </c>
      <c r="BM98" s="225">
        <f t="shared" si="33"/>
        <v>0</v>
      </c>
      <c r="BN98" s="225"/>
      <c r="BO98" s="234"/>
      <c r="BP98" s="218">
        <f t="shared" si="34"/>
        <v>0</v>
      </c>
    </row>
    <row r="99" spans="1:68">
      <c r="A99" s="170">
        <v>92</v>
      </c>
      <c r="B99" s="170" t="s">
        <v>75</v>
      </c>
      <c r="C99" s="200">
        <v>33</v>
      </c>
      <c r="D99" s="170" t="s">
        <v>80</v>
      </c>
      <c r="E99" s="170" t="s">
        <v>406</v>
      </c>
      <c r="F99" s="200">
        <f>VLOOKUP(PrévisionBoris[[#This Row],[Spec]],TabModelSpecs[[ModelSpec]:[Price]],2,FALSE)</f>
        <v>32</v>
      </c>
      <c r="G99" s="170" t="s">
        <v>462</v>
      </c>
      <c r="H99" s="219">
        <f>SUMIFS(LstMachines[Nbre],LstMachines[Model-Spec],PrévisionBoris[[#This Row],[Spec]],LstMachines[Status],PrévisionBoris[[#This Row],[Status]],LstMachines[MoisLivr],H$1)</f>
        <v>0</v>
      </c>
      <c r="I99" s="220">
        <f>SUMIFS(LstMachines[Nbre],LstMachines[Model-Spec],PrévisionBoris[[#This Row],[Spec]],LstMachines[Status],PrévisionBoris[[#This Row],[Status]],LstMachines[MoisLivr],I$1)</f>
        <v>0</v>
      </c>
      <c r="J99" s="221">
        <f>SUMIFS(LstMachines[Nbre],LstMachines[Model-Spec],PrévisionBoris[[#This Row],[Spec]],LstMachines[Status],PrévisionBoris[[#This Row],[Status]],LstMachines[MoisLivr],J$1)</f>
        <v>0</v>
      </c>
      <c r="K99" s="219">
        <f>SUMIFS(LstMachines[Nbre],LstMachines[Model-Spec],PrévisionBoris[[#This Row],[Spec]],LstMachines[Status],PrévisionBoris[[#This Row],[Status]],LstMachines[MoisLivr],K$1)</f>
        <v>0</v>
      </c>
      <c r="L99" s="220">
        <f>SUMIFS(LstMachines[Nbre],LstMachines[Model-Spec],PrévisionBoris[[#This Row],[Spec]],LstMachines[Status],PrévisionBoris[[#This Row],[Status]],LstMachines[MoisLivr],L$1)</f>
        <v>0</v>
      </c>
      <c r="M99" s="221">
        <f>SUMIFS(LstMachines[Nbre],LstMachines[Model-Spec],PrévisionBoris[[#This Row],[Spec]],LstMachines[Status],PrévisionBoris[[#This Row],[Status]],LstMachines[MoisLivr],M$1)</f>
        <v>0</v>
      </c>
      <c r="N99" s="219">
        <f>SUMIFS(LstMachines[Nbre],LstMachines[Model-Spec],PrévisionBoris[[#This Row],[Spec]],LstMachines[Status],PrévisionBoris[[#This Row],[Status]],LstMachines[MoisLivr],N$1)</f>
        <v>0</v>
      </c>
      <c r="O99" s="220">
        <f>SUMIFS(LstMachines[Nbre],LstMachines[Model-Spec],PrévisionBoris[[#This Row],[Spec]],LstMachines[Status],PrévisionBoris[[#This Row],[Status]],LstMachines[MoisLivr],O$1)</f>
        <v>0</v>
      </c>
      <c r="P99" s="221">
        <f>SUMIFS(LstMachines[Nbre],LstMachines[Model-Spec],PrévisionBoris[[#This Row],[Spec]],LstMachines[Status],PrévisionBoris[[#This Row],[Status]],LstMachines[MoisLivr],P$1)</f>
        <v>0</v>
      </c>
      <c r="Q99" s="222">
        <f>SUMIFS(LstMachines[Nbre],LstMachines[Model-Spec],PrévisionBoris[[#This Row],[Spec]],LstMachines[Status],PrévisionBoris[[#This Row],[Status]],LstMachines[MoisLivr],Q$1)</f>
        <v>0</v>
      </c>
      <c r="R99" s="220">
        <f>SUMIFS(LstMachines[Nbre],LstMachines[Model-Spec],PrévisionBoris[[#This Row],[Spec]],LstMachines[Status],PrévisionBoris[[#This Row],[Status]],LstMachines[MoisLivr],R$1)</f>
        <v>0</v>
      </c>
      <c r="S99" s="220">
        <f>SUMIFS(LstMachines[Nbre],LstMachines[Model-Spec],PrévisionBoris[[#This Row],[Spec]],LstMachines[Status],PrévisionBoris[[#This Row],[Status]],LstMachines[MoisLivr],S$1)</f>
        <v>0</v>
      </c>
      <c r="T99" s="219">
        <f>SUMIFS(LstMachines[Nbre],LstMachines[Model-Spec],PrévisionBoris[[#This Row],[Spec]],LstMachines[Status],PrévisionBoris[[#This Row],[Status]],LstMachines[MoisLivr],T$1)</f>
        <v>0</v>
      </c>
      <c r="U99" s="220">
        <f>SUMIFS(LstMachines[Nbre],LstMachines[Model-Spec],PrévisionBoris[[#This Row],[Spec]],LstMachines[Status],PrévisionBoris[[#This Row],[Status]],LstMachines[MoisLivr],U$1)</f>
        <v>0</v>
      </c>
      <c r="V99" s="220">
        <f>SUMIFS(LstMachines[Nbre],LstMachines[Model-Spec],PrévisionBoris[[#This Row],[Spec]],LstMachines[Status],PrévisionBoris[[#This Row],[Status]],LstMachines[MoisLivr],V$1)</f>
        <v>0</v>
      </c>
      <c r="W99" s="219">
        <f>SUMIFS(LstMachines[Nbre],LstMachines[Model-Spec],PrévisionBoris[[#This Row],[Spec]],LstMachines[Status],PrévisionBoris[[#This Row],[Status]],LstMachines[MoisLivr],W$1)</f>
        <v>0</v>
      </c>
      <c r="X99" s="220">
        <f>SUMIFS(LstMachines[Nbre],LstMachines[Model-Spec],PrévisionBoris[[#This Row],[Spec]],LstMachines[Status],PrévisionBoris[[#This Row],[Status]],LstMachines[MoisLivr],X$1)</f>
        <v>0</v>
      </c>
      <c r="Y99" s="220">
        <f>SUMIFS(LstMachines[Nbre],LstMachines[Model-Spec],PrévisionBoris[[#This Row],[Spec]],LstMachines[Status],PrévisionBoris[[#This Row],[Status]],LstMachines[MoisLivr],Y$1)</f>
        <v>0</v>
      </c>
      <c r="Z99" s="219">
        <f>SUMIFS(LstMachines[Nbre],LstMachines[Model-Spec],PrévisionBoris[[#This Row],[Spec]],LstMachines[Status],PrévisionBoris[[#This Row],[Status]],LstMachines[MoisLivr],Z$1)</f>
        <v>0</v>
      </c>
      <c r="AA99" s="220">
        <f>SUMIFS(LstMachines[Nbre],LstMachines[Model-Spec],PrévisionBoris[[#This Row],[Spec]],LstMachines[Status],PrévisionBoris[[#This Row],[Status]],LstMachines[MoisLivr],AA$1)</f>
        <v>0</v>
      </c>
      <c r="AB99" s="220">
        <f>SUMIFS(LstMachines[Nbre],LstMachines[Model-Spec],PrévisionBoris[[#This Row],[Spec]],LstMachines[Status],PrévisionBoris[[#This Row],[Status]],LstMachines[MoisLivr],AB$1)</f>
        <v>0</v>
      </c>
      <c r="AC99" s="219">
        <f>SUMIFS(LstMachines[Nbre],LstMachines[Model-Spec],PrévisionBoris[[#This Row],[Spec]],LstMachines[Status],PrévisionBoris[[#This Row],[Status]],LstMachines[MoisLivr],AC$1)</f>
        <v>0</v>
      </c>
      <c r="AD99" s="220">
        <f>SUMIFS(LstMachines[Nbre],LstMachines[Model-Spec],PrévisionBoris[[#This Row],[Spec]],LstMachines[Status],PrévisionBoris[[#This Row],[Status]],LstMachines[MoisLivr],AD$1)</f>
        <v>0</v>
      </c>
      <c r="AE99" s="220">
        <f>SUMIFS(LstMachines[Nbre],LstMachines[Model-Spec],PrévisionBoris[[#This Row],[Spec]],LstMachines[Status],PrévisionBoris[[#This Row],[Status]],LstMachines[MoisLivr],AE$1)</f>
        <v>0</v>
      </c>
      <c r="AF99" s="219">
        <f>SUMIFS(LstMachines[Nbre],LstMachines[Model-Spec],PrévisionBoris[[#This Row],[Spec]],LstMachines[Status],PrévisionBoris[[#This Row],[Status]],LstMachines[MoisLivr],AF$1)</f>
        <v>0</v>
      </c>
      <c r="AG99" s="220">
        <f>SUMIFS(LstMachines[Nbre],LstMachines[Model-Spec],PrévisionBoris[[#This Row],[Spec]],LstMachines[Status],PrévisionBoris[[#This Row],[Status]],LstMachines[MoisLivr],AG$1)</f>
        <v>0</v>
      </c>
      <c r="AH99" s="220">
        <f>SUMIFS(LstMachines[Nbre],LstMachines[Model-Spec],PrévisionBoris[[#This Row],[Spec]],LstMachines[Status],PrévisionBoris[[#This Row],[Status]],LstMachines[MoisLivr],AH$1)</f>
        <v>0</v>
      </c>
      <c r="AI99" s="219">
        <f>SUMIFS(LstMachines[Nbre],LstMachines[Model-Spec],PrévisionBoris[[#This Row],[Spec]],LstMachines[Status],PrévisionBoris[[#This Row],[Status]],LstMachines[MoisLivr],AI$1)</f>
        <v>0</v>
      </c>
      <c r="AJ99" s="220">
        <f>SUMIFS(LstMachines[Nbre],LstMachines[Model-Spec],PrévisionBoris[[#This Row],[Spec]],LstMachines[Status],PrévisionBoris[[#This Row],[Status]],LstMachines[MoisLivr],AJ$1)</f>
        <v>0</v>
      </c>
      <c r="AK99" s="220">
        <f>SUMIFS(LstMachines[Nbre],LstMachines[Model-Spec],PrévisionBoris[[#This Row],[Spec]],LstMachines[Status],PrévisionBoris[[#This Row],[Status]],LstMachines[MoisLivr],AK$1)</f>
        <v>0</v>
      </c>
      <c r="AL99" s="219">
        <f>SUMIFS(LstMachines[Nbre],LstMachines[Model-Spec],PrévisionBoris[[#This Row],[Spec]],LstMachines[Status],PrévisionBoris[[#This Row],[Status]],LstMachines[MoisLivr],AL$1)</f>
        <v>0</v>
      </c>
      <c r="AM99" s="220">
        <f>SUMIFS(LstMachines[Nbre],LstMachines[Model-Spec],PrévisionBoris[[#This Row],[Spec]],LstMachines[Status],PrévisionBoris[[#This Row],[Status]],LstMachines[MoisLivr],AM$1)</f>
        <v>0</v>
      </c>
      <c r="AN99" s="220">
        <f>SUMIFS(LstMachines[Nbre],LstMachines[Model-Spec],PrévisionBoris[[#This Row],[Spec]],LstMachines[Status],PrévisionBoris[[#This Row],[Status]],LstMachines[MoisLivr],AN$1)</f>
        <v>0</v>
      </c>
      <c r="AO99" s="219">
        <f>SUMIFS(LstMachines[Nbre],LstMachines[Model-Spec],PrévisionBoris[[#This Row],[Spec]],LstMachines[Status],PrévisionBoris[[#This Row],[Status]],LstMachines[MoisLivr],AO$1)</f>
        <v>0</v>
      </c>
      <c r="AP99" s="220">
        <f>SUMIFS(LstMachines[Nbre],LstMachines[Model-Spec],PrévisionBoris[[#This Row],[Spec]],LstMachines[Status],PrévisionBoris[[#This Row],[Status]],LstMachines[MoisLivr],AP$1)</f>
        <v>0</v>
      </c>
      <c r="AQ99" s="220">
        <f>SUMIFS(LstMachines[Nbre],LstMachines[Model-Spec],PrévisionBoris[[#This Row],[Spec]],LstMachines[Status],PrévisionBoris[[#This Row],[Status]],LstMachines[MoisLivr],AQ$1)</f>
        <v>0</v>
      </c>
      <c r="AR99" s="219">
        <f>SUMIFS(LstMachines[Nbre],LstMachines[Model-Spec],PrévisionBoris[[#This Row],[Spec]],LstMachines[Status],PrévisionBoris[[#This Row],[Status]],LstMachines[MoisLivr],AR$1)</f>
        <v>0</v>
      </c>
      <c r="AS99" s="220">
        <f>SUMIFS(LstMachines[Nbre],LstMachines[Model-Spec],PrévisionBoris[[#This Row],[Spec]],LstMachines[Status],PrévisionBoris[[#This Row],[Status]],LstMachines[MoisLivr],AS$1)</f>
        <v>0</v>
      </c>
      <c r="AT99" s="220">
        <f>SUMIFS(LstMachines[Nbre],LstMachines[Model-Spec],PrévisionBoris[[#This Row],[Spec]],LstMachines[Status],PrévisionBoris[[#This Row],[Status]],LstMachines[MoisLivr],AT$1)</f>
        <v>0</v>
      </c>
      <c r="AU99" s="219">
        <f>SUMIFS(LstMachines[Nbre],LstMachines[Model-Spec],PrévisionBoris[[#This Row],[Spec]],LstMachines[Status],PrévisionBoris[[#This Row],[Status]],LstMachines[MoisLivr],AU$1)</f>
        <v>0</v>
      </c>
      <c r="AV99" s="223">
        <f>SUMIFS(LstMachines[Nbre],LstMachines[Model-Spec],PrévisionBoris[[#This Row],[Spec]],LstMachines[Status],PrévisionBoris[[#This Row],[Status]],LstMachines[MoisLivr],AV$1)</f>
        <v>0</v>
      </c>
      <c r="AW99" s="224">
        <f>SUMIFS(LstMachines[Nbre],LstMachines[Model-Spec],PrévisionBoris[[#This Row],[Spec]],LstMachines[Status],PrévisionBoris[[#This Row],[Status]],LstMachines[MoisLivr],AW$1)</f>
        <v>0</v>
      </c>
      <c r="AX99" s="210"/>
      <c r="AY99" s="211">
        <f t="shared" si="19"/>
        <v>0</v>
      </c>
      <c r="AZ99" s="212">
        <f t="shared" si="20"/>
        <v>0</v>
      </c>
      <c r="BA99" s="212">
        <f t="shared" si="21"/>
        <v>0</v>
      </c>
      <c r="BB99" s="213">
        <f t="shared" si="22"/>
        <v>0</v>
      </c>
      <c r="BC99" s="225">
        <f t="shared" si="23"/>
        <v>0</v>
      </c>
      <c r="BD99" s="211">
        <f t="shared" si="24"/>
        <v>0</v>
      </c>
      <c r="BE99" s="212">
        <f t="shared" si="25"/>
        <v>0</v>
      </c>
      <c r="BF99" s="212">
        <f t="shared" si="26"/>
        <v>0</v>
      </c>
      <c r="BG99" s="213">
        <f t="shared" si="27"/>
        <v>0</v>
      </c>
      <c r="BH99" s="225">
        <f t="shared" si="28"/>
        <v>0</v>
      </c>
      <c r="BI99" s="214">
        <f t="shared" si="29"/>
        <v>0</v>
      </c>
      <c r="BJ99" s="215">
        <f t="shared" si="30"/>
        <v>0</v>
      </c>
      <c r="BK99" s="215">
        <f t="shared" si="31"/>
        <v>0</v>
      </c>
      <c r="BL99" s="216">
        <f t="shared" si="32"/>
        <v>0</v>
      </c>
      <c r="BM99" s="225">
        <f t="shared" si="33"/>
        <v>0</v>
      </c>
      <c r="BN99" s="225"/>
      <c r="BO99" s="217"/>
      <c r="BP99" s="218">
        <f t="shared" si="34"/>
        <v>0</v>
      </c>
    </row>
    <row r="100" spans="1:68">
      <c r="A100" s="171">
        <v>93</v>
      </c>
      <c r="B100" s="171" t="s">
        <v>75</v>
      </c>
      <c r="C100" s="201">
        <v>33</v>
      </c>
      <c r="D100" s="171" t="s">
        <v>80</v>
      </c>
      <c r="E100" s="171" t="s">
        <v>406</v>
      </c>
      <c r="F100" s="201">
        <f>VLOOKUP(PrévisionBoris[[#This Row],[Spec]],TabModelSpecs[[ModelSpec]:[Price]],2,FALSE)</f>
        <v>32</v>
      </c>
      <c r="G100" s="171" t="s">
        <v>463</v>
      </c>
      <c r="H100" s="226">
        <f>SUMIFS(LstMachines[Nbre],LstMachines[Model-Spec],PrévisionBoris[[#This Row],[Spec]],LstMachines[Status],PrévisionBoris[[#This Row],[Status]],LstMachines[MoisLivr],H$1)</f>
        <v>0</v>
      </c>
      <c r="I100" s="227">
        <f>SUMIFS(LstMachines[Nbre],LstMachines[Model-Spec],PrévisionBoris[[#This Row],[Spec]],LstMachines[Status],PrévisionBoris[[#This Row],[Status]],LstMachines[MoisLivr],I$1)</f>
        <v>0</v>
      </c>
      <c r="J100" s="228">
        <f>SUMIFS(LstMachines[Nbre],LstMachines[Model-Spec],PrévisionBoris[[#This Row],[Spec]],LstMachines[Status],PrévisionBoris[[#This Row],[Status]],LstMachines[MoisLivr],J$1)</f>
        <v>0</v>
      </c>
      <c r="K100" s="226">
        <f>SUMIFS(LstMachines[Nbre],LstMachines[Model-Spec],PrévisionBoris[[#This Row],[Spec]],LstMachines[Status],PrévisionBoris[[#This Row],[Status]],LstMachines[MoisLivr],K$1)</f>
        <v>0</v>
      </c>
      <c r="L100" s="227">
        <f>SUMIFS(LstMachines[Nbre],LstMachines[Model-Spec],PrévisionBoris[[#This Row],[Spec]],LstMachines[Status],PrévisionBoris[[#This Row],[Status]],LstMachines[MoisLivr],L$1)</f>
        <v>0</v>
      </c>
      <c r="M100" s="228">
        <f>SUMIFS(LstMachines[Nbre],LstMachines[Model-Spec],PrévisionBoris[[#This Row],[Spec]],LstMachines[Status],PrévisionBoris[[#This Row],[Status]],LstMachines[MoisLivr],M$1)</f>
        <v>0</v>
      </c>
      <c r="N100" s="226">
        <f>SUMIFS(LstMachines[Nbre],LstMachines[Model-Spec],PrévisionBoris[[#This Row],[Spec]],LstMachines[Status],PrévisionBoris[[#This Row],[Status]],LstMachines[MoisLivr],N$1)</f>
        <v>0</v>
      </c>
      <c r="O100" s="227">
        <f>SUMIFS(LstMachines[Nbre],LstMachines[Model-Spec],PrévisionBoris[[#This Row],[Spec]],LstMachines[Status],PrévisionBoris[[#This Row],[Status]],LstMachines[MoisLivr],O$1)</f>
        <v>0</v>
      </c>
      <c r="P100" s="228">
        <f>SUMIFS(LstMachines[Nbre],LstMachines[Model-Spec],PrévisionBoris[[#This Row],[Spec]],LstMachines[Status],PrévisionBoris[[#This Row],[Status]],LstMachines[MoisLivr],P$1)</f>
        <v>0</v>
      </c>
      <c r="Q100" s="229">
        <f>SUMIFS(LstMachines[Nbre],LstMachines[Model-Spec],PrévisionBoris[[#This Row],[Spec]],LstMachines[Status],PrévisionBoris[[#This Row],[Status]],LstMachines[MoisLivr],Q$1)</f>
        <v>0</v>
      </c>
      <c r="R100" s="227">
        <f>SUMIFS(LstMachines[Nbre],LstMachines[Model-Spec],PrévisionBoris[[#This Row],[Spec]],LstMachines[Status],PrévisionBoris[[#This Row],[Status]],LstMachines[MoisLivr],R$1)</f>
        <v>0</v>
      </c>
      <c r="S100" s="227">
        <f>SUMIFS(LstMachines[Nbre],LstMachines[Model-Spec],PrévisionBoris[[#This Row],[Spec]],LstMachines[Status],PrévisionBoris[[#This Row],[Status]],LstMachines[MoisLivr],S$1)</f>
        <v>0</v>
      </c>
      <c r="T100" s="226">
        <f>SUMIFS(LstMachines[Nbre],LstMachines[Model-Spec],PrévisionBoris[[#This Row],[Spec]],LstMachines[Status],PrévisionBoris[[#This Row],[Status]],LstMachines[MoisLivr],T$1)</f>
        <v>0</v>
      </c>
      <c r="U100" s="227">
        <f>SUMIFS(LstMachines[Nbre],LstMachines[Model-Spec],PrévisionBoris[[#This Row],[Spec]],LstMachines[Status],PrévisionBoris[[#This Row],[Status]],LstMachines[MoisLivr],U$1)</f>
        <v>0</v>
      </c>
      <c r="V100" s="227">
        <f>SUMIFS(LstMachines[Nbre],LstMachines[Model-Spec],PrévisionBoris[[#This Row],[Spec]],LstMachines[Status],PrévisionBoris[[#This Row],[Status]],LstMachines[MoisLivr],V$1)</f>
        <v>0</v>
      </c>
      <c r="W100" s="226">
        <f>SUMIFS(LstMachines[Nbre],LstMachines[Model-Spec],PrévisionBoris[[#This Row],[Spec]],LstMachines[Status],PrévisionBoris[[#This Row],[Status]],LstMachines[MoisLivr],W$1)</f>
        <v>0</v>
      </c>
      <c r="X100" s="227">
        <f>SUMIFS(LstMachines[Nbre],LstMachines[Model-Spec],PrévisionBoris[[#This Row],[Spec]],LstMachines[Status],PrévisionBoris[[#This Row],[Status]],LstMachines[MoisLivr],X$1)</f>
        <v>0</v>
      </c>
      <c r="Y100" s="227">
        <f>SUMIFS(LstMachines[Nbre],LstMachines[Model-Spec],PrévisionBoris[[#This Row],[Spec]],LstMachines[Status],PrévisionBoris[[#This Row],[Status]],LstMachines[MoisLivr],Y$1)</f>
        <v>0</v>
      </c>
      <c r="Z100" s="226">
        <f>SUMIFS(LstMachines[Nbre],LstMachines[Model-Spec],PrévisionBoris[[#This Row],[Spec]],LstMachines[Status],PrévisionBoris[[#This Row],[Status]],LstMachines[MoisLivr],Z$1)</f>
        <v>0</v>
      </c>
      <c r="AA100" s="227">
        <f>SUMIFS(LstMachines[Nbre],LstMachines[Model-Spec],PrévisionBoris[[#This Row],[Spec]],LstMachines[Status],PrévisionBoris[[#This Row],[Status]],LstMachines[MoisLivr],AA$1)</f>
        <v>0</v>
      </c>
      <c r="AB100" s="227">
        <f>SUMIFS(LstMachines[Nbre],LstMachines[Model-Spec],PrévisionBoris[[#This Row],[Spec]],LstMachines[Status],PrévisionBoris[[#This Row],[Status]],LstMachines[MoisLivr],AB$1)</f>
        <v>0</v>
      </c>
      <c r="AC100" s="226">
        <f>SUMIFS(LstMachines[Nbre],LstMachines[Model-Spec],PrévisionBoris[[#This Row],[Spec]],LstMachines[Status],PrévisionBoris[[#This Row],[Status]],LstMachines[MoisLivr],AC$1)</f>
        <v>0</v>
      </c>
      <c r="AD100" s="227">
        <f>SUMIFS(LstMachines[Nbre],LstMachines[Model-Spec],PrévisionBoris[[#This Row],[Spec]],LstMachines[Status],PrévisionBoris[[#This Row],[Status]],LstMachines[MoisLivr],AD$1)</f>
        <v>0</v>
      </c>
      <c r="AE100" s="227">
        <f>SUMIFS(LstMachines[Nbre],LstMachines[Model-Spec],PrévisionBoris[[#This Row],[Spec]],LstMachines[Status],PrévisionBoris[[#This Row],[Status]],LstMachines[MoisLivr],AE$1)</f>
        <v>0</v>
      </c>
      <c r="AF100" s="226">
        <f>SUMIFS(LstMachines[Nbre],LstMachines[Model-Spec],PrévisionBoris[[#This Row],[Spec]],LstMachines[Status],PrévisionBoris[[#This Row],[Status]],LstMachines[MoisLivr],AF$1)</f>
        <v>0</v>
      </c>
      <c r="AG100" s="227">
        <f>SUMIFS(LstMachines[Nbre],LstMachines[Model-Spec],PrévisionBoris[[#This Row],[Spec]],LstMachines[Status],PrévisionBoris[[#This Row],[Status]],LstMachines[MoisLivr],AG$1)</f>
        <v>0</v>
      </c>
      <c r="AH100" s="227">
        <f>SUMIFS(LstMachines[Nbre],LstMachines[Model-Spec],PrévisionBoris[[#This Row],[Spec]],LstMachines[Status],PrévisionBoris[[#This Row],[Status]],LstMachines[MoisLivr],AH$1)</f>
        <v>0</v>
      </c>
      <c r="AI100" s="226">
        <f>SUMIFS(LstMachines[Nbre],LstMachines[Model-Spec],PrévisionBoris[[#This Row],[Spec]],LstMachines[Status],PrévisionBoris[[#This Row],[Status]],LstMachines[MoisLivr],AI$1)</f>
        <v>0</v>
      </c>
      <c r="AJ100" s="227">
        <f>SUMIFS(LstMachines[Nbre],LstMachines[Model-Spec],PrévisionBoris[[#This Row],[Spec]],LstMachines[Status],PrévisionBoris[[#This Row],[Status]],LstMachines[MoisLivr],AJ$1)</f>
        <v>0</v>
      </c>
      <c r="AK100" s="227">
        <f>SUMIFS(LstMachines[Nbre],LstMachines[Model-Spec],PrévisionBoris[[#This Row],[Spec]],LstMachines[Status],PrévisionBoris[[#This Row],[Status]],LstMachines[MoisLivr],AK$1)</f>
        <v>0</v>
      </c>
      <c r="AL100" s="226">
        <f>SUMIFS(LstMachines[Nbre],LstMachines[Model-Spec],PrévisionBoris[[#This Row],[Spec]],LstMachines[Status],PrévisionBoris[[#This Row],[Status]],LstMachines[MoisLivr],AL$1)</f>
        <v>0</v>
      </c>
      <c r="AM100" s="227">
        <f>SUMIFS(LstMachines[Nbre],LstMachines[Model-Spec],PrévisionBoris[[#This Row],[Spec]],LstMachines[Status],PrévisionBoris[[#This Row],[Status]],LstMachines[MoisLivr],AM$1)</f>
        <v>0</v>
      </c>
      <c r="AN100" s="227">
        <f>SUMIFS(LstMachines[Nbre],LstMachines[Model-Spec],PrévisionBoris[[#This Row],[Spec]],LstMachines[Status],PrévisionBoris[[#This Row],[Status]],LstMachines[MoisLivr],AN$1)</f>
        <v>0</v>
      </c>
      <c r="AO100" s="226">
        <f>SUMIFS(LstMachines[Nbre],LstMachines[Model-Spec],PrévisionBoris[[#This Row],[Spec]],LstMachines[Status],PrévisionBoris[[#This Row],[Status]],LstMachines[MoisLivr],AO$1)</f>
        <v>0</v>
      </c>
      <c r="AP100" s="227">
        <f>SUMIFS(LstMachines[Nbre],LstMachines[Model-Spec],PrévisionBoris[[#This Row],[Spec]],LstMachines[Status],PrévisionBoris[[#This Row],[Status]],LstMachines[MoisLivr],AP$1)</f>
        <v>0</v>
      </c>
      <c r="AQ100" s="227">
        <f>SUMIFS(LstMachines[Nbre],LstMachines[Model-Spec],PrévisionBoris[[#This Row],[Spec]],LstMachines[Status],PrévisionBoris[[#This Row],[Status]],LstMachines[MoisLivr],AQ$1)</f>
        <v>0</v>
      </c>
      <c r="AR100" s="226">
        <f>SUMIFS(LstMachines[Nbre],LstMachines[Model-Spec],PrévisionBoris[[#This Row],[Spec]],LstMachines[Status],PrévisionBoris[[#This Row],[Status]],LstMachines[MoisLivr],AR$1)</f>
        <v>0</v>
      </c>
      <c r="AS100" s="227">
        <f>SUMIFS(LstMachines[Nbre],LstMachines[Model-Spec],PrévisionBoris[[#This Row],[Spec]],LstMachines[Status],PrévisionBoris[[#This Row],[Status]],LstMachines[MoisLivr],AS$1)</f>
        <v>0</v>
      </c>
      <c r="AT100" s="227">
        <f>SUMIFS(LstMachines[Nbre],LstMachines[Model-Spec],PrévisionBoris[[#This Row],[Spec]],LstMachines[Status],PrévisionBoris[[#This Row],[Status]],LstMachines[MoisLivr],AT$1)</f>
        <v>0</v>
      </c>
      <c r="AU100" s="226">
        <f>SUMIFS(LstMachines[Nbre],LstMachines[Model-Spec],PrévisionBoris[[#This Row],[Spec]],LstMachines[Status],PrévisionBoris[[#This Row],[Status]],LstMachines[MoisLivr],AU$1)</f>
        <v>0</v>
      </c>
      <c r="AV100" s="230">
        <f>SUMIFS(LstMachines[Nbre],LstMachines[Model-Spec],PrévisionBoris[[#This Row],[Spec]],LstMachines[Status],PrévisionBoris[[#This Row],[Status]],LstMachines[MoisLivr],AV$1)</f>
        <v>0</v>
      </c>
      <c r="AW100" s="231">
        <f>SUMIFS(LstMachines[Nbre],LstMachines[Model-Spec],PrévisionBoris[[#This Row],[Spec]],LstMachines[Status],PrévisionBoris[[#This Row],[Status]],LstMachines[MoisLivr],AW$1)</f>
        <v>0</v>
      </c>
      <c r="AX100" s="232"/>
      <c r="AY100" s="211">
        <f t="shared" si="19"/>
        <v>0</v>
      </c>
      <c r="AZ100" s="212">
        <f t="shared" si="20"/>
        <v>0</v>
      </c>
      <c r="BA100" s="212">
        <f t="shared" si="21"/>
        <v>0</v>
      </c>
      <c r="BB100" s="213">
        <f t="shared" si="22"/>
        <v>0</v>
      </c>
      <c r="BC100" s="225">
        <f t="shared" si="23"/>
        <v>0</v>
      </c>
      <c r="BD100" s="211">
        <f t="shared" si="24"/>
        <v>0</v>
      </c>
      <c r="BE100" s="212">
        <f t="shared" si="25"/>
        <v>0</v>
      </c>
      <c r="BF100" s="212">
        <f t="shared" si="26"/>
        <v>0</v>
      </c>
      <c r="BG100" s="213">
        <f t="shared" si="27"/>
        <v>0</v>
      </c>
      <c r="BH100" s="225">
        <f t="shared" si="28"/>
        <v>0</v>
      </c>
      <c r="BI100" s="214">
        <f t="shared" si="29"/>
        <v>0</v>
      </c>
      <c r="BJ100" s="215">
        <f t="shared" si="30"/>
        <v>0</v>
      </c>
      <c r="BK100" s="215">
        <f t="shared" si="31"/>
        <v>0</v>
      </c>
      <c r="BL100" s="216">
        <f t="shared" si="32"/>
        <v>0</v>
      </c>
      <c r="BM100" s="225">
        <f t="shared" si="33"/>
        <v>0</v>
      </c>
      <c r="BN100" s="225"/>
      <c r="BO100" s="217"/>
      <c r="BP100" s="218">
        <f t="shared" si="34"/>
        <v>0</v>
      </c>
    </row>
    <row r="101" spans="1:68">
      <c r="A101" s="172">
        <v>94</v>
      </c>
      <c r="B101" s="172" t="s">
        <v>75</v>
      </c>
      <c r="C101" s="202">
        <v>33</v>
      </c>
      <c r="D101" s="172" t="s">
        <v>80</v>
      </c>
      <c r="E101" s="172" t="s">
        <v>407</v>
      </c>
      <c r="F101" s="202">
        <f>VLOOKUP(PrévisionBoris[[#This Row],[Spec]],TabModelSpecs[[ModelSpec]:[Price]],2,FALSE)</f>
        <v>32</v>
      </c>
      <c r="G101" s="172" t="s">
        <v>461</v>
      </c>
      <c r="H101" s="206">
        <f>SUMIFS(LstMachines[Nbre],LstMachines[Model-Spec],PrévisionBoris[[#This Row],[Spec]],LstMachines[Status],PrévisionBoris[[#This Row],[Status]],LstMachines[MoisLivr],H$1)</f>
        <v>0</v>
      </c>
      <c r="I101" s="207">
        <f>SUMIFS(LstMachines[Nbre],LstMachines[Model-Spec],PrévisionBoris[[#This Row],[Spec]],LstMachines[Status],PrévisionBoris[[#This Row],[Status]],LstMachines[MoisLivr],I$1)</f>
        <v>0</v>
      </c>
      <c r="J101" s="208">
        <f>SUMIFS(LstMachines[Nbre],LstMachines[Model-Spec],PrévisionBoris[[#This Row],[Spec]],LstMachines[Status],PrévisionBoris[[#This Row],[Status]],LstMachines[MoisLivr],J$1)</f>
        <v>0</v>
      </c>
      <c r="K101" s="206">
        <f>SUMIFS(LstMachines[Nbre],LstMachines[Model-Spec],PrévisionBoris[[#This Row],[Spec]],LstMachines[Status],PrévisionBoris[[#This Row],[Status]],LstMachines[MoisLivr],K$1)</f>
        <v>0</v>
      </c>
      <c r="L101" s="207">
        <f>SUMIFS(LstMachines[Nbre],LstMachines[Model-Spec],PrévisionBoris[[#This Row],[Spec]],LstMachines[Status],PrévisionBoris[[#This Row],[Status]],LstMachines[MoisLivr],L$1)</f>
        <v>0</v>
      </c>
      <c r="M101" s="208">
        <f>SUMIFS(LstMachines[Nbre],LstMachines[Model-Spec],PrévisionBoris[[#This Row],[Spec]],LstMachines[Status],PrévisionBoris[[#This Row],[Status]],LstMachines[MoisLivr],M$1)</f>
        <v>0</v>
      </c>
      <c r="N101" s="206">
        <f>SUMIFS(LstMachines[Nbre],LstMachines[Model-Spec],PrévisionBoris[[#This Row],[Spec]],LstMachines[Status],PrévisionBoris[[#This Row],[Status]],LstMachines[MoisLivr],N$1)</f>
        <v>0</v>
      </c>
      <c r="O101" s="207">
        <f>SUMIFS(LstMachines[Nbre],LstMachines[Model-Spec],PrévisionBoris[[#This Row],[Spec]],LstMachines[Status],PrévisionBoris[[#This Row],[Status]],LstMachines[MoisLivr],O$1)</f>
        <v>0</v>
      </c>
      <c r="P101" s="208">
        <f>SUMIFS(LstMachines[Nbre],LstMachines[Model-Spec],PrévisionBoris[[#This Row],[Spec]],LstMachines[Status],PrévisionBoris[[#This Row],[Status]],LstMachines[MoisLivr],P$1)</f>
        <v>0</v>
      </c>
      <c r="Q101" s="209">
        <f>SUMIFS(LstMachines[Nbre],LstMachines[Model-Spec],PrévisionBoris[[#This Row],[Spec]],LstMachines[Status],PrévisionBoris[[#This Row],[Status]],LstMachines[MoisLivr],Q$1)</f>
        <v>0</v>
      </c>
      <c r="R101" s="207">
        <f>SUMIFS(LstMachines[Nbre],LstMachines[Model-Spec],PrévisionBoris[[#This Row],[Spec]],LstMachines[Status],PrévisionBoris[[#This Row],[Status]],LstMachines[MoisLivr],R$1)</f>
        <v>0</v>
      </c>
      <c r="S101" s="207">
        <f>SUMIFS(LstMachines[Nbre],LstMachines[Model-Spec],PrévisionBoris[[#This Row],[Spec]],LstMachines[Status],PrévisionBoris[[#This Row],[Status]],LstMachines[MoisLivr],S$1)</f>
        <v>0</v>
      </c>
      <c r="T101" s="206">
        <f>SUMIFS(LstMachines[Nbre],LstMachines[Model-Spec],PrévisionBoris[[#This Row],[Spec]],LstMachines[Status],PrévisionBoris[[#This Row],[Status]],LstMachines[MoisLivr],T$1)</f>
        <v>0</v>
      </c>
      <c r="U101" s="207">
        <f>SUMIFS(LstMachines[Nbre],LstMachines[Model-Spec],PrévisionBoris[[#This Row],[Spec]],LstMachines[Status],PrévisionBoris[[#This Row],[Status]],LstMachines[MoisLivr],U$1)</f>
        <v>0</v>
      </c>
      <c r="V101" s="207">
        <f>SUMIFS(LstMachines[Nbre],LstMachines[Model-Spec],PrévisionBoris[[#This Row],[Spec]],LstMachines[Status],PrévisionBoris[[#This Row],[Status]],LstMachines[MoisLivr],V$1)</f>
        <v>0</v>
      </c>
      <c r="W101" s="206">
        <f>SUMIFS(LstMachines[Nbre],LstMachines[Model-Spec],PrévisionBoris[[#This Row],[Spec]],LstMachines[Status],PrévisionBoris[[#This Row],[Status]],LstMachines[MoisLivr],W$1)</f>
        <v>0</v>
      </c>
      <c r="X101" s="207">
        <f>SUMIFS(LstMachines[Nbre],LstMachines[Model-Spec],PrévisionBoris[[#This Row],[Spec]],LstMachines[Status],PrévisionBoris[[#This Row],[Status]],LstMachines[MoisLivr],X$1)</f>
        <v>0</v>
      </c>
      <c r="Y101" s="207">
        <f>SUMIFS(LstMachines[Nbre],LstMachines[Model-Spec],PrévisionBoris[[#This Row],[Spec]],LstMachines[Status],PrévisionBoris[[#This Row],[Status]],LstMachines[MoisLivr],Y$1)</f>
        <v>0</v>
      </c>
      <c r="Z101" s="206">
        <f>SUMIFS(LstMachines[Nbre],LstMachines[Model-Spec],PrévisionBoris[[#This Row],[Spec]],LstMachines[Status],PrévisionBoris[[#This Row],[Status]],LstMachines[MoisLivr],Z$1)</f>
        <v>0</v>
      </c>
      <c r="AA101" s="207">
        <f>SUMIFS(LstMachines[Nbre],LstMachines[Model-Spec],PrévisionBoris[[#This Row],[Spec]],LstMachines[Status],PrévisionBoris[[#This Row],[Status]],LstMachines[MoisLivr],AA$1)</f>
        <v>0</v>
      </c>
      <c r="AB101" s="207">
        <f>SUMIFS(LstMachines[Nbre],LstMachines[Model-Spec],PrévisionBoris[[#This Row],[Spec]],LstMachines[Status],PrévisionBoris[[#This Row],[Status]],LstMachines[MoisLivr],AB$1)</f>
        <v>0</v>
      </c>
      <c r="AC101" s="206">
        <f>SUMIFS(LstMachines[Nbre],LstMachines[Model-Spec],PrévisionBoris[[#This Row],[Spec]],LstMachines[Status],PrévisionBoris[[#This Row],[Status]],LstMachines[MoisLivr],AC$1)</f>
        <v>0</v>
      </c>
      <c r="AD101" s="207">
        <f>SUMIFS(LstMachines[Nbre],LstMachines[Model-Spec],PrévisionBoris[[#This Row],[Spec]],LstMachines[Status],PrévisionBoris[[#This Row],[Status]],LstMachines[MoisLivr],AD$1)</f>
        <v>0</v>
      </c>
      <c r="AE101" s="207">
        <f>SUMIFS(LstMachines[Nbre],LstMachines[Model-Spec],PrévisionBoris[[#This Row],[Spec]],LstMachines[Status],PrévisionBoris[[#This Row],[Status]],LstMachines[MoisLivr],AE$1)</f>
        <v>0</v>
      </c>
      <c r="AF101" s="206">
        <f>SUMIFS(LstMachines[Nbre],LstMachines[Model-Spec],PrévisionBoris[[#This Row],[Spec]],LstMachines[Status],PrévisionBoris[[#This Row],[Status]],LstMachines[MoisLivr],AF$1)</f>
        <v>0</v>
      </c>
      <c r="AG101" s="207">
        <f>SUMIFS(LstMachines[Nbre],LstMachines[Model-Spec],PrévisionBoris[[#This Row],[Spec]],LstMachines[Status],PrévisionBoris[[#This Row],[Status]],LstMachines[MoisLivr],AG$1)</f>
        <v>0</v>
      </c>
      <c r="AH101" s="207">
        <f>SUMIFS(LstMachines[Nbre],LstMachines[Model-Spec],PrévisionBoris[[#This Row],[Spec]],LstMachines[Status],PrévisionBoris[[#This Row],[Status]],LstMachines[MoisLivr],AH$1)</f>
        <v>0</v>
      </c>
      <c r="AI101" s="206">
        <f>SUMIFS(LstMachines[Nbre],LstMachines[Model-Spec],PrévisionBoris[[#This Row],[Spec]],LstMachines[Status],PrévisionBoris[[#This Row],[Status]],LstMachines[MoisLivr],AI$1)</f>
        <v>0</v>
      </c>
      <c r="AJ101" s="207">
        <f>SUMIFS(LstMachines[Nbre],LstMachines[Model-Spec],PrévisionBoris[[#This Row],[Spec]],LstMachines[Status],PrévisionBoris[[#This Row],[Status]],LstMachines[MoisLivr],AJ$1)</f>
        <v>0</v>
      </c>
      <c r="AK101" s="207">
        <f>SUMIFS(LstMachines[Nbre],LstMachines[Model-Spec],PrévisionBoris[[#This Row],[Spec]],LstMachines[Status],PrévisionBoris[[#This Row],[Status]],LstMachines[MoisLivr],AK$1)</f>
        <v>0</v>
      </c>
      <c r="AL101" s="206">
        <f>SUMIFS(LstMachines[Nbre],LstMachines[Model-Spec],PrévisionBoris[[#This Row],[Spec]],LstMachines[Status],PrévisionBoris[[#This Row],[Status]],LstMachines[MoisLivr],AL$1)</f>
        <v>0</v>
      </c>
      <c r="AM101" s="207">
        <f>SUMIFS(LstMachines[Nbre],LstMachines[Model-Spec],PrévisionBoris[[#This Row],[Spec]],LstMachines[Status],PrévisionBoris[[#This Row],[Status]],LstMachines[MoisLivr],AM$1)</f>
        <v>0</v>
      </c>
      <c r="AN101" s="207">
        <f>SUMIFS(LstMachines[Nbre],LstMachines[Model-Spec],PrévisionBoris[[#This Row],[Spec]],LstMachines[Status],PrévisionBoris[[#This Row],[Status]],LstMachines[MoisLivr],AN$1)</f>
        <v>0</v>
      </c>
      <c r="AO101" s="206">
        <f>SUMIFS(LstMachines[Nbre],LstMachines[Model-Spec],PrévisionBoris[[#This Row],[Spec]],LstMachines[Status],PrévisionBoris[[#This Row],[Status]],LstMachines[MoisLivr],AO$1)</f>
        <v>0</v>
      </c>
      <c r="AP101" s="207">
        <f>SUMIFS(LstMachines[Nbre],LstMachines[Model-Spec],PrévisionBoris[[#This Row],[Spec]],LstMachines[Status],PrévisionBoris[[#This Row],[Status]],LstMachines[MoisLivr],AP$1)</f>
        <v>0</v>
      </c>
      <c r="AQ101" s="207">
        <f>SUMIFS(LstMachines[Nbre],LstMachines[Model-Spec],PrévisionBoris[[#This Row],[Spec]],LstMachines[Status],PrévisionBoris[[#This Row],[Status]],LstMachines[MoisLivr],AQ$1)</f>
        <v>0</v>
      </c>
      <c r="AR101" s="206">
        <f>SUMIFS(LstMachines[Nbre],LstMachines[Model-Spec],PrévisionBoris[[#This Row],[Spec]],LstMachines[Status],PrévisionBoris[[#This Row],[Status]],LstMachines[MoisLivr],AR$1)</f>
        <v>0</v>
      </c>
      <c r="AS101" s="207">
        <f>SUMIFS(LstMachines[Nbre],LstMachines[Model-Spec],PrévisionBoris[[#This Row],[Spec]],LstMachines[Status],PrévisionBoris[[#This Row],[Status]],LstMachines[MoisLivr],AS$1)</f>
        <v>0</v>
      </c>
      <c r="AT101" s="207">
        <f>SUMIFS(LstMachines[Nbre],LstMachines[Model-Spec],PrévisionBoris[[#This Row],[Spec]],LstMachines[Status],PrévisionBoris[[#This Row],[Status]],LstMachines[MoisLivr],AT$1)</f>
        <v>0</v>
      </c>
      <c r="AU101" s="206">
        <f>SUMIFS(LstMachines[Nbre],LstMachines[Model-Spec],PrévisionBoris[[#This Row],[Spec]],LstMachines[Status],PrévisionBoris[[#This Row],[Status]],LstMachines[MoisLivr],AU$1)</f>
        <v>0</v>
      </c>
      <c r="AV101" s="233">
        <f>SUMIFS(LstMachines[Nbre],LstMachines[Model-Spec],PrévisionBoris[[#This Row],[Spec]],LstMachines[Status],PrévisionBoris[[#This Row],[Status]],LstMachines[MoisLivr],AV$1)</f>
        <v>0</v>
      </c>
      <c r="AW101" s="208">
        <f>SUMIFS(LstMachines[Nbre],LstMachines[Model-Spec],PrévisionBoris[[#This Row],[Spec]],LstMachines[Status],PrévisionBoris[[#This Row],[Status]],LstMachines[MoisLivr],AW$1)</f>
        <v>0</v>
      </c>
      <c r="AX101" s="225"/>
      <c r="AY101" s="211">
        <f t="shared" si="19"/>
        <v>0</v>
      </c>
      <c r="AZ101" s="212">
        <f t="shared" si="20"/>
        <v>0</v>
      </c>
      <c r="BA101" s="212">
        <f t="shared" si="21"/>
        <v>0</v>
      </c>
      <c r="BB101" s="213">
        <f t="shared" si="22"/>
        <v>0</v>
      </c>
      <c r="BC101" s="225">
        <f t="shared" si="23"/>
        <v>0</v>
      </c>
      <c r="BD101" s="211">
        <f t="shared" si="24"/>
        <v>0</v>
      </c>
      <c r="BE101" s="212">
        <f t="shared" si="25"/>
        <v>0</v>
      </c>
      <c r="BF101" s="212">
        <f t="shared" si="26"/>
        <v>0</v>
      </c>
      <c r="BG101" s="213">
        <f t="shared" si="27"/>
        <v>0</v>
      </c>
      <c r="BH101" s="225">
        <f t="shared" si="28"/>
        <v>0</v>
      </c>
      <c r="BI101" s="214">
        <f t="shared" si="29"/>
        <v>0</v>
      </c>
      <c r="BJ101" s="215">
        <f t="shared" si="30"/>
        <v>0</v>
      </c>
      <c r="BK101" s="215">
        <f t="shared" si="31"/>
        <v>0</v>
      </c>
      <c r="BL101" s="216">
        <f t="shared" si="32"/>
        <v>0</v>
      </c>
      <c r="BM101" s="225">
        <f t="shared" si="33"/>
        <v>0</v>
      </c>
      <c r="BN101" s="225"/>
      <c r="BO101" s="234"/>
      <c r="BP101" s="218">
        <f t="shared" si="34"/>
        <v>0</v>
      </c>
    </row>
    <row r="102" spans="1:68">
      <c r="A102" s="170">
        <v>95</v>
      </c>
      <c r="B102" s="170" t="s">
        <v>75</v>
      </c>
      <c r="C102" s="200">
        <v>33</v>
      </c>
      <c r="D102" s="170" t="s">
        <v>80</v>
      </c>
      <c r="E102" s="170" t="s">
        <v>407</v>
      </c>
      <c r="F102" s="200">
        <f>VLOOKUP(PrévisionBoris[[#This Row],[Spec]],TabModelSpecs[[ModelSpec]:[Price]],2,FALSE)</f>
        <v>32</v>
      </c>
      <c r="G102" s="170" t="s">
        <v>462</v>
      </c>
      <c r="H102" s="219">
        <f>SUMIFS(LstMachines[Nbre],LstMachines[Model-Spec],PrévisionBoris[[#This Row],[Spec]],LstMachines[Status],PrévisionBoris[[#This Row],[Status]],LstMachines[MoisLivr],H$1)</f>
        <v>0</v>
      </c>
      <c r="I102" s="220">
        <f>SUMIFS(LstMachines[Nbre],LstMachines[Model-Spec],PrévisionBoris[[#This Row],[Spec]],LstMachines[Status],PrévisionBoris[[#This Row],[Status]],LstMachines[MoisLivr],I$1)</f>
        <v>0</v>
      </c>
      <c r="J102" s="221">
        <f>SUMIFS(LstMachines[Nbre],LstMachines[Model-Spec],PrévisionBoris[[#This Row],[Spec]],LstMachines[Status],PrévisionBoris[[#This Row],[Status]],LstMachines[MoisLivr],J$1)</f>
        <v>0</v>
      </c>
      <c r="K102" s="219">
        <f>SUMIFS(LstMachines[Nbre],LstMachines[Model-Spec],PrévisionBoris[[#This Row],[Spec]],LstMachines[Status],PrévisionBoris[[#This Row],[Status]],LstMachines[MoisLivr],K$1)</f>
        <v>0</v>
      </c>
      <c r="L102" s="220">
        <f>SUMIFS(LstMachines[Nbre],LstMachines[Model-Spec],PrévisionBoris[[#This Row],[Spec]],LstMachines[Status],PrévisionBoris[[#This Row],[Status]],LstMachines[MoisLivr],L$1)</f>
        <v>0</v>
      </c>
      <c r="M102" s="221">
        <f>SUMIFS(LstMachines[Nbre],LstMachines[Model-Spec],PrévisionBoris[[#This Row],[Spec]],LstMachines[Status],PrévisionBoris[[#This Row],[Status]],LstMachines[MoisLivr],M$1)</f>
        <v>0</v>
      </c>
      <c r="N102" s="219">
        <f>SUMIFS(LstMachines[Nbre],LstMachines[Model-Spec],PrévisionBoris[[#This Row],[Spec]],LstMachines[Status],PrévisionBoris[[#This Row],[Status]],LstMachines[MoisLivr],N$1)</f>
        <v>0</v>
      </c>
      <c r="O102" s="220">
        <f>SUMIFS(LstMachines[Nbre],LstMachines[Model-Spec],PrévisionBoris[[#This Row],[Spec]],LstMachines[Status],PrévisionBoris[[#This Row],[Status]],LstMachines[MoisLivr],O$1)</f>
        <v>0</v>
      </c>
      <c r="P102" s="221">
        <f>SUMIFS(LstMachines[Nbre],LstMachines[Model-Spec],PrévisionBoris[[#This Row],[Spec]],LstMachines[Status],PrévisionBoris[[#This Row],[Status]],LstMachines[MoisLivr],P$1)</f>
        <v>0</v>
      </c>
      <c r="Q102" s="222">
        <f>SUMIFS(LstMachines[Nbre],LstMachines[Model-Spec],PrévisionBoris[[#This Row],[Spec]],LstMachines[Status],PrévisionBoris[[#This Row],[Status]],LstMachines[MoisLivr],Q$1)</f>
        <v>0</v>
      </c>
      <c r="R102" s="220">
        <f>SUMIFS(LstMachines[Nbre],LstMachines[Model-Spec],PrévisionBoris[[#This Row],[Spec]],LstMachines[Status],PrévisionBoris[[#This Row],[Status]],LstMachines[MoisLivr],R$1)</f>
        <v>0</v>
      </c>
      <c r="S102" s="220">
        <f>SUMIFS(LstMachines[Nbre],LstMachines[Model-Spec],PrévisionBoris[[#This Row],[Spec]],LstMachines[Status],PrévisionBoris[[#This Row],[Status]],LstMachines[MoisLivr],S$1)</f>
        <v>0</v>
      </c>
      <c r="T102" s="219">
        <f>SUMIFS(LstMachines[Nbre],LstMachines[Model-Spec],PrévisionBoris[[#This Row],[Spec]],LstMachines[Status],PrévisionBoris[[#This Row],[Status]],LstMachines[MoisLivr],T$1)</f>
        <v>0</v>
      </c>
      <c r="U102" s="220">
        <f>SUMIFS(LstMachines[Nbre],LstMachines[Model-Spec],PrévisionBoris[[#This Row],[Spec]],LstMachines[Status],PrévisionBoris[[#This Row],[Status]],LstMachines[MoisLivr],U$1)</f>
        <v>0</v>
      </c>
      <c r="V102" s="220">
        <f>SUMIFS(LstMachines[Nbre],LstMachines[Model-Spec],PrévisionBoris[[#This Row],[Spec]],LstMachines[Status],PrévisionBoris[[#This Row],[Status]],LstMachines[MoisLivr],V$1)</f>
        <v>0</v>
      </c>
      <c r="W102" s="219">
        <f>SUMIFS(LstMachines[Nbre],LstMachines[Model-Spec],PrévisionBoris[[#This Row],[Spec]],LstMachines[Status],PrévisionBoris[[#This Row],[Status]],LstMachines[MoisLivr],W$1)</f>
        <v>0</v>
      </c>
      <c r="X102" s="220">
        <f>SUMIFS(LstMachines[Nbre],LstMachines[Model-Spec],PrévisionBoris[[#This Row],[Spec]],LstMachines[Status],PrévisionBoris[[#This Row],[Status]],LstMachines[MoisLivr],X$1)</f>
        <v>0</v>
      </c>
      <c r="Y102" s="220">
        <f>SUMIFS(LstMachines[Nbre],LstMachines[Model-Spec],PrévisionBoris[[#This Row],[Spec]],LstMachines[Status],PrévisionBoris[[#This Row],[Status]],LstMachines[MoisLivr],Y$1)</f>
        <v>0</v>
      </c>
      <c r="Z102" s="219">
        <f>SUMIFS(LstMachines[Nbre],LstMachines[Model-Spec],PrévisionBoris[[#This Row],[Spec]],LstMachines[Status],PrévisionBoris[[#This Row],[Status]],LstMachines[MoisLivr],Z$1)</f>
        <v>0</v>
      </c>
      <c r="AA102" s="220">
        <f>SUMIFS(LstMachines[Nbre],LstMachines[Model-Spec],PrévisionBoris[[#This Row],[Spec]],LstMachines[Status],PrévisionBoris[[#This Row],[Status]],LstMachines[MoisLivr],AA$1)</f>
        <v>0</v>
      </c>
      <c r="AB102" s="220">
        <f>SUMIFS(LstMachines[Nbre],LstMachines[Model-Spec],PrévisionBoris[[#This Row],[Spec]],LstMachines[Status],PrévisionBoris[[#This Row],[Status]],LstMachines[MoisLivr],AB$1)</f>
        <v>0</v>
      </c>
      <c r="AC102" s="219">
        <f>SUMIFS(LstMachines[Nbre],LstMachines[Model-Spec],PrévisionBoris[[#This Row],[Spec]],LstMachines[Status],PrévisionBoris[[#This Row],[Status]],LstMachines[MoisLivr],AC$1)</f>
        <v>0</v>
      </c>
      <c r="AD102" s="220">
        <f>SUMIFS(LstMachines[Nbre],LstMachines[Model-Spec],PrévisionBoris[[#This Row],[Spec]],LstMachines[Status],PrévisionBoris[[#This Row],[Status]],LstMachines[MoisLivr],AD$1)</f>
        <v>0</v>
      </c>
      <c r="AE102" s="220">
        <f>SUMIFS(LstMachines[Nbre],LstMachines[Model-Spec],PrévisionBoris[[#This Row],[Spec]],LstMachines[Status],PrévisionBoris[[#This Row],[Status]],LstMachines[MoisLivr],AE$1)</f>
        <v>0</v>
      </c>
      <c r="AF102" s="219">
        <f>SUMIFS(LstMachines[Nbre],LstMachines[Model-Spec],PrévisionBoris[[#This Row],[Spec]],LstMachines[Status],PrévisionBoris[[#This Row],[Status]],LstMachines[MoisLivr],AF$1)</f>
        <v>0</v>
      </c>
      <c r="AG102" s="220">
        <f>SUMIFS(LstMachines[Nbre],LstMachines[Model-Spec],PrévisionBoris[[#This Row],[Spec]],LstMachines[Status],PrévisionBoris[[#This Row],[Status]],LstMachines[MoisLivr],AG$1)</f>
        <v>0</v>
      </c>
      <c r="AH102" s="220">
        <f>SUMIFS(LstMachines[Nbre],LstMachines[Model-Spec],PrévisionBoris[[#This Row],[Spec]],LstMachines[Status],PrévisionBoris[[#This Row],[Status]],LstMachines[MoisLivr],AH$1)</f>
        <v>0</v>
      </c>
      <c r="AI102" s="219">
        <f>SUMIFS(LstMachines[Nbre],LstMachines[Model-Spec],PrévisionBoris[[#This Row],[Spec]],LstMachines[Status],PrévisionBoris[[#This Row],[Status]],LstMachines[MoisLivr],AI$1)</f>
        <v>0</v>
      </c>
      <c r="AJ102" s="220">
        <f>SUMIFS(LstMachines[Nbre],LstMachines[Model-Spec],PrévisionBoris[[#This Row],[Spec]],LstMachines[Status],PrévisionBoris[[#This Row],[Status]],LstMachines[MoisLivr],AJ$1)</f>
        <v>0</v>
      </c>
      <c r="AK102" s="220">
        <f>SUMIFS(LstMachines[Nbre],LstMachines[Model-Spec],PrévisionBoris[[#This Row],[Spec]],LstMachines[Status],PrévisionBoris[[#This Row],[Status]],LstMachines[MoisLivr],AK$1)</f>
        <v>0</v>
      </c>
      <c r="AL102" s="219">
        <f>SUMIFS(LstMachines[Nbre],LstMachines[Model-Spec],PrévisionBoris[[#This Row],[Spec]],LstMachines[Status],PrévisionBoris[[#This Row],[Status]],LstMachines[MoisLivr],AL$1)</f>
        <v>0</v>
      </c>
      <c r="AM102" s="220">
        <f>SUMIFS(LstMachines[Nbre],LstMachines[Model-Spec],PrévisionBoris[[#This Row],[Spec]],LstMachines[Status],PrévisionBoris[[#This Row],[Status]],LstMachines[MoisLivr],AM$1)</f>
        <v>0</v>
      </c>
      <c r="AN102" s="220">
        <f>SUMIFS(LstMachines[Nbre],LstMachines[Model-Spec],PrévisionBoris[[#This Row],[Spec]],LstMachines[Status],PrévisionBoris[[#This Row],[Status]],LstMachines[MoisLivr],AN$1)</f>
        <v>0</v>
      </c>
      <c r="AO102" s="219">
        <f>SUMIFS(LstMachines[Nbre],LstMachines[Model-Spec],PrévisionBoris[[#This Row],[Spec]],LstMachines[Status],PrévisionBoris[[#This Row],[Status]],LstMachines[MoisLivr],AO$1)</f>
        <v>0</v>
      </c>
      <c r="AP102" s="220">
        <f>SUMIFS(LstMachines[Nbre],LstMachines[Model-Spec],PrévisionBoris[[#This Row],[Spec]],LstMachines[Status],PrévisionBoris[[#This Row],[Status]],LstMachines[MoisLivr],AP$1)</f>
        <v>0</v>
      </c>
      <c r="AQ102" s="220">
        <f>SUMIFS(LstMachines[Nbre],LstMachines[Model-Spec],PrévisionBoris[[#This Row],[Spec]],LstMachines[Status],PrévisionBoris[[#This Row],[Status]],LstMachines[MoisLivr],AQ$1)</f>
        <v>0</v>
      </c>
      <c r="AR102" s="219">
        <f>SUMIFS(LstMachines[Nbre],LstMachines[Model-Spec],PrévisionBoris[[#This Row],[Spec]],LstMachines[Status],PrévisionBoris[[#This Row],[Status]],LstMachines[MoisLivr],AR$1)</f>
        <v>0</v>
      </c>
      <c r="AS102" s="220">
        <f>SUMIFS(LstMachines[Nbre],LstMachines[Model-Spec],PrévisionBoris[[#This Row],[Spec]],LstMachines[Status],PrévisionBoris[[#This Row],[Status]],LstMachines[MoisLivr],AS$1)</f>
        <v>0</v>
      </c>
      <c r="AT102" s="220">
        <f>SUMIFS(LstMachines[Nbre],LstMachines[Model-Spec],PrévisionBoris[[#This Row],[Spec]],LstMachines[Status],PrévisionBoris[[#This Row],[Status]],LstMachines[MoisLivr],AT$1)</f>
        <v>0</v>
      </c>
      <c r="AU102" s="219">
        <f>SUMIFS(LstMachines[Nbre],LstMachines[Model-Spec],PrévisionBoris[[#This Row],[Spec]],LstMachines[Status],PrévisionBoris[[#This Row],[Status]],LstMachines[MoisLivr],AU$1)</f>
        <v>0</v>
      </c>
      <c r="AV102" s="223">
        <f>SUMIFS(LstMachines[Nbre],LstMachines[Model-Spec],PrévisionBoris[[#This Row],[Spec]],LstMachines[Status],PrévisionBoris[[#This Row],[Status]],LstMachines[MoisLivr],AV$1)</f>
        <v>0</v>
      </c>
      <c r="AW102" s="224">
        <f>SUMIFS(LstMachines[Nbre],LstMachines[Model-Spec],PrévisionBoris[[#This Row],[Spec]],LstMachines[Status],PrévisionBoris[[#This Row],[Status]],LstMachines[MoisLivr],AW$1)</f>
        <v>0</v>
      </c>
      <c r="AX102" s="210"/>
      <c r="AY102" s="211">
        <f t="shared" si="19"/>
        <v>0</v>
      </c>
      <c r="AZ102" s="212">
        <f t="shared" si="20"/>
        <v>0</v>
      </c>
      <c r="BA102" s="212">
        <f t="shared" si="21"/>
        <v>0</v>
      </c>
      <c r="BB102" s="213">
        <f t="shared" si="22"/>
        <v>0</v>
      </c>
      <c r="BC102" s="225">
        <f t="shared" si="23"/>
        <v>0</v>
      </c>
      <c r="BD102" s="211">
        <f t="shared" si="24"/>
        <v>0</v>
      </c>
      <c r="BE102" s="212">
        <f t="shared" si="25"/>
        <v>0</v>
      </c>
      <c r="BF102" s="212">
        <f t="shared" si="26"/>
        <v>0</v>
      </c>
      <c r="BG102" s="213">
        <f t="shared" si="27"/>
        <v>0</v>
      </c>
      <c r="BH102" s="225">
        <f t="shared" si="28"/>
        <v>0</v>
      </c>
      <c r="BI102" s="214">
        <f t="shared" si="29"/>
        <v>0</v>
      </c>
      <c r="BJ102" s="215">
        <f t="shared" si="30"/>
        <v>0</v>
      </c>
      <c r="BK102" s="215">
        <f t="shared" si="31"/>
        <v>0</v>
      </c>
      <c r="BL102" s="216">
        <f t="shared" si="32"/>
        <v>0</v>
      </c>
      <c r="BM102" s="225">
        <f t="shared" si="33"/>
        <v>0</v>
      </c>
      <c r="BN102" s="225"/>
      <c r="BO102" s="217"/>
      <c r="BP102" s="218">
        <f t="shared" si="34"/>
        <v>0</v>
      </c>
    </row>
    <row r="103" spans="1:68">
      <c r="A103" s="171">
        <v>96</v>
      </c>
      <c r="B103" s="171" t="s">
        <v>75</v>
      </c>
      <c r="C103" s="201">
        <v>33</v>
      </c>
      <c r="D103" s="171" t="s">
        <v>80</v>
      </c>
      <c r="E103" s="171" t="s">
        <v>407</v>
      </c>
      <c r="F103" s="201">
        <f>VLOOKUP(PrévisionBoris[[#This Row],[Spec]],TabModelSpecs[[ModelSpec]:[Price]],2,FALSE)</f>
        <v>32</v>
      </c>
      <c r="G103" s="171" t="s">
        <v>463</v>
      </c>
      <c r="H103" s="226">
        <f>SUMIFS(LstMachines[Nbre],LstMachines[Model-Spec],PrévisionBoris[[#This Row],[Spec]],LstMachines[Status],PrévisionBoris[[#This Row],[Status]],LstMachines[MoisLivr],H$1)</f>
        <v>0</v>
      </c>
      <c r="I103" s="227">
        <f>SUMIFS(LstMachines[Nbre],LstMachines[Model-Spec],PrévisionBoris[[#This Row],[Spec]],LstMachines[Status],PrévisionBoris[[#This Row],[Status]],LstMachines[MoisLivr],I$1)</f>
        <v>0</v>
      </c>
      <c r="J103" s="228">
        <f>SUMIFS(LstMachines[Nbre],LstMachines[Model-Spec],PrévisionBoris[[#This Row],[Spec]],LstMachines[Status],PrévisionBoris[[#This Row],[Status]],LstMachines[MoisLivr],J$1)</f>
        <v>0</v>
      </c>
      <c r="K103" s="226">
        <f>SUMIFS(LstMachines[Nbre],LstMachines[Model-Spec],PrévisionBoris[[#This Row],[Spec]],LstMachines[Status],PrévisionBoris[[#This Row],[Status]],LstMachines[MoisLivr],K$1)</f>
        <v>0</v>
      </c>
      <c r="L103" s="227">
        <f>SUMIFS(LstMachines[Nbre],LstMachines[Model-Spec],PrévisionBoris[[#This Row],[Spec]],LstMachines[Status],PrévisionBoris[[#This Row],[Status]],LstMachines[MoisLivr],L$1)</f>
        <v>0</v>
      </c>
      <c r="M103" s="228">
        <f>SUMIFS(LstMachines[Nbre],LstMachines[Model-Spec],PrévisionBoris[[#This Row],[Spec]],LstMachines[Status],PrévisionBoris[[#This Row],[Status]],LstMachines[MoisLivr],M$1)</f>
        <v>0</v>
      </c>
      <c r="N103" s="226">
        <f>SUMIFS(LstMachines[Nbre],LstMachines[Model-Spec],PrévisionBoris[[#This Row],[Spec]],LstMachines[Status],PrévisionBoris[[#This Row],[Status]],LstMachines[MoisLivr],N$1)</f>
        <v>0</v>
      </c>
      <c r="O103" s="227">
        <f>SUMIFS(LstMachines[Nbre],LstMachines[Model-Spec],PrévisionBoris[[#This Row],[Spec]],LstMachines[Status],PrévisionBoris[[#This Row],[Status]],LstMachines[MoisLivr],O$1)</f>
        <v>0</v>
      </c>
      <c r="P103" s="228">
        <f>SUMIFS(LstMachines[Nbre],LstMachines[Model-Spec],PrévisionBoris[[#This Row],[Spec]],LstMachines[Status],PrévisionBoris[[#This Row],[Status]],LstMachines[MoisLivr],P$1)</f>
        <v>0</v>
      </c>
      <c r="Q103" s="229">
        <f>SUMIFS(LstMachines[Nbre],LstMachines[Model-Spec],PrévisionBoris[[#This Row],[Spec]],LstMachines[Status],PrévisionBoris[[#This Row],[Status]],LstMachines[MoisLivr],Q$1)</f>
        <v>0</v>
      </c>
      <c r="R103" s="227">
        <f>SUMIFS(LstMachines[Nbre],LstMachines[Model-Spec],PrévisionBoris[[#This Row],[Spec]],LstMachines[Status],PrévisionBoris[[#This Row],[Status]],LstMachines[MoisLivr],R$1)</f>
        <v>0</v>
      </c>
      <c r="S103" s="227">
        <f>SUMIFS(LstMachines[Nbre],LstMachines[Model-Spec],PrévisionBoris[[#This Row],[Spec]],LstMachines[Status],PrévisionBoris[[#This Row],[Status]],LstMachines[MoisLivr],S$1)</f>
        <v>0</v>
      </c>
      <c r="T103" s="226">
        <f>SUMIFS(LstMachines[Nbre],LstMachines[Model-Spec],PrévisionBoris[[#This Row],[Spec]],LstMachines[Status],PrévisionBoris[[#This Row],[Status]],LstMachines[MoisLivr],T$1)</f>
        <v>0</v>
      </c>
      <c r="U103" s="227">
        <f>SUMIFS(LstMachines[Nbre],LstMachines[Model-Spec],PrévisionBoris[[#This Row],[Spec]],LstMachines[Status],PrévisionBoris[[#This Row],[Status]],LstMachines[MoisLivr],U$1)</f>
        <v>0</v>
      </c>
      <c r="V103" s="227">
        <f>SUMIFS(LstMachines[Nbre],LstMachines[Model-Spec],PrévisionBoris[[#This Row],[Spec]],LstMachines[Status],PrévisionBoris[[#This Row],[Status]],LstMachines[MoisLivr],V$1)</f>
        <v>0</v>
      </c>
      <c r="W103" s="226">
        <f>SUMIFS(LstMachines[Nbre],LstMachines[Model-Spec],PrévisionBoris[[#This Row],[Spec]],LstMachines[Status],PrévisionBoris[[#This Row],[Status]],LstMachines[MoisLivr],W$1)</f>
        <v>0</v>
      </c>
      <c r="X103" s="227">
        <f>SUMIFS(LstMachines[Nbre],LstMachines[Model-Spec],PrévisionBoris[[#This Row],[Spec]],LstMachines[Status],PrévisionBoris[[#This Row],[Status]],LstMachines[MoisLivr],X$1)</f>
        <v>0</v>
      </c>
      <c r="Y103" s="227">
        <f>SUMIFS(LstMachines[Nbre],LstMachines[Model-Spec],PrévisionBoris[[#This Row],[Spec]],LstMachines[Status],PrévisionBoris[[#This Row],[Status]],LstMachines[MoisLivr],Y$1)</f>
        <v>0</v>
      </c>
      <c r="Z103" s="226">
        <f>SUMIFS(LstMachines[Nbre],LstMachines[Model-Spec],PrévisionBoris[[#This Row],[Spec]],LstMachines[Status],PrévisionBoris[[#This Row],[Status]],LstMachines[MoisLivr],Z$1)</f>
        <v>0</v>
      </c>
      <c r="AA103" s="227">
        <f>SUMIFS(LstMachines[Nbre],LstMachines[Model-Spec],PrévisionBoris[[#This Row],[Spec]],LstMachines[Status],PrévisionBoris[[#This Row],[Status]],LstMachines[MoisLivr],AA$1)</f>
        <v>0</v>
      </c>
      <c r="AB103" s="227">
        <f>SUMIFS(LstMachines[Nbre],LstMachines[Model-Spec],PrévisionBoris[[#This Row],[Spec]],LstMachines[Status],PrévisionBoris[[#This Row],[Status]],LstMachines[MoisLivr],AB$1)</f>
        <v>0</v>
      </c>
      <c r="AC103" s="226">
        <f>SUMIFS(LstMachines[Nbre],LstMachines[Model-Spec],PrévisionBoris[[#This Row],[Spec]],LstMachines[Status],PrévisionBoris[[#This Row],[Status]],LstMachines[MoisLivr],AC$1)</f>
        <v>0</v>
      </c>
      <c r="AD103" s="227">
        <f>SUMIFS(LstMachines[Nbre],LstMachines[Model-Spec],PrévisionBoris[[#This Row],[Spec]],LstMachines[Status],PrévisionBoris[[#This Row],[Status]],LstMachines[MoisLivr],AD$1)</f>
        <v>0</v>
      </c>
      <c r="AE103" s="227">
        <f>SUMIFS(LstMachines[Nbre],LstMachines[Model-Spec],PrévisionBoris[[#This Row],[Spec]],LstMachines[Status],PrévisionBoris[[#This Row],[Status]],LstMachines[MoisLivr],AE$1)</f>
        <v>0</v>
      </c>
      <c r="AF103" s="226">
        <f>SUMIFS(LstMachines[Nbre],LstMachines[Model-Spec],PrévisionBoris[[#This Row],[Spec]],LstMachines[Status],PrévisionBoris[[#This Row],[Status]],LstMachines[MoisLivr],AF$1)</f>
        <v>0</v>
      </c>
      <c r="AG103" s="227">
        <f>SUMIFS(LstMachines[Nbre],LstMachines[Model-Spec],PrévisionBoris[[#This Row],[Spec]],LstMachines[Status],PrévisionBoris[[#This Row],[Status]],LstMachines[MoisLivr],AG$1)</f>
        <v>0</v>
      </c>
      <c r="AH103" s="227">
        <f>SUMIFS(LstMachines[Nbre],LstMachines[Model-Spec],PrévisionBoris[[#This Row],[Spec]],LstMachines[Status],PrévisionBoris[[#This Row],[Status]],LstMachines[MoisLivr],AH$1)</f>
        <v>0</v>
      </c>
      <c r="AI103" s="226">
        <f>SUMIFS(LstMachines[Nbre],LstMachines[Model-Spec],PrévisionBoris[[#This Row],[Spec]],LstMachines[Status],PrévisionBoris[[#This Row],[Status]],LstMachines[MoisLivr],AI$1)</f>
        <v>0</v>
      </c>
      <c r="AJ103" s="227">
        <f>SUMIFS(LstMachines[Nbre],LstMachines[Model-Spec],PrévisionBoris[[#This Row],[Spec]],LstMachines[Status],PrévisionBoris[[#This Row],[Status]],LstMachines[MoisLivr],AJ$1)</f>
        <v>0</v>
      </c>
      <c r="AK103" s="227">
        <f>SUMIFS(LstMachines[Nbre],LstMachines[Model-Spec],PrévisionBoris[[#This Row],[Spec]],LstMachines[Status],PrévisionBoris[[#This Row],[Status]],LstMachines[MoisLivr],AK$1)</f>
        <v>0</v>
      </c>
      <c r="AL103" s="226">
        <f>SUMIFS(LstMachines[Nbre],LstMachines[Model-Spec],PrévisionBoris[[#This Row],[Spec]],LstMachines[Status],PrévisionBoris[[#This Row],[Status]],LstMachines[MoisLivr],AL$1)</f>
        <v>0</v>
      </c>
      <c r="AM103" s="227">
        <f>SUMIFS(LstMachines[Nbre],LstMachines[Model-Spec],PrévisionBoris[[#This Row],[Spec]],LstMachines[Status],PrévisionBoris[[#This Row],[Status]],LstMachines[MoisLivr],AM$1)</f>
        <v>0</v>
      </c>
      <c r="AN103" s="227">
        <f>SUMIFS(LstMachines[Nbre],LstMachines[Model-Spec],PrévisionBoris[[#This Row],[Spec]],LstMachines[Status],PrévisionBoris[[#This Row],[Status]],LstMachines[MoisLivr],AN$1)</f>
        <v>0</v>
      </c>
      <c r="AO103" s="226">
        <f>SUMIFS(LstMachines[Nbre],LstMachines[Model-Spec],PrévisionBoris[[#This Row],[Spec]],LstMachines[Status],PrévisionBoris[[#This Row],[Status]],LstMachines[MoisLivr],AO$1)</f>
        <v>0</v>
      </c>
      <c r="AP103" s="227">
        <f>SUMIFS(LstMachines[Nbre],LstMachines[Model-Spec],PrévisionBoris[[#This Row],[Spec]],LstMachines[Status],PrévisionBoris[[#This Row],[Status]],LstMachines[MoisLivr],AP$1)</f>
        <v>0</v>
      </c>
      <c r="AQ103" s="227">
        <f>SUMIFS(LstMachines[Nbre],LstMachines[Model-Spec],PrévisionBoris[[#This Row],[Spec]],LstMachines[Status],PrévisionBoris[[#This Row],[Status]],LstMachines[MoisLivr],AQ$1)</f>
        <v>0</v>
      </c>
      <c r="AR103" s="226">
        <f>SUMIFS(LstMachines[Nbre],LstMachines[Model-Spec],PrévisionBoris[[#This Row],[Spec]],LstMachines[Status],PrévisionBoris[[#This Row],[Status]],LstMachines[MoisLivr],AR$1)</f>
        <v>0</v>
      </c>
      <c r="AS103" s="227">
        <f>SUMIFS(LstMachines[Nbre],LstMachines[Model-Spec],PrévisionBoris[[#This Row],[Spec]],LstMachines[Status],PrévisionBoris[[#This Row],[Status]],LstMachines[MoisLivr],AS$1)</f>
        <v>0</v>
      </c>
      <c r="AT103" s="227">
        <f>SUMIFS(LstMachines[Nbre],LstMachines[Model-Spec],PrévisionBoris[[#This Row],[Spec]],LstMachines[Status],PrévisionBoris[[#This Row],[Status]],LstMachines[MoisLivr],AT$1)</f>
        <v>0</v>
      </c>
      <c r="AU103" s="226">
        <f>SUMIFS(LstMachines[Nbre],LstMachines[Model-Spec],PrévisionBoris[[#This Row],[Spec]],LstMachines[Status],PrévisionBoris[[#This Row],[Status]],LstMachines[MoisLivr],AU$1)</f>
        <v>0</v>
      </c>
      <c r="AV103" s="230">
        <f>SUMIFS(LstMachines[Nbre],LstMachines[Model-Spec],PrévisionBoris[[#This Row],[Spec]],LstMachines[Status],PrévisionBoris[[#This Row],[Status]],LstMachines[MoisLivr],AV$1)</f>
        <v>0</v>
      </c>
      <c r="AW103" s="231">
        <f>SUMIFS(LstMachines[Nbre],LstMachines[Model-Spec],PrévisionBoris[[#This Row],[Spec]],LstMachines[Status],PrévisionBoris[[#This Row],[Status]],LstMachines[MoisLivr],AW$1)</f>
        <v>0</v>
      </c>
      <c r="AX103" s="232"/>
      <c r="AY103" s="211">
        <f t="shared" si="19"/>
        <v>0</v>
      </c>
      <c r="AZ103" s="212">
        <f t="shared" si="20"/>
        <v>0</v>
      </c>
      <c r="BA103" s="212">
        <f t="shared" si="21"/>
        <v>0</v>
      </c>
      <c r="BB103" s="213">
        <f t="shared" si="22"/>
        <v>0</v>
      </c>
      <c r="BC103" s="225">
        <f t="shared" si="23"/>
        <v>0</v>
      </c>
      <c r="BD103" s="211">
        <f t="shared" si="24"/>
        <v>0</v>
      </c>
      <c r="BE103" s="212">
        <f t="shared" si="25"/>
        <v>0</v>
      </c>
      <c r="BF103" s="212">
        <f t="shared" si="26"/>
        <v>0</v>
      </c>
      <c r="BG103" s="213">
        <f t="shared" si="27"/>
        <v>0</v>
      </c>
      <c r="BH103" s="225">
        <f t="shared" si="28"/>
        <v>0</v>
      </c>
      <c r="BI103" s="214">
        <f t="shared" si="29"/>
        <v>0</v>
      </c>
      <c r="BJ103" s="215">
        <f t="shared" si="30"/>
        <v>0</v>
      </c>
      <c r="BK103" s="215">
        <f t="shared" si="31"/>
        <v>0</v>
      </c>
      <c r="BL103" s="216">
        <f t="shared" si="32"/>
        <v>0</v>
      </c>
      <c r="BM103" s="225">
        <f t="shared" si="33"/>
        <v>0</v>
      </c>
      <c r="BN103" s="225"/>
      <c r="BO103" s="217"/>
      <c r="BP103" s="218">
        <f t="shared" si="34"/>
        <v>0</v>
      </c>
    </row>
    <row r="104" spans="1:68">
      <c r="A104" s="172">
        <v>97</v>
      </c>
      <c r="B104" s="172" t="s">
        <v>75</v>
      </c>
      <c r="C104" s="202">
        <v>33</v>
      </c>
      <c r="D104" s="172" t="s">
        <v>80</v>
      </c>
      <c r="E104" s="172" t="s">
        <v>408</v>
      </c>
      <c r="F104" s="202">
        <f>VLOOKUP(PrévisionBoris[[#This Row],[Spec]],TabModelSpecs[[ModelSpec]:[Price]],2,FALSE)</f>
        <v>32</v>
      </c>
      <c r="G104" s="172" t="s">
        <v>461</v>
      </c>
      <c r="H104" s="206">
        <f>SUMIFS(LstMachines[Nbre],LstMachines[Model-Spec],PrévisionBoris[[#This Row],[Spec]],LstMachines[Status],PrévisionBoris[[#This Row],[Status]],LstMachines[MoisLivr],H$1)</f>
        <v>0</v>
      </c>
      <c r="I104" s="207">
        <f>SUMIFS(LstMachines[Nbre],LstMachines[Model-Spec],PrévisionBoris[[#This Row],[Spec]],LstMachines[Status],PrévisionBoris[[#This Row],[Status]],LstMachines[MoisLivr],I$1)</f>
        <v>0</v>
      </c>
      <c r="J104" s="208">
        <f>SUMIFS(LstMachines[Nbre],LstMachines[Model-Spec],PrévisionBoris[[#This Row],[Spec]],LstMachines[Status],PrévisionBoris[[#This Row],[Status]],LstMachines[MoisLivr],J$1)</f>
        <v>0</v>
      </c>
      <c r="K104" s="206">
        <f>SUMIFS(LstMachines[Nbre],LstMachines[Model-Spec],PrévisionBoris[[#This Row],[Spec]],LstMachines[Status],PrévisionBoris[[#This Row],[Status]],LstMachines[MoisLivr],K$1)</f>
        <v>0</v>
      </c>
      <c r="L104" s="207">
        <f>SUMIFS(LstMachines[Nbre],LstMachines[Model-Spec],PrévisionBoris[[#This Row],[Spec]],LstMachines[Status],PrévisionBoris[[#This Row],[Status]],LstMachines[MoisLivr],L$1)</f>
        <v>0</v>
      </c>
      <c r="M104" s="208">
        <f>SUMIFS(LstMachines[Nbre],LstMachines[Model-Spec],PrévisionBoris[[#This Row],[Spec]],LstMachines[Status],PrévisionBoris[[#This Row],[Status]],LstMachines[MoisLivr],M$1)</f>
        <v>0</v>
      </c>
      <c r="N104" s="206">
        <f>SUMIFS(LstMachines[Nbre],LstMachines[Model-Spec],PrévisionBoris[[#This Row],[Spec]],LstMachines[Status],PrévisionBoris[[#This Row],[Status]],LstMachines[MoisLivr],N$1)</f>
        <v>0</v>
      </c>
      <c r="O104" s="207">
        <f>SUMIFS(LstMachines[Nbre],LstMachines[Model-Spec],PrévisionBoris[[#This Row],[Spec]],LstMachines[Status],PrévisionBoris[[#This Row],[Status]],LstMachines[MoisLivr],O$1)</f>
        <v>0</v>
      </c>
      <c r="P104" s="208">
        <f>SUMIFS(LstMachines[Nbre],LstMachines[Model-Spec],PrévisionBoris[[#This Row],[Spec]],LstMachines[Status],PrévisionBoris[[#This Row],[Status]],LstMachines[MoisLivr],P$1)</f>
        <v>0</v>
      </c>
      <c r="Q104" s="209">
        <f>SUMIFS(LstMachines[Nbre],LstMachines[Model-Spec],PrévisionBoris[[#This Row],[Spec]],LstMachines[Status],PrévisionBoris[[#This Row],[Status]],LstMachines[MoisLivr],Q$1)</f>
        <v>0</v>
      </c>
      <c r="R104" s="207">
        <f>SUMIFS(LstMachines[Nbre],LstMachines[Model-Spec],PrévisionBoris[[#This Row],[Spec]],LstMachines[Status],PrévisionBoris[[#This Row],[Status]],LstMachines[MoisLivr],R$1)</f>
        <v>0</v>
      </c>
      <c r="S104" s="207">
        <f>SUMIFS(LstMachines[Nbre],LstMachines[Model-Spec],PrévisionBoris[[#This Row],[Spec]],LstMachines[Status],PrévisionBoris[[#This Row],[Status]],LstMachines[MoisLivr],S$1)</f>
        <v>0</v>
      </c>
      <c r="T104" s="206">
        <f>SUMIFS(LstMachines[Nbre],LstMachines[Model-Spec],PrévisionBoris[[#This Row],[Spec]],LstMachines[Status],PrévisionBoris[[#This Row],[Status]],LstMachines[MoisLivr],T$1)</f>
        <v>0</v>
      </c>
      <c r="U104" s="207">
        <f>SUMIFS(LstMachines[Nbre],LstMachines[Model-Spec],PrévisionBoris[[#This Row],[Spec]],LstMachines[Status],PrévisionBoris[[#This Row],[Status]],LstMachines[MoisLivr],U$1)</f>
        <v>0</v>
      </c>
      <c r="V104" s="207">
        <f>SUMIFS(LstMachines[Nbre],LstMachines[Model-Spec],PrévisionBoris[[#This Row],[Spec]],LstMachines[Status],PrévisionBoris[[#This Row],[Status]],LstMachines[MoisLivr],V$1)</f>
        <v>0</v>
      </c>
      <c r="W104" s="206">
        <f>SUMIFS(LstMachines[Nbre],LstMachines[Model-Spec],PrévisionBoris[[#This Row],[Spec]],LstMachines[Status],PrévisionBoris[[#This Row],[Status]],LstMachines[MoisLivr],W$1)</f>
        <v>0</v>
      </c>
      <c r="X104" s="207">
        <f>SUMIFS(LstMachines[Nbre],LstMachines[Model-Spec],PrévisionBoris[[#This Row],[Spec]],LstMachines[Status],PrévisionBoris[[#This Row],[Status]],LstMachines[MoisLivr],X$1)</f>
        <v>0</v>
      </c>
      <c r="Y104" s="207">
        <f>SUMIFS(LstMachines[Nbre],LstMachines[Model-Spec],PrévisionBoris[[#This Row],[Spec]],LstMachines[Status],PrévisionBoris[[#This Row],[Status]],LstMachines[MoisLivr],Y$1)</f>
        <v>0</v>
      </c>
      <c r="Z104" s="206">
        <f>SUMIFS(LstMachines[Nbre],LstMachines[Model-Spec],PrévisionBoris[[#This Row],[Spec]],LstMachines[Status],PrévisionBoris[[#This Row],[Status]],LstMachines[MoisLivr],Z$1)</f>
        <v>0</v>
      </c>
      <c r="AA104" s="207">
        <f>SUMIFS(LstMachines[Nbre],LstMachines[Model-Spec],PrévisionBoris[[#This Row],[Spec]],LstMachines[Status],PrévisionBoris[[#This Row],[Status]],LstMachines[MoisLivr],AA$1)</f>
        <v>0</v>
      </c>
      <c r="AB104" s="207">
        <f>SUMIFS(LstMachines[Nbre],LstMachines[Model-Spec],PrévisionBoris[[#This Row],[Spec]],LstMachines[Status],PrévisionBoris[[#This Row],[Status]],LstMachines[MoisLivr],AB$1)</f>
        <v>0</v>
      </c>
      <c r="AC104" s="206">
        <f>SUMIFS(LstMachines[Nbre],LstMachines[Model-Spec],PrévisionBoris[[#This Row],[Spec]],LstMachines[Status],PrévisionBoris[[#This Row],[Status]],LstMachines[MoisLivr],AC$1)</f>
        <v>0</v>
      </c>
      <c r="AD104" s="207">
        <f>SUMIFS(LstMachines[Nbre],LstMachines[Model-Spec],PrévisionBoris[[#This Row],[Spec]],LstMachines[Status],PrévisionBoris[[#This Row],[Status]],LstMachines[MoisLivr],AD$1)</f>
        <v>0</v>
      </c>
      <c r="AE104" s="207">
        <f>SUMIFS(LstMachines[Nbre],LstMachines[Model-Spec],PrévisionBoris[[#This Row],[Spec]],LstMachines[Status],PrévisionBoris[[#This Row],[Status]],LstMachines[MoisLivr],AE$1)</f>
        <v>0</v>
      </c>
      <c r="AF104" s="206">
        <f>SUMIFS(LstMachines[Nbre],LstMachines[Model-Spec],PrévisionBoris[[#This Row],[Spec]],LstMachines[Status],PrévisionBoris[[#This Row],[Status]],LstMachines[MoisLivr],AF$1)</f>
        <v>0</v>
      </c>
      <c r="AG104" s="207">
        <f>SUMIFS(LstMachines[Nbre],LstMachines[Model-Spec],PrévisionBoris[[#This Row],[Spec]],LstMachines[Status],PrévisionBoris[[#This Row],[Status]],LstMachines[MoisLivr],AG$1)</f>
        <v>0</v>
      </c>
      <c r="AH104" s="207">
        <f>SUMIFS(LstMachines[Nbre],LstMachines[Model-Spec],PrévisionBoris[[#This Row],[Spec]],LstMachines[Status],PrévisionBoris[[#This Row],[Status]],LstMachines[MoisLivr],AH$1)</f>
        <v>0</v>
      </c>
      <c r="AI104" s="206">
        <f>SUMIFS(LstMachines[Nbre],LstMachines[Model-Spec],PrévisionBoris[[#This Row],[Spec]],LstMachines[Status],PrévisionBoris[[#This Row],[Status]],LstMachines[MoisLivr],AI$1)</f>
        <v>0</v>
      </c>
      <c r="AJ104" s="207">
        <f>SUMIFS(LstMachines[Nbre],LstMachines[Model-Spec],PrévisionBoris[[#This Row],[Spec]],LstMachines[Status],PrévisionBoris[[#This Row],[Status]],LstMachines[MoisLivr],AJ$1)</f>
        <v>0</v>
      </c>
      <c r="AK104" s="207">
        <f>SUMIFS(LstMachines[Nbre],LstMachines[Model-Spec],PrévisionBoris[[#This Row],[Spec]],LstMachines[Status],PrévisionBoris[[#This Row],[Status]],LstMachines[MoisLivr],AK$1)</f>
        <v>0</v>
      </c>
      <c r="AL104" s="206">
        <f>SUMIFS(LstMachines[Nbre],LstMachines[Model-Spec],PrévisionBoris[[#This Row],[Spec]],LstMachines[Status],PrévisionBoris[[#This Row],[Status]],LstMachines[MoisLivr],AL$1)</f>
        <v>0</v>
      </c>
      <c r="AM104" s="207">
        <f>SUMIFS(LstMachines[Nbre],LstMachines[Model-Spec],PrévisionBoris[[#This Row],[Spec]],LstMachines[Status],PrévisionBoris[[#This Row],[Status]],LstMachines[MoisLivr],AM$1)</f>
        <v>0</v>
      </c>
      <c r="AN104" s="207">
        <f>SUMIFS(LstMachines[Nbre],LstMachines[Model-Spec],PrévisionBoris[[#This Row],[Spec]],LstMachines[Status],PrévisionBoris[[#This Row],[Status]],LstMachines[MoisLivr],AN$1)</f>
        <v>0</v>
      </c>
      <c r="AO104" s="206">
        <f>SUMIFS(LstMachines[Nbre],LstMachines[Model-Spec],PrévisionBoris[[#This Row],[Spec]],LstMachines[Status],PrévisionBoris[[#This Row],[Status]],LstMachines[MoisLivr],AO$1)</f>
        <v>0</v>
      </c>
      <c r="AP104" s="207">
        <f>SUMIFS(LstMachines[Nbre],LstMachines[Model-Spec],PrévisionBoris[[#This Row],[Spec]],LstMachines[Status],PrévisionBoris[[#This Row],[Status]],LstMachines[MoisLivr],AP$1)</f>
        <v>0</v>
      </c>
      <c r="AQ104" s="207">
        <f>SUMIFS(LstMachines[Nbre],LstMachines[Model-Spec],PrévisionBoris[[#This Row],[Spec]],LstMachines[Status],PrévisionBoris[[#This Row],[Status]],LstMachines[MoisLivr],AQ$1)</f>
        <v>0</v>
      </c>
      <c r="AR104" s="206">
        <f>SUMIFS(LstMachines[Nbre],LstMachines[Model-Spec],PrévisionBoris[[#This Row],[Spec]],LstMachines[Status],PrévisionBoris[[#This Row],[Status]],LstMachines[MoisLivr],AR$1)</f>
        <v>0</v>
      </c>
      <c r="AS104" s="207">
        <f>SUMIFS(LstMachines[Nbre],LstMachines[Model-Spec],PrévisionBoris[[#This Row],[Spec]],LstMachines[Status],PrévisionBoris[[#This Row],[Status]],LstMachines[MoisLivr],AS$1)</f>
        <v>0</v>
      </c>
      <c r="AT104" s="207">
        <f>SUMIFS(LstMachines[Nbre],LstMachines[Model-Spec],PrévisionBoris[[#This Row],[Spec]],LstMachines[Status],PrévisionBoris[[#This Row],[Status]],LstMachines[MoisLivr],AT$1)</f>
        <v>0</v>
      </c>
      <c r="AU104" s="206">
        <f>SUMIFS(LstMachines[Nbre],LstMachines[Model-Spec],PrévisionBoris[[#This Row],[Spec]],LstMachines[Status],PrévisionBoris[[#This Row],[Status]],LstMachines[MoisLivr],AU$1)</f>
        <v>0</v>
      </c>
      <c r="AV104" s="233">
        <f>SUMIFS(LstMachines[Nbre],LstMachines[Model-Spec],PrévisionBoris[[#This Row],[Spec]],LstMachines[Status],PrévisionBoris[[#This Row],[Status]],LstMachines[MoisLivr],AV$1)</f>
        <v>0</v>
      </c>
      <c r="AW104" s="208">
        <f>SUMIFS(LstMachines[Nbre],LstMachines[Model-Spec],PrévisionBoris[[#This Row],[Spec]],LstMachines[Status],PrévisionBoris[[#This Row],[Status]],LstMachines[MoisLivr],AW$1)</f>
        <v>0</v>
      </c>
      <c r="AX104" s="225"/>
      <c r="AY104" s="211">
        <f t="shared" si="19"/>
        <v>0</v>
      </c>
      <c r="AZ104" s="212">
        <f t="shared" si="20"/>
        <v>0</v>
      </c>
      <c r="BA104" s="212">
        <f t="shared" si="21"/>
        <v>0</v>
      </c>
      <c r="BB104" s="213">
        <f t="shared" si="22"/>
        <v>0</v>
      </c>
      <c r="BC104" s="225">
        <f t="shared" si="23"/>
        <v>0</v>
      </c>
      <c r="BD104" s="211">
        <f t="shared" si="24"/>
        <v>0</v>
      </c>
      <c r="BE104" s="212">
        <f t="shared" si="25"/>
        <v>0</v>
      </c>
      <c r="BF104" s="212">
        <f t="shared" si="26"/>
        <v>0</v>
      </c>
      <c r="BG104" s="213">
        <f t="shared" si="27"/>
        <v>0</v>
      </c>
      <c r="BH104" s="225">
        <f t="shared" si="28"/>
        <v>0</v>
      </c>
      <c r="BI104" s="214">
        <f t="shared" si="29"/>
        <v>0</v>
      </c>
      <c r="BJ104" s="215">
        <f t="shared" si="30"/>
        <v>0</v>
      </c>
      <c r="BK104" s="215">
        <f t="shared" si="31"/>
        <v>0</v>
      </c>
      <c r="BL104" s="216">
        <f t="shared" si="32"/>
        <v>0</v>
      </c>
      <c r="BM104" s="225">
        <f t="shared" si="33"/>
        <v>0</v>
      </c>
      <c r="BN104" s="225"/>
      <c r="BO104" s="234"/>
      <c r="BP104" s="218">
        <f t="shared" si="34"/>
        <v>0</v>
      </c>
    </row>
    <row r="105" spans="1:68">
      <c r="A105" s="170">
        <v>98</v>
      </c>
      <c r="B105" s="170" t="s">
        <v>75</v>
      </c>
      <c r="C105" s="200">
        <v>33</v>
      </c>
      <c r="D105" s="170" t="s">
        <v>80</v>
      </c>
      <c r="E105" s="170" t="s">
        <v>408</v>
      </c>
      <c r="F105" s="200">
        <f>VLOOKUP(PrévisionBoris[[#This Row],[Spec]],TabModelSpecs[[ModelSpec]:[Price]],2,FALSE)</f>
        <v>32</v>
      </c>
      <c r="G105" s="170" t="s">
        <v>462</v>
      </c>
      <c r="H105" s="219">
        <f>SUMIFS(LstMachines[Nbre],LstMachines[Model-Spec],PrévisionBoris[[#This Row],[Spec]],LstMachines[Status],PrévisionBoris[[#This Row],[Status]],LstMachines[MoisLivr],H$1)</f>
        <v>0</v>
      </c>
      <c r="I105" s="220">
        <f>SUMIFS(LstMachines[Nbre],LstMachines[Model-Spec],PrévisionBoris[[#This Row],[Spec]],LstMachines[Status],PrévisionBoris[[#This Row],[Status]],LstMachines[MoisLivr],I$1)</f>
        <v>0</v>
      </c>
      <c r="J105" s="221">
        <f>SUMIFS(LstMachines[Nbre],LstMachines[Model-Spec],PrévisionBoris[[#This Row],[Spec]],LstMachines[Status],PrévisionBoris[[#This Row],[Status]],LstMachines[MoisLivr],J$1)</f>
        <v>0</v>
      </c>
      <c r="K105" s="219">
        <f>SUMIFS(LstMachines[Nbre],LstMachines[Model-Spec],PrévisionBoris[[#This Row],[Spec]],LstMachines[Status],PrévisionBoris[[#This Row],[Status]],LstMachines[MoisLivr],K$1)</f>
        <v>0</v>
      </c>
      <c r="L105" s="220">
        <f>SUMIFS(LstMachines[Nbre],LstMachines[Model-Spec],PrévisionBoris[[#This Row],[Spec]],LstMachines[Status],PrévisionBoris[[#This Row],[Status]],LstMachines[MoisLivr],L$1)</f>
        <v>0</v>
      </c>
      <c r="M105" s="221">
        <f>SUMIFS(LstMachines[Nbre],LstMachines[Model-Spec],PrévisionBoris[[#This Row],[Spec]],LstMachines[Status],PrévisionBoris[[#This Row],[Status]],LstMachines[MoisLivr],M$1)</f>
        <v>0</v>
      </c>
      <c r="N105" s="219">
        <f>SUMIFS(LstMachines[Nbre],LstMachines[Model-Spec],PrévisionBoris[[#This Row],[Spec]],LstMachines[Status],PrévisionBoris[[#This Row],[Status]],LstMachines[MoisLivr],N$1)</f>
        <v>0</v>
      </c>
      <c r="O105" s="220">
        <f>SUMIFS(LstMachines[Nbre],LstMachines[Model-Spec],PrévisionBoris[[#This Row],[Spec]],LstMachines[Status],PrévisionBoris[[#This Row],[Status]],LstMachines[MoisLivr],O$1)</f>
        <v>0</v>
      </c>
      <c r="P105" s="221">
        <f>SUMIFS(LstMachines[Nbre],LstMachines[Model-Spec],PrévisionBoris[[#This Row],[Spec]],LstMachines[Status],PrévisionBoris[[#This Row],[Status]],LstMachines[MoisLivr],P$1)</f>
        <v>0</v>
      </c>
      <c r="Q105" s="222">
        <f>SUMIFS(LstMachines[Nbre],LstMachines[Model-Spec],PrévisionBoris[[#This Row],[Spec]],LstMachines[Status],PrévisionBoris[[#This Row],[Status]],LstMachines[MoisLivr],Q$1)</f>
        <v>0</v>
      </c>
      <c r="R105" s="220">
        <f>SUMIFS(LstMachines[Nbre],LstMachines[Model-Spec],PrévisionBoris[[#This Row],[Spec]],LstMachines[Status],PrévisionBoris[[#This Row],[Status]],LstMachines[MoisLivr],R$1)</f>
        <v>0</v>
      </c>
      <c r="S105" s="220">
        <f>SUMIFS(LstMachines[Nbre],LstMachines[Model-Spec],PrévisionBoris[[#This Row],[Spec]],LstMachines[Status],PrévisionBoris[[#This Row],[Status]],LstMachines[MoisLivr],S$1)</f>
        <v>0</v>
      </c>
      <c r="T105" s="219">
        <f>SUMIFS(LstMachines[Nbre],LstMachines[Model-Spec],PrévisionBoris[[#This Row],[Spec]],LstMachines[Status],PrévisionBoris[[#This Row],[Status]],LstMachines[MoisLivr],T$1)</f>
        <v>0</v>
      </c>
      <c r="U105" s="220">
        <f>SUMIFS(LstMachines[Nbre],LstMachines[Model-Spec],PrévisionBoris[[#This Row],[Spec]],LstMachines[Status],PrévisionBoris[[#This Row],[Status]],LstMachines[MoisLivr],U$1)</f>
        <v>0</v>
      </c>
      <c r="V105" s="220">
        <f>SUMIFS(LstMachines[Nbre],LstMachines[Model-Spec],PrévisionBoris[[#This Row],[Spec]],LstMachines[Status],PrévisionBoris[[#This Row],[Status]],LstMachines[MoisLivr],V$1)</f>
        <v>0</v>
      </c>
      <c r="W105" s="219">
        <f>SUMIFS(LstMachines[Nbre],LstMachines[Model-Spec],PrévisionBoris[[#This Row],[Spec]],LstMachines[Status],PrévisionBoris[[#This Row],[Status]],LstMachines[MoisLivr],W$1)</f>
        <v>0</v>
      </c>
      <c r="X105" s="220">
        <f>SUMIFS(LstMachines[Nbre],LstMachines[Model-Spec],PrévisionBoris[[#This Row],[Spec]],LstMachines[Status],PrévisionBoris[[#This Row],[Status]],LstMachines[MoisLivr],X$1)</f>
        <v>0</v>
      </c>
      <c r="Y105" s="220">
        <f>SUMIFS(LstMachines[Nbre],LstMachines[Model-Spec],PrévisionBoris[[#This Row],[Spec]],LstMachines[Status],PrévisionBoris[[#This Row],[Status]],LstMachines[MoisLivr],Y$1)</f>
        <v>0</v>
      </c>
      <c r="Z105" s="219">
        <f>SUMIFS(LstMachines[Nbre],LstMachines[Model-Spec],PrévisionBoris[[#This Row],[Spec]],LstMachines[Status],PrévisionBoris[[#This Row],[Status]],LstMachines[MoisLivr],Z$1)</f>
        <v>0</v>
      </c>
      <c r="AA105" s="220">
        <f>SUMIFS(LstMachines[Nbre],LstMachines[Model-Spec],PrévisionBoris[[#This Row],[Spec]],LstMachines[Status],PrévisionBoris[[#This Row],[Status]],LstMachines[MoisLivr],AA$1)</f>
        <v>0</v>
      </c>
      <c r="AB105" s="220">
        <f>SUMIFS(LstMachines[Nbre],LstMachines[Model-Spec],PrévisionBoris[[#This Row],[Spec]],LstMachines[Status],PrévisionBoris[[#This Row],[Status]],LstMachines[MoisLivr],AB$1)</f>
        <v>0</v>
      </c>
      <c r="AC105" s="219">
        <f>SUMIFS(LstMachines[Nbre],LstMachines[Model-Spec],PrévisionBoris[[#This Row],[Spec]],LstMachines[Status],PrévisionBoris[[#This Row],[Status]],LstMachines[MoisLivr],AC$1)</f>
        <v>0</v>
      </c>
      <c r="AD105" s="220">
        <f>SUMIFS(LstMachines[Nbre],LstMachines[Model-Spec],PrévisionBoris[[#This Row],[Spec]],LstMachines[Status],PrévisionBoris[[#This Row],[Status]],LstMachines[MoisLivr],AD$1)</f>
        <v>0</v>
      </c>
      <c r="AE105" s="220">
        <f>SUMIFS(LstMachines[Nbre],LstMachines[Model-Spec],PrévisionBoris[[#This Row],[Spec]],LstMachines[Status],PrévisionBoris[[#This Row],[Status]],LstMachines[MoisLivr],AE$1)</f>
        <v>0</v>
      </c>
      <c r="AF105" s="219">
        <f>SUMIFS(LstMachines[Nbre],LstMachines[Model-Spec],PrévisionBoris[[#This Row],[Spec]],LstMachines[Status],PrévisionBoris[[#This Row],[Status]],LstMachines[MoisLivr],AF$1)</f>
        <v>0</v>
      </c>
      <c r="AG105" s="220">
        <f>SUMIFS(LstMachines[Nbre],LstMachines[Model-Spec],PrévisionBoris[[#This Row],[Spec]],LstMachines[Status],PrévisionBoris[[#This Row],[Status]],LstMachines[MoisLivr],AG$1)</f>
        <v>0</v>
      </c>
      <c r="AH105" s="220">
        <f>SUMIFS(LstMachines[Nbre],LstMachines[Model-Spec],PrévisionBoris[[#This Row],[Spec]],LstMachines[Status],PrévisionBoris[[#This Row],[Status]],LstMachines[MoisLivr],AH$1)</f>
        <v>0</v>
      </c>
      <c r="AI105" s="219">
        <f>SUMIFS(LstMachines[Nbre],LstMachines[Model-Spec],PrévisionBoris[[#This Row],[Spec]],LstMachines[Status],PrévisionBoris[[#This Row],[Status]],LstMachines[MoisLivr],AI$1)</f>
        <v>0</v>
      </c>
      <c r="AJ105" s="220">
        <f>SUMIFS(LstMachines[Nbre],LstMachines[Model-Spec],PrévisionBoris[[#This Row],[Spec]],LstMachines[Status],PrévisionBoris[[#This Row],[Status]],LstMachines[MoisLivr],AJ$1)</f>
        <v>0</v>
      </c>
      <c r="AK105" s="220">
        <f>SUMIFS(LstMachines[Nbre],LstMachines[Model-Spec],PrévisionBoris[[#This Row],[Spec]],LstMachines[Status],PrévisionBoris[[#This Row],[Status]],LstMachines[MoisLivr],AK$1)</f>
        <v>0</v>
      </c>
      <c r="AL105" s="219">
        <f>SUMIFS(LstMachines[Nbre],LstMachines[Model-Spec],PrévisionBoris[[#This Row],[Spec]],LstMachines[Status],PrévisionBoris[[#This Row],[Status]],LstMachines[MoisLivr],AL$1)</f>
        <v>0</v>
      </c>
      <c r="AM105" s="220">
        <f>SUMIFS(LstMachines[Nbre],LstMachines[Model-Spec],PrévisionBoris[[#This Row],[Spec]],LstMachines[Status],PrévisionBoris[[#This Row],[Status]],LstMachines[MoisLivr],AM$1)</f>
        <v>0</v>
      </c>
      <c r="AN105" s="220">
        <f>SUMIFS(LstMachines[Nbre],LstMachines[Model-Spec],PrévisionBoris[[#This Row],[Spec]],LstMachines[Status],PrévisionBoris[[#This Row],[Status]],LstMachines[MoisLivr],AN$1)</f>
        <v>0</v>
      </c>
      <c r="AO105" s="219">
        <f>SUMIFS(LstMachines[Nbre],LstMachines[Model-Spec],PrévisionBoris[[#This Row],[Spec]],LstMachines[Status],PrévisionBoris[[#This Row],[Status]],LstMachines[MoisLivr],AO$1)</f>
        <v>0</v>
      </c>
      <c r="AP105" s="220">
        <f>SUMIFS(LstMachines[Nbre],LstMachines[Model-Spec],PrévisionBoris[[#This Row],[Spec]],LstMachines[Status],PrévisionBoris[[#This Row],[Status]],LstMachines[MoisLivr],AP$1)</f>
        <v>0</v>
      </c>
      <c r="AQ105" s="220">
        <f>SUMIFS(LstMachines[Nbre],LstMachines[Model-Spec],PrévisionBoris[[#This Row],[Spec]],LstMachines[Status],PrévisionBoris[[#This Row],[Status]],LstMachines[MoisLivr],AQ$1)</f>
        <v>0</v>
      </c>
      <c r="AR105" s="219">
        <f>SUMIFS(LstMachines[Nbre],LstMachines[Model-Spec],PrévisionBoris[[#This Row],[Spec]],LstMachines[Status],PrévisionBoris[[#This Row],[Status]],LstMachines[MoisLivr],AR$1)</f>
        <v>0</v>
      </c>
      <c r="AS105" s="220">
        <f>SUMIFS(LstMachines[Nbre],LstMachines[Model-Spec],PrévisionBoris[[#This Row],[Spec]],LstMachines[Status],PrévisionBoris[[#This Row],[Status]],LstMachines[MoisLivr],AS$1)</f>
        <v>0</v>
      </c>
      <c r="AT105" s="220">
        <f>SUMIFS(LstMachines[Nbre],LstMachines[Model-Spec],PrévisionBoris[[#This Row],[Spec]],LstMachines[Status],PrévisionBoris[[#This Row],[Status]],LstMachines[MoisLivr],AT$1)</f>
        <v>0</v>
      </c>
      <c r="AU105" s="219">
        <f>SUMIFS(LstMachines[Nbre],LstMachines[Model-Spec],PrévisionBoris[[#This Row],[Spec]],LstMachines[Status],PrévisionBoris[[#This Row],[Status]],LstMachines[MoisLivr],AU$1)</f>
        <v>0</v>
      </c>
      <c r="AV105" s="223">
        <f>SUMIFS(LstMachines[Nbre],LstMachines[Model-Spec],PrévisionBoris[[#This Row],[Spec]],LstMachines[Status],PrévisionBoris[[#This Row],[Status]],LstMachines[MoisLivr],AV$1)</f>
        <v>0</v>
      </c>
      <c r="AW105" s="224">
        <f>SUMIFS(LstMachines[Nbre],LstMachines[Model-Spec],PrévisionBoris[[#This Row],[Spec]],LstMachines[Status],PrévisionBoris[[#This Row],[Status]],LstMachines[MoisLivr],AW$1)</f>
        <v>0</v>
      </c>
      <c r="AX105" s="210"/>
      <c r="AY105" s="211">
        <f t="shared" si="19"/>
        <v>0</v>
      </c>
      <c r="AZ105" s="212">
        <f t="shared" si="20"/>
        <v>0</v>
      </c>
      <c r="BA105" s="212">
        <f t="shared" si="21"/>
        <v>0</v>
      </c>
      <c r="BB105" s="213">
        <f t="shared" si="22"/>
        <v>0</v>
      </c>
      <c r="BC105" s="225">
        <f t="shared" si="23"/>
        <v>0</v>
      </c>
      <c r="BD105" s="211">
        <f t="shared" si="24"/>
        <v>0</v>
      </c>
      <c r="BE105" s="212">
        <f t="shared" si="25"/>
        <v>0</v>
      </c>
      <c r="BF105" s="212">
        <f t="shared" si="26"/>
        <v>0</v>
      </c>
      <c r="BG105" s="213">
        <f t="shared" si="27"/>
        <v>0</v>
      </c>
      <c r="BH105" s="225">
        <f t="shared" si="28"/>
        <v>0</v>
      </c>
      <c r="BI105" s="214">
        <f t="shared" si="29"/>
        <v>0</v>
      </c>
      <c r="BJ105" s="215">
        <f t="shared" si="30"/>
        <v>0</v>
      </c>
      <c r="BK105" s="215">
        <f t="shared" si="31"/>
        <v>0</v>
      </c>
      <c r="BL105" s="216">
        <f t="shared" si="32"/>
        <v>0</v>
      </c>
      <c r="BM105" s="225">
        <f t="shared" si="33"/>
        <v>0</v>
      </c>
      <c r="BN105" s="225"/>
      <c r="BO105" s="217"/>
      <c r="BP105" s="218">
        <f t="shared" si="34"/>
        <v>0</v>
      </c>
    </row>
    <row r="106" spans="1:68">
      <c r="A106" s="171">
        <v>99</v>
      </c>
      <c r="B106" s="171" t="s">
        <v>75</v>
      </c>
      <c r="C106" s="201">
        <v>33</v>
      </c>
      <c r="D106" s="171" t="s">
        <v>80</v>
      </c>
      <c r="E106" s="171" t="s">
        <v>408</v>
      </c>
      <c r="F106" s="201">
        <f>VLOOKUP(PrévisionBoris[[#This Row],[Spec]],TabModelSpecs[[ModelSpec]:[Price]],2,FALSE)</f>
        <v>32</v>
      </c>
      <c r="G106" s="171" t="s">
        <v>463</v>
      </c>
      <c r="H106" s="226">
        <f>SUMIFS(LstMachines[Nbre],LstMachines[Model-Spec],PrévisionBoris[[#This Row],[Spec]],LstMachines[Status],PrévisionBoris[[#This Row],[Status]],LstMachines[MoisLivr],H$1)</f>
        <v>0</v>
      </c>
      <c r="I106" s="227">
        <f>SUMIFS(LstMachines[Nbre],LstMachines[Model-Spec],PrévisionBoris[[#This Row],[Spec]],LstMachines[Status],PrévisionBoris[[#This Row],[Status]],LstMachines[MoisLivr],I$1)</f>
        <v>0</v>
      </c>
      <c r="J106" s="228">
        <f>SUMIFS(LstMachines[Nbre],LstMachines[Model-Spec],PrévisionBoris[[#This Row],[Spec]],LstMachines[Status],PrévisionBoris[[#This Row],[Status]],LstMachines[MoisLivr],J$1)</f>
        <v>0</v>
      </c>
      <c r="K106" s="226">
        <f>SUMIFS(LstMachines[Nbre],LstMachines[Model-Spec],PrévisionBoris[[#This Row],[Spec]],LstMachines[Status],PrévisionBoris[[#This Row],[Status]],LstMachines[MoisLivr],K$1)</f>
        <v>0</v>
      </c>
      <c r="L106" s="227">
        <f>SUMIFS(LstMachines[Nbre],LstMachines[Model-Spec],PrévisionBoris[[#This Row],[Spec]],LstMachines[Status],PrévisionBoris[[#This Row],[Status]],LstMachines[MoisLivr],L$1)</f>
        <v>0</v>
      </c>
      <c r="M106" s="228">
        <f>SUMIFS(LstMachines[Nbre],LstMachines[Model-Spec],PrévisionBoris[[#This Row],[Spec]],LstMachines[Status],PrévisionBoris[[#This Row],[Status]],LstMachines[MoisLivr],M$1)</f>
        <v>1</v>
      </c>
      <c r="N106" s="226">
        <f>SUMIFS(LstMachines[Nbre],LstMachines[Model-Spec],PrévisionBoris[[#This Row],[Spec]],LstMachines[Status],PrévisionBoris[[#This Row],[Status]],LstMachines[MoisLivr],N$1)</f>
        <v>1</v>
      </c>
      <c r="O106" s="227">
        <f>SUMIFS(LstMachines[Nbre],LstMachines[Model-Spec],PrévisionBoris[[#This Row],[Spec]],LstMachines[Status],PrévisionBoris[[#This Row],[Status]],LstMachines[MoisLivr],O$1)</f>
        <v>0</v>
      </c>
      <c r="P106" s="228">
        <f>SUMIFS(LstMachines[Nbre],LstMachines[Model-Spec],PrévisionBoris[[#This Row],[Spec]],LstMachines[Status],PrévisionBoris[[#This Row],[Status]],LstMachines[MoisLivr],P$1)</f>
        <v>0</v>
      </c>
      <c r="Q106" s="229">
        <f>SUMIFS(LstMachines[Nbre],LstMachines[Model-Spec],PrévisionBoris[[#This Row],[Spec]],LstMachines[Status],PrévisionBoris[[#This Row],[Status]],LstMachines[MoisLivr],Q$1)</f>
        <v>0</v>
      </c>
      <c r="R106" s="227">
        <f>SUMIFS(LstMachines[Nbre],LstMachines[Model-Spec],PrévisionBoris[[#This Row],[Spec]],LstMachines[Status],PrévisionBoris[[#This Row],[Status]],LstMachines[MoisLivr],R$1)</f>
        <v>0</v>
      </c>
      <c r="S106" s="227">
        <f>SUMIFS(LstMachines[Nbre],LstMachines[Model-Spec],PrévisionBoris[[#This Row],[Spec]],LstMachines[Status],PrévisionBoris[[#This Row],[Status]],LstMachines[MoisLivr],S$1)</f>
        <v>0</v>
      </c>
      <c r="T106" s="226">
        <f>SUMIFS(LstMachines[Nbre],LstMachines[Model-Spec],PrévisionBoris[[#This Row],[Spec]],LstMachines[Status],PrévisionBoris[[#This Row],[Status]],LstMachines[MoisLivr],T$1)</f>
        <v>0</v>
      </c>
      <c r="U106" s="227">
        <f>SUMIFS(LstMachines[Nbre],LstMachines[Model-Spec],PrévisionBoris[[#This Row],[Spec]],LstMachines[Status],PrévisionBoris[[#This Row],[Status]],LstMachines[MoisLivr],U$1)</f>
        <v>0</v>
      </c>
      <c r="V106" s="227">
        <f>SUMIFS(LstMachines[Nbre],LstMachines[Model-Spec],PrévisionBoris[[#This Row],[Spec]],LstMachines[Status],PrévisionBoris[[#This Row],[Status]],LstMachines[MoisLivr],V$1)</f>
        <v>0</v>
      </c>
      <c r="W106" s="226">
        <f>SUMIFS(LstMachines[Nbre],LstMachines[Model-Spec],PrévisionBoris[[#This Row],[Spec]],LstMachines[Status],PrévisionBoris[[#This Row],[Status]],LstMachines[MoisLivr],W$1)</f>
        <v>0</v>
      </c>
      <c r="X106" s="227">
        <f>SUMIFS(LstMachines[Nbre],LstMachines[Model-Spec],PrévisionBoris[[#This Row],[Spec]],LstMachines[Status],PrévisionBoris[[#This Row],[Status]],LstMachines[MoisLivr],X$1)</f>
        <v>0</v>
      </c>
      <c r="Y106" s="227">
        <f>SUMIFS(LstMachines[Nbre],LstMachines[Model-Spec],PrévisionBoris[[#This Row],[Spec]],LstMachines[Status],PrévisionBoris[[#This Row],[Status]],LstMachines[MoisLivr],Y$1)</f>
        <v>0</v>
      </c>
      <c r="Z106" s="226">
        <f>SUMIFS(LstMachines[Nbre],LstMachines[Model-Spec],PrévisionBoris[[#This Row],[Spec]],LstMachines[Status],PrévisionBoris[[#This Row],[Status]],LstMachines[MoisLivr],Z$1)</f>
        <v>0</v>
      </c>
      <c r="AA106" s="227">
        <f>SUMIFS(LstMachines[Nbre],LstMachines[Model-Spec],PrévisionBoris[[#This Row],[Spec]],LstMachines[Status],PrévisionBoris[[#This Row],[Status]],LstMachines[MoisLivr],AA$1)</f>
        <v>0</v>
      </c>
      <c r="AB106" s="227">
        <f>SUMIFS(LstMachines[Nbre],LstMachines[Model-Spec],PrévisionBoris[[#This Row],[Spec]],LstMachines[Status],PrévisionBoris[[#This Row],[Status]],LstMachines[MoisLivr],AB$1)</f>
        <v>0</v>
      </c>
      <c r="AC106" s="226">
        <f>SUMIFS(LstMachines[Nbre],LstMachines[Model-Spec],PrévisionBoris[[#This Row],[Spec]],LstMachines[Status],PrévisionBoris[[#This Row],[Status]],LstMachines[MoisLivr],AC$1)</f>
        <v>0</v>
      </c>
      <c r="AD106" s="227">
        <f>SUMIFS(LstMachines[Nbre],LstMachines[Model-Spec],PrévisionBoris[[#This Row],[Spec]],LstMachines[Status],PrévisionBoris[[#This Row],[Status]],LstMachines[MoisLivr],AD$1)</f>
        <v>0</v>
      </c>
      <c r="AE106" s="227">
        <f>SUMIFS(LstMachines[Nbre],LstMachines[Model-Spec],PrévisionBoris[[#This Row],[Spec]],LstMachines[Status],PrévisionBoris[[#This Row],[Status]],LstMachines[MoisLivr],AE$1)</f>
        <v>0</v>
      </c>
      <c r="AF106" s="226">
        <f>SUMIFS(LstMachines[Nbre],LstMachines[Model-Spec],PrévisionBoris[[#This Row],[Spec]],LstMachines[Status],PrévisionBoris[[#This Row],[Status]],LstMachines[MoisLivr],AF$1)</f>
        <v>0</v>
      </c>
      <c r="AG106" s="227">
        <f>SUMIFS(LstMachines[Nbre],LstMachines[Model-Spec],PrévisionBoris[[#This Row],[Spec]],LstMachines[Status],PrévisionBoris[[#This Row],[Status]],LstMachines[MoisLivr],AG$1)</f>
        <v>0</v>
      </c>
      <c r="AH106" s="227">
        <f>SUMIFS(LstMachines[Nbre],LstMachines[Model-Spec],PrévisionBoris[[#This Row],[Spec]],LstMachines[Status],PrévisionBoris[[#This Row],[Status]],LstMachines[MoisLivr],AH$1)</f>
        <v>0</v>
      </c>
      <c r="AI106" s="226">
        <f>SUMIFS(LstMachines[Nbre],LstMachines[Model-Spec],PrévisionBoris[[#This Row],[Spec]],LstMachines[Status],PrévisionBoris[[#This Row],[Status]],LstMachines[MoisLivr],AI$1)</f>
        <v>0</v>
      </c>
      <c r="AJ106" s="227">
        <f>SUMIFS(LstMachines[Nbre],LstMachines[Model-Spec],PrévisionBoris[[#This Row],[Spec]],LstMachines[Status],PrévisionBoris[[#This Row],[Status]],LstMachines[MoisLivr],AJ$1)</f>
        <v>0</v>
      </c>
      <c r="AK106" s="227">
        <f>SUMIFS(LstMachines[Nbre],LstMachines[Model-Spec],PrévisionBoris[[#This Row],[Spec]],LstMachines[Status],PrévisionBoris[[#This Row],[Status]],LstMachines[MoisLivr],AK$1)</f>
        <v>0</v>
      </c>
      <c r="AL106" s="226">
        <f>SUMIFS(LstMachines[Nbre],LstMachines[Model-Spec],PrévisionBoris[[#This Row],[Spec]],LstMachines[Status],PrévisionBoris[[#This Row],[Status]],LstMachines[MoisLivr],AL$1)</f>
        <v>0</v>
      </c>
      <c r="AM106" s="227">
        <f>SUMIFS(LstMachines[Nbre],LstMachines[Model-Spec],PrévisionBoris[[#This Row],[Spec]],LstMachines[Status],PrévisionBoris[[#This Row],[Status]],LstMachines[MoisLivr],AM$1)</f>
        <v>0</v>
      </c>
      <c r="AN106" s="227">
        <f>SUMIFS(LstMachines[Nbre],LstMachines[Model-Spec],PrévisionBoris[[#This Row],[Spec]],LstMachines[Status],PrévisionBoris[[#This Row],[Status]],LstMachines[MoisLivr],AN$1)</f>
        <v>0</v>
      </c>
      <c r="AO106" s="226">
        <f>SUMIFS(LstMachines[Nbre],LstMachines[Model-Spec],PrévisionBoris[[#This Row],[Spec]],LstMachines[Status],PrévisionBoris[[#This Row],[Status]],LstMachines[MoisLivr],AO$1)</f>
        <v>0</v>
      </c>
      <c r="AP106" s="227">
        <f>SUMIFS(LstMachines[Nbre],LstMachines[Model-Spec],PrévisionBoris[[#This Row],[Spec]],LstMachines[Status],PrévisionBoris[[#This Row],[Status]],LstMachines[MoisLivr],AP$1)</f>
        <v>0</v>
      </c>
      <c r="AQ106" s="227">
        <f>SUMIFS(LstMachines[Nbre],LstMachines[Model-Spec],PrévisionBoris[[#This Row],[Spec]],LstMachines[Status],PrévisionBoris[[#This Row],[Status]],LstMachines[MoisLivr],AQ$1)</f>
        <v>0</v>
      </c>
      <c r="AR106" s="226">
        <f>SUMIFS(LstMachines[Nbre],LstMachines[Model-Spec],PrévisionBoris[[#This Row],[Spec]],LstMachines[Status],PrévisionBoris[[#This Row],[Status]],LstMachines[MoisLivr],AR$1)</f>
        <v>0</v>
      </c>
      <c r="AS106" s="227">
        <f>SUMIFS(LstMachines[Nbre],LstMachines[Model-Spec],PrévisionBoris[[#This Row],[Spec]],LstMachines[Status],PrévisionBoris[[#This Row],[Status]],LstMachines[MoisLivr],AS$1)</f>
        <v>0</v>
      </c>
      <c r="AT106" s="227">
        <f>SUMIFS(LstMachines[Nbre],LstMachines[Model-Spec],PrévisionBoris[[#This Row],[Spec]],LstMachines[Status],PrévisionBoris[[#This Row],[Status]],LstMachines[MoisLivr],AT$1)</f>
        <v>0</v>
      </c>
      <c r="AU106" s="226">
        <f>SUMIFS(LstMachines[Nbre],LstMachines[Model-Spec],PrévisionBoris[[#This Row],[Spec]],LstMachines[Status],PrévisionBoris[[#This Row],[Status]],LstMachines[MoisLivr],AU$1)</f>
        <v>0</v>
      </c>
      <c r="AV106" s="230">
        <f>SUMIFS(LstMachines[Nbre],LstMachines[Model-Spec],PrévisionBoris[[#This Row],[Spec]],LstMachines[Status],PrévisionBoris[[#This Row],[Status]],LstMachines[MoisLivr],AV$1)</f>
        <v>0</v>
      </c>
      <c r="AW106" s="231">
        <f>SUMIFS(LstMachines[Nbre],LstMachines[Model-Spec],PrévisionBoris[[#This Row],[Spec]],LstMachines[Status],PrévisionBoris[[#This Row],[Status]],LstMachines[MoisLivr],AW$1)</f>
        <v>0</v>
      </c>
      <c r="AX106" s="232"/>
      <c r="AY106" s="211">
        <f t="shared" si="19"/>
        <v>1</v>
      </c>
      <c r="AZ106" s="212">
        <f t="shared" si="20"/>
        <v>1</v>
      </c>
      <c r="BA106" s="212">
        <f t="shared" si="21"/>
        <v>0</v>
      </c>
      <c r="BB106" s="213">
        <f t="shared" si="22"/>
        <v>0</v>
      </c>
      <c r="BC106" s="225">
        <f t="shared" si="23"/>
        <v>2</v>
      </c>
      <c r="BD106" s="211">
        <f t="shared" si="24"/>
        <v>0</v>
      </c>
      <c r="BE106" s="212">
        <f t="shared" si="25"/>
        <v>0</v>
      </c>
      <c r="BF106" s="212">
        <f t="shared" si="26"/>
        <v>0</v>
      </c>
      <c r="BG106" s="213">
        <f t="shared" si="27"/>
        <v>0</v>
      </c>
      <c r="BH106" s="225">
        <f t="shared" si="28"/>
        <v>0</v>
      </c>
      <c r="BI106" s="214">
        <f t="shared" si="29"/>
        <v>0</v>
      </c>
      <c r="BJ106" s="215">
        <f t="shared" si="30"/>
        <v>0</v>
      </c>
      <c r="BK106" s="215">
        <f t="shared" si="31"/>
        <v>0</v>
      </c>
      <c r="BL106" s="216">
        <f t="shared" si="32"/>
        <v>0</v>
      </c>
      <c r="BM106" s="225">
        <f t="shared" si="33"/>
        <v>0</v>
      </c>
      <c r="BN106" s="225"/>
      <c r="BO106" s="217"/>
      <c r="BP106" s="218">
        <f t="shared" si="34"/>
        <v>2</v>
      </c>
    </row>
    <row r="107" spans="1:68">
      <c r="A107" s="172">
        <v>100</v>
      </c>
      <c r="B107" s="172" t="s">
        <v>75</v>
      </c>
      <c r="C107" s="202">
        <v>33</v>
      </c>
      <c r="D107" s="172" t="s">
        <v>80</v>
      </c>
      <c r="E107" s="172" t="s">
        <v>409</v>
      </c>
      <c r="F107" s="202">
        <f>VLOOKUP(PrévisionBoris[[#This Row],[Spec]],TabModelSpecs[[ModelSpec]:[Price]],2,FALSE)</f>
        <v>32</v>
      </c>
      <c r="G107" s="172" t="s">
        <v>461</v>
      </c>
      <c r="H107" s="206">
        <f>SUMIFS(LstMachines[Nbre],LstMachines[Model-Spec],PrévisionBoris[[#This Row],[Spec]],LstMachines[Status],PrévisionBoris[[#This Row],[Status]],LstMachines[MoisLivr],H$1)</f>
        <v>0</v>
      </c>
      <c r="I107" s="207">
        <f>SUMIFS(LstMachines[Nbre],LstMachines[Model-Spec],PrévisionBoris[[#This Row],[Spec]],LstMachines[Status],PrévisionBoris[[#This Row],[Status]],LstMachines[MoisLivr],I$1)</f>
        <v>0</v>
      </c>
      <c r="J107" s="208">
        <f>SUMIFS(LstMachines[Nbre],LstMachines[Model-Spec],PrévisionBoris[[#This Row],[Spec]],LstMachines[Status],PrévisionBoris[[#This Row],[Status]],LstMachines[MoisLivr],J$1)</f>
        <v>0</v>
      </c>
      <c r="K107" s="206">
        <f>SUMIFS(LstMachines[Nbre],LstMachines[Model-Spec],PrévisionBoris[[#This Row],[Spec]],LstMachines[Status],PrévisionBoris[[#This Row],[Status]],LstMachines[MoisLivr],K$1)</f>
        <v>0</v>
      </c>
      <c r="L107" s="207">
        <f>SUMIFS(LstMachines[Nbre],LstMachines[Model-Spec],PrévisionBoris[[#This Row],[Spec]],LstMachines[Status],PrévisionBoris[[#This Row],[Status]],LstMachines[MoisLivr],L$1)</f>
        <v>0</v>
      </c>
      <c r="M107" s="208">
        <f>SUMIFS(LstMachines[Nbre],LstMachines[Model-Spec],PrévisionBoris[[#This Row],[Spec]],LstMachines[Status],PrévisionBoris[[#This Row],[Status]],LstMachines[MoisLivr],M$1)</f>
        <v>0</v>
      </c>
      <c r="N107" s="206">
        <f>SUMIFS(LstMachines[Nbre],LstMachines[Model-Spec],PrévisionBoris[[#This Row],[Spec]],LstMachines[Status],PrévisionBoris[[#This Row],[Status]],LstMachines[MoisLivr],N$1)</f>
        <v>0</v>
      </c>
      <c r="O107" s="207">
        <f>SUMIFS(LstMachines[Nbre],LstMachines[Model-Spec],PrévisionBoris[[#This Row],[Spec]],LstMachines[Status],PrévisionBoris[[#This Row],[Status]],LstMachines[MoisLivr],O$1)</f>
        <v>0</v>
      </c>
      <c r="P107" s="208">
        <f>SUMIFS(LstMachines[Nbre],LstMachines[Model-Spec],PrévisionBoris[[#This Row],[Spec]],LstMachines[Status],PrévisionBoris[[#This Row],[Status]],LstMachines[MoisLivr],P$1)</f>
        <v>0</v>
      </c>
      <c r="Q107" s="209">
        <f>SUMIFS(LstMachines[Nbre],LstMachines[Model-Spec],PrévisionBoris[[#This Row],[Spec]],LstMachines[Status],PrévisionBoris[[#This Row],[Status]],LstMachines[MoisLivr],Q$1)</f>
        <v>0</v>
      </c>
      <c r="R107" s="207">
        <f>SUMIFS(LstMachines[Nbre],LstMachines[Model-Spec],PrévisionBoris[[#This Row],[Spec]],LstMachines[Status],PrévisionBoris[[#This Row],[Status]],LstMachines[MoisLivr],R$1)</f>
        <v>0</v>
      </c>
      <c r="S107" s="207">
        <f>SUMIFS(LstMachines[Nbre],LstMachines[Model-Spec],PrévisionBoris[[#This Row],[Spec]],LstMachines[Status],PrévisionBoris[[#This Row],[Status]],LstMachines[MoisLivr],S$1)</f>
        <v>0</v>
      </c>
      <c r="T107" s="206">
        <f>SUMIFS(LstMachines[Nbre],LstMachines[Model-Spec],PrévisionBoris[[#This Row],[Spec]],LstMachines[Status],PrévisionBoris[[#This Row],[Status]],LstMachines[MoisLivr],T$1)</f>
        <v>0</v>
      </c>
      <c r="U107" s="207">
        <f>SUMIFS(LstMachines[Nbre],LstMachines[Model-Spec],PrévisionBoris[[#This Row],[Spec]],LstMachines[Status],PrévisionBoris[[#This Row],[Status]],LstMachines[MoisLivr],U$1)</f>
        <v>0</v>
      </c>
      <c r="V107" s="207">
        <f>SUMIFS(LstMachines[Nbre],LstMachines[Model-Spec],PrévisionBoris[[#This Row],[Spec]],LstMachines[Status],PrévisionBoris[[#This Row],[Status]],LstMachines[MoisLivr],V$1)</f>
        <v>0</v>
      </c>
      <c r="W107" s="206">
        <f>SUMIFS(LstMachines[Nbre],LstMachines[Model-Spec],PrévisionBoris[[#This Row],[Spec]],LstMachines[Status],PrévisionBoris[[#This Row],[Status]],LstMachines[MoisLivr],W$1)</f>
        <v>0</v>
      </c>
      <c r="X107" s="207">
        <f>SUMIFS(LstMachines[Nbre],LstMachines[Model-Spec],PrévisionBoris[[#This Row],[Spec]],LstMachines[Status],PrévisionBoris[[#This Row],[Status]],LstMachines[MoisLivr],X$1)</f>
        <v>0</v>
      </c>
      <c r="Y107" s="207">
        <f>SUMIFS(LstMachines[Nbre],LstMachines[Model-Spec],PrévisionBoris[[#This Row],[Spec]],LstMachines[Status],PrévisionBoris[[#This Row],[Status]],LstMachines[MoisLivr],Y$1)</f>
        <v>0</v>
      </c>
      <c r="Z107" s="206">
        <f>SUMIFS(LstMachines[Nbre],LstMachines[Model-Spec],PrévisionBoris[[#This Row],[Spec]],LstMachines[Status],PrévisionBoris[[#This Row],[Status]],LstMachines[MoisLivr],Z$1)</f>
        <v>0</v>
      </c>
      <c r="AA107" s="207">
        <f>SUMIFS(LstMachines[Nbre],LstMachines[Model-Spec],PrévisionBoris[[#This Row],[Spec]],LstMachines[Status],PrévisionBoris[[#This Row],[Status]],LstMachines[MoisLivr],AA$1)</f>
        <v>0</v>
      </c>
      <c r="AB107" s="207">
        <f>SUMIFS(LstMachines[Nbre],LstMachines[Model-Spec],PrévisionBoris[[#This Row],[Spec]],LstMachines[Status],PrévisionBoris[[#This Row],[Status]],LstMachines[MoisLivr],AB$1)</f>
        <v>0</v>
      </c>
      <c r="AC107" s="206">
        <f>SUMIFS(LstMachines[Nbre],LstMachines[Model-Spec],PrévisionBoris[[#This Row],[Spec]],LstMachines[Status],PrévisionBoris[[#This Row],[Status]],LstMachines[MoisLivr],AC$1)</f>
        <v>0</v>
      </c>
      <c r="AD107" s="207">
        <f>SUMIFS(LstMachines[Nbre],LstMachines[Model-Spec],PrévisionBoris[[#This Row],[Spec]],LstMachines[Status],PrévisionBoris[[#This Row],[Status]],LstMachines[MoisLivr],AD$1)</f>
        <v>0</v>
      </c>
      <c r="AE107" s="207">
        <f>SUMIFS(LstMachines[Nbre],LstMachines[Model-Spec],PrévisionBoris[[#This Row],[Spec]],LstMachines[Status],PrévisionBoris[[#This Row],[Status]],LstMachines[MoisLivr],AE$1)</f>
        <v>0</v>
      </c>
      <c r="AF107" s="206">
        <f>SUMIFS(LstMachines[Nbre],LstMachines[Model-Spec],PrévisionBoris[[#This Row],[Spec]],LstMachines[Status],PrévisionBoris[[#This Row],[Status]],LstMachines[MoisLivr],AF$1)</f>
        <v>0</v>
      </c>
      <c r="AG107" s="207">
        <f>SUMIFS(LstMachines[Nbre],LstMachines[Model-Spec],PrévisionBoris[[#This Row],[Spec]],LstMachines[Status],PrévisionBoris[[#This Row],[Status]],LstMachines[MoisLivr],AG$1)</f>
        <v>0</v>
      </c>
      <c r="AH107" s="207">
        <f>SUMIFS(LstMachines[Nbre],LstMachines[Model-Spec],PrévisionBoris[[#This Row],[Spec]],LstMachines[Status],PrévisionBoris[[#This Row],[Status]],LstMachines[MoisLivr],AH$1)</f>
        <v>0</v>
      </c>
      <c r="AI107" s="206">
        <f>SUMIFS(LstMachines[Nbre],LstMachines[Model-Spec],PrévisionBoris[[#This Row],[Spec]],LstMachines[Status],PrévisionBoris[[#This Row],[Status]],LstMachines[MoisLivr],AI$1)</f>
        <v>0</v>
      </c>
      <c r="AJ107" s="207">
        <f>SUMIFS(LstMachines[Nbre],LstMachines[Model-Spec],PrévisionBoris[[#This Row],[Spec]],LstMachines[Status],PrévisionBoris[[#This Row],[Status]],LstMachines[MoisLivr],AJ$1)</f>
        <v>0</v>
      </c>
      <c r="AK107" s="207">
        <f>SUMIFS(LstMachines[Nbre],LstMachines[Model-Spec],PrévisionBoris[[#This Row],[Spec]],LstMachines[Status],PrévisionBoris[[#This Row],[Status]],LstMachines[MoisLivr],AK$1)</f>
        <v>0</v>
      </c>
      <c r="AL107" s="206">
        <f>SUMIFS(LstMachines[Nbre],LstMachines[Model-Spec],PrévisionBoris[[#This Row],[Spec]],LstMachines[Status],PrévisionBoris[[#This Row],[Status]],LstMachines[MoisLivr],AL$1)</f>
        <v>0</v>
      </c>
      <c r="AM107" s="207">
        <f>SUMIFS(LstMachines[Nbre],LstMachines[Model-Spec],PrévisionBoris[[#This Row],[Spec]],LstMachines[Status],PrévisionBoris[[#This Row],[Status]],LstMachines[MoisLivr],AM$1)</f>
        <v>0</v>
      </c>
      <c r="AN107" s="207">
        <f>SUMIFS(LstMachines[Nbre],LstMachines[Model-Spec],PrévisionBoris[[#This Row],[Spec]],LstMachines[Status],PrévisionBoris[[#This Row],[Status]],LstMachines[MoisLivr],AN$1)</f>
        <v>0</v>
      </c>
      <c r="AO107" s="206">
        <f>SUMIFS(LstMachines[Nbre],LstMachines[Model-Spec],PrévisionBoris[[#This Row],[Spec]],LstMachines[Status],PrévisionBoris[[#This Row],[Status]],LstMachines[MoisLivr],AO$1)</f>
        <v>0</v>
      </c>
      <c r="AP107" s="207">
        <f>SUMIFS(LstMachines[Nbre],LstMachines[Model-Spec],PrévisionBoris[[#This Row],[Spec]],LstMachines[Status],PrévisionBoris[[#This Row],[Status]],LstMachines[MoisLivr],AP$1)</f>
        <v>0</v>
      </c>
      <c r="AQ107" s="207">
        <f>SUMIFS(LstMachines[Nbre],LstMachines[Model-Spec],PrévisionBoris[[#This Row],[Spec]],LstMachines[Status],PrévisionBoris[[#This Row],[Status]],LstMachines[MoisLivr],AQ$1)</f>
        <v>0</v>
      </c>
      <c r="AR107" s="206">
        <f>SUMIFS(LstMachines[Nbre],LstMachines[Model-Spec],PrévisionBoris[[#This Row],[Spec]],LstMachines[Status],PrévisionBoris[[#This Row],[Status]],LstMachines[MoisLivr],AR$1)</f>
        <v>0</v>
      </c>
      <c r="AS107" s="207">
        <f>SUMIFS(LstMachines[Nbre],LstMachines[Model-Spec],PrévisionBoris[[#This Row],[Spec]],LstMachines[Status],PrévisionBoris[[#This Row],[Status]],LstMachines[MoisLivr],AS$1)</f>
        <v>0</v>
      </c>
      <c r="AT107" s="207">
        <f>SUMIFS(LstMachines[Nbre],LstMachines[Model-Spec],PrévisionBoris[[#This Row],[Spec]],LstMachines[Status],PrévisionBoris[[#This Row],[Status]],LstMachines[MoisLivr],AT$1)</f>
        <v>0</v>
      </c>
      <c r="AU107" s="206">
        <f>SUMIFS(LstMachines[Nbre],LstMachines[Model-Spec],PrévisionBoris[[#This Row],[Spec]],LstMachines[Status],PrévisionBoris[[#This Row],[Status]],LstMachines[MoisLivr],AU$1)</f>
        <v>0</v>
      </c>
      <c r="AV107" s="233">
        <f>SUMIFS(LstMachines[Nbre],LstMachines[Model-Spec],PrévisionBoris[[#This Row],[Spec]],LstMachines[Status],PrévisionBoris[[#This Row],[Status]],LstMachines[MoisLivr],AV$1)</f>
        <v>0</v>
      </c>
      <c r="AW107" s="208">
        <f>SUMIFS(LstMachines[Nbre],LstMachines[Model-Spec],PrévisionBoris[[#This Row],[Spec]],LstMachines[Status],PrévisionBoris[[#This Row],[Status]],LstMachines[MoisLivr],AW$1)</f>
        <v>0</v>
      </c>
      <c r="AX107" s="225"/>
      <c r="AY107" s="211">
        <f t="shared" si="19"/>
        <v>0</v>
      </c>
      <c r="AZ107" s="212">
        <f t="shared" si="20"/>
        <v>0</v>
      </c>
      <c r="BA107" s="212">
        <f t="shared" si="21"/>
        <v>0</v>
      </c>
      <c r="BB107" s="213">
        <f t="shared" si="22"/>
        <v>0</v>
      </c>
      <c r="BC107" s="225">
        <f t="shared" si="23"/>
        <v>0</v>
      </c>
      <c r="BD107" s="211">
        <f t="shared" si="24"/>
        <v>0</v>
      </c>
      <c r="BE107" s="212">
        <f t="shared" si="25"/>
        <v>0</v>
      </c>
      <c r="BF107" s="212">
        <f t="shared" si="26"/>
        <v>0</v>
      </c>
      <c r="BG107" s="213">
        <f t="shared" si="27"/>
        <v>0</v>
      </c>
      <c r="BH107" s="225">
        <f t="shared" si="28"/>
        <v>0</v>
      </c>
      <c r="BI107" s="214">
        <f t="shared" si="29"/>
        <v>0</v>
      </c>
      <c r="BJ107" s="215">
        <f t="shared" si="30"/>
        <v>0</v>
      </c>
      <c r="BK107" s="215">
        <f t="shared" si="31"/>
        <v>0</v>
      </c>
      <c r="BL107" s="216">
        <f t="shared" si="32"/>
        <v>0</v>
      </c>
      <c r="BM107" s="225">
        <f t="shared" si="33"/>
        <v>0</v>
      </c>
      <c r="BN107" s="225"/>
      <c r="BO107" s="234"/>
      <c r="BP107" s="218">
        <f t="shared" si="34"/>
        <v>0</v>
      </c>
    </row>
    <row r="108" spans="1:68">
      <c r="A108" s="170">
        <v>101</v>
      </c>
      <c r="B108" s="170" t="s">
        <v>75</v>
      </c>
      <c r="C108" s="200">
        <v>33</v>
      </c>
      <c r="D108" s="170" t="s">
        <v>80</v>
      </c>
      <c r="E108" s="170" t="s">
        <v>409</v>
      </c>
      <c r="F108" s="200">
        <f>VLOOKUP(PrévisionBoris[[#This Row],[Spec]],TabModelSpecs[[ModelSpec]:[Price]],2,FALSE)</f>
        <v>32</v>
      </c>
      <c r="G108" s="170" t="s">
        <v>462</v>
      </c>
      <c r="H108" s="219">
        <f>SUMIFS(LstMachines[Nbre],LstMachines[Model-Spec],PrévisionBoris[[#This Row],[Spec]],LstMachines[Status],PrévisionBoris[[#This Row],[Status]],LstMachines[MoisLivr],H$1)</f>
        <v>0</v>
      </c>
      <c r="I108" s="220">
        <f>SUMIFS(LstMachines[Nbre],LstMachines[Model-Spec],PrévisionBoris[[#This Row],[Spec]],LstMachines[Status],PrévisionBoris[[#This Row],[Status]],LstMachines[MoisLivr],I$1)</f>
        <v>0</v>
      </c>
      <c r="J108" s="221">
        <f>SUMIFS(LstMachines[Nbre],LstMachines[Model-Spec],PrévisionBoris[[#This Row],[Spec]],LstMachines[Status],PrévisionBoris[[#This Row],[Status]],LstMachines[MoisLivr],J$1)</f>
        <v>0</v>
      </c>
      <c r="K108" s="219">
        <f>SUMIFS(LstMachines[Nbre],LstMachines[Model-Spec],PrévisionBoris[[#This Row],[Spec]],LstMachines[Status],PrévisionBoris[[#This Row],[Status]],LstMachines[MoisLivr],K$1)</f>
        <v>0</v>
      </c>
      <c r="L108" s="220">
        <f>SUMIFS(LstMachines[Nbre],LstMachines[Model-Spec],PrévisionBoris[[#This Row],[Spec]],LstMachines[Status],PrévisionBoris[[#This Row],[Status]],LstMachines[MoisLivr],L$1)</f>
        <v>0</v>
      </c>
      <c r="M108" s="221">
        <f>SUMIFS(LstMachines[Nbre],LstMachines[Model-Spec],PrévisionBoris[[#This Row],[Spec]],LstMachines[Status],PrévisionBoris[[#This Row],[Status]],LstMachines[MoisLivr],M$1)</f>
        <v>0</v>
      </c>
      <c r="N108" s="219">
        <f>SUMIFS(LstMachines[Nbre],LstMachines[Model-Spec],PrévisionBoris[[#This Row],[Spec]],LstMachines[Status],PrévisionBoris[[#This Row],[Status]],LstMachines[MoisLivr],N$1)</f>
        <v>0</v>
      </c>
      <c r="O108" s="220">
        <f>SUMIFS(LstMachines[Nbre],LstMachines[Model-Spec],PrévisionBoris[[#This Row],[Spec]],LstMachines[Status],PrévisionBoris[[#This Row],[Status]],LstMachines[MoisLivr],O$1)</f>
        <v>0</v>
      </c>
      <c r="P108" s="221">
        <f>SUMIFS(LstMachines[Nbre],LstMachines[Model-Spec],PrévisionBoris[[#This Row],[Spec]],LstMachines[Status],PrévisionBoris[[#This Row],[Status]],LstMachines[MoisLivr],P$1)</f>
        <v>0</v>
      </c>
      <c r="Q108" s="222">
        <f>SUMIFS(LstMachines[Nbre],LstMachines[Model-Spec],PrévisionBoris[[#This Row],[Spec]],LstMachines[Status],PrévisionBoris[[#This Row],[Status]],LstMachines[MoisLivr],Q$1)</f>
        <v>0</v>
      </c>
      <c r="R108" s="220">
        <f>SUMIFS(LstMachines[Nbre],LstMachines[Model-Spec],PrévisionBoris[[#This Row],[Spec]],LstMachines[Status],PrévisionBoris[[#This Row],[Status]],LstMachines[MoisLivr],R$1)</f>
        <v>0</v>
      </c>
      <c r="S108" s="220">
        <f>SUMIFS(LstMachines[Nbre],LstMachines[Model-Spec],PrévisionBoris[[#This Row],[Spec]],LstMachines[Status],PrévisionBoris[[#This Row],[Status]],LstMachines[MoisLivr],S$1)</f>
        <v>0</v>
      </c>
      <c r="T108" s="219">
        <f>SUMIFS(LstMachines[Nbre],LstMachines[Model-Spec],PrévisionBoris[[#This Row],[Spec]],LstMachines[Status],PrévisionBoris[[#This Row],[Status]],LstMachines[MoisLivr],T$1)</f>
        <v>0</v>
      </c>
      <c r="U108" s="220">
        <f>SUMIFS(LstMachines[Nbre],LstMachines[Model-Spec],PrévisionBoris[[#This Row],[Spec]],LstMachines[Status],PrévisionBoris[[#This Row],[Status]],LstMachines[MoisLivr],U$1)</f>
        <v>0</v>
      </c>
      <c r="V108" s="220">
        <f>SUMIFS(LstMachines[Nbre],LstMachines[Model-Spec],PrévisionBoris[[#This Row],[Spec]],LstMachines[Status],PrévisionBoris[[#This Row],[Status]],LstMachines[MoisLivr],V$1)</f>
        <v>0</v>
      </c>
      <c r="W108" s="219">
        <f>SUMIFS(LstMachines[Nbre],LstMachines[Model-Spec],PrévisionBoris[[#This Row],[Spec]],LstMachines[Status],PrévisionBoris[[#This Row],[Status]],LstMachines[MoisLivr],W$1)</f>
        <v>0</v>
      </c>
      <c r="X108" s="220">
        <f>SUMIFS(LstMachines[Nbre],LstMachines[Model-Spec],PrévisionBoris[[#This Row],[Spec]],LstMachines[Status],PrévisionBoris[[#This Row],[Status]],LstMachines[MoisLivr],X$1)</f>
        <v>0</v>
      </c>
      <c r="Y108" s="220">
        <f>SUMIFS(LstMachines[Nbre],LstMachines[Model-Spec],PrévisionBoris[[#This Row],[Spec]],LstMachines[Status],PrévisionBoris[[#This Row],[Status]],LstMachines[MoisLivr],Y$1)</f>
        <v>0</v>
      </c>
      <c r="Z108" s="219">
        <f>SUMIFS(LstMachines[Nbre],LstMachines[Model-Spec],PrévisionBoris[[#This Row],[Spec]],LstMachines[Status],PrévisionBoris[[#This Row],[Status]],LstMachines[MoisLivr],Z$1)</f>
        <v>0</v>
      </c>
      <c r="AA108" s="220">
        <f>SUMIFS(LstMachines[Nbre],LstMachines[Model-Spec],PrévisionBoris[[#This Row],[Spec]],LstMachines[Status],PrévisionBoris[[#This Row],[Status]],LstMachines[MoisLivr],AA$1)</f>
        <v>0</v>
      </c>
      <c r="AB108" s="220">
        <f>SUMIFS(LstMachines[Nbre],LstMachines[Model-Spec],PrévisionBoris[[#This Row],[Spec]],LstMachines[Status],PrévisionBoris[[#This Row],[Status]],LstMachines[MoisLivr],AB$1)</f>
        <v>0</v>
      </c>
      <c r="AC108" s="219">
        <f>SUMIFS(LstMachines[Nbre],LstMachines[Model-Spec],PrévisionBoris[[#This Row],[Spec]],LstMachines[Status],PrévisionBoris[[#This Row],[Status]],LstMachines[MoisLivr],AC$1)</f>
        <v>0</v>
      </c>
      <c r="AD108" s="220">
        <f>SUMIFS(LstMachines[Nbre],LstMachines[Model-Spec],PrévisionBoris[[#This Row],[Spec]],LstMachines[Status],PrévisionBoris[[#This Row],[Status]],LstMachines[MoisLivr],AD$1)</f>
        <v>0</v>
      </c>
      <c r="AE108" s="220">
        <f>SUMIFS(LstMachines[Nbre],LstMachines[Model-Spec],PrévisionBoris[[#This Row],[Spec]],LstMachines[Status],PrévisionBoris[[#This Row],[Status]],LstMachines[MoisLivr],AE$1)</f>
        <v>0</v>
      </c>
      <c r="AF108" s="219">
        <f>SUMIFS(LstMachines[Nbre],LstMachines[Model-Spec],PrévisionBoris[[#This Row],[Spec]],LstMachines[Status],PrévisionBoris[[#This Row],[Status]],LstMachines[MoisLivr],AF$1)</f>
        <v>0</v>
      </c>
      <c r="AG108" s="220">
        <f>SUMIFS(LstMachines[Nbre],LstMachines[Model-Spec],PrévisionBoris[[#This Row],[Spec]],LstMachines[Status],PrévisionBoris[[#This Row],[Status]],LstMachines[MoisLivr],AG$1)</f>
        <v>0</v>
      </c>
      <c r="AH108" s="220">
        <f>SUMIFS(LstMachines[Nbre],LstMachines[Model-Spec],PrévisionBoris[[#This Row],[Spec]],LstMachines[Status],PrévisionBoris[[#This Row],[Status]],LstMachines[MoisLivr],AH$1)</f>
        <v>0</v>
      </c>
      <c r="AI108" s="219">
        <f>SUMIFS(LstMachines[Nbre],LstMachines[Model-Spec],PrévisionBoris[[#This Row],[Spec]],LstMachines[Status],PrévisionBoris[[#This Row],[Status]],LstMachines[MoisLivr],AI$1)</f>
        <v>0</v>
      </c>
      <c r="AJ108" s="220">
        <f>SUMIFS(LstMachines[Nbre],LstMachines[Model-Spec],PrévisionBoris[[#This Row],[Spec]],LstMachines[Status],PrévisionBoris[[#This Row],[Status]],LstMachines[MoisLivr],AJ$1)</f>
        <v>0</v>
      </c>
      <c r="AK108" s="220">
        <f>SUMIFS(LstMachines[Nbre],LstMachines[Model-Spec],PrévisionBoris[[#This Row],[Spec]],LstMachines[Status],PrévisionBoris[[#This Row],[Status]],LstMachines[MoisLivr],AK$1)</f>
        <v>0</v>
      </c>
      <c r="AL108" s="219">
        <f>SUMIFS(LstMachines[Nbre],LstMachines[Model-Spec],PrévisionBoris[[#This Row],[Spec]],LstMachines[Status],PrévisionBoris[[#This Row],[Status]],LstMachines[MoisLivr],AL$1)</f>
        <v>0</v>
      </c>
      <c r="AM108" s="220">
        <f>SUMIFS(LstMachines[Nbre],LstMachines[Model-Spec],PrévisionBoris[[#This Row],[Spec]],LstMachines[Status],PrévisionBoris[[#This Row],[Status]],LstMachines[MoisLivr],AM$1)</f>
        <v>0</v>
      </c>
      <c r="AN108" s="220">
        <f>SUMIFS(LstMachines[Nbre],LstMachines[Model-Spec],PrévisionBoris[[#This Row],[Spec]],LstMachines[Status],PrévisionBoris[[#This Row],[Status]],LstMachines[MoisLivr],AN$1)</f>
        <v>0</v>
      </c>
      <c r="AO108" s="219">
        <f>SUMIFS(LstMachines[Nbre],LstMachines[Model-Spec],PrévisionBoris[[#This Row],[Spec]],LstMachines[Status],PrévisionBoris[[#This Row],[Status]],LstMachines[MoisLivr],AO$1)</f>
        <v>0</v>
      </c>
      <c r="AP108" s="220">
        <f>SUMIFS(LstMachines[Nbre],LstMachines[Model-Spec],PrévisionBoris[[#This Row],[Spec]],LstMachines[Status],PrévisionBoris[[#This Row],[Status]],LstMachines[MoisLivr],AP$1)</f>
        <v>0</v>
      </c>
      <c r="AQ108" s="220">
        <f>SUMIFS(LstMachines[Nbre],LstMachines[Model-Spec],PrévisionBoris[[#This Row],[Spec]],LstMachines[Status],PrévisionBoris[[#This Row],[Status]],LstMachines[MoisLivr],AQ$1)</f>
        <v>0</v>
      </c>
      <c r="AR108" s="219">
        <f>SUMIFS(LstMachines[Nbre],LstMachines[Model-Spec],PrévisionBoris[[#This Row],[Spec]],LstMachines[Status],PrévisionBoris[[#This Row],[Status]],LstMachines[MoisLivr],AR$1)</f>
        <v>0</v>
      </c>
      <c r="AS108" s="220">
        <f>SUMIFS(LstMachines[Nbre],LstMachines[Model-Spec],PrévisionBoris[[#This Row],[Spec]],LstMachines[Status],PrévisionBoris[[#This Row],[Status]],LstMachines[MoisLivr],AS$1)</f>
        <v>0</v>
      </c>
      <c r="AT108" s="220">
        <f>SUMIFS(LstMachines[Nbre],LstMachines[Model-Spec],PrévisionBoris[[#This Row],[Spec]],LstMachines[Status],PrévisionBoris[[#This Row],[Status]],LstMachines[MoisLivr],AT$1)</f>
        <v>0</v>
      </c>
      <c r="AU108" s="219">
        <f>SUMIFS(LstMachines[Nbre],LstMachines[Model-Spec],PrévisionBoris[[#This Row],[Spec]],LstMachines[Status],PrévisionBoris[[#This Row],[Status]],LstMachines[MoisLivr],AU$1)</f>
        <v>0</v>
      </c>
      <c r="AV108" s="223">
        <f>SUMIFS(LstMachines[Nbre],LstMachines[Model-Spec],PrévisionBoris[[#This Row],[Spec]],LstMachines[Status],PrévisionBoris[[#This Row],[Status]],LstMachines[MoisLivr],AV$1)</f>
        <v>0</v>
      </c>
      <c r="AW108" s="224">
        <f>SUMIFS(LstMachines[Nbre],LstMachines[Model-Spec],PrévisionBoris[[#This Row],[Spec]],LstMachines[Status],PrévisionBoris[[#This Row],[Status]],LstMachines[MoisLivr],AW$1)</f>
        <v>0</v>
      </c>
      <c r="AX108" s="210"/>
      <c r="AY108" s="211">
        <f t="shared" si="19"/>
        <v>0</v>
      </c>
      <c r="AZ108" s="212">
        <f t="shared" si="20"/>
        <v>0</v>
      </c>
      <c r="BA108" s="212">
        <f t="shared" si="21"/>
        <v>0</v>
      </c>
      <c r="BB108" s="213">
        <f t="shared" si="22"/>
        <v>0</v>
      </c>
      <c r="BC108" s="225">
        <f t="shared" si="23"/>
        <v>0</v>
      </c>
      <c r="BD108" s="211">
        <f t="shared" si="24"/>
        <v>0</v>
      </c>
      <c r="BE108" s="212">
        <f t="shared" si="25"/>
        <v>0</v>
      </c>
      <c r="BF108" s="212">
        <f t="shared" si="26"/>
        <v>0</v>
      </c>
      <c r="BG108" s="213">
        <f t="shared" si="27"/>
        <v>0</v>
      </c>
      <c r="BH108" s="225">
        <f t="shared" si="28"/>
        <v>0</v>
      </c>
      <c r="BI108" s="214">
        <f t="shared" si="29"/>
        <v>0</v>
      </c>
      <c r="BJ108" s="215">
        <f t="shared" si="30"/>
        <v>0</v>
      </c>
      <c r="BK108" s="215">
        <f t="shared" si="31"/>
        <v>0</v>
      </c>
      <c r="BL108" s="216">
        <f t="shared" si="32"/>
        <v>0</v>
      </c>
      <c r="BM108" s="225">
        <f t="shared" si="33"/>
        <v>0</v>
      </c>
      <c r="BN108" s="225"/>
      <c r="BO108" s="217"/>
      <c r="BP108" s="218">
        <f t="shared" si="34"/>
        <v>0</v>
      </c>
    </row>
    <row r="109" spans="1:68">
      <c r="A109" s="171">
        <v>102</v>
      </c>
      <c r="B109" s="171" t="s">
        <v>75</v>
      </c>
      <c r="C109" s="201">
        <v>33</v>
      </c>
      <c r="D109" s="171" t="s">
        <v>80</v>
      </c>
      <c r="E109" s="171" t="s">
        <v>409</v>
      </c>
      <c r="F109" s="201">
        <f>VLOOKUP(PrévisionBoris[[#This Row],[Spec]],TabModelSpecs[[ModelSpec]:[Price]],2,FALSE)</f>
        <v>32</v>
      </c>
      <c r="G109" s="171" t="s">
        <v>463</v>
      </c>
      <c r="H109" s="226">
        <f>SUMIFS(LstMachines[Nbre],LstMachines[Model-Spec],PrévisionBoris[[#This Row],[Spec]],LstMachines[Status],PrévisionBoris[[#This Row],[Status]],LstMachines[MoisLivr],H$1)</f>
        <v>0</v>
      </c>
      <c r="I109" s="227">
        <f>SUMIFS(LstMachines[Nbre],LstMachines[Model-Spec],PrévisionBoris[[#This Row],[Spec]],LstMachines[Status],PrévisionBoris[[#This Row],[Status]],LstMachines[MoisLivr],I$1)</f>
        <v>0</v>
      </c>
      <c r="J109" s="228">
        <f>SUMIFS(LstMachines[Nbre],LstMachines[Model-Spec],PrévisionBoris[[#This Row],[Spec]],LstMachines[Status],PrévisionBoris[[#This Row],[Status]],LstMachines[MoisLivr],J$1)</f>
        <v>0</v>
      </c>
      <c r="K109" s="226">
        <f>SUMIFS(LstMachines[Nbre],LstMachines[Model-Spec],PrévisionBoris[[#This Row],[Spec]],LstMachines[Status],PrévisionBoris[[#This Row],[Status]],LstMachines[MoisLivr],K$1)</f>
        <v>0</v>
      </c>
      <c r="L109" s="227">
        <f>SUMIFS(LstMachines[Nbre],LstMachines[Model-Spec],PrévisionBoris[[#This Row],[Spec]],LstMachines[Status],PrévisionBoris[[#This Row],[Status]],LstMachines[MoisLivr],L$1)</f>
        <v>0</v>
      </c>
      <c r="M109" s="228">
        <f>SUMIFS(LstMachines[Nbre],LstMachines[Model-Spec],PrévisionBoris[[#This Row],[Spec]],LstMachines[Status],PrévisionBoris[[#This Row],[Status]],LstMachines[MoisLivr],M$1)</f>
        <v>0</v>
      </c>
      <c r="N109" s="226">
        <f>SUMIFS(LstMachines[Nbre],LstMachines[Model-Spec],PrévisionBoris[[#This Row],[Spec]],LstMachines[Status],PrévisionBoris[[#This Row],[Status]],LstMachines[MoisLivr],N$1)</f>
        <v>0</v>
      </c>
      <c r="O109" s="227">
        <f>SUMIFS(LstMachines[Nbre],LstMachines[Model-Spec],PrévisionBoris[[#This Row],[Spec]],LstMachines[Status],PrévisionBoris[[#This Row],[Status]],LstMachines[MoisLivr],O$1)</f>
        <v>0</v>
      </c>
      <c r="P109" s="228">
        <f>SUMIFS(LstMachines[Nbre],LstMachines[Model-Spec],PrévisionBoris[[#This Row],[Spec]],LstMachines[Status],PrévisionBoris[[#This Row],[Status]],LstMachines[MoisLivr],P$1)</f>
        <v>0</v>
      </c>
      <c r="Q109" s="229">
        <f>SUMIFS(LstMachines[Nbre],LstMachines[Model-Spec],PrévisionBoris[[#This Row],[Spec]],LstMachines[Status],PrévisionBoris[[#This Row],[Status]],LstMachines[MoisLivr],Q$1)</f>
        <v>0</v>
      </c>
      <c r="R109" s="227">
        <f>SUMIFS(LstMachines[Nbre],LstMachines[Model-Spec],PrévisionBoris[[#This Row],[Spec]],LstMachines[Status],PrévisionBoris[[#This Row],[Status]],LstMachines[MoisLivr],R$1)</f>
        <v>0</v>
      </c>
      <c r="S109" s="227">
        <f>SUMIFS(LstMachines[Nbre],LstMachines[Model-Spec],PrévisionBoris[[#This Row],[Spec]],LstMachines[Status],PrévisionBoris[[#This Row],[Status]],LstMachines[MoisLivr],S$1)</f>
        <v>0</v>
      </c>
      <c r="T109" s="226">
        <f>SUMIFS(LstMachines[Nbre],LstMachines[Model-Spec],PrévisionBoris[[#This Row],[Spec]],LstMachines[Status],PrévisionBoris[[#This Row],[Status]],LstMachines[MoisLivr],T$1)</f>
        <v>0</v>
      </c>
      <c r="U109" s="227">
        <f>SUMIFS(LstMachines[Nbre],LstMachines[Model-Spec],PrévisionBoris[[#This Row],[Spec]],LstMachines[Status],PrévisionBoris[[#This Row],[Status]],LstMachines[MoisLivr],U$1)</f>
        <v>0</v>
      </c>
      <c r="V109" s="227">
        <f>SUMIFS(LstMachines[Nbre],LstMachines[Model-Spec],PrévisionBoris[[#This Row],[Spec]],LstMachines[Status],PrévisionBoris[[#This Row],[Status]],LstMachines[MoisLivr],V$1)</f>
        <v>0</v>
      </c>
      <c r="W109" s="226">
        <f>SUMIFS(LstMachines[Nbre],LstMachines[Model-Spec],PrévisionBoris[[#This Row],[Spec]],LstMachines[Status],PrévisionBoris[[#This Row],[Status]],LstMachines[MoisLivr],W$1)</f>
        <v>0</v>
      </c>
      <c r="X109" s="227">
        <f>SUMIFS(LstMachines[Nbre],LstMachines[Model-Spec],PrévisionBoris[[#This Row],[Spec]],LstMachines[Status],PrévisionBoris[[#This Row],[Status]],LstMachines[MoisLivr],X$1)</f>
        <v>0</v>
      </c>
      <c r="Y109" s="227">
        <f>SUMIFS(LstMachines[Nbre],LstMachines[Model-Spec],PrévisionBoris[[#This Row],[Spec]],LstMachines[Status],PrévisionBoris[[#This Row],[Status]],LstMachines[MoisLivr],Y$1)</f>
        <v>0</v>
      </c>
      <c r="Z109" s="226">
        <f>SUMIFS(LstMachines[Nbre],LstMachines[Model-Spec],PrévisionBoris[[#This Row],[Spec]],LstMachines[Status],PrévisionBoris[[#This Row],[Status]],LstMachines[MoisLivr],Z$1)</f>
        <v>0</v>
      </c>
      <c r="AA109" s="227">
        <f>SUMIFS(LstMachines[Nbre],LstMachines[Model-Spec],PrévisionBoris[[#This Row],[Spec]],LstMachines[Status],PrévisionBoris[[#This Row],[Status]],LstMachines[MoisLivr],AA$1)</f>
        <v>0</v>
      </c>
      <c r="AB109" s="227">
        <f>SUMIFS(LstMachines[Nbre],LstMachines[Model-Spec],PrévisionBoris[[#This Row],[Spec]],LstMachines[Status],PrévisionBoris[[#This Row],[Status]],LstMachines[MoisLivr],AB$1)</f>
        <v>0</v>
      </c>
      <c r="AC109" s="226">
        <f>SUMIFS(LstMachines[Nbre],LstMachines[Model-Spec],PrévisionBoris[[#This Row],[Spec]],LstMachines[Status],PrévisionBoris[[#This Row],[Status]],LstMachines[MoisLivr],AC$1)</f>
        <v>0</v>
      </c>
      <c r="AD109" s="227">
        <f>SUMIFS(LstMachines[Nbre],LstMachines[Model-Spec],PrévisionBoris[[#This Row],[Spec]],LstMachines[Status],PrévisionBoris[[#This Row],[Status]],LstMachines[MoisLivr],AD$1)</f>
        <v>0</v>
      </c>
      <c r="AE109" s="227">
        <f>SUMIFS(LstMachines[Nbre],LstMachines[Model-Spec],PrévisionBoris[[#This Row],[Spec]],LstMachines[Status],PrévisionBoris[[#This Row],[Status]],LstMachines[MoisLivr],AE$1)</f>
        <v>0</v>
      </c>
      <c r="AF109" s="226">
        <f>SUMIFS(LstMachines[Nbre],LstMachines[Model-Spec],PrévisionBoris[[#This Row],[Spec]],LstMachines[Status],PrévisionBoris[[#This Row],[Status]],LstMachines[MoisLivr],AF$1)</f>
        <v>0</v>
      </c>
      <c r="AG109" s="227">
        <f>SUMIFS(LstMachines[Nbre],LstMachines[Model-Spec],PrévisionBoris[[#This Row],[Spec]],LstMachines[Status],PrévisionBoris[[#This Row],[Status]],LstMachines[MoisLivr],AG$1)</f>
        <v>0</v>
      </c>
      <c r="AH109" s="227">
        <f>SUMIFS(LstMachines[Nbre],LstMachines[Model-Spec],PrévisionBoris[[#This Row],[Spec]],LstMachines[Status],PrévisionBoris[[#This Row],[Status]],LstMachines[MoisLivr],AH$1)</f>
        <v>0</v>
      </c>
      <c r="AI109" s="226">
        <f>SUMIFS(LstMachines[Nbre],LstMachines[Model-Spec],PrévisionBoris[[#This Row],[Spec]],LstMachines[Status],PrévisionBoris[[#This Row],[Status]],LstMachines[MoisLivr],AI$1)</f>
        <v>0</v>
      </c>
      <c r="AJ109" s="227">
        <f>SUMIFS(LstMachines[Nbre],LstMachines[Model-Spec],PrévisionBoris[[#This Row],[Spec]],LstMachines[Status],PrévisionBoris[[#This Row],[Status]],LstMachines[MoisLivr],AJ$1)</f>
        <v>0</v>
      </c>
      <c r="AK109" s="227">
        <f>SUMIFS(LstMachines[Nbre],LstMachines[Model-Spec],PrévisionBoris[[#This Row],[Spec]],LstMachines[Status],PrévisionBoris[[#This Row],[Status]],LstMachines[MoisLivr],AK$1)</f>
        <v>0</v>
      </c>
      <c r="AL109" s="226">
        <f>SUMIFS(LstMachines[Nbre],LstMachines[Model-Spec],PrévisionBoris[[#This Row],[Spec]],LstMachines[Status],PrévisionBoris[[#This Row],[Status]],LstMachines[MoisLivr],AL$1)</f>
        <v>0</v>
      </c>
      <c r="AM109" s="227">
        <f>SUMIFS(LstMachines[Nbre],LstMachines[Model-Spec],PrévisionBoris[[#This Row],[Spec]],LstMachines[Status],PrévisionBoris[[#This Row],[Status]],LstMachines[MoisLivr],AM$1)</f>
        <v>0</v>
      </c>
      <c r="AN109" s="227">
        <f>SUMIFS(LstMachines[Nbre],LstMachines[Model-Spec],PrévisionBoris[[#This Row],[Spec]],LstMachines[Status],PrévisionBoris[[#This Row],[Status]],LstMachines[MoisLivr],AN$1)</f>
        <v>0</v>
      </c>
      <c r="AO109" s="226">
        <f>SUMIFS(LstMachines[Nbre],LstMachines[Model-Spec],PrévisionBoris[[#This Row],[Spec]],LstMachines[Status],PrévisionBoris[[#This Row],[Status]],LstMachines[MoisLivr],AO$1)</f>
        <v>0</v>
      </c>
      <c r="AP109" s="227">
        <f>SUMIFS(LstMachines[Nbre],LstMachines[Model-Spec],PrévisionBoris[[#This Row],[Spec]],LstMachines[Status],PrévisionBoris[[#This Row],[Status]],LstMachines[MoisLivr],AP$1)</f>
        <v>0</v>
      </c>
      <c r="AQ109" s="227">
        <f>SUMIFS(LstMachines[Nbre],LstMachines[Model-Spec],PrévisionBoris[[#This Row],[Spec]],LstMachines[Status],PrévisionBoris[[#This Row],[Status]],LstMachines[MoisLivr],AQ$1)</f>
        <v>0</v>
      </c>
      <c r="AR109" s="226">
        <f>SUMIFS(LstMachines[Nbre],LstMachines[Model-Spec],PrévisionBoris[[#This Row],[Spec]],LstMachines[Status],PrévisionBoris[[#This Row],[Status]],LstMachines[MoisLivr],AR$1)</f>
        <v>0</v>
      </c>
      <c r="AS109" s="227">
        <f>SUMIFS(LstMachines[Nbre],LstMachines[Model-Spec],PrévisionBoris[[#This Row],[Spec]],LstMachines[Status],PrévisionBoris[[#This Row],[Status]],LstMachines[MoisLivr],AS$1)</f>
        <v>0</v>
      </c>
      <c r="AT109" s="227">
        <f>SUMIFS(LstMachines[Nbre],LstMachines[Model-Spec],PrévisionBoris[[#This Row],[Spec]],LstMachines[Status],PrévisionBoris[[#This Row],[Status]],LstMachines[MoisLivr],AT$1)</f>
        <v>0</v>
      </c>
      <c r="AU109" s="226">
        <f>SUMIFS(LstMachines[Nbre],LstMachines[Model-Spec],PrévisionBoris[[#This Row],[Spec]],LstMachines[Status],PrévisionBoris[[#This Row],[Status]],LstMachines[MoisLivr],AU$1)</f>
        <v>0</v>
      </c>
      <c r="AV109" s="230">
        <f>SUMIFS(LstMachines[Nbre],LstMachines[Model-Spec],PrévisionBoris[[#This Row],[Spec]],LstMachines[Status],PrévisionBoris[[#This Row],[Status]],LstMachines[MoisLivr],AV$1)</f>
        <v>0</v>
      </c>
      <c r="AW109" s="231">
        <f>SUMIFS(LstMachines[Nbre],LstMachines[Model-Spec],PrévisionBoris[[#This Row],[Spec]],LstMachines[Status],PrévisionBoris[[#This Row],[Status]],LstMachines[MoisLivr],AW$1)</f>
        <v>0</v>
      </c>
      <c r="AX109" s="232"/>
      <c r="AY109" s="211">
        <f t="shared" si="19"/>
        <v>0</v>
      </c>
      <c r="AZ109" s="212">
        <f t="shared" si="20"/>
        <v>0</v>
      </c>
      <c r="BA109" s="212">
        <f t="shared" si="21"/>
        <v>0</v>
      </c>
      <c r="BB109" s="213">
        <f t="shared" si="22"/>
        <v>0</v>
      </c>
      <c r="BC109" s="225">
        <f t="shared" si="23"/>
        <v>0</v>
      </c>
      <c r="BD109" s="211">
        <f t="shared" si="24"/>
        <v>0</v>
      </c>
      <c r="BE109" s="212">
        <f t="shared" si="25"/>
        <v>0</v>
      </c>
      <c r="BF109" s="212">
        <f t="shared" si="26"/>
        <v>0</v>
      </c>
      <c r="BG109" s="213">
        <f t="shared" si="27"/>
        <v>0</v>
      </c>
      <c r="BH109" s="225">
        <f t="shared" si="28"/>
        <v>0</v>
      </c>
      <c r="BI109" s="214">
        <f t="shared" si="29"/>
        <v>0</v>
      </c>
      <c r="BJ109" s="215">
        <f t="shared" si="30"/>
        <v>0</v>
      </c>
      <c r="BK109" s="215">
        <f t="shared" si="31"/>
        <v>0</v>
      </c>
      <c r="BL109" s="216">
        <f t="shared" si="32"/>
        <v>0</v>
      </c>
      <c r="BM109" s="225">
        <f t="shared" si="33"/>
        <v>0</v>
      </c>
      <c r="BN109" s="225"/>
      <c r="BO109" s="217"/>
      <c r="BP109" s="218">
        <f t="shared" si="34"/>
        <v>0</v>
      </c>
    </row>
    <row r="110" spans="1:68">
      <c r="A110" s="172">
        <v>103</v>
      </c>
      <c r="B110" s="172" t="s">
        <v>75</v>
      </c>
      <c r="C110" s="202">
        <v>33</v>
      </c>
      <c r="D110" s="172" t="s">
        <v>80</v>
      </c>
      <c r="E110" s="172" t="s">
        <v>410</v>
      </c>
      <c r="F110" s="202">
        <f>VLOOKUP(PrévisionBoris[[#This Row],[Spec]],TabModelSpecs[[ModelSpec]:[Price]],2,FALSE)</f>
        <v>32</v>
      </c>
      <c r="G110" s="172" t="s">
        <v>461</v>
      </c>
      <c r="H110" s="206">
        <f>SUMIFS(LstMachines[Nbre],LstMachines[Model-Spec],PrévisionBoris[[#This Row],[Spec]],LstMachines[Status],PrévisionBoris[[#This Row],[Status]],LstMachines[MoisLivr],H$1)</f>
        <v>0</v>
      </c>
      <c r="I110" s="207">
        <f>SUMIFS(LstMachines[Nbre],LstMachines[Model-Spec],PrévisionBoris[[#This Row],[Spec]],LstMachines[Status],PrévisionBoris[[#This Row],[Status]],LstMachines[MoisLivr],I$1)</f>
        <v>0</v>
      </c>
      <c r="J110" s="208">
        <f>SUMIFS(LstMachines[Nbre],LstMachines[Model-Spec],PrévisionBoris[[#This Row],[Spec]],LstMachines[Status],PrévisionBoris[[#This Row],[Status]],LstMachines[MoisLivr],J$1)</f>
        <v>0</v>
      </c>
      <c r="K110" s="206">
        <f>SUMIFS(LstMachines[Nbre],LstMachines[Model-Spec],PrévisionBoris[[#This Row],[Spec]],LstMachines[Status],PrévisionBoris[[#This Row],[Status]],LstMachines[MoisLivr],K$1)</f>
        <v>0</v>
      </c>
      <c r="L110" s="207">
        <f>SUMIFS(LstMachines[Nbre],LstMachines[Model-Spec],PrévisionBoris[[#This Row],[Spec]],LstMachines[Status],PrévisionBoris[[#This Row],[Status]],LstMachines[MoisLivr],L$1)</f>
        <v>0</v>
      </c>
      <c r="M110" s="208">
        <f>SUMIFS(LstMachines[Nbre],LstMachines[Model-Spec],PrévisionBoris[[#This Row],[Spec]],LstMachines[Status],PrévisionBoris[[#This Row],[Status]],LstMachines[MoisLivr],M$1)</f>
        <v>0</v>
      </c>
      <c r="N110" s="206">
        <f>SUMIFS(LstMachines[Nbre],LstMachines[Model-Spec],PrévisionBoris[[#This Row],[Spec]],LstMachines[Status],PrévisionBoris[[#This Row],[Status]],LstMachines[MoisLivr],N$1)</f>
        <v>0</v>
      </c>
      <c r="O110" s="207">
        <f>SUMIFS(LstMachines[Nbre],LstMachines[Model-Spec],PrévisionBoris[[#This Row],[Spec]],LstMachines[Status],PrévisionBoris[[#This Row],[Status]],LstMachines[MoisLivr],O$1)</f>
        <v>0</v>
      </c>
      <c r="P110" s="208">
        <f>SUMIFS(LstMachines[Nbre],LstMachines[Model-Spec],PrévisionBoris[[#This Row],[Spec]],LstMachines[Status],PrévisionBoris[[#This Row],[Status]],LstMachines[MoisLivr],P$1)</f>
        <v>0</v>
      </c>
      <c r="Q110" s="209">
        <f>SUMIFS(LstMachines[Nbre],LstMachines[Model-Spec],PrévisionBoris[[#This Row],[Spec]],LstMachines[Status],PrévisionBoris[[#This Row],[Status]],LstMachines[MoisLivr],Q$1)</f>
        <v>0</v>
      </c>
      <c r="R110" s="207">
        <f>SUMIFS(LstMachines[Nbre],LstMachines[Model-Spec],PrévisionBoris[[#This Row],[Spec]],LstMachines[Status],PrévisionBoris[[#This Row],[Status]],LstMachines[MoisLivr],R$1)</f>
        <v>0</v>
      </c>
      <c r="S110" s="207">
        <f>SUMIFS(LstMachines[Nbre],LstMachines[Model-Spec],PrévisionBoris[[#This Row],[Spec]],LstMachines[Status],PrévisionBoris[[#This Row],[Status]],LstMachines[MoisLivr],S$1)</f>
        <v>0</v>
      </c>
      <c r="T110" s="206">
        <f>SUMIFS(LstMachines[Nbre],LstMachines[Model-Spec],PrévisionBoris[[#This Row],[Spec]],LstMachines[Status],PrévisionBoris[[#This Row],[Status]],LstMachines[MoisLivr],T$1)</f>
        <v>0</v>
      </c>
      <c r="U110" s="207">
        <f>SUMIFS(LstMachines[Nbre],LstMachines[Model-Spec],PrévisionBoris[[#This Row],[Spec]],LstMachines[Status],PrévisionBoris[[#This Row],[Status]],LstMachines[MoisLivr],U$1)</f>
        <v>0</v>
      </c>
      <c r="V110" s="207">
        <f>SUMIFS(LstMachines[Nbre],LstMachines[Model-Spec],PrévisionBoris[[#This Row],[Spec]],LstMachines[Status],PrévisionBoris[[#This Row],[Status]],LstMachines[MoisLivr],V$1)</f>
        <v>0</v>
      </c>
      <c r="W110" s="206">
        <f>SUMIFS(LstMachines[Nbre],LstMachines[Model-Spec],PrévisionBoris[[#This Row],[Spec]],LstMachines[Status],PrévisionBoris[[#This Row],[Status]],LstMachines[MoisLivr],W$1)</f>
        <v>0</v>
      </c>
      <c r="X110" s="207">
        <f>SUMIFS(LstMachines[Nbre],LstMachines[Model-Spec],PrévisionBoris[[#This Row],[Spec]],LstMachines[Status],PrévisionBoris[[#This Row],[Status]],LstMachines[MoisLivr],X$1)</f>
        <v>0</v>
      </c>
      <c r="Y110" s="207">
        <f>SUMIFS(LstMachines[Nbre],LstMachines[Model-Spec],PrévisionBoris[[#This Row],[Spec]],LstMachines[Status],PrévisionBoris[[#This Row],[Status]],LstMachines[MoisLivr],Y$1)</f>
        <v>0</v>
      </c>
      <c r="Z110" s="206">
        <f>SUMIFS(LstMachines[Nbre],LstMachines[Model-Spec],PrévisionBoris[[#This Row],[Spec]],LstMachines[Status],PrévisionBoris[[#This Row],[Status]],LstMachines[MoisLivr],Z$1)</f>
        <v>0</v>
      </c>
      <c r="AA110" s="207">
        <f>SUMIFS(LstMachines[Nbre],LstMachines[Model-Spec],PrévisionBoris[[#This Row],[Spec]],LstMachines[Status],PrévisionBoris[[#This Row],[Status]],LstMachines[MoisLivr],AA$1)</f>
        <v>0</v>
      </c>
      <c r="AB110" s="207">
        <f>SUMIFS(LstMachines[Nbre],LstMachines[Model-Spec],PrévisionBoris[[#This Row],[Spec]],LstMachines[Status],PrévisionBoris[[#This Row],[Status]],LstMachines[MoisLivr],AB$1)</f>
        <v>0</v>
      </c>
      <c r="AC110" s="206">
        <f>SUMIFS(LstMachines[Nbre],LstMachines[Model-Spec],PrévisionBoris[[#This Row],[Spec]],LstMachines[Status],PrévisionBoris[[#This Row],[Status]],LstMachines[MoisLivr],AC$1)</f>
        <v>0</v>
      </c>
      <c r="AD110" s="207">
        <f>SUMIFS(LstMachines[Nbre],LstMachines[Model-Spec],PrévisionBoris[[#This Row],[Spec]],LstMachines[Status],PrévisionBoris[[#This Row],[Status]],LstMachines[MoisLivr],AD$1)</f>
        <v>0</v>
      </c>
      <c r="AE110" s="207">
        <f>SUMIFS(LstMachines[Nbre],LstMachines[Model-Spec],PrévisionBoris[[#This Row],[Spec]],LstMachines[Status],PrévisionBoris[[#This Row],[Status]],LstMachines[MoisLivr],AE$1)</f>
        <v>0</v>
      </c>
      <c r="AF110" s="206">
        <f>SUMIFS(LstMachines[Nbre],LstMachines[Model-Spec],PrévisionBoris[[#This Row],[Spec]],LstMachines[Status],PrévisionBoris[[#This Row],[Status]],LstMachines[MoisLivr],AF$1)</f>
        <v>0</v>
      </c>
      <c r="AG110" s="207">
        <f>SUMIFS(LstMachines[Nbre],LstMachines[Model-Spec],PrévisionBoris[[#This Row],[Spec]],LstMachines[Status],PrévisionBoris[[#This Row],[Status]],LstMachines[MoisLivr],AG$1)</f>
        <v>0</v>
      </c>
      <c r="AH110" s="207">
        <f>SUMIFS(LstMachines[Nbre],LstMachines[Model-Spec],PrévisionBoris[[#This Row],[Spec]],LstMachines[Status],PrévisionBoris[[#This Row],[Status]],LstMachines[MoisLivr],AH$1)</f>
        <v>0</v>
      </c>
      <c r="AI110" s="206">
        <f>SUMIFS(LstMachines[Nbre],LstMachines[Model-Spec],PrévisionBoris[[#This Row],[Spec]],LstMachines[Status],PrévisionBoris[[#This Row],[Status]],LstMachines[MoisLivr],AI$1)</f>
        <v>0</v>
      </c>
      <c r="AJ110" s="207">
        <f>SUMIFS(LstMachines[Nbre],LstMachines[Model-Spec],PrévisionBoris[[#This Row],[Spec]],LstMachines[Status],PrévisionBoris[[#This Row],[Status]],LstMachines[MoisLivr],AJ$1)</f>
        <v>0</v>
      </c>
      <c r="AK110" s="207">
        <f>SUMIFS(LstMachines[Nbre],LstMachines[Model-Spec],PrévisionBoris[[#This Row],[Spec]],LstMachines[Status],PrévisionBoris[[#This Row],[Status]],LstMachines[MoisLivr],AK$1)</f>
        <v>0</v>
      </c>
      <c r="AL110" s="206">
        <f>SUMIFS(LstMachines[Nbre],LstMachines[Model-Spec],PrévisionBoris[[#This Row],[Spec]],LstMachines[Status],PrévisionBoris[[#This Row],[Status]],LstMachines[MoisLivr],AL$1)</f>
        <v>0</v>
      </c>
      <c r="AM110" s="207">
        <f>SUMIFS(LstMachines[Nbre],LstMachines[Model-Spec],PrévisionBoris[[#This Row],[Spec]],LstMachines[Status],PrévisionBoris[[#This Row],[Status]],LstMachines[MoisLivr],AM$1)</f>
        <v>0</v>
      </c>
      <c r="AN110" s="207">
        <f>SUMIFS(LstMachines[Nbre],LstMachines[Model-Spec],PrévisionBoris[[#This Row],[Spec]],LstMachines[Status],PrévisionBoris[[#This Row],[Status]],LstMachines[MoisLivr],AN$1)</f>
        <v>0</v>
      </c>
      <c r="AO110" s="206">
        <f>SUMIFS(LstMachines[Nbre],LstMachines[Model-Spec],PrévisionBoris[[#This Row],[Spec]],LstMachines[Status],PrévisionBoris[[#This Row],[Status]],LstMachines[MoisLivr],AO$1)</f>
        <v>0</v>
      </c>
      <c r="AP110" s="207">
        <f>SUMIFS(LstMachines[Nbre],LstMachines[Model-Spec],PrévisionBoris[[#This Row],[Spec]],LstMachines[Status],PrévisionBoris[[#This Row],[Status]],LstMachines[MoisLivr],AP$1)</f>
        <v>0</v>
      </c>
      <c r="AQ110" s="207">
        <f>SUMIFS(LstMachines[Nbre],LstMachines[Model-Spec],PrévisionBoris[[#This Row],[Spec]],LstMachines[Status],PrévisionBoris[[#This Row],[Status]],LstMachines[MoisLivr],AQ$1)</f>
        <v>0</v>
      </c>
      <c r="AR110" s="206">
        <f>SUMIFS(LstMachines[Nbre],LstMachines[Model-Spec],PrévisionBoris[[#This Row],[Spec]],LstMachines[Status],PrévisionBoris[[#This Row],[Status]],LstMachines[MoisLivr],AR$1)</f>
        <v>0</v>
      </c>
      <c r="AS110" s="207">
        <f>SUMIFS(LstMachines[Nbre],LstMachines[Model-Spec],PrévisionBoris[[#This Row],[Spec]],LstMachines[Status],PrévisionBoris[[#This Row],[Status]],LstMachines[MoisLivr],AS$1)</f>
        <v>0</v>
      </c>
      <c r="AT110" s="207">
        <f>SUMIFS(LstMachines[Nbre],LstMachines[Model-Spec],PrévisionBoris[[#This Row],[Spec]],LstMachines[Status],PrévisionBoris[[#This Row],[Status]],LstMachines[MoisLivr],AT$1)</f>
        <v>0</v>
      </c>
      <c r="AU110" s="206">
        <f>SUMIFS(LstMachines[Nbre],LstMachines[Model-Spec],PrévisionBoris[[#This Row],[Spec]],LstMachines[Status],PrévisionBoris[[#This Row],[Status]],LstMachines[MoisLivr],AU$1)</f>
        <v>0</v>
      </c>
      <c r="AV110" s="233">
        <f>SUMIFS(LstMachines[Nbre],LstMachines[Model-Spec],PrévisionBoris[[#This Row],[Spec]],LstMachines[Status],PrévisionBoris[[#This Row],[Status]],LstMachines[MoisLivr],AV$1)</f>
        <v>0</v>
      </c>
      <c r="AW110" s="208">
        <f>SUMIFS(LstMachines[Nbre],LstMachines[Model-Spec],PrévisionBoris[[#This Row],[Spec]],LstMachines[Status],PrévisionBoris[[#This Row],[Status]],LstMachines[MoisLivr],AW$1)</f>
        <v>0</v>
      </c>
      <c r="AX110" s="225"/>
      <c r="AY110" s="211">
        <f t="shared" si="19"/>
        <v>0</v>
      </c>
      <c r="AZ110" s="212">
        <f t="shared" si="20"/>
        <v>0</v>
      </c>
      <c r="BA110" s="212">
        <f t="shared" si="21"/>
        <v>0</v>
      </c>
      <c r="BB110" s="213">
        <f t="shared" si="22"/>
        <v>0</v>
      </c>
      <c r="BC110" s="225">
        <f t="shared" si="23"/>
        <v>0</v>
      </c>
      <c r="BD110" s="211">
        <f t="shared" si="24"/>
        <v>0</v>
      </c>
      <c r="BE110" s="212">
        <f t="shared" si="25"/>
        <v>0</v>
      </c>
      <c r="BF110" s="212">
        <f t="shared" si="26"/>
        <v>0</v>
      </c>
      <c r="BG110" s="213">
        <f t="shared" si="27"/>
        <v>0</v>
      </c>
      <c r="BH110" s="225">
        <f t="shared" si="28"/>
        <v>0</v>
      </c>
      <c r="BI110" s="214">
        <f t="shared" si="29"/>
        <v>0</v>
      </c>
      <c r="BJ110" s="215">
        <f t="shared" si="30"/>
        <v>0</v>
      </c>
      <c r="BK110" s="215">
        <f t="shared" si="31"/>
        <v>0</v>
      </c>
      <c r="BL110" s="216">
        <f t="shared" si="32"/>
        <v>0</v>
      </c>
      <c r="BM110" s="225">
        <f t="shared" si="33"/>
        <v>0</v>
      </c>
      <c r="BN110" s="225"/>
      <c r="BO110" s="234"/>
      <c r="BP110" s="218">
        <f t="shared" si="34"/>
        <v>0</v>
      </c>
    </row>
    <row r="111" spans="1:68">
      <c r="A111" s="170">
        <v>104</v>
      </c>
      <c r="B111" s="170" t="s">
        <v>75</v>
      </c>
      <c r="C111" s="200">
        <v>33</v>
      </c>
      <c r="D111" s="170" t="s">
        <v>80</v>
      </c>
      <c r="E111" s="170" t="s">
        <v>410</v>
      </c>
      <c r="F111" s="200">
        <f>VLOOKUP(PrévisionBoris[[#This Row],[Spec]],TabModelSpecs[[ModelSpec]:[Price]],2,FALSE)</f>
        <v>32</v>
      </c>
      <c r="G111" s="170" t="s">
        <v>462</v>
      </c>
      <c r="H111" s="219">
        <f>SUMIFS(LstMachines[Nbre],LstMachines[Model-Spec],PrévisionBoris[[#This Row],[Spec]],LstMachines[Status],PrévisionBoris[[#This Row],[Status]],LstMachines[MoisLivr],H$1)</f>
        <v>0</v>
      </c>
      <c r="I111" s="220">
        <f>SUMIFS(LstMachines[Nbre],LstMachines[Model-Spec],PrévisionBoris[[#This Row],[Spec]],LstMachines[Status],PrévisionBoris[[#This Row],[Status]],LstMachines[MoisLivr],I$1)</f>
        <v>0</v>
      </c>
      <c r="J111" s="221">
        <f>SUMIFS(LstMachines[Nbre],LstMachines[Model-Spec],PrévisionBoris[[#This Row],[Spec]],LstMachines[Status],PrévisionBoris[[#This Row],[Status]],LstMachines[MoisLivr],J$1)</f>
        <v>0</v>
      </c>
      <c r="K111" s="219">
        <f>SUMIFS(LstMachines[Nbre],LstMachines[Model-Spec],PrévisionBoris[[#This Row],[Spec]],LstMachines[Status],PrévisionBoris[[#This Row],[Status]],LstMachines[MoisLivr],K$1)</f>
        <v>0</v>
      </c>
      <c r="L111" s="220">
        <f>SUMIFS(LstMachines[Nbre],LstMachines[Model-Spec],PrévisionBoris[[#This Row],[Spec]],LstMachines[Status],PrévisionBoris[[#This Row],[Status]],LstMachines[MoisLivr],L$1)</f>
        <v>0</v>
      </c>
      <c r="M111" s="221">
        <f>SUMIFS(LstMachines[Nbre],LstMachines[Model-Spec],PrévisionBoris[[#This Row],[Spec]],LstMachines[Status],PrévisionBoris[[#This Row],[Status]],LstMachines[MoisLivr],M$1)</f>
        <v>0</v>
      </c>
      <c r="N111" s="219">
        <f>SUMIFS(LstMachines[Nbre],LstMachines[Model-Spec],PrévisionBoris[[#This Row],[Spec]],LstMachines[Status],PrévisionBoris[[#This Row],[Status]],LstMachines[MoisLivr],N$1)</f>
        <v>0</v>
      </c>
      <c r="O111" s="220">
        <f>SUMIFS(LstMachines[Nbre],LstMachines[Model-Spec],PrévisionBoris[[#This Row],[Spec]],LstMachines[Status],PrévisionBoris[[#This Row],[Status]],LstMachines[MoisLivr],O$1)</f>
        <v>0</v>
      </c>
      <c r="P111" s="221">
        <f>SUMIFS(LstMachines[Nbre],LstMachines[Model-Spec],PrévisionBoris[[#This Row],[Spec]],LstMachines[Status],PrévisionBoris[[#This Row],[Status]],LstMachines[MoisLivr],P$1)</f>
        <v>0</v>
      </c>
      <c r="Q111" s="222">
        <f>SUMIFS(LstMachines[Nbre],LstMachines[Model-Spec],PrévisionBoris[[#This Row],[Spec]],LstMachines[Status],PrévisionBoris[[#This Row],[Status]],LstMachines[MoisLivr],Q$1)</f>
        <v>0</v>
      </c>
      <c r="R111" s="220">
        <f>SUMIFS(LstMachines[Nbre],LstMachines[Model-Spec],PrévisionBoris[[#This Row],[Spec]],LstMachines[Status],PrévisionBoris[[#This Row],[Status]],LstMachines[MoisLivr],R$1)</f>
        <v>0</v>
      </c>
      <c r="S111" s="220">
        <f>SUMIFS(LstMachines[Nbre],LstMachines[Model-Spec],PrévisionBoris[[#This Row],[Spec]],LstMachines[Status],PrévisionBoris[[#This Row],[Status]],LstMachines[MoisLivr],S$1)</f>
        <v>0</v>
      </c>
      <c r="T111" s="219">
        <f>SUMIFS(LstMachines[Nbre],LstMachines[Model-Spec],PrévisionBoris[[#This Row],[Spec]],LstMachines[Status],PrévisionBoris[[#This Row],[Status]],LstMachines[MoisLivr],T$1)</f>
        <v>0</v>
      </c>
      <c r="U111" s="220">
        <f>SUMIFS(LstMachines[Nbre],LstMachines[Model-Spec],PrévisionBoris[[#This Row],[Spec]],LstMachines[Status],PrévisionBoris[[#This Row],[Status]],LstMachines[MoisLivr],U$1)</f>
        <v>0</v>
      </c>
      <c r="V111" s="220">
        <f>SUMIFS(LstMachines[Nbre],LstMachines[Model-Spec],PrévisionBoris[[#This Row],[Spec]],LstMachines[Status],PrévisionBoris[[#This Row],[Status]],LstMachines[MoisLivr],V$1)</f>
        <v>0</v>
      </c>
      <c r="W111" s="219">
        <f>SUMIFS(LstMachines[Nbre],LstMachines[Model-Spec],PrévisionBoris[[#This Row],[Spec]],LstMachines[Status],PrévisionBoris[[#This Row],[Status]],LstMachines[MoisLivr],W$1)</f>
        <v>0</v>
      </c>
      <c r="X111" s="220">
        <f>SUMIFS(LstMachines[Nbre],LstMachines[Model-Spec],PrévisionBoris[[#This Row],[Spec]],LstMachines[Status],PrévisionBoris[[#This Row],[Status]],LstMachines[MoisLivr],X$1)</f>
        <v>0</v>
      </c>
      <c r="Y111" s="220">
        <f>SUMIFS(LstMachines[Nbre],LstMachines[Model-Spec],PrévisionBoris[[#This Row],[Spec]],LstMachines[Status],PrévisionBoris[[#This Row],[Status]],LstMachines[MoisLivr],Y$1)</f>
        <v>0</v>
      </c>
      <c r="Z111" s="219">
        <f>SUMIFS(LstMachines[Nbre],LstMachines[Model-Spec],PrévisionBoris[[#This Row],[Spec]],LstMachines[Status],PrévisionBoris[[#This Row],[Status]],LstMachines[MoisLivr],Z$1)</f>
        <v>0</v>
      </c>
      <c r="AA111" s="220">
        <f>SUMIFS(LstMachines[Nbre],LstMachines[Model-Spec],PrévisionBoris[[#This Row],[Spec]],LstMachines[Status],PrévisionBoris[[#This Row],[Status]],LstMachines[MoisLivr],AA$1)</f>
        <v>0</v>
      </c>
      <c r="AB111" s="220">
        <f>SUMIFS(LstMachines[Nbre],LstMachines[Model-Spec],PrévisionBoris[[#This Row],[Spec]],LstMachines[Status],PrévisionBoris[[#This Row],[Status]],LstMachines[MoisLivr],AB$1)</f>
        <v>0</v>
      </c>
      <c r="AC111" s="219">
        <f>SUMIFS(LstMachines[Nbre],LstMachines[Model-Spec],PrévisionBoris[[#This Row],[Spec]],LstMachines[Status],PrévisionBoris[[#This Row],[Status]],LstMachines[MoisLivr],AC$1)</f>
        <v>0</v>
      </c>
      <c r="AD111" s="220">
        <f>SUMIFS(LstMachines[Nbre],LstMachines[Model-Spec],PrévisionBoris[[#This Row],[Spec]],LstMachines[Status],PrévisionBoris[[#This Row],[Status]],LstMachines[MoisLivr],AD$1)</f>
        <v>0</v>
      </c>
      <c r="AE111" s="220">
        <f>SUMIFS(LstMachines[Nbre],LstMachines[Model-Spec],PrévisionBoris[[#This Row],[Spec]],LstMachines[Status],PrévisionBoris[[#This Row],[Status]],LstMachines[MoisLivr],AE$1)</f>
        <v>0</v>
      </c>
      <c r="AF111" s="219">
        <f>SUMIFS(LstMachines[Nbre],LstMachines[Model-Spec],PrévisionBoris[[#This Row],[Spec]],LstMachines[Status],PrévisionBoris[[#This Row],[Status]],LstMachines[MoisLivr],AF$1)</f>
        <v>0</v>
      </c>
      <c r="AG111" s="220">
        <f>SUMIFS(LstMachines[Nbre],LstMachines[Model-Spec],PrévisionBoris[[#This Row],[Spec]],LstMachines[Status],PrévisionBoris[[#This Row],[Status]],LstMachines[MoisLivr],AG$1)</f>
        <v>0</v>
      </c>
      <c r="AH111" s="220">
        <f>SUMIFS(LstMachines[Nbre],LstMachines[Model-Spec],PrévisionBoris[[#This Row],[Spec]],LstMachines[Status],PrévisionBoris[[#This Row],[Status]],LstMachines[MoisLivr],AH$1)</f>
        <v>0</v>
      </c>
      <c r="AI111" s="219">
        <f>SUMIFS(LstMachines[Nbre],LstMachines[Model-Spec],PrévisionBoris[[#This Row],[Spec]],LstMachines[Status],PrévisionBoris[[#This Row],[Status]],LstMachines[MoisLivr],AI$1)</f>
        <v>0</v>
      </c>
      <c r="AJ111" s="220">
        <f>SUMIFS(LstMachines[Nbre],LstMachines[Model-Spec],PrévisionBoris[[#This Row],[Spec]],LstMachines[Status],PrévisionBoris[[#This Row],[Status]],LstMachines[MoisLivr],AJ$1)</f>
        <v>0</v>
      </c>
      <c r="AK111" s="220">
        <f>SUMIFS(LstMachines[Nbre],LstMachines[Model-Spec],PrévisionBoris[[#This Row],[Spec]],LstMachines[Status],PrévisionBoris[[#This Row],[Status]],LstMachines[MoisLivr],AK$1)</f>
        <v>0</v>
      </c>
      <c r="AL111" s="219">
        <f>SUMIFS(LstMachines[Nbre],LstMachines[Model-Spec],PrévisionBoris[[#This Row],[Spec]],LstMachines[Status],PrévisionBoris[[#This Row],[Status]],LstMachines[MoisLivr],AL$1)</f>
        <v>0</v>
      </c>
      <c r="AM111" s="220">
        <f>SUMIFS(LstMachines[Nbre],LstMachines[Model-Spec],PrévisionBoris[[#This Row],[Spec]],LstMachines[Status],PrévisionBoris[[#This Row],[Status]],LstMachines[MoisLivr],AM$1)</f>
        <v>0</v>
      </c>
      <c r="AN111" s="220">
        <f>SUMIFS(LstMachines[Nbre],LstMachines[Model-Spec],PrévisionBoris[[#This Row],[Spec]],LstMachines[Status],PrévisionBoris[[#This Row],[Status]],LstMachines[MoisLivr],AN$1)</f>
        <v>0</v>
      </c>
      <c r="AO111" s="219">
        <f>SUMIFS(LstMachines[Nbre],LstMachines[Model-Spec],PrévisionBoris[[#This Row],[Spec]],LstMachines[Status],PrévisionBoris[[#This Row],[Status]],LstMachines[MoisLivr],AO$1)</f>
        <v>0</v>
      </c>
      <c r="AP111" s="220">
        <f>SUMIFS(LstMachines[Nbre],LstMachines[Model-Spec],PrévisionBoris[[#This Row],[Spec]],LstMachines[Status],PrévisionBoris[[#This Row],[Status]],LstMachines[MoisLivr],AP$1)</f>
        <v>0</v>
      </c>
      <c r="AQ111" s="220">
        <f>SUMIFS(LstMachines[Nbre],LstMachines[Model-Spec],PrévisionBoris[[#This Row],[Spec]],LstMachines[Status],PrévisionBoris[[#This Row],[Status]],LstMachines[MoisLivr],AQ$1)</f>
        <v>0</v>
      </c>
      <c r="AR111" s="219">
        <f>SUMIFS(LstMachines[Nbre],LstMachines[Model-Spec],PrévisionBoris[[#This Row],[Spec]],LstMachines[Status],PrévisionBoris[[#This Row],[Status]],LstMachines[MoisLivr],AR$1)</f>
        <v>0</v>
      </c>
      <c r="AS111" s="220">
        <f>SUMIFS(LstMachines[Nbre],LstMachines[Model-Spec],PrévisionBoris[[#This Row],[Spec]],LstMachines[Status],PrévisionBoris[[#This Row],[Status]],LstMachines[MoisLivr],AS$1)</f>
        <v>0</v>
      </c>
      <c r="AT111" s="220">
        <f>SUMIFS(LstMachines[Nbre],LstMachines[Model-Spec],PrévisionBoris[[#This Row],[Spec]],LstMachines[Status],PrévisionBoris[[#This Row],[Status]],LstMachines[MoisLivr],AT$1)</f>
        <v>0</v>
      </c>
      <c r="AU111" s="219">
        <f>SUMIFS(LstMachines[Nbre],LstMachines[Model-Spec],PrévisionBoris[[#This Row],[Spec]],LstMachines[Status],PrévisionBoris[[#This Row],[Status]],LstMachines[MoisLivr],AU$1)</f>
        <v>0</v>
      </c>
      <c r="AV111" s="223">
        <f>SUMIFS(LstMachines[Nbre],LstMachines[Model-Spec],PrévisionBoris[[#This Row],[Spec]],LstMachines[Status],PrévisionBoris[[#This Row],[Status]],LstMachines[MoisLivr],AV$1)</f>
        <v>0</v>
      </c>
      <c r="AW111" s="224">
        <f>SUMIFS(LstMachines[Nbre],LstMachines[Model-Spec],PrévisionBoris[[#This Row],[Spec]],LstMachines[Status],PrévisionBoris[[#This Row],[Status]],LstMachines[MoisLivr],AW$1)</f>
        <v>0</v>
      </c>
      <c r="AX111" s="210"/>
      <c r="AY111" s="211">
        <f t="shared" si="19"/>
        <v>0</v>
      </c>
      <c r="AZ111" s="212">
        <f t="shared" si="20"/>
        <v>0</v>
      </c>
      <c r="BA111" s="212">
        <f t="shared" si="21"/>
        <v>0</v>
      </c>
      <c r="BB111" s="213">
        <f t="shared" si="22"/>
        <v>0</v>
      </c>
      <c r="BC111" s="225">
        <f t="shared" si="23"/>
        <v>0</v>
      </c>
      <c r="BD111" s="211">
        <f t="shared" si="24"/>
        <v>0</v>
      </c>
      <c r="BE111" s="212">
        <f t="shared" si="25"/>
        <v>0</v>
      </c>
      <c r="BF111" s="212">
        <f t="shared" si="26"/>
        <v>0</v>
      </c>
      <c r="BG111" s="213">
        <f t="shared" si="27"/>
        <v>0</v>
      </c>
      <c r="BH111" s="225">
        <f t="shared" si="28"/>
        <v>0</v>
      </c>
      <c r="BI111" s="214">
        <f t="shared" si="29"/>
        <v>0</v>
      </c>
      <c r="BJ111" s="215">
        <f t="shared" si="30"/>
        <v>0</v>
      </c>
      <c r="BK111" s="215">
        <f t="shared" si="31"/>
        <v>0</v>
      </c>
      <c r="BL111" s="216">
        <f t="shared" si="32"/>
        <v>0</v>
      </c>
      <c r="BM111" s="225">
        <f t="shared" si="33"/>
        <v>0</v>
      </c>
      <c r="BN111" s="225"/>
      <c r="BO111" s="217"/>
      <c r="BP111" s="218">
        <f t="shared" si="34"/>
        <v>0</v>
      </c>
    </row>
    <row r="112" spans="1:68">
      <c r="A112" s="171">
        <v>105</v>
      </c>
      <c r="B112" s="171" t="s">
        <v>75</v>
      </c>
      <c r="C112" s="201">
        <v>33</v>
      </c>
      <c r="D112" s="171" t="s">
        <v>80</v>
      </c>
      <c r="E112" s="171" t="s">
        <v>410</v>
      </c>
      <c r="F112" s="201">
        <f>VLOOKUP(PrévisionBoris[[#This Row],[Spec]],TabModelSpecs[[ModelSpec]:[Price]],2,FALSE)</f>
        <v>32</v>
      </c>
      <c r="G112" s="171" t="s">
        <v>463</v>
      </c>
      <c r="H112" s="226">
        <f>SUMIFS(LstMachines[Nbre],LstMachines[Model-Spec],PrévisionBoris[[#This Row],[Spec]],LstMachines[Status],PrévisionBoris[[#This Row],[Status]],LstMachines[MoisLivr],H$1)</f>
        <v>0</v>
      </c>
      <c r="I112" s="227">
        <f>SUMIFS(LstMachines[Nbre],LstMachines[Model-Spec],PrévisionBoris[[#This Row],[Spec]],LstMachines[Status],PrévisionBoris[[#This Row],[Status]],LstMachines[MoisLivr],I$1)</f>
        <v>0</v>
      </c>
      <c r="J112" s="228">
        <f>SUMIFS(LstMachines[Nbre],LstMachines[Model-Spec],PrévisionBoris[[#This Row],[Spec]],LstMachines[Status],PrévisionBoris[[#This Row],[Status]],LstMachines[MoisLivr],J$1)</f>
        <v>0</v>
      </c>
      <c r="K112" s="226">
        <f>SUMIFS(LstMachines[Nbre],LstMachines[Model-Spec],PrévisionBoris[[#This Row],[Spec]],LstMachines[Status],PrévisionBoris[[#This Row],[Status]],LstMachines[MoisLivr],K$1)</f>
        <v>0</v>
      </c>
      <c r="L112" s="227">
        <f>SUMIFS(LstMachines[Nbre],LstMachines[Model-Spec],PrévisionBoris[[#This Row],[Spec]],LstMachines[Status],PrévisionBoris[[#This Row],[Status]],LstMachines[MoisLivr],L$1)</f>
        <v>0</v>
      </c>
      <c r="M112" s="228">
        <f>SUMIFS(LstMachines[Nbre],LstMachines[Model-Spec],PrévisionBoris[[#This Row],[Spec]],LstMachines[Status],PrévisionBoris[[#This Row],[Status]],LstMachines[MoisLivr],M$1)</f>
        <v>0</v>
      </c>
      <c r="N112" s="226">
        <f>SUMIFS(LstMachines[Nbre],LstMachines[Model-Spec],PrévisionBoris[[#This Row],[Spec]],LstMachines[Status],PrévisionBoris[[#This Row],[Status]],LstMachines[MoisLivr],N$1)</f>
        <v>0</v>
      </c>
      <c r="O112" s="227">
        <f>SUMIFS(LstMachines[Nbre],LstMachines[Model-Spec],PrévisionBoris[[#This Row],[Spec]],LstMachines[Status],PrévisionBoris[[#This Row],[Status]],LstMachines[MoisLivr],O$1)</f>
        <v>0</v>
      </c>
      <c r="P112" s="228">
        <f>SUMIFS(LstMachines[Nbre],LstMachines[Model-Spec],PrévisionBoris[[#This Row],[Spec]],LstMachines[Status],PrévisionBoris[[#This Row],[Status]],LstMachines[MoisLivr],P$1)</f>
        <v>0</v>
      </c>
      <c r="Q112" s="229">
        <f>SUMIFS(LstMachines[Nbre],LstMachines[Model-Spec],PrévisionBoris[[#This Row],[Spec]],LstMachines[Status],PrévisionBoris[[#This Row],[Status]],LstMachines[MoisLivr],Q$1)</f>
        <v>0</v>
      </c>
      <c r="R112" s="227">
        <f>SUMIFS(LstMachines[Nbre],LstMachines[Model-Spec],PrévisionBoris[[#This Row],[Spec]],LstMachines[Status],PrévisionBoris[[#This Row],[Status]],LstMachines[MoisLivr],R$1)</f>
        <v>0</v>
      </c>
      <c r="S112" s="227">
        <f>SUMIFS(LstMachines[Nbre],LstMachines[Model-Spec],PrévisionBoris[[#This Row],[Spec]],LstMachines[Status],PrévisionBoris[[#This Row],[Status]],LstMachines[MoisLivr],S$1)</f>
        <v>0</v>
      </c>
      <c r="T112" s="226">
        <f>SUMIFS(LstMachines[Nbre],LstMachines[Model-Spec],PrévisionBoris[[#This Row],[Spec]],LstMachines[Status],PrévisionBoris[[#This Row],[Status]],LstMachines[MoisLivr],T$1)</f>
        <v>0</v>
      </c>
      <c r="U112" s="227">
        <f>SUMIFS(LstMachines[Nbre],LstMachines[Model-Spec],PrévisionBoris[[#This Row],[Spec]],LstMachines[Status],PrévisionBoris[[#This Row],[Status]],LstMachines[MoisLivr],U$1)</f>
        <v>0</v>
      </c>
      <c r="V112" s="227">
        <f>SUMIFS(LstMachines[Nbre],LstMachines[Model-Spec],PrévisionBoris[[#This Row],[Spec]],LstMachines[Status],PrévisionBoris[[#This Row],[Status]],LstMachines[MoisLivr],V$1)</f>
        <v>0</v>
      </c>
      <c r="W112" s="226">
        <f>SUMIFS(LstMachines[Nbre],LstMachines[Model-Spec],PrévisionBoris[[#This Row],[Spec]],LstMachines[Status],PrévisionBoris[[#This Row],[Status]],LstMachines[MoisLivr],W$1)</f>
        <v>0</v>
      </c>
      <c r="X112" s="227">
        <f>SUMIFS(LstMachines[Nbre],LstMachines[Model-Spec],PrévisionBoris[[#This Row],[Spec]],LstMachines[Status],PrévisionBoris[[#This Row],[Status]],LstMachines[MoisLivr],X$1)</f>
        <v>0</v>
      </c>
      <c r="Y112" s="227">
        <f>SUMIFS(LstMachines[Nbre],LstMachines[Model-Spec],PrévisionBoris[[#This Row],[Spec]],LstMachines[Status],PrévisionBoris[[#This Row],[Status]],LstMachines[MoisLivr],Y$1)</f>
        <v>0</v>
      </c>
      <c r="Z112" s="226">
        <f>SUMIFS(LstMachines[Nbre],LstMachines[Model-Spec],PrévisionBoris[[#This Row],[Spec]],LstMachines[Status],PrévisionBoris[[#This Row],[Status]],LstMachines[MoisLivr],Z$1)</f>
        <v>0</v>
      </c>
      <c r="AA112" s="227">
        <f>SUMIFS(LstMachines[Nbre],LstMachines[Model-Spec],PrévisionBoris[[#This Row],[Spec]],LstMachines[Status],PrévisionBoris[[#This Row],[Status]],LstMachines[MoisLivr],AA$1)</f>
        <v>0</v>
      </c>
      <c r="AB112" s="227">
        <f>SUMIFS(LstMachines[Nbre],LstMachines[Model-Spec],PrévisionBoris[[#This Row],[Spec]],LstMachines[Status],PrévisionBoris[[#This Row],[Status]],LstMachines[MoisLivr],AB$1)</f>
        <v>0</v>
      </c>
      <c r="AC112" s="226">
        <f>SUMIFS(LstMachines[Nbre],LstMachines[Model-Spec],PrévisionBoris[[#This Row],[Spec]],LstMachines[Status],PrévisionBoris[[#This Row],[Status]],LstMachines[MoisLivr],AC$1)</f>
        <v>0</v>
      </c>
      <c r="AD112" s="227">
        <f>SUMIFS(LstMachines[Nbre],LstMachines[Model-Spec],PrévisionBoris[[#This Row],[Spec]],LstMachines[Status],PrévisionBoris[[#This Row],[Status]],LstMachines[MoisLivr],AD$1)</f>
        <v>0</v>
      </c>
      <c r="AE112" s="227">
        <f>SUMIFS(LstMachines[Nbre],LstMachines[Model-Spec],PrévisionBoris[[#This Row],[Spec]],LstMachines[Status],PrévisionBoris[[#This Row],[Status]],LstMachines[MoisLivr],AE$1)</f>
        <v>0</v>
      </c>
      <c r="AF112" s="226">
        <f>SUMIFS(LstMachines[Nbre],LstMachines[Model-Spec],PrévisionBoris[[#This Row],[Spec]],LstMachines[Status],PrévisionBoris[[#This Row],[Status]],LstMachines[MoisLivr],AF$1)</f>
        <v>0</v>
      </c>
      <c r="AG112" s="227">
        <f>SUMIFS(LstMachines[Nbre],LstMachines[Model-Spec],PrévisionBoris[[#This Row],[Spec]],LstMachines[Status],PrévisionBoris[[#This Row],[Status]],LstMachines[MoisLivr],AG$1)</f>
        <v>0</v>
      </c>
      <c r="AH112" s="227">
        <f>SUMIFS(LstMachines[Nbre],LstMachines[Model-Spec],PrévisionBoris[[#This Row],[Spec]],LstMachines[Status],PrévisionBoris[[#This Row],[Status]],LstMachines[MoisLivr],AH$1)</f>
        <v>0</v>
      </c>
      <c r="AI112" s="226">
        <f>SUMIFS(LstMachines[Nbre],LstMachines[Model-Spec],PrévisionBoris[[#This Row],[Spec]],LstMachines[Status],PrévisionBoris[[#This Row],[Status]],LstMachines[MoisLivr],AI$1)</f>
        <v>0</v>
      </c>
      <c r="AJ112" s="227">
        <f>SUMIFS(LstMachines[Nbre],LstMachines[Model-Spec],PrévisionBoris[[#This Row],[Spec]],LstMachines[Status],PrévisionBoris[[#This Row],[Status]],LstMachines[MoisLivr],AJ$1)</f>
        <v>0</v>
      </c>
      <c r="AK112" s="227">
        <f>SUMIFS(LstMachines[Nbre],LstMachines[Model-Spec],PrévisionBoris[[#This Row],[Spec]],LstMachines[Status],PrévisionBoris[[#This Row],[Status]],LstMachines[MoisLivr],AK$1)</f>
        <v>0</v>
      </c>
      <c r="AL112" s="226">
        <f>SUMIFS(LstMachines[Nbre],LstMachines[Model-Spec],PrévisionBoris[[#This Row],[Spec]],LstMachines[Status],PrévisionBoris[[#This Row],[Status]],LstMachines[MoisLivr],AL$1)</f>
        <v>0</v>
      </c>
      <c r="AM112" s="227">
        <f>SUMIFS(LstMachines[Nbre],LstMachines[Model-Spec],PrévisionBoris[[#This Row],[Spec]],LstMachines[Status],PrévisionBoris[[#This Row],[Status]],LstMachines[MoisLivr],AM$1)</f>
        <v>0</v>
      </c>
      <c r="AN112" s="227">
        <f>SUMIFS(LstMachines[Nbre],LstMachines[Model-Spec],PrévisionBoris[[#This Row],[Spec]],LstMachines[Status],PrévisionBoris[[#This Row],[Status]],LstMachines[MoisLivr],AN$1)</f>
        <v>0</v>
      </c>
      <c r="AO112" s="226">
        <f>SUMIFS(LstMachines[Nbre],LstMachines[Model-Spec],PrévisionBoris[[#This Row],[Spec]],LstMachines[Status],PrévisionBoris[[#This Row],[Status]],LstMachines[MoisLivr],AO$1)</f>
        <v>0</v>
      </c>
      <c r="AP112" s="227">
        <f>SUMIFS(LstMachines[Nbre],LstMachines[Model-Spec],PrévisionBoris[[#This Row],[Spec]],LstMachines[Status],PrévisionBoris[[#This Row],[Status]],LstMachines[MoisLivr],AP$1)</f>
        <v>0</v>
      </c>
      <c r="AQ112" s="227">
        <f>SUMIFS(LstMachines[Nbre],LstMachines[Model-Spec],PrévisionBoris[[#This Row],[Spec]],LstMachines[Status],PrévisionBoris[[#This Row],[Status]],LstMachines[MoisLivr],AQ$1)</f>
        <v>0</v>
      </c>
      <c r="AR112" s="226">
        <f>SUMIFS(LstMachines[Nbre],LstMachines[Model-Spec],PrévisionBoris[[#This Row],[Spec]],LstMachines[Status],PrévisionBoris[[#This Row],[Status]],LstMachines[MoisLivr],AR$1)</f>
        <v>0</v>
      </c>
      <c r="AS112" s="227">
        <f>SUMIFS(LstMachines[Nbre],LstMachines[Model-Spec],PrévisionBoris[[#This Row],[Spec]],LstMachines[Status],PrévisionBoris[[#This Row],[Status]],LstMachines[MoisLivr],AS$1)</f>
        <v>0</v>
      </c>
      <c r="AT112" s="227">
        <f>SUMIFS(LstMachines[Nbre],LstMachines[Model-Spec],PrévisionBoris[[#This Row],[Spec]],LstMachines[Status],PrévisionBoris[[#This Row],[Status]],LstMachines[MoisLivr],AT$1)</f>
        <v>0</v>
      </c>
      <c r="AU112" s="226">
        <f>SUMIFS(LstMachines[Nbre],LstMachines[Model-Spec],PrévisionBoris[[#This Row],[Spec]],LstMachines[Status],PrévisionBoris[[#This Row],[Status]],LstMachines[MoisLivr],AU$1)</f>
        <v>0</v>
      </c>
      <c r="AV112" s="230">
        <f>SUMIFS(LstMachines[Nbre],LstMachines[Model-Spec],PrévisionBoris[[#This Row],[Spec]],LstMachines[Status],PrévisionBoris[[#This Row],[Status]],LstMachines[MoisLivr],AV$1)</f>
        <v>0</v>
      </c>
      <c r="AW112" s="231">
        <f>SUMIFS(LstMachines[Nbre],LstMachines[Model-Spec],PrévisionBoris[[#This Row],[Spec]],LstMachines[Status],PrévisionBoris[[#This Row],[Status]],LstMachines[MoisLivr],AW$1)</f>
        <v>0</v>
      </c>
      <c r="AX112" s="232"/>
      <c r="AY112" s="211">
        <f t="shared" si="19"/>
        <v>0</v>
      </c>
      <c r="AZ112" s="212">
        <f t="shared" si="20"/>
        <v>0</v>
      </c>
      <c r="BA112" s="212">
        <f t="shared" si="21"/>
        <v>0</v>
      </c>
      <c r="BB112" s="213">
        <f t="shared" si="22"/>
        <v>0</v>
      </c>
      <c r="BC112" s="225">
        <f t="shared" si="23"/>
        <v>0</v>
      </c>
      <c r="BD112" s="211">
        <f t="shared" si="24"/>
        <v>0</v>
      </c>
      <c r="BE112" s="212">
        <f t="shared" si="25"/>
        <v>0</v>
      </c>
      <c r="BF112" s="212">
        <f t="shared" si="26"/>
        <v>0</v>
      </c>
      <c r="BG112" s="213">
        <f t="shared" si="27"/>
        <v>0</v>
      </c>
      <c r="BH112" s="225">
        <f t="shared" si="28"/>
        <v>0</v>
      </c>
      <c r="BI112" s="214">
        <f t="shared" si="29"/>
        <v>0</v>
      </c>
      <c r="BJ112" s="215">
        <f t="shared" si="30"/>
        <v>0</v>
      </c>
      <c r="BK112" s="215">
        <f t="shared" si="31"/>
        <v>0</v>
      </c>
      <c r="BL112" s="216">
        <f t="shared" si="32"/>
        <v>0</v>
      </c>
      <c r="BM112" s="225">
        <f t="shared" si="33"/>
        <v>0</v>
      </c>
      <c r="BN112" s="225"/>
      <c r="BO112" s="217"/>
      <c r="BP112" s="218">
        <f t="shared" si="34"/>
        <v>0</v>
      </c>
    </row>
    <row r="113" spans="1:68">
      <c r="A113" s="172">
        <v>106</v>
      </c>
      <c r="B113" s="172" t="s">
        <v>75</v>
      </c>
      <c r="C113" s="202">
        <v>33</v>
      </c>
      <c r="D113" s="172" t="s">
        <v>80</v>
      </c>
      <c r="E113" s="172" t="s">
        <v>411</v>
      </c>
      <c r="F113" s="202">
        <f>VLOOKUP(PrévisionBoris[[#This Row],[Spec]],TabModelSpecs[[ModelSpec]:[Price]],2,FALSE)</f>
        <v>32</v>
      </c>
      <c r="G113" s="172" t="s">
        <v>461</v>
      </c>
      <c r="H113" s="206">
        <f>SUMIFS(LstMachines[Nbre],LstMachines[Model-Spec],PrévisionBoris[[#This Row],[Spec]],LstMachines[Status],PrévisionBoris[[#This Row],[Status]],LstMachines[MoisLivr],H$1)</f>
        <v>0</v>
      </c>
      <c r="I113" s="207">
        <f>SUMIFS(LstMachines[Nbre],LstMachines[Model-Spec],PrévisionBoris[[#This Row],[Spec]],LstMachines[Status],PrévisionBoris[[#This Row],[Status]],LstMachines[MoisLivr],I$1)</f>
        <v>0</v>
      </c>
      <c r="J113" s="208">
        <f>SUMIFS(LstMachines[Nbre],LstMachines[Model-Spec],PrévisionBoris[[#This Row],[Spec]],LstMachines[Status],PrévisionBoris[[#This Row],[Status]],LstMachines[MoisLivr],J$1)</f>
        <v>0</v>
      </c>
      <c r="K113" s="206">
        <f>SUMIFS(LstMachines[Nbre],LstMachines[Model-Spec],PrévisionBoris[[#This Row],[Spec]],LstMachines[Status],PrévisionBoris[[#This Row],[Status]],LstMachines[MoisLivr],K$1)</f>
        <v>0</v>
      </c>
      <c r="L113" s="207">
        <f>SUMIFS(LstMachines[Nbre],LstMachines[Model-Spec],PrévisionBoris[[#This Row],[Spec]],LstMachines[Status],PrévisionBoris[[#This Row],[Status]],LstMachines[MoisLivr],L$1)</f>
        <v>0</v>
      </c>
      <c r="M113" s="208">
        <f>SUMIFS(LstMachines[Nbre],LstMachines[Model-Spec],PrévisionBoris[[#This Row],[Spec]],LstMachines[Status],PrévisionBoris[[#This Row],[Status]],LstMachines[MoisLivr],M$1)</f>
        <v>0</v>
      </c>
      <c r="N113" s="206">
        <f>SUMIFS(LstMachines[Nbre],LstMachines[Model-Spec],PrévisionBoris[[#This Row],[Spec]],LstMachines[Status],PrévisionBoris[[#This Row],[Status]],LstMachines[MoisLivr],N$1)</f>
        <v>0</v>
      </c>
      <c r="O113" s="207">
        <f>SUMIFS(LstMachines[Nbre],LstMachines[Model-Spec],PrévisionBoris[[#This Row],[Spec]],LstMachines[Status],PrévisionBoris[[#This Row],[Status]],LstMachines[MoisLivr],O$1)</f>
        <v>0</v>
      </c>
      <c r="P113" s="208">
        <f>SUMIFS(LstMachines[Nbre],LstMachines[Model-Spec],PrévisionBoris[[#This Row],[Spec]],LstMachines[Status],PrévisionBoris[[#This Row],[Status]],LstMachines[MoisLivr],P$1)</f>
        <v>0</v>
      </c>
      <c r="Q113" s="209">
        <f>SUMIFS(LstMachines[Nbre],LstMachines[Model-Spec],PrévisionBoris[[#This Row],[Spec]],LstMachines[Status],PrévisionBoris[[#This Row],[Status]],LstMachines[MoisLivr],Q$1)</f>
        <v>0</v>
      </c>
      <c r="R113" s="207">
        <f>SUMIFS(LstMachines[Nbre],LstMachines[Model-Spec],PrévisionBoris[[#This Row],[Spec]],LstMachines[Status],PrévisionBoris[[#This Row],[Status]],LstMachines[MoisLivr],R$1)</f>
        <v>0</v>
      </c>
      <c r="S113" s="207">
        <f>SUMIFS(LstMachines[Nbre],LstMachines[Model-Spec],PrévisionBoris[[#This Row],[Spec]],LstMachines[Status],PrévisionBoris[[#This Row],[Status]],LstMachines[MoisLivr],S$1)</f>
        <v>0</v>
      </c>
      <c r="T113" s="206">
        <f>SUMIFS(LstMachines[Nbre],LstMachines[Model-Spec],PrévisionBoris[[#This Row],[Spec]],LstMachines[Status],PrévisionBoris[[#This Row],[Status]],LstMachines[MoisLivr],T$1)</f>
        <v>0</v>
      </c>
      <c r="U113" s="207">
        <f>SUMIFS(LstMachines[Nbre],LstMachines[Model-Spec],PrévisionBoris[[#This Row],[Spec]],LstMachines[Status],PrévisionBoris[[#This Row],[Status]],LstMachines[MoisLivr],U$1)</f>
        <v>0</v>
      </c>
      <c r="V113" s="207">
        <f>SUMIFS(LstMachines[Nbre],LstMachines[Model-Spec],PrévisionBoris[[#This Row],[Spec]],LstMachines[Status],PrévisionBoris[[#This Row],[Status]],LstMachines[MoisLivr],V$1)</f>
        <v>0</v>
      </c>
      <c r="W113" s="206">
        <f>SUMIFS(LstMachines[Nbre],LstMachines[Model-Spec],PrévisionBoris[[#This Row],[Spec]],LstMachines[Status],PrévisionBoris[[#This Row],[Status]],LstMachines[MoisLivr],W$1)</f>
        <v>0</v>
      </c>
      <c r="X113" s="207">
        <f>SUMIFS(LstMachines[Nbre],LstMachines[Model-Spec],PrévisionBoris[[#This Row],[Spec]],LstMachines[Status],PrévisionBoris[[#This Row],[Status]],LstMachines[MoisLivr],X$1)</f>
        <v>0</v>
      </c>
      <c r="Y113" s="207">
        <f>SUMIFS(LstMachines[Nbre],LstMachines[Model-Spec],PrévisionBoris[[#This Row],[Spec]],LstMachines[Status],PrévisionBoris[[#This Row],[Status]],LstMachines[MoisLivr],Y$1)</f>
        <v>0</v>
      </c>
      <c r="Z113" s="206">
        <f>SUMIFS(LstMachines[Nbre],LstMachines[Model-Spec],PrévisionBoris[[#This Row],[Spec]],LstMachines[Status],PrévisionBoris[[#This Row],[Status]],LstMachines[MoisLivr],Z$1)</f>
        <v>0</v>
      </c>
      <c r="AA113" s="207">
        <f>SUMIFS(LstMachines[Nbre],LstMachines[Model-Spec],PrévisionBoris[[#This Row],[Spec]],LstMachines[Status],PrévisionBoris[[#This Row],[Status]],LstMachines[MoisLivr],AA$1)</f>
        <v>0</v>
      </c>
      <c r="AB113" s="207">
        <f>SUMIFS(LstMachines[Nbre],LstMachines[Model-Spec],PrévisionBoris[[#This Row],[Spec]],LstMachines[Status],PrévisionBoris[[#This Row],[Status]],LstMachines[MoisLivr],AB$1)</f>
        <v>0</v>
      </c>
      <c r="AC113" s="206">
        <f>SUMIFS(LstMachines[Nbre],LstMachines[Model-Spec],PrévisionBoris[[#This Row],[Spec]],LstMachines[Status],PrévisionBoris[[#This Row],[Status]],LstMachines[MoisLivr],AC$1)</f>
        <v>0</v>
      </c>
      <c r="AD113" s="207">
        <f>SUMIFS(LstMachines[Nbre],LstMachines[Model-Spec],PrévisionBoris[[#This Row],[Spec]],LstMachines[Status],PrévisionBoris[[#This Row],[Status]],LstMachines[MoisLivr],AD$1)</f>
        <v>0</v>
      </c>
      <c r="AE113" s="207">
        <f>SUMIFS(LstMachines[Nbre],LstMachines[Model-Spec],PrévisionBoris[[#This Row],[Spec]],LstMachines[Status],PrévisionBoris[[#This Row],[Status]],LstMachines[MoisLivr],AE$1)</f>
        <v>0</v>
      </c>
      <c r="AF113" s="206">
        <f>SUMIFS(LstMachines[Nbre],LstMachines[Model-Spec],PrévisionBoris[[#This Row],[Spec]],LstMachines[Status],PrévisionBoris[[#This Row],[Status]],LstMachines[MoisLivr],AF$1)</f>
        <v>0</v>
      </c>
      <c r="AG113" s="207">
        <f>SUMIFS(LstMachines[Nbre],LstMachines[Model-Spec],PrévisionBoris[[#This Row],[Spec]],LstMachines[Status],PrévisionBoris[[#This Row],[Status]],LstMachines[MoisLivr],AG$1)</f>
        <v>0</v>
      </c>
      <c r="AH113" s="207">
        <f>SUMIFS(LstMachines[Nbre],LstMachines[Model-Spec],PrévisionBoris[[#This Row],[Spec]],LstMachines[Status],PrévisionBoris[[#This Row],[Status]],LstMachines[MoisLivr],AH$1)</f>
        <v>0</v>
      </c>
      <c r="AI113" s="206">
        <f>SUMIFS(LstMachines[Nbre],LstMachines[Model-Spec],PrévisionBoris[[#This Row],[Spec]],LstMachines[Status],PrévisionBoris[[#This Row],[Status]],LstMachines[MoisLivr],AI$1)</f>
        <v>0</v>
      </c>
      <c r="AJ113" s="207">
        <f>SUMIFS(LstMachines[Nbre],LstMachines[Model-Spec],PrévisionBoris[[#This Row],[Spec]],LstMachines[Status],PrévisionBoris[[#This Row],[Status]],LstMachines[MoisLivr],AJ$1)</f>
        <v>0</v>
      </c>
      <c r="AK113" s="207">
        <f>SUMIFS(LstMachines[Nbre],LstMachines[Model-Spec],PrévisionBoris[[#This Row],[Spec]],LstMachines[Status],PrévisionBoris[[#This Row],[Status]],LstMachines[MoisLivr],AK$1)</f>
        <v>0</v>
      </c>
      <c r="AL113" s="206">
        <f>SUMIFS(LstMachines[Nbre],LstMachines[Model-Spec],PrévisionBoris[[#This Row],[Spec]],LstMachines[Status],PrévisionBoris[[#This Row],[Status]],LstMachines[MoisLivr],AL$1)</f>
        <v>0</v>
      </c>
      <c r="AM113" s="207">
        <f>SUMIFS(LstMachines[Nbre],LstMachines[Model-Spec],PrévisionBoris[[#This Row],[Spec]],LstMachines[Status],PrévisionBoris[[#This Row],[Status]],LstMachines[MoisLivr],AM$1)</f>
        <v>0</v>
      </c>
      <c r="AN113" s="207">
        <f>SUMIFS(LstMachines[Nbre],LstMachines[Model-Spec],PrévisionBoris[[#This Row],[Spec]],LstMachines[Status],PrévisionBoris[[#This Row],[Status]],LstMachines[MoisLivr],AN$1)</f>
        <v>0</v>
      </c>
      <c r="AO113" s="206">
        <f>SUMIFS(LstMachines[Nbre],LstMachines[Model-Spec],PrévisionBoris[[#This Row],[Spec]],LstMachines[Status],PrévisionBoris[[#This Row],[Status]],LstMachines[MoisLivr],AO$1)</f>
        <v>0</v>
      </c>
      <c r="AP113" s="207">
        <f>SUMIFS(LstMachines[Nbre],LstMachines[Model-Spec],PrévisionBoris[[#This Row],[Spec]],LstMachines[Status],PrévisionBoris[[#This Row],[Status]],LstMachines[MoisLivr],AP$1)</f>
        <v>0</v>
      </c>
      <c r="AQ113" s="207">
        <f>SUMIFS(LstMachines[Nbre],LstMachines[Model-Spec],PrévisionBoris[[#This Row],[Spec]],LstMachines[Status],PrévisionBoris[[#This Row],[Status]],LstMachines[MoisLivr],AQ$1)</f>
        <v>0</v>
      </c>
      <c r="AR113" s="206">
        <f>SUMIFS(LstMachines[Nbre],LstMachines[Model-Spec],PrévisionBoris[[#This Row],[Spec]],LstMachines[Status],PrévisionBoris[[#This Row],[Status]],LstMachines[MoisLivr],AR$1)</f>
        <v>0</v>
      </c>
      <c r="AS113" s="207">
        <f>SUMIFS(LstMachines[Nbre],LstMachines[Model-Spec],PrévisionBoris[[#This Row],[Spec]],LstMachines[Status],PrévisionBoris[[#This Row],[Status]],LstMachines[MoisLivr],AS$1)</f>
        <v>0</v>
      </c>
      <c r="AT113" s="207">
        <f>SUMIFS(LstMachines[Nbre],LstMachines[Model-Spec],PrévisionBoris[[#This Row],[Spec]],LstMachines[Status],PrévisionBoris[[#This Row],[Status]],LstMachines[MoisLivr],AT$1)</f>
        <v>0</v>
      </c>
      <c r="AU113" s="206">
        <f>SUMIFS(LstMachines[Nbre],LstMachines[Model-Spec],PrévisionBoris[[#This Row],[Spec]],LstMachines[Status],PrévisionBoris[[#This Row],[Status]],LstMachines[MoisLivr],AU$1)</f>
        <v>0</v>
      </c>
      <c r="AV113" s="233">
        <f>SUMIFS(LstMachines[Nbre],LstMachines[Model-Spec],PrévisionBoris[[#This Row],[Spec]],LstMachines[Status],PrévisionBoris[[#This Row],[Status]],LstMachines[MoisLivr],AV$1)</f>
        <v>0</v>
      </c>
      <c r="AW113" s="208">
        <f>SUMIFS(LstMachines[Nbre],LstMachines[Model-Spec],PrévisionBoris[[#This Row],[Spec]],LstMachines[Status],PrévisionBoris[[#This Row],[Status]],LstMachines[MoisLivr],AW$1)</f>
        <v>0</v>
      </c>
      <c r="AX113" s="225"/>
      <c r="AY113" s="211">
        <f t="shared" si="19"/>
        <v>0</v>
      </c>
      <c r="AZ113" s="212">
        <f t="shared" si="20"/>
        <v>0</v>
      </c>
      <c r="BA113" s="212">
        <f t="shared" si="21"/>
        <v>0</v>
      </c>
      <c r="BB113" s="213">
        <f t="shared" si="22"/>
        <v>0</v>
      </c>
      <c r="BC113" s="225">
        <f t="shared" si="23"/>
        <v>0</v>
      </c>
      <c r="BD113" s="211">
        <f t="shared" si="24"/>
        <v>0</v>
      </c>
      <c r="BE113" s="212">
        <f t="shared" si="25"/>
        <v>0</v>
      </c>
      <c r="BF113" s="212">
        <f t="shared" si="26"/>
        <v>0</v>
      </c>
      <c r="BG113" s="213">
        <f t="shared" si="27"/>
        <v>0</v>
      </c>
      <c r="BH113" s="225">
        <f t="shared" si="28"/>
        <v>0</v>
      </c>
      <c r="BI113" s="214">
        <f t="shared" si="29"/>
        <v>0</v>
      </c>
      <c r="BJ113" s="215">
        <f t="shared" si="30"/>
        <v>0</v>
      </c>
      <c r="BK113" s="215">
        <f t="shared" si="31"/>
        <v>0</v>
      </c>
      <c r="BL113" s="216">
        <f t="shared" si="32"/>
        <v>0</v>
      </c>
      <c r="BM113" s="225">
        <f t="shared" si="33"/>
        <v>0</v>
      </c>
      <c r="BN113" s="225"/>
      <c r="BO113" s="234"/>
      <c r="BP113" s="218">
        <f t="shared" si="34"/>
        <v>0</v>
      </c>
    </row>
    <row r="114" spans="1:68">
      <c r="A114" s="170">
        <v>107</v>
      </c>
      <c r="B114" s="170" t="s">
        <v>75</v>
      </c>
      <c r="C114" s="200">
        <v>33</v>
      </c>
      <c r="D114" s="170" t="s">
        <v>80</v>
      </c>
      <c r="E114" s="170" t="s">
        <v>411</v>
      </c>
      <c r="F114" s="200">
        <f>VLOOKUP(PrévisionBoris[[#This Row],[Spec]],TabModelSpecs[[ModelSpec]:[Price]],2,FALSE)</f>
        <v>32</v>
      </c>
      <c r="G114" s="170" t="s">
        <v>462</v>
      </c>
      <c r="H114" s="219">
        <f>SUMIFS(LstMachines[Nbre],LstMachines[Model-Spec],PrévisionBoris[[#This Row],[Spec]],LstMachines[Status],PrévisionBoris[[#This Row],[Status]],LstMachines[MoisLivr],H$1)</f>
        <v>0</v>
      </c>
      <c r="I114" s="220">
        <f>SUMIFS(LstMachines[Nbre],LstMachines[Model-Spec],PrévisionBoris[[#This Row],[Spec]],LstMachines[Status],PrévisionBoris[[#This Row],[Status]],LstMachines[MoisLivr],I$1)</f>
        <v>0</v>
      </c>
      <c r="J114" s="221">
        <f>SUMIFS(LstMachines[Nbre],LstMachines[Model-Spec],PrévisionBoris[[#This Row],[Spec]],LstMachines[Status],PrévisionBoris[[#This Row],[Status]],LstMachines[MoisLivr],J$1)</f>
        <v>0</v>
      </c>
      <c r="K114" s="219">
        <f>SUMIFS(LstMachines[Nbre],LstMachines[Model-Spec],PrévisionBoris[[#This Row],[Spec]],LstMachines[Status],PrévisionBoris[[#This Row],[Status]],LstMachines[MoisLivr],K$1)</f>
        <v>0</v>
      </c>
      <c r="L114" s="220">
        <f>SUMIFS(LstMachines[Nbre],LstMachines[Model-Spec],PrévisionBoris[[#This Row],[Spec]],LstMachines[Status],PrévisionBoris[[#This Row],[Status]],LstMachines[MoisLivr],L$1)</f>
        <v>0</v>
      </c>
      <c r="M114" s="221">
        <f>SUMIFS(LstMachines[Nbre],LstMachines[Model-Spec],PrévisionBoris[[#This Row],[Spec]],LstMachines[Status],PrévisionBoris[[#This Row],[Status]],LstMachines[MoisLivr],M$1)</f>
        <v>0</v>
      </c>
      <c r="N114" s="219">
        <f>SUMIFS(LstMachines[Nbre],LstMachines[Model-Spec],PrévisionBoris[[#This Row],[Spec]],LstMachines[Status],PrévisionBoris[[#This Row],[Status]],LstMachines[MoisLivr],N$1)</f>
        <v>0</v>
      </c>
      <c r="O114" s="220">
        <f>SUMIFS(LstMachines[Nbre],LstMachines[Model-Spec],PrévisionBoris[[#This Row],[Spec]],LstMachines[Status],PrévisionBoris[[#This Row],[Status]],LstMachines[MoisLivr],O$1)</f>
        <v>0</v>
      </c>
      <c r="P114" s="221">
        <f>SUMIFS(LstMachines[Nbre],LstMachines[Model-Spec],PrévisionBoris[[#This Row],[Spec]],LstMachines[Status],PrévisionBoris[[#This Row],[Status]],LstMachines[MoisLivr],P$1)</f>
        <v>0</v>
      </c>
      <c r="Q114" s="222">
        <f>SUMIFS(LstMachines[Nbre],LstMachines[Model-Spec],PrévisionBoris[[#This Row],[Spec]],LstMachines[Status],PrévisionBoris[[#This Row],[Status]],LstMachines[MoisLivr],Q$1)</f>
        <v>0</v>
      </c>
      <c r="R114" s="220">
        <f>SUMIFS(LstMachines[Nbre],LstMachines[Model-Spec],PrévisionBoris[[#This Row],[Spec]],LstMachines[Status],PrévisionBoris[[#This Row],[Status]],LstMachines[MoisLivr],R$1)</f>
        <v>0</v>
      </c>
      <c r="S114" s="220">
        <f>SUMIFS(LstMachines[Nbre],LstMachines[Model-Spec],PrévisionBoris[[#This Row],[Spec]],LstMachines[Status],PrévisionBoris[[#This Row],[Status]],LstMachines[MoisLivr],S$1)</f>
        <v>0</v>
      </c>
      <c r="T114" s="219">
        <f>SUMIFS(LstMachines[Nbre],LstMachines[Model-Spec],PrévisionBoris[[#This Row],[Spec]],LstMachines[Status],PrévisionBoris[[#This Row],[Status]],LstMachines[MoisLivr],T$1)</f>
        <v>0</v>
      </c>
      <c r="U114" s="220">
        <f>SUMIFS(LstMachines[Nbre],LstMachines[Model-Spec],PrévisionBoris[[#This Row],[Spec]],LstMachines[Status],PrévisionBoris[[#This Row],[Status]],LstMachines[MoisLivr],U$1)</f>
        <v>0</v>
      </c>
      <c r="V114" s="220">
        <f>SUMIFS(LstMachines[Nbre],LstMachines[Model-Spec],PrévisionBoris[[#This Row],[Spec]],LstMachines[Status],PrévisionBoris[[#This Row],[Status]],LstMachines[MoisLivr],V$1)</f>
        <v>0</v>
      </c>
      <c r="W114" s="219">
        <f>SUMIFS(LstMachines[Nbre],LstMachines[Model-Spec],PrévisionBoris[[#This Row],[Spec]],LstMachines[Status],PrévisionBoris[[#This Row],[Status]],LstMachines[MoisLivr],W$1)</f>
        <v>0</v>
      </c>
      <c r="X114" s="220">
        <f>SUMIFS(LstMachines[Nbre],LstMachines[Model-Spec],PrévisionBoris[[#This Row],[Spec]],LstMachines[Status],PrévisionBoris[[#This Row],[Status]],LstMachines[MoisLivr],X$1)</f>
        <v>0</v>
      </c>
      <c r="Y114" s="220">
        <f>SUMIFS(LstMachines[Nbre],LstMachines[Model-Spec],PrévisionBoris[[#This Row],[Spec]],LstMachines[Status],PrévisionBoris[[#This Row],[Status]],LstMachines[MoisLivr],Y$1)</f>
        <v>0</v>
      </c>
      <c r="Z114" s="219">
        <f>SUMIFS(LstMachines[Nbre],LstMachines[Model-Spec],PrévisionBoris[[#This Row],[Spec]],LstMachines[Status],PrévisionBoris[[#This Row],[Status]],LstMachines[MoisLivr],Z$1)</f>
        <v>0</v>
      </c>
      <c r="AA114" s="220">
        <f>SUMIFS(LstMachines[Nbre],LstMachines[Model-Spec],PrévisionBoris[[#This Row],[Spec]],LstMachines[Status],PrévisionBoris[[#This Row],[Status]],LstMachines[MoisLivr],AA$1)</f>
        <v>0</v>
      </c>
      <c r="AB114" s="220">
        <f>SUMIFS(LstMachines[Nbre],LstMachines[Model-Spec],PrévisionBoris[[#This Row],[Spec]],LstMachines[Status],PrévisionBoris[[#This Row],[Status]],LstMachines[MoisLivr],AB$1)</f>
        <v>0</v>
      </c>
      <c r="AC114" s="219">
        <f>SUMIFS(LstMachines[Nbre],LstMachines[Model-Spec],PrévisionBoris[[#This Row],[Spec]],LstMachines[Status],PrévisionBoris[[#This Row],[Status]],LstMachines[MoisLivr],AC$1)</f>
        <v>0</v>
      </c>
      <c r="AD114" s="220">
        <f>SUMIFS(LstMachines[Nbre],LstMachines[Model-Spec],PrévisionBoris[[#This Row],[Spec]],LstMachines[Status],PrévisionBoris[[#This Row],[Status]],LstMachines[MoisLivr],AD$1)</f>
        <v>0</v>
      </c>
      <c r="AE114" s="220">
        <f>SUMIFS(LstMachines[Nbre],LstMachines[Model-Spec],PrévisionBoris[[#This Row],[Spec]],LstMachines[Status],PrévisionBoris[[#This Row],[Status]],LstMachines[MoisLivr],AE$1)</f>
        <v>0</v>
      </c>
      <c r="AF114" s="219">
        <f>SUMIFS(LstMachines[Nbre],LstMachines[Model-Spec],PrévisionBoris[[#This Row],[Spec]],LstMachines[Status],PrévisionBoris[[#This Row],[Status]],LstMachines[MoisLivr],AF$1)</f>
        <v>0</v>
      </c>
      <c r="AG114" s="220">
        <f>SUMIFS(LstMachines[Nbre],LstMachines[Model-Spec],PrévisionBoris[[#This Row],[Spec]],LstMachines[Status],PrévisionBoris[[#This Row],[Status]],LstMachines[MoisLivr],AG$1)</f>
        <v>0</v>
      </c>
      <c r="AH114" s="220">
        <f>SUMIFS(LstMachines[Nbre],LstMachines[Model-Spec],PrévisionBoris[[#This Row],[Spec]],LstMachines[Status],PrévisionBoris[[#This Row],[Status]],LstMachines[MoisLivr],AH$1)</f>
        <v>0</v>
      </c>
      <c r="AI114" s="219">
        <f>SUMIFS(LstMachines[Nbre],LstMachines[Model-Spec],PrévisionBoris[[#This Row],[Spec]],LstMachines[Status],PrévisionBoris[[#This Row],[Status]],LstMachines[MoisLivr],AI$1)</f>
        <v>0</v>
      </c>
      <c r="AJ114" s="220">
        <f>SUMIFS(LstMachines[Nbre],LstMachines[Model-Spec],PrévisionBoris[[#This Row],[Spec]],LstMachines[Status],PrévisionBoris[[#This Row],[Status]],LstMachines[MoisLivr],AJ$1)</f>
        <v>0</v>
      </c>
      <c r="AK114" s="220">
        <f>SUMIFS(LstMachines[Nbre],LstMachines[Model-Spec],PrévisionBoris[[#This Row],[Spec]],LstMachines[Status],PrévisionBoris[[#This Row],[Status]],LstMachines[MoisLivr],AK$1)</f>
        <v>0</v>
      </c>
      <c r="AL114" s="219">
        <f>SUMIFS(LstMachines[Nbre],LstMachines[Model-Spec],PrévisionBoris[[#This Row],[Spec]],LstMachines[Status],PrévisionBoris[[#This Row],[Status]],LstMachines[MoisLivr],AL$1)</f>
        <v>0</v>
      </c>
      <c r="AM114" s="220">
        <f>SUMIFS(LstMachines[Nbre],LstMachines[Model-Spec],PrévisionBoris[[#This Row],[Spec]],LstMachines[Status],PrévisionBoris[[#This Row],[Status]],LstMachines[MoisLivr],AM$1)</f>
        <v>0</v>
      </c>
      <c r="AN114" s="220">
        <f>SUMIFS(LstMachines[Nbre],LstMachines[Model-Spec],PrévisionBoris[[#This Row],[Spec]],LstMachines[Status],PrévisionBoris[[#This Row],[Status]],LstMachines[MoisLivr],AN$1)</f>
        <v>0</v>
      </c>
      <c r="AO114" s="219">
        <f>SUMIFS(LstMachines[Nbre],LstMachines[Model-Spec],PrévisionBoris[[#This Row],[Spec]],LstMachines[Status],PrévisionBoris[[#This Row],[Status]],LstMachines[MoisLivr],AO$1)</f>
        <v>0</v>
      </c>
      <c r="AP114" s="220">
        <f>SUMIFS(LstMachines[Nbre],LstMachines[Model-Spec],PrévisionBoris[[#This Row],[Spec]],LstMachines[Status],PrévisionBoris[[#This Row],[Status]],LstMachines[MoisLivr],AP$1)</f>
        <v>0</v>
      </c>
      <c r="AQ114" s="220">
        <f>SUMIFS(LstMachines[Nbre],LstMachines[Model-Spec],PrévisionBoris[[#This Row],[Spec]],LstMachines[Status],PrévisionBoris[[#This Row],[Status]],LstMachines[MoisLivr],AQ$1)</f>
        <v>0</v>
      </c>
      <c r="AR114" s="219">
        <f>SUMIFS(LstMachines[Nbre],LstMachines[Model-Spec],PrévisionBoris[[#This Row],[Spec]],LstMachines[Status],PrévisionBoris[[#This Row],[Status]],LstMachines[MoisLivr],AR$1)</f>
        <v>0</v>
      </c>
      <c r="AS114" s="220">
        <f>SUMIFS(LstMachines[Nbre],LstMachines[Model-Spec],PrévisionBoris[[#This Row],[Spec]],LstMachines[Status],PrévisionBoris[[#This Row],[Status]],LstMachines[MoisLivr],AS$1)</f>
        <v>0</v>
      </c>
      <c r="AT114" s="220">
        <f>SUMIFS(LstMachines[Nbre],LstMachines[Model-Spec],PrévisionBoris[[#This Row],[Spec]],LstMachines[Status],PrévisionBoris[[#This Row],[Status]],LstMachines[MoisLivr],AT$1)</f>
        <v>0</v>
      </c>
      <c r="AU114" s="219">
        <f>SUMIFS(LstMachines[Nbre],LstMachines[Model-Spec],PrévisionBoris[[#This Row],[Spec]],LstMachines[Status],PrévisionBoris[[#This Row],[Status]],LstMachines[MoisLivr],AU$1)</f>
        <v>0</v>
      </c>
      <c r="AV114" s="223">
        <f>SUMIFS(LstMachines[Nbre],LstMachines[Model-Spec],PrévisionBoris[[#This Row],[Spec]],LstMachines[Status],PrévisionBoris[[#This Row],[Status]],LstMachines[MoisLivr],AV$1)</f>
        <v>0</v>
      </c>
      <c r="AW114" s="224">
        <f>SUMIFS(LstMachines[Nbre],LstMachines[Model-Spec],PrévisionBoris[[#This Row],[Spec]],LstMachines[Status],PrévisionBoris[[#This Row],[Status]],LstMachines[MoisLivr],AW$1)</f>
        <v>0</v>
      </c>
      <c r="AX114" s="210"/>
      <c r="AY114" s="211">
        <f t="shared" si="19"/>
        <v>0</v>
      </c>
      <c r="AZ114" s="212">
        <f t="shared" si="20"/>
        <v>0</v>
      </c>
      <c r="BA114" s="212">
        <f t="shared" si="21"/>
        <v>0</v>
      </c>
      <c r="BB114" s="213">
        <f t="shared" si="22"/>
        <v>0</v>
      </c>
      <c r="BC114" s="225">
        <f t="shared" si="23"/>
        <v>0</v>
      </c>
      <c r="BD114" s="211">
        <f t="shared" si="24"/>
        <v>0</v>
      </c>
      <c r="BE114" s="212">
        <f t="shared" si="25"/>
        <v>0</v>
      </c>
      <c r="BF114" s="212">
        <f t="shared" si="26"/>
        <v>0</v>
      </c>
      <c r="BG114" s="213">
        <f t="shared" si="27"/>
        <v>0</v>
      </c>
      <c r="BH114" s="225">
        <f t="shared" si="28"/>
        <v>0</v>
      </c>
      <c r="BI114" s="214">
        <f t="shared" si="29"/>
        <v>0</v>
      </c>
      <c r="BJ114" s="215">
        <f t="shared" si="30"/>
        <v>0</v>
      </c>
      <c r="BK114" s="215">
        <f t="shared" si="31"/>
        <v>0</v>
      </c>
      <c r="BL114" s="216">
        <f t="shared" si="32"/>
        <v>0</v>
      </c>
      <c r="BM114" s="225">
        <f t="shared" si="33"/>
        <v>0</v>
      </c>
      <c r="BN114" s="225"/>
      <c r="BO114" s="217"/>
      <c r="BP114" s="218">
        <f t="shared" si="34"/>
        <v>0</v>
      </c>
    </row>
    <row r="115" spans="1:68">
      <c r="A115" s="171">
        <v>108</v>
      </c>
      <c r="B115" s="171" t="s">
        <v>75</v>
      </c>
      <c r="C115" s="201">
        <v>33</v>
      </c>
      <c r="D115" s="171" t="s">
        <v>80</v>
      </c>
      <c r="E115" s="171" t="s">
        <v>411</v>
      </c>
      <c r="F115" s="201">
        <f>VLOOKUP(PrévisionBoris[[#This Row],[Spec]],TabModelSpecs[[ModelSpec]:[Price]],2,FALSE)</f>
        <v>32</v>
      </c>
      <c r="G115" s="171" t="s">
        <v>463</v>
      </c>
      <c r="H115" s="226">
        <f>SUMIFS(LstMachines[Nbre],LstMachines[Model-Spec],PrévisionBoris[[#This Row],[Spec]],LstMachines[Status],PrévisionBoris[[#This Row],[Status]],LstMachines[MoisLivr],H$1)</f>
        <v>0</v>
      </c>
      <c r="I115" s="227">
        <f>SUMIFS(LstMachines[Nbre],LstMachines[Model-Spec],PrévisionBoris[[#This Row],[Spec]],LstMachines[Status],PrévisionBoris[[#This Row],[Status]],LstMachines[MoisLivr],I$1)</f>
        <v>0</v>
      </c>
      <c r="J115" s="228">
        <f>SUMIFS(LstMachines[Nbre],LstMachines[Model-Spec],PrévisionBoris[[#This Row],[Spec]],LstMachines[Status],PrévisionBoris[[#This Row],[Status]],LstMachines[MoisLivr],J$1)</f>
        <v>0</v>
      </c>
      <c r="K115" s="226">
        <f>SUMIFS(LstMachines[Nbre],LstMachines[Model-Spec],PrévisionBoris[[#This Row],[Spec]],LstMachines[Status],PrévisionBoris[[#This Row],[Status]],LstMachines[MoisLivr],K$1)</f>
        <v>0</v>
      </c>
      <c r="L115" s="227">
        <f>SUMIFS(LstMachines[Nbre],LstMachines[Model-Spec],PrévisionBoris[[#This Row],[Spec]],LstMachines[Status],PrévisionBoris[[#This Row],[Status]],LstMachines[MoisLivr],L$1)</f>
        <v>0</v>
      </c>
      <c r="M115" s="228">
        <f>SUMIFS(LstMachines[Nbre],LstMachines[Model-Spec],PrévisionBoris[[#This Row],[Spec]],LstMachines[Status],PrévisionBoris[[#This Row],[Status]],LstMachines[MoisLivr],M$1)</f>
        <v>0</v>
      </c>
      <c r="N115" s="226">
        <f>SUMIFS(LstMachines[Nbre],LstMachines[Model-Spec],PrévisionBoris[[#This Row],[Spec]],LstMachines[Status],PrévisionBoris[[#This Row],[Status]],LstMachines[MoisLivr],N$1)</f>
        <v>0</v>
      </c>
      <c r="O115" s="227">
        <f>SUMIFS(LstMachines[Nbre],LstMachines[Model-Spec],PrévisionBoris[[#This Row],[Spec]],LstMachines[Status],PrévisionBoris[[#This Row],[Status]],LstMachines[MoisLivr],O$1)</f>
        <v>0</v>
      </c>
      <c r="P115" s="228">
        <f>SUMIFS(LstMachines[Nbre],LstMachines[Model-Spec],PrévisionBoris[[#This Row],[Spec]],LstMachines[Status],PrévisionBoris[[#This Row],[Status]],LstMachines[MoisLivr],P$1)</f>
        <v>0</v>
      </c>
      <c r="Q115" s="229">
        <f>SUMIFS(LstMachines[Nbre],LstMachines[Model-Spec],PrévisionBoris[[#This Row],[Spec]],LstMachines[Status],PrévisionBoris[[#This Row],[Status]],LstMachines[MoisLivr],Q$1)</f>
        <v>0</v>
      </c>
      <c r="R115" s="227">
        <f>SUMIFS(LstMachines[Nbre],LstMachines[Model-Spec],PrévisionBoris[[#This Row],[Spec]],LstMachines[Status],PrévisionBoris[[#This Row],[Status]],LstMachines[MoisLivr],R$1)</f>
        <v>0</v>
      </c>
      <c r="S115" s="227">
        <f>SUMIFS(LstMachines[Nbre],LstMachines[Model-Spec],PrévisionBoris[[#This Row],[Spec]],LstMachines[Status],PrévisionBoris[[#This Row],[Status]],LstMachines[MoisLivr],S$1)</f>
        <v>0</v>
      </c>
      <c r="T115" s="226">
        <f>SUMIFS(LstMachines[Nbre],LstMachines[Model-Spec],PrévisionBoris[[#This Row],[Spec]],LstMachines[Status],PrévisionBoris[[#This Row],[Status]],LstMachines[MoisLivr],T$1)</f>
        <v>0</v>
      </c>
      <c r="U115" s="227">
        <f>SUMIFS(LstMachines[Nbre],LstMachines[Model-Spec],PrévisionBoris[[#This Row],[Spec]],LstMachines[Status],PrévisionBoris[[#This Row],[Status]],LstMachines[MoisLivr],U$1)</f>
        <v>0</v>
      </c>
      <c r="V115" s="227">
        <f>SUMIFS(LstMachines[Nbre],LstMachines[Model-Spec],PrévisionBoris[[#This Row],[Spec]],LstMachines[Status],PrévisionBoris[[#This Row],[Status]],LstMachines[MoisLivr],V$1)</f>
        <v>0</v>
      </c>
      <c r="W115" s="226">
        <f>SUMIFS(LstMachines[Nbre],LstMachines[Model-Spec],PrévisionBoris[[#This Row],[Spec]],LstMachines[Status],PrévisionBoris[[#This Row],[Status]],LstMachines[MoisLivr],W$1)</f>
        <v>0</v>
      </c>
      <c r="X115" s="227">
        <f>SUMIFS(LstMachines[Nbre],LstMachines[Model-Spec],PrévisionBoris[[#This Row],[Spec]],LstMachines[Status],PrévisionBoris[[#This Row],[Status]],LstMachines[MoisLivr],X$1)</f>
        <v>0</v>
      </c>
      <c r="Y115" s="227">
        <f>SUMIFS(LstMachines[Nbre],LstMachines[Model-Spec],PrévisionBoris[[#This Row],[Spec]],LstMachines[Status],PrévisionBoris[[#This Row],[Status]],LstMachines[MoisLivr],Y$1)</f>
        <v>0</v>
      </c>
      <c r="Z115" s="226">
        <f>SUMIFS(LstMachines[Nbre],LstMachines[Model-Spec],PrévisionBoris[[#This Row],[Spec]],LstMachines[Status],PrévisionBoris[[#This Row],[Status]],LstMachines[MoisLivr],Z$1)</f>
        <v>0</v>
      </c>
      <c r="AA115" s="227">
        <f>SUMIFS(LstMachines[Nbre],LstMachines[Model-Spec],PrévisionBoris[[#This Row],[Spec]],LstMachines[Status],PrévisionBoris[[#This Row],[Status]],LstMachines[MoisLivr],AA$1)</f>
        <v>0</v>
      </c>
      <c r="AB115" s="227">
        <f>SUMIFS(LstMachines[Nbre],LstMachines[Model-Spec],PrévisionBoris[[#This Row],[Spec]],LstMachines[Status],PrévisionBoris[[#This Row],[Status]],LstMachines[MoisLivr],AB$1)</f>
        <v>0</v>
      </c>
      <c r="AC115" s="226">
        <f>SUMIFS(LstMachines[Nbre],LstMachines[Model-Spec],PrévisionBoris[[#This Row],[Spec]],LstMachines[Status],PrévisionBoris[[#This Row],[Status]],LstMachines[MoisLivr],AC$1)</f>
        <v>0</v>
      </c>
      <c r="AD115" s="227">
        <f>SUMIFS(LstMachines[Nbre],LstMachines[Model-Spec],PrévisionBoris[[#This Row],[Spec]],LstMachines[Status],PrévisionBoris[[#This Row],[Status]],LstMachines[MoisLivr],AD$1)</f>
        <v>0</v>
      </c>
      <c r="AE115" s="227">
        <f>SUMIFS(LstMachines[Nbre],LstMachines[Model-Spec],PrévisionBoris[[#This Row],[Spec]],LstMachines[Status],PrévisionBoris[[#This Row],[Status]],LstMachines[MoisLivr],AE$1)</f>
        <v>0</v>
      </c>
      <c r="AF115" s="226">
        <f>SUMIFS(LstMachines[Nbre],LstMachines[Model-Spec],PrévisionBoris[[#This Row],[Spec]],LstMachines[Status],PrévisionBoris[[#This Row],[Status]],LstMachines[MoisLivr],AF$1)</f>
        <v>0</v>
      </c>
      <c r="AG115" s="227">
        <f>SUMIFS(LstMachines[Nbre],LstMachines[Model-Spec],PrévisionBoris[[#This Row],[Spec]],LstMachines[Status],PrévisionBoris[[#This Row],[Status]],LstMachines[MoisLivr],AG$1)</f>
        <v>0</v>
      </c>
      <c r="AH115" s="227">
        <f>SUMIFS(LstMachines[Nbre],LstMachines[Model-Spec],PrévisionBoris[[#This Row],[Spec]],LstMachines[Status],PrévisionBoris[[#This Row],[Status]],LstMachines[MoisLivr],AH$1)</f>
        <v>0</v>
      </c>
      <c r="AI115" s="226">
        <f>SUMIFS(LstMachines[Nbre],LstMachines[Model-Spec],PrévisionBoris[[#This Row],[Spec]],LstMachines[Status],PrévisionBoris[[#This Row],[Status]],LstMachines[MoisLivr],AI$1)</f>
        <v>0</v>
      </c>
      <c r="AJ115" s="227">
        <f>SUMIFS(LstMachines[Nbre],LstMachines[Model-Spec],PrévisionBoris[[#This Row],[Spec]],LstMachines[Status],PrévisionBoris[[#This Row],[Status]],LstMachines[MoisLivr],AJ$1)</f>
        <v>0</v>
      </c>
      <c r="AK115" s="227">
        <f>SUMIFS(LstMachines[Nbre],LstMachines[Model-Spec],PrévisionBoris[[#This Row],[Spec]],LstMachines[Status],PrévisionBoris[[#This Row],[Status]],LstMachines[MoisLivr],AK$1)</f>
        <v>0</v>
      </c>
      <c r="AL115" s="226">
        <f>SUMIFS(LstMachines[Nbre],LstMachines[Model-Spec],PrévisionBoris[[#This Row],[Spec]],LstMachines[Status],PrévisionBoris[[#This Row],[Status]],LstMachines[MoisLivr],AL$1)</f>
        <v>0</v>
      </c>
      <c r="AM115" s="227">
        <f>SUMIFS(LstMachines[Nbre],LstMachines[Model-Spec],PrévisionBoris[[#This Row],[Spec]],LstMachines[Status],PrévisionBoris[[#This Row],[Status]],LstMachines[MoisLivr],AM$1)</f>
        <v>0</v>
      </c>
      <c r="AN115" s="227">
        <f>SUMIFS(LstMachines[Nbre],LstMachines[Model-Spec],PrévisionBoris[[#This Row],[Spec]],LstMachines[Status],PrévisionBoris[[#This Row],[Status]],LstMachines[MoisLivr],AN$1)</f>
        <v>0</v>
      </c>
      <c r="AO115" s="226">
        <f>SUMIFS(LstMachines[Nbre],LstMachines[Model-Spec],PrévisionBoris[[#This Row],[Spec]],LstMachines[Status],PrévisionBoris[[#This Row],[Status]],LstMachines[MoisLivr],AO$1)</f>
        <v>0</v>
      </c>
      <c r="AP115" s="227">
        <f>SUMIFS(LstMachines[Nbre],LstMachines[Model-Spec],PrévisionBoris[[#This Row],[Spec]],LstMachines[Status],PrévisionBoris[[#This Row],[Status]],LstMachines[MoisLivr],AP$1)</f>
        <v>0</v>
      </c>
      <c r="AQ115" s="227">
        <f>SUMIFS(LstMachines[Nbre],LstMachines[Model-Spec],PrévisionBoris[[#This Row],[Spec]],LstMachines[Status],PrévisionBoris[[#This Row],[Status]],LstMachines[MoisLivr],AQ$1)</f>
        <v>0</v>
      </c>
      <c r="AR115" s="226">
        <f>SUMIFS(LstMachines[Nbre],LstMachines[Model-Spec],PrévisionBoris[[#This Row],[Spec]],LstMachines[Status],PrévisionBoris[[#This Row],[Status]],LstMachines[MoisLivr],AR$1)</f>
        <v>0</v>
      </c>
      <c r="AS115" s="227">
        <f>SUMIFS(LstMachines[Nbre],LstMachines[Model-Spec],PrévisionBoris[[#This Row],[Spec]],LstMachines[Status],PrévisionBoris[[#This Row],[Status]],LstMachines[MoisLivr],AS$1)</f>
        <v>0</v>
      </c>
      <c r="AT115" s="227">
        <f>SUMIFS(LstMachines[Nbre],LstMachines[Model-Spec],PrévisionBoris[[#This Row],[Spec]],LstMachines[Status],PrévisionBoris[[#This Row],[Status]],LstMachines[MoisLivr],AT$1)</f>
        <v>0</v>
      </c>
      <c r="AU115" s="226">
        <f>SUMIFS(LstMachines[Nbre],LstMachines[Model-Spec],PrévisionBoris[[#This Row],[Spec]],LstMachines[Status],PrévisionBoris[[#This Row],[Status]],LstMachines[MoisLivr],AU$1)</f>
        <v>0</v>
      </c>
      <c r="AV115" s="230">
        <f>SUMIFS(LstMachines[Nbre],LstMachines[Model-Spec],PrévisionBoris[[#This Row],[Spec]],LstMachines[Status],PrévisionBoris[[#This Row],[Status]],LstMachines[MoisLivr],AV$1)</f>
        <v>0</v>
      </c>
      <c r="AW115" s="231">
        <f>SUMIFS(LstMachines[Nbre],LstMachines[Model-Spec],PrévisionBoris[[#This Row],[Spec]],LstMachines[Status],PrévisionBoris[[#This Row],[Status]],LstMachines[MoisLivr],AW$1)</f>
        <v>0</v>
      </c>
      <c r="AX115" s="232"/>
      <c r="AY115" s="211">
        <f t="shared" si="19"/>
        <v>0</v>
      </c>
      <c r="AZ115" s="212">
        <f t="shared" si="20"/>
        <v>0</v>
      </c>
      <c r="BA115" s="212">
        <f t="shared" si="21"/>
        <v>0</v>
      </c>
      <c r="BB115" s="213">
        <f t="shared" si="22"/>
        <v>0</v>
      </c>
      <c r="BC115" s="225">
        <f t="shared" si="23"/>
        <v>0</v>
      </c>
      <c r="BD115" s="211">
        <f t="shared" si="24"/>
        <v>0</v>
      </c>
      <c r="BE115" s="212">
        <f t="shared" si="25"/>
        <v>0</v>
      </c>
      <c r="BF115" s="212">
        <f t="shared" si="26"/>
        <v>0</v>
      </c>
      <c r="BG115" s="213">
        <f t="shared" si="27"/>
        <v>0</v>
      </c>
      <c r="BH115" s="225">
        <f t="shared" si="28"/>
        <v>0</v>
      </c>
      <c r="BI115" s="214">
        <f t="shared" si="29"/>
        <v>0</v>
      </c>
      <c r="BJ115" s="215">
        <f t="shared" si="30"/>
        <v>0</v>
      </c>
      <c r="BK115" s="215">
        <f t="shared" si="31"/>
        <v>0</v>
      </c>
      <c r="BL115" s="216">
        <f t="shared" si="32"/>
        <v>0</v>
      </c>
      <c r="BM115" s="225">
        <f t="shared" si="33"/>
        <v>0</v>
      </c>
      <c r="BN115" s="225"/>
      <c r="BO115" s="217"/>
      <c r="BP115" s="218">
        <f t="shared" si="34"/>
        <v>0</v>
      </c>
    </row>
    <row r="116" spans="1:68">
      <c r="A116" s="172">
        <v>109</v>
      </c>
      <c r="B116" s="172" t="s">
        <v>75</v>
      </c>
      <c r="C116" s="202">
        <v>38</v>
      </c>
      <c r="D116" s="172" t="s">
        <v>188</v>
      </c>
      <c r="E116" s="172" t="s">
        <v>412</v>
      </c>
      <c r="F116" s="202">
        <f>VLOOKUP(PrévisionBoris[[#This Row],[Spec]],TabModelSpecs[[ModelSpec]:[Price]],2,FALSE)</f>
        <v>38</v>
      </c>
      <c r="G116" s="172" t="s">
        <v>461</v>
      </c>
      <c r="H116" s="206">
        <f>SUMIFS(LstMachines[Nbre],LstMachines[Model-Spec],PrévisionBoris[[#This Row],[Spec]],LstMachines[Status],PrévisionBoris[[#This Row],[Status]],LstMachines[MoisLivr],H$1)</f>
        <v>0</v>
      </c>
      <c r="I116" s="207">
        <f>SUMIFS(LstMachines[Nbre],LstMachines[Model-Spec],PrévisionBoris[[#This Row],[Spec]],LstMachines[Status],PrévisionBoris[[#This Row],[Status]],LstMachines[MoisLivr],I$1)</f>
        <v>0</v>
      </c>
      <c r="J116" s="208">
        <f>SUMIFS(LstMachines[Nbre],LstMachines[Model-Spec],PrévisionBoris[[#This Row],[Spec]],LstMachines[Status],PrévisionBoris[[#This Row],[Status]],LstMachines[MoisLivr],J$1)</f>
        <v>0</v>
      </c>
      <c r="K116" s="206">
        <f>SUMIFS(LstMachines[Nbre],LstMachines[Model-Spec],PrévisionBoris[[#This Row],[Spec]],LstMachines[Status],PrévisionBoris[[#This Row],[Status]],LstMachines[MoisLivr],K$1)</f>
        <v>0</v>
      </c>
      <c r="L116" s="207">
        <f>SUMIFS(LstMachines[Nbre],LstMachines[Model-Spec],PrévisionBoris[[#This Row],[Spec]],LstMachines[Status],PrévisionBoris[[#This Row],[Status]],LstMachines[MoisLivr],L$1)</f>
        <v>0</v>
      </c>
      <c r="M116" s="208">
        <f>SUMIFS(LstMachines[Nbre],LstMachines[Model-Spec],PrévisionBoris[[#This Row],[Spec]],LstMachines[Status],PrévisionBoris[[#This Row],[Status]],LstMachines[MoisLivr],M$1)</f>
        <v>0</v>
      </c>
      <c r="N116" s="206">
        <f>SUMIFS(LstMachines[Nbre],LstMachines[Model-Spec],PrévisionBoris[[#This Row],[Spec]],LstMachines[Status],PrévisionBoris[[#This Row],[Status]],LstMachines[MoisLivr],N$1)</f>
        <v>0</v>
      </c>
      <c r="O116" s="207">
        <f>SUMIFS(LstMachines[Nbre],LstMachines[Model-Spec],PrévisionBoris[[#This Row],[Spec]],LstMachines[Status],PrévisionBoris[[#This Row],[Status]],LstMachines[MoisLivr],O$1)</f>
        <v>0</v>
      </c>
      <c r="P116" s="208">
        <f>SUMIFS(LstMachines[Nbre],LstMachines[Model-Spec],PrévisionBoris[[#This Row],[Spec]],LstMachines[Status],PrévisionBoris[[#This Row],[Status]],LstMachines[MoisLivr],P$1)</f>
        <v>0</v>
      </c>
      <c r="Q116" s="209">
        <f>SUMIFS(LstMachines[Nbre],LstMachines[Model-Spec],PrévisionBoris[[#This Row],[Spec]],LstMachines[Status],PrévisionBoris[[#This Row],[Status]],LstMachines[MoisLivr],Q$1)</f>
        <v>0</v>
      </c>
      <c r="R116" s="207">
        <f>SUMIFS(LstMachines[Nbre],LstMachines[Model-Spec],PrévisionBoris[[#This Row],[Spec]],LstMachines[Status],PrévisionBoris[[#This Row],[Status]],LstMachines[MoisLivr],R$1)</f>
        <v>0</v>
      </c>
      <c r="S116" s="207">
        <f>SUMIFS(LstMachines[Nbre],LstMachines[Model-Spec],PrévisionBoris[[#This Row],[Spec]],LstMachines[Status],PrévisionBoris[[#This Row],[Status]],LstMachines[MoisLivr],S$1)</f>
        <v>0</v>
      </c>
      <c r="T116" s="206">
        <f>SUMIFS(LstMachines[Nbre],LstMachines[Model-Spec],PrévisionBoris[[#This Row],[Spec]],LstMachines[Status],PrévisionBoris[[#This Row],[Status]],LstMachines[MoisLivr],T$1)</f>
        <v>0</v>
      </c>
      <c r="U116" s="207">
        <f>SUMIFS(LstMachines[Nbre],LstMachines[Model-Spec],PrévisionBoris[[#This Row],[Spec]],LstMachines[Status],PrévisionBoris[[#This Row],[Status]],LstMachines[MoisLivr],U$1)</f>
        <v>0</v>
      </c>
      <c r="V116" s="207">
        <f>SUMIFS(LstMachines[Nbre],LstMachines[Model-Spec],PrévisionBoris[[#This Row],[Spec]],LstMachines[Status],PrévisionBoris[[#This Row],[Status]],LstMachines[MoisLivr],V$1)</f>
        <v>0</v>
      </c>
      <c r="W116" s="206">
        <f>SUMIFS(LstMachines[Nbre],LstMachines[Model-Spec],PrévisionBoris[[#This Row],[Spec]],LstMachines[Status],PrévisionBoris[[#This Row],[Status]],LstMachines[MoisLivr],W$1)</f>
        <v>0</v>
      </c>
      <c r="X116" s="207">
        <f>SUMIFS(LstMachines[Nbre],LstMachines[Model-Spec],PrévisionBoris[[#This Row],[Spec]],LstMachines[Status],PrévisionBoris[[#This Row],[Status]],LstMachines[MoisLivr],X$1)</f>
        <v>0</v>
      </c>
      <c r="Y116" s="207">
        <f>SUMIFS(LstMachines[Nbre],LstMachines[Model-Spec],PrévisionBoris[[#This Row],[Spec]],LstMachines[Status],PrévisionBoris[[#This Row],[Status]],LstMachines[MoisLivr],Y$1)</f>
        <v>0</v>
      </c>
      <c r="Z116" s="206">
        <f>SUMIFS(LstMachines[Nbre],LstMachines[Model-Spec],PrévisionBoris[[#This Row],[Spec]],LstMachines[Status],PrévisionBoris[[#This Row],[Status]],LstMachines[MoisLivr],Z$1)</f>
        <v>0</v>
      </c>
      <c r="AA116" s="207">
        <f>SUMIFS(LstMachines[Nbre],LstMachines[Model-Spec],PrévisionBoris[[#This Row],[Spec]],LstMachines[Status],PrévisionBoris[[#This Row],[Status]],LstMachines[MoisLivr],AA$1)</f>
        <v>0</v>
      </c>
      <c r="AB116" s="207">
        <f>SUMIFS(LstMachines[Nbre],LstMachines[Model-Spec],PrévisionBoris[[#This Row],[Spec]],LstMachines[Status],PrévisionBoris[[#This Row],[Status]],LstMachines[MoisLivr],AB$1)</f>
        <v>0</v>
      </c>
      <c r="AC116" s="206">
        <f>SUMIFS(LstMachines[Nbre],LstMachines[Model-Spec],PrévisionBoris[[#This Row],[Spec]],LstMachines[Status],PrévisionBoris[[#This Row],[Status]],LstMachines[MoisLivr],AC$1)</f>
        <v>0</v>
      </c>
      <c r="AD116" s="207">
        <f>SUMIFS(LstMachines[Nbre],LstMachines[Model-Spec],PrévisionBoris[[#This Row],[Spec]],LstMachines[Status],PrévisionBoris[[#This Row],[Status]],LstMachines[MoisLivr],AD$1)</f>
        <v>0</v>
      </c>
      <c r="AE116" s="207">
        <f>SUMIFS(LstMachines[Nbre],LstMachines[Model-Spec],PrévisionBoris[[#This Row],[Spec]],LstMachines[Status],PrévisionBoris[[#This Row],[Status]],LstMachines[MoisLivr],AE$1)</f>
        <v>0</v>
      </c>
      <c r="AF116" s="206">
        <f>SUMIFS(LstMachines[Nbre],LstMachines[Model-Spec],PrévisionBoris[[#This Row],[Spec]],LstMachines[Status],PrévisionBoris[[#This Row],[Status]],LstMachines[MoisLivr],AF$1)</f>
        <v>0</v>
      </c>
      <c r="AG116" s="207">
        <f>SUMIFS(LstMachines[Nbre],LstMachines[Model-Spec],PrévisionBoris[[#This Row],[Spec]],LstMachines[Status],PrévisionBoris[[#This Row],[Status]],LstMachines[MoisLivr],AG$1)</f>
        <v>0</v>
      </c>
      <c r="AH116" s="207">
        <f>SUMIFS(LstMachines[Nbre],LstMachines[Model-Spec],PrévisionBoris[[#This Row],[Spec]],LstMachines[Status],PrévisionBoris[[#This Row],[Status]],LstMachines[MoisLivr],AH$1)</f>
        <v>0</v>
      </c>
      <c r="AI116" s="206">
        <f>SUMIFS(LstMachines[Nbre],LstMachines[Model-Spec],PrévisionBoris[[#This Row],[Spec]],LstMachines[Status],PrévisionBoris[[#This Row],[Status]],LstMachines[MoisLivr],AI$1)</f>
        <v>0</v>
      </c>
      <c r="AJ116" s="207">
        <f>SUMIFS(LstMachines[Nbre],LstMachines[Model-Spec],PrévisionBoris[[#This Row],[Spec]],LstMachines[Status],PrévisionBoris[[#This Row],[Status]],LstMachines[MoisLivr],AJ$1)</f>
        <v>0</v>
      </c>
      <c r="AK116" s="207">
        <f>SUMIFS(LstMachines[Nbre],LstMachines[Model-Spec],PrévisionBoris[[#This Row],[Spec]],LstMachines[Status],PrévisionBoris[[#This Row],[Status]],LstMachines[MoisLivr],AK$1)</f>
        <v>0</v>
      </c>
      <c r="AL116" s="206">
        <f>SUMIFS(LstMachines[Nbre],LstMachines[Model-Spec],PrévisionBoris[[#This Row],[Spec]],LstMachines[Status],PrévisionBoris[[#This Row],[Status]],LstMachines[MoisLivr],AL$1)</f>
        <v>0</v>
      </c>
      <c r="AM116" s="207">
        <f>SUMIFS(LstMachines[Nbre],LstMachines[Model-Spec],PrévisionBoris[[#This Row],[Spec]],LstMachines[Status],PrévisionBoris[[#This Row],[Status]],LstMachines[MoisLivr],AM$1)</f>
        <v>0</v>
      </c>
      <c r="AN116" s="207">
        <f>SUMIFS(LstMachines[Nbre],LstMachines[Model-Spec],PrévisionBoris[[#This Row],[Spec]],LstMachines[Status],PrévisionBoris[[#This Row],[Status]],LstMachines[MoisLivr],AN$1)</f>
        <v>0</v>
      </c>
      <c r="AO116" s="206">
        <f>SUMIFS(LstMachines[Nbre],LstMachines[Model-Spec],PrévisionBoris[[#This Row],[Spec]],LstMachines[Status],PrévisionBoris[[#This Row],[Status]],LstMachines[MoisLivr],AO$1)</f>
        <v>0</v>
      </c>
      <c r="AP116" s="207">
        <f>SUMIFS(LstMachines[Nbre],LstMachines[Model-Spec],PrévisionBoris[[#This Row],[Spec]],LstMachines[Status],PrévisionBoris[[#This Row],[Status]],LstMachines[MoisLivr],AP$1)</f>
        <v>0</v>
      </c>
      <c r="AQ116" s="207">
        <f>SUMIFS(LstMachines[Nbre],LstMachines[Model-Spec],PrévisionBoris[[#This Row],[Spec]],LstMachines[Status],PrévisionBoris[[#This Row],[Status]],LstMachines[MoisLivr],AQ$1)</f>
        <v>0</v>
      </c>
      <c r="AR116" s="206">
        <f>SUMIFS(LstMachines[Nbre],LstMachines[Model-Spec],PrévisionBoris[[#This Row],[Spec]],LstMachines[Status],PrévisionBoris[[#This Row],[Status]],LstMachines[MoisLivr],AR$1)</f>
        <v>0</v>
      </c>
      <c r="AS116" s="207">
        <f>SUMIFS(LstMachines[Nbre],LstMachines[Model-Spec],PrévisionBoris[[#This Row],[Spec]],LstMachines[Status],PrévisionBoris[[#This Row],[Status]],LstMachines[MoisLivr],AS$1)</f>
        <v>0</v>
      </c>
      <c r="AT116" s="207">
        <f>SUMIFS(LstMachines[Nbre],LstMachines[Model-Spec],PrévisionBoris[[#This Row],[Spec]],LstMachines[Status],PrévisionBoris[[#This Row],[Status]],LstMachines[MoisLivr],AT$1)</f>
        <v>0</v>
      </c>
      <c r="AU116" s="206">
        <f>SUMIFS(LstMachines[Nbre],LstMachines[Model-Spec],PrévisionBoris[[#This Row],[Spec]],LstMachines[Status],PrévisionBoris[[#This Row],[Status]],LstMachines[MoisLivr],AU$1)</f>
        <v>0</v>
      </c>
      <c r="AV116" s="233">
        <f>SUMIFS(LstMachines[Nbre],LstMachines[Model-Spec],PrévisionBoris[[#This Row],[Spec]],LstMachines[Status],PrévisionBoris[[#This Row],[Status]],LstMachines[MoisLivr],AV$1)</f>
        <v>0</v>
      </c>
      <c r="AW116" s="208">
        <f>SUMIFS(LstMachines[Nbre],LstMachines[Model-Spec],PrévisionBoris[[#This Row],[Spec]],LstMachines[Status],PrévisionBoris[[#This Row],[Status]],LstMachines[MoisLivr],AW$1)</f>
        <v>0</v>
      </c>
      <c r="AX116" s="225"/>
      <c r="AY116" s="211">
        <f t="shared" si="19"/>
        <v>0</v>
      </c>
      <c r="AZ116" s="212">
        <f t="shared" si="20"/>
        <v>0</v>
      </c>
      <c r="BA116" s="212">
        <f t="shared" si="21"/>
        <v>0</v>
      </c>
      <c r="BB116" s="213">
        <f t="shared" si="22"/>
        <v>0</v>
      </c>
      <c r="BC116" s="225">
        <f t="shared" si="23"/>
        <v>0</v>
      </c>
      <c r="BD116" s="211">
        <f t="shared" si="24"/>
        <v>0</v>
      </c>
      <c r="BE116" s="212">
        <f t="shared" si="25"/>
        <v>0</v>
      </c>
      <c r="BF116" s="212">
        <f t="shared" si="26"/>
        <v>0</v>
      </c>
      <c r="BG116" s="213">
        <f t="shared" si="27"/>
        <v>0</v>
      </c>
      <c r="BH116" s="225">
        <f t="shared" si="28"/>
        <v>0</v>
      </c>
      <c r="BI116" s="214">
        <f t="shared" si="29"/>
        <v>0</v>
      </c>
      <c r="BJ116" s="215">
        <f t="shared" si="30"/>
        <v>0</v>
      </c>
      <c r="BK116" s="215">
        <f t="shared" si="31"/>
        <v>0</v>
      </c>
      <c r="BL116" s="216">
        <f t="shared" si="32"/>
        <v>0</v>
      </c>
      <c r="BM116" s="225">
        <f t="shared" si="33"/>
        <v>0</v>
      </c>
      <c r="BN116" s="225"/>
      <c r="BO116" s="234"/>
      <c r="BP116" s="218">
        <f t="shared" si="34"/>
        <v>0</v>
      </c>
    </row>
    <row r="117" spans="1:68">
      <c r="A117" s="170">
        <v>110</v>
      </c>
      <c r="B117" s="170" t="s">
        <v>75</v>
      </c>
      <c r="C117" s="200">
        <v>38</v>
      </c>
      <c r="D117" s="170" t="s">
        <v>188</v>
      </c>
      <c r="E117" s="170" t="s">
        <v>412</v>
      </c>
      <c r="F117" s="200">
        <f>VLOOKUP(PrévisionBoris[[#This Row],[Spec]],TabModelSpecs[[ModelSpec]:[Price]],2,FALSE)</f>
        <v>38</v>
      </c>
      <c r="G117" s="170" t="s">
        <v>462</v>
      </c>
      <c r="H117" s="219">
        <f>SUMIFS(LstMachines[Nbre],LstMachines[Model-Spec],PrévisionBoris[[#This Row],[Spec]],LstMachines[Status],PrévisionBoris[[#This Row],[Status]],LstMachines[MoisLivr],H$1)</f>
        <v>0</v>
      </c>
      <c r="I117" s="220">
        <f>SUMIFS(LstMachines[Nbre],LstMachines[Model-Spec],PrévisionBoris[[#This Row],[Spec]],LstMachines[Status],PrévisionBoris[[#This Row],[Status]],LstMachines[MoisLivr],I$1)</f>
        <v>0</v>
      </c>
      <c r="J117" s="221">
        <f>SUMIFS(LstMachines[Nbre],LstMachines[Model-Spec],PrévisionBoris[[#This Row],[Spec]],LstMachines[Status],PrévisionBoris[[#This Row],[Status]],LstMachines[MoisLivr],J$1)</f>
        <v>0</v>
      </c>
      <c r="K117" s="219">
        <f>SUMIFS(LstMachines[Nbre],LstMachines[Model-Spec],PrévisionBoris[[#This Row],[Spec]],LstMachines[Status],PrévisionBoris[[#This Row],[Status]],LstMachines[MoisLivr],K$1)</f>
        <v>0</v>
      </c>
      <c r="L117" s="220">
        <f>SUMIFS(LstMachines[Nbre],LstMachines[Model-Spec],PrévisionBoris[[#This Row],[Spec]],LstMachines[Status],PrévisionBoris[[#This Row],[Status]],LstMachines[MoisLivr],L$1)</f>
        <v>0</v>
      </c>
      <c r="M117" s="221">
        <f>SUMIFS(LstMachines[Nbre],LstMachines[Model-Spec],PrévisionBoris[[#This Row],[Spec]],LstMachines[Status],PrévisionBoris[[#This Row],[Status]],LstMachines[MoisLivr],M$1)</f>
        <v>0</v>
      </c>
      <c r="N117" s="219">
        <f>SUMIFS(LstMachines[Nbre],LstMachines[Model-Spec],PrévisionBoris[[#This Row],[Spec]],LstMachines[Status],PrévisionBoris[[#This Row],[Status]],LstMachines[MoisLivr],N$1)</f>
        <v>0</v>
      </c>
      <c r="O117" s="220">
        <f>SUMIFS(LstMachines[Nbre],LstMachines[Model-Spec],PrévisionBoris[[#This Row],[Spec]],LstMachines[Status],PrévisionBoris[[#This Row],[Status]],LstMachines[MoisLivr],O$1)</f>
        <v>0</v>
      </c>
      <c r="P117" s="221">
        <f>SUMIFS(LstMachines[Nbre],LstMachines[Model-Spec],PrévisionBoris[[#This Row],[Spec]],LstMachines[Status],PrévisionBoris[[#This Row],[Status]],LstMachines[MoisLivr],P$1)</f>
        <v>0</v>
      </c>
      <c r="Q117" s="222">
        <f>SUMIFS(LstMachines[Nbre],LstMachines[Model-Spec],PrévisionBoris[[#This Row],[Spec]],LstMachines[Status],PrévisionBoris[[#This Row],[Status]],LstMachines[MoisLivr],Q$1)</f>
        <v>0</v>
      </c>
      <c r="R117" s="220">
        <f>SUMIFS(LstMachines[Nbre],LstMachines[Model-Spec],PrévisionBoris[[#This Row],[Spec]],LstMachines[Status],PrévisionBoris[[#This Row],[Status]],LstMachines[MoisLivr],R$1)</f>
        <v>0</v>
      </c>
      <c r="S117" s="220">
        <f>SUMIFS(LstMachines[Nbre],LstMachines[Model-Spec],PrévisionBoris[[#This Row],[Spec]],LstMachines[Status],PrévisionBoris[[#This Row],[Status]],LstMachines[MoisLivr],S$1)</f>
        <v>0</v>
      </c>
      <c r="T117" s="219">
        <f>SUMIFS(LstMachines[Nbre],LstMachines[Model-Spec],PrévisionBoris[[#This Row],[Spec]],LstMachines[Status],PrévisionBoris[[#This Row],[Status]],LstMachines[MoisLivr],T$1)</f>
        <v>0</v>
      </c>
      <c r="U117" s="220">
        <f>SUMIFS(LstMachines[Nbre],LstMachines[Model-Spec],PrévisionBoris[[#This Row],[Spec]],LstMachines[Status],PrévisionBoris[[#This Row],[Status]],LstMachines[MoisLivr],U$1)</f>
        <v>0</v>
      </c>
      <c r="V117" s="220">
        <f>SUMIFS(LstMachines[Nbre],LstMachines[Model-Spec],PrévisionBoris[[#This Row],[Spec]],LstMachines[Status],PrévisionBoris[[#This Row],[Status]],LstMachines[MoisLivr],V$1)</f>
        <v>0</v>
      </c>
      <c r="W117" s="219">
        <f>SUMIFS(LstMachines[Nbre],LstMachines[Model-Spec],PrévisionBoris[[#This Row],[Spec]],LstMachines[Status],PrévisionBoris[[#This Row],[Status]],LstMachines[MoisLivr],W$1)</f>
        <v>0</v>
      </c>
      <c r="X117" s="220">
        <f>SUMIFS(LstMachines[Nbre],LstMachines[Model-Spec],PrévisionBoris[[#This Row],[Spec]],LstMachines[Status],PrévisionBoris[[#This Row],[Status]],LstMachines[MoisLivr],X$1)</f>
        <v>0</v>
      </c>
      <c r="Y117" s="220">
        <f>SUMIFS(LstMachines[Nbre],LstMachines[Model-Spec],PrévisionBoris[[#This Row],[Spec]],LstMachines[Status],PrévisionBoris[[#This Row],[Status]],LstMachines[MoisLivr],Y$1)</f>
        <v>0</v>
      </c>
      <c r="Z117" s="219">
        <f>SUMIFS(LstMachines[Nbre],LstMachines[Model-Spec],PrévisionBoris[[#This Row],[Spec]],LstMachines[Status],PrévisionBoris[[#This Row],[Status]],LstMachines[MoisLivr],Z$1)</f>
        <v>0</v>
      </c>
      <c r="AA117" s="220">
        <f>SUMIFS(LstMachines[Nbre],LstMachines[Model-Spec],PrévisionBoris[[#This Row],[Spec]],LstMachines[Status],PrévisionBoris[[#This Row],[Status]],LstMachines[MoisLivr],AA$1)</f>
        <v>0</v>
      </c>
      <c r="AB117" s="220">
        <f>SUMIFS(LstMachines[Nbre],LstMachines[Model-Spec],PrévisionBoris[[#This Row],[Spec]],LstMachines[Status],PrévisionBoris[[#This Row],[Status]],LstMachines[MoisLivr],AB$1)</f>
        <v>0</v>
      </c>
      <c r="AC117" s="219">
        <f>SUMIFS(LstMachines[Nbre],LstMachines[Model-Spec],PrévisionBoris[[#This Row],[Spec]],LstMachines[Status],PrévisionBoris[[#This Row],[Status]],LstMachines[MoisLivr],AC$1)</f>
        <v>0</v>
      </c>
      <c r="AD117" s="220">
        <f>SUMIFS(LstMachines[Nbre],LstMachines[Model-Spec],PrévisionBoris[[#This Row],[Spec]],LstMachines[Status],PrévisionBoris[[#This Row],[Status]],LstMachines[MoisLivr],AD$1)</f>
        <v>0</v>
      </c>
      <c r="AE117" s="220">
        <f>SUMIFS(LstMachines[Nbre],LstMachines[Model-Spec],PrévisionBoris[[#This Row],[Spec]],LstMachines[Status],PrévisionBoris[[#This Row],[Status]],LstMachines[MoisLivr],AE$1)</f>
        <v>0</v>
      </c>
      <c r="AF117" s="219">
        <f>SUMIFS(LstMachines[Nbre],LstMachines[Model-Spec],PrévisionBoris[[#This Row],[Spec]],LstMachines[Status],PrévisionBoris[[#This Row],[Status]],LstMachines[MoisLivr],AF$1)</f>
        <v>0</v>
      </c>
      <c r="AG117" s="220">
        <f>SUMIFS(LstMachines[Nbre],LstMachines[Model-Spec],PrévisionBoris[[#This Row],[Spec]],LstMachines[Status],PrévisionBoris[[#This Row],[Status]],LstMachines[MoisLivr],AG$1)</f>
        <v>0</v>
      </c>
      <c r="AH117" s="220">
        <f>SUMIFS(LstMachines[Nbre],LstMachines[Model-Spec],PrévisionBoris[[#This Row],[Spec]],LstMachines[Status],PrévisionBoris[[#This Row],[Status]],LstMachines[MoisLivr],AH$1)</f>
        <v>0</v>
      </c>
      <c r="AI117" s="219">
        <f>SUMIFS(LstMachines[Nbre],LstMachines[Model-Spec],PrévisionBoris[[#This Row],[Spec]],LstMachines[Status],PrévisionBoris[[#This Row],[Status]],LstMachines[MoisLivr],AI$1)</f>
        <v>0</v>
      </c>
      <c r="AJ117" s="220">
        <f>SUMIFS(LstMachines[Nbre],LstMachines[Model-Spec],PrévisionBoris[[#This Row],[Spec]],LstMachines[Status],PrévisionBoris[[#This Row],[Status]],LstMachines[MoisLivr],AJ$1)</f>
        <v>0</v>
      </c>
      <c r="AK117" s="220">
        <f>SUMIFS(LstMachines[Nbre],LstMachines[Model-Spec],PrévisionBoris[[#This Row],[Spec]],LstMachines[Status],PrévisionBoris[[#This Row],[Status]],LstMachines[MoisLivr],AK$1)</f>
        <v>0</v>
      </c>
      <c r="AL117" s="219">
        <f>SUMIFS(LstMachines[Nbre],LstMachines[Model-Spec],PrévisionBoris[[#This Row],[Spec]],LstMachines[Status],PrévisionBoris[[#This Row],[Status]],LstMachines[MoisLivr],AL$1)</f>
        <v>0</v>
      </c>
      <c r="AM117" s="220">
        <f>SUMIFS(LstMachines[Nbre],LstMachines[Model-Spec],PrévisionBoris[[#This Row],[Spec]],LstMachines[Status],PrévisionBoris[[#This Row],[Status]],LstMachines[MoisLivr],AM$1)</f>
        <v>0</v>
      </c>
      <c r="AN117" s="220">
        <f>SUMIFS(LstMachines[Nbre],LstMachines[Model-Spec],PrévisionBoris[[#This Row],[Spec]],LstMachines[Status],PrévisionBoris[[#This Row],[Status]],LstMachines[MoisLivr],AN$1)</f>
        <v>0</v>
      </c>
      <c r="AO117" s="219">
        <f>SUMIFS(LstMachines[Nbre],LstMachines[Model-Spec],PrévisionBoris[[#This Row],[Spec]],LstMachines[Status],PrévisionBoris[[#This Row],[Status]],LstMachines[MoisLivr],AO$1)</f>
        <v>0</v>
      </c>
      <c r="AP117" s="220">
        <f>SUMIFS(LstMachines[Nbre],LstMachines[Model-Spec],PrévisionBoris[[#This Row],[Spec]],LstMachines[Status],PrévisionBoris[[#This Row],[Status]],LstMachines[MoisLivr],AP$1)</f>
        <v>0</v>
      </c>
      <c r="AQ117" s="220">
        <f>SUMIFS(LstMachines[Nbre],LstMachines[Model-Spec],PrévisionBoris[[#This Row],[Spec]],LstMachines[Status],PrévisionBoris[[#This Row],[Status]],LstMachines[MoisLivr],AQ$1)</f>
        <v>0</v>
      </c>
      <c r="AR117" s="219">
        <f>SUMIFS(LstMachines[Nbre],LstMachines[Model-Spec],PrévisionBoris[[#This Row],[Spec]],LstMachines[Status],PrévisionBoris[[#This Row],[Status]],LstMachines[MoisLivr],AR$1)</f>
        <v>0</v>
      </c>
      <c r="AS117" s="220">
        <f>SUMIFS(LstMachines[Nbre],LstMachines[Model-Spec],PrévisionBoris[[#This Row],[Spec]],LstMachines[Status],PrévisionBoris[[#This Row],[Status]],LstMachines[MoisLivr],AS$1)</f>
        <v>0</v>
      </c>
      <c r="AT117" s="220">
        <f>SUMIFS(LstMachines[Nbre],LstMachines[Model-Spec],PrévisionBoris[[#This Row],[Spec]],LstMachines[Status],PrévisionBoris[[#This Row],[Status]],LstMachines[MoisLivr],AT$1)</f>
        <v>0</v>
      </c>
      <c r="AU117" s="219">
        <f>SUMIFS(LstMachines[Nbre],LstMachines[Model-Spec],PrévisionBoris[[#This Row],[Spec]],LstMachines[Status],PrévisionBoris[[#This Row],[Status]],LstMachines[MoisLivr],AU$1)</f>
        <v>0</v>
      </c>
      <c r="AV117" s="223">
        <f>SUMIFS(LstMachines[Nbre],LstMachines[Model-Spec],PrévisionBoris[[#This Row],[Spec]],LstMachines[Status],PrévisionBoris[[#This Row],[Status]],LstMachines[MoisLivr],AV$1)</f>
        <v>0</v>
      </c>
      <c r="AW117" s="224">
        <f>SUMIFS(LstMachines[Nbre],LstMachines[Model-Spec],PrévisionBoris[[#This Row],[Spec]],LstMachines[Status],PrévisionBoris[[#This Row],[Status]],LstMachines[MoisLivr],AW$1)</f>
        <v>0</v>
      </c>
      <c r="AX117" s="210"/>
      <c r="AY117" s="211">
        <f t="shared" si="19"/>
        <v>0</v>
      </c>
      <c r="AZ117" s="212">
        <f t="shared" si="20"/>
        <v>0</v>
      </c>
      <c r="BA117" s="212">
        <f t="shared" si="21"/>
        <v>0</v>
      </c>
      <c r="BB117" s="213">
        <f t="shared" si="22"/>
        <v>0</v>
      </c>
      <c r="BC117" s="225">
        <f t="shared" si="23"/>
        <v>0</v>
      </c>
      <c r="BD117" s="211">
        <f t="shared" si="24"/>
        <v>0</v>
      </c>
      <c r="BE117" s="212">
        <f t="shared" si="25"/>
        <v>0</v>
      </c>
      <c r="BF117" s="212">
        <f t="shared" si="26"/>
        <v>0</v>
      </c>
      <c r="BG117" s="213">
        <f t="shared" si="27"/>
        <v>0</v>
      </c>
      <c r="BH117" s="225">
        <f t="shared" si="28"/>
        <v>0</v>
      </c>
      <c r="BI117" s="214">
        <f t="shared" si="29"/>
        <v>0</v>
      </c>
      <c r="BJ117" s="215">
        <f t="shared" si="30"/>
        <v>0</v>
      </c>
      <c r="BK117" s="215">
        <f t="shared" si="31"/>
        <v>0</v>
      </c>
      <c r="BL117" s="216">
        <f t="shared" si="32"/>
        <v>0</v>
      </c>
      <c r="BM117" s="225">
        <f t="shared" si="33"/>
        <v>0</v>
      </c>
      <c r="BN117" s="225"/>
      <c r="BO117" s="217"/>
      <c r="BP117" s="218">
        <f t="shared" si="34"/>
        <v>0</v>
      </c>
    </row>
    <row r="118" spans="1:68">
      <c r="A118" s="171">
        <v>111</v>
      </c>
      <c r="B118" s="171" t="s">
        <v>75</v>
      </c>
      <c r="C118" s="201">
        <v>38</v>
      </c>
      <c r="D118" s="171" t="s">
        <v>188</v>
      </c>
      <c r="E118" s="171" t="s">
        <v>412</v>
      </c>
      <c r="F118" s="201">
        <f>VLOOKUP(PrévisionBoris[[#This Row],[Spec]],TabModelSpecs[[ModelSpec]:[Price]],2,FALSE)</f>
        <v>38</v>
      </c>
      <c r="G118" s="171" t="s">
        <v>463</v>
      </c>
      <c r="H118" s="226">
        <f>SUMIFS(LstMachines[Nbre],LstMachines[Model-Spec],PrévisionBoris[[#This Row],[Spec]],LstMachines[Status],PrévisionBoris[[#This Row],[Status]],LstMachines[MoisLivr],H$1)</f>
        <v>0</v>
      </c>
      <c r="I118" s="227">
        <f>SUMIFS(LstMachines[Nbre],LstMachines[Model-Spec],PrévisionBoris[[#This Row],[Spec]],LstMachines[Status],PrévisionBoris[[#This Row],[Status]],LstMachines[MoisLivr],I$1)</f>
        <v>0</v>
      </c>
      <c r="J118" s="228">
        <f>SUMIFS(LstMachines[Nbre],LstMachines[Model-Spec],PrévisionBoris[[#This Row],[Spec]],LstMachines[Status],PrévisionBoris[[#This Row],[Status]],LstMachines[MoisLivr],J$1)</f>
        <v>0</v>
      </c>
      <c r="K118" s="226">
        <f>SUMIFS(LstMachines[Nbre],LstMachines[Model-Spec],PrévisionBoris[[#This Row],[Spec]],LstMachines[Status],PrévisionBoris[[#This Row],[Status]],LstMachines[MoisLivr],K$1)</f>
        <v>0</v>
      </c>
      <c r="L118" s="227">
        <f>SUMIFS(LstMachines[Nbre],LstMachines[Model-Spec],PrévisionBoris[[#This Row],[Spec]],LstMachines[Status],PrévisionBoris[[#This Row],[Status]],LstMachines[MoisLivr],L$1)</f>
        <v>0</v>
      </c>
      <c r="M118" s="228">
        <f>SUMIFS(LstMachines[Nbre],LstMachines[Model-Spec],PrévisionBoris[[#This Row],[Spec]],LstMachines[Status],PrévisionBoris[[#This Row],[Status]],LstMachines[MoisLivr],M$1)</f>
        <v>0</v>
      </c>
      <c r="N118" s="226">
        <f>SUMIFS(LstMachines[Nbre],LstMachines[Model-Spec],PrévisionBoris[[#This Row],[Spec]],LstMachines[Status],PrévisionBoris[[#This Row],[Status]],LstMachines[MoisLivr],N$1)</f>
        <v>0</v>
      </c>
      <c r="O118" s="227">
        <f>SUMIFS(LstMachines[Nbre],LstMachines[Model-Spec],PrévisionBoris[[#This Row],[Spec]],LstMachines[Status],PrévisionBoris[[#This Row],[Status]],LstMachines[MoisLivr],O$1)</f>
        <v>0</v>
      </c>
      <c r="P118" s="228">
        <f>SUMIFS(LstMachines[Nbre],LstMachines[Model-Spec],PrévisionBoris[[#This Row],[Spec]],LstMachines[Status],PrévisionBoris[[#This Row],[Status]],LstMachines[MoisLivr],P$1)</f>
        <v>0</v>
      </c>
      <c r="Q118" s="229">
        <f>SUMIFS(LstMachines[Nbre],LstMachines[Model-Spec],PrévisionBoris[[#This Row],[Spec]],LstMachines[Status],PrévisionBoris[[#This Row],[Status]],LstMachines[MoisLivr],Q$1)</f>
        <v>0</v>
      </c>
      <c r="R118" s="227">
        <f>SUMIFS(LstMachines[Nbre],LstMachines[Model-Spec],PrévisionBoris[[#This Row],[Spec]],LstMachines[Status],PrévisionBoris[[#This Row],[Status]],LstMachines[MoisLivr],R$1)</f>
        <v>0</v>
      </c>
      <c r="S118" s="227">
        <f>SUMIFS(LstMachines[Nbre],LstMachines[Model-Spec],PrévisionBoris[[#This Row],[Spec]],LstMachines[Status],PrévisionBoris[[#This Row],[Status]],LstMachines[MoisLivr],S$1)</f>
        <v>0</v>
      </c>
      <c r="T118" s="226">
        <f>SUMIFS(LstMachines[Nbre],LstMachines[Model-Spec],PrévisionBoris[[#This Row],[Spec]],LstMachines[Status],PrévisionBoris[[#This Row],[Status]],LstMachines[MoisLivr],T$1)</f>
        <v>0</v>
      </c>
      <c r="U118" s="227">
        <f>SUMIFS(LstMachines[Nbre],LstMachines[Model-Spec],PrévisionBoris[[#This Row],[Spec]],LstMachines[Status],PrévisionBoris[[#This Row],[Status]],LstMachines[MoisLivr],U$1)</f>
        <v>0</v>
      </c>
      <c r="V118" s="227">
        <f>SUMIFS(LstMachines[Nbre],LstMachines[Model-Spec],PrévisionBoris[[#This Row],[Spec]],LstMachines[Status],PrévisionBoris[[#This Row],[Status]],LstMachines[MoisLivr],V$1)</f>
        <v>0</v>
      </c>
      <c r="W118" s="226">
        <f>SUMIFS(LstMachines[Nbre],LstMachines[Model-Spec],PrévisionBoris[[#This Row],[Spec]],LstMachines[Status],PrévisionBoris[[#This Row],[Status]],LstMachines[MoisLivr],W$1)</f>
        <v>0</v>
      </c>
      <c r="X118" s="227">
        <f>SUMIFS(LstMachines[Nbre],LstMachines[Model-Spec],PrévisionBoris[[#This Row],[Spec]],LstMachines[Status],PrévisionBoris[[#This Row],[Status]],LstMachines[MoisLivr],X$1)</f>
        <v>0</v>
      </c>
      <c r="Y118" s="227">
        <f>SUMIFS(LstMachines[Nbre],LstMachines[Model-Spec],PrévisionBoris[[#This Row],[Spec]],LstMachines[Status],PrévisionBoris[[#This Row],[Status]],LstMachines[MoisLivr],Y$1)</f>
        <v>0</v>
      </c>
      <c r="Z118" s="226">
        <f>SUMIFS(LstMachines[Nbre],LstMachines[Model-Spec],PrévisionBoris[[#This Row],[Spec]],LstMachines[Status],PrévisionBoris[[#This Row],[Status]],LstMachines[MoisLivr],Z$1)</f>
        <v>0</v>
      </c>
      <c r="AA118" s="227">
        <f>SUMIFS(LstMachines[Nbre],LstMachines[Model-Spec],PrévisionBoris[[#This Row],[Spec]],LstMachines[Status],PrévisionBoris[[#This Row],[Status]],LstMachines[MoisLivr],AA$1)</f>
        <v>0</v>
      </c>
      <c r="AB118" s="227">
        <f>SUMIFS(LstMachines[Nbre],LstMachines[Model-Spec],PrévisionBoris[[#This Row],[Spec]],LstMachines[Status],PrévisionBoris[[#This Row],[Status]],LstMachines[MoisLivr],AB$1)</f>
        <v>0</v>
      </c>
      <c r="AC118" s="226">
        <f>SUMIFS(LstMachines[Nbre],LstMachines[Model-Spec],PrévisionBoris[[#This Row],[Spec]],LstMachines[Status],PrévisionBoris[[#This Row],[Status]],LstMachines[MoisLivr],AC$1)</f>
        <v>0</v>
      </c>
      <c r="AD118" s="227">
        <f>SUMIFS(LstMachines[Nbre],LstMachines[Model-Spec],PrévisionBoris[[#This Row],[Spec]],LstMachines[Status],PrévisionBoris[[#This Row],[Status]],LstMachines[MoisLivr],AD$1)</f>
        <v>0</v>
      </c>
      <c r="AE118" s="227">
        <f>SUMIFS(LstMachines[Nbre],LstMachines[Model-Spec],PrévisionBoris[[#This Row],[Spec]],LstMachines[Status],PrévisionBoris[[#This Row],[Status]],LstMachines[MoisLivr],AE$1)</f>
        <v>0</v>
      </c>
      <c r="AF118" s="226">
        <f>SUMIFS(LstMachines[Nbre],LstMachines[Model-Spec],PrévisionBoris[[#This Row],[Spec]],LstMachines[Status],PrévisionBoris[[#This Row],[Status]],LstMachines[MoisLivr],AF$1)</f>
        <v>0</v>
      </c>
      <c r="AG118" s="227">
        <f>SUMIFS(LstMachines[Nbre],LstMachines[Model-Spec],PrévisionBoris[[#This Row],[Spec]],LstMachines[Status],PrévisionBoris[[#This Row],[Status]],LstMachines[MoisLivr],AG$1)</f>
        <v>0</v>
      </c>
      <c r="AH118" s="227">
        <f>SUMIFS(LstMachines[Nbre],LstMachines[Model-Spec],PrévisionBoris[[#This Row],[Spec]],LstMachines[Status],PrévisionBoris[[#This Row],[Status]],LstMachines[MoisLivr],AH$1)</f>
        <v>0</v>
      </c>
      <c r="AI118" s="226">
        <f>SUMIFS(LstMachines[Nbre],LstMachines[Model-Spec],PrévisionBoris[[#This Row],[Spec]],LstMachines[Status],PrévisionBoris[[#This Row],[Status]],LstMachines[MoisLivr],AI$1)</f>
        <v>0</v>
      </c>
      <c r="AJ118" s="227">
        <f>SUMIFS(LstMachines[Nbre],LstMachines[Model-Spec],PrévisionBoris[[#This Row],[Spec]],LstMachines[Status],PrévisionBoris[[#This Row],[Status]],LstMachines[MoisLivr],AJ$1)</f>
        <v>0</v>
      </c>
      <c r="AK118" s="227">
        <f>SUMIFS(LstMachines[Nbre],LstMachines[Model-Spec],PrévisionBoris[[#This Row],[Spec]],LstMachines[Status],PrévisionBoris[[#This Row],[Status]],LstMachines[MoisLivr],AK$1)</f>
        <v>0</v>
      </c>
      <c r="AL118" s="226">
        <f>SUMIFS(LstMachines[Nbre],LstMachines[Model-Spec],PrévisionBoris[[#This Row],[Spec]],LstMachines[Status],PrévisionBoris[[#This Row],[Status]],LstMachines[MoisLivr],AL$1)</f>
        <v>0</v>
      </c>
      <c r="AM118" s="227">
        <f>SUMIFS(LstMachines[Nbre],LstMachines[Model-Spec],PrévisionBoris[[#This Row],[Spec]],LstMachines[Status],PrévisionBoris[[#This Row],[Status]],LstMachines[MoisLivr],AM$1)</f>
        <v>0</v>
      </c>
      <c r="AN118" s="227">
        <f>SUMIFS(LstMachines[Nbre],LstMachines[Model-Spec],PrévisionBoris[[#This Row],[Spec]],LstMachines[Status],PrévisionBoris[[#This Row],[Status]],LstMachines[MoisLivr],AN$1)</f>
        <v>0</v>
      </c>
      <c r="AO118" s="226">
        <f>SUMIFS(LstMachines[Nbre],LstMachines[Model-Spec],PrévisionBoris[[#This Row],[Spec]],LstMachines[Status],PrévisionBoris[[#This Row],[Status]],LstMachines[MoisLivr],AO$1)</f>
        <v>0</v>
      </c>
      <c r="AP118" s="227">
        <f>SUMIFS(LstMachines[Nbre],LstMachines[Model-Spec],PrévisionBoris[[#This Row],[Spec]],LstMachines[Status],PrévisionBoris[[#This Row],[Status]],LstMachines[MoisLivr],AP$1)</f>
        <v>0</v>
      </c>
      <c r="AQ118" s="227">
        <f>SUMIFS(LstMachines[Nbre],LstMachines[Model-Spec],PrévisionBoris[[#This Row],[Spec]],LstMachines[Status],PrévisionBoris[[#This Row],[Status]],LstMachines[MoisLivr],AQ$1)</f>
        <v>0</v>
      </c>
      <c r="AR118" s="226">
        <f>SUMIFS(LstMachines[Nbre],LstMachines[Model-Spec],PrévisionBoris[[#This Row],[Spec]],LstMachines[Status],PrévisionBoris[[#This Row],[Status]],LstMachines[MoisLivr],AR$1)</f>
        <v>0</v>
      </c>
      <c r="AS118" s="227">
        <f>SUMIFS(LstMachines[Nbre],LstMachines[Model-Spec],PrévisionBoris[[#This Row],[Spec]],LstMachines[Status],PrévisionBoris[[#This Row],[Status]],LstMachines[MoisLivr],AS$1)</f>
        <v>0</v>
      </c>
      <c r="AT118" s="227">
        <f>SUMIFS(LstMachines[Nbre],LstMachines[Model-Spec],PrévisionBoris[[#This Row],[Spec]],LstMachines[Status],PrévisionBoris[[#This Row],[Status]],LstMachines[MoisLivr],AT$1)</f>
        <v>0</v>
      </c>
      <c r="AU118" s="226">
        <f>SUMIFS(LstMachines[Nbre],LstMachines[Model-Spec],PrévisionBoris[[#This Row],[Spec]],LstMachines[Status],PrévisionBoris[[#This Row],[Status]],LstMachines[MoisLivr],AU$1)</f>
        <v>0</v>
      </c>
      <c r="AV118" s="230">
        <f>SUMIFS(LstMachines[Nbre],LstMachines[Model-Spec],PrévisionBoris[[#This Row],[Spec]],LstMachines[Status],PrévisionBoris[[#This Row],[Status]],LstMachines[MoisLivr],AV$1)</f>
        <v>0</v>
      </c>
      <c r="AW118" s="231">
        <f>SUMIFS(LstMachines[Nbre],LstMachines[Model-Spec],PrévisionBoris[[#This Row],[Spec]],LstMachines[Status],PrévisionBoris[[#This Row],[Status]],LstMachines[MoisLivr],AW$1)</f>
        <v>0</v>
      </c>
      <c r="AX118" s="232"/>
      <c r="AY118" s="211">
        <f t="shared" si="19"/>
        <v>0</v>
      </c>
      <c r="AZ118" s="212">
        <f t="shared" si="20"/>
        <v>0</v>
      </c>
      <c r="BA118" s="212">
        <f t="shared" si="21"/>
        <v>0</v>
      </c>
      <c r="BB118" s="213">
        <f t="shared" si="22"/>
        <v>0</v>
      </c>
      <c r="BC118" s="225">
        <f t="shared" si="23"/>
        <v>0</v>
      </c>
      <c r="BD118" s="211">
        <f t="shared" si="24"/>
        <v>0</v>
      </c>
      <c r="BE118" s="212">
        <f t="shared" si="25"/>
        <v>0</v>
      </c>
      <c r="BF118" s="212">
        <f t="shared" si="26"/>
        <v>0</v>
      </c>
      <c r="BG118" s="213">
        <f t="shared" si="27"/>
        <v>0</v>
      </c>
      <c r="BH118" s="225">
        <f t="shared" si="28"/>
        <v>0</v>
      </c>
      <c r="BI118" s="214">
        <f t="shared" si="29"/>
        <v>0</v>
      </c>
      <c r="BJ118" s="215">
        <f t="shared" si="30"/>
        <v>0</v>
      </c>
      <c r="BK118" s="215">
        <f t="shared" si="31"/>
        <v>0</v>
      </c>
      <c r="BL118" s="216">
        <f t="shared" si="32"/>
        <v>0</v>
      </c>
      <c r="BM118" s="225">
        <f t="shared" si="33"/>
        <v>0</v>
      </c>
      <c r="BN118" s="225"/>
      <c r="BO118" s="217"/>
      <c r="BP118" s="218">
        <f t="shared" si="34"/>
        <v>0</v>
      </c>
    </row>
    <row r="119" spans="1:68">
      <c r="A119" s="172">
        <v>112</v>
      </c>
      <c r="B119" s="172" t="s">
        <v>75</v>
      </c>
      <c r="C119" s="202">
        <v>38</v>
      </c>
      <c r="D119" s="172" t="s">
        <v>188</v>
      </c>
      <c r="E119" s="172" t="s">
        <v>413</v>
      </c>
      <c r="F119" s="202">
        <f>VLOOKUP(PrévisionBoris[[#This Row],[Spec]],TabModelSpecs[[ModelSpec]:[Price]],2,FALSE)</f>
        <v>38</v>
      </c>
      <c r="G119" s="172" t="s">
        <v>461</v>
      </c>
      <c r="H119" s="206">
        <f>SUMIFS(LstMachines[Nbre],LstMachines[Model-Spec],PrévisionBoris[[#This Row],[Spec]],LstMachines[Status],PrévisionBoris[[#This Row],[Status]],LstMachines[MoisLivr],H$1)</f>
        <v>0</v>
      </c>
      <c r="I119" s="207">
        <f>SUMIFS(LstMachines[Nbre],LstMachines[Model-Spec],PrévisionBoris[[#This Row],[Spec]],LstMachines[Status],PrévisionBoris[[#This Row],[Status]],LstMachines[MoisLivr],I$1)</f>
        <v>0</v>
      </c>
      <c r="J119" s="208">
        <f>SUMIFS(LstMachines[Nbre],LstMachines[Model-Spec],PrévisionBoris[[#This Row],[Spec]],LstMachines[Status],PrévisionBoris[[#This Row],[Status]],LstMachines[MoisLivr],J$1)</f>
        <v>0</v>
      </c>
      <c r="K119" s="206">
        <f>SUMIFS(LstMachines[Nbre],LstMachines[Model-Spec],PrévisionBoris[[#This Row],[Spec]],LstMachines[Status],PrévisionBoris[[#This Row],[Status]],LstMachines[MoisLivr],K$1)</f>
        <v>0</v>
      </c>
      <c r="L119" s="207">
        <f>SUMIFS(LstMachines[Nbre],LstMachines[Model-Spec],PrévisionBoris[[#This Row],[Spec]],LstMachines[Status],PrévisionBoris[[#This Row],[Status]],LstMachines[MoisLivr],L$1)</f>
        <v>0</v>
      </c>
      <c r="M119" s="208">
        <f>SUMIFS(LstMachines[Nbre],LstMachines[Model-Spec],PrévisionBoris[[#This Row],[Spec]],LstMachines[Status],PrévisionBoris[[#This Row],[Status]],LstMachines[MoisLivr],M$1)</f>
        <v>0</v>
      </c>
      <c r="N119" s="206">
        <f>SUMIFS(LstMachines[Nbre],LstMachines[Model-Spec],PrévisionBoris[[#This Row],[Spec]],LstMachines[Status],PrévisionBoris[[#This Row],[Status]],LstMachines[MoisLivr],N$1)</f>
        <v>0</v>
      </c>
      <c r="O119" s="207">
        <f>SUMIFS(LstMachines[Nbre],LstMachines[Model-Spec],PrévisionBoris[[#This Row],[Spec]],LstMachines[Status],PrévisionBoris[[#This Row],[Status]],LstMachines[MoisLivr],O$1)</f>
        <v>0</v>
      </c>
      <c r="P119" s="208">
        <f>SUMIFS(LstMachines[Nbre],LstMachines[Model-Spec],PrévisionBoris[[#This Row],[Spec]],LstMachines[Status],PrévisionBoris[[#This Row],[Status]],LstMachines[MoisLivr],P$1)</f>
        <v>0</v>
      </c>
      <c r="Q119" s="209">
        <f>SUMIFS(LstMachines[Nbre],LstMachines[Model-Spec],PrévisionBoris[[#This Row],[Spec]],LstMachines[Status],PrévisionBoris[[#This Row],[Status]],LstMachines[MoisLivr],Q$1)</f>
        <v>0</v>
      </c>
      <c r="R119" s="207">
        <f>SUMIFS(LstMachines[Nbre],LstMachines[Model-Spec],PrévisionBoris[[#This Row],[Spec]],LstMachines[Status],PrévisionBoris[[#This Row],[Status]],LstMachines[MoisLivr],R$1)</f>
        <v>0</v>
      </c>
      <c r="S119" s="207">
        <f>SUMIFS(LstMachines[Nbre],LstMachines[Model-Spec],PrévisionBoris[[#This Row],[Spec]],LstMachines[Status],PrévisionBoris[[#This Row],[Status]],LstMachines[MoisLivr],S$1)</f>
        <v>0</v>
      </c>
      <c r="T119" s="206">
        <f>SUMIFS(LstMachines[Nbre],LstMachines[Model-Spec],PrévisionBoris[[#This Row],[Spec]],LstMachines[Status],PrévisionBoris[[#This Row],[Status]],LstMachines[MoisLivr],T$1)</f>
        <v>0</v>
      </c>
      <c r="U119" s="207">
        <f>SUMIFS(LstMachines[Nbre],LstMachines[Model-Spec],PrévisionBoris[[#This Row],[Spec]],LstMachines[Status],PrévisionBoris[[#This Row],[Status]],LstMachines[MoisLivr],U$1)</f>
        <v>0</v>
      </c>
      <c r="V119" s="207">
        <f>SUMIFS(LstMachines[Nbre],LstMachines[Model-Spec],PrévisionBoris[[#This Row],[Spec]],LstMachines[Status],PrévisionBoris[[#This Row],[Status]],LstMachines[MoisLivr],V$1)</f>
        <v>0</v>
      </c>
      <c r="W119" s="206">
        <f>SUMIFS(LstMachines[Nbre],LstMachines[Model-Spec],PrévisionBoris[[#This Row],[Spec]],LstMachines[Status],PrévisionBoris[[#This Row],[Status]],LstMachines[MoisLivr],W$1)</f>
        <v>0</v>
      </c>
      <c r="X119" s="207">
        <f>SUMIFS(LstMachines[Nbre],LstMachines[Model-Spec],PrévisionBoris[[#This Row],[Spec]],LstMachines[Status],PrévisionBoris[[#This Row],[Status]],LstMachines[MoisLivr],X$1)</f>
        <v>0</v>
      </c>
      <c r="Y119" s="207">
        <f>SUMIFS(LstMachines[Nbre],LstMachines[Model-Spec],PrévisionBoris[[#This Row],[Spec]],LstMachines[Status],PrévisionBoris[[#This Row],[Status]],LstMachines[MoisLivr],Y$1)</f>
        <v>0</v>
      </c>
      <c r="Z119" s="206">
        <f>SUMIFS(LstMachines[Nbre],LstMachines[Model-Spec],PrévisionBoris[[#This Row],[Spec]],LstMachines[Status],PrévisionBoris[[#This Row],[Status]],LstMachines[MoisLivr],Z$1)</f>
        <v>0</v>
      </c>
      <c r="AA119" s="207">
        <f>SUMIFS(LstMachines[Nbre],LstMachines[Model-Spec],PrévisionBoris[[#This Row],[Spec]],LstMachines[Status],PrévisionBoris[[#This Row],[Status]],LstMachines[MoisLivr],AA$1)</f>
        <v>0</v>
      </c>
      <c r="AB119" s="207">
        <f>SUMIFS(LstMachines[Nbre],LstMachines[Model-Spec],PrévisionBoris[[#This Row],[Spec]],LstMachines[Status],PrévisionBoris[[#This Row],[Status]],LstMachines[MoisLivr],AB$1)</f>
        <v>0</v>
      </c>
      <c r="AC119" s="206">
        <f>SUMIFS(LstMachines[Nbre],LstMachines[Model-Spec],PrévisionBoris[[#This Row],[Spec]],LstMachines[Status],PrévisionBoris[[#This Row],[Status]],LstMachines[MoisLivr],AC$1)</f>
        <v>0</v>
      </c>
      <c r="AD119" s="207">
        <f>SUMIFS(LstMachines[Nbre],LstMachines[Model-Spec],PrévisionBoris[[#This Row],[Spec]],LstMachines[Status],PrévisionBoris[[#This Row],[Status]],LstMachines[MoisLivr],AD$1)</f>
        <v>0</v>
      </c>
      <c r="AE119" s="207">
        <f>SUMIFS(LstMachines[Nbre],LstMachines[Model-Spec],PrévisionBoris[[#This Row],[Spec]],LstMachines[Status],PrévisionBoris[[#This Row],[Status]],LstMachines[MoisLivr],AE$1)</f>
        <v>0</v>
      </c>
      <c r="AF119" s="206">
        <f>SUMIFS(LstMachines[Nbre],LstMachines[Model-Spec],PrévisionBoris[[#This Row],[Spec]],LstMachines[Status],PrévisionBoris[[#This Row],[Status]],LstMachines[MoisLivr],AF$1)</f>
        <v>0</v>
      </c>
      <c r="AG119" s="207">
        <f>SUMIFS(LstMachines[Nbre],LstMachines[Model-Spec],PrévisionBoris[[#This Row],[Spec]],LstMachines[Status],PrévisionBoris[[#This Row],[Status]],LstMachines[MoisLivr],AG$1)</f>
        <v>0</v>
      </c>
      <c r="AH119" s="207">
        <f>SUMIFS(LstMachines[Nbre],LstMachines[Model-Spec],PrévisionBoris[[#This Row],[Spec]],LstMachines[Status],PrévisionBoris[[#This Row],[Status]],LstMachines[MoisLivr],AH$1)</f>
        <v>0</v>
      </c>
      <c r="AI119" s="206">
        <f>SUMIFS(LstMachines[Nbre],LstMachines[Model-Spec],PrévisionBoris[[#This Row],[Spec]],LstMachines[Status],PrévisionBoris[[#This Row],[Status]],LstMachines[MoisLivr],AI$1)</f>
        <v>0</v>
      </c>
      <c r="AJ119" s="207">
        <f>SUMIFS(LstMachines[Nbre],LstMachines[Model-Spec],PrévisionBoris[[#This Row],[Spec]],LstMachines[Status],PrévisionBoris[[#This Row],[Status]],LstMachines[MoisLivr],AJ$1)</f>
        <v>0</v>
      </c>
      <c r="AK119" s="207">
        <f>SUMIFS(LstMachines[Nbre],LstMachines[Model-Spec],PrévisionBoris[[#This Row],[Spec]],LstMachines[Status],PrévisionBoris[[#This Row],[Status]],LstMachines[MoisLivr],AK$1)</f>
        <v>0</v>
      </c>
      <c r="AL119" s="206">
        <f>SUMIFS(LstMachines[Nbre],LstMachines[Model-Spec],PrévisionBoris[[#This Row],[Spec]],LstMachines[Status],PrévisionBoris[[#This Row],[Status]],LstMachines[MoisLivr],AL$1)</f>
        <v>0</v>
      </c>
      <c r="AM119" s="207">
        <f>SUMIFS(LstMachines[Nbre],LstMachines[Model-Spec],PrévisionBoris[[#This Row],[Spec]],LstMachines[Status],PrévisionBoris[[#This Row],[Status]],LstMachines[MoisLivr],AM$1)</f>
        <v>0</v>
      </c>
      <c r="AN119" s="207">
        <f>SUMIFS(LstMachines[Nbre],LstMachines[Model-Spec],PrévisionBoris[[#This Row],[Spec]],LstMachines[Status],PrévisionBoris[[#This Row],[Status]],LstMachines[MoisLivr],AN$1)</f>
        <v>0</v>
      </c>
      <c r="AO119" s="206">
        <f>SUMIFS(LstMachines[Nbre],LstMachines[Model-Spec],PrévisionBoris[[#This Row],[Spec]],LstMachines[Status],PrévisionBoris[[#This Row],[Status]],LstMachines[MoisLivr],AO$1)</f>
        <v>0</v>
      </c>
      <c r="AP119" s="207">
        <f>SUMIFS(LstMachines[Nbre],LstMachines[Model-Spec],PrévisionBoris[[#This Row],[Spec]],LstMachines[Status],PrévisionBoris[[#This Row],[Status]],LstMachines[MoisLivr],AP$1)</f>
        <v>0</v>
      </c>
      <c r="AQ119" s="207">
        <f>SUMIFS(LstMachines[Nbre],LstMachines[Model-Spec],PrévisionBoris[[#This Row],[Spec]],LstMachines[Status],PrévisionBoris[[#This Row],[Status]],LstMachines[MoisLivr],AQ$1)</f>
        <v>0</v>
      </c>
      <c r="AR119" s="206">
        <f>SUMIFS(LstMachines[Nbre],LstMachines[Model-Spec],PrévisionBoris[[#This Row],[Spec]],LstMachines[Status],PrévisionBoris[[#This Row],[Status]],LstMachines[MoisLivr],AR$1)</f>
        <v>0</v>
      </c>
      <c r="AS119" s="207">
        <f>SUMIFS(LstMachines[Nbre],LstMachines[Model-Spec],PrévisionBoris[[#This Row],[Spec]],LstMachines[Status],PrévisionBoris[[#This Row],[Status]],LstMachines[MoisLivr],AS$1)</f>
        <v>0</v>
      </c>
      <c r="AT119" s="207">
        <f>SUMIFS(LstMachines[Nbre],LstMachines[Model-Spec],PrévisionBoris[[#This Row],[Spec]],LstMachines[Status],PrévisionBoris[[#This Row],[Status]],LstMachines[MoisLivr],AT$1)</f>
        <v>0</v>
      </c>
      <c r="AU119" s="206">
        <f>SUMIFS(LstMachines[Nbre],LstMachines[Model-Spec],PrévisionBoris[[#This Row],[Spec]],LstMachines[Status],PrévisionBoris[[#This Row],[Status]],LstMachines[MoisLivr],AU$1)</f>
        <v>0</v>
      </c>
      <c r="AV119" s="233">
        <f>SUMIFS(LstMachines[Nbre],LstMachines[Model-Spec],PrévisionBoris[[#This Row],[Spec]],LstMachines[Status],PrévisionBoris[[#This Row],[Status]],LstMachines[MoisLivr],AV$1)</f>
        <v>0</v>
      </c>
      <c r="AW119" s="208">
        <f>SUMIFS(LstMachines[Nbre],LstMachines[Model-Spec],PrévisionBoris[[#This Row],[Spec]],LstMachines[Status],PrévisionBoris[[#This Row],[Status]],LstMachines[MoisLivr],AW$1)</f>
        <v>0</v>
      </c>
      <c r="AX119" s="225"/>
      <c r="AY119" s="211">
        <f t="shared" si="19"/>
        <v>0</v>
      </c>
      <c r="AZ119" s="212">
        <f t="shared" si="20"/>
        <v>0</v>
      </c>
      <c r="BA119" s="212">
        <f t="shared" si="21"/>
        <v>0</v>
      </c>
      <c r="BB119" s="213">
        <f t="shared" si="22"/>
        <v>0</v>
      </c>
      <c r="BC119" s="225">
        <f t="shared" si="23"/>
        <v>0</v>
      </c>
      <c r="BD119" s="211">
        <f t="shared" si="24"/>
        <v>0</v>
      </c>
      <c r="BE119" s="212">
        <f t="shared" si="25"/>
        <v>0</v>
      </c>
      <c r="BF119" s="212">
        <f t="shared" si="26"/>
        <v>0</v>
      </c>
      <c r="BG119" s="213">
        <f t="shared" si="27"/>
        <v>0</v>
      </c>
      <c r="BH119" s="225">
        <f t="shared" si="28"/>
        <v>0</v>
      </c>
      <c r="BI119" s="214">
        <f t="shared" si="29"/>
        <v>0</v>
      </c>
      <c r="BJ119" s="215">
        <f t="shared" si="30"/>
        <v>0</v>
      </c>
      <c r="BK119" s="215">
        <f t="shared" si="31"/>
        <v>0</v>
      </c>
      <c r="BL119" s="216">
        <f t="shared" si="32"/>
        <v>0</v>
      </c>
      <c r="BM119" s="225">
        <f t="shared" si="33"/>
        <v>0</v>
      </c>
      <c r="BN119" s="225"/>
      <c r="BO119" s="234"/>
      <c r="BP119" s="218">
        <f t="shared" si="34"/>
        <v>0</v>
      </c>
    </row>
    <row r="120" spans="1:68">
      <c r="A120" s="170">
        <v>113</v>
      </c>
      <c r="B120" s="170" t="s">
        <v>75</v>
      </c>
      <c r="C120" s="200">
        <v>38</v>
      </c>
      <c r="D120" s="170" t="s">
        <v>188</v>
      </c>
      <c r="E120" s="170" t="s">
        <v>413</v>
      </c>
      <c r="F120" s="200">
        <f>VLOOKUP(PrévisionBoris[[#This Row],[Spec]],TabModelSpecs[[ModelSpec]:[Price]],2,FALSE)</f>
        <v>38</v>
      </c>
      <c r="G120" s="170" t="s">
        <v>462</v>
      </c>
      <c r="H120" s="219">
        <f>SUMIFS(LstMachines[Nbre],LstMachines[Model-Spec],PrévisionBoris[[#This Row],[Spec]],LstMachines[Status],PrévisionBoris[[#This Row],[Status]],LstMachines[MoisLivr],H$1)</f>
        <v>0</v>
      </c>
      <c r="I120" s="220">
        <f>SUMIFS(LstMachines[Nbre],LstMachines[Model-Spec],PrévisionBoris[[#This Row],[Spec]],LstMachines[Status],PrévisionBoris[[#This Row],[Status]],LstMachines[MoisLivr],I$1)</f>
        <v>0</v>
      </c>
      <c r="J120" s="221">
        <f>SUMIFS(LstMachines[Nbre],LstMachines[Model-Spec],PrévisionBoris[[#This Row],[Spec]],LstMachines[Status],PrévisionBoris[[#This Row],[Status]],LstMachines[MoisLivr],J$1)</f>
        <v>0</v>
      </c>
      <c r="K120" s="219">
        <f>SUMIFS(LstMachines[Nbre],LstMachines[Model-Spec],PrévisionBoris[[#This Row],[Spec]],LstMachines[Status],PrévisionBoris[[#This Row],[Status]],LstMachines[MoisLivr],K$1)</f>
        <v>0</v>
      </c>
      <c r="L120" s="220">
        <f>SUMIFS(LstMachines[Nbre],LstMachines[Model-Spec],PrévisionBoris[[#This Row],[Spec]],LstMachines[Status],PrévisionBoris[[#This Row],[Status]],LstMachines[MoisLivr],L$1)</f>
        <v>0</v>
      </c>
      <c r="M120" s="221">
        <f>SUMIFS(LstMachines[Nbre],LstMachines[Model-Spec],PrévisionBoris[[#This Row],[Spec]],LstMachines[Status],PrévisionBoris[[#This Row],[Status]],LstMachines[MoisLivr],M$1)</f>
        <v>0</v>
      </c>
      <c r="N120" s="219">
        <f>SUMIFS(LstMachines[Nbre],LstMachines[Model-Spec],PrévisionBoris[[#This Row],[Spec]],LstMachines[Status],PrévisionBoris[[#This Row],[Status]],LstMachines[MoisLivr],N$1)</f>
        <v>0</v>
      </c>
      <c r="O120" s="220">
        <f>SUMIFS(LstMachines[Nbre],LstMachines[Model-Spec],PrévisionBoris[[#This Row],[Spec]],LstMachines[Status],PrévisionBoris[[#This Row],[Status]],LstMachines[MoisLivr],O$1)</f>
        <v>0</v>
      </c>
      <c r="P120" s="221">
        <f>SUMIFS(LstMachines[Nbre],LstMachines[Model-Spec],PrévisionBoris[[#This Row],[Spec]],LstMachines[Status],PrévisionBoris[[#This Row],[Status]],LstMachines[MoisLivr],P$1)</f>
        <v>0</v>
      </c>
      <c r="Q120" s="222">
        <f>SUMIFS(LstMachines[Nbre],LstMachines[Model-Spec],PrévisionBoris[[#This Row],[Spec]],LstMachines[Status],PrévisionBoris[[#This Row],[Status]],LstMachines[MoisLivr],Q$1)</f>
        <v>0</v>
      </c>
      <c r="R120" s="220">
        <f>SUMIFS(LstMachines[Nbre],LstMachines[Model-Spec],PrévisionBoris[[#This Row],[Spec]],LstMachines[Status],PrévisionBoris[[#This Row],[Status]],LstMachines[MoisLivr],R$1)</f>
        <v>0</v>
      </c>
      <c r="S120" s="220">
        <f>SUMIFS(LstMachines[Nbre],LstMachines[Model-Spec],PrévisionBoris[[#This Row],[Spec]],LstMachines[Status],PrévisionBoris[[#This Row],[Status]],LstMachines[MoisLivr],S$1)</f>
        <v>0</v>
      </c>
      <c r="T120" s="219">
        <f>SUMIFS(LstMachines[Nbre],LstMachines[Model-Spec],PrévisionBoris[[#This Row],[Spec]],LstMachines[Status],PrévisionBoris[[#This Row],[Status]],LstMachines[MoisLivr],T$1)</f>
        <v>0</v>
      </c>
      <c r="U120" s="220">
        <f>SUMIFS(LstMachines[Nbre],LstMachines[Model-Spec],PrévisionBoris[[#This Row],[Spec]],LstMachines[Status],PrévisionBoris[[#This Row],[Status]],LstMachines[MoisLivr],U$1)</f>
        <v>0</v>
      </c>
      <c r="V120" s="220">
        <f>SUMIFS(LstMachines[Nbre],LstMachines[Model-Spec],PrévisionBoris[[#This Row],[Spec]],LstMachines[Status],PrévisionBoris[[#This Row],[Status]],LstMachines[MoisLivr],V$1)</f>
        <v>0</v>
      </c>
      <c r="W120" s="219">
        <f>SUMIFS(LstMachines[Nbre],LstMachines[Model-Spec],PrévisionBoris[[#This Row],[Spec]],LstMachines[Status],PrévisionBoris[[#This Row],[Status]],LstMachines[MoisLivr],W$1)</f>
        <v>0</v>
      </c>
      <c r="X120" s="220">
        <f>SUMIFS(LstMachines[Nbre],LstMachines[Model-Spec],PrévisionBoris[[#This Row],[Spec]],LstMachines[Status],PrévisionBoris[[#This Row],[Status]],LstMachines[MoisLivr],X$1)</f>
        <v>0</v>
      </c>
      <c r="Y120" s="220">
        <f>SUMIFS(LstMachines[Nbre],LstMachines[Model-Spec],PrévisionBoris[[#This Row],[Spec]],LstMachines[Status],PrévisionBoris[[#This Row],[Status]],LstMachines[MoisLivr],Y$1)</f>
        <v>0</v>
      </c>
      <c r="Z120" s="219">
        <f>SUMIFS(LstMachines[Nbre],LstMachines[Model-Spec],PrévisionBoris[[#This Row],[Spec]],LstMachines[Status],PrévisionBoris[[#This Row],[Status]],LstMachines[MoisLivr],Z$1)</f>
        <v>0</v>
      </c>
      <c r="AA120" s="220">
        <f>SUMIFS(LstMachines[Nbre],LstMachines[Model-Spec],PrévisionBoris[[#This Row],[Spec]],LstMachines[Status],PrévisionBoris[[#This Row],[Status]],LstMachines[MoisLivr],AA$1)</f>
        <v>0</v>
      </c>
      <c r="AB120" s="220">
        <f>SUMIFS(LstMachines[Nbre],LstMachines[Model-Spec],PrévisionBoris[[#This Row],[Spec]],LstMachines[Status],PrévisionBoris[[#This Row],[Status]],LstMachines[MoisLivr],AB$1)</f>
        <v>0</v>
      </c>
      <c r="AC120" s="219">
        <f>SUMIFS(LstMachines[Nbre],LstMachines[Model-Spec],PrévisionBoris[[#This Row],[Spec]],LstMachines[Status],PrévisionBoris[[#This Row],[Status]],LstMachines[MoisLivr],AC$1)</f>
        <v>0</v>
      </c>
      <c r="AD120" s="220">
        <f>SUMIFS(LstMachines[Nbre],LstMachines[Model-Spec],PrévisionBoris[[#This Row],[Spec]],LstMachines[Status],PrévisionBoris[[#This Row],[Status]],LstMachines[MoisLivr],AD$1)</f>
        <v>0</v>
      </c>
      <c r="AE120" s="220">
        <f>SUMIFS(LstMachines[Nbre],LstMachines[Model-Spec],PrévisionBoris[[#This Row],[Spec]],LstMachines[Status],PrévisionBoris[[#This Row],[Status]],LstMachines[MoisLivr],AE$1)</f>
        <v>0</v>
      </c>
      <c r="AF120" s="219">
        <f>SUMIFS(LstMachines[Nbre],LstMachines[Model-Spec],PrévisionBoris[[#This Row],[Spec]],LstMachines[Status],PrévisionBoris[[#This Row],[Status]],LstMachines[MoisLivr],AF$1)</f>
        <v>0</v>
      </c>
      <c r="AG120" s="220">
        <f>SUMIFS(LstMachines[Nbre],LstMachines[Model-Spec],PrévisionBoris[[#This Row],[Spec]],LstMachines[Status],PrévisionBoris[[#This Row],[Status]],LstMachines[MoisLivr],AG$1)</f>
        <v>0</v>
      </c>
      <c r="AH120" s="220">
        <f>SUMIFS(LstMachines[Nbre],LstMachines[Model-Spec],PrévisionBoris[[#This Row],[Spec]],LstMachines[Status],PrévisionBoris[[#This Row],[Status]],LstMachines[MoisLivr],AH$1)</f>
        <v>0</v>
      </c>
      <c r="AI120" s="219">
        <f>SUMIFS(LstMachines[Nbre],LstMachines[Model-Spec],PrévisionBoris[[#This Row],[Spec]],LstMachines[Status],PrévisionBoris[[#This Row],[Status]],LstMachines[MoisLivr],AI$1)</f>
        <v>0</v>
      </c>
      <c r="AJ120" s="220">
        <f>SUMIFS(LstMachines[Nbre],LstMachines[Model-Spec],PrévisionBoris[[#This Row],[Spec]],LstMachines[Status],PrévisionBoris[[#This Row],[Status]],LstMachines[MoisLivr],AJ$1)</f>
        <v>0</v>
      </c>
      <c r="AK120" s="220">
        <f>SUMIFS(LstMachines[Nbre],LstMachines[Model-Spec],PrévisionBoris[[#This Row],[Spec]],LstMachines[Status],PrévisionBoris[[#This Row],[Status]],LstMachines[MoisLivr],AK$1)</f>
        <v>0</v>
      </c>
      <c r="AL120" s="219">
        <f>SUMIFS(LstMachines[Nbre],LstMachines[Model-Spec],PrévisionBoris[[#This Row],[Spec]],LstMachines[Status],PrévisionBoris[[#This Row],[Status]],LstMachines[MoisLivr],AL$1)</f>
        <v>0</v>
      </c>
      <c r="AM120" s="220">
        <f>SUMIFS(LstMachines[Nbre],LstMachines[Model-Spec],PrévisionBoris[[#This Row],[Spec]],LstMachines[Status],PrévisionBoris[[#This Row],[Status]],LstMachines[MoisLivr],AM$1)</f>
        <v>0</v>
      </c>
      <c r="AN120" s="220">
        <f>SUMIFS(LstMachines[Nbre],LstMachines[Model-Spec],PrévisionBoris[[#This Row],[Spec]],LstMachines[Status],PrévisionBoris[[#This Row],[Status]],LstMachines[MoisLivr],AN$1)</f>
        <v>0</v>
      </c>
      <c r="AO120" s="219">
        <f>SUMIFS(LstMachines[Nbre],LstMachines[Model-Spec],PrévisionBoris[[#This Row],[Spec]],LstMachines[Status],PrévisionBoris[[#This Row],[Status]],LstMachines[MoisLivr],AO$1)</f>
        <v>0</v>
      </c>
      <c r="AP120" s="220">
        <f>SUMIFS(LstMachines[Nbre],LstMachines[Model-Spec],PrévisionBoris[[#This Row],[Spec]],LstMachines[Status],PrévisionBoris[[#This Row],[Status]],LstMachines[MoisLivr],AP$1)</f>
        <v>0</v>
      </c>
      <c r="AQ120" s="220">
        <f>SUMIFS(LstMachines[Nbre],LstMachines[Model-Spec],PrévisionBoris[[#This Row],[Spec]],LstMachines[Status],PrévisionBoris[[#This Row],[Status]],LstMachines[MoisLivr],AQ$1)</f>
        <v>0</v>
      </c>
      <c r="AR120" s="219">
        <f>SUMIFS(LstMachines[Nbre],LstMachines[Model-Spec],PrévisionBoris[[#This Row],[Spec]],LstMachines[Status],PrévisionBoris[[#This Row],[Status]],LstMachines[MoisLivr],AR$1)</f>
        <v>0</v>
      </c>
      <c r="AS120" s="220">
        <f>SUMIFS(LstMachines[Nbre],LstMachines[Model-Spec],PrévisionBoris[[#This Row],[Spec]],LstMachines[Status],PrévisionBoris[[#This Row],[Status]],LstMachines[MoisLivr],AS$1)</f>
        <v>0</v>
      </c>
      <c r="AT120" s="220">
        <f>SUMIFS(LstMachines[Nbre],LstMachines[Model-Spec],PrévisionBoris[[#This Row],[Spec]],LstMachines[Status],PrévisionBoris[[#This Row],[Status]],LstMachines[MoisLivr],AT$1)</f>
        <v>0</v>
      </c>
      <c r="AU120" s="219">
        <f>SUMIFS(LstMachines[Nbre],LstMachines[Model-Spec],PrévisionBoris[[#This Row],[Spec]],LstMachines[Status],PrévisionBoris[[#This Row],[Status]],LstMachines[MoisLivr],AU$1)</f>
        <v>0</v>
      </c>
      <c r="AV120" s="223">
        <f>SUMIFS(LstMachines[Nbre],LstMachines[Model-Spec],PrévisionBoris[[#This Row],[Spec]],LstMachines[Status],PrévisionBoris[[#This Row],[Status]],LstMachines[MoisLivr],AV$1)</f>
        <v>0</v>
      </c>
      <c r="AW120" s="224">
        <f>SUMIFS(LstMachines[Nbre],LstMachines[Model-Spec],PrévisionBoris[[#This Row],[Spec]],LstMachines[Status],PrévisionBoris[[#This Row],[Status]],LstMachines[MoisLivr],AW$1)</f>
        <v>0</v>
      </c>
      <c r="AX120" s="210"/>
      <c r="AY120" s="211">
        <f t="shared" si="19"/>
        <v>0</v>
      </c>
      <c r="AZ120" s="212">
        <f t="shared" si="20"/>
        <v>0</v>
      </c>
      <c r="BA120" s="212">
        <f t="shared" si="21"/>
        <v>0</v>
      </c>
      <c r="BB120" s="213">
        <f t="shared" si="22"/>
        <v>0</v>
      </c>
      <c r="BC120" s="225">
        <f t="shared" si="23"/>
        <v>0</v>
      </c>
      <c r="BD120" s="211">
        <f t="shared" si="24"/>
        <v>0</v>
      </c>
      <c r="BE120" s="212">
        <f t="shared" si="25"/>
        <v>0</v>
      </c>
      <c r="BF120" s="212">
        <f t="shared" si="26"/>
        <v>0</v>
      </c>
      <c r="BG120" s="213">
        <f t="shared" si="27"/>
        <v>0</v>
      </c>
      <c r="BH120" s="225">
        <f t="shared" si="28"/>
        <v>0</v>
      </c>
      <c r="BI120" s="214">
        <f t="shared" si="29"/>
        <v>0</v>
      </c>
      <c r="BJ120" s="215">
        <f t="shared" si="30"/>
        <v>0</v>
      </c>
      <c r="BK120" s="215">
        <f t="shared" si="31"/>
        <v>0</v>
      </c>
      <c r="BL120" s="216">
        <f t="shared" si="32"/>
        <v>0</v>
      </c>
      <c r="BM120" s="225">
        <f t="shared" si="33"/>
        <v>0</v>
      </c>
      <c r="BN120" s="225"/>
      <c r="BO120" s="217"/>
      <c r="BP120" s="218">
        <f t="shared" si="34"/>
        <v>0</v>
      </c>
    </row>
    <row r="121" spans="1:68">
      <c r="A121" s="171">
        <v>114</v>
      </c>
      <c r="B121" s="171" t="s">
        <v>75</v>
      </c>
      <c r="C121" s="201">
        <v>38</v>
      </c>
      <c r="D121" s="171" t="s">
        <v>188</v>
      </c>
      <c r="E121" s="171" t="s">
        <v>413</v>
      </c>
      <c r="F121" s="201">
        <f>VLOOKUP(PrévisionBoris[[#This Row],[Spec]],TabModelSpecs[[ModelSpec]:[Price]],2,FALSE)</f>
        <v>38</v>
      </c>
      <c r="G121" s="171" t="s">
        <v>463</v>
      </c>
      <c r="H121" s="226">
        <f>SUMIFS(LstMachines[Nbre],LstMachines[Model-Spec],PrévisionBoris[[#This Row],[Spec]],LstMachines[Status],PrévisionBoris[[#This Row],[Status]],LstMachines[MoisLivr],H$1)</f>
        <v>0</v>
      </c>
      <c r="I121" s="227">
        <f>SUMIFS(LstMachines[Nbre],LstMachines[Model-Spec],PrévisionBoris[[#This Row],[Spec]],LstMachines[Status],PrévisionBoris[[#This Row],[Status]],LstMachines[MoisLivr],I$1)</f>
        <v>0</v>
      </c>
      <c r="J121" s="228">
        <f>SUMIFS(LstMachines[Nbre],LstMachines[Model-Spec],PrévisionBoris[[#This Row],[Spec]],LstMachines[Status],PrévisionBoris[[#This Row],[Status]],LstMachines[MoisLivr],J$1)</f>
        <v>0</v>
      </c>
      <c r="K121" s="226">
        <f>SUMIFS(LstMachines[Nbre],LstMachines[Model-Spec],PrévisionBoris[[#This Row],[Spec]],LstMachines[Status],PrévisionBoris[[#This Row],[Status]],LstMachines[MoisLivr],K$1)</f>
        <v>0</v>
      </c>
      <c r="L121" s="227">
        <f>SUMIFS(LstMachines[Nbre],LstMachines[Model-Spec],PrévisionBoris[[#This Row],[Spec]],LstMachines[Status],PrévisionBoris[[#This Row],[Status]],LstMachines[MoisLivr],L$1)</f>
        <v>0</v>
      </c>
      <c r="M121" s="228">
        <f>SUMIFS(LstMachines[Nbre],LstMachines[Model-Spec],PrévisionBoris[[#This Row],[Spec]],LstMachines[Status],PrévisionBoris[[#This Row],[Status]],LstMachines[MoisLivr],M$1)</f>
        <v>0</v>
      </c>
      <c r="N121" s="226">
        <f>SUMIFS(LstMachines[Nbre],LstMachines[Model-Spec],PrévisionBoris[[#This Row],[Spec]],LstMachines[Status],PrévisionBoris[[#This Row],[Status]],LstMachines[MoisLivr],N$1)</f>
        <v>0</v>
      </c>
      <c r="O121" s="227">
        <f>SUMIFS(LstMachines[Nbre],LstMachines[Model-Spec],PrévisionBoris[[#This Row],[Spec]],LstMachines[Status],PrévisionBoris[[#This Row],[Status]],LstMachines[MoisLivr],O$1)</f>
        <v>0</v>
      </c>
      <c r="P121" s="228">
        <f>SUMIFS(LstMachines[Nbre],LstMachines[Model-Spec],PrévisionBoris[[#This Row],[Spec]],LstMachines[Status],PrévisionBoris[[#This Row],[Status]],LstMachines[MoisLivr],P$1)</f>
        <v>0</v>
      </c>
      <c r="Q121" s="229">
        <f>SUMIFS(LstMachines[Nbre],LstMachines[Model-Spec],PrévisionBoris[[#This Row],[Spec]],LstMachines[Status],PrévisionBoris[[#This Row],[Status]],LstMachines[MoisLivr],Q$1)</f>
        <v>0</v>
      </c>
      <c r="R121" s="227">
        <f>SUMIFS(LstMachines[Nbre],LstMachines[Model-Spec],PrévisionBoris[[#This Row],[Spec]],LstMachines[Status],PrévisionBoris[[#This Row],[Status]],LstMachines[MoisLivr],R$1)</f>
        <v>0</v>
      </c>
      <c r="S121" s="227">
        <f>SUMIFS(LstMachines[Nbre],LstMachines[Model-Spec],PrévisionBoris[[#This Row],[Spec]],LstMachines[Status],PrévisionBoris[[#This Row],[Status]],LstMachines[MoisLivr],S$1)</f>
        <v>0</v>
      </c>
      <c r="T121" s="226">
        <f>SUMIFS(LstMachines[Nbre],LstMachines[Model-Spec],PrévisionBoris[[#This Row],[Spec]],LstMachines[Status],PrévisionBoris[[#This Row],[Status]],LstMachines[MoisLivr],T$1)</f>
        <v>0</v>
      </c>
      <c r="U121" s="227">
        <f>SUMIFS(LstMachines[Nbre],LstMachines[Model-Spec],PrévisionBoris[[#This Row],[Spec]],LstMachines[Status],PrévisionBoris[[#This Row],[Status]],LstMachines[MoisLivr],U$1)</f>
        <v>0</v>
      </c>
      <c r="V121" s="227">
        <f>SUMIFS(LstMachines[Nbre],LstMachines[Model-Spec],PrévisionBoris[[#This Row],[Spec]],LstMachines[Status],PrévisionBoris[[#This Row],[Status]],LstMachines[MoisLivr],V$1)</f>
        <v>0</v>
      </c>
      <c r="W121" s="226">
        <f>SUMIFS(LstMachines[Nbre],LstMachines[Model-Spec],PrévisionBoris[[#This Row],[Spec]],LstMachines[Status],PrévisionBoris[[#This Row],[Status]],LstMachines[MoisLivr],W$1)</f>
        <v>0</v>
      </c>
      <c r="X121" s="227">
        <f>SUMIFS(LstMachines[Nbre],LstMachines[Model-Spec],PrévisionBoris[[#This Row],[Spec]],LstMachines[Status],PrévisionBoris[[#This Row],[Status]],LstMachines[MoisLivr],X$1)</f>
        <v>0</v>
      </c>
      <c r="Y121" s="227">
        <f>SUMIFS(LstMachines[Nbre],LstMachines[Model-Spec],PrévisionBoris[[#This Row],[Spec]],LstMachines[Status],PrévisionBoris[[#This Row],[Status]],LstMachines[MoisLivr],Y$1)</f>
        <v>0</v>
      </c>
      <c r="Z121" s="226">
        <f>SUMIFS(LstMachines[Nbre],LstMachines[Model-Spec],PrévisionBoris[[#This Row],[Spec]],LstMachines[Status],PrévisionBoris[[#This Row],[Status]],LstMachines[MoisLivr],Z$1)</f>
        <v>0</v>
      </c>
      <c r="AA121" s="227">
        <f>SUMIFS(LstMachines[Nbre],LstMachines[Model-Spec],PrévisionBoris[[#This Row],[Spec]],LstMachines[Status],PrévisionBoris[[#This Row],[Status]],LstMachines[MoisLivr],AA$1)</f>
        <v>0</v>
      </c>
      <c r="AB121" s="227">
        <f>SUMIFS(LstMachines[Nbre],LstMachines[Model-Spec],PrévisionBoris[[#This Row],[Spec]],LstMachines[Status],PrévisionBoris[[#This Row],[Status]],LstMachines[MoisLivr],AB$1)</f>
        <v>0</v>
      </c>
      <c r="AC121" s="226">
        <f>SUMIFS(LstMachines[Nbre],LstMachines[Model-Spec],PrévisionBoris[[#This Row],[Spec]],LstMachines[Status],PrévisionBoris[[#This Row],[Status]],LstMachines[MoisLivr],AC$1)</f>
        <v>0</v>
      </c>
      <c r="AD121" s="227">
        <f>SUMIFS(LstMachines[Nbre],LstMachines[Model-Spec],PrévisionBoris[[#This Row],[Spec]],LstMachines[Status],PrévisionBoris[[#This Row],[Status]],LstMachines[MoisLivr],AD$1)</f>
        <v>0</v>
      </c>
      <c r="AE121" s="227">
        <f>SUMIFS(LstMachines[Nbre],LstMachines[Model-Spec],PrévisionBoris[[#This Row],[Spec]],LstMachines[Status],PrévisionBoris[[#This Row],[Status]],LstMachines[MoisLivr],AE$1)</f>
        <v>0</v>
      </c>
      <c r="AF121" s="226">
        <f>SUMIFS(LstMachines[Nbre],LstMachines[Model-Spec],PrévisionBoris[[#This Row],[Spec]],LstMachines[Status],PrévisionBoris[[#This Row],[Status]],LstMachines[MoisLivr],AF$1)</f>
        <v>0</v>
      </c>
      <c r="AG121" s="227">
        <f>SUMIFS(LstMachines[Nbre],LstMachines[Model-Spec],PrévisionBoris[[#This Row],[Spec]],LstMachines[Status],PrévisionBoris[[#This Row],[Status]],LstMachines[MoisLivr],AG$1)</f>
        <v>0</v>
      </c>
      <c r="AH121" s="227">
        <f>SUMIFS(LstMachines[Nbre],LstMachines[Model-Spec],PrévisionBoris[[#This Row],[Spec]],LstMachines[Status],PrévisionBoris[[#This Row],[Status]],LstMachines[MoisLivr],AH$1)</f>
        <v>0</v>
      </c>
      <c r="AI121" s="226">
        <f>SUMIFS(LstMachines[Nbre],LstMachines[Model-Spec],PrévisionBoris[[#This Row],[Spec]],LstMachines[Status],PrévisionBoris[[#This Row],[Status]],LstMachines[MoisLivr],AI$1)</f>
        <v>0</v>
      </c>
      <c r="AJ121" s="227">
        <f>SUMIFS(LstMachines[Nbre],LstMachines[Model-Spec],PrévisionBoris[[#This Row],[Spec]],LstMachines[Status],PrévisionBoris[[#This Row],[Status]],LstMachines[MoisLivr],AJ$1)</f>
        <v>0</v>
      </c>
      <c r="AK121" s="227">
        <f>SUMIFS(LstMachines[Nbre],LstMachines[Model-Spec],PrévisionBoris[[#This Row],[Spec]],LstMachines[Status],PrévisionBoris[[#This Row],[Status]],LstMachines[MoisLivr],AK$1)</f>
        <v>0</v>
      </c>
      <c r="AL121" s="226">
        <f>SUMIFS(LstMachines[Nbre],LstMachines[Model-Spec],PrévisionBoris[[#This Row],[Spec]],LstMachines[Status],PrévisionBoris[[#This Row],[Status]],LstMachines[MoisLivr],AL$1)</f>
        <v>0</v>
      </c>
      <c r="AM121" s="227">
        <f>SUMIFS(LstMachines[Nbre],LstMachines[Model-Spec],PrévisionBoris[[#This Row],[Spec]],LstMachines[Status],PrévisionBoris[[#This Row],[Status]],LstMachines[MoisLivr],AM$1)</f>
        <v>0</v>
      </c>
      <c r="AN121" s="227">
        <f>SUMIFS(LstMachines[Nbre],LstMachines[Model-Spec],PrévisionBoris[[#This Row],[Spec]],LstMachines[Status],PrévisionBoris[[#This Row],[Status]],LstMachines[MoisLivr],AN$1)</f>
        <v>0</v>
      </c>
      <c r="AO121" s="226">
        <f>SUMIFS(LstMachines[Nbre],LstMachines[Model-Spec],PrévisionBoris[[#This Row],[Spec]],LstMachines[Status],PrévisionBoris[[#This Row],[Status]],LstMachines[MoisLivr],AO$1)</f>
        <v>0</v>
      </c>
      <c r="AP121" s="227">
        <f>SUMIFS(LstMachines[Nbre],LstMachines[Model-Spec],PrévisionBoris[[#This Row],[Spec]],LstMachines[Status],PrévisionBoris[[#This Row],[Status]],LstMachines[MoisLivr],AP$1)</f>
        <v>0</v>
      </c>
      <c r="AQ121" s="227">
        <f>SUMIFS(LstMachines[Nbre],LstMachines[Model-Spec],PrévisionBoris[[#This Row],[Spec]],LstMachines[Status],PrévisionBoris[[#This Row],[Status]],LstMachines[MoisLivr],AQ$1)</f>
        <v>0</v>
      </c>
      <c r="AR121" s="226">
        <f>SUMIFS(LstMachines[Nbre],LstMachines[Model-Spec],PrévisionBoris[[#This Row],[Spec]],LstMachines[Status],PrévisionBoris[[#This Row],[Status]],LstMachines[MoisLivr],AR$1)</f>
        <v>0</v>
      </c>
      <c r="AS121" s="227">
        <f>SUMIFS(LstMachines[Nbre],LstMachines[Model-Spec],PrévisionBoris[[#This Row],[Spec]],LstMachines[Status],PrévisionBoris[[#This Row],[Status]],LstMachines[MoisLivr],AS$1)</f>
        <v>0</v>
      </c>
      <c r="AT121" s="227">
        <f>SUMIFS(LstMachines[Nbre],LstMachines[Model-Spec],PrévisionBoris[[#This Row],[Spec]],LstMachines[Status],PrévisionBoris[[#This Row],[Status]],LstMachines[MoisLivr],AT$1)</f>
        <v>0</v>
      </c>
      <c r="AU121" s="226">
        <f>SUMIFS(LstMachines[Nbre],LstMachines[Model-Spec],PrévisionBoris[[#This Row],[Spec]],LstMachines[Status],PrévisionBoris[[#This Row],[Status]],LstMachines[MoisLivr],AU$1)</f>
        <v>0</v>
      </c>
      <c r="AV121" s="230">
        <f>SUMIFS(LstMachines[Nbre],LstMachines[Model-Spec],PrévisionBoris[[#This Row],[Spec]],LstMachines[Status],PrévisionBoris[[#This Row],[Status]],LstMachines[MoisLivr],AV$1)</f>
        <v>0</v>
      </c>
      <c r="AW121" s="231">
        <f>SUMIFS(LstMachines[Nbre],LstMachines[Model-Spec],PrévisionBoris[[#This Row],[Spec]],LstMachines[Status],PrévisionBoris[[#This Row],[Status]],LstMachines[MoisLivr],AW$1)</f>
        <v>0</v>
      </c>
      <c r="AX121" s="232"/>
      <c r="AY121" s="211">
        <f t="shared" si="19"/>
        <v>0</v>
      </c>
      <c r="AZ121" s="212">
        <f t="shared" si="20"/>
        <v>0</v>
      </c>
      <c r="BA121" s="212">
        <f t="shared" si="21"/>
        <v>0</v>
      </c>
      <c r="BB121" s="213">
        <f t="shared" si="22"/>
        <v>0</v>
      </c>
      <c r="BC121" s="225">
        <f t="shared" si="23"/>
        <v>0</v>
      </c>
      <c r="BD121" s="211">
        <f t="shared" si="24"/>
        <v>0</v>
      </c>
      <c r="BE121" s="212">
        <f t="shared" si="25"/>
        <v>0</v>
      </c>
      <c r="BF121" s="212">
        <f t="shared" si="26"/>
        <v>0</v>
      </c>
      <c r="BG121" s="213">
        <f t="shared" si="27"/>
        <v>0</v>
      </c>
      <c r="BH121" s="225">
        <f t="shared" si="28"/>
        <v>0</v>
      </c>
      <c r="BI121" s="214">
        <f t="shared" si="29"/>
        <v>0</v>
      </c>
      <c r="BJ121" s="215">
        <f t="shared" si="30"/>
        <v>0</v>
      </c>
      <c r="BK121" s="215">
        <f t="shared" si="31"/>
        <v>0</v>
      </c>
      <c r="BL121" s="216">
        <f t="shared" si="32"/>
        <v>0</v>
      </c>
      <c r="BM121" s="225">
        <f t="shared" si="33"/>
        <v>0</v>
      </c>
      <c r="BN121" s="225"/>
      <c r="BO121" s="217"/>
      <c r="BP121" s="218">
        <f t="shared" si="34"/>
        <v>0</v>
      </c>
    </row>
    <row r="122" spans="1:68">
      <c r="A122" s="172">
        <v>115</v>
      </c>
      <c r="B122" s="172" t="s">
        <v>75</v>
      </c>
      <c r="C122" s="202">
        <v>38</v>
      </c>
      <c r="D122" s="172" t="s">
        <v>188</v>
      </c>
      <c r="E122" s="172" t="s">
        <v>414</v>
      </c>
      <c r="F122" s="202">
        <f>VLOOKUP(PrévisionBoris[[#This Row],[Spec]],TabModelSpecs[[ModelSpec]:[Price]],2,FALSE)</f>
        <v>38</v>
      </c>
      <c r="G122" s="172" t="s">
        <v>461</v>
      </c>
      <c r="H122" s="206">
        <f>SUMIFS(LstMachines[Nbre],LstMachines[Model-Spec],PrévisionBoris[[#This Row],[Spec]],LstMachines[Status],PrévisionBoris[[#This Row],[Status]],LstMachines[MoisLivr],H$1)</f>
        <v>0</v>
      </c>
      <c r="I122" s="207">
        <f>SUMIFS(LstMachines[Nbre],LstMachines[Model-Spec],PrévisionBoris[[#This Row],[Spec]],LstMachines[Status],PrévisionBoris[[#This Row],[Status]],LstMachines[MoisLivr],I$1)</f>
        <v>0</v>
      </c>
      <c r="J122" s="208">
        <f>SUMIFS(LstMachines[Nbre],LstMachines[Model-Spec],PrévisionBoris[[#This Row],[Spec]],LstMachines[Status],PrévisionBoris[[#This Row],[Status]],LstMachines[MoisLivr],J$1)</f>
        <v>0</v>
      </c>
      <c r="K122" s="206">
        <f>SUMIFS(LstMachines[Nbre],LstMachines[Model-Spec],PrévisionBoris[[#This Row],[Spec]],LstMachines[Status],PrévisionBoris[[#This Row],[Status]],LstMachines[MoisLivr],K$1)</f>
        <v>0</v>
      </c>
      <c r="L122" s="207">
        <f>SUMIFS(LstMachines[Nbre],LstMachines[Model-Spec],PrévisionBoris[[#This Row],[Spec]],LstMachines[Status],PrévisionBoris[[#This Row],[Status]],LstMachines[MoisLivr],L$1)</f>
        <v>0</v>
      </c>
      <c r="M122" s="208">
        <f>SUMIFS(LstMachines[Nbre],LstMachines[Model-Spec],PrévisionBoris[[#This Row],[Spec]],LstMachines[Status],PrévisionBoris[[#This Row],[Status]],LstMachines[MoisLivr],M$1)</f>
        <v>0</v>
      </c>
      <c r="N122" s="206">
        <f>SUMIFS(LstMachines[Nbre],LstMachines[Model-Spec],PrévisionBoris[[#This Row],[Spec]],LstMachines[Status],PrévisionBoris[[#This Row],[Status]],LstMachines[MoisLivr],N$1)</f>
        <v>0</v>
      </c>
      <c r="O122" s="207">
        <f>SUMIFS(LstMachines[Nbre],LstMachines[Model-Spec],PrévisionBoris[[#This Row],[Spec]],LstMachines[Status],PrévisionBoris[[#This Row],[Status]],LstMachines[MoisLivr],O$1)</f>
        <v>0</v>
      </c>
      <c r="P122" s="208">
        <f>SUMIFS(LstMachines[Nbre],LstMachines[Model-Spec],PrévisionBoris[[#This Row],[Spec]],LstMachines[Status],PrévisionBoris[[#This Row],[Status]],LstMachines[MoisLivr],P$1)</f>
        <v>0</v>
      </c>
      <c r="Q122" s="209">
        <f>SUMIFS(LstMachines[Nbre],LstMachines[Model-Spec],PrévisionBoris[[#This Row],[Spec]],LstMachines[Status],PrévisionBoris[[#This Row],[Status]],LstMachines[MoisLivr],Q$1)</f>
        <v>0</v>
      </c>
      <c r="R122" s="207">
        <f>SUMIFS(LstMachines[Nbre],LstMachines[Model-Spec],PrévisionBoris[[#This Row],[Spec]],LstMachines[Status],PrévisionBoris[[#This Row],[Status]],LstMachines[MoisLivr],R$1)</f>
        <v>0</v>
      </c>
      <c r="S122" s="207">
        <f>SUMIFS(LstMachines[Nbre],LstMachines[Model-Spec],PrévisionBoris[[#This Row],[Spec]],LstMachines[Status],PrévisionBoris[[#This Row],[Status]],LstMachines[MoisLivr],S$1)</f>
        <v>0</v>
      </c>
      <c r="T122" s="206">
        <f>SUMIFS(LstMachines[Nbre],LstMachines[Model-Spec],PrévisionBoris[[#This Row],[Spec]],LstMachines[Status],PrévisionBoris[[#This Row],[Status]],LstMachines[MoisLivr],T$1)</f>
        <v>0</v>
      </c>
      <c r="U122" s="207">
        <f>SUMIFS(LstMachines[Nbre],LstMachines[Model-Spec],PrévisionBoris[[#This Row],[Spec]],LstMachines[Status],PrévisionBoris[[#This Row],[Status]],LstMachines[MoisLivr],U$1)</f>
        <v>0</v>
      </c>
      <c r="V122" s="207">
        <f>SUMIFS(LstMachines[Nbre],LstMachines[Model-Spec],PrévisionBoris[[#This Row],[Spec]],LstMachines[Status],PrévisionBoris[[#This Row],[Status]],LstMachines[MoisLivr],V$1)</f>
        <v>0</v>
      </c>
      <c r="W122" s="206">
        <f>SUMIFS(LstMachines[Nbre],LstMachines[Model-Spec],PrévisionBoris[[#This Row],[Spec]],LstMachines[Status],PrévisionBoris[[#This Row],[Status]],LstMachines[MoisLivr],W$1)</f>
        <v>0</v>
      </c>
      <c r="X122" s="207">
        <f>SUMIFS(LstMachines[Nbre],LstMachines[Model-Spec],PrévisionBoris[[#This Row],[Spec]],LstMachines[Status],PrévisionBoris[[#This Row],[Status]],LstMachines[MoisLivr],X$1)</f>
        <v>0</v>
      </c>
      <c r="Y122" s="207">
        <f>SUMIFS(LstMachines[Nbre],LstMachines[Model-Spec],PrévisionBoris[[#This Row],[Spec]],LstMachines[Status],PrévisionBoris[[#This Row],[Status]],LstMachines[MoisLivr],Y$1)</f>
        <v>0</v>
      </c>
      <c r="Z122" s="206">
        <f>SUMIFS(LstMachines[Nbre],LstMachines[Model-Spec],PrévisionBoris[[#This Row],[Spec]],LstMachines[Status],PrévisionBoris[[#This Row],[Status]],LstMachines[MoisLivr],Z$1)</f>
        <v>0</v>
      </c>
      <c r="AA122" s="207">
        <f>SUMIFS(LstMachines[Nbre],LstMachines[Model-Spec],PrévisionBoris[[#This Row],[Spec]],LstMachines[Status],PrévisionBoris[[#This Row],[Status]],LstMachines[MoisLivr],AA$1)</f>
        <v>0</v>
      </c>
      <c r="AB122" s="207">
        <f>SUMIFS(LstMachines[Nbre],LstMachines[Model-Spec],PrévisionBoris[[#This Row],[Spec]],LstMachines[Status],PrévisionBoris[[#This Row],[Status]],LstMachines[MoisLivr],AB$1)</f>
        <v>0</v>
      </c>
      <c r="AC122" s="206">
        <f>SUMIFS(LstMachines[Nbre],LstMachines[Model-Spec],PrévisionBoris[[#This Row],[Spec]],LstMachines[Status],PrévisionBoris[[#This Row],[Status]],LstMachines[MoisLivr],AC$1)</f>
        <v>0</v>
      </c>
      <c r="AD122" s="207">
        <f>SUMIFS(LstMachines[Nbre],LstMachines[Model-Spec],PrévisionBoris[[#This Row],[Spec]],LstMachines[Status],PrévisionBoris[[#This Row],[Status]],LstMachines[MoisLivr],AD$1)</f>
        <v>0</v>
      </c>
      <c r="AE122" s="207">
        <f>SUMIFS(LstMachines[Nbre],LstMachines[Model-Spec],PrévisionBoris[[#This Row],[Spec]],LstMachines[Status],PrévisionBoris[[#This Row],[Status]],LstMachines[MoisLivr],AE$1)</f>
        <v>0</v>
      </c>
      <c r="AF122" s="206">
        <f>SUMIFS(LstMachines[Nbre],LstMachines[Model-Spec],PrévisionBoris[[#This Row],[Spec]],LstMachines[Status],PrévisionBoris[[#This Row],[Status]],LstMachines[MoisLivr],AF$1)</f>
        <v>0</v>
      </c>
      <c r="AG122" s="207">
        <f>SUMIFS(LstMachines[Nbre],LstMachines[Model-Spec],PrévisionBoris[[#This Row],[Spec]],LstMachines[Status],PrévisionBoris[[#This Row],[Status]],LstMachines[MoisLivr],AG$1)</f>
        <v>0</v>
      </c>
      <c r="AH122" s="207">
        <f>SUMIFS(LstMachines[Nbre],LstMachines[Model-Spec],PrévisionBoris[[#This Row],[Spec]],LstMachines[Status],PrévisionBoris[[#This Row],[Status]],LstMachines[MoisLivr],AH$1)</f>
        <v>0</v>
      </c>
      <c r="AI122" s="206">
        <f>SUMIFS(LstMachines[Nbre],LstMachines[Model-Spec],PrévisionBoris[[#This Row],[Spec]],LstMachines[Status],PrévisionBoris[[#This Row],[Status]],LstMachines[MoisLivr],AI$1)</f>
        <v>0</v>
      </c>
      <c r="AJ122" s="207">
        <f>SUMIFS(LstMachines[Nbre],LstMachines[Model-Spec],PrévisionBoris[[#This Row],[Spec]],LstMachines[Status],PrévisionBoris[[#This Row],[Status]],LstMachines[MoisLivr],AJ$1)</f>
        <v>0</v>
      </c>
      <c r="AK122" s="207">
        <f>SUMIFS(LstMachines[Nbre],LstMachines[Model-Spec],PrévisionBoris[[#This Row],[Spec]],LstMachines[Status],PrévisionBoris[[#This Row],[Status]],LstMachines[MoisLivr],AK$1)</f>
        <v>0</v>
      </c>
      <c r="AL122" s="206">
        <f>SUMIFS(LstMachines[Nbre],LstMachines[Model-Spec],PrévisionBoris[[#This Row],[Spec]],LstMachines[Status],PrévisionBoris[[#This Row],[Status]],LstMachines[MoisLivr],AL$1)</f>
        <v>0</v>
      </c>
      <c r="AM122" s="207">
        <f>SUMIFS(LstMachines[Nbre],LstMachines[Model-Spec],PrévisionBoris[[#This Row],[Spec]],LstMachines[Status],PrévisionBoris[[#This Row],[Status]],LstMachines[MoisLivr],AM$1)</f>
        <v>0</v>
      </c>
      <c r="AN122" s="207">
        <f>SUMIFS(LstMachines[Nbre],LstMachines[Model-Spec],PrévisionBoris[[#This Row],[Spec]],LstMachines[Status],PrévisionBoris[[#This Row],[Status]],LstMachines[MoisLivr],AN$1)</f>
        <v>0</v>
      </c>
      <c r="AO122" s="206">
        <f>SUMIFS(LstMachines[Nbre],LstMachines[Model-Spec],PrévisionBoris[[#This Row],[Spec]],LstMachines[Status],PrévisionBoris[[#This Row],[Status]],LstMachines[MoisLivr],AO$1)</f>
        <v>0</v>
      </c>
      <c r="AP122" s="207">
        <f>SUMIFS(LstMachines[Nbre],LstMachines[Model-Spec],PrévisionBoris[[#This Row],[Spec]],LstMachines[Status],PrévisionBoris[[#This Row],[Status]],LstMachines[MoisLivr],AP$1)</f>
        <v>0</v>
      </c>
      <c r="AQ122" s="207">
        <f>SUMIFS(LstMachines[Nbre],LstMachines[Model-Spec],PrévisionBoris[[#This Row],[Spec]],LstMachines[Status],PrévisionBoris[[#This Row],[Status]],LstMachines[MoisLivr],AQ$1)</f>
        <v>0</v>
      </c>
      <c r="AR122" s="206">
        <f>SUMIFS(LstMachines[Nbre],LstMachines[Model-Spec],PrévisionBoris[[#This Row],[Spec]],LstMachines[Status],PrévisionBoris[[#This Row],[Status]],LstMachines[MoisLivr],AR$1)</f>
        <v>0</v>
      </c>
      <c r="AS122" s="207">
        <f>SUMIFS(LstMachines[Nbre],LstMachines[Model-Spec],PrévisionBoris[[#This Row],[Spec]],LstMachines[Status],PrévisionBoris[[#This Row],[Status]],LstMachines[MoisLivr],AS$1)</f>
        <v>0</v>
      </c>
      <c r="AT122" s="207">
        <f>SUMIFS(LstMachines[Nbre],LstMachines[Model-Spec],PrévisionBoris[[#This Row],[Spec]],LstMachines[Status],PrévisionBoris[[#This Row],[Status]],LstMachines[MoisLivr],AT$1)</f>
        <v>0</v>
      </c>
      <c r="AU122" s="206">
        <f>SUMIFS(LstMachines[Nbre],LstMachines[Model-Spec],PrévisionBoris[[#This Row],[Spec]],LstMachines[Status],PrévisionBoris[[#This Row],[Status]],LstMachines[MoisLivr],AU$1)</f>
        <v>0</v>
      </c>
      <c r="AV122" s="233">
        <f>SUMIFS(LstMachines[Nbre],LstMachines[Model-Spec],PrévisionBoris[[#This Row],[Spec]],LstMachines[Status],PrévisionBoris[[#This Row],[Status]],LstMachines[MoisLivr],AV$1)</f>
        <v>0</v>
      </c>
      <c r="AW122" s="208">
        <f>SUMIFS(LstMachines[Nbre],LstMachines[Model-Spec],PrévisionBoris[[#This Row],[Spec]],LstMachines[Status],PrévisionBoris[[#This Row],[Status]],LstMachines[MoisLivr],AW$1)</f>
        <v>0</v>
      </c>
      <c r="AX122" s="225"/>
      <c r="AY122" s="211">
        <f t="shared" si="19"/>
        <v>0</v>
      </c>
      <c r="AZ122" s="212">
        <f t="shared" si="20"/>
        <v>0</v>
      </c>
      <c r="BA122" s="212">
        <f t="shared" si="21"/>
        <v>0</v>
      </c>
      <c r="BB122" s="213">
        <f t="shared" si="22"/>
        <v>0</v>
      </c>
      <c r="BC122" s="225">
        <f t="shared" si="23"/>
        <v>0</v>
      </c>
      <c r="BD122" s="211">
        <f t="shared" si="24"/>
        <v>0</v>
      </c>
      <c r="BE122" s="212">
        <f t="shared" si="25"/>
        <v>0</v>
      </c>
      <c r="BF122" s="212">
        <f t="shared" si="26"/>
        <v>0</v>
      </c>
      <c r="BG122" s="213">
        <f t="shared" si="27"/>
        <v>0</v>
      </c>
      <c r="BH122" s="225">
        <f t="shared" si="28"/>
        <v>0</v>
      </c>
      <c r="BI122" s="214">
        <f t="shared" si="29"/>
        <v>0</v>
      </c>
      <c r="BJ122" s="215">
        <f t="shared" si="30"/>
        <v>0</v>
      </c>
      <c r="BK122" s="215">
        <f t="shared" si="31"/>
        <v>0</v>
      </c>
      <c r="BL122" s="216">
        <f t="shared" si="32"/>
        <v>0</v>
      </c>
      <c r="BM122" s="225">
        <f t="shared" si="33"/>
        <v>0</v>
      </c>
      <c r="BN122" s="225"/>
      <c r="BO122" s="234"/>
      <c r="BP122" s="218">
        <f t="shared" si="34"/>
        <v>0</v>
      </c>
    </row>
    <row r="123" spans="1:68">
      <c r="A123" s="170">
        <v>116</v>
      </c>
      <c r="B123" s="170" t="s">
        <v>75</v>
      </c>
      <c r="C123" s="200">
        <v>38</v>
      </c>
      <c r="D123" s="170" t="s">
        <v>188</v>
      </c>
      <c r="E123" s="170" t="s">
        <v>414</v>
      </c>
      <c r="F123" s="200">
        <f>VLOOKUP(PrévisionBoris[[#This Row],[Spec]],TabModelSpecs[[ModelSpec]:[Price]],2,FALSE)</f>
        <v>38</v>
      </c>
      <c r="G123" s="170" t="s">
        <v>462</v>
      </c>
      <c r="H123" s="219">
        <f>SUMIFS(LstMachines[Nbre],LstMachines[Model-Spec],PrévisionBoris[[#This Row],[Spec]],LstMachines[Status],PrévisionBoris[[#This Row],[Status]],LstMachines[MoisLivr],H$1)</f>
        <v>0</v>
      </c>
      <c r="I123" s="220">
        <f>SUMIFS(LstMachines[Nbre],LstMachines[Model-Spec],PrévisionBoris[[#This Row],[Spec]],LstMachines[Status],PrévisionBoris[[#This Row],[Status]],LstMachines[MoisLivr],I$1)</f>
        <v>0</v>
      </c>
      <c r="J123" s="221">
        <f>SUMIFS(LstMachines[Nbre],LstMachines[Model-Spec],PrévisionBoris[[#This Row],[Spec]],LstMachines[Status],PrévisionBoris[[#This Row],[Status]],LstMachines[MoisLivr],J$1)</f>
        <v>0</v>
      </c>
      <c r="K123" s="219">
        <f>SUMIFS(LstMachines[Nbre],LstMachines[Model-Spec],PrévisionBoris[[#This Row],[Spec]],LstMachines[Status],PrévisionBoris[[#This Row],[Status]],LstMachines[MoisLivr],K$1)</f>
        <v>0</v>
      </c>
      <c r="L123" s="220">
        <f>SUMIFS(LstMachines[Nbre],LstMachines[Model-Spec],PrévisionBoris[[#This Row],[Spec]],LstMachines[Status],PrévisionBoris[[#This Row],[Status]],LstMachines[MoisLivr],L$1)</f>
        <v>0</v>
      </c>
      <c r="M123" s="221">
        <f>SUMIFS(LstMachines[Nbre],LstMachines[Model-Spec],PrévisionBoris[[#This Row],[Spec]],LstMachines[Status],PrévisionBoris[[#This Row],[Status]],LstMachines[MoisLivr],M$1)</f>
        <v>0</v>
      </c>
      <c r="N123" s="219">
        <f>SUMIFS(LstMachines[Nbre],LstMachines[Model-Spec],PrévisionBoris[[#This Row],[Spec]],LstMachines[Status],PrévisionBoris[[#This Row],[Status]],LstMachines[MoisLivr],N$1)</f>
        <v>0</v>
      </c>
      <c r="O123" s="220">
        <f>SUMIFS(LstMachines[Nbre],LstMachines[Model-Spec],PrévisionBoris[[#This Row],[Spec]],LstMachines[Status],PrévisionBoris[[#This Row],[Status]],LstMachines[MoisLivr],O$1)</f>
        <v>0</v>
      </c>
      <c r="P123" s="221">
        <f>SUMIFS(LstMachines[Nbre],LstMachines[Model-Spec],PrévisionBoris[[#This Row],[Spec]],LstMachines[Status],PrévisionBoris[[#This Row],[Status]],LstMachines[MoisLivr],P$1)</f>
        <v>0</v>
      </c>
      <c r="Q123" s="222">
        <f>SUMIFS(LstMachines[Nbre],LstMachines[Model-Spec],PrévisionBoris[[#This Row],[Spec]],LstMachines[Status],PrévisionBoris[[#This Row],[Status]],LstMachines[MoisLivr],Q$1)</f>
        <v>0</v>
      </c>
      <c r="R123" s="220">
        <f>SUMIFS(LstMachines[Nbre],LstMachines[Model-Spec],PrévisionBoris[[#This Row],[Spec]],LstMachines[Status],PrévisionBoris[[#This Row],[Status]],LstMachines[MoisLivr],R$1)</f>
        <v>0</v>
      </c>
      <c r="S123" s="220">
        <f>SUMIFS(LstMachines[Nbre],LstMachines[Model-Spec],PrévisionBoris[[#This Row],[Spec]],LstMachines[Status],PrévisionBoris[[#This Row],[Status]],LstMachines[MoisLivr],S$1)</f>
        <v>0</v>
      </c>
      <c r="T123" s="219">
        <f>SUMIFS(LstMachines[Nbre],LstMachines[Model-Spec],PrévisionBoris[[#This Row],[Spec]],LstMachines[Status],PrévisionBoris[[#This Row],[Status]],LstMachines[MoisLivr],T$1)</f>
        <v>0</v>
      </c>
      <c r="U123" s="220">
        <f>SUMIFS(LstMachines[Nbre],LstMachines[Model-Spec],PrévisionBoris[[#This Row],[Spec]],LstMachines[Status],PrévisionBoris[[#This Row],[Status]],LstMachines[MoisLivr],U$1)</f>
        <v>0</v>
      </c>
      <c r="V123" s="220">
        <f>SUMIFS(LstMachines[Nbre],LstMachines[Model-Spec],PrévisionBoris[[#This Row],[Spec]],LstMachines[Status],PrévisionBoris[[#This Row],[Status]],LstMachines[MoisLivr],V$1)</f>
        <v>0</v>
      </c>
      <c r="W123" s="219">
        <f>SUMIFS(LstMachines[Nbre],LstMachines[Model-Spec],PrévisionBoris[[#This Row],[Spec]],LstMachines[Status],PrévisionBoris[[#This Row],[Status]],LstMachines[MoisLivr],W$1)</f>
        <v>0</v>
      </c>
      <c r="X123" s="220">
        <f>SUMIFS(LstMachines[Nbre],LstMachines[Model-Spec],PrévisionBoris[[#This Row],[Spec]],LstMachines[Status],PrévisionBoris[[#This Row],[Status]],LstMachines[MoisLivr],X$1)</f>
        <v>0</v>
      </c>
      <c r="Y123" s="220">
        <f>SUMIFS(LstMachines[Nbre],LstMachines[Model-Spec],PrévisionBoris[[#This Row],[Spec]],LstMachines[Status],PrévisionBoris[[#This Row],[Status]],LstMachines[MoisLivr],Y$1)</f>
        <v>0</v>
      </c>
      <c r="Z123" s="219">
        <f>SUMIFS(LstMachines[Nbre],LstMachines[Model-Spec],PrévisionBoris[[#This Row],[Spec]],LstMachines[Status],PrévisionBoris[[#This Row],[Status]],LstMachines[MoisLivr],Z$1)</f>
        <v>0</v>
      </c>
      <c r="AA123" s="220">
        <f>SUMIFS(LstMachines[Nbre],LstMachines[Model-Spec],PrévisionBoris[[#This Row],[Spec]],LstMachines[Status],PrévisionBoris[[#This Row],[Status]],LstMachines[MoisLivr],AA$1)</f>
        <v>0</v>
      </c>
      <c r="AB123" s="220">
        <f>SUMIFS(LstMachines[Nbre],LstMachines[Model-Spec],PrévisionBoris[[#This Row],[Spec]],LstMachines[Status],PrévisionBoris[[#This Row],[Status]],LstMachines[MoisLivr],AB$1)</f>
        <v>0</v>
      </c>
      <c r="AC123" s="219">
        <f>SUMIFS(LstMachines[Nbre],LstMachines[Model-Spec],PrévisionBoris[[#This Row],[Spec]],LstMachines[Status],PrévisionBoris[[#This Row],[Status]],LstMachines[MoisLivr],AC$1)</f>
        <v>0</v>
      </c>
      <c r="AD123" s="220">
        <f>SUMIFS(LstMachines[Nbre],LstMachines[Model-Spec],PrévisionBoris[[#This Row],[Spec]],LstMachines[Status],PrévisionBoris[[#This Row],[Status]],LstMachines[MoisLivr],AD$1)</f>
        <v>0</v>
      </c>
      <c r="AE123" s="220">
        <f>SUMIFS(LstMachines[Nbre],LstMachines[Model-Spec],PrévisionBoris[[#This Row],[Spec]],LstMachines[Status],PrévisionBoris[[#This Row],[Status]],LstMachines[MoisLivr],AE$1)</f>
        <v>0</v>
      </c>
      <c r="AF123" s="219">
        <f>SUMIFS(LstMachines[Nbre],LstMachines[Model-Spec],PrévisionBoris[[#This Row],[Spec]],LstMachines[Status],PrévisionBoris[[#This Row],[Status]],LstMachines[MoisLivr],AF$1)</f>
        <v>0</v>
      </c>
      <c r="AG123" s="220">
        <f>SUMIFS(LstMachines[Nbre],LstMachines[Model-Spec],PrévisionBoris[[#This Row],[Spec]],LstMachines[Status],PrévisionBoris[[#This Row],[Status]],LstMachines[MoisLivr],AG$1)</f>
        <v>0</v>
      </c>
      <c r="AH123" s="220">
        <f>SUMIFS(LstMachines[Nbre],LstMachines[Model-Spec],PrévisionBoris[[#This Row],[Spec]],LstMachines[Status],PrévisionBoris[[#This Row],[Status]],LstMachines[MoisLivr],AH$1)</f>
        <v>0</v>
      </c>
      <c r="AI123" s="219">
        <f>SUMIFS(LstMachines[Nbre],LstMachines[Model-Spec],PrévisionBoris[[#This Row],[Spec]],LstMachines[Status],PrévisionBoris[[#This Row],[Status]],LstMachines[MoisLivr],AI$1)</f>
        <v>0</v>
      </c>
      <c r="AJ123" s="220">
        <f>SUMIFS(LstMachines[Nbre],LstMachines[Model-Spec],PrévisionBoris[[#This Row],[Spec]],LstMachines[Status],PrévisionBoris[[#This Row],[Status]],LstMachines[MoisLivr],AJ$1)</f>
        <v>0</v>
      </c>
      <c r="AK123" s="220">
        <f>SUMIFS(LstMachines[Nbre],LstMachines[Model-Spec],PrévisionBoris[[#This Row],[Spec]],LstMachines[Status],PrévisionBoris[[#This Row],[Status]],LstMachines[MoisLivr],AK$1)</f>
        <v>0</v>
      </c>
      <c r="AL123" s="219">
        <f>SUMIFS(LstMachines[Nbre],LstMachines[Model-Spec],PrévisionBoris[[#This Row],[Spec]],LstMachines[Status],PrévisionBoris[[#This Row],[Status]],LstMachines[MoisLivr],AL$1)</f>
        <v>0</v>
      </c>
      <c r="AM123" s="220">
        <f>SUMIFS(LstMachines[Nbre],LstMachines[Model-Spec],PrévisionBoris[[#This Row],[Spec]],LstMachines[Status],PrévisionBoris[[#This Row],[Status]],LstMachines[MoisLivr],AM$1)</f>
        <v>0</v>
      </c>
      <c r="AN123" s="220">
        <f>SUMIFS(LstMachines[Nbre],LstMachines[Model-Spec],PrévisionBoris[[#This Row],[Spec]],LstMachines[Status],PrévisionBoris[[#This Row],[Status]],LstMachines[MoisLivr],AN$1)</f>
        <v>0</v>
      </c>
      <c r="AO123" s="219">
        <f>SUMIFS(LstMachines[Nbre],LstMachines[Model-Spec],PrévisionBoris[[#This Row],[Spec]],LstMachines[Status],PrévisionBoris[[#This Row],[Status]],LstMachines[MoisLivr],AO$1)</f>
        <v>0</v>
      </c>
      <c r="AP123" s="220">
        <f>SUMIFS(LstMachines[Nbre],LstMachines[Model-Spec],PrévisionBoris[[#This Row],[Spec]],LstMachines[Status],PrévisionBoris[[#This Row],[Status]],LstMachines[MoisLivr],AP$1)</f>
        <v>0</v>
      </c>
      <c r="AQ123" s="220">
        <f>SUMIFS(LstMachines[Nbre],LstMachines[Model-Spec],PrévisionBoris[[#This Row],[Spec]],LstMachines[Status],PrévisionBoris[[#This Row],[Status]],LstMachines[MoisLivr],AQ$1)</f>
        <v>0</v>
      </c>
      <c r="AR123" s="219">
        <f>SUMIFS(LstMachines[Nbre],LstMachines[Model-Spec],PrévisionBoris[[#This Row],[Spec]],LstMachines[Status],PrévisionBoris[[#This Row],[Status]],LstMachines[MoisLivr],AR$1)</f>
        <v>0</v>
      </c>
      <c r="AS123" s="220">
        <f>SUMIFS(LstMachines[Nbre],LstMachines[Model-Spec],PrévisionBoris[[#This Row],[Spec]],LstMachines[Status],PrévisionBoris[[#This Row],[Status]],LstMachines[MoisLivr],AS$1)</f>
        <v>0</v>
      </c>
      <c r="AT123" s="220">
        <f>SUMIFS(LstMachines[Nbre],LstMachines[Model-Spec],PrévisionBoris[[#This Row],[Spec]],LstMachines[Status],PrévisionBoris[[#This Row],[Status]],LstMachines[MoisLivr],AT$1)</f>
        <v>0</v>
      </c>
      <c r="AU123" s="219">
        <f>SUMIFS(LstMachines[Nbre],LstMachines[Model-Spec],PrévisionBoris[[#This Row],[Spec]],LstMachines[Status],PrévisionBoris[[#This Row],[Status]],LstMachines[MoisLivr],AU$1)</f>
        <v>0</v>
      </c>
      <c r="AV123" s="223">
        <f>SUMIFS(LstMachines[Nbre],LstMachines[Model-Spec],PrévisionBoris[[#This Row],[Spec]],LstMachines[Status],PrévisionBoris[[#This Row],[Status]],LstMachines[MoisLivr],AV$1)</f>
        <v>0</v>
      </c>
      <c r="AW123" s="224">
        <f>SUMIFS(LstMachines[Nbre],LstMachines[Model-Spec],PrévisionBoris[[#This Row],[Spec]],LstMachines[Status],PrévisionBoris[[#This Row],[Status]],LstMachines[MoisLivr],AW$1)</f>
        <v>0</v>
      </c>
      <c r="AX123" s="210"/>
      <c r="AY123" s="211">
        <f t="shared" si="19"/>
        <v>0</v>
      </c>
      <c r="AZ123" s="212">
        <f t="shared" si="20"/>
        <v>0</v>
      </c>
      <c r="BA123" s="212">
        <f t="shared" si="21"/>
        <v>0</v>
      </c>
      <c r="BB123" s="213">
        <f t="shared" si="22"/>
        <v>0</v>
      </c>
      <c r="BC123" s="225">
        <f t="shared" si="23"/>
        <v>0</v>
      </c>
      <c r="BD123" s="211">
        <f t="shared" si="24"/>
        <v>0</v>
      </c>
      <c r="BE123" s="212">
        <f t="shared" si="25"/>
        <v>0</v>
      </c>
      <c r="BF123" s="212">
        <f t="shared" si="26"/>
        <v>0</v>
      </c>
      <c r="BG123" s="213">
        <f t="shared" si="27"/>
        <v>0</v>
      </c>
      <c r="BH123" s="225">
        <f t="shared" si="28"/>
        <v>0</v>
      </c>
      <c r="BI123" s="214">
        <f t="shared" si="29"/>
        <v>0</v>
      </c>
      <c r="BJ123" s="215">
        <f t="shared" si="30"/>
        <v>0</v>
      </c>
      <c r="BK123" s="215">
        <f t="shared" si="31"/>
        <v>0</v>
      </c>
      <c r="BL123" s="216">
        <f t="shared" si="32"/>
        <v>0</v>
      </c>
      <c r="BM123" s="225">
        <f t="shared" si="33"/>
        <v>0</v>
      </c>
      <c r="BN123" s="225"/>
      <c r="BO123" s="217"/>
      <c r="BP123" s="218">
        <f t="shared" si="34"/>
        <v>0</v>
      </c>
    </row>
    <row r="124" spans="1:68">
      <c r="A124" s="171">
        <v>117</v>
      </c>
      <c r="B124" s="171" t="s">
        <v>75</v>
      </c>
      <c r="C124" s="201">
        <v>38</v>
      </c>
      <c r="D124" s="171" t="s">
        <v>188</v>
      </c>
      <c r="E124" s="171" t="s">
        <v>414</v>
      </c>
      <c r="F124" s="201">
        <f>VLOOKUP(PrévisionBoris[[#This Row],[Spec]],TabModelSpecs[[ModelSpec]:[Price]],2,FALSE)</f>
        <v>38</v>
      </c>
      <c r="G124" s="171" t="s">
        <v>463</v>
      </c>
      <c r="H124" s="226">
        <f>SUMIFS(LstMachines[Nbre],LstMachines[Model-Spec],PrévisionBoris[[#This Row],[Spec]],LstMachines[Status],PrévisionBoris[[#This Row],[Status]],LstMachines[MoisLivr],H$1)</f>
        <v>0</v>
      </c>
      <c r="I124" s="227">
        <f>SUMIFS(LstMachines[Nbre],LstMachines[Model-Spec],PrévisionBoris[[#This Row],[Spec]],LstMachines[Status],PrévisionBoris[[#This Row],[Status]],LstMachines[MoisLivr],I$1)</f>
        <v>0</v>
      </c>
      <c r="J124" s="228">
        <f>SUMIFS(LstMachines[Nbre],LstMachines[Model-Spec],PrévisionBoris[[#This Row],[Spec]],LstMachines[Status],PrévisionBoris[[#This Row],[Status]],LstMachines[MoisLivr],J$1)</f>
        <v>0</v>
      </c>
      <c r="K124" s="226">
        <f>SUMIFS(LstMachines[Nbre],LstMachines[Model-Spec],PrévisionBoris[[#This Row],[Spec]],LstMachines[Status],PrévisionBoris[[#This Row],[Status]],LstMachines[MoisLivr],K$1)</f>
        <v>0</v>
      </c>
      <c r="L124" s="227">
        <f>SUMIFS(LstMachines[Nbre],LstMachines[Model-Spec],PrévisionBoris[[#This Row],[Spec]],LstMachines[Status],PrévisionBoris[[#This Row],[Status]],LstMachines[MoisLivr],L$1)</f>
        <v>0</v>
      </c>
      <c r="M124" s="228">
        <f>SUMIFS(LstMachines[Nbre],LstMachines[Model-Spec],PrévisionBoris[[#This Row],[Spec]],LstMachines[Status],PrévisionBoris[[#This Row],[Status]],LstMachines[MoisLivr],M$1)</f>
        <v>0</v>
      </c>
      <c r="N124" s="226">
        <f>SUMIFS(LstMachines[Nbre],LstMachines[Model-Spec],PrévisionBoris[[#This Row],[Spec]],LstMachines[Status],PrévisionBoris[[#This Row],[Status]],LstMachines[MoisLivr],N$1)</f>
        <v>0</v>
      </c>
      <c r="O124" s="227">
        <f>SUMIFS(LstMachines[Nbre],LstMachines[Model-Spec],PrévisionBoris[[#This Row],[Spec]],LstMachines[Status],PrévisionBoris[[#This Row],[Status]],LstMachines[MoisLivr],O$1)</f>
        <v>0</v>
      </c>
      <c r="P124" s="228">
        <f>SUMIFS(LstMachines[Nbre],LstMachines[Model-Spec],PrévisionBoris[[#This Row],[Spec]],LstMachines[Status],PrévisionBoris[[#This Row],[Status]],LstMachines[MoisLivr],P$1)</f>
        <v>0</v>
      </c>
      <c r="Q124" s="229">
        <f>SUMIFS(LstMachines[Nbre],LstMachines[Model-Spec],PrévisionBoris[[#This Row],[Spec]],LstMachines[Status],PrévisionBoris[[#This Row],[Status]],LstMachines[MoisLivr],Q$1)</f>
        <v>0</v>
      </c>
      <c r="R124" s="227">
        <f>SUMIFS(LstMachines[Nbre],LstMachines[Model-Spec],PrévisionBoris[[#This Row],[Spec]],LstMachines[Status],PrévisionBoris[[#This Row],[Status]],LstMachines[MoisLivr],R$1)</f>
        <v>0</v>
      </c>
      <c r="S124" s="227">
        <f>SUMIFS(LstMachines[Nbre],LstMachines[Model-Spec],PrévisionBoris[[#This Row],[Spec]],LstMachines[Status],PrévisionBoris[[#This Row],[Status]],LstMachines[MoisLivr],S$1)</f>
        <v>0</v>
      </c>
      <c r="T124" s="226">
        <f>SUMIFS(LstMachines[Nbre],LstMachines[Model-Spec],PrévisionBoris[[#This Row],[Spec]],LstMachines[Status],PrévisionBoris[[#This Row],[Status]],LstMachines[MoisLivr],T$1)</f>
        <v>0</v>
      </c>
      <c r="U124" s="227">
        <f>SUMIFS(LstMachines[Nbre],LstMachines[Model-Spec],PrévisionBoris[[#This Row],[Spec]],LstMachines[Status],PrévisionBoris[[#This Row],[Status]],LstMachines[MoisLivr],U$1)</f>
        <v>0</v>
      </c>
      <c r="V124" s="227">
        <f>SUMIFS(LstMachines[Nbre],LstMachines[Model-Spec],PrévisionBoris[[#This Row],[Spec]],LstMachines[Status],PrévisionBoris[[#This Row],[Status]],LstMachines[MoisLivr],V$1)</f>
        <v>0</v>
      </c>
      <c r="W124" s="226">
        <f>SUMIFS(LstMachines[Nbre],LstMachines[Model-Spec],PrévisionBoris[[#This Row],[Spec]],LstMachines[Status],PrévisionBoris[[#This Row],[Status]],LstMachines[MoisLivr],W$1)</f>
        <v>0</v>
      </c>
      <c r="X124" s="227">
        <f>SUMIFS(LstMachines[Nbre],LstMachines[Model-Spec],PrévisionBoris[[#This Row],[Spec]],LstMachines[Status],PrévisionBoris[[#This Row],[Status]],LstMachines[MoisLivr],X$1)</f>
        <v>0</v>
      </c>
      <c r="Y124" s="227">
        <f>SUMIFS(LstMachines[Nbre],LstMachines[Model-Spec],PrévisionBoris[[#This Row],[Spec]],LstMachines[Status],PrévisionBoris[[#This Row],[Status]],LstMachines[MoisLivr],Y$1)</f>
        <v>0</v>
      </c>
      <c r="Z124" s="226">
        <f>SUMIFS(LstMachines[Nbre],LstMachines[Model-Spec],PrévisionBoris[[#This Row],[Spec]],LstMachines[Status],PrévisionBoris[[#This Row],[Status]],LstMachines[MoisLivr],Z$1)</f>
        <v>0</v>
      </c>
      <c r="AA124" s="227">
        <f>SUMIFS(LstMachines[Nbre],LstMachines[Model-Spec],PrévisionBoris[[#This Row],[Spec]],LstMachines[Status],PrévisionBoris[[#This Row],[Status]],LstMachines[MoisLivr],AA$1)</f>
        <v>0</v>
      </c>
      <c r="AB124" s="227">
        <f>SUMIFS(LstMachines[Nbre],LstMachines[Model-Spec],PrévisionBoris[[#This Row],[Spec]],LstMachines[Status],PrévisionBoris[[#This Row],[Status]],LstMachines[MoisLivr],AB$1)</f>
        <v>0</v>
      </c>
      <c r="AC124" s="226">
        <f>SUMIFS(LstMachines[Nbre],LstMachines[Model-Spec],PrévisionBoris[[#This Row],[Spec]],LstMachines[Status],PrévisionBoris[[#This Row],[Status]],LstMachines[MoisLivr],AC$1)</f>
        <v>0</v>
      </c>
      <c r="AD124" s="227">
        <f>SUMIFS(LstMachines[Nbre],LstMachines[Model-Spec],PrévisionBoris[[#This Row],[Spec]],LstMachines[Status],PrévisionBoris[[#This Row],[Status]],LstMachines[MoisLivr],AD$1)</f>
        <v>0</v>
      </c>
      <c r="AE124" s="227">
        <f>SUMIFS(LstMachines[Nbre],LstMachines[Model-Spec],PrévisionBoris[[#This Row],[Spec]],LstMachines[Status],PrévisionBoris[[#This Row],[Status]],LstMachines[MoisLivr],AE$1)</f>
        <v>0</v>
      </c>
      <c r="AF124" s="226">
        <f>SUMIFS(LstMachines[Nbre],LstMachines[Model-Spec],PrévisionBoris[[#This Row],[Spec]],LstMachines[Status],PrévisionBoris[[#This Row],[Status]],LstMachines[MoisLivr],AF$1)</f>
        <v>0</v>
      </c>
      <c r="AG124" s="227">
        <f>SUMIFS(LstMachines[Nbre],LstMachines[Model-Spec],PrévisionBoris[[#This Row],[Spec]],LstMachines[Status],PrévisionBoris[[#This Row],[Status]],LstMachines[MoisLivr],AG$1)</f>
        <v>0</v>
      </c>
      <c r="AH124" s="227">
        <f>SUMIFS(LstMachines[Nbre],LstMachines[Model-Spec],PrévisionBoris[[#This Row],[Spec]],LstMachines[Status],PrévisionBoris[[#This Row],[Status]],LstMachines[MoisLivr],AH$1)</f>
        <v>0</v>
      </c>
      <c r="AI124" s="226">
        <f>SUMIFS(LstMachines[Nbre],LstMachines[Model-Spec],PrévisionBoris[[#This Row],[Spec]],LstMachines[Status],PrévisionBoris[[#This Row],[Status]],LstMachines[MoisLivr],AI$1)</f>
        <v>0</v>
      </c>
      <c r="AJ124" s="227">
        <f>SUMIFS(LstMachines[Nbre],LstMachines[Model-Spec],PrévisionBoris[[#This Row],[Spec]],LstMachines[Status],PrévisionBoris[[#This Row],[Status]],LstMachines[MoisLivr],AJ$1)</f>
        <v>0</v>
      </c>
      <c r="AK124" s="227">
        <f>SUMIFS(LstMachines[Nbre],LstMachines[Model-Spec],PrévisionBoris[[#This Row],[Spec]],LstMachines[Status],PrévisionBoris[[#This Row],[Status]],LstMachines[MoisLivr],AK$1)</f>
        <v>0</v>
      </c>
      <c r="AL124" s="226">
        <f>SUMIFS(LstMachines[Nbre],LstMachines[Model-Spec],PrévisionBoris[[#This Row],[Spec]],LstMachines[Status],PrévisionBoris[[#This Row],[Status]],LstMachines[MoisLivr],AL$1)</f>
        <v>0</v>
      </c>
      <c r="AM124" s="227">
        <f>SUMIFS(LstMachines[Nbre],LstMachines[Model-Spec],PrévisionBoris[[#This Row],[Spec]],LstMachines[Status],PrévisionBoris[[#This Row],[Status]],LstMachines[MoisLivr],AM$1)</f>
        <v>0</v>
      </c>
      <c r="AN124" s="227">
        <f>SUMIFS(LstMachines[Nbre],LstMachines[Model-Spec],PrévisionBoris[[#This Row],[Spec]],LstMachines[Status],PrévisionBoris[[#This Row],[Status]],LstMachines[MoisLivr],AN$1)</f>
        <v>0</v>
      </c>
      <c r="AO124" s="226">
        <f>SUMIFS(LstMachines[Nbre],LstMachines[Model-Spec],PrévisionBoris[[#This Row],[Spec]],LstMachines[Status],PrévisionBoris[[#This Row],[Status]],LstMachines[MoisLivr],AO$1)</f>
        <v>0</v>
      </c>
      <c r="AP124" s="227">
        <f>SUMIFS(LstMachines[Nbre],LstMachines[Model-Spec],PrévisionBoris[[#This Row],[Spec]],LstMachines[Status],PrévisionBoris[[#This Row],[Status]],LstMachines[MoisLivr],AP$1)</f>
        <v>0</v>
      </c>
      <c r="AQ124" s="227">
        <f>SUMIFS(LstMachines[Nbre],LstMachines[Model-Spec],PrévisionBoris[[#This Row],[Spec]],LstMachines[Status],PrévisionBoris[[#This Row],[Status]],LstMachines[MoisLivr],AQ$1)</f>
        <v>0</v>
      </c>
      <c r="AR124" s="226">
        <f>SUMIFS(LstMachines[Nbre],LstMachines[Model-Spec],PrévisionBoris[[#This Row],[Spec]],LstMachines[Status],PrévisionBoris[[#This Row],[Status]],LstMachines[MoisLivr],AR$1)</f>
        <v>0</v>
      </c>
      <c r="AS124" s="227">
        <f>SUMIFS(LstMachines[Nbre],LstMachines[Model-Spec],PrévisionBoris[[#This Row],[Spec]],LstMachines[Status],PrévisionBoris[[#This Row],[Status]],LstMachines[MoisLivr],AS$1)</f>
        <v>0</v>
      </c>
      <c r="AT124" s="227">
        <f>SUMIFS(LstMachines[Nbre],LstMachines[Model-Spec],PrévisionBoris[[#This Row],[Spec]],LstMachines[Status],PrévisionBoris[[#This Row],[Status]],LstMachines[MoisLivr],AT$1)</f>
        <v>0</v>
      </c>
      <c r="AU124" s="226">
        <f>SUMIFS(LstMachines[Nbre],LstMachines[Model-Spec],PrévisionBoris[[#This Row],[Spec]],LstMachines[Status],PrévisionBoris[[#This Row],[Status]],LstMachines[MoisLivr],AU$1)</f>
        <v>0</v>
      </c>
      <c r="AV124" s="230">
        <f>SUMIFS(LstMachines[Nbre],LstMachines[Model-Spec],PrévisionBoris[[#This Row],[Spec]],LstMachines[Status],PrévisionBoris[[#This Row],[Status]],LstMachines[MoisLivr],AV$1)</f>
        <v>0</v>
      </c>
      <c r="AW124" s="231">
        <f>SUMIFS(LstMachines[Nbre],LstMachines[Model-Spec],PrévisionBoris[[#This Row],[Spec]],LstMachines[Status],PrévisionBoris[[#This Row],[Status]],LstMachines[MoisLivr],AW$1)</f>
        <v>0</v>
      </c>
      <c r="AX124" s="232"/>
      <c r="AY124" s="211">
        <f t="shared" si="19"/>
        <v>0</v>
      </c>
      <c r="AZ124" s="212">
        <f t="shared" si="20"/>
        <v>0</v>
      </c>
      <c r="BA124" s="212">
        <f t="shared" si="21"/>
        <v>0</v>
      </c>
      <c r="BB124" s="213">
        <f t="shared" si="22"/>
        <v>0</v>
      </c>
      <c r="BC124" s="225">
        <f t="shared" si="23"/>
        <v>0</v>
      </c>
      <c r="BD124" s="211">
        <f t="shared" si="24"/>
        <v>0</v>
      </c>
      <c r="BE124" s="212">
        <f t="shared" si="25"/>
        <v>0</v>
      </c>
      <c r="BF124" s="212">
        <f t="shared" si="26"/>
        <v>0</v>
      </c>
      <c r="BG124" s="213">
        <f t="shared" si="27"/>
        <v>0</v>
      </c>
      <c r="BH124" s="225">
        <f t="shared" si="28"/>
        <v>0</v>
      </c>
      <c r="BI124" s="214">
        <f t="shared" si="29"/>
        <v>0</v>
      </c>
      <c r="BJ124" s="215">
        <f t="shared" si="30"/>
        <v>0</v>
      </c>
      <c r="BK124" s="215">
        <f t="shared" si="31"/>
        <v>0</v>
      </c>
      <c r="BL124" s="216">
        <f t="shared" si="32"/>
        <v>0</v>
      </c>
      <c r="BM124" s="225">
        <f t="shared" si="33"/>
        <v>0</v>
      </c>
      <c r="BN124" s="225"/>
      <c r="BO124" s="217"/>
      <c r="BP124" s="218">
        <f t="shared" si="34"/>
        <v>0</v>
      </c>
    </row>
    <row r="125" spans="1:68">
      <c r="A125" s="172">
        <v>118</v>
      </c>
      <c r="B125" s="172" t="s">
        <v>75</v>
      </c>
      <c r="C125" s="202">
        <v>38</v>
      </c>
      <c r="D125" s="172" t="s">
        <v>188</v>
      </c>
      <c r="E125" s="172" t="s">
        <v>415</v>
      </c>
      <c r="F125" s="202">
        <f>VLOOKUP(PrévisionBoris[[#This Row],[Spec]],TabModelSpecs[[ModelSpec]:[Price]],2,FALSE)</f>
        <v>38</v>
      </c>
      <c r="G125" s="172" t="s">
        <v>461</v>
      </c>
      <c r="H125" s="206">
        <f>SUMIFS(LstMachines[Nbre],LstMachines[Model-Spec],PrévisionBoris[[#This Row],[Spec]],LstMachines[Status],PrévisionBoris[[#This Row],[Status]],LstMachines[MoisLivr],H$1)</f>
        <v>0</v>
      </c>
      <c r="I125" s="207">
        <f>SUMIFS(LstMachines[Nbre],LstMachines[Model-Spec],PrévisionBoris[[#This Row],[Spec]],LstMachines[Status],PrévisionBoris[[#This Row],[Status]],LstMachines[MoisLivr],I$1)</f>
        <v>0</v>
      </c>
      <c r="J125" s="208">
        <f>SUMIFS(LstMachines[Nbre],LstMachines[Model-Spec],PrévisionBoris[[#This Row],[Spec]],LstMachines[Status],PrévisionBoris[[#This Row],[Status]],LstMachines[MoisLivr],J$1)</f>
        <v>0</v>
      </c>
      <c r="K125" s="206">
        <f>SUMIFS(LstMachines[Nbre],LstMachines[Model-Spec],PrévisionBoris[[#This Row],[Spec]],LstMachines[Status],PrévisionBoris[[#This Row],[Status]],LstMachines[MoisLivr],K$1)</f>
        <v>0</v>
      </c>
      <c r="L125" s="207">
        <f>SUMIFS(LstMachines[Nbre],LstMachines[Model-Spec],PrévisionBoris[[#This Row],[Spec]],LstMachines[Status],PrévisionBoris[[#This Row],[Status]],LstMachines[MoisLivr],L$1)</f>
        <v>0</v>
      </c>
      <c r="M125" s="208">
        <f>SUMIFS(LstMachines[Nbre],LstMachines[Model-Spec],PrévisionBoris[[#This Row],[Spec]],LstMachines[Status],PrévisionBoris[[#This Row],[Status]],LstMachines[MoisLivr],M$1)</f>
        <v>0</v>
      </c>
      <c r="N125" s="206">
        <f>SUMIFS(LstMachines[Nbre],LstMachines[Model-Spec],PrévisionBoris[[#This Row],[Spec]],LstMachines[Status],PrévisionBoris[[#This Row],[Status]],LstMachines[MoisLivr],N$1)</f>
        <v>0</v>
      </c>
      <c r="O125" s="207">
        <f>SUMIFS(LstMachines[Nbre],LstMachines[Model-Spec],PrévisionBoris[[#This Row],[Spec]],LstMachines[Status],PrévisionBoris[[#This Row],[Status]],LstMachines[MoisLivr],O$1)</f>
        <v>0</v>
      </c>
      <c r="P125" s="208">
        <f>SUMIFS(LstMachines[Nbre],LstMachines[Model-Spec],PrévisionBoris[[#This Row],[Spec]],LstMachines[Status],PrévisionBoris[[#This Row],[Status]],LstMachines[MoisLivr],P$1)</f>
        <v>0</v>
      </c>
      <c r="Q125" s="209">
        <f>SUMIFS(LstMachines[Nbre],LstMachines[Model-Spec],PrévisionBoris[[#This Row],[Spec]],LstMachines[Status],PrévisionBoris[[#This Row],[Status]],LstMachines[MoisLivr],Q$1)</f>
        <v>0</v>
      </c>
      <c r="R125" s="207">
        <f>SUMIFS(LstMachines[Nbre],LstMachines[Model-Spec],PrévisionBoris[[#This Row],[Spec]],LstMachines[Status],PrévisionBoris[[#This Row],[Status]],LstMachines[MoisLivr],R$1)</f>
        <v>0</v>
      </c>
      <c r="S125" s="207">
        <f>SUMIFS(LstMachines[Nbre],LstMachines[Model-Spec],PrévisionBoris[[#This Row],[Spec]],LstMachines[Status],PrévisionBoris[[#This Row],[Status]],LstMachines[MoisLivr],S$1)</f>
        <v>0</v>
      </c>
      <c r="T125" s="206">
        <f>SUMIFS(LstMachines[Nbre],LstMachines[Model-Spec],PrévisionBoris[[#This Row],[Spec]],LstMachines[Status],PrévisionBoris[[#This Row],[Status]],LstMachines[MoisLivr],T$1)</f>
        <v>0</v>
      </c>
      <c r="U125" s="207">
        <f>SUMIFS(LstMachines[Nbre],LstMachines[Model-Spec],PrévisionBoris[[#This Row],[Spec]],LstMachines[Status],PrévisionBoris[[#This Row],[Status]],LstMachines[MoisLivr],U$1)</f>
        <v>0</v>
      </c>
      <c r="V125" s="207">
        <f>SUMIFS(LstMachines[Nbre],LstMachines[Model-Spec],PrévisionBoris[[#This Row],[Spec]],LstMachines[Status],PrévisionBoris[[#This Row],[Status]],LstMachines[MoisLivr],V$1)</f>
        <v>0</v>
      </c>
      <c r="W125" s="206">
        <f>SUMIFS(LstMachines[Nbre],LstMachines[Model-Spec],PrévisionBoris[[#This Row],[Spec]],LstMachines[Status],PrévisionBoris[[#This Row],[Status]],LstMachines[MoisLivr],W$1)</f>
        <v>0</v>
      </c>
      <c r="X125" s="207">
        <f>SUMIFS(LstMachines[Nbre],LstMachines[Model-Spec],PrévisionBoris[[#This Row],[Spec]],LstMachines[Status],PrévisionBoris[[#This Row],[Status]],LstMachines[MoisLivr],X$1)</f>
        <v>0</v>
      </c>
      <c r="Y125" s="207">
        <f>SUMIFS(LstMachines[Nbre],LstMachines[Model-Spec],PrévisionBoris[[#This Row],[Spec]],LstMachines[Status],PrévisionBoris[[#This Row],[Status]],LstMachines[MoisLivr],Y$1)</f>
        <v>0</v>
      </c>
      <c r="Z125" s="206">
        <f>SUMIFS(LstMachines[Nbre],LstMachines[Model-Spec],PrévisionBoris[[#This Row],[Spec]],LstMachines[Status],PrévisionBoris[[#This Row],[Status]],LstMachines[MoisLivr],Z$1)</f>
        <v>0</v>
      </c>
      <c r="AA125" s="207">
        <f>SUMIFS(LstMachines[Nbre],LstMachines[Model-Spec],PrévisionBoris[[#This Row],[Spec]],LstMachines[Status],PrévisionBoris[[#This Row],[Status]],LstMachines[MoisLivr],AA$1)</f>
        <v>0</v>
      </c>
      <c r="AB125" s="207">
        <f>SUMIFS(LstMachines[Nbre],LstMachines[Model-Spec],PrévisionBoris[[#This Row],[Spec]],LstMachines[Status],PrévisionBoris[[#This Row],[Status]],LstMachines[MoisLivr],AB$1)</f>
        <v>0</v>
      </c>
      <c r="AC125" s="206">
        <f>SUMIFS(LstMachines[Nbre],LstMachines[Model-Spec],PrévisionBoris[[#This Row],[Spec]],LstMachines[Status],PrévisionBoris[[#This Row],[Status]],LstMachines[MoisLivr],AC$1)</f>
        <v>0</v>
      </c>
      <c r="AD125" s="207">
        <f>SUMIFS(LstMachines[Nbre],LstMachines[Model-Spec],PrévisionBoris[[#This Row],[Spec]],LstMachines[Status],PrévisionBoris[[#This Row],[Status]],LstMachines[MoisLivr],AD$1)</f>
        <v>0</v>
      </c>
      <c r="AE125" s="207">
        <f>SUMIFS(LstMachines[Nbre],LstMachines[Model-Spec],PrévisionBoris[[#This Row],[Spec]],LstMachines[Status],PrévisionBoris[[#This Row],[Status]],LstMachines[MoisLivr],AE$1)</f>
        <v>0</v>
      </c>
      <c r="AF125" s="206">
        <f>SUMIFS(LstMachines[Nbre],LstMachines[Model-Spec],PrévisionBoris[[#This Row],[Spec]],LstMachines[Status],PrévisionBoris[[#This Row],[Status]],LstMachines[MoisLivr],AF$1)</f>
        <v>0</v>
      </c>
      <c r="AG125" s="207">
        <f>SUMIFS(LstMachines[Nbre],LstMachines[Model-Spec],PrévisionBoris[[#This Row],[Spec]],LstMachines[Status],PrévisionBoris[[#This Row],[Status]],LstMachines[MoisLivr],AG$1)</f>
        <v>0</v>
      </c>
      <c r="AH125" s="207">
        <f>SUMIFS(LstMachines[Nbre],LstMachines[Model-Spec],PrévisionBoris[[#This Row],[Spec]],LstMachines[Status],PrévisionBoris[[#This Row],[Status]],LstMachines[MoisLivr],AH$1)</f>
        <v>0</v>
      </c>
      <c r="AI125" s="206">
        <f>SUMIFS(LstMachines[Nbre],LstMachines[Model-Spec],PrévisionBoris[[#This Row],[Spec]],LstMachines[Status],PrévisionBoris[[#This Row],[Status]],LstMachines[MoisLivr],AI$1)</f>
        <v>0</v>
      </c>
      <c r="AJ125" s="207">
        <f>SUMIFS(LstMachines[Nbre],LstMachines[Model-Spec],PrévisionBoris[[#This Row],[Spec]],LstMachines[Status],PrévisionBoris[[#This Row],[Status]],LstMachines[MoisLivr],AJ$1)</f>
        <v>0</v>
      </c>
      <c r="AK125" s="207">
        <f>SUMIFS(LstMachines[Nbre],LstMachines[Model-Spec],PrévisionBoris[[#This Row],[Spec]],LstMachines[Status],PrévisionBoris[[#This Row],[Status]],LstMachines[MoisLivr],AK$1)</f>
        <v>0</v>
      </c>
      <c r="AL125" s="206">
        <f>SUMIFS(LstMachines[Nbre],LstMachines[Model-Spec],PrévisionBoris[[#This Row],[Spec]],LstMachines[Status],PrévisionBoris[[#This Row],[Status]],LstMachines[MoisLivr],AL$1)</f>
        <v>0</v>
      </c>
      <c r="AM125" s="207">
        <f>SUMIFS(LstMachines[Nbre],LstMachines[Model-Spec],PrévisionBoris[[#This Row],[Spec]],LstMachines[Status],PrévisionBoris[[#This Row],[Status]],LstMachines[MoisLivr],AM$1)</f>
        <v>0</v>
      </c>
      <c r="AN125" s="207">
        <f>SUMIFS(LstMachines[Nbre],LstMachines[Model-Spec],PrévisionBoris[[#This Row],[Spec]],LstMachines[Status],PrévisionBoris[[#This Row],[Status]],LstMachines[MoisLivr],AN$1)</f>
        <v>0</v>
      </c>
      <c r="AO125" s="206">
        <f>SUMIFS(LstMachines[Nbre],LstMachines[Model-Spec],PrévisionBoris[[#This Row],[Spec]],LstMachines[Status],PrévisionBoris[[#This Row],[Status]],LstMachines[MoisLivr],AO$1)</f>
        <v>0</v>
      </c>
      <c r="AP125" s="207">
        <f>SUMIFS(LstMachines[Nbre],LstMachines[Model-Spec],PrévisionBoris[[#This Row],[Spec]],LstMachines[Status],PrévisionBoris[[#This Row],[Status]],LstMachines[MoisLivr],AP$1)</f>
        <v>0</v>
      </c>
      <c r="AQ125" s="207">
        <f>SUMIFS(LstMachines[Nbre],LstMachines[Model-Spec],PrévisionBoris[[#This Row],[Spec]],LstMachines[Status],PrévisionBoris[[#This Row],[Status]],LstMachines[MoisLivr],AQ$1)</f>
        <v>0</v>
      </c>
      <c r="AR125" s="206">
        <f>SUMIFS(LstMachines[Nbre],LstMachines[Model-Spec],PrévisionBoris[[#This Row],[Spec]],LstMachines[Status],PrévisionBoris[[#This Row],[Status]],LstMachines[MoisLivr],AR$1)</f>
        <v>0</v>
      </c>
      <c r="AS125" s="207">
        <f>SUMIFS(LstMachines[Nbre],LstMachines[Model-Spec],PrévisionBoris[[#This Row],[Spec]],LstMachines[Status],PrévisionBoris[[#This Row],[Status]],LstMachines[MoisLivr],AS$1)</f>
        <v>0</v>
      </c>
      <c r="AT125" s="207">
        <f>SUMIFS(LstMachines[Nbre],LstMachines[Model-Spec],PrévisionBoris[[#This Row],[Spec]],LstMachines[Status],PrévisionBoris[[#This Row],[Status]],LstMachines[MoisLivr],AT$1)</f>
        <v>0</v>
      </c>
      <c r="AU125" s="206">
        <f>SUMIFS(LstMachines[Nbre],LstMachines[Model-Spec],PrévisionBoris[[#This Row],[Spec]],LstMachines[Status],PrévisionBoris[[#This Row],[Status]],LstMachines[MoisLivr],AU$1)</f>
        <v>0</v>
      </c>
      <c r="AV125" s="233">
        <f>SUMIFS(LstMachines[Nbre],LstMachines[Model-Spec],PrévisionBoris[[#This Row],[Spec]],LstMachines[Status],PrévisionBoris[[#This Row],[Status]],LstMachines[MoisLivr],AV$1)</f>
        <v>0</v>
      </c>
      <c r="AW125" s="208">
        <f>SUMIFS(LstMachines[Nbre],LstMachines[Model-Spec],PrévisionBoris[[#This Row],[Spec]],LstMachines[Status],PrévisionBoris[[#This Row],[Status]],LstMachines[MoisLivr],AW$1)</f>
        <v>0</v>
      </c>
      <c r="AX125" s="225"/>
      <c r="AY125" s="211">
        <f t="shared" si="19"/>
        <v>0</v>
      </c>
      <c r="AZ125" s="212">
        <f t="shared" si="20"/>
        <v>0</v>
      </c>
      <c r="BA125" s="212">
        <f t="shared" si="21"/>
        <v>0</v>
      </c>
      <c r="BB125" s="213">
        <f t="shared" si="22"/>
        <v>0</v>
      </c>
      <c r="BC125" s="225">
        <f t="shared" si="23"/>
        <v>0</v>
      </c>
      <c r="BD125" s="211">
        <f t="shared" si="24"/>
        <v>0</v>
      </c>
      <c r="BE125" s="212">
        <f t="shared" si="25"/>
        <v>0</v>
      </c>
      <c r="BF125" s="212">
        <f t="shared" si="26"/>
        <v>0</v>
      </c>
      <c r="BG125" s="213">
        <f t="shared" si="27"/>
        <v>0</v>
      </c>
      <c r="BH125" s="225">
        <f t="shared" si="28"/>
        <v>0</v>
      </c>
      <c r="BI125" s="214">
        <f t="shared" si="29"/>
        <v>0</v>
      </c>
      <c r="BJ125" s="215">
        <f t="shared" si="30"/>
        <v>0</v>
      </c>
      <c r="BK125" s="215">
        <f t="shared" si="31"/>
        <v>0</v>
      </c>
      <c r="BL125" s="216">
        <f t="shared" si="32"/>
        <v>0</v>
      </c>
      <c r="BM125" s="225">
        <f t="shared" si="33"/>
        <v>0</v>
      </c>
      <c r="BN125" s="225"/>
      <c r="BO125" s="234"/>
      <c r="BP125" s="218">
        <f t="shared" si="34"/>
        <v>0</v>
      </c>
    </row>
    <row r="126" spans="1:68">
      <c r="A126" s="170">
        <v>119</v>
      </c>
      <c r="B126" s="170" t="s">
        <v>75</v>
      </c>
      <c r="C126" s="200">
        <v>38</v>
      </c>
      <c r="D126" s="170" t="s">
        <v>188</v>
      </c>
      <c r="E126" s="170" t="s">
        <v>415</v>
      </c>
      <c r="F126" s="200">
        <f>VLOOKUP(PrévisionBoris[[#This Row],[Spec]],TabModelSpecs[[ModelSpec]:[Price]],2,FALSE)</f>
        <v>38</v>
      </c>
      <c r="G126" s="170" t="s">
        <v>462</v>
      </c>
      <c r="H126" s="219">
        <f>SUMIFS(LstMachines[Nbre],LstMachines[Model-Spec],PrévisionBoris[[#This Row],[Spec]],LstMachines[Status],PrévisionBoris[[#This Row],[Status]],LstMachines[MoisLivr],H$1)</f>
        <v>0</v>
      </c>
      <c r="I126" s="220">
        <f>SUMIFS(LstMachines[Nbre],LstMachines[Model-Spec],PrévisionBoris[[#This Row],[Spec]],LstMachines[Status],PrévisionBoris[[#This Row],[Status]],LstMachines[MoisLivr],I$1)</f>
        <v>0</v>
      </c>
      <c r="J126" s="221">
        <f>SUMIFS(LstMachines[Nbre],LstMachines[Model-Spec],PrévisionBoris[[#This Row],[Spec]],LstMachines[Status],PrévisionBoris[[#This Row],[Status]],LstMachines[MoisLivr],J$1)</f>
        <v>0</v>
      </c>
      <c r="K126" s="219">
        <f>SUMIFS(LstMachines[Nbre],LstMachines[Model-Spec],PrévisionBoris[[#This Row],[Spec]],LstMachines[Status],PrévisionBoris[[#This Row],[Status]],LstMachines[MoisLivr],K$1)</f>
        <v>0</v>
      </c>
      <c r="L126" s="220">
        <f>SUMIFS(LstMachines[Nbre],LstMachines[Model-Spec],PrévisionBoris[[#This Row],[Spec]],LstMachines[Status],PrévisionBoris[[#This Row],[Status]],LstMachines[MoisLivr],L$1)</f>
        <v>0</v>
      </c>
      <c r="M126" s="221">
        <f>SUMIFS(LstMachines[Nbre],LstMachines[Model-Spec],PrévisionBoris[[#This Row],[Spec]],LstMachines[Status],PrévisionBoris[[#This Row],[Status]],LstMachines[MoisLivr],M$1)</f>
        <v>0</v>
      </c>
      <c r="N126" s="219">
        <f>SUMIFS(LstMachines[Nbre],LstMachines[Model-Spec],PrévisionBoris[[#This Row],[Spec]],LstMachines[Status],PrévisionBoris[[#This Row],[Status]],LstMachines[MoisLivr],N$1)</f>
        <v>0</v>
      </c>
      <c r="O126" s="220">
        <f>SUMIFS(LstMachines[Nbre],LstMachines[Model-Spec],PrévisionBoris[[#This Row],[Spec]],LstMachines[Status],PrévisionBoris[[#This Row],[Status]],LstMachines[MoisLivr],O$1)</f>
        <v>0</v>
      </c>
      <c r="P126" s="221">
        <f>SUMIFS(LstMachines[Nbre],LstMachines[Model-Spec],PrévisionBoris[[#This Row],[Spec]],LstMachines[Status],PrévisionBoris[[#This Row],[Status]],LstMachines[MoisLivr],P$1)</f>
        <v>0</v>
      </c>
      <c r="Q126" s="222">
        <f>SUMIFS(LstMachines[Nbre],LstMachines[Model-Spec],PrévisionBoris[[#This Row],[Spec]],LstMachines[Status],PrévisionBoris[[#This Row],[Status]],LstMachines[MoisLivr],Q$1)</f>
        <v>0</v>
      </c>
      <c r="R126" s="220">
        <f>SUMIFS(LstMachines[Nbre],LstMachines[Model-Spec],PrévisionBoris[[#This Row],[Spec]],LstMachines[Status],PrévisionBoris[[#This Row],[Status]],LstMachines[MoisLivr],R$1)</f>
        <v>0</v>
      </c>
      <c r="S126" s="220">
        <f>SUMIFS(LstMachines[Nbre],LstMachines[Model-Spec],PrévisionBoris[[#This Row],[Spec]],LstMachines[Status],PrévisionBoris[[#This Row],[Status]],LstMachines[MoisLivr],S$1)</f>
        <v>0</v>
      </c>
      <c r="T126" s="219">
        <f>SUMIFS(LstMachines[Nbre],LstMachines[Model-Spec],PrévisionBoris[[#This Row],[Spec]],LstMachines[Status],PrévisionBoris[[#This Row],[Status]],LstMachines[MoisLivr],T$1)</f>
        <v>0</v>
      </c>
      <c r="U126" s="220">
        <f>SUMIFS(LstMachines[Nbre],LstMachines[Model-Spec],PrévisionBoris[[#This Row],[Spec]],LstMachines[Status],PrévisionBoris[[#This Row],[Status]],LstMachines[MoisLivr],U$1)</f>
        <v>0</v>
      </c>
      <c r="V126" s="220">
        <f>SUMIFS(LstMachines[Nbre],LstMachines[Model-Spec],PrévisionBoris[[#This Row],[Spec]],LstMachines[Status],PrévisionBoris[[#This Row],[Status]],LstMachines[MoisLivr],V$1)</f>
        <v>0</v>
      </c>
      <c r="W126" s="219">
        <f>SUMIFS(LstMachines[Nbre],LstMachines[Model-Spec],PrévisionBoris[[#This Row],[Spec]],LstMachines[Status],PrévisionBoris[[#This Row],[Status]],LstMachines[MoisLivr],W$1)</f>
        <v>0</v>
      </c>
      <c r="X126" s="220">
        <f>SUMIFS(LstMachines[Nbre],LstMachines[Model-Spec],PrévisionBoris[[#This Row],[Spec]],LstMachines[Status],PrévisionBoris[[#This Row],[Status]],LstMachines[MoisLivr],X$1)</f>
        <v>0</v>
      </c>
      <c r="Y126" s="220">
        <f>SUMIFS(LstMachines[Nbre],LstMachines[Model-Spec],PrévisionBoris[[#This Row],[Spec]],LstMachines[Status],PrévisionBoris[[#This Row],[Status]],LstMachines[MoisLivr],Y$1)</f>
        <v>0</v>
      </c>
      <c r="Z126" s="219">
        <f>SUMIFS(LstMachines[Nbre],LstMachines[Model-Spec],PrévisionBoris[[#This Row],[Spec]],LstMachines[Status],PrévisionBoris[[#This Row],[Status]],LstMachines[MoisLivr],Z$1)</f>
        <v>0</v>
      </c>
      <c r="AA126" s="220">
        <f>SUMIFS(LstMachines[Nbre],LstMachines[Model-Spec],PrévisionBoris[[#This Row],[Spec]],LstMachines[Status],PrévisionBoris[[#This Row],[Status]],LstMachines[MoisLivr],AA$1)</f>
        <v>0</v>
      </c>
      <c r="AB126" s="220">
        <f>SUMIFS(LstMachines[Nbre],LstMachines[Model-Spec],PrévisionBoris[[#This Row],[Spec]],LstMachines[Status],PrévisionBoris[[#This Row],[Status]],LstMachines[MoisLivr],AB$1)</f>
        <v>0</v>
      </c>
      <c r="AC126" s="219">
        <f>SUMIFS(LstMachines[Nbre],LstMachines[Model-Spec],PrévisionBoris[[#This Row],[Spec]],LstMachines[Status],PrévisionBoris[[#This Row],[Status]],LstMachines[MoisLivr],AC$1)</f>
        <v>0</v>
      </c>
      <c r="AD126" s="220">
        <f>SUMIFS(LstMachines[Nbre],LstMachines[Model-Spec],PrévisionBoris[[#This Row],[Spec]],LstMachines[Status],PrévisionBoris[[#This Row],[Status]],LstMachines[MoisLivr],AD$1)</f>
        <v>0</v>
      </c>
      <c r="AE126" s="220">
        <f>SUMIFS(LstMachines[Nbre],LstMachines[Model-Spec],PrévisionBoris[[#This Row],[Spec]],LstMachines[Status],PrévisionBoris[[#This Row],[Status]],LstMachines[MoisLivr],AE$1)</f>
        <v>0</v>
      </c>
      <c r="AF126" s="219">
        <f>SUMIFS(LstMachines[Nbre],LstMachines[Model-Spec],PrévisionBoris[[#This Row],[Spec]],LstMachines[Status],PrévisionBoris[[#This Row],[Status]],LstMachines[MoisLivr],AF$1)</f>
        <v>0</v>
      </c>
      <c r="AG126" s="220">
        <f>SUMIFS(LstMachines[Nbre],LstMachines[Model-Spec],PrévisionBoris[[#This Row],[Spec]],LstMachines[Status],PrévisionBoris[[#This Row],[Status]],LstMachines[MoisLivr],AG$1)</f>
        <v>0</v>
      </c>
      <c r="AH126" s="220">
        <f>SUMIFS(LstMachines[Nbre],LstMachines[Model-Spec],PrévisionBoris[[#This Row],[Spec]],LstMachines[Status],PrévisionBoris[[#This Row],[Status]],LstMachines[MoisLivr],AH$1)</f>
        <v>0</v>
      </c>
      <c r="AI126" s="219">
        <f>SUMIFS(LstMachines[Nbre],LstMachines[Model-Spec],PrévisionBoris[[#This Row],[Spec]],LstMachines[Status],PrévisionBoris[[#This Row],[Status]],LstMachines[MoisLivr],AI$1)</f>
        <v>0</v>
      </c>
      <c r="AJ126" s="220">
        <f>SUMIFS(LstMachines[Nbre],LstMachines[Model-Spec],PrévisionBoris[[#This Row],[Spec]],LstMachines[Status],PrévisionBoris[[#This Row],[Status]],LstMachines[MoisLivr],AJ$1)</f>
        <v>0</v>
      </c>
      <c r="AK126" s="220">
        <f>SUMIFS(LstMachines[Nbre],LstMachines[Model-Spec],PrévisionBoris[[#This Row],[Spec]],LstMachines[Status],PrévisionBoris[[#This Row],[Status]],LstMachines[MoisLivr],AK$1)</f>
        <v>0</v>
      </c>
      <c r="AL126" s="219">
        <f>SUMIFS(LstMachines[Nbre],LstMachines[Model-Spec],PrévisionBoris[[#This Row],[Spec]],LstMachines[Status],PrévisionBoris[[#This Row],[Status]],LstMachines[MoisLivr],AL$1)</f>
        <v>0</v>
      </c>
      <c r="AM126" s="220">
        <f>SUMIFS(LstMachines[Nbre],LstMachines[Model-Spec],PrévisionBoris[[#This Row],[Spec]],LstMachines[Status],PrévisionBoris[[#This Row],[Status]],LstMachines[MoisLivr],AM$1)</f>
        <v>0</v>
      </c>
      <c r="AN126" s="220">
        <f>SUMIFS(LstMachines[Nbre],LstMachines[Model-Spec],PrévisionBoris[[#This Row],[Spec]],LstMachines[Status],PrévisionBoris[[#This Row],[Status]],LstMachines[MoisLivr],AN$1)</f>
        <v>0</v>
      </c>
      <c r="AO126" s="219">
        <f>SUMIFS(LstMachines[Nbre],LstMachines[Model-Spec],PrévisionBoris[[#This Row],[Spec]],LstMachines[Status],PrévisionBoris[[#This Row],[Status]],LstMachines[MoisLivr],AO$1)</f>
        <v>0</v>
      </c>
      <c r="AP126" s="220">
        <f>SUMIFS(LstMachines[Nbre],LstMachines[Model-Spec],PrévisionBoris[[#This Row],[Spec]],LstMachines[Status],PrévisionBoris[[#This Row],[Status]],LstMachines[MoisLivr],AP$1)</f>
        <v>0</v>
      </c>
      <c r="AQ126" s="220">
        <f>SUMIFS(LstMachines[Nbre],LstMachines[Model-Spec],PrévisionBoris[[#This Row],[Spec]],LstMachines[Status],PrévisionBoris[[#This Row],[Status]],LstMachines[MoisLivr],AQ$1)</f>
        <v>0</v>
      </c>
      <c r="AR126" s="219">
        <f>SUMIFS(LstMachines[Nbre],LstMachines[Model-Spec],PrévisionBoris[[#This Row],[Spec]],LstMachines[Status],PrévisionBoris[[#This Row],[Status]],LstMachines[MoisLivr],AR$1)</f>
        <v>0</v>
      </c>
      <c r="AS126" s="220">
        <f>SUMIFS(LstMachines[Nbre],LstMachines[Model-Spec],PrévisionBoris[[#This Row],[Spec]],LstMachines[Status],PrévisionBoris[[#This Row],[Status]],LstMachines[MoisLivr],AS$1)</f>
        <v>0</v>
      </c>
      <c r="AT126" s="220">
        <f>SUMIFS(LstMachines[Nbre],LstMachines[Model-Spec],PrévisionBoris[[#This Row],[Spec]],LstMachines[Status],PrévisionBoris[[#This Row],[Status]],LstMachines[MoisLivr],AT$1)</f>
        <v>0</v>
      </c>
      <c r="AU126" s="219">
        <f>SUMIFS(LstMachines[Nbre],LstMachines[Model-Spec],PrévisionBoris[[#This Row],[Spec]],LstMachines[Status],PrévisionBoris[[#This Row],[Status]],LstMachines[MoisLivr],AU$1)</f>
        <v>0</v>
      </c>
      <c r="AV126" s="223">
        <f>SUMIFS(LstMachines[Nbre],LstMachines[Model-Spec],PrévisionBoris[[#This Row],[Spec]],LstMachines[Status],PrévisionBoris[[#This Row],[Status]],LstMachines[MoisLivr],AV$1)</f>
        <v>0</v>
      </c>
      <c r="AW126" s="224">
        <f>SUMIFS(LstMachines[Nbre],LstMachines[Model-Spec],PrévisionBoris[[#This Row],[Spec]],LstMachines[Status],PrévisionBoris[[#This Row],[Status]],LstMachines[MoisLivr],AW$1)</f>
        <v>0</v>
      </c>
      <c r="AX126" s="210"/>
      <c r="AY126" s="211">
        <f t="shared" si="19"/>
        <v>0</v>
      </c>
      <c r="AZ126" s="212">
        <f t="shared" si="20"/>
        <v>0</v>
      </c>
      <c r="BA126" s="212">
        <f t="shared" si="21"/>
        <v>0</v>
      </c>
      <c r="BB126" s="213">
        <f t="shared" si="22"/>
        <v>0</v>
      </c>
      <c r="BC126" s="225">
        <f t="shared" si="23"/>
        <v>0</v>
      </c>
      <c r="BD126" s="211">
        <f t="shared" si="24"/>
        <v>0</v>
      </c>
      <c r="BE126" s="212">
        <f t="shared" si="25"/>
        <v>0</v>
      </c>
      <c r="BF126" s="212">
        <f t="shared" si="26"/>
        <v>0</v>
      </c>
      <c r="BG126" s="213">
        <f t="shared" si="27"/>
        <v>0</v>
      </c>
      <c r="BH126" s="225">
        <f t="shared" si="28"/>
        <v>0</v>
      </c>
      <c r="BI126" s="214">
        <f t="shared" si="29"/>
        <v>0</v>
      </c>
      <c r="BJ126" s="215">
        <f t="shared" si="30"/>
        <v>0</v>
      </c>
      <c r="BK126" s="215">
        <f t="shared" si="31"/>
        <v>0</v>
      </c>
      <c r="BL126" s="216">
        <f t="shared" si="32"/>
        <v>0</v>
      </c>
      <c r="BM126" s="225">
        <f t="shared" si="33"/>
        <v>0</v>
      </c>
      <c r="BN126" s="225"/>
      <c r="BO126" s="217"/>
      <c r="BP126" s="218">
        <f t="shared" si="34"/>
        <v>0</v>
      </c>
    </row>
    <row r="127" spans="1:68">
      <c r="A127" s="171">
        <v>120</v>
      </c>
      <c r="B127" s="171" t="s">
        <v>75</v>
      </c>
      <c r="C127" s="201">
        <v>38</v>
      </c>
      <c r="D127" s="171" t="s">
        <v>188</v>
      </c>
      <c r="E127" s="171" t="s">
        <v>415</v>
      </c>
      <c r="F127" s="201">
        <f>VLOOKUP(PrévisionBoris[[#This Row],[Spec]],TabModelSpecs[[ModelSpec]:[Price]],2,FALSE)</f>
        <v>38</v>
      </c>
      <c r="G127" s="171" t="s">
        <v>463</v>
      </c>
      <c r="H127" s="226">
        <f>SUMIFS(LstMachines[Nbre],LstMachines[Model-Spec],PrévisionBoris[[#This Row],[Spec]],LstMachines[Status],PrévisionBoris[[#This Row],[Status]],LstMachines[MoisLivr],H$1)</f>
        <v>0</v>
      </c>
      <c r="I127" s="227">
        <f>SUMIFS(LstMachines[Nbre],LstMachines[Model-Spec],PrévisionBoris[[#This Row],[Spec]],LstMachines[Status],PrévisionBoris[[#This Row],[Status]],LstMachines[MoisLivr],I$1)</f>
        <v>0</v>
      </c>
      <c r="J127" s="228">
        <f>SUMIFS(LstMachines[Nbre],LstMachines[Model-Spec],PrévisionBoris[[#This Row],[Spec]],LstMachines[Status],PrévisionBoris[[#This Row],[Status]],LstMachines[MoisLivr],J$1)</f>
        <v>0</v>
      </c>
      <c r="K127" s="226">
        <f>SUMIFS(LstMachines[Nbre],LstMachines[Model-Spec],PrévisionBoris[[#This Row],[Spec]],LstMachines[Status],PrévisionBoris[[#This Row],[Status]],LstMachines[MoisLivr],K$1)</f>
        <v>0</v>
      </c>
      <c r="L127" s="227">
        <f>SUMIFS(LstMachines[Nbre],LstMachines[Model-Spec],PrévisionBoris[[#This Row],[Spec]],LstMachines[Status],PrévisionBoris[[#This Row],[Status]],LstMachines[MoisLivr],L$1)</f>
        <v>0</v>
      </c>
      <c r="M127" s="228">
        <f>SUMIFS(LstMachines[Nbre],LstMachines[Model-Spec],PrévisionBoris[[#This Row],[Spec]],LstMachines[Status],PrévisionBoris[[#This Row],[Status]],LstMachines[MoisLivr],M$1)</f>
        <v>0</v>
      </c>
      <c r="N127" s="226">
        <f>SUMIFS(LstMachines[Nbre],LstMachines[Model-Spec],PrévisionBoris[[#This Row],[Spec]],LstMachines[Status],PrévisionBoris[[#This Row],[Status]],LstMachines[MoisLivr],N$1)</f>
        <v>0</v>
      </c>
      <c r="O127" s="227">
        <f>SUMIFS(LstMachines[Nbre],LstMachines[Model-Spec],PrévisionBoris[[#This Row],[Spec]],LstMachines[Status],PrévisionBoris[[#This Row],[Status]],LstMachines[MoisLivr],O$1)</f>
        <v>0</v>
      </c>
      <c r="P127" s="228">
        <f>SUMIFS(LstMachines[Nbre],LstMachines[Model-Spec],PrévisionBoris[[#This Row],[Spec]],LstMachines[Status],PrévisionBoris[[#This Row],[Status]],LstMachines[MoisLivr],P$1)</f>
        <v>0</v>
      </c>
      <c r="Q127" s="229">
        <f>SUMIFS(LstMachines[Nbre],LstMachines[Model-Spec],PrévisionBoris[[#This Row],[Spec]],LstMachines[Status],PrévisionBoris[[#This Row],[Status]],LstMachines[MoisLivr],Q$1)</f>
        <v>0</v>
      </c>
      <c r="R127" s="227">
        <f>SUMIFS(LstMachines[Nbre],LstMachines[Model-Spec],PrévisionBoris[[#This Row],[Spec]],LstMachines[Status],PrévisionBoris[[#This Row],[Status]],LstMachines[MoisLivr],R$1)</f>
        <v>0</v>
      </c>
      <c r="S127" s="227">
        <f>SUMIFS(LstMachines[Nbre],LstMachines[Model-Spec],PrévisionBoris[[#This Row],[Spec]],LstMachines[Status],PrévisionBoris[[#This Row],[Status]],LstMachines[MoisLivr],S$1)</f>
        <v>0</v>
      </c>
      <c r="T127" s="226">
        <f>SUMIFS(LstMachines[Nbre],LstMachines[Model-Spec],PrévisionBoris[[#This Row],[Spec]],LstMachines[Status],PrévisionBoris[[#This Row],[Status]],LstMachines[MoisLivr],T$1)</f>
        <v>0</v>
      </c>
      <c r="U127" s="227">
        <f>SUMIFS(LstMachines[Nbre],LstMachines[Model-Spec],PrévisionBoris[[#This Row],[Spec]],LstMachines[Status],PrévisionBoris[[#This Row],[Status]],LstMachines[MoisLivr],U$1)</f>
        <v>0</v>
      </c>
      <c r="V127" s="227">
        <f>SUMIFS(LstMachines[Nbre],LstMachines[Model-Spec],PrévisionBoris[[#This Row],[Spec]],LstMachines[Status],PrévisionBoris[[#This Row],[Status]],LstMachines[MoisLivr],V$1)</f>
        <v>0</v>
      </c>
      <c r="W127" s="226">
        <f>SUMIFS(LstMachines[Nbre],LstMachines[Model-Spec],PrévisionBoris[[#This Row],[Spec]],LstMachines[Status],PrévisionBoris[[#This Row],[Status]],LstMachines[MoisLivr],W$1)</f>
        <v>0</v>
      </c>
      <c r="X127" s="227">
        <f>SUMIFS(LstMachines[Nbre],LstMachines[Model-Spec],PrévisionBoris[[#This Row],[Spec]],LstMachines[Status],PrévisionBoris[[#This Row],[Status]],LstMachines[MoisLivr],X$1)</f>
        <v>0</v>
      </c>
      <c r="Y127" s="227">
        <f>SUMIFS(LstMachines[Nbre],LstMachines[Model-Spec],PrévisionBoris[[#This Row],[Spec]],LstMachines[Status],PrévisionBoris[[#This Row],[Status]],LstMachines[MoisLivr],Y$1)</f>
        <v>0</v>
      </c>
      <c r="Z127" s="226">
        <f>SUMIFS(LstMachines[Nbre],LstMachines[Model-Spec],PrévisionBoris[[#This Row],[Spec]],LstMachines[Status],PrévisionBoris[[#This Row],[Status]],LstMachines[MoisLivr],Z$1)</f>
        <v>0</v>
      </c>
      <c r="AA127" s="227">
        <f>SUMIFS(LstMachines[Nbre],LstMachines[Model-Spec],PrévisionBoris[[#This Row],[Spec]],LstMachines[Status],PrévisionBoris[[#This Row],[Status]],LstMachines[MoisLivr],AA$1)</f>
        <v>0</v>
      </c>
      <c r="AB127" s="227">
        <f>SUMIFS(LstMachines[Nbre],LstMachines[Model-Spec],PrévisionBoris[[#This Row],[Spec]],LstMachines[Status],PrévisionBoris[[#This Row],[Status]],LstMachines[MoisLivr],AB$1)</f>
        <v>0</v>
      </c>
      <c r="AC127" s="226">
        <f>SUMIFS(LstMachines[Nbre],LstMachines[Model-Spec],PrévisionBoris[[#This Row],[Spec]],LstMachines[Status],PrévisionBoris[[#This Row],[Status]],LstMachines[MoisLivr],AC$1)</f>
        <v>0</v>
      </c>
      <c r="AD127" s="227">
        <f>SUMIFS(LstMachines[Nbre],LstMachines[Model-Spec],PrévisionBoris[[#This Row],[Spec]],LstMachines[Status],PrévisionBoris[[#This Row],[Status]],LstMachines[MoisLivr],AD$1)</f>
        <v>0</v>
      </c>
      <c r="AE127" s="227">
        <f>SUMIFS(LstMachines[Nbre],LstMachines[Model-Spec],PrévisionBoris[[#This Row],[Spec]],LstMachines[Status],PrévisionBoris[[#This Row],[Status]],LstMachines[MoisLivr],AE$1)</f>
        <v>0</v>
      </c>
      <c r="AF127" s="226">
        <f>SUMIFS(LstMachines[Nbre],LstMachines[Model-Spec],PrévisionBoris[[#This Row],[Spec]],LstMachines[Status],PrévisionBoris[[#This Row],[Status]],LstMachines[MoisLivr],AF$1)</f>
        <v>0</v>
      </c>
      <c r="AG127" s="227">
        <f>SUMIFS(LstMachines[Nbre],LstMachines[Model-Spec],PrévisionBoris[[#This Row],[Spec]],LstMachines[Status],PrévisionBoris[[#This Row],[Status]],LstMachines[MoisLivr],AG$1)</f>
        <v>0</v>
      </c>
      <c r="AH127" s="227">
        <f>SUMIFS(LstMachines[Nbre],LstMachines[Model-Spec],PrévisionBoris[[#This Row],[Spec]],LstMachines[Status],PrévisionBoris[[#This Row],[Status]],LstMachines[MoisLivr],AH$1)</f>
        <v>0</v>
      </c>
      <c r="AI127" s="226">
        <f>SUMIFS(LstMachines[Nbre],LstMachines[Model-Spec],PrévisionBoris[[#This Row],[Spec]],LstMachines[Status],PrévisionBoris[[#This Row],[Status]],LstMachines[MoisLivr],AI$1)</f>
        <v>0</v>
      </c>
      <c r="AJ127" s="227">
        <f>SUMIFS(LstMachines[Nbre],LstMachines[Model-Spec],PrévisionBoris[[#This Row],[Spec]],LstMachines[Status],PrévisionBoris[[#This Row],[Status]],LstMachines[MoisLivr],AJ$1)</f>
        <v>0</v>
      </c>
      <c r="AK127" s="227">
        <f>SUMIFS(LstMachines[Nbre],LstMachines[Model-Spec],PrévisionBoris[[#This Row],[Spec]],LstMachines[Status],PrévisionBoris[[#This Row],[Status]],LstMachines[MoisLivr],AK$1)</f>
        <v>0</v>
      </c>
      <c r="AL127" s="226">
        <f>SUMIFS(LstMachines[Nbre],LstMachines[Model-Spec],PrévisionBoris[[#This Row],[Spec]],LstMachines[Status],PrévisionBoris[[#This Row],[Status]],LstMachines[MoisLivr],AL$1)</f>
        <v>0</v>
      </c>
      <c r="AM127" s="227">
        <f>SUMIFS(LstMachines[Nbre],LstMachines[Model-Spec],PrévisionBoris[[#This Row],[Spec]],LstMachines[Status],PrévisionBoris[[#This Row],[Status]],LstMachines[MoisLivr],AM$1)</f>
        <v>0</v>
      </c>
      <c r="AN127" s="227">
        <f>SUMIFS(LstMachines[Nbre],LstMachines[Model-Spec],PrévisionBoris[[#This Row],[Spec]],LstMachines[Status],PrévisionBoris[[#This Row],[Status]],LstMachines[MoisLivr],AN$1)</f>
        <v>0</v>
      </c>
      <c r="AO127" s="226">
        <f>SUMIFS(LstMachines[Nbre],LstMachines[Model-Spec],PrévisionBoris[[#This Row],[Spec]],LstMachines[Status],PrévisionBoris[[#This Row],[Status]],LstMachines[MoisLivr],AO$1)</f>
        <v>0</v>
      </c>
      <c r="AP127" s="227">
        <f>SUMIFS(LstMachines[Nbre],LstMachines[Model-Spec],PrévisionBoris[[#This Row],[Spec]],LstMachines[Status],PrévisionBoris[[#This Row],[Status]],LstMachines[MoisLivr],AP$1)</f>
        <v>0</v>
      </c>
      <c r="AQ127" s="227">
        <f>SUMIFS(LstMachines[Nbre],LstMachines[Model-Spec],PrévisionBoris[[#This Row],[Spec]],LstMachines[Status],PrévisionBoris[[#This Row],[Status]],LstMachines[MoisLivr],AQ$1)</f>
        <v>0</v>
      </c>
      <c r="AR127" s="226">
        <f>SUMIFS(LstMachines[Nbre],LstMachines[Model-Spec],PrévisionBoris[[#This Row],[Spec]],LstMachines[Status],PrévisionBoris[[#This Row],[Status]],LstMachines[MoisLivr],AR$1)</f>
        <v>0</v>
      </c>
      <c r="AS127" s="227">
        <f>SUMIFS(LstMachines[Nbre],LstMachines[Model-Spec],PrévisionBoris[[#This Row],[Spec]],LstMachines[Status],PrévisionBoris[[#This Row],[Status]],LstMachines[MoisLivr],AS$1)</f>
        <v>0</v>
      </c>
      <c r="AT127" s="227">
        <f>SUMIFS(LstMachines[Nbre],LstMachines[Model-Spec],PrévisionBoris[[#This Row],[Spec]],LstMachines[Status],PrévisionBoris[[#This Row],[Status]],LstMachines[MoisLivr],AT$1)</f>
        <v>0</v>
      </c>
      <c r="AU127" s="226">
        <f>SUMIFS(LstMachines[Nbre],LstMachines[Model-Spec],PrévisionBoris[[#This Row],[Spec]],LstMachines[Status],PrévisionBoris[[#This Row],[Status]],LstMachines[MoisLivr],AU$1)</f>
        <v>0</v>
      </c>
      <c r="AV127" s="230">
        <f>SUMIFS(LstMachines[Nbre],LstMachines[Model-Spec],PrévisionBoris[[#This Row],[Spec]],LstMachines[Status],PrévisionBoris[[#This Row],[Status]],LstMachines[MoisLivr],AV$1)</f>
        <v>0</v>
      </c>
      <c r="AW127" s="231">
        <f>SUMIFS(LstMachines[Nbre],LstMachines[Model-Spec],PrévisionBoris[[#This Row],[Spec]],LstMachines[Status],PrévisionBoris[[#This Row],[Status]],LstMachines[MoisLivr],AW$1)</f>
        <v>0</v>
      </c>
      <c r="AX127" s="232"/>
      <c r="AY127" s="211">
        <f t="shared" si="19"/>
        <v>0</v>
      </c>
      <c r="AZ127" s="212">
        <f t="shared" si="20"/>
        <v>0</v>
      </c>
      <c r="BA127" s="212">
        <f t="shared" si="21"/>
        <v>0</v>
      </c>
      <c r="BB127" s="213">
        <f t="shared" si="22"/>
        <v>0</v>
      </c>
      <c r="BC127" s="225">
        <f t="shared" si="23"/>
        <v>0</v>
      </c>
      <c r="BD127" s="211">
        <f t="shared" si="24"/>
        <v>0</v>
      </c>
      <c r="BE127" s="212">
        <f t="shared" si="25"/>
        <v>0</v>
      </c>
      <c r="BF127" s="212">
        <f t="shared" si="26"/>
        <v>0</v>
      </c>
      <c r="BG127" s="213">
        <f t="shared" si="27"/>
        <v>0</v>
      </c>
      <c r="BH127" s="225">
        <f t="shared" si="28"/>
        <v>0</v>
      </c>
      <c r="BI127" s="214">
        <f t="shared" si="29"/>
        <v>0</v>
      </c>
      <c r="BJ127" s="215">
        <f t="shared" si="30"/>
        <v>0</v>
      </c>
      <c r="BK127" s="215">
        <f t="shared" si="31"/>
        <v>0</v>
      </c>
      <c r="BL127" s="216">
        <f t="shared" si="32"/>
        <v>0</v>
      </c>
      <c r="BM127" s="225">
        <f t="shared" si="33"/>
        <v>0</v>
      </c>
      <c r="BN127" s="225"/>
      <c r="BO127" s="217"/>
      <c r="BP127" s="218">
        <f t="shared" si="34"/>
        <v>0</v>
      </c>
    </row>
    <row r="128" spans="1:68">
      <c r="A128" s="172">
        <v>121</v>
      </c>
      <c r="B128" s="172" t="s">
        <v>75</v>
      </c>
      <c r="C128" s="202">
        <v>38</v>
      </c>
      <c r="D128" s="172" t="s">
        <v>188</v>
      </c>
      <c r="E128" s="172" t="s">
        <v>416</v>
      </c>
      <c r="F128" s="202">
        <f>VLOOKUP(PrévisionBoris[[#This Row],[Spec]],TabModelSpecs[[ModelSpec]:[Price]],2,FALSE)</f>
        <v>38</v>
      </c>
      <c r="G128" s="172" t="s">
        <v>461</v>
      </c>
      <c r="H128" s="206">
        <f>SUMIFS(LstMachines[Nbre],LstMachines[Model-Spec],PrévisionBoris[[#This Row],[Spec]],LstMachines[Status],PrévisionBoris[[#This Row],[Status]],LstMachines[MoisLivr],H$1)</f>
        <v>0</v>
      </c>
      <c r="I128" s="207">
        <f>SUMIFS(LstMachines[Nbre],LstMachines[Model-Spec],PrévisionBoris[[#This Row],[Spec]],LstMachines[Status],PrévisionBoris[[#This Row],[Status]],LstMachines[MoisLivr],I$1)</f>
        <v>0</v>
      </c>
      <c r="J128" s="208">
        <f>SUMIFS(LstMachines[Nbre],LstMachines[Model-Spec],PrévisionBoris[[#This Row],[Spec]],LstMachines[Status],PrévisionBoris[[#This Row],[Status]],LstMachines[MoisLivr],J$1)</f>
        <v>0</v>
      </c>
      <c r="K128" s="206">
        <f>SUMIFS(LstMachines[Nbre],LstMachines[Model-Spec],PrévisionBoris[[#This Row],[Spec]],LstMachines[Status],PrévisionBoris[[#This Row],[Status]],LstMachines[MoisLivr],K$1)</f>
        <v>0</v>
      </c>
      <c r="L128" s="207">
        <f>SUMIFS(LstMachines[Nbre],LstMachines[Model-Spec],PrévisionBoris[[#This Row],[Spec]],LstMachines[Status],PrévisionBoris[[#This Row],[Status]],LstMachines[MoisLivr],L$1)</f>
        <v>0</v>
      </c>
      <c r="M128" s="208">
        <f>SUMIFS(LstMachines[Nbre],LstMachines[Model-Spec],PrévisionBoris[[#This Row],[Spec]],LstMachines[Status],PrévisionBoris[[#This Row],[Status]],LstMachines[MoisLivr],M$1)</f>
        <v>0</v>
      </c>
      <c r="N128" s="206">
        <f>SUMIFS(LstMachines[Nbre],LstMachines[Model-Spec],PrévisionBoris[[#This Row],[Spec]],LstMachines[Status],PrévisionBoris[[#This Row],[Status]],LstMachines[MoisLivr],N$1)</f>
        <v>0</v>
      </c>
      <c r="O128" s="207">
        <f>SUMIFS(LstMachines[Nbre],LstMachines[Model-Spec],PrévisionBoris[[#This Row],[Spec]],LstMachines[Status],PrévisionBoris[[#This Row],[Status]],LstMachines[MoisLivr],O$1)</f>
        <v>0</v>
      </c>
      <c r="P128" s="208">
        <f>SUMIFS(LstMachines[Nbre],LstMachines[Model-Spec],PrévisionBoris[[#This Row],[Spec]],LstMachines[Status],PrévisionBoris[[#This Row],[Status]],LstMachines[MoisLivr],P$1)</f>
        <v>0</v>
      </c>
      <c r="Q128" s="209">
        <f>SUMIFS(LstMachines[Nbre],LstMachines[Model-Spec],PrévisionBoris[[#This Row],[Spec]],LstMachines[Status],PrévisionBoris[[#This Row],[Status]],LstMachines[MoisLivr],Q$1)</f>
        <v>0</v>
      </c>
      <c r="R128" s="207">
        <f>SUMIFS(LstMachines[Nbre],LstMachines[Model-Spec],PrévisionBoris[[#This Row],[Spec]],LstMachines[Status],PrévisionBoris[[#This Row],[Status]],LstMachines[MoisLivr],R$1)</f>
        <v>0</v>
      </c>
      <c r="S128" s="207">
        <f>SUMIFS(LstMachines[Nbre],LstMachines[Model-Spec],PrévisionBoris[[#This Row],[Spec]],LstMachines[Status],PrévisionBoris[[#This Row],[Status]],LstMachines[MoisLivr],S$1)</f>
        <v>0</v>
      </c>
      <c r="T128" s="206">
        <f>SUMIFS(LstMachines[Nbre],LstMachines[Model-Spec],PrévisionBoris[[#This Row],[Spec]],LstMachines[Status],PrévisionBoris[[#This Row],[Status]],LstMachines[MoisLivr],T$1)</f>
        <v>0</v>
      </c>
      <c r="U128" s="207">
        <f>SUMIFS(LstMachines[Nbre],LstMachines[Model-Spec],PrévisionBoris[[#This Row],[Spec]],LstMachines[Status],PrévisionBoris[[#This Row],[Status]],LstMachines[MoisLivr],U$1)</f>
        <v>0</v>
      </c>
      <c r="V128" s="207">
        <f>SUMIFS(LstMachines[Nbre],LstMachines[Model-Spec],PrévisionBoris[[#This Row],[Spec]],LstMachines[Status],PrévisionBoris[[#This Row],[Status]],LstMachines[MoisLivr],V$1)</f>
        <v>0</v>
      </c>
      <c r="W128" s="206">
        <f>SUMIFS(LstMachines[Nbre],LstMachines[Model-Spec],PrévisionBoris[[#This Row],[Spec]],LstMachines[Status],PrévisionBoris[[#This Row],[Status]],LstMachines[MoisLivr],W$1)</f>
        <v>0</v>
      </c>
      <c r="X128" s="207">
        <f>SUMIFS(LstMachines[Nbre],LstMachines[Model-Spec],PrévisionBoris[[#This Row],[Spec]],LstMachines[Status],PrévisionBoris[[#This Row],[Status]],LstMachines[MoisLivr],X$1)</f>
        <v>0</v>
      </c>
      <c r="Y128" s="207">
        <f>SUMIFS(LstMachines[Nbre],LstMachines[Model-Spec],PrévisionBoris[[#This Row],[Spec]],LstMachines[Status],PrévisionBoris[[#This Row],[Status]],LstMachines[MoisLivr],Y$1)</f>
        <v>0</v>
      </c>
      <c r="Z128" s="206">
        <f>SUMIFS(LstMachines[Nbre],LstMachines[Model-Spec],PrévisionBoris[[#This Row],[Spec]],LstMachines[Status],PrévisionBoris[[#This Row],[Status]],LstMachines[MoisLivr],Z$1)</f>
        <v>0</v>
      </c>
      <c r="AA128" s="207">
        <f>SUMIFS(LstMachines[Nbre],LstMachines[Model-Spec],PrévisionBoris[[#This Row],[Spec]],LstMachines[Status],PrévisionBoris[[#This Row],[Status]],LstMachines[MoisLivr],AA$1)</f>
        <v>0</v>
      </c>
      <c r="AB128" s="207">
        <f>SUMIFS(LstMachines[Nbre],LstMachines[Model-Spec],PrévisionBoris[[#This Row],[Spec]],LstMachines[Status],PrévisionBoris[[#This Row],[Status]],LstMachines[MoisLivr],AB$1)</f>
        <v>0</v>
      </c>
      <c r="AC128" s="206">
        <f>SUMIFS(LstMachines[Nbre],LstMachines[Model-Spec],PrévisionBoris[[#This Row],[Spec]],LstMachines[Status],PrévisionBoris[[#This Row],[Status]],LstMachines[MoisLivr],AC$1)</f>
        <v>0</v>
      </c>
      <c r="AD128" s="207">
        <f>SUMIFS(LstMachines[Nbre],LstMachines[Model-Spec],PrévisionBoris[[#This Row],[Spec]],LstMachines[Status],PrévisionBoris[[#This Row],[Status]],LstMachines[MoisLivr],AD$1)</f>
        <v>0</v>
      </c>
      <c r="AE128" s="207">
        <f>SUMIFS(LstMachines[Nbre],LstMachines[Model-Spec],PrévisionBoris[[#This Row],[Spec]],LstMachines[Status],PrévisionBoris[[#This Row],[Status]],LstMachines[MoisLivr],AE$1)</f>
        <v>0</v>
      </c>
      <c r="AF128" s="206">
        <f>SUMIFS(LstMachines[Nbre],LstMachines[Model-Spec],PrévisionBoris[[#This Row],[Spec]],LstMachines[Status],PrévisionBoris[[#This Row],[Status]],LstMachines[MoisLivr],AF$1)</f>
        <v>0</v>
      </c>
      <c r="AG128" s="207">
        <f>SUMIFS(LstMachines[Nbre],LstMachines[Model-Spec],PrévisionBoris[[#This Row],[Spec]],LstMachines[Status],PrévisionBoris[[#This Row],[Status]],LstMachines[MoisLivr],AG$1)</f>
        <v>0</v>
      </c>
      <c r="AH128" s="207">
        <f>SUMIFS(LstMachines[Nbre],LstMachines[Model-Spec],PrévisionBoris[[#This Row],[Spec]],LstMachines[Status],PrévisionBoris[[#This Row],[Status]],LstMachines[MoisLivr],AH$1)</f>
        <v>0</v>
      </c>
      <c r="AI128" s="206">
        <f>SUMIFS(LstMachines[Nbre],LstMachines[Model-Spec],PrévisionBoris[[#This Row],[Spec]],LstMachines[Status],PrévisionBoris[[#This Row],[Status]],LstMachines[MoisLivr],AI$1)</f>
        <v>0</v>
      </c>
      <c r="AJ128" s="207">
        <f>SUMIFS(LstMachines[Nbre],LstMachines[Model-Spec],PrévisionBoris[[#This Row],[Spec]],LstMachines[Status],PrévisionBoris[[#This Row],[Status]],LstMachines[MoisLivr],AJ$1)</f>
        <v>0</v>
      </c>
      <c r="AK128" s="207">
        <f>SUMIFS(LstMachines[Nbre],LstMachines[Model-Spec],PrévisionBoris[[#This Row],[Spec]],LstMachines[Status],PrévisionBoris[[#This Row],[Status]],LstMachines[MoisLivr],AK$1)</f>
        <v>0</v>
      </c>
      <c r="AL128" s="206">
        <f>SUMIFS(LstMachines[Nbre],LstMachines[Model-Spec],PrévisionBoris[[#This Row],[Spec]],LstMachines[Status],PrévisionBoris[[#This Row],[Status]],LstMachines[MoisLivr],AL$1)</f>
        <v>0</v>
      </c>
      <c r="AM128" s="207">
        <f>SUMIFS(LstMachines[Nbre],LstMachines[Model-Spec],PrévisionBoris[[#This Row],[Spec]],LstMachines[Status],PrévisionBoris[[#This Row],[Status]],LstMachines[MoisLivr],AM$1)</f>
        <v>0</v>
      </c>
      <c r="AN128" s="207">
        <f>SUMIFS(LstMachines[Nbre],LstMachines[Model-Spec],PrévisionBoris[[#This Row],[Spec]],LstMachines[Status],PrévisionBoris[[#This Row],[Status]],LstMachines[MoisLivr],AN$1)</f>
        <v>0</v>
      </c>
      <c r="AO128" s="206">
        <f>SUMIFS(LstMachines[Nbre],LstMachines[Model-Spec],PrévisionBoris[[#This Row],[Spec]],LstMachines[Status],PrévisionBoris[[#This Row],[Status]],LstMachines[MoisLivr],AO$1)</f>
        <v>0</v>
      </c>
      <c r="AP128" s="207">
        <f>SUMIFS(LstMachines[Nbre],LstMachines[Model-Spec],PrévisionBoris[[#This Row],[Spec]],LstMachines[Status],PrévisionBoris[[#This Row],[Status]],LstMachines[MoisLivr],AP$1)</f>
        <v>0</v>
      </c>
      <c r="AQ128" s="207">
        <f>SUMIFS(LstMachines[Nbre],LstMachines[Model-Spec],PrévisionBoris[[#This Row],[Spec]],LstMachines[Status],PrévisionBoris[[#This Row],[Status]],LstMachines[MoisLivr],AQ$1)</f>
        <v>0</v>
      </c>
      <c r="AR128" s="206">
        <f>SUMIFS(LstMachines[Nbre],LstMachines[Model-Spec],PrévisionBoris[[#This Row],[Spec]],LstMachines[Status],PrévisionBoris[[#This Row],[Status]],LstMachines[MoisLivr],AR$1)</f>
        <v>0</v>
      </c>
      <c r="AS128" s="207">
        <f>SUMIFS(LstMachines[Nbre],LstMachines[Model-Spec],PrévisionBoris[[#This Row],[Spec]],LstMachines[Status],PrévisionBoris[[#This Row],[Status]],LstMachines[MoisLivr],AS$1)</f>
        <v>0</v>
      </c>
      <c r="AT128" s="207">
        <f>SUMIFS(LstMachines[Nbre],LstMachines[Model-Spec],PrévisionBoris[[#This Row],[Spec]],LstMachines[Status],PrévisionBoris[[#This Row],[Status]],LstMachines[MoisLivr],AT$1)</f>
        <v>0</v>
      </c>
      <c r="AU128" s="206">
        <f>SUMIFS(LstMachines[Nbre],LstMachines[Model-Spec],PrévisionBoris[[#This Row],[Spec]],LstMachines[Status],PrévisionBoris[[#This Row],[Status]],LstMachines[MoisLivr],AU$1)</f>
        <v>0</v>
      </c>
      <c r="AV128" s="233">
        <f>SUMIFS(LstMachines[Nbre],LstMachines[Model-Spec],PrévisionBoris[[#This Row],[Spec]],LstMachines[Status],PrévisionBoris[[#This Row],[Status]],LstMachines[MoisLivr],AV$1)</f>
        <v>0</v>
      </c>
      <c r="AW128" s="208">
        <f>SUMIFS(LstMachines[Nbre],LstMachines[Model-Spec],PrévisionBoris[[#This Row],[Spec]],LstMachines[Status],PrévisionBoris[[#This Row],[Status]],LstMachines[MoisLivr],AW$1)</f>
        <v>0</v>
      </c>
      <c r="AX128" s="225"/>
      <c r="AY128" s="211">
        <f t="shared" si="19"/>
        <v>0</v>
      </c>
      <c r="AZ128" s="212">
        <f t="shared" si="20"/>
        <v>0</v>
      </c>
      <c r="BA128" s="212">
        <f t="shared" si="21"/>
        <v>0</v>
      </c>
      <c r="BB128" s="213">
        <f t="shared" si="22"/>
        <v>0</v>
      </c>
      <c r="BC128" s="225">
        <f t="shared" si="23"/>
        <v>0</v>
      </c>
      <c r="BD128" s="211">
        <f t="shared" si="24"/>
        <v>0</v>
      </c>
      <c r="BE128" s="212">
        <f t="shared" si="25"/>
        <v>0</v>
      </c>
      <c r="BF128" s="212">
        <f t="shared" si="26"/>
        <v>0</v>
      </c>
      <c r="BG128" s="213">
        <f t="shared" si="27"/>
        <v>0</v>
      </c>
      <c r="BH128" s="225">
        <f t="shared" si="28"/>
        <v>0</v>
      </c>
      <c r="BI128" s="214">
        <f t="shared" si="29"/>
        <v>0</v>
      </c>
      <c r="BJ128" s="215">
        <f t="shared" si="30"/>
        <v>0</v>
      </c>
      <c r="BK128" s="215">
        <f t="shared" si="31"/>
        <v>0</v>
      </c>
      <c r="BL128" s="216">
        <f t="shared" si="32"/>
        <v>0</v>
      </c>
      <c r="BM128" s="225">
        <f t="shared" si="33"/>
        <v>0</v>
      </c>
      <c r="BN128" s="225"/>
      <c r="BO128" s="234"/>
      <c r="BP128" s="218">
        <f t="shared" si="34"/>
        <v>0</v>
      </c>
    </row>
    <row r="129" spans="1:68">
      <c r="A129" s="170">
        <v>122</v>
      </c>
      <c r="B129" s="170" t="s">
        <v>75</v>
      </c>
      <c r="C129" s="200">
        <v>38</v>
      </c>
      <c r="D129" s="170" t="s">
        <v>188</v>
      </c>
      <c r="E129" s="170" t="s">
        <v>416</v>
      </c>
      <c r="F129" s="200">
        <f>VLOOKUP(PrévisionBoris[[#This Row],[Spec]],TabModelSpecs[[ModelSpec]:[Price]],2,FALSE)</f>
        <v>38</v>
      </c>
      <c r="G129" s="170" t="s">
        <v>462</v>
      </c>
      <c r="H129" s="219">
        <f>SUMIFS(LstMachines[Nbre],LstMachines[Model-Spec],PrévisionBoris[[#This Row],[Spec]],LstMachines[Status],PrévisionBoris[[#This Row],[Status]],LstMachines[MoisLivr],H$1)</f>
        <v>0</v>
      </c>
      <c r="I129" s="220">
        <f>SUMIFS(LstMachines[Nbre],LstMachines[Model-Spec],PrévisionBoris[[#This Row],[Spec]],LstMachines[Status],PrévisionBoris[[#This Row],[Status]],LstMachines[MoisLivr],I$1)</f>
        <v>0</v>
      </c>
      <c r="J129" s="221">
        <f>SUMIFS(LstMachines[Nbre],LstMachines[Model-Spec],PrévisionBoris[[#This Row],[Spec]],LstMachines[Status],PrévisionBoris[[#This Row],[Status]],LstMachines[MoisLivr],J$1)</f>
        <v>0</v>
      </c>
      <c r="K129" s="219">
        <f>SUMIFS(LstMachines[Nbre],LstMachines[Model-Spec],PrévisionBoris[[#This Row],[Spec]],LstMachines[Status],PrévisionBoris[[#This Row],[Status]],LstMachines[MoisLivr],K$1)</f>
        <v>0</v>
      </c>
      <c r="L129" s="220">
        <f>SUMIFS(LstMachines[Nbre],LstMachines[Model-Spec],PrévisionBoris[[#This Row],[Spec]],LstMachines[Status],PrévisionBoris[[#This Row],[Status]],LstMachines[MoisLivr],L$1)</f>
        <v>0</v>
      </c>
      <c r="M129" s="221">
        <f>SUMIFS(LstMachines[Nbre],LstMachines[Model-Spec],PrévisionBoris[[#This Row],[Spec]],LstMachines[Status],PrévisionBoris[[#This Row],[Status]],LstMachines[MoisLivr],M$1)</f>
        <v>0</v>
      </c>
      <c r="N129" s="219">
        <f>SUMIFS(LstMachines[Nbre],LstMachines[Model-Spec],PrévisionBoris[[#This Row],[Spec]],LstMachines[Status],PrévisionBoris[[#This Row],[Status]],LstMachines[MoisLivr],N$1)</f>
        <v>0</v>
      </c>
      <c r="O129" s="220">
        <f>SUMIFS(LstMachines[Nbre],LstMachines[Model-Spec],PrévisionBoris[[#This Row],[Spec]],LstMachines[Status],PrévisionBoris[[#This Row],[Status]],LstMachines[MoisLivr],O$1)</f>
        <v>0</v>
      </c>
      <c r="P129" s="221">
        <f>SUMIFS(LstMachines[Nbre],LstMachines[Model-Spec],PrévisionBoris[[#This Row],[Spec]],LstMachines[Status],PrévisionBoris[[#This Row],[Status]],LstMachines[MoisLivr],P$1)</f>
        <v>0</v>
      </c>
      <c r="Q129" s="222">
        <f>SUMIFS(LstMachines[Nbre],LstMachines[Model-Spec],PrévisionBoris[[#This Row],[Spec]],LstMachines[Status],PrévisionBoris[[#This Row],[Status]],LstMachines[MoisLivr],Q$1)</f>
        <v>0</v>
      </c>
      <c r="R129" s="220">
        <f>SUMIFS(LstMachines[Nbre],LstMachines[Model-Spec],PrévisionBoris[[#This Row],[Spec]],LstMachines[Status],PrévisionBoris[[#This Row],[Status]],LstMachines[MoisLivr],R$1)</f>
        <v>0</v>
      </c>
      <c r="S129" s="220">
        <f>SUMIFS(LstMachines[Nbre],LstMachines[Model-Spec],PrévisionBoris[[#This Row],[Spec]],LstMachines[Status],PrévisionBoris[[#This Row],[Status]],LstMachines[MoisLivr],S$1)</f>
        <v>0</v>
      </c>
      <c r="T129" s="219">
        <f>SUMIFS(LstMachines[Nbre],LstMachines[Model-Spec],PrévisionBoris[[#This Row],[Spec]],LstMachines[Status],PrévisionBoris[[#This Row],[Status]],LstMachines[MoisLivr],T$1)</f>
        <v>0</v>
      </c>
      <c r="U129" s="220">
        <f>SUMIFS(LstMachines[Nbre],LstMachines[Model-Spec],PrévisionBoris[[#This Row],[Spec]],LstMachines[Status],PrévisionBoris[[#This Row],[Status]],LstMachines[MoisLivr],U$1)</f>
        <v>0</v>
      </c>
      <c r="V129" s="220">
        <f>SUMIFS(LstMachines[Nbre],LstMachines[Model-Spec],PrévisionBoris[[#This Row],[Spec]],LstMachines[Status],PrévisionBoris[[#This Row],[Status]],LstMachines[MoisLivr],V$1)</f>
        <v>0</v>
      </c>
      <c r="W129" s="219">
        <f>SUMIFS(LstMachines[Nbre],LstMachines[Model-Spec],PrévisionBoris[[#This Row],[Spec]],LstMachines[Status],PrévisionBoris[[#This Row],[Status]],LstMachines[MoisLivr],W$1)</f>
        <v>0</v>
      </c>
      <c r="X129" s="220">
        <f>SUMIFS(LstMachines[Nbre],LstMachines[Model-Spec],PrévisionBoris[[#This Row],[Spec]],LstMachines[Status],PrévisionBoris[[#This Row],[Status]],LstMachines[MoisLivr],X$1)</f>
        <v>0</v>
      </c>
      <c r="Y129" s="220">
        <f>SUMIFS(LstMachines[Nbre],LstMachines[Model-Spec],PrévisionBoris[[#This Row],[Spec]],LstMachines[Status],PrévisionBoris[[#This Row],[Status]],LstMachines[MoisLivr],Y$1)</f>
        <v>0</v>
      </c>
      <c r="Z129" s="219">
        <f>SUMIFS(LstMachines[Nbre],LstMachines[Model-Spec],PrévisionBoris[[#This Row],[Spec]],LstMachines[Status],PrévisionBoris[[#This Row],[Status]],LstMachines[MoisLivr],Z$1)</f>
        <v>0</v>
      </c>
      <c r="AA129" s="220">
        <f>SUMIFS(LstMachines[Nbre],LstMachines[Model-Spec],PrévisionBoris[[#This Row],[Spec]],LstMachines[Status],PrévisionBoris[[#This Row],[Status]],LstMachines[MoisLivr],AA$1)</f>
        <v>0</v>
      </c>
      <c r="AB129" s="220">
        <f>SUMIFS(LstMachines[Nbre],LstMachines[Model-Spec],PrévisionBoris[[#This Row],[Spec]],LstMachines[Status],PrévisionBoris[[#This Row],[Status]],LstMachines[MoisLivr],AB$1)</f>
        <v>0</v>
      </c>
      <c r="AC129" s="219">
        <f>SUMIFS(LstMachines[Nbre],LstMachines[Model-Spec],PrévisionBoris[[#This Row],[Spec]],LstMachines[Status],PrévisionBoris[[#This Row],[Status]],LstMachines[MoisLivr],AC$1)</f>
        <v>0</v>
      </c>
      <c r="AD129" s="220">
        <f>SUMIFS(LstMachines[Nbre],LstMachines[Model-Spec],PrévisionBoris[[#This Row],[Spec]],LstMachines[Status],PrévisionBoris[[#This Row],[Status]],LstMachines[MoisLivr],AD$1)</f>
        <v>0</v>
      </c>
      <c r="AE129" s="220">
        <f>SUMIFS(LstMachines[Nbre],LstMachines[Model-Spec],PrévisionBoris[[#This Row],[Spec]],LstMachines[Status],PrévisionBoris[[#This Row],[Status]],LstMachines[MoisLivr],AE$1)</f>
        <v>0</v>
      </c>
      <c r="AF129" s="219">
        <f>SUMIFS(LstMachines[Nbre],LstMachines[Model-Spec],PrévisionBoris[[#This Row],[Spec]],LstMachines[Status],PrévisionBoris[[#This Row],[Status]],LstMachines[MoisLivr],AF$1)</f>
        <v>0</v>
      </c>
      <c r="AG129" s="220">
        <f>SUMIFS(LstMachines[Nbre],LstMachines[Model-Spec],PrévisionBoris[[#This Row],[Spec]],LstMachines[Status],PrévisionBoris[[#This Row],[Status]],LstMachines[MoisLivr],AG$1)</f>
        <v>0</v>
      </c>
      <c r="AH129" s="220">
        <f>SUMIFS(LstMachines[Nbre],LstMachines[Model-Spec],PrévisionBoris[[#This Row],[Spec]],LstMachines[Status],PrévisionBoris[[#This Row],[Status]],LstMachines[MoisLivr],AH$1)</f>
        <v>0</v>
      </c>
      <c r="AI129" s="219">
        <f>SUMIFS(LstMachines[Nbre],LstMachines[Model-Spec],PrévisionBoris[[#This Row],[Spec]],LstMachines[Status],PrévisionBoris[[#This Row],[Status]],LstMachines[MoisLivr],AI$1)</f>
        <v>0</v>
      </c>
      <c r="AJ129" s="220">
        <f>SUMIFS(LstMachines[Nbre],LstMachines[Model-Spec],PrévisionBoris[[#This Row],[Spec]],LstMachines[Status],PrévisionBoris[[#This Row],[Status]],LstMachines[MoisLivr],AJ$1)</f>
        <v>0</v>
      </c>
      <c r="AK129" s="220">
        <f>SUMIFS(LstMachines[Nbre],LstMachines[Model-Spec],PrévisionBoris[[#This Row],[Spec]],LstMachines[Status],PrévisionBoris[[#This Row],[Status]],LstMachines[MoisLivr],AK$1)</f>
        <v>0</v>
      </c>
      <c r="AL129" s="219">
        <f>SUMIFS(LstMachines[Nbre],LstMachines[Model-Spec],PrévisionBoris[[#This Row],[Spec]],LstMachines[Status],PrévisionBoris[[#This Row],[Status]],LstMachines[MoisLivr],AL$1)</f>
        <v>0</v>
      </c>
      <c r="AM129" s="220">
        <f>SUMIFS(LstMachines[Nbre],LstMachines[Model-Spec],PrévisionBoris[[#This Row],[Spec]],LstMachines[Status],PrévisionBoris[[#This Row],[Status]],LstMachines[MoisLivr],AM$1)</f>
        <v>0</v>
      </c>
      <c r="AN129" s="220">
        <f>SUMIFS(LstMachines[Nbre],LstMachines[Model-Spec],PrévisionBoris[[#This Row],[Spec]],LstMachines[Status],PrévisionBoris[[#This Row],[Status]],LstMachines[MoisLivr],AN$1)</f>
        <v>0</v>
      </c>
      <c r="AO129" s="219">
        <f>SUMIFS(LstMachines[Nbre],LstMachines[Model-Spec],PrévisionBoris[[#This Row],[Spec]],LstMachines[Status],PrévisionBoris[[#This Row],[Status]],LstMachines[MoisLivr],AO$1)</f>
        <v>0</v>
      </c>
      <c r="AP129" s="220">
        <f>SUMIFS(LstMachines[Nbre],LstMachines[Model-Spec],PrévisionBoris[[#This Row],[Spec]],LstMachines[Status],PrévisionBoris[[#This Row],[Status]],LstMachines[MoisLivr],AP$1)</f>
        <v>0</v>
      </c>
      <c r="AQ129" s="220">
        <f>SUMIFS(LstMachines[Nbre],LstMachines[Model-Spec],PrévisionBoris[[#This Row],[Spec]],LstMachines[Status],PrévisionBoris[[#This Row],[Status]],LstMachines[MoisLivr],AQ$1)</f>
        <v>0</v>
      </c>
      <c r="AR129" s="219">
        <f>SUMIFS(LstMachines[Nbre],LstMachines[Model-Spec],PrévisionBoris[[#This Row],[Spec]],LstMachines[Status],PrévisionBoris[[#This Row],[Status]],LstMachines[MoisLivr],AR$1)</f>
        <v>0</v>
      </c>
      <c r="AS129" s="220">
        <f>SUMIFS(LstMachines[Nbre],LstMachines[Model-Spec],PrévisionBoris[[#This Row],[Spec]],LstMachines[Status],PrévisionBoris[[#This Row],[Status]],LstMachines[MoisLivr],AS$1)</f>
        <v>0</v>
      </c>
      <c r="AT129" s="220">
        <f>SUMIFS(LstMachines[Nbre],LstMachines[Model-Spec],PrévisionBoris[[#This Row],[Spec]],LstMachines[Status],PrévisionBoris[[#This Row],[Status]],LstMachines[MoisLivr],AT$1)</f>
        <v>0</v>
      </c>
      <c r="AU129" s="219">
        <f>SUMIFS(LstMachines[Nbre],LstMachines[Model-Spec],PrévisionBoris[[#This Row],[Spec]],LstMachines[Status],PrévisionBoris[[#This Row],[Status]],LstMachines[MoisLivr],AU$1)</f>
        <v>0</v>
      </c>
      <c r="AV129" s="223">
        <f>SUMIFS(LstMachines[Nbre],LstMachines[Model-Spec],PrévisionBoris[[#This Row],[Spec]],LstMachines[Status],PrévisionBoris[[#This Row],[Status]],LstMachines[MoisLivr],AV$1)</f>
        <v>0</v>
      </c>
      <c r="AW129" s="224">
        <f>SUMIFS(LstMachines[Nbre],LstMachines[Model-Spec],PrévisionBoris[[#This Row],[Spec]],LstMachines[Status],PrévisionBoris[[#This Row],[Status]],LstMachines[MoisLivr],AW$1)</f>
        <v>0</v>
      </c>
      <c r="AX129" s="210"/>
      <c r="AY129" s="211">
        <f t="shared" si="19"/>
        <v>0</v>
      </c>
      <c r="AZ129" s="212">
        <f t="shared" si="20"/>
        <v>0</v>
      </c>
      <c r="BA129" s="212">
        <f t="shared" si="21"/>
        <v>0</v>
      </c>
      <c r="BB129" s="213">
        <f t="shared" si="22"/>
        <v>0</v>
      </c>
      <c r="BC129" s="225">
        <f t="shared" si="23"/>
        <v>0</v>
      </c>
      <c r="BD129" s="211">
        <f t="shared" si="24"/>
        <v>0</v>
      </c>
      <c r="BE129" s="212">
        <f t="shared" si="25"/>
        <v>0</v>
      </c>
      <c r="BF129" s="212">
        <f t="shared" si="26"/>
        <v>0</v>
      </c>
      <c r="BG129" s="213">
        <f t="shared" si="27"/>
        <v>0</v>
      </c>
      <c r="BH129" s="225">
        <f t="shared" si="28"/>
        <v>0</v>
      </c>
      <c r="BI129" s="214">
        <f t="shared" si="29"/>
        <v>0</v>
      </c>
      <c r="BJ129" s="215">
        <f t="shared" si="30"/>
        <v>0</v>
      </c>
      <c r="BK129" s="215">
        <f t="shared" si="31"/>
        <v>0</v>
      </c>
      <c r="BL129" s="216">
        <f t="shared" si="32"/>
        <v>0</v>
      </c>
      <c r="BM129" s="225">
        <f t="shared" si="33"/>
        <v>0</v>
      </c>
      <c r="BN129" s="225"/>
      <c r="BO129" s="217"/>
      <c r="BP129" s="218">
        <f t="shared" si="34"/>
        <v>0</v>
      </c>
    </row>
    <row r="130" spans="1:68">
      <c r="A130" s="171">
        <v>123</v>
      </c>
      <c r="B130" s="171" t="s">
        <v>75</v>
      </c>
      <c r="C130" s="201">
        <v>38</v>
      </c>
      <c r="D130" s="171" t="s">
        <v>188</v>
      </c>
      <c r="E130" s="171" t="s">
        <v>416</v>
      </c>
      <c r="F130" s="201">
        <f>VLOOKUP(PrévisionBoris[[#This Row],[Spec]],TabModelSpecs[[ModelSpec]:[Price]],2,FALSE)</f>
        <v>38</v>
      </c>
      <c r="G130" s="171" t="s">
        <v>463</v>
      </c>
      <c r="H130" s="226">
        <f>SUMIFS(LstMachines[Nbre],LstMachines[Model-Spec],PrévisionBoris[[#This Row],[Spec]],LstMachines[Status],PrévisionBoris[[#This Row],[Status]],LstMachines[MoisLivr],H$1)</f>
        <v>0</v>
      </c>
      <c r="I130" s="227">
        <f>SUMIFS(LstMachines[Nbre],LstMachines[Model-Spec],PrévisionBoris[[#This Row],[Spec]],LstMachines[Status],PrévisionBoris[[#This Row],[Status]],LstMachines[MoisLivr],I$1)</f>
        <v>0</v>
      </c>
      <c r="J130" s="228">
        <f>SUMIFS(LstMachines[Nbre],LstMachines[Model-Spec],PrévisionBoris[[#This Row],[Spec]],LstMachines[Status],PrévisionBoris[[#This Row],[Status]],LstMachines[MoisLivr],J$1)</f>
        <v>0</v>
      </c>
      <c r="K130" s="226">
        <f>SUMIFS(LstMachines[Nbre],LstMachines[Model-Spec],PrévisionBoris[[#This Row],[Spec]],LstMachines[Status],PrévisionBoris[[#This Row],[Status]],LstMachines[MoisLivr],K$1)</f>
        <v>0</v>
      </c>
      <c r="L130" s="227">
        <f>SUMIFS(LstMachines[Nbre],LstMachines[Model-Spec],PrévisionBoris[[#This Row],[Spec]],LstMachines[Status],PrévisionBoris[[#This Row],[Status]],LstMachines[MoisLivr],L$1)</f>
        <v>0</v>
      </c>
      <c r="M130" s="228">
        <f>SUMIFS(LstMachines[Nbre],LstMachines[Model-Spec],PrévisionBoris[[#This Row],[Spec]],LstMachines[Status],PrévisionBoris[[#This Row],[Status]],LstMachines[MoisLivr],M$1)</f>
        <v>0</v>
      </c>
      <c r="N130" s="226">
        <f>SUMIFS(LstMachines[Nbre],LstMachines[Model-Spec],PrévisionBoris[[#This Row],[Spec]],LstMachines[Status],PrévisionBoris[[#This Row],[Status]],LstMachines[MoisLivr],N$1)</f>
        <v>0</v>
      </c>
      <c r="O130" s="227">
        <f>SUMIFS(LstMachines[Nbre],LstMachines[Model-Spec],PrévisionBoris[[#This Row],[Spec]],LstMachines[Status],PrévisionBoris[[#This Row],[Status]],LstMachines[MoisLivr],O$1)</f>
        <v>0</v>
      </c>
      <c r="P130" s="228">
        <f>SUMIFS(LstMachines[Nbre],LstMachines[Model-Spec],PrévisionBoris[[#This Row],[Spec]],LstMachines[Status],PrévisionBoris[[#This Row],[Status]],LstMachines[MoisLivr],P$1)</f>
        <v>0</v>
      </c>
      <c r="Q130" s="229">
        <f>SUMIFS(LstMachines[Nbre],LstMachines[Model-Spec],PrévisionBoris[[#This Row],[Spec]],LstMachines[Status],PrévisionBoris[[#This Row],[Status]],LstMachines[MoisLivr],Q$1)</f>
        <v>0</v>
      </c>
      <c r="R130" s="227">
        <f>SUMIFS(LstMachines[Nbre],LstMachines[Model-Spec],PrévisionBoris[[#This Row],[Spec]],LstMachines[Status],PrévisionBoris[[#This Row],[Status]],LstMachines[MoisLivr],R$1)</f>
        <v>0</v>
      </c>
      <c r="S130" s="227">
        <f>SUMIFS(LstMachines[Nbre],LstMachines[Model-Spec],PrévisionBoris[[#This Row],[Spec]],LstMachines[Status],PrévisionBoris[[#This Row],[Status]],LstMachines[MoisLivr],S$1)</f>
        <v>0</v>
      </c>
      <c r="T130" s="226">
        <f>SUMIFS(LstMachines[Nbre],LstMachines[Model-Spec],PrévisionBoris[[#This Row],[Spec]],LstMachines[Status],PrévisionBoris[[#This Row],[Status]],LstMachines[MoisLivr],T$1)</f>
        <v>0</v>
      </c>
      <c r="U130" s="227">
        <f>SUMIFS(LstMachines[Nbre],LstMachines[Model-Spec],PrévisionBoris[[#This Row],[Spec]],LstMachines[Status],PrévisionBoris[[#This Row],[Status]],LstMachines[MoisLivr],U$1)</f>
        <v>0</v>
      </c>
      <c r="V130" s="227">
        <f>SUMIFS(LstMachines[Nbre],LstMachines[Model-Spec],PrévisionBoris[[#This Row],[Spec]],LstMachines[Status],PrévisionBoris[[#This Row],[Status]],LstMachines[MoisLivr],V$1)</f>
        <v>0</v>
      </c>
      <c r="W130" s="226">
        <f>SUMIFS(LstMachines[Nbre],LstMachines[Model-Spec],PrévisionBoris[[#This Row],[Spec]],LstMachines[Status],PrévisionBoris[[#This Row],[Status]],LstMachines[MoisLivr],W$1)</f>
        <v>0</v>
      </c>
      <c r="X130" s="227">
        <f>SUMIFS(LstMachines[Nbre],LstMachines[Model-Spec],PrévisionBoris[[#This Row],[Spec]],LstMachines[Status],PrévisionBoris[[#This Row],[Status]],LstMachines[MoisLivr],X$1)</f>
        <v>0</v>
      </c>
      <c r="Y130" s="227">
        <f>SUMIFS(LstMachines[Nbre],LstMachines[Model-Spec],PrévisionBoris[[#This Row],[Spec]],LstMachines[Status],PrévisionBoris[[#This Row],[Status]],LstMachines[MoisLivr],Y$1)</f>
        <v>0</v>
      </c>
      <c r="Z130" s="226">
        <f>SUMIFS(LstMachines[Nbre],LstMachines[Model-Spec],PrévisionBoris[[#This Row],[Spec]],LstMachines[Status],PrévisionBoris[[#This Row],[Status]],LstMachines[MoisLivr],Z$1)</f>
        <v>0</v>
      </c>
      <c r="AA130" s="227">
        <f>SUMIFS(LstMachines[Nbre],LstMachines[Model-Spec],PrévisionBoris[[#This Row],[Spec]],LstMachines[Status],PrévisionBoris[[#This Row],[Status]],LstMachines[MoisLivr],AA$1)</f>
        <v>0</v>
      </c>
      <c r="AB130" s="227">
        <f>SUMIFS(LstMachines[Nbre],LstMachines[Model-Spec],PrévisionBoris[[#This Row],[Spec]],LstMachines[Status],PrévisionBoris[[#This Row],[Status]],LstMachines[MoisLivr],AB$1)</f>
        <v>0</v>
      </c>
      <c r="AC130" s="226">
        <f>SUMIFS(LstMachines[Nbre],LstMachines[Model-Spec],PrévisionBoris[[#This Row],[Spec]],LstMachines[Status],PrévisionBoris[[#This Row],[Status]],LstMachines[MoisLivr],AC$1)</f>
        <v>0</v>
      </c>
      <c r="AD130" s="227">
        <f>SUMIFS(LstMachines[Nbre],LstMachines[Model-Spec],PrévisionBoris[[#This Row],[Spec]],LstMachines[Status],PrévisionBoris[[#This Row],[Status]],LstMachines[MoisLivr],AD$1)</f>
        <v>0</v>
      </c>
      <c r="AE130" s="227">
        <f>SUMIFS(LstMachines[Nbre],LstMachines[Model-Spec],PrévisionBoris[[#This Row],[Spec]],LstMachines[Status],PrévisionBoris[[#This Row],[Status]],LstMachines[MoisLivr],AE$1)</f>
        <v>0</v>
      </c>
      <c r="AF130" s="226">
        <f>SUMIFS(LstMachines[Nbre],LstMachines[Model-Spec],PrévisionBoris[[#This Row],[Spec]],LstMachines[Status],PrévisionBoris[[#This Row],[Status]],LstMachines[MoisLivr],AF$1)</f>
        <v>0</v>
      </c>
      <c r="AG130" s="227">
        <f>SUMIFS(LstMachines[Nbre],LstMachines[Model-Spec],PrévisionBoris[[#This Row],[Spec]],LstMachines[Status],PrévisionBoris[[#This Row],[Status]],LstMachines[MoisLivr],AG$1)</f>
        <v>0</v>
      </c>
      <c r="AH130" s="227">
        <f>SUMIFS(LstMachines[Nbre],LstMachines[Model-Spec],PrévisionBoris[[#This Row],[Spec]],LstMachines[Status],PrévisionBoris[[#This Row],[Status]],LstMachines[MoisLivr],AH$1)</f>
        <v>0</v>
      </c>
      <c r="AI130" s="226">
        <f>SUMIFS(LstMachines[Nbre],LstMachines[Model-Spec],PrévisionBoris[[#This Row],[Spec]],LstMachines[Status],PrévisionBoris[[#This Row],[Status]],LstMachines[MoisLivr],AI$1)</f>
        <v>0</v>
      </c>
      <c r="AJ130" s="227">
        <f>SUMIFS(LstMachines[Nbre],LstMachines[Model-Spec],PrévisionBoris[[#This Row],[Spec]],LstMachines[Status],PrévisionBoris[[#This Row],[Status]],LstMachines[MoisLivr],AJ$1)</f>
        <v>0</v>
      </c>
      <c r="AK130" s="227">
        <f>SUMIFS(LstMachines[Nbre],LstMachines[Model-Spec],PrévisionBoris[[#This Row],[Spec]],LstMachines[Status],PrévisionBoris[[#This Row],[Status]],LstMachines[MoisLivr],AK$1)</f>
        <v>0</v>
      </c>
      <c r="AL130" s="226">
        <f>SUMIFS(LstMachines[Nbre],LstMachines[Model-Spec],PrévisionBoris[[#This Row],[Spec]],LstMachines[Status],PrévisionBoris[[#This Row],[Status]],LstMachines[MoisLivr],AL$1)</f>
        <v>0</v>
      </c>
      <c r="AM130" s="227">
        <f>SUMIFS(LstMachines[Nbre],LstMachines[Model-Spec],PrévisionBoris[[#This Row],[Spec]],LstMachines[Status],PrévisionBoris[[#This Row],[Status]],LstMachines[MoisLivr],AM$1)</f>
        <v>0</v>
      </c>
      <c r="AN130" s="227">
        <f>SUMIFS(LstMachines[Nbre],LstMachines[Model-Spec],PrévisionBoris[[#This Row],[Spec]],LstMachines[Status],PrévisionBoris[[#This Row],[Status]],LstMachines[MoisLivr],AN$1)</f>
        <v>0</v>
      </c>
      <c r="AO130" s="226">
        <f>SUMIFS(LstMachines[Nbre],LstMachines[Model-Spec],PrévisionBoris[[#This Row],[Spec]],LstMachines[Status],PrévisionBoris[[#This Row],[Status]],LstMachines[MoisLivr],AO$1)</f>
        <v>0</v>
      </c>
      <c r="AP130" s="227">
        <f>SUMIFS(LstMachines[Nbre],LstMachines[Model-Spec],PrévisionBoris[[#This Row],[Spec]],LstMachines[Status],PrévisionBoris[[#This Row],[Status]],LstMachines[MoisLivr],AP$1)</f>
        <v>0</v>
      </c>
      <c r="AQ130" s="227">
        <f>SUMIFS(LstMachines[Nbre],LstMachines[Model-Spec],PrévisionBoris[[#This Row],[Spec]],LstMachines[Status],PrévisionBoris[[#This Row],[Status]],LstMachines[MoisLivr],AQ$1)</f>
        <v>0</v>
      </c>
      <c r="AR130" s="226">
        <f>SUMIFS(LstMachines[Nbre],LstMachines[Model-Spec],PrévisionBoris[[#This Row],[Spec]],LstMachines[Status],PrévisionBoris[[#This Row],[Status]],LstMachines[MoisLivr],AR$1)</f>
        <v>0</v>
      </c>
      <c r="AS130" s="227">
        <f>SUMIFS(LstMachines[Nbre],LstMachines[Model-Spec],PrévisionBoris[[#This Row],[Spec]],LstMachines[Status],PrévisionBoris[[#This Row],[Status]],LstMachines[MoisLivr],AS$1)</f>
        <v>0</v>
      </c>
      <c r="AT130" s="227">
        <f>SUMIFS(LstMachines[Nbre],LstMachines[Model-Spec],PrévisionBoris[[#This Row],[Spec]],LstMachines[Status],PrévisionBoris[[#This Row],[Status]],LstMachines[MoisLivr],AT$1)</f>
        <v>0</v>
      </c>
      <c r="AU130" s="226">
        <f>SUMIFS(LstMachines[Nbre],LstMachines[Model-Spec],PrévisionBoris[[#This Row],[Spec]],LstMachines[Status],PrévisionBoris[[#This Row],[Status]],LstMachines[MoisLivr],AU$1)</f>
        <v>0</v>
      </c>
      <c r="AV130" s="230">
        <f>SUMIFS(LstMachines[Nbre],LstMachines[Model-Spec],PrévisionBoris[[#This Row],[Spec]],LstMachines[Status],PrévisionBoris[[#This Row],[Status]],LstMachines[MoisLivr],AV$1)</f>
        <v>0</v>
      </c>
      <c r="AW130" s="231">
        <f>SUMIFS(LstMachines[Nbre],LstMachines[Model-Spec],PrévisionBoris[[#This Row],[Spec]],LstMachines[Status],PrévisionBoris[[#This Row],[Status]],LstMachines[MoisLivr],AW$1)</f>
        <v>0</v>
      </c>
      <c r="AX130" s="232"/>
      <c r="AY130" s="211">
        <f t="shared" si="19"/>
        <v>0</v>
      </c>
      <c r="AZ130" s="212">
        <f t="shared" si="20"/>
        <v>0</v>
      </c>
      <c r="BA130" s="212">
        <f t="shared" si="21"/>
        <v>0</v>
      </c>
      <c r="BB130" s="213">
        <f t="shared" si="22"/>
        <v>0</v>
      </c>
      <c r="BC130" s="225">
        <f t="shared" si="23"/>
        <v>0</v>
      </c>
      <c r="BD130" s="211">
        <f t="shared" si="24"/>
        <v>0</v>
      </c>
      <c r="BE130" s="212">
        <f t="shared" si="25"/>
        <v>0</v>
      </c>
      <c r="BF130" s="212">
        <f t="shared" si="26"/>
        <v>0</v>
      </c>
      <c r="BG130" s="213">
        <f t="shared" si="27"/>
        <v>0</v>
      </c>
      <c r="BH130" s="225">
        <f t="shared" si="28"/>
        <v>0</v>
      </c>
      <c r="BI130" s="214">
        <f t="shared" si="29"/>
        <v>0</v>
      </c>
      <c r="BJ130" s="215">
        <f t="shared" si="30"/>
        <v>0</v>
      </c>
      <c r="BK130" s="215">
        <f t="shared" si="31"/>
        <v>0</v>
      </c>
      <c r="BL130" s="216">
        <f t="shared" si="32"/>
        <v>0</v>
      </c>
      <c r="BM130" s="225">
        <f t="shared" si="33"/>
        <v>0</v>
      </c>
      <c r="BN130" s="225"/>
      <c r="BO130" s="217"/>
      <c r="BP130" s="218">
        <f t="shared" si="34"/>
        <v>0</v>
      </c>
    </row>
    <row r="131" spans="1:68">
      <c r="A131" s="172">
        <v>124</v>
      </c>
      <c r="B131" s="172" t="s">
        <v>75</v>
      </c>
      <c r="C131" s="202">
        <v>38</v>
      </c>
      <c r="D131" s="172" t="s">
        <v>188</v>
      </c>
      <c r="E131" s="172" t="s">
        <v>417</v>
      </c>
      <c r="F131" s="202">
        <f>VLOOKUP(PrévisionBoris[[#This Row],[Spec]],TabModelSpecs[[ModelSpec]:[Price]],2,FALSE)</f>
        <v>38</v>
      </c>
      <c r="G131" s="172" t="s">
        <v>461</v>
      </c>
      <c r="H131" s="206">
        <f>SUMIFS(LstMachines[Nbre],LstMachines[Model-Spec],PrévisionBoris[[#This Row],[Spec]],LstMachines[Status],PrévisionBoris[[#This Row],[Status]],LstMachines[MoisLivr],H$1)</f>
        <v>0</v>
      </c>
      <c r="I131" s="207">
        <f>SUMIFS(LstMachines[Nbre],LstMachines[Model-Spec],PrévisionBoris[[#This Row],[Spec]],LstMachines[Status],PrévisionBoris[[#This Row],[Status]],LstMachines[MoisLivr],I$1)</f>
        <v>0</v>
      </c>
      <c r="J131" s="208">
        <f>SUMIFS(LstMachines[Nbre],LstMachines[Model-Spec],PrévisionBoris[[#This Row],[Spec]],LstMachines[Status],PrévisionBoris[[#This Row],[Status]],LstMachines[MoisLivr],J$1)</f>
        <v>0</v>
      </c>
      <c r="K131" s="206">
        <f>SUMIFS(LstMachines[Nbre],LstMachines[Model-Spec],PrévisionBoris[[#This Row],[Spec]],LstMachines[Status],PrévisionBoris[[#This Row],[Status]],LstMachines[MoisLivr],K$1)</f>
        <v>0</v>
      </c>
      <c r="L131" s="207">
        <f>SUMIFS(LstMachines[Nbre],LstMachines[Model-Spec],PrévisionBoris[[#This Row],[Spec]],LstMachines[Status],PrévisionBoris[[#This Row],[Status]],LstMachines[MoisLivr],L$1)</f>
        <v>0</v>
      </c>
      <c r="M131" s="208">
        <f>SUMIFS(LstMachines[Nbre],LstMachines[Model-Spec],PrévisionBoris[[#This Row],[Spec]],LstMachines[Status],PrévisionBoris[[#This Row],[Status]],LstMachines[MoisLivr],M$1)</f>
        <v>0</v>
      </c>
      <c r="N131" s="206">
        <f>SUMIFS(LstMachines[Nbre],LstMachines[Model-Spec],PrévisionBoris[[#This Row],[Spec]],LstMachines[Status],PrévisionBoris[[#This Row],[Status]],LstMachines[MoisLivr],N$1)</f>
        <v>0</v>
      </c>
      <c r="O131" s="207">
        <f>SUMIFS(LstMachines[Nbre],LstMachines[Model-Spec],PrévisionBoris[[#This Row],[Spec]],LstMachines[Status],PrévisionBoris[[#This Row],[Status]],LstMachines[MoisLivr],O$1)</f>
        <v>0</v>
      </c>
      <c r="P131" s="208">
        <f>SUMIFS(LstMachines[Nbre],LstMachines[Model-Spec],PrévisionBoris[[#This Row],[Spec]],LstMachines[Status],PrévisionBoris[[#This Row],[Status]],LstMachines[MoisLivr],P$1)</f>
        <v>0</v>
      </c>
      <c r="Q131" s="209">
        <f>SUMIFS(LstMachines[Nbre],LstMachines[Model-Spec],PrévisionBoris[[#This Row],[Spec]],LstMachines[Status],PrévisionBoris[[#This Row],[Status]],LstMachines[MoisLivr],Q$1)</f>
        <v>0</v>
      </c>
      <c r="R131" s="207">
        <f>SUMIFS(LstMachines[Nbre],LstMachines[Model-Spec],PrévisionBoris[[#This Row],[Spec]],LstMachines[Status],PrévisionBoris[[#This Row],[Status]],LstMachines[MoisLivr],R$1)</f>
        <v>0</v>
      </c>
      <c r="S131" s="207">
        <f>SUMIFS(LstMachines[Nbre],LstMachines[Model-Spec],PrévisionBoris[[#This Row],[Spec]],LstMachines[Status],PrévisionBoris[[#This Row],[Status]],LstMachines[MoisLivr],S$1)</f>
        <v>0</v>
      </c>
      <c r="T131" s="206">
        <f>SUMIFS(LstMachines[Nbre],LstMachines[Model-Spec],PrévisionBoris[[#This Row],[Spec]],LstMachines[Status],PrévisionBoris[[#This Row],[Status]],LstMachines[MoisLivr],T$1)</f>
        <v>0</v>
      </c>
      <c r="U131" s="207">
        <f>SUMIFS(LstMachines[Nbre],LstMachines[Model-Spec],PrévisionBoris[[#This Row],[Spec]],LstMachines[Status],PrévisionBoris[[#This Row],[Status]],LstMachines[MoisLivr],U$1)</f>
        <v>0</v>
      </c>
      <c r="V131" s="207">
        <f>SUMIFS(LstMachines[Nbre],LstMachines[Model-Spec],PrévisionBoris[[#This Row],[Spec]],LstMachines[Status],PrévisionBoris[[#This Row],[Status]],LstMachines[MoisLivr],V$1)</f>
        <v>0</v>
      </c>
      <c r="W131" s="206">
        <f>SUMIFS(LstMachines[Nbre],LstMachines[Model-Spec],PrévisionBoris[[#This Row],[Spec]],LstMachines[Status],PrévisionBoris[[#This Row],[Status]],LstMachines[MoisLivr],W$1)</f>
        <v>0</v>
      </c>
      <c r="X131" s="207">
        <f>SUMIFS(LstMachines[Nbre],LstMachines[Model-Spec],PrévisionBoris[[#This Row],[Spec]],LstMachines[Status],PrévisionBoris[[#This Row],[Status]],LstMachines[MoisLivr],X$1)</f>
        <v>0</v>
      </c>
      <c r="Y131" s="207">
        <f>SUMIFS(LstMachines[Nbre],LstMachines[Model-Spec],PrévisionBoris[[#This Row],[Spec]],LstMachines[Status],PrévisionBoris[[#This Row],[Status]],LstMachines[MoisLivr],Y$1)</f>
        <v>0</v>
      </c>
      <c r="Z131" s="206">
        <f>SUMIFS(LstMachines[Nbre],LstMachines[Model-Spec],PrévisionBoris[[#This Row],[Spec]],LstMachines[Status],PrévisionBoris[[#This Row],[Status]],LstMachines[MoisLivr],Z$1)</f>
        <v>0</v>
      </c>
      <c r="AA131" s="207">
        <f>SUMIFS(LstMachines[Nbre],LstMachines[Model-Spec],PrévisionBoris[[#This Row],[Spec]],LstMachines[Status],PrévisionBoris[[#This Row],[Status]],LstMachines[MoisLivr],AA$1)</f>
        <v>0</v>
      </c>
      <c r="AB131" s="207">
        <f>SUMIFS(LstMachines[Nbre],LstMachines[Model-Spec],PrévisionBoris[[#This Row],[Spec]],LstMachines[Status],PrévisionBoris[[#This Row],[Status]],LstMachines[MoisLivr],AB$1)</f>
        <v>0</v>
      </c>
      <c r="AC131" s="206">
        <f>SUMIFS(LstMachines[Nbre],LstMachines[Model-Spec],PrévisionBoris[[#This Row],[Spec]],LstMachines[Status],PrévisionBoris[[#This Row],[Status]],LstMachines[MoisLivr],AC$1)</f>
        <v>0</v>
      </c>
      <c r="AD131" s="207">
        <f>SUMIFS(LstMachines[Nbre],LstMachines[Model-Spec],PrévisionBoris[[#This Row],[Spec]],LstMachines[Status],PrévisionBoris[[#This Row],[Status]],LstMachines[MoisLivr],AD$1)</f>
        <v>0</v>
      </c>
      <c r="AE131" s="207">
        <f>SUMIFS(LstMachines[Nbre],LstMachines[Model-Spec],PrévisionBoris[[#This Row],[Spec]],LstMachines[Status],PrévisionBoris[[#This Row],[Status]],LstMachines[MoisLivr],AE$1)</f>
        <v>0</v>
      </c>
      <c r="AF131" s="206">
        <f>SUMIFS(LstMachines[Nbre],LstMachines[Model-Spec],PrévisionBoris[[#This Row],[Spec]],LstMachines[Status],PrévisionBoris[[#This Row],[Status]],LstMachines[MoisLivr],AF$1)</f>
        <v>0</v>
      </c>
      <c r="AG131" s="207">
        <f>SUMIFS(LstMachines[Nbre],LstMachines[Model-Spec],PrévisionBoris[[#This Row],[Spec]],LstMachines[Status],PrévisionBoris[[#This Row],[Status]],LstMachines[MoisLivr],AG$1)</f>
        <v>0</v>
      </c>
      <c r="AH131" s="207">
        <f>SUMIFS(LstMachines[Nbre],LstMachines[Model-Spec],PrévisionBoris[[#This Row],[Spec]],LstMachines[Status],PrévisionBoris[[#This Row],[Status]],LstMachines[MoisLivr],AH$1)</f>
        <v>0</v>
      </c>
      <c r="AI131" s="206">
        <f>SUMIFS(LstMachines[Nbre],LstMachines[Model-Spec],PrévisionBoris[[#This Row],[Spec]],LstMachines[Status],PrévisionBoris[[#This Row],[Status]],LstMachines[MoisLivr],AI$1)</f>
        <v>0</v>
      </c>
      <c r="AJ131" s="207">
        <f>SUMIFS(LstMachines[Nbre],LstMachines[Model-Spec],PrévisionBoris[[#This Row],[Spec]],LstMachines[Status],PrévisionBoris[[#This Row],[Status]],LstMachines[MoisLivr],AJ$1)</f>
        <v>0</v>
      </c>
      <c r="AK131" s="207">
        <f>SUMIFS(LstMachines[Nbre],LstMachines[Model-Spec],PrévisionBoris[[#This Row],[Spec]],LstMachines[Status],PrévisionBoris[[#This Row],[Status]],LstMachines[MoisLivr],AK$1)</f>
        <v>0</v>
      </c>
      <c r="AL131" s="206">
        <f>SUMIFS(LstMachines[Nbre],LstMachines[Model-Spec],PrévisionBoris[[#This Row],[Spec]],LstMachines[Status],PrévisionBoris[[#This Row],[Status]],LstMachines[MoisLivr],AL$1)</f>
        <v>0</v>
      </c>
      <c r="AM131" s="207">
        <f>SUMIFS(LstMachines[Nbre],LstMachines[Model-Spec],PrévisionBoris[[#This Row],[Spec]],LstMachines[Status],PrévisionBoris[[#This Row],[Status]],LstMachines[MoisLivr],AM$1)</f>
        <v>0</v>
      </c>
      <c r="AN131" s="207">
        <f>SUMIFS(LstMachines[Nbre],LstMachines[Model-Spec],PrévisionBoris[[#This Row],[Spec]],LstMachines[Status],PrévisionBoris[[#This Row],[Status]],LstMachines[MoisLivr],AN$1)</f>
        <v>0</v>
      </c>
      <c r="AO131" s="206">
        <f>SUMIFS(LstMachines[Nbre],LstMachines[Model-Spec],PrévisionBoris[[#This Row],[Spec]],LstMachines[Status],PrévisionBoris[[#This Row],[Status]],LstMachines[MoisLivr],AO$1)</f>
        <v>0</v>
      </c>
      <c r="AP131" s="207">
        <f>SUMIFS(LstMachines[Nbre],LstMachines[Model-Spec],PrévisionBoris[[#This Row],[Spec]],LstMachines[Status],PrévisionBoris[[#This Row],[Status]],LstMachines[MoisLivr],AP$1)</f>
        <v>0</v>
      </c>
      <c r="AQ131" s="207">
        <f>SUMIFS(LstMachines[Nbre],LstMachines[Model-Spec],PrévisionBoris[[#This Row],[Spec]],LstMachines[Status],PrévisionBoris[[#This Row],[Status]],LstMachines[MoisLivr],AQ$1)</f>
        <v>0</v>
      </c>
      <c r="AR131" s="206">
        <f>SUMIFS(LstMachines[Nbre],LstMachines[Model-Spec],PrévisionBoris[[#This Row],[Spec]],LstMachines[Status],PrévisionBoris[[#This Row],[Status]],LstMachines[MoisLivr],AR$1)</f>
        <v>0</v>
      </c>
      <c r="AS131" s="207">
        <f>SUMIFS(LstMachines[Nbre],LstMachines[Model-Spec],PrévisionBoris[[#This Row],[Spec]],LstMachines[Status],PrévisionBoris[[#This Row],[Status]],LstMachines[MoisLivr],AS$1)</f>
        <v>0</v>
      </c>
      <c r="AT131" s="207">
        <f>SUMIFS(LstMachines[Nbre],LstMachines[Model-Spec],PrévisionBoris[[#This Row],[Spec]],LstMachines[Status],PrévisionBoris[[#This Row],[Status]],LstMachines[MoisLivr],AT$1)</f>
        <v>0</v>
      </c>
      <c r="AU131" s="206">
        <f>SUMIFS(LstMachines[Nbre],LstMachines[Model-Spec],PrévisionBoris[[#This Row],[Spec]],LstMachines[Status],PrévisionBoris[[#This Row],[Status]],LstMachines[MoisLivr],AU$1)</f>
        <v>0</v>
      </c>
      <c r="AV131" s="233">
        <f>SUMIFS(LstMachines[Nbre],LstMachines[Model-Spec],PrévisionBoris[[#This Row],[Spec]],LstMachines[Status],PrévisionBoris[[#This Row],[Status]],LstMachines[MoisLivr],AV$1)</f>
        <v>0</v>
      </c>
      <c r="AW131" s="208">
        <f>SUMIFS(LstMachines[Nbre],LstMachines[Model-Spec],PrévisionBoris[[#This Row],[Spec]],LstMachines[Status],PrévisionBoris[[#This Row],[Status]],LstMachines[MoisLivr],AW$1)</f>
        <v>0</v>
      </c>
      <c r="AX131" s="225"/>
      <c r="AY131" s="211">
        <f t="shared" si="19"/>
        <v>0</v>
      </c>
      <c r="AZ131" s="212">
        <f t="shared" si="20"/>
        <v>0</v>
      </c>
      <c r="BA131" s="212">
        <f t="shared" si="21"/>
        <v>0</v>
      </c>
      <c r="BB131" s="213">
        <f t="shared" si="22"/>
        <v>0</v>
      </c>
      <c r="BC131" s="225">
        <f t="shared" si="23"/>
        <v>0</v>
      </c>
      <c r="BD131" s="211">
        <f t="shared" si="24"/>
        <v>0</v>
      </c>
      <c r="BE131" s="212">
        <f t="shared" si="25"/>
        <v>0</v>
      </c>
      <c r="BF131" s="212">
        <f t="shared" si="26"/>
        <v>0</v>
      </c>
      <c r="BG131" s="213">
        <f t="shared" si="27"/>
        <v>0</v>
      </c>
      <c r="BH131" s="225">
        <f t="shared" si="28"/>
        <v>0</v>
      </c>
      <c r="BI131" s="214">
        <f t="shared" si="29"/>
        <v>0</v>
      </c>
      <c r="BJ131" s="215">
        <f t="shared" si="30"/>
        <v>0</v>
      </c>
      <c r="BK131" s="215">
        <f t="shared" si="31"/>
        <v>0</v>
      </c>
      <c r="BL131" s="216">
        <f t="shared" si="32"/>
        <v>0</v>
      </c>
      <c r="BM131" s="225">
        <f t="shared" si="33"/>
        <v>0</v>
      </c>
      <c r="BN131" s="225"/>
      <c r="BO131" s="234"/>
      <c r="BP131" s="218">
        <f t="shared" si="34"/>
        <v>0</v>
      </c>
    </row>
    <row r="132" spans="1:68">
      <c r="A132" s="170">
        <v>125</v>
      </c>
      <c r="B132" s="170" t="s">
        <v>75</v>
      </c>
      <c r="C132" s="200">
        <v>38</v>
      </c>
      <c r="D132" s="170" t="s">
        <v>188</v>
      </c>
      <c r="E132" s="170" t="s">
        <v>417</v>
      </c>
      <c r="F132" s="200">
        <f>VLOOKUP(PrévisionBoris[[#This Row],[Spec]],TabModelSpecs[[ModelSpec]:[Price]],2,FALSE)</f>
        <v>38</v>
      </c>
      <c r="G132" s="170" t="s">
        <v>462</v>
      </c>
      <c r="H132" s="219">
        <f>SUMIFS(LstMachines[Nbre],LstMachines[Model-Spec],PrévisionBoris[[#This Row],[Spec]],LstMachines[Status],PrévisionBoris[[#This Row],[Status]],LstMachines[MoisLivr],H$1)</f>
        <v>0</v>
      </c>
      <c r="I132" s="220">
        <f>SUMIFS(LstMachines[Nbre],LstMachines[Model-Spec],PrévisionBoris[[#This Row],[Spec]],LstMachines[Status],PrévisionBoris[[#This Row],[Status]],LstMachines[MoisLivr],I$1)</f>
        <v>0</v>
      </c>
      <c r="J132" s="221">
        <f>SUMIFS(LstMachines[Nbre],LstMachines[Model-Spec],PrévisionBoris[[#This Row],[Spec]],LstMachines[Status],PrévisionBoris[[#This Row],[Status]],LstMachines[MoisLivr],J$1)</f>
        <v>0</v>
      </c>
      <c r="K132" s="219">
        <f>SUMIFS(LstMachines[Nbre],LstMachines[Model-Spec],PrévisionBoris[[#This Row],[Spec]],LstMachines[Status],PrévisionBoris[[#This Row],[Status]],LstMachines[MoisLivr],K$1)</f>
        <v>0</v>
      </c>
      <c r="L132" s="220">
        <f>SUMIFS(LstMachines[Nbre],LstMachines[Model-Spec],PrévisionBoris[[#This Row],[Spec]],LstMachines[Status],PrévisionBoris[[#This Row],[Status]],LstMachines[MoisLivr],L$1)</f>
        <v>0</v>
      </c>
      <c r="M132" s="221">
        <f>SUMIFS(LstMachines[Nbre],LstMachines[Model-Spec],PrévisionBoris[[#This Row],[Spec]],LstMachines[Status],PrévisionBoris[[#This Row],[Status]],LstMachines[MoisLivr],M$1)</f>
        <v>0</v>
      </c>
      <c r="N132" s="219">
        <f>SUMIFS(LstMachines[Nbre],LstMachines[Model-Spec],PrévisionBoris[[#This Row],[Spec]],LstMachines[Status],PrévisionBoris[[#This Row],[Status]],LstMachines[MoisLivr],N$1)</f>
        <v>0</v>
      </c>
      <c r="O132" s="220">
        <f>SUMIFS(LstMachines[Nbre],LstMachines[Model-Spec],PrévisionBoris[[#This Row],[Spec]],LstMachines[Status],PrévisionBoris[[#This Row],[Status]],LstMachines[MoisLivr],O$1)</f>
        <v>0</v>
      </c>
      <c r="P132" s="221">
        <f>SUMIFS(LstMachines[Nbre],LstMachines[Model-Spec],PrévisionBoris[[#This Row],[Spec]],LstMachines[Status],PrévisionBoris[[#This Row],[Status]],LstMachines[MoisLivr],P$1)</f>
        <v>0</v>
      </c>
      <c r="Q132" s="222">
        <f>SUMIFS(LstMachines[Nbre],LstMachines[Model-Spec],PrévisionBoris[[#This Row],[Spec]],LstMachines[Status],PrévisionBoris[[#This Row],[Status]],LstMachines[MoisLivr],Q$1)</f>
        <v>0</v>
      </c>
      <c r="R132" s="220">
        <f>SUMIFS(LstMachines[Nbre],LstMachines[Model-Spec],PrévisionBoris[[#This Row],[Spec]],LstMachines[Status],PrévisionBoris[[#This Row],[Status]],LstMachines[MoisLivr],R$1)</f>
        <v>0</v>
      </c>
      <c r="S132" s="220">
        <f>SUMIFS(LstMachines[Nbre],LstMachines[Model-Spec],PrévisionBoris[[#This Row],[Spec]],LstMachines[Status],PrévisionBoris[[#This Row],[Status]],LstMachines[MoisLivr],S$1)</f>
        <v>0</v>
      </c>
      <c r="T132" s="219">
        <f>SUMIFS(LstMachines[Nbre],LstMachines[Model-Spec],PrévisionBoris[[#This Row],[Spec]],LstMachines[Status],PrévisionBoris[[#This Row],[Status]],LstMachines[MoisLivr],T$1)</f>
        <v>0</v>
      </c>
      <c r="U132" s="220">
        <f>SUMIFS(LstMachines[Nbre],LstMachines[Model-Spec],PrévisionBoris[[#This Row],[Spec]],LstMachines[Status],PrévisionBoris[[#This Row],[Status]],LstMachines[MoisLivr],U$1)</f>
        <v>0</v>
      </c>
      <c r="V132" s="220">
        <f>SUMIFS(LstMachines[Nbre],LstMachines[Model-Spec],PrévisionBoris[[#This Row],[Spec]],LstMachines[Status],PrévisionBoris[[#This Row],[Status]],LstMachines[MoisLivr],V$1)</f>
        <v>0</v>
      </c>
      <c r="W132" s="219">
        <f>SUMIFS(LstMachines[Nbre],LstMachines[Model-Spec],PrévisionBoris[[#This Row],[Spec]],LstMachines[Status],PrévisionBoris[[#This Row],[Status]],LstMachines[MoisLivr],W$1)</f>
        <v>0</v>
      </c>
      <c r="X132" s="220">
        <f>SUMIFS(LstMachines[Nbre],LstMachines[Model-Spec],PrévisionBoris[[#This Row],[Spec]],LstMachines[Status],PrévisionBoris[[#This Row],[Status]],LstMachines[MoisLivr],X$1)</f>
        <v>0</v>
      </c>
      <c r="Y132" s="220">
        <f>SUMIFS(LstMachines[Nbre],LstMachines[Model-Spec],PrévisionBoris[[#This Row],[Spec]],LstMachines[Status],PrévisionBoris[[#This Row],[Status]],LstMachines[MoisLivr],Y$1)</f>
        <v>0</v>
      </c>
      <c r="Z132" s="219">
        <f>SUMIFS(LstMachines[Nbre],LstMachines[Model-Spec],PrévisionBoris[[#This Row],[Spec]],LstMachines[Status],PrévisionBoris[[#This Row],[Status]],LstMachines[MoisLivr],Z$1)</f>
        <v>0</v>
      </c>
      <c r="AA132" s="220">
        <f>SUMIFS(LstMachines[Nbre],LstMachines[Model-Spec],PrévisionBoris[[#This Row],[Spec]],LstMachines[Status],PrévisionBoris[[#This Row],[Status]],LstMachines[MoisLivr],AA$1)</f>
        <v>0</v>
      </c>
      <c r="AB132" s="220">
        <f>SUMIFS(LstMachines[Nbre],LstMachines[Model-Spec],PrévisionBoris[[#This Row],[Spec]],LstMachines[Status],PrévisionBoris[[#This Row],[Status]],LstMachines[MoisLivr],AB$1)</f>
        <v>0</v>
      </c>
      <c r="AC132" s="219">
        <f>SUMIFS(LstMachines[Nbre],LstMachines[Model-Spec],PrévisionBoris[[#This Row],[Spec]],LstMachines[Status],PrévisionBoris[[#This Row],[Status]],LstMachines[MoisLivr],AC$1)</f>
        <v>0</v>
      </c>
      <c r="AD132" s="220">
        <f>SUMIFS(LstMachines[Nbre],LstMachines[Model-Spec],PrévisionBoris[[#This Row],[Spec]],LstMachines[Status],PrévisionBoris[[#This Row],[Status]],LstMachines[MoisLivr],AD$1)</f>
        <v>0</v>
      </c>
      <c r="AE132" s="220">
        <f>SUMIFS(LstMachines[Nbre],LstMachines[Model-Spec],PrévisionBoris[[#This Row],[Spec]],LstMachines[Status],PrévisionBoris[[#This Row],[Status]],LstMachines[MoisLivr],AE$1)</f>
        <v>0</v>
      </c>
      <c r="AF132" s="219">
        <f>SUMIFS(LstMachines[Nbre],LstMachines[Model-Spec],PrévisionBoris[[#This Row],[Spec]],LstMachines[Status],PrévisionBoris[[#This Row],[Status]],LstMachines[MoisLivr],AF$1)</f>
        <v>0</v>
      </c>
      <c r="AG132" s="220">
        <f>SUMIFS(LstMachines[Nbre],LstMachines[Model-Spec],PrévisionBoris[[#This Row],[Spec]],LstMachines[Status],PrévisionBoris[[#This Row],[Status]],LstMachines[MoisLivr],AG$1)</f>
        <v>0</v>
      </c>
      <c r="AH132" s="220">
        <f>SUMIFS(LstMachines[Nbre],LstMachines[Model-Spec],PrévisionBoris[[#This Row],[Spec]],LstMachines[Status],PrévisionBoris[[#This Row],[Status]],LstMachines[MoisLivr],AH$1)</f>
        <v>0</v>
      </c>
      <c r="AI132" s="219">
        <f>SUMIFS(LstMachines[Nbre],LstMachines[Model-Spec],PrévisionBoris[[#This Row],[Spec]],LstMachines[Status],PrévisionBoris[[#This Row],[Status]],LstMachines[MoisLivr],AI$1)</f>
        <v>0</v>
      </c>
      <c r="AJ132" s="220">
        <f>SUMIFS(LstMachines[Nbre],LstMachines[Model-Spec],PrévisionBoris[[#This Row],[Spec]],LstMachines[Status],PrévisionBoris[[#This Row],[Status]],LstMachines[MoisLivr],AJ$1)</f>
        <v>0</v>
      </c>
      <c r="AK132" s="220">
        <f>SUMIFS(LstMachines[Nbre],LstMachines[Model-Spec],PrévisionBoris[[#This Row],[Spec]],LstMachines[Status],PrévisionBoris[[#This Row],[Status]],LstMachines[MoisLivr],AK$1)</f>
        <v>0</v>
      </c>
      <c r="AL132" s="219">
        <f>SUMIFS(LstMachines[Nbre],LstMachines[Model-Spec],PrévisionBoris[[#This Row],[Spec]],LstMachines[Status],PrévisionBoris[[#This Row],[Status]],LstMachines[MoisLivr],AL$1)</f>
        <v>0</v>
      </c>
      <c r="AM132" s="220">
        <f>SUMIFS(LstMachines[Nbre],LstMachines[Model-Spec],PrévisionBoris[[#This Row],[Spec]],LstMachines[Status],PrévisionBoris[[#This Row],[Status]],LstMachines[MoisLivr],AM$1)</f>
        <v>0</v>
      </c>
      <c r="AN132" s="220">
        <f>SUMIFS(LstMachines[Nbre],LstMachines[Model-Spec],PrévisionBoris[[#This Row],[Spec]],LstMachines[Status],PrévisionBoris[[#This Row],[Status]],LstMachines[MoisLivr],AN$1)</f>
        <v>0</v>
      </c>
      <c r="AO132" s="219">
        <f>SUMIFS(LstMachines[Nbre],LstMachines[Model-Spec],PrévisionBoris[[#This Row],[Spec]],LstMachines[Status],PrévisionBoris[[#This Row],[Status]],LstMachines[MoisLivr],AO$1)</f>
        <v>0</v>
      </c>
      <c r="AP132" s="220">
        <f>SUMIFS(LstMachines[Nbre],LstMachines[Model-Spec],PrévisionBoris[[#This Row],[Spec]],LstMachines[Status],PrévisionBoris[[#This Row],[Status]],LstMachines[MoisLivr],AP$1)</f>
        <v>0</v>
      </c>
      <c r="AQ132" s="220">
        <f>SUMIFS(LstMachines[Nbre],LstMachines[Model-Spec],PrévisionBoris[[#This Row],[Spec]],LstMachines[Status],PrévisionBoris[[#This Row],[Status]],LstMachines[MoisLivr],AQ$1)</f>
        <v>0</v>
      </c>
      <c r="AR132" s="219">
        <f>SUMIFS(LstMachines[Nbre],LstMachines[Model-Spec],PrévisionBoris[[#This Row],[Spec]],LstMachines[Status],PrévisionBoris[[#This Row],[Status]],LstMachines[MoisLivr],AR$1)</f>
        <v>0</v>
      </c>
      <c r="AS132" s="220">
        <f>SUMIFS(LstMachines[Nbre],LstMachines[Model-Spec],PrévisionBoris[[#This Row],[Spec]],LstMachines[Status],PrévisionBoris[[#This Row],[Status]],LstMachines[MoisLivr],AS$1)</f>
        <v>0</v>
      </c>
      <c r="AT132" s="220">
        <f>SUMIFS(LstMachines[Nbre],LstMachines[Model-Spec],PrévisionBoris[[#This Row],[Spec]],LstMachines[Status],PrévisionBoris[[#This Row],[Status]],LstMachines[MoisLivr],AT$1)</f>
        <v>0</v>
      </c>
      <c r="AU132" s="219">
        <f>SUMIFS(LstMachines[Nbre],LstMachines[Model-Spec],PrévisionBoris[[#This Row],[Spec]],LstMachines[Status],PrévisionBoris[[#This Row],[Status]],LstMachines[MoisLivr],AU$1)</f>
        <v>0</v>
      </c>
      <c r="AV132" s="223">
        <f>SUMIFS(LstMachines[Nbre],LstMachines[Model-Spec],PrévisionBoris[[#This Row],[Spec]],LstMachines[Status],PrévisionBoris[[#This Row],[Status]],LstMachines[MoisLivr],AV$1)</f>
        <v>0</v>
      </c>
      <c r="AW132" s="224">
        <f>SUMIFS(LstMachines[Nbre],LstMachines[Model-Spec],PrévisionBoris[[#This Row],[Spec]],LstMachines[Status],PrévisionBoris[[#This Row],[Status]],LstMachines[MoisLivr],AW$1)</f>
        <v>0</v>
      </c>
      <c r="AX132" s="210"/>
      <c r="AY132" s="211">
        <f t="shared" si="19"/>
        <v>0</v>
      </c>
      <c r="AZ132" s="212">
        <f t="shared" si="20"/>
        <v>0</v>
      </c>
      <c r="BA132" s="212">
        <f t="shared" si="21"/>
        <v>0</v>
      </c>
      <c r="BB132" s="213">
        <f t="shared" si="22"/>
        <v>0</v>
      </c>
      <c r="BC132" s="225">
        <f t="shared" si="23"/>
        <v>0</v>
      </c>
      <c r="BD132" s="211">
        <f t="shared" si="24"/>
        <v>0</v>
      </c>
      <c r="BE132" s="212">
        <f t="shared" si="25"/>
        <v>0</v>
      </c>
      <c r="BF132" s="212">
        <f t="shared" si="26"/>
        <v>0</v>
      </c>
      <c r="BG132" s="213">
        <f t="shared" si="27"/>
        <v>0</v>
      </c>
      <c r="BH132" s="225">
        <f t="shared" si="28"/>
        <v>0</v>
      </c>
      <c r="BI132" s="214">
        <f t="shared" si="29"/>
        <v>0</v>
      </c>
      <c r="BJ132" s="215">
        <f t="shared" si="30"/>
        <v>0</v>
      </c>
      <c r="BK132" s="215">
        <f t="shared" si="31"/>
        <v>0</v>
      </c>
      <c r="BL132" s="216">
        <f t="shared" si="32"/>
        <v>0</v>
      </c>
      <c r="BM132" s="225">
        <f t="shared" si="33"/>
        <v>0</v>
      </c>
      <c r="BN132" s="225"/>
      <c r="BO132" s="217"/>
      <c r="BP132" s="218">
        <f t="shared" si="34"/>
        <v>0</v>
      </c>
    </row>
    <row r="133" spans="1:68">
      <c r="A133" s="171">
        <v>126</v>
      </c>
      <c r="B133" s="171" t="s">
        <v>75</v>
      </c>
      <c r="C133" s="201">
        <v>38</v>
      </c>
      <c r="D133" s="171" t="s">
        <v>188</v>
      </c>
      <c r="E133" s="171" t="s">
        <v>417</v>
      </c>
      <c r="F133" s="201">
        <f>VLOOKUP(PrévisionBoris[[#This Row],[Spec]],TabModelSpecs[[ModelSpec]:[Price]],2,FALSE)</f>
        <v>38</v>
      </c>
      <c r="G133" s="171" t="s">
        <v>463</v>
      </c>
      <c r="H133" s="226">
        <f>SUMIFS(LstMachines[Nbre],LstMachines[Model-Spec],PrévisionBoris[[#This Row],[Spec]],LstMachines[Status],PrévisionBoris[[#This Row],[Status]],LstMachines[MoisLivr],H$1)</f>
        <v>0</v>
      </c>
      <c r="I133" s="227">
        <f>SUMIFS(LstMachines[Nbre],LstMachines[Model-Spec],PrévisionBoris[[#This Row],[Spec]],LstMachines[Status],PrévisionBoris[[#This Row],[Status]],LstMachines[MoisLivr],I$1)</f>
        <v>0</v>
      </c>
      <c r="J133" s="228">
        <f>SUMIFS(LstMachines[Nbre],LstMachines[Model-Spec],PrévisionBoris[[#This Row],[Spec]],LstMachines[Status],PrévisionBoris[[#This Row],[Status]],LstMachines[MoisLivr],J$1)</f>
        <v>0</v>
      </c>
      <c r="K133" s="226">
        <f>SUMIFS(LstMachines[Nbre],LstMachines[Model-Spec],PrévisionBoris[[#This Row],[Spec]],LstMachines[Status],PrévisionBoris[[#This Row],[Status]],LstMachines[MoisLivr],K$1)</f>
        <v>0</v>
      </c>
      <c r="L133" s="227">
        <f>SUMIFS(LstMachines[Nbre],LstMachines[Model-Spec],PrévisionBoris[[#This Row],[Spec]],LstMachines[Status],PrévisionBoris[[#This Row],[Status]],LstMachines[MoisLivr],L$1)</f>
        <v>0</v>
      </c>
      <c r="M133" s="228">
        <f>SUMIFS(LstMachines[Nbre],LstMachines[Model-Spec],PrévisionBoris[[#This Row],[Spec]],LstMachines[Status],PrévisionBoris[[#This Row],[Status]],LstMachines[MoisLivr],M$1)</f>
        <v>0</v>
      </c>
      <c r="N133" s="226">
        <f>SUMIFS(LstMachines[Nbre],LstMachines[Model-Spec],PrévisionBoris[[#This Row],[Spec]],LstMachines[Status],PrévisionBoris[[#This Row],[Status]],LstMachines[MoisLivr],N$1)</f>
        <v>0</v>
      </c>
      <c r="O133" s="227">
        <f>SUMIFS(LstMachines[Nbre],LstMachines[Model-Spec],PrévisionBoris[[#This Row],[Spec]],LstMachines[Status],PrévisionBoris[[#This Row],[Status]],LstMachines[MoisLivr],O$1)</f>
        <v>0</v>
      </c>
      <c r="P133" s="228">
        <f>SUMIFS(LstMachines[Nbre],LstMachines[Model-Spec],PrévisionBoris[[#This Row],[Spec]],LstMachines[Status],PrévisionBoris[[#This Row],[Status]],LstMachines[MoisLivr],P$1)</f>
        <v>0</v>
      </c>
      <c r="Q133" s="229">
        <f>SUMIFS(LstMachines[Nbre],LstMachines[Model-Spec],PrévisionBoris[[#This Row],[Spec]],LstMachines[Status],PrévisionBoris[[#This Row],[Status]],LstMachines[MoisLivr],Q$1)</f>
        <v>0</v>
      </c>
      <c r="R133" s="227">
        <f>SUMIFS(LstMachines[Nbre],LstMachines[Model-Spec],PrévisionBoris[[#This Row],[Spec]],LstMachines[Status],PrévisionBoris[[#This Row],[Status]],LstMachines[MoisLivr],R$1)</f>
        <v>0</v>
      </c>
      <c r="S133" s="227">
        <f>SUMIFS(LstMachines[Nbre],LstMachines[Model-Spec],PrévisionBoris[[#This Row],[Spec]],LstMachines[Status],PrévisionBoris[[#This Row],[Status]],LstMachines[MoisLivr],S$1)</f>
        <v>0</v>
      </c>
      <c r="T133" s="226">
        <f>SUMIFS(LstMachines[Nbre],LstMachines[Model-Spec],PrévisionBoris[[#This Row],[Spec]],LstMachines[Status],PrévisionBoris[[#This Row],[Status]],LstMachines[MoisLivr],T$1)</f>
        <v>0</v>
      </c>
      <c r="U133" s="227">
        <f>SUMIFS(LstMachines[Nbre],LstMachines[Model-Spec],PrévisionBoris[[#This Row],[Spec]],LstMachines[Status],PrévisionBoris[[#This Row],[Status]],LstMachines[MoisLivr],U$1)</f>
        <v>0</v>
      </c>
      <c r="V133" s="227">
        <f>SUMIFS(LstMachines[Nbre],LstMachines[Model-Spec],PrévisionBoris[[#This Row],[Spec]],LstMachines[Status],PrévisionBoris[[#This Row],[Status]],LstMachines[MoisLivr],V$1)</f>
        <v>0</v>
      </c>
      <c r="W133" s="226">
        <f>SUMIFS(LstMachines[Nbre],LstMachines[Model-Spec],PrévisionBoris[[#This Row],[Spec]],LstMachines[Status],PrévisionBoris[[#This Row],[Status]],LstMachines[MoisLivr],W$1)</f>
        <v>0</v>
      </c>
      <c r="X133" s="227">
        <f>SUMIFS(LstMachines[Nbre],LstMachines[Model-Spec],PrévisionBoris[[#This Row],[Spec]],LstMachines[Status],PrévisionBoris[[#This Row],[Status]],LstMachines[MoisLivr],X$1)</f>
        <v>0</v>
      </c>
      <c r="Y133" s="227">
        <f>SUMIFS(LstMachines[Nbre],LstMachines[Model-Spec],PrévisionBoris[[#This Row],[Spec]],LstMachines[Status],PrévisionBoris[[#This Row],[Status]],LstMachines[MoisLivr],Y$1)</f>
        <v>0</v>
      </c>
      <c r="Z133" s="226">
        <f>SUMIFS(LstMachines[Nbre],LstMachines[Model-Spec],PrévisionBoris[[#This Row],[Spec]],LstMachines[Status],PrévisionBoris[[#This Row],[Status]],LstMachines[MoisLivr],Z$1)</f>
        <v>0</v>
      </c>
      <c r="AA133" s="227">
        <f>SUMIFS(LstMachines[Nbre],LstMachines[Model-Spec],PrévisionBoris[[#This Row],[Spec]],LstMachines[Status],PrévisionBoris[[#This Row],[Status]],LstMachines[MoisLivr],AA$1)</f>
        <v>0</v>
      </c>
      <c r="AB133" s="227">
        <f>SUMIFS(LstMachines[Nbre],LstMachines[Model-Spec],PrévisionBoris[[#This Row],[Spec]],LstMachines[Status],PrévisionBoris[[#This Row],[Status]],LstMachines[MoisLivr],AB$1)</f>
        <v>0</v>
      </c>
      <c r="AC133" s="226">
        <f>SUMIFS(LstMachines[Nbre],LstMachines[Model-Spec],PrévisionBoris[[#This Row],[Spec]],LstMachines[Status],PrévisionBoris[[#This Row],[Status]],LstMachines[MoisLivr],AC$1)</f>
        <v>0</v>
      </c>
      <c r="AD133" s="227">
        <f>SUMIFS(LstMachines[Nbre],LstMachines[Model-Spec],PrévisionBoris[[#This Row],[Spec]],LstMachines[Status],PrévisionBoris[[#This Row],[Status]],LstMachines[MoisLivr],AD$1)</f>
        <v>0</v>
      </c>
      <c r="AE133" s="227">
        <f>SUMIFS(LstMachines[Nbre],LstMachines[Model-Spec],PrévisionBoris[[#This Row],[Spec]],LstMachines[Status],PrévisionBoris[[#This Row],[Status]],LstMachines[MoisLivr],AE$1)</f>
        <v>0</v>
      </c>
      <c r="AF133" s="226">
        <f>SUMIFS(LstMachines[Nbre],LstMachines[Model-Spec],PrévisionBoris[[#This Row],[Spec]],LstMachines[Status],PrévisionBoris[[#This Row],[Status]],LstMachines[MoisLivr],AF$1)</f>
        <v>0</v>
      </c>
      <c r="AG133" s="227">
        <f>SUMIFS(LstMachines[Nbre],LstMachines[Model-Spec],PrévisionBoris[[#This Row],[Spec]],LstMachines[Status],PrévisionBoris[[#This Row],[Status]],LstMachines[MoisLivr],AG$1)</f>
        <v>0</v>
      </c>
      <c r="AH133" s="227">
        <f>SUMIFS(LstMachines[Nbre],LstMachines[Model-Spec],PrévisionBoris[[#This Row],[Spec]],LstMachines[Status],PrévisionBoris[[#This Row],[Status]],LstMachines[MoisLivr],AH$1)</f>
        <v>0</v>
      </c>
      <c r="AI133" s="226">
        <f>SUMIFS(LstMachines[Nbre],LstMachines[Model-Spec],PrévisionBoris[[#This Row],[Spec]],LstMachines[Status],PrévisionBoris[[#This Row],[Status]],LstMachines[MoisLivr],AI$1)</f>
        <v>0</v>
      </c>
      <c r="AJ133" s="227">
        <f>SUMIFS(LstMachines[Nbre],LstMachines[Model-Spec],PrévisionBoris[[#This Row],[Spec]],LstMachines[Status],PrévisionBoris[[#This Row],[Status]],LstMachines[MoisLivr],AJ$1)</f>
        <v>0</v>
      </c>
      <c r="AK133" s="227">
        <f>SUMIFS(LstMachines[Nbre],LstMachines[Model-Spec],PrévisionBoris[[#This Row],[Spec]],LstMachines[Status],PrévisionBoris[[#This Row],[Status]],LstMachines[MoisLivr],AK$1)</f>
        <v>0</v>
      </c>
      <c r="AL133" s="226">
        <f>SUMIFS(LstMachines[Nbre],LstMachines[Model-Spec],PrévisionBoris[[#This Row],[Spec]],LstMachines[Status],PrévisionBoris[[#This Row],[Status]],LstMachines[MoisLivr],AL$1)</f>
        <v>0</v>
      </c>
      <c r="AM133" s="227">
        <f>SUMIFS(LstMachines[Nbre],LstMachines[Model-Spec],PrévisionBoris[[#This Row],[Spec]],LstMachines[Status],PrévisionBoris[[#This Row],[Status]],LstMachines[MoisLivr],AM$1)</f>
        <v>0</v>
      </c>
      <c r="AN133" s="227">
        <f>SUMIFS(LstMachines[Nbre],LstMachines[Model-Spec],PrévisionBoris[[#This Row],[Spec]],LstMachines[Status],PrévisionBoris[[#This Row],[Status]],LstMachines[MoisLivr],AN$1)</f>
        <v>0</v>
      </c>
      <c r="AO133" s="226">
        <f>SUMIFS(LstMachines[Nbre],LstMachines[Model-Spec],PrévisionBoris[[#This Row],[Spec]],LstMachines[Status],PrévisionBoris[[#This Row],[Status]],LstMachines[MoisLivr],AO$1)</f>
        <v>0</v>
      </c>
      <c r="AP133" s="227">
        <f>SUMIFS(LstMachines[Nbre],LstMachines[Model-Spec],PrévisionBoris[[#This Row],[Spec]],LstMachines[Status],PrévisionBoris[[#This Row],[Status]],LstMachines[MoisLivr],AP$1)</f>
        <v>0</v>
      </c>
      <c r="AQ133" s="227">
        <f>SUMIFS(LstMachines[Nbre],LstMachines[Model-Spec],PrévisionBoris[[#This Row],[Spec]],LstMachines[Status],PrévisionBoris[[#This Row],[Status]],LstMachines[MoisLivr],AQ$1)</f>
        <v>0</v>
      </c>
      <c r="AR133" s="226">
        <f>SUMIFS(LstMachines[Nbre],LstMachines[Model-Spec],PrévisionBoris[[#This Row],[Spec]],LstMachines[Status],PrévisionBoris[[#This Row],[Status]],LstMachines[MoisLivr],AR$1)</f>
        <v>0</v>
      </c>
      <c r="AS133" s="227">
        <f>SUMIFS(LstMachines[Nbre],LstMachines[Model-Spec],PrévisionBoris[[#This Row],[Spec]],LstMachines[Status],PrévisionBoris[[#This Row],[Status]],LstMachines[MoisLivr],AS$1)</f>
        <v>0</v>
      </c>
      <c r="AT133" s="227">
        <f>SUMIFS(LstMachines[Nbre],LstMachines[Model-Spec],PrévisionBoris[[#This Row],[Spec]],LstMachines[Status],PrévisionBoris[[#This Row],[Status]],LstMachines[MoisLivr],AT$1)</f>
        <v>0</v>
      </c>
      <c r="AU133" s="226">
        <f>SUMIFS(LstMachines[Nbre],LstMachines[Model-Spec],PrévisionBoris[[#This Row],[Spec]],LstMachines[Status],PrévisionBoris[[#This Row],[Status]],LstMachines[MoisLivr],AU$1)</f>
        <v>0</v>
      </c>
      <c r="AV133" s="230">
        <f>SUMIFS(LstMachines[Nbre],LstMachines[Model-Spec],PrévisionBoris[[#This Row],[Spec]],LstMachines[Status],PrévisionBoris[[#This Row],[Status]],LstMachines[MoisLivr],AV$1)</f>
        <v>0</v>
      </c>
      <c r="AW133" s="231">
        <f>SUMIFS(LstMachines[Nbre],LstMachines[Model-Spec],PrévisionBoris[[#This Row],[Spec]],LstMachines[Status],PrévisionBoris[[#This Row],[Status]],LstMachines[MoisLivr],AW$1)</f>
        <v>0</v>
      </c>
      <c r="AX133" s="232"/>
      <c r="AY133" s="211">
        <f t="shared" si="19"/>
        <v>0</v>
      </c>
      <c r="AZ133" s="212">
        <f t="shared" si="20"/>
        <v>0</v>
      </c>
      <c r="BA133" s="212">
        <f t="shared" si="21"/>
        <v>0</v>
      </c>
      <c r="BB133" s="213">
        <f t="shared" si="22"/>
        <v>0</v>
      </c>
      <c r="BC133" s="225">
        <f t="shared" si="23"/>
        <v>0</v>
      </c>
      <c r="BD133" s="211">
        <f t="shared" si="24"/>
        <v>0</v>
      </c>
      <c r="BE133" s="212">
        <f t="shared" si="25"/>
        <v>0</v>
      </c>
      <c r="BF133" s="212">
        <f t="shared" si="26"/>
        <v>0</v>
      </c>
      <c r="BG133" s="213">
        <f t="shared" si="27"/>
        <v>0</v>
      </c>
      <c r="BH133" s="225">
        <f t="shared" si="28"/>
        <v>0</v>
      </c>
      <c r="BI133" s="214">
        <f t="shared" si="29"/>
        <v>0</v>
      </c>
      <c r="BJ133" s="215">
        <f t="shared" si="30"/>
        <v>0</v>
      </c>
      <c r="BK133" s="215">
        <f t="shared" si="31"/>
        <v>0</v>
      </c>
      <c r="BL133" s="216">
        <f t="shared" si="32"/>
        <v>0</v>
      </c>
      <c r="BM133" s="225">
        <f t="shared" si="33"/>
        <v>0</v>
      </c>
      <c r="BN133" s="225"/>
      <c r="BO133" s="217"/>
      <c r="BP133" s="218">
        <f t="shared" si="34"/>
        <v>0</v>
      </c>
    </row>
    <row r="134" spans="1:68">
      <c r="A134" s="172">
        <v>127</v>
      </c>
      <c r="B134" s="172" t="s">
        <v>75</v>
      </c>
      <c r="C134" s="202">
        <v>38</v>
      </c>
      <c r="D134" s="172" t="s">
        <v>188</v>
      </c>
      <c r="E134" s="172" t="s">
        <v>418</v>
      </c>
      <c r="F134" s="202">
        <f>VLOOKUP(PrévisionBoris[[#This Row],[Spec]],TabModelSpecs[[ModelSpec]:[Price]],2,FALSE)</f>
        <v>38</v>
      </c>
      <c r="G134" s="172" t="s">
        <v>461</v>
      </c>
      <c r="H134" s="206">
        <f>SUMIFS(LstMachines[Nbre],LstMachines[Model-Spec],PrévisionBoris[[#This Row],[Spec]],LstMachines[Status],PrévisionBoris[[#This Row],[Status]],LstMachines[MoisLivr],H$1)</f>
        <v>0</v>
      </c>
      <c r="I134" s="207">
        <f>SUMIFS(LstMachines[Nbre],LstMachines[Model-Spec],PrévisionBoris[[#This Row],[Spec]],LstMachines[Status],PrévisionBoris[[#This Row],[Status]],LstMachines[MoisLivr],I$1)</f>
        <v>0</v>
      </c>
      <c r="J134" s="208">
        <f>SUMIFS(LstMachines[Nbre],LstMachines[Model-Spec],PrévisionBoris[[#This Row],[Spec]],LstMachines[Status],PrévisionBoris[[#This Row],[Status]],LstMachines[MoisLivr],J$1)</f>
        <v>0</v>
      </c>
      <c r="K134" s="206">
        <f>SUMIFS(LstMachines[Nbre],LstMachines[Model-Spec],PrévisionBoris[[#This Row],[Spec]],LstMachines[Status],PrévisionBoris[[#This Row],[Status]],LstMachines[MoisLivr],K$1)</f>
        <v>0</v>
      </c>
      <c r="L134" s="207">
        <f>SUMIFS(LstMachines[Nbre],LstMachines[Model-Spec],PrévisionBoris[[#This Row],[Spec]],LstMachines[Status],PrévisionBoris[[#This Row],[Status]],LstMachines[MoisLivr],L$1)</f>
        <v>0</v>
      </c>
      <c r="M134" s="208">
        <f>SUMIFS(LstMachines[Nbre],LstMachines[Model-Spec],PrévisionBoris[[#This Row],[Spec]],LstMachines[Status],PrévisionBoris[[#This Row],[Status]],LstMachines[MoisLivr],M$1)</f>
        <v>0</v>
      </c>
      <c r="N134" s="206">
        <f>SUMIFS(LstMachines[Nbre],LstMachines[Model-Spec],PrévisionBoris[[#This Row],[Spec]],LstMachines[Status],PrévisionBoris[[#This Row],[Status]],LstMachines[MoisLivr],N$1)</f>
        <v>0</v>
      </c>
      <c r="O134" s="207">
        <f>SUMIFS(LstMachines[Nbre],LstMachines[Model-Spec],PrévisionBoris[[#This Row],[Spec]],LstMachines[Status],PrévisionBoris[[#This Row],[Status]],LstMachines[MoisLivr],O$1)</f>
        <v>0</v>
      </c>
      <c r="P134" s="208">
        <f>SUMIFS(LstMachines[Nbre],LstMachines[Model-Spec],PrévisionBoris[[#This Row],[Spec]],LstMachines[Status],PrévisionBoris[[#This Row],[Status]],LstMachines[MoisLivr],P$1)</f>
        <v>0</v>
      </c>
      <c r="Q134" s="209">
        <f>SUMIFS(LstMachines[Nbre],LstMachines[Model-Spec],PrévisionBoris[[#This Row],[Spec]],LstMachines[Status],PrévisionBoris[[#This Row],[Status]],LstMachines[MoisLivr],Q$1)</f>
        <v>0</v>
      </c>
      <c r="R134" s="207">
        <f>SUMIFS(LstMachines[Nbre],LstMachines[Model-Spec],PrévisionBoris[[#This Row],[Spec]],LstMachines[Status],PrévisionBoris[[#This Row],[Status]],LstMachines[MoisLivr],R$1)</f>
        <v>0</v>
      </c>
      <c r="S134" s="207">
        <f>SUMIFS(LstMachines[Nbre],LstMachines[Model-Spec],PrévisionBoris[[#This Row],[Spec]],LstMachines[Status],PrévisionBoris[[#This Row],[Status]],LstMachines[MoisLivr],S$1)</f>
        <v>0</v>
      </c>
      <c r="T134" s="206">
        <f>SUMIFS(LstMachines[Nbre],LstMachines[Model-Spec],PrévisionBoris[[#This Row],[Spec]],LstMachines[Status],PrévisionBoris[[#This Row],[Status]],LstMachines[MoisLivr],T$1)</f>
        <v>0</v>
      </c>
      <c r="U134" s="207">
        <f>SUMIFS(LstMachines[Nbre],LstMachines[Model-Spec],PrévisionBoris[[#This Row],[Spec]],LstMachines[Status],PrévisionBoris[[#This Row],[Status]],LstMachines[MoisLivr],U$1)</f>
        <v>0</v>
      </c>
      <c r="V134" s="207">
        <f>SUMIFS(LstMachines[Nbre],LstMachines[Model-Spec],PrévisionBoris[[#This Row],[Spec]],LstMachines[Status],PrévisionBoris[[#This Row],[Status]],LstMachines[MoisLivr],V$1)</f>
        <v>0</v>
      </c>
      <c r="W134" s="206">
        <f>SUMIFS(LstMachines[Nbre],LstMachines[Model-Spec],PrévisionBoris[[#This Row],[Spec]],LstMachines[Status],PrévisionBoris[[#This Row],[Status]],LstMachines[MoisLivr],W$1)</f>
        <v>0</v>
      </c>
      <c r="X134" s="207">
        <f>SUMIFS(LstMachines[Nbre],LstMachines[Model-Spec],PrévisionBoris[[#This Row],[Spec]],LstMachines[Status],PrévisionBoris[[#This Row],[Status]],LstMachines[MoisLivr],X$1)</f>
        <v>0</v>
      </c>
      <c r="Y134" s="207">
        <f>SUMIFS(LstMachines[Nbre],LstMachines[Model-Spec],PrévisionBoris[[#This Row],[Spec]],LstMachines[Status],PrévisionBoris[[#This Row],[Status]],LstMachines[MoisLivr],Y$1)</f>
        <v>0</v>
      </c>
      <c r="Z134" s="206">
        <f>SUMIFS(LstMachines[Nbre],LstMachines[Model-Spec],PrévisionBoris[[#This Row],[Spec]],LstMachines[Status],PrévisionBoris[[#This Row],[Status]],LstMachines[MoisLivr],Z$1)</f>
        <v>0</v>
      </c>
      <c r="AA134" s="207">
        <f>SUMIFS(LstMachines[Nbre],LstMachines[Model-Spec],PrévisionBoris[[#This Row],[Spec]],LstMachines[Status],PrévisionBoris[[#This Row],[Status]],LstMachines[MoisLivr],AA$1)</f>
        <v>0</v>
      </c>
      <c r="AB134" s="207">
        <f>SUMIFS(LstMachines[Nbre],LstMachines[Model-Spec],PrévisionBoris[[#This Row],[Spec]],LstMachines[Status],PrévisionBoris[[#This Row],[Status]],LstMachines[MoisLivr],AB$1)</f>
        <v>0</v>
      </c>
      <c r="AC134" s="206">
        <f>SUMIFS(LstMachines[Nbre],LstMachines[Model-Spec],PrévisionBoris[[#This Row],[Spec]],LstMachines[Status],PrévisionBoris[[#This Row],[Status]],LstMachines[MoisLivr],AC$1)</f>
        <v>0</v>
      </c>
      <c r="AD134" s="207">
        <f>SUMIFS(LstMachines[Nbre],LstMachines[Model-Spec],PrévisionBoris[[#This Row],[Spec]],LstMachines[Status],PrévisionBoris[[#This Row],[Status]],LstMachines[MoisLivr],AD$1)</f>
        <v>0</v>
      </c>
      <c r="AE134" s="207">
        <f>SUMIFS(LstMachines[Nbre],LstMachines[Model-Spec],PrévisionBoris[[#This Row],[Spec]],LstMachines[Status],PrévisionBoris[[#This Row],[Status]],LstMachines[MoisLivr],AE$1)</f>
        <v>0</v>
      </c>
      <c r="AF134" s="206">
        <f>SUMIFS(LstMachines[Nbre],LstMachines[Model-Spec],PrévisionBoris[[#This Row],[Spec]],LstMachines[Status],PrévisionBoris[[#This Row],[Status]],LstMachines[MoisLivr],AF$1)</f>
        <v>0</v>
      </c>
      <c r="AG134" s="207">
        <f>SUMIFS(LstMachines[Nbre],LstMachines[Model-Spec],PrévisionBoris[[#This Row],[Spec]],LstMachines[Status],PrévisionBoris[[#This Row],[Status]],LstMachines[MoisLivr],AG$1)</f>
        <v>0</v>
      </c>
      <c r="AH134" s="207">
        <f>SUMIFS(LstMachines[Nbre],LstMachines[Model-Spec],PrévisionBoris[[#This Row],[Spec]],LstMachines[Status],PrévisionBoris[[#This Row],[Status]],LstMachines[MoisLivr],AH$1)</f>
        <v>0</v>
      </c>
      <c r="AI134" s="206">
        <f>SUMIFS(LstMachines[Nbre],LstMachines[Model-Spec],PrévisionBoris[[#This Row],[Spec]],LstMachines[Status],PrévisionBoris[[#This Row],[Status]],LstMachines[MoisLivr],AI$1)</f>
        <v>0</v>
      </c>
      <c r="AJ134" s="207">
        <f>SUMIFS(LstMachines[Nbre],LstMachines[Model-Spec],PrévisionBoris[[#This Row],[Spec]],LstMachines[Status],PrévisionBoris[[#This Row],[Status]],LstMachines[MoisLivr],AJ$1)</f>
        <v>0</v>
      </c>
      <c r="AK134" s="207">
        <f>SUMIFS(LstMachines[Nbre],LstMachines[Model-Spec],PrévisionBoris[[#This Row],[Spec]],LstMachines[Status],PrévisionBoris[[#This Row],[Status]],LstMachines[MoisLivr],AK$1)</f>
        <v>0</v>
      </c>
      <c r="AL134" s="206">
        <f>SUMIFS(LstMachines[Nbre],LstMachines[Model-Spec],PrévisionBoris[[#This Row],[Spec]],LstMachines[Status],PrévisionBoris[[#This Row],[Status]],LstMachines[MoisLivr],AL$1)</f>
        <v>0</v>
      </c>
      <c r="AM134" s="207">
        <f>SUMIFS(LstMachines[Nbre],LstMachines[Model-Spec],PrévisionBoris[[#This Row],[Spec]],LstMachines[Status],PrévisionBoris[[#This Row],[Status]],LstMachines[MoisLivr],AM$1)</f>
        <v>0</v>
      </c>
      <c r="AN134" s="207">
        <f>SUMIFS(LstMachines[Nbre],LstMachines[Model-Spec],PrévisionBoris[[#This Row],[Spec]],LstMachines[Status],PrévisionBoris[[#This Row],[Status]],LstMachines[MoisLivr],AN$1)</f>
        <v>0</v>
      </c>
      <c r="AO134" s="206">
        <f>SUMIFS(LstMachines[Nbre],LstMachines[Model-Spec],PrévisionBoris[[#This Row],[Spec]],LstMachines[Status],PrévisionBoris[[#This Row],[Status]],LstMachines[MoisLivr],AO$1)</f>
        <v>0</v>
      </c>
      <c r="AP134" s="207">
        <f>SUMIFS(LstMachines[Nbre],LstMachines[Model-Spec],PrévisionBoris[[#This Row],[Spec]],LstMachines[Status],PrévisionBoris[[#This Row],[Status]],LstMachines[MoisLivr],AP$1)</f>
        <v>0</v>
      </c>
      <c r="AQ134" s="207">
        <f>SUMIFS(LstMachines[Nbre],LstMachines[Model-Spec],PrévisionBoris[[#This Row],[Spec]],LstMachines[Status],PrévisionBoris[[#This Row],[Status]],LstMachines[MoisLivr],AQ$1)</f>
        <v>0</v>
      </c>
      <c r="AR134" s="206">
        <f>SUMIFS(LstMachines[Nbre],LstMachines[Model-Spec],PrévisionBoris[[#This Row],[Spec]],LstMachines[Status],PrévisionBoris[[#This Row],[Status]],LstMachines[MoisLivr],AR$1)</f>
        <v>0</v>
      </c>
      <c r="AS134" s="207">
        <f>SUMIFS(LstMachines[Nbre],LstMachines[Model-Spec],PrévisionBoris[[#This Row],[Spec]],LstMachines[Status],PrévisionBoris[[#This Row],[Status]],LstMachines[MoisLivr],AS$1)</f>
        <v>0</v>
      </c>
      <c r="AT134" s="207">
        <f>SUMIFS(LstMachines[Nbre],LstMachines[Model-Spec],PrévisionBoris[[#This Row],[Spec]],LstMachines[Status],PrévisionBoris[[#This Row],[Status]],LstMachines[MoisLivr],AT$1)</f>
        <v>0</v>
      </c>
      <c r="AU134" s="206">
        <f>SUMIFS(LstMachines[Nbre],LstMachines[Model-Spec],PrévisionBoris[[#This Row],[Spec]],LstMachines[Status],PrévisionBoris[[#This Row],[Status]],LstMachines[MoisLivr],AU$1)</f>
        <v>0</v>
      </c>
      <c r="AV134" s="233">
        <f>SUMIFS(LstMachines[Nbre],LstMachines[Model-Spec],PrévisionBoris[[#This Row],[Spec]],LstMachines[Status],PrévisionBoris[[#This Row],[Status]],LstMachines[MoisLivr],AV$1)</f>
        <v>0</v>
      </c>
      <c r="AW134" s="208">
        <f>SUMIFS(LstMachines[Nbre],LstMachines[Model-Spec],PrévisionBoris[[#This Row],[Spec]],LstMachines[Status],PrévisionBoris[[#This Row],[Status]],LstMachines[MoisLivr],AW$1)</f>
        <v>0</v>
      </c>
      <c r="AX134" s="225"/>
      <c r="AY134" s="211">
        <f t="shared" si="19"/>
        <v>0</v>
      </c>
      <c r="AZ134" s="212">
        <f t="shared" si="20"/>
        <v>0</v>
      </c>
      <c r="BA134" s="212">
        <f t="shared" si="21"/>
        <v>0</v>
      </c>
      <c r="BB134" s="213">
        <f t="shared" si="22"/>
        <v>0</v>
      </c>
      <c r="BC134" s="225">
        <f t="shared" si="23"/>
        <v>0</v>
      </c>
      <c r="BD134" s="211">
        <f t="shared" si="24"/>
        <v>0</v>
      </c>
      <c r="BE134" s="212">
        <f t="shared" si="25"/>
        <v>0</v>
      </c>
      <c r="BF134" s="212">
        <f t="shared" si="26"/>
        <v>0</v>
      </c>
      <c r="BG134" s="213">
        <f t="shared" si="27"/>
        <v>0</v>
      </c>
      <c r="BH134" s="225">
        <f t="shared" si="28"/>
        <v>0</v>
      </c>
      <c r="BI134" s="214">
        <f t="shared" si="29"/>
        <v>0</v>
      </c>
      <c r="BJ134" s="215">
        <f t="shared" si="30"/>
        <v>0</v>
      </c>
      <c r="BK134" s="215">
        <f t="shared" si="31"/>
        <v>0</v>
      </c>
      <c r="BL134" s="216">
        <f t="shared" si="32"/>
        <v>0</v>
      </c>
      <c r="BM134" s="225">
        <f t="shared" si="33"/>
        <v>0</v>
      </c>
      <c r="BN134" s="225"/>
      <c r="BO134" s="234"/>
      <c r="BP134" s="218">
        <f t="shared" si="34"/>
        <v>0</v>
      </c>
    </row>
    <row r="135" spans="1:68">
      <c r="A135" s="170">
        <v>128</v>
      </c>
      <c r="B135" s="170" t="s">
        <v>75</v>
      </c>
      <c r="C135" s="200">
        <v>38</v>
      </c>
      <c r="D135" s="170" t="s">
        <v>188</v>
      </c>
      <c r="E135" s="170" t="s">
        <v>418</v>
      </c>
      <c r="F135" s="200">
        <f>VLOOKUP(PrévisionBoris[[#This Row],[Spec]],TabModelSpecs[[ModelSpec]:[Price]],2,FALSE)</f>
        <v>38</v>
      </c>
      <c r="G135" s="170" t="s">
        <v>462</v>
      </c>
      <c r="H135" s="219">
        <f>SUMIFS(LstMachines[Nbre],LstMachines[Model-Spec],PrévisionBoris[[#This Row],[Spec]],LstMachines[Status],PrévisionBoris[[#This Row],[Status]],LstMachines[MoisLivr],H$1)</f>
        <v>0</v>
      </c>
      <c r="I135" s="220">
        <f>SUMIFS(LstMachines[Nbre],LstMachines[Model-Spec],PrévisionBoris[[#This Row],[Spec]],LstMachines[Status],PrévisionBoris[[#This Row],[Status]],LstMachines[MoisLivr],I$1)</f>
        <v>0</v>
      </c>
      <c r="J135" s="221">
        <f>SUMIFS(LstMachines[Nbre],LstMachines[Model-Spec],PrévisionBoris[[#This Row],[Spec]],LstMachines[Status],PrévisionBoris[[#This Row],[Status]],LstMachines[MoisLivr],J$1)</f>
        <v>0</v>
      </c>
      <c r="K135" s="219">
        <f>SUMIFS(LstMachines[Nbre],LstMachines[Model-Spec],PrévisionBoris[[#This Row],[Spec]],LstMachines[Status],PrévisionBoris[[#This Row],[Status]],LstMachines[MoisLivr],K$1)</f>
        <v>0</v>
      </c>
      <c r="L135" s="220">
        <f>SUMIFS(LstMachines[Nbre],LstMachines[Model-Spec],PrévisionBoris[[#This Row],[Spec]],LstMachines[Status],PrévisionBoris[[#This Row],[Status]],LstMachines[MoisLivr],L$1)</f>
        <v>0</v>
      </c>
      <c r="M135" s="221">
        <f>SUMIFS(LstMachines[Nbre],LstMachines[Model-Spec],PrévisionBoris[[#This Row],[Spec]],LstMachines[Status],PrévisionBoris[[#This Row],[Status]],LstMachines[MoisLivr],M$1)</f>
        <v>0</v>
      </c>
      <c r="N135" s="219">
        <f>SUMIFS(LstMachines[Nbre],LstMachines[Model-Spec],PrévisionBoris[[#This Row],[Spec]],LstMachines[Status],PrévisionBoris[[#This Row],[Status]],LstMachines[MoisLivr],N$1)</f>
        <v>0</v>
      </c>
      <c r="O135" s="220">
        <f>SUMIFS(LstMachines[Nbre],LstMachines[Model-Spec],PrévisionBoris[[#This Row],[Spec]],LstMachines[Status],PrévisionBoris[[#This Row],[Status]],LstMachines[MoisLivr],O$1)</f>
        <v>0</v>
      </c>
      <c r="P135" s="221">
        <f>SUMIFS(LstMachines[Nbre],LstMachines[Model-Spec],PrévisionBoris[[#This Row],[Spec]],LstMachines[Status],PrévisionBoris[[#This Row],[Status]],LstMachines[MoisLivr],P$1)</f>
        <v>0</v>
      </c>
      <c r="Q135" s="222">
        <f>SUMIFS(LstMachines[Nbre],LstMachines[Model-Spec],PrévisionBoris[[#This Row],[Spec]],LstMachines[Status],PrévisionBoris[[#This Row],[Status]],LstMachines[MoisLivr],Q$1)</f>
        <v>0</v>
      </c>
      <c r="R135" s="220">
        <f>SUMIFS(LstMachines[Nbre],LstMachines[Model-Spec],PrévisionBoris[[#This Row],[Spec]],LstMachines[Status],PrévisionBoris[[#This Row],[Status]],LstMachines[MoisLivr],R$1)</f>
        <v>0</v>
      </c>
      <c r="S135" s="220">
        <f>SUMIFS(LstMachines[Nbre],LstMachines[Model-Spec],PrévisionBoris[[#This Row],[Spec]],LstMachines[Status],PrévisionBoris[[#This Row],[Status]],LstMachines[MoisLivr],S$1)</f>
        <v>0</v>
      </c>
      <c r="T135" s="219">
        <f>SUMIFS(LstMachines[Nbre],LstMachines[Model-Spec],PrévisionBoris[[#This Row],[Spec]],LstMachines[Status],PrévisionBoris[[#This Row],[Status]],LstMachines[MoisLivr],T$1)</f>
        <v>0</v>
      </c>
      <c r="U135" s="220">
        <f>SUMIFS(LstMachines[Nbre],LstMachines[Model-Spec],PrévisionBoris[[#This Row],[Spec]],LstMachines[Status],PrévisionBoris[[#This Row],[Status]],LstMachines[MoisLivr],U$1)</f>
        <v>0</v>
      </c>
      <c r="V135" s="220">
        <f>SUMIFS(LstMachines[Nbre],LstMachines[Model-Spec],PrévisionBoris[[#This Row],[Spec]],LstMachines[Status],PrévisionBoris[[#This Row],[Status]],LstMachines[MoisLivr],V$1)</f>
        <v>0</v>
      </c>
      <c r="W135" s="219">
        <f>SUMIFS(LstMachines[Nbre],LstMachines[Model-Spec],PrévisionBoris[[#This Row],[Spec]],LstMachines[Status],PrévisionBoris[[#This Row],[Status]],LstMachines[MoisLivr],W$1)</f>
        <v>0</v>
      </c>
      <c r="X135" s="220">
        <f>SUMIFS(LstMachines[Nbre],LstMachines[Model-Spec],PrévisionBoris[[#This Row],[Spec]],LstMachines[Status],PrévisionBoris[[#This Row],[Status]],LstMachines[MoisLivr],X$1)</f>
        <v>0</v>
      </c>
      <c r="Y135" s="220">
        <f>SUMIFS(LstMachines[Nbre],LstMachines[Model-Spec],PrévisionBoris[[#This Row],[Spec]],LstMachines[Status],PrévisionBoris[[#This Row],[Status]],LstMachines[MoisLivr],Y$1)</f>
        <v>0</v>
      </c>
      <c r="Z135" s="219">
        <f>SUMIFS(LstMachines[Nbre],LstMachines[Model-Spec],PrévisionBoris[[#This Row],[Spec]],LstMachines[Status],PrévisionBoris[[#This Row],[Status]],LstMachines[MoisLivr],Z$1)</f>
        <v>0</v>
      </c>
      <c r="AA135" s="220">
        <f>SUMIFS(LstMachines[Nbre],LstMachines[Model-Spec],PrévisionBoris[[#This Row],[Spec]],LstMachines[Status],PrévisionBoris[[#This Row],[Status]],LstMachines[MoisLivr],AA$1)</f>
        <v>0</v>
      </c>
      <c r="AB135" s="220">
        <f>SUMIFS(LstMachines[Nbre],LstMachines[Model-Spec],PrévisionBoris[[#This Row],[Spec]],LstMachines[Status],PrévisionBoris[[#This Row],[Status]],LstMachines[MoisLivr],AB$1)</f>
        <v>0</v>
      </c>
      <c r="AC135" s="219">
        <f>SUMIFS(LstMachines[Nbre],LstMachines[Model-Spec],PrévisionBoris[[#This Row],[Spec]],LstMachines[Status],PrévisionBoris[[#This Row],[Status]],LstMachines[MoisLivr],AC$1)</f>
        <v>0</v>
      </c>
      <c r="AD135" s="220">
        <f>SUMIFS(LstMachines[Nbre],LstMachines[Model-Spec],PrévisionBoris[[#This Row],[Spec]],LstMachines[Status],PrévisionBoris[[#This Row],[Status]],LstMachines[MoisLivr],AD$1)</f>
        <v>0</v>
      </c>
      <c r="AE135" s="220">
        <f>SUMIFS(LstMachines[Nbre],LstMachines[Model-Spec],PrévisionBoris[[#This Row],[Spec]],LstMachines[Status],PrévisionBoris[[#This Row],[Status]],LstMachines[MoisLivr],AE$1)</f>
        <v>0</v>
      </c>
      <c r="AF135" s="219">
        <f>SUMIFS(LstMachines[Nbre],LstMachines[Model-Spec],PrévisionBoris[[#This Row],[Spec]],LstMachines[Status],PrévisionBoris[[#This Row],[Status]],LstMachines[MoisLivr],AF$1)</f>
        <v>0</v>
      </c>
      <c r="AG135" s="220">
        <f>SUMIFS(LstMachines[Nbre],LstMachines[Model-Spec],PrévisionBoris[[#This Row],[Spec]],LstMachines[Status],PrévisionBoris[[#This Row],[Status]],LstMachines[MoisLivr],AG$1)</f>
        <v>0</v>
      </c>
      <c r="AH135" s="220">
        <f>SUMIFS(LstMachines[Nbre],LstMachines[Model-Spec],PrévisionBoris[[#This Row],[Spec]],LstMachines[Status],PrévisionBoris[[#This Row],[Status]],LstMachines[MoisLivr],AH$1)</f>
        <v>0</v>
      </c>
      <c r="AI135" s="219">
        <f>SUMIFS(LstMachines[Nbre],LstMachines[Model-Spec],PrévisionBoris[[#This Row],[Spec]],LstMachines[Status],PrévisionBoris[[#This Row],[Status]],LstMachines[MoisLivr],AI$1)</f>
        <v>0</v>
      </c>
      <c r="AJ135" s="220">
        <f>SUMIFS(LstMachines[Nbre],LstMachines[Model-Spec],PrévisionBoris[[#This Row],[Spec]],LstMachines[Status],PrévisionBoris[[#This Row],[Status]],LstMachines[MoisLivr],AJ$1)</f>
        <v>0</v>
      </c>
      <c r="AK135" s="220">
        <f>SUMIFS(LstMachines[Nbre],LstMachines[Model-Spec],PrévisionBoris[[#This Row],[Spec]],LstMachines[Status],PrévisionBoris[[#This Row],[Status]],LstMachines[MoisLivr],AK$1)</f>
        <v>0</v>
      </c>
      <c r="AL135" s="219">
        <f>SUMIFS(LstMachines[Nbre],LstMachines[Model-Spec],PrévisionBoris[[#This Row],[Spec]],LstMachines[Status],PrévisionBoris[[#This Row],[Status]],LstMachines[MoisLivr],AL$1)</f>
        <v>0</v>
      </c>
      <c r="AM135" s="220">
        <f>SUMIFS(LstMachines[Nbre],LstMachines[Model-Spec],PrévisionBoris[[#This Row],[Spec]],LstMachines[Status],PrévisionBoris[[#This Row],[Status]],LstMachines[MoisLivr],AM$1)</f>
        <v>0</v>
      </c>
      <c r="AN135" s="220">
        <f>SUMIFS(LstMachines[Nbre],LstMachines[Model-Spec],PrévisionBoris[[#This Row],[Spec]],LstMachines[Status],PrévisionBoris[[#This Row],[Status]],LstMachines[MoisLivr],AN$1)</f>
        <v>0</v>
      </c>
      <c r="AO135" s="219">
        <f>SUMIFS(LstMachines[Nbre],LstMachines[Model-Spec],PrévisionBoris[[#This Row],[Spec]],LstMachines[Status],PrévisionBoris[[#This Row],[Status]],LstMachines[MoisLivr],AO$1)</f>
        <v>0</v>
      </c>
      <c r="AP135" s="220">
        <f>SUMIFS(LstMachines[Nbre],LstMachines[Model-Spec],PrévisionBoris[[#This Row],[Spec]],LstMachines[Status],PrévisionBoris[[#This Row],[Status]],LstMachines[MoisLivr],AP$1)</f>
        <v>0</v>
      </c>
      <c r="AQ135" s="220">
        <f>SUMIFS(LstMachines[Nbre],LstMachines[Model-Spec],PrévisionBoris[[#This Row],[Spec]],LstMachines[Status],PrévisionBoris[[#This Row],[Status]],LstMachines[MoisLivr],AQ$1)</f>
        <v>0</v>
      </c>
      <c r="AR135" s="219">
        <f>SUMIFS(LstMachines[Nbre],LstMachines[Model-Spec],PrévisionBoris[[#This Row],[Spec]],LstMachines[Status],PrévisionBoris[[#This Row],[Status]],LstMachines[MoisLivr],AR$1)</f>
        <v>0</v>
      </c>
      <c r="AS135" s="220">
        <f>SUMIFS(LstMachines[Nbre],LstMachines[Model-Spec],PrévisionBoris[[#This Row],[Spec]],LstMachines[Status],PrévisionBoris[[#This Row],[Status]],LstMachines[MoisLivr],AS$1)</f>
        <v>0</v>
      </c>
      <c r="AT135" s="220">
        <f>SUMIFS(LstMachines[Nbre],LstMachines[Model-Spec],PrévisionBoris[[#This Row],[Spec]],LstMachines[Status],PrévisionBoris[[#This Row],[Status]],LstMachines[MoisLivr],AT$1)</f>
        <v>0</v>
      </c>
      <c r="AU135" s="219">
        <f>SUMIFS(LstMachines[Nbre],LstMachines[Model-Spec],PrévisionBoris[[#This Row],[Spec]],LstMachines[Status],PrévisionBoris[[#This Row],[Status]],LstMachines[MoisLivr],AU$1)</f>
        <v>0</v>
      </c>
      <c r="AV135" s="223">
        <f>SUMIFS(LstMachines[Nbre],LstMachines[Model-Spec],PrévisionBoris[[#This Row],[Spec]],LstMachines[Status],PrévisionBoris[[#This Row],[Status]],LstMachines[MoisLivr],AV$1)</f>
        <v>0</v>
      </c>
      <c r="AW135" s="224">
        <f>SUMIFS(LstMachines[Nbre],LstMachines[Model-Spec],PrévisionBoris[[#This Row],[Spec]],LstMachines[Status],PrévisionBoris[[#This Row],[Status]],LstMachines[MoisLivr],AW$1)</f>
        <v>0</v>
      </c>
      <c r="AX135" s="210"/>
      <c r="AY135" s="211">
        <f t="shared" si="19"/>
        <v>0</v>
      </c>
      <c r="AZ135" s="212">
        <f t="shared" si="20"/>
        <v>0</v>
      </c>
      <c r="BA135" s="212">
        <f t="shared" si="21"/>
        <v>0</v>
      </c>
      <c r="BB135" s="213">
        <f t="shared" si="22"/>
        <v>0</v>
      </c>
      <c r="BC135" s="225">
        <f t="shared" si="23"/>
        <v>0</v>
      </c>
      <c r="BD135" s="211">
        <f t="shared" si="24"/>
        <v>0</v>
      </c>
      <c r="BE135" s="212">
        <f t="shared" si="25"/>
        <v>0</v>
      </c>
      <c r="BF135" s="212">
        <f t="shared" si="26"/>
        <v>0</v>
      </c>
      <c r="BG135" s="213">
        <f t="shared" si="27"/>
        <v>0</v>
      </c>
      <c r="BH135" s="225">
        <f t="shared" si="28"/>
        <v>0</v>
      </c>
      <c r="BI135" s="214">
        <f t="shared" si="29"/>
        <v>0</v>
      </c>
      <c r="BJ135" s="215">
        <f t="shared" si="30"/>
        <v>0</v>
      </c>
      <c r="BK135" s="215">
        <f t="shared" si="31"/>
        <v>0</v>
      </c>
      <c r="BL135" s="216">
        <f t="shared" si="32"/>
        <v>0</v>
      </c>
      <c r="BM135" s="225">
        <f t="shared" si="33"/>
        <v>0</v>
      </c>
      <c r="BN135" s="225"/>
      <c r="BO135" s="217"/>
      <c r="BP135" s="218">
        <f t="shared" si="34"/>
        <v>0</v>
      </c>
    </row>
    <row r="136" spans="1:68">
      <c r="A136" s="171">
        <v>129</v>
      </c>
      <c r="B136" s="171" t="s">
        <v>75</v>
      </c>
      <c r="C136" s="201">
        <v>38</v>
      </c>
      <c r="D136" s="171" t="s">
        <v>188</v>
      </c>
      <c r="E136" s="171" t="s">
        <v>418</v>
      </c>
      <c r="F136" s="201">
        <f>VLOOKUP(PrévisionBoris[[#This Row],[Spec]],TabModelSpecs[[ModelSpec]:[Price]],2,FALSE)</f>
        <v>38</v>
      </c>
      <c r="G136" s="171" t="s">
        <v>463</v>
      </c>
      <c r="H136" s="226">
        <f>SUMIFS(LstMachines[Nbre],LstMachines[Model-Spec],PrévisionBoris[[#This Row],[Spec]],LstMachines[Status],PrévisionBoris[[#This Row],[Status]],LstMachines[MoisLivr],H$1)</f>
        <v>0</v>
      </c>
      <c r="I136" s="227">
        <f>SUMIFS(LstMachines[Nbre],LstMachines[Model-Spec],PrévisionBoris[[#This Row],[Spec]],LstMachines[Status],PrévisionBoris[[#This Row],[Status]],LstMachines[MoisLivr],I$1)</f>
        <v>0</v>
      </c>
      <c r="J136" s="228">
        <f>SUMIFS(LstMachines[Nbre],LstMachines[Model-Spec],PrévisionBoris[[#This Row],[Spec]],LstMachines[Status],PrévisionBoris[[#This Row],[Status]],LstMachines[MoisLivr],J$1)</f>
        <v>0</v>
      </c>
      <c r="K136" s="226">
        <f>SUMIFS(LstMachines[Nbre],LstMachines[Model-Spec],PrévisionBoris[[#This Row],[Spec]],LstMachines[Status],PrévisionBoris[[#This Row],[Status]],LstMachines[MoisLivr],K$1)</f>
        <v>0</v>
      </c>
      <c r="L136" s="227">
        <f>SUMIFS(LstMachines[Nbre],LstMachines[Model-Spec],PrévisionBoris[[#This Row],[Spec]],LstMachines[Status],PrévisionBoris[[#This Row],[Status]],LstMachines[MoisLivr],L$1)</f>
        <v>0</v>
      </c>
      <c r="M136" s="228">
        <f>SUMIFS(LstMachines[Nbre],LstMachines[Model-Spec],PrévisionBoris[[#This Row],[Spec]],LstMachines[Status],PrévisionBoris[[#This Row],[Status]],LstMachines[MoisLivr],M$1)</f>
        <v>0</v>
      </c>
      <c r="N136" s="226">
        <f>SUMIFS(LstMachines[Nbre],LstMachines[Model-Spec],PrévisionBoris[[#This Row],[Spec]],LstMachines[Status],PrévisionBoris[[#This Row],[Status]],LstMachines[MoisLivr],N$1)</f>
        <v>0</v>
      </c>
      <c r="O136" s="227">
        <f>SUMIFS(LstMachines[Nbre],LstMachines[Model-Spec],PrévisionBoris[[#This Row],[Spec]],LstMachines[Status],PrévisionBoris[[#This Row],[Status]],LstMachines[MoisLivr],O$1)</f>
        <v>0</v>
      </c>
      <c r="P136" s="228">
        <f>SUMIFS(LstMachines[Nbre],LstMachines[Model-Spec],PrévisionBoris[[#This Row],[Spec]],LstMachines[Status],PrévisionBoris[[#This Row],[Status]],LstMachines[MoisLivr],P$1)</f>
        <v>0</v>
      </c>
      <c r="Q136" s="229">
        <f>SUMIFS(LstMachines[Nbre],LstMachines[Model-Spec],PrévisionBoris[[#This Row],[Spec]],LstMachines[Status],PrévisionBoris[[#This Row],[Status]],LstMachines[MoisLivr],Q$1)</f>
        <v>0</v>
      </c>
      <c r="R136" s="227">
        <f>SUMIFS(LstMachines[Nbre],LstMachines[Model-Spec],PrévisionBoris[[#This Row],[Spec]],LstMachines[Status],PrévisionBoris[[#This Row],[Status]],LstMachines[MoisLivr],R$1)</f>
        <v>0</v>
      </c>
      <c r="S136" s="227">
        <f>SUMIFS(LstMachines[Nbre],LstMachines[Model-Spec],PrévisionBoris[[#This Row],[Spec]],LstMachines[Status],PrévisionBoris[[#This Row],[Status]],LstMachines[MoisLivr],S$1)</f>
        <v>0</v>
      </c>
      <c r="T136" s="226">
        <f>SUMIFS(LstMachines[Nbre],LstMachines[Model-Spec],PrévisionBoris[[#This Row],[Spec]],LstMachines[Status],PrévisionBoris[[#This Row],[Status]],LstMachines[MoisLivr],T$1)</f>
        <v>0</v>
      </c>
      <c r="U136" s="227">
        <f>SUMIFS(LstMachines[Nbre],LstMachines[Model-Spec],PrévisionBoris[[#This Row],[Spec]],LstMachines[Status],PrévisionBoris[[#This Row],[Status]],LstMachines[MoisLivr],U$1)</f>
        <v>0</v>
      </c>
      <c r="V136" s="227">
        <f>SUMIFS(LstMachines[Nbre],LstMachines[Model-Spec],PrévisionBoris[[#This Row],[Spec]],LstMachines[Status],PrévisionBoris[[#This Row],[Status]],LstMachines[MoisLivr],V$1)</f>
        <v>0</v>
      </c>
      <c r="W136" s="226">
        <f>SUMIFS(LstMachines[Nbre],LstMachines[Model-Spec],PrévisionBoris[[#This Row],[Spec]],LstMachines[Status],PrévisionBoris[[#This Row],[Status]],LstMachines[MoisLivr],W$1)</f>
        <v>0</v>
      </c>
      <c r="X136" s="227">
        <f>SUMIFS(LstMachines[Nbre],LstMachines[Model-Spec],PrévisionBoris[[#This Row],[Spec]],LstMachines[Status],PrévisionBoris[[#This Row],[Status]],LstMachines[MoisLivr],X$1)</f>
        <v>0</v>
      </c>
      <c r="Y136" s="227">
        <f>SUMIFS(LstMachines[Nbre],LstMachines[Model-Spec],PrévisionBoris[[#This Row],[Spec]],LstMachines[Status],PrévisionBoris[[#This Row],[Status]],LstMachines[MoisLivr],Y$1)</f>
        <v>0</v>
      </c>
      <c r="Z136" s="226">
        <f>SUMIFS(LstMachines[Nbre],LstMachines[Model-Spec],PrévisionBoris[[#This Row],[Spec]],LstMachines[Status],PrévisionBoris[[#This Row],[Status]],LstMachines[MoisLivr],Z$1)</f>
        <v>0</v>
      </c>
      <c r="AA136" s="227">
        <f>SUMIFS(LstMachines[Nbre],LstMachines[Model-Spec],PrévisionBoris[[#This Row],[Spec]],LstMachines[Status],PrévisionBoris[[#This Row],[Status]],LstMachines[MoisLivr],AA$1)</f>
        <v>0</v>
      </c>
      <c r="AB136" s="227">
        <f>SUMIFS(LstMachines[Nbre],LstMachines[Model-Spec],PrévisionBoris[[#This Row],[Spec]],LstMachines[Status],PrévisionBoris[[#This Row],[Status]],LstMachines[MoisLivr],AB$1)</f>
        <v>0</v>
      </c>
      <c r="AC136" s="226">
        <f>SUMIFS(LstMachines[Nbre],LstMachines[Model-Spec],PrévisionBoris[[#This Row],[Spec]],LstMachines[Status],PrévisionBoris[[#This Row],[Status]],LstMachines[MoisLivr],AC$1)</f>
        <v>0</v>
      </c>
      <c r="AD136" s="227">
        <f>SUMIFS(LstMachines[Nbre],LstMachines[Model-Spec],PrévisionBoris[[#This Row],[Spec]],LstMachines[Status],PrévisionBoris[[#This Row],[Status]],LstMachines[MoisLivr],AD$1)</f>
        <v>0</v>
      </c>
      <c r="AE136" s="227">
        <f>SUMIFS(LstMachines[Nbre],LstMachines[Model-Spec],PrévisionBoris[[#This Row],[Spec]],LstMachines[Status],PrévisionBoris[[#This Row],[Status]],LstMachines[MoisLivr],AE$1)</f>
        <v>0</v>
      </c>
      <c r="AF136" s="226">
        <f>SUMIFS(LstMachines[Nbre],LstMachines[Model-Spec],PrévisionBoris[[#This Row],[Spec]],LstMachines[Status],PrévisionBoris[[#This Row],[Status]],LstMachines[MoisLivr],AF$1)</f>
        <v>0</v>
      </c>
      <c r="AG136" s="227">
        <f>SUMIFS(LstMachines[Nbre],LstMachines[Model-Spec],PrévisionBoris[[#This Row],[Spec]],LstMachines[Status],PrévisionBoris[[#This Row],[Status]],LstMachines[MoisLivr],AG$1)</f>
        <v>0</v>
      </c>
      <c r="AH136" s="227">
        <f>SUMIFS(LstMachines[Nbre],LstMachines[Model-Spec],PrévisionBoris[[#This Row],[Spec]],LstMachines[Status],PrévisionBoris[[#This Row],[Status]],LstMachines[MoisLivr],AH$1)</f>
        <v>0</v>
      </c>
      <c r="AI136" s="226">
        <f>SUMIFS(LstMachines[Nbre],LstMachines[Model-Spec],PrévisionBoris[[#This Row],[Spec]],LstMachines[Status],PrévisionBoris[[#This Row],[Status]],LstMachines[MoisLivr],AI$1)</f>
        <v>0</v>
      </c>
      <c r="AJ136" s="227">
        <f>SUMIFS(LstMachines[Nbre],LstMachines[Model-Spec],PrévisionBoris[[#This Row],[Spec]],LstMachines[Status],PrévisionBoris[[#This Row],[Status]],LstMachines[MoisLivr],AJ$1)</f>
        <v>0</v>
      </c>
      <c r="AK136" s="227">
        <f>SUMIFS(LstMachines[Nbre],LstMachines[Model-Spec],PrévisionBoris[[#This Row],[Spec]],LstMachines[Status],PrévisionBoris[[#This Row],[Status]],LstMachines[MoisLivr],AK$1)</f>
        <v>0</v>
      </c>
      <c r="AL136" s="226">
        <f>SUMIFS(LstMachines[Nbre],LstMachines[Model-Spec],PrévisionBoris[[#This Row],[Spec]],LstMachines[Status],PrévisionBoris[[#This Row],[Status]],LstMachines[MoisLivr],AL$1)</f>
        <v>0</v>
      </c>
      <c r="AM136" s="227">
        <f>SUMIFS(LstMachines[Nbre],LstMachines[Model-Spec],PrévisionBoris[[#This Row],[Spec]],LstMachines[Status],PrévisionBoris[[#This Row],[Status]],LstMachines[MoisLivr],AM$1)</f>
        <v>0</v>
      </c>
      <c r="AN136" s="227">
        <f>SUMIFS(LstMachines[Nbre],LstMachines[Model-Spec],PrévisionBoris[[#This Row],[Spec]],LstMachines[Status],PrévisionBoris[[#This Row],[Status]],LstMachines[MoisLivr],AN$1)</f>
        <v>0</v>
      </c>
      <c r="AO136" s="226">
        <f>SUMIFS(LstMachines[Nbre],LstMachines[Model-Spec],PrévisionBoris[[#This Row],[Spec]],LstMachines[Status],PrévisionBoris[[#This Row],[Status]],LstMachines[MoisLivr],AO$1)</f>
        <v>0</v>
      </c>
      <c r="AP136" s="227">
        <f>SUMIFS(LstMachines[Nbre],LstMachines[Model-Spec],PrévisionBoris[[#This Row],[Spec]],LstMachines[Status],PrévisionBoris[[#This Row],[Status]],LstMachines[MoisLivr],AP$1)</f>
        <v>0</v>
      </c>
      <c r="AQ136" s="227">
        <f>SUMIFS(LstMachines[Nbre],LstMachines[Model-Spec],PrévisionBoris[[#This Row],[Spec]],LstMachines[Status],PrévisionBoris[[#This Row],[Status]],LstMachines[MoisLivr],AQ$1)</f>
        <v>0</v>
      </c>
      <c r="AR136" s="226">
        <f>SUMIFS(LstMachines[Nbre],LstMachines[Model-Spec],PrévisionBoris[[#This Row],[Spec]],LstMachines[Status],PrévisionBoris[[#This Row],[Status]],LstMachines[MoisLivr],AR$1)</f>
        <v>0</v>
      </c>
      <c r="AS136" s="227">
        <f>SUMIFS(LstMachines[Nbre],LstMachines[Model-Spec],PrévisionBoris[[#This Row],[Spec]],LstMachines[Status],PrévisionBoris[[#This Row],[Status]],LstMachines[MoisLivr],AS$1)</f>
        <v>0</v>
      </c>
      <c r="AT136" s="227">
        <f>SUMIFS(LstMachines[Nbre],LstMachines[Model-Spec],PrévisionBoris[[#This Row],[Spec]],LstMachines[Status],PrévisionBoris[[#This Row],[Status]],LstMachines[MoisLivr],AT$1)</f>
        <v>0</v>
      </c>
      <c r="AU136" s="226">
        <f>SUMIFS(LstMachines[Nbre],LstMachines[Model-Spec],PrévisionBoris[[#This Row],[Spec]],LstMachines[Status],PrévisionBoris[[#This Row],[Status]],LstMachines[MoisLivr],AU$1)</f>
        <v>0</v>
      </c>
      <c r="AV136" s="230">
        <f>SUMIFS(LstMachines[Nbre],LstMachines[Model-Spec],PrévisionBoris[[#This Row],[Spec]],LstMachines[Status],PrévisionBoris[[#This Row],[Status]],LstMachines[MoisLivr],AV$1)</f>
        <v>0</v>
      </c>
      <c r="AW136" s="231">
        <f>SUMIFS(LstMachines[Nbre],LstMachines[Model-Spec],PrévisionBoris[[#This Row],[Spec]],LstMachines[Status],PrévisionBoris[[#This Row],[Status]],LstMachines[MoisLivr],AW$1)</f>
        <v>0</v>
      </c>
      <c r="AX136" s="232"/>
      <c r="AY136" s="211">
        <f t="shared" ref="AY136:AY199" si="35">SUM(K136:M136)</f>
        <v>0</v>
      </c>
      <c r="AZ136" s="212">
        <f t="shared" ref="AZ136:AZ199" si="36">SUM(N136:P136)</f>
        <v>0</v>
      </c>
      <c r="BA136" s="212">
        <f t="shared" ref="BA136:BA199" si="37">SUM(Q136:S136)</f>
        <v>0</v>
      </c>
      <c r="BB136" s="213">
        <f t="shared" ref="BB136:BB199" si="38">SUM(T136:V136)</f>
        <v>0</v>
      </c>
      <c r="BC136" s="225">
        <f t="shared" ref="BC136:BC199" si="39">SUM(AY136:BB136)</f>
        <v>0</v>
      </c>
      <c r="BD136" s="211">
        <f t="shared" ref="BD136:BD199" si="40">SUM(W136:Y136)</f>
        <v>0</v>
      </c>
      <c r="BE136" s="212">
        <f t="shared" ref="BE136:BE199" si="41">SUM(Z136:AB136)</f>
        <v>0</v>
      </c>
      <c r="BF136" s="212">
        <f t="shared" ref="BF136:BF199" si="42">SUM(AC136:AE136)</f>
        <v>0</v>
      </c>
      <c r="BG136" s="213">
        <f t="shared" ref="BG136:BG199" si="43">SUM(AF136:AH136)</f>
        <v>0</v>
      </c>
      <c r="BH136" s="225">
        <f t="shared" ref="BH136:BH199" si="44">SUM(BD136:BG136)</f>
        <v>0</v>
      </c>
      <c r="BI136" s="214">
        <f t="shared" ref="BI136:BI199" si="45">SUM(AI136:AK136)</f>
        <v>0</v>
      </c>
      <c r="BJ136" s="215">
        <f t="shared" ref="BJ136:BJ199" si="46">SUM(AL136:AN136)</f>
        <v>0</v>
      </c>
      <c r="BK136" s="215">
        <f t="shared" ref="BK136:BK199" si="47">SUM(AO136:AQ136)</f>
        <v>0</v>
      </c>
      <c r="BL136" s="216">
        <f t="shared" ref="BL136:BL199" si="48">SUM(AR136:AT136)</f>
        <v>0</v>
      </c>
      <c r="BM136" s="225">
        <f t="shared" ref="BM136:BM199" si="49">SUM(BI136:BL136)</f>
        <v>0</v>
      </c>
      <c r="BN136" s="225"/>
      <c r="BO136" s="217"/>
      <c r="BP136" s="218">
        <f t="shared" ref="BP136:BP199" si="50">SUM(H136:AU136)</f>
        <v>0</v>
      </c>
    </row>
    <row r="137" spans="1:68">
      <c r="A137" s="172">
        <v>130</v>
      </c>
      <c r="B137" s="172" t="s">
        <v>75</v>
      </c>
      <c r="C137" s="202">
        <v>38</v>
      </c>
      <c r="D137" s="172" t="s">
        <v>188</v>
      </c>
      <c r="E137" s="172" t="s">
        <v>419</v>
      </c>
      <c r="F137" s="202">
        <f>VLOOKUP(PrévisionBoris[[#This Row],[Spec]],TabModelSpecs[[ModelSpec]:[Price]],2,FALSE)</f>
        <v>38</v>
      </c>
      <c r="G137" s="172" t="s">
        <v>461</v>
      </c>
      <c r="H137" s="206">
        <f>SUMIFS(LstMachines[Nbre],LstMachines[Model-Spec],PrévisionBoris[[#This Row],[Spec]],LstMachines[Status],PrévisionBoris[[#This Row],[Status]],LstMachines[MoisLivr],H$1)</f>
        <v>0</v>
      </c>
      <c r="I137" s="207">
        <f>SUMIFS(LstMachines[Nbre],LstMachines[Model-Spec],PrévisionBoris[[#This Row],[Spec]],LstMachines[Status],PrévisionBoris[[#This Row],[Status]],LstMachines[MoisLivr],I$1)</f>
        <v>0</v>
      </c>
      <c r="J137" s="208">
        <f>SUMIFS(LstMachines[Nbre],LstMachines[Model-Spec],PrévisionBoris[[#This Row],[Spec]],LstMachines[Status],PrévisionBoris[[#This Row],[Status]],LstMachines[MoisLivr],J$1)</f>
        <v>0</v>
      </c>
      <c r="K137" s="206">
        <f>SUMIFS(LstMachines[Nbre],LstMachines[Model-Spec],PrévisionBoris[[#This Row],[Spec]],LstMachines[Status],PrévisionBoris[[#This Row],[Status]],LstMachines[MoisLivr],K$1)</f>
        <v>0</v>
      </c>
      <c r="L137" s="207">
        <f>SUMIFS(LstMachines[Nbre],LstMachines[Model-Spec],PrévisionBoris[[#This Row],[Spec]],LstMachines[Status],PrévisionBoris[[#This Row],[Status]],LstMachines[MoisLivr],L$1)</f>
        <v>0</v>
      </c>
      <c r="M137" s="208">
        <f>SUMIFS(LstMachines[Nbre],LstMachines[Model-Spec],PrévisionBoris[[#This Row],[Spec]],LstMachines[Status],PrévisionBoris[[#This Row],[Status]],LstMachines[MoisLivr],M$1)</f>
        <v>0</v>
      </c>
      <c r="N137" s="206">
        <f>SUMIFS(LstMachines[Nbre],LstMachines[Model-Spec],PrévisionBoris[[#This Row],[Spec]],LstMachines[Status],PrévisionBoris[[#This Row],[Status]],LstMachines[MoisLivr],N$1)</f>
        <v>0</v>
      </c>
      <c r="O137" s="207">
        <f>SUMIFS(LstMachines[Nbre],LstMachines[Model-Spec],PrévisionBoris[[#This Row],[Spec]],LstMachines[Status],PrévisionBoris[[#This Row],[Status]],LstMachines[MoisLivr],O$1)</f>
        <v>0</v>
      </c>
      <c r="P137" s="208">
        <f>SUMIFS(LstMachines[Nbre],LstMachines[Model-Spec],PrévisionBoris[[#This Row],[Spec]],LstMachines[Status],PrévisionBoris[[#This Row],[Status]],LstMachines[MoisLivr],P$1)</f>
        <v>0</v>
      </c>
      <c r="Q137" s="209">
        <f>SUMIFS(LstMachines[Nbre],LstMachines[Model-Spec],PrévisionBoris[[#This Row],[Spec]],LstMachines[Status],PrévisionBoris[[#This Row],[Status]],LstMachines[MoisLivr],Q$1)</f>
        <v>0</v>
      </c>
      <c r="R137" s="207">
        <f>SUMIFS(LstMachines[Nbre],LstMachines[Model-Spec],PrévisionBoris[[#This Row],[Spec]],LstMachines[Status],PrévisionBoris[[#This Row],[Status]],LstMachines[MoisLivr],R$1)</f>
        <v>0</v>
      </c>
      <c r="S137" s="207">
        <f>SUMIFS(LstMachines[Nbre],LstMachines[Model-Spec],PrévisionBoris[[#This Row],[Spec]],LstMachines[Status],PrévisionBoris[[#This Row],[Status]],LstMachines[MoisLivr],S$1)</f>
        <v>0</v>
      </c>
      <c r="T137" s="206">
        <f>SUMIFS(LstMachines[Nbre],LstMachines[Model-Spec],PrévisionBoris[[#This Row],[Spec]],LstMachines[Status],PrévisionBoris[[#This Row],[Status]],LstMachines[MoisLivr],T$1)</f>
        <v>0</v>
      </c>
      <c r="U137" s="207">
        <f>SUMIFS(LstMachines[Nbre],LstMachines[Model-Spec],PrévisionBoris[[#This Row],[Spec]],LstMachines[Status],PrévisionBoris[[#This Row],[Status]],LstMachines[MoisLivr],U$1)</f>
        <v>0</v>
      </c>
      <c r="V137" s="207">
        <f>SUMIFS(LstMachines[Nbre],LstMachines[Model-Spec],PrévisionBoris[[#This Row],[Spec]],LstMachines[Status],PrévisionBoris[[#This Row],[Status]],LstMachines[MoisLivr],V$1)</f>
        <v>0</v>
      </c>
      <c r="W137" s="206">
        <f>SUMIFS(LstMachines[Nbre],LstMachines[Model-Spec],PrévisionBoris[[#This Row],[Spec]],LstMachines[Status],PrévisionBoris[[#This Row],[Status]],LstMachines[MoisLivr],W$1)</f>
        <v>0</v>
      </c>
      <c r="X137" s="207">
        <f>SUMIFS(LstMachines[Nbre],LstMachines[Model-Spec],PrévisionBoris[[#This Row],[Spec]],LstMachines[Status],PrévisionBoris[[#This Row],[Status]],LstMachines[MoisLivr],X$1)</f>
        <v>0</v>
      </c>
      <c r="Y137" s="207">
        <f>SUMIFS(LstMachines[Nbre],LstMachines[Model-Spec],PrévisionBoris[[#This Row],[Spec]],LstMachines[Status],PrévisionBoris[[#This Row],[Status]],LstMachines[MoisLivr],Y$1)</f>
        <v>0</v>
      </c>
      <c r="Z137" s="206">
        <f>SUMIFS(LstMachines[Nbre],LstMachines[Model-Spec],PrévisionBoris[[#This Row],[Spec]],LstMachines[Status],PrévisionBoris[[#This Row],[Status]],LstMachines[MoisLivr],Z$1)</f>
        <v>0</v>
      </c>
      <c r="AA137" s="207">
        <f>SUMIFS(LstMachines[Nbre],LstMachines[Model-Spec],PrévisionBoris[[#This Row],[Spec]],LstMachines[Status],PrévisionBoris[[#This Row],[Status]],LstMachines[MoisLivr],AA$1)</f>
        <v>0</v>
      </c>
      <c r="AB137" s="207">
        <f>SUMIFS(LstMachines[Nbre],LstMachines[Model-Spec],PrévisionBoris[[#This Row],[Spec]],LstMachines[Status],PrévisionBoris[[#This Row],[Status]],LstMachines[MoisLivr],AB$1)</f>
        <v>0</v>
      </c>
      <c r="AC137" s="206">
        <f>SUMIFS(LstMachines[Nbre],LstMachines[Model-Spec],PrévisionBoris[[#This Row],[Spec]],LstMachines[Status],PrévisionBoris[[#This Row],[Status]],LstMachines[MoisLivr],AC$1)</f>
        <v>0</v>
      </c>
      <c r="AD137" s="207">
        <f>SUMIFS(LstMachines[Nbre],LstMachines[Model-Spec],PrévisionBoris[[#This Row],[Spec]],LstMachines[Status],PrévisionBoris[[#This Row],[Status]],LstMachines[MoisLivr],AD$1)</f>
        <v>0</v>
      </c>
      <c r="AE137" s="207">
        <f>SUMIFS(LstMachines[Nbre],LstMachines[Model-Spec],PrévisionBoris[[#This Row],[Spec]],LstMachines[Status],PrévisionBoris[[#This Row],[Status]],LstMachines[MoisLivr],AE$1)</f>
        <v>0</v>
      </c>
      <c r="AF137" s="206">
        <f>SUMIFS(LstMachines[Nbre],LstMachines[Model-Spec],PrévisionBoris[[#This Row],[Spec]],LstMachines[Status],PrévisionBoris[[#This Row],[Status]],LstMachines[MoisLivr],AF$1)</f>
        <v>0</v>
      </c>
      <c r="AG137" s="207">
        <f>SUMIFS(LstMachines[Nbre],LstMachines[Model-Spec],PrévisionBoris[[#This Row],[Spec]],LstMachines[Status],PrévisionBoris[[#This Row],[Status]],LstMachines[MoisLivr],AG$1)</f>
        <v>0</v>
      </c>
      <c r="AH137" s="207">
        <f>SUMIFS(LstMachines[Nbre],LstMachines[Model-Spec],PrévisionBoris[[#This Row],[Spec]],LstMachines[Status],PrévisionBoris[[#This Row],[Status]],LstMachines[MoisLivr],AH$1)</f>
        <v>0</v>
      </c>
      <c r="AI137" s="206">
        <f>SUMIFS(LstMachines[Nbre],LstMachines[Model-Spec],PrévisionBoris[[#This Row],[Spec]],LstMachines[Status],PrévisionBoris[[#This Row],[Status]],LstMachines[MoisLivr],AI$1)</f>
        <v>0</v>
      </c>
      <c r="AJ137" s="207">
        <f>SUMIFS(LstMachines[Nbre],LstMachines[Model-Spec],PrévisionBoris[[#This Row],[Spec]],LstMachines[Status],PrévisionBoris[[#This Row],[Status]],LstMachines[MoisLivr],AJ$1)</f>
        <v>0</v>
      </c>
      <c r="AK137" s="207">
        <f>SUMIFS(LstMachines[Nbre],LstMachines[Model-Spec],PrévisionBoris[[#This Row],[Spec]],LstMachines[Status],PrévisionBoris[[#This Row],[Status]],LstMachines[MoisLivr],AK$1)</f>
        <v>0</v>
      </c>
      <c r="AL137" s="206">
        <f>SUMIFS(LstMachines[Nbre],LstMachines[Model-Spec],PrévisionBoris[[#This Row],[Spec]],LstMachines[Status],PrévisionBoris[[#This Row],[Status]],LstMachines[MoisLivr],AL$1)</f>
        <v>0</v>
      </c>
      <c r="AM137" s="207">
        <f>SUMIFS(LstMachines[Nbre],LstMachines[Model-Spec],PrévisionBoris[[#This Row],[Spec]],LstMachines[Status],PrévisionBoris[[#This Row],[Status]],LstMachines[MoisLivr],AM$1)</f>
        <v>0</v>
      </c>
      <c r="AN137" s="207">
        <f>SUMIFS(LstMachines[Nbre],LstMachines[Model-Spec],PrévisionBoris[[#This Row],[Spec]],LstMachines[Status],PrévisionBoris[[#This Row],[Status]],LstMachines[MoisLivr],AN$1)</f>
        <v>0</v>
      </c>
      <c r="AO137" s="206">
        <f>SUMIFS(LstMachines[Nbre],LstMachines[Model-Spec],PrévisionBoris[[#This Row],[Spec]],LstMachines[Status],PrévisionBoris[[#This Row],[Status]],LstMachines[MoisLivr],AO$1)</f>
        <v>0</v>
      </c>
      <c r="AP137" s="207">
        <f>SUMIFS(LstMachines[Nbre],LstMachines[Model-Spec],PrévisionBoris[[#This Row],[Spec]],LstMachines[Status],PrévisionBoris[[#This Row],[Status]],LstMachines[MoisLivr],AP$1)</f>
        <v>0</v>
      </c>
      <c r="AQ137" s="207">
        <f>SUMIFS(LstMachines[Nbre],LstMachines[Model-Spec],PrévisionBoris[[#This Row],[Spec]],LstMachines[Status],PrévisionBoris[[#This Row],[Status]],LstMachines[MoisLivr],AQ$1)</f>
        <v>0</v>
      </c>
      <c r="AR137" s="206">
        <f>SUMIFS(LstMachines[Nbre],LstMachines[Model-Spec],PrévisionBoris[[#This Row],[Spec]],LstMachines[Status],PrévisionBoris[[#This Row],[Status]],LstMachines[MoisLivr],AR$1)</f>
        <v>0</v>
      </c>
      <c r="AS137" s="207">
        <f>SUMIFS(LstMachines[Nbre],LstMachines[Model-Spec],PrévisionBoris[[#This Row],[Spec]],LstMachines[Status],PrévisionBoris[[#This Row],[Status]],LstMachines[MoisLivr],AS$1)</f>
        <v>0</v>
      </c>
      <c r="AT137" s="207">
        <f>SUMIFS(LstMachines[Nbre],LstMachines[Model-Spec],PrévisionBoris[[#This Row],[Spec]],LstMachines[Status],PrévisionBoris[[#This Row],[Status]],LstMachines[MoisLivr],AT$1)</f>
        <v>0</v>
      </c>
      <c r="AU137" s="206">
        <f>SUMIFS(LstMachines[Nbre],LstMachines[Model-Spec],PrévisionBoris[[#This Row],[Spec]],LstMachines[Status],PrévisionBoris[[#This Row],[Status]],LstMachines[MoisLivr],AU$1)</f>
        <v>0</v>
      </c>
      <c r="AV137" s="233">
        <f>SUMIFS(LstMachines[Nbre],LstMachines[Model-Spec],PrévisionBoris[[#This Row],[Spec]],LstMachines[Status],PrévisionBoris[[#This Row],[Status]],LstMachines[MoisLivr],AV$1)</f>
        <v>0</v>
      </c>
      <c r="AW137" s="208">
        <f>SUMIFS(LstMachines[Nbre],LstMachines[Model-Spec],PrévisionBoris[[#This Row],[Spec]],LstMachines[Status],PrévisionBoris[[#This Row],[Status]],LstMachines[MoisLivr],AW$1)</f>
        <v>0</v>
      </c>
      <c r="AX137" s="225"/>
      <c r="AY137" s="211">
        <f t="shared" si="35"/>
        <v>0</v>
      </c>
      <c r="AZ137" s="212">
        <f t="shared" si="36"/>
        <v>0</v>
      </c>
      <c r="BA137" s="212">
        <f t="shared" si="37"/>
        <v>0</v>
      </c>
      <c r="BB137" s="213">
        <f t="shared" si="38"/>
        <v>0</v>
      </c>
      <c r="BC137" s="225">
        <f t="shared" si="39"/>
        <v>0</v>
      </c>
      <c r="BD137" s="211">
        <f t="shared" si="40"/>
        <v>0</v>
      </c>
      <c r="BE137" s="212">
        <f t="shared" si="41"/>
        <v>0</v>
      </c>
      <c r="BF137" s="212">
        <f t="shared" si="42"/>
        <v>0</v>
      </c>
      <c r="BG137" s="213">
        <f t="shared" si="43"/>
        <v>0</v>
      </c>
      <c r="BH137" s="225">
        <f t="shared" si="44"/>
        <v>0</v>
      </c>
      <c r="BI137" s="214">
        <f t="shared" si="45"/>
        <v>0</v>
      </c>
      <c r="BJ137" s="215">
        <f t="shared" si="46"/>
        <v>0</v>
      </c>
      <c r="BK137" s="215">
        <f t="shared" si="47"/>
        <v>0</v>
      </c>
      <c r="BL137" s="216">
        <f t="shared" si="48"/>
        <v>0</v>
      </c>
      <c r="BM137" s="225">
        <f t="shared" si="49"/>
        <v>0</v>
      </c>
      <c r="BN137" s="225"/>
      <c r="BO137" s="234"/>
      <c r="BP137" s="218">
        <f t="shared" si="50"/>
        <v>0</v>
      </c>
    </row>
    <row r="138" spans="1:68">
      <c r="A138" s="170">
        <v>131</v>
      </c>
      <c r="B138" s="170" t="s">
        <v>75</v>
      </c>
      <c r="C138" s="200">
        <v>38</v>
      </c>
      <c r="D138" s="170" t="s">
        <v>188</v>
      </c>
      <c r="E138" s="170" t="s">
        <v>419</v>
      </c>
      <c r="F138" s="200">
        <f>VLOOKUP(PrévisionBoris[[#This Row],[Spec]],TabModelSpecs[[ModelSpec]:[Price]],2,FALSE)</f>
        <v>38</v>
      </c>
      <c r="G138" s="170" t="s">
        <v>462</v>
      </c>
      <c r="H138" s="219">
        <f>SUMIFS(LstMachines[Nbre],LstMachines[Model-Spec],PrévisionBoris[[#This Row],[Spec]],LstMachines[Status],PrévisionBoris[[#This Row],[Status]],LstMachines[MoisLivr],H$1)</f>
        <v>0</v>
      </c>
      <c r="I138" s="220">
        <f>SUMIFS(LstMachines[Nbre],LstMachines[Model-Spec],PrévisionBoris[[#This Row],[Spec]],LstMachines[Status],PrévisionBoris[[#This Row],[Status]],LstMachines[MoisLivr],I$1)</f>
        <v>0</v>
      </c>
      <c r="J138" s="221">
        <f>SUMIFS(LstMachines[Nbre],LstMachines[Model-Spec],PrévisionBoris[[#This Row],[Spec]],LstMachines[Status],PrévisionBoris[[#This Row],[Status]],LstMachines[MoisLivr],J$1)</f>
        <v>0</v>
      </c>
      <c r="K138" s="219">
        <f>SUMIFS(LstMachines[Nbre],LstMachines[Model-Spec],PrévisionBoris[[#This Row],[Spec]],LstMachines[Status],PrévisionBoris[[#This Row],[Status]],LstMachines[MoisLivr],K$1)</f>
        <v>0</v>
      </c>
      <c r="L138" s="220">
        <f>SUMIFS(LstMachines[Nbre],LstMachines[Model-Spec],PrévisionBoris[[#This Row],[Spec]],LstMachines[Status],PrévisionBoris[[#This Row],[Status]],LstMachines[MoisLivr],L$1)</f>
        <v>0</v>
      </c>
      <c r="M138" s="221">
        <f>SUMIFS(LstMachines[Nbre],LstMachines[Model-Spec],PrévisionBoris[[#This Row],[Spec]],LstMachines[Status],PrévisionBoris[[#This Row],[Status]],LstMachines[MoisLivr],M$1)</f>
        <v>0</v>
      </c>
      <c r="N138" s="219">
        <f>SUMIFS(LstMachines[Nbre],LstMachines[Model-Spec],PrévisionBoris[[#This Row],[Spec]],LstMachines[Status],PrévisionBoris[[#This Row],[Status]],LstMachines[MoisLivr],N$1)</f>
        <v>0</v>
      </c>
      <c r="O138" s="220">
        <f>SUMIFS(LstMachines[Nbre],LstMachines[Model-Spec],PrévisionBoris[[#This Row],[Spec]],LstMachines[Status],PrévisionBoris[[#This Row],[Status]],LstMachines[MoisLivr],O$1)</f>
        <v>0</v>
      </c>
      <c r="P138" s="221">
        <f>SUMIFS(LstMachines[Nbre],LstMachines[Model-Spec],PrévisionBoris[[#This Row],[Spec]],LstMachines[Status],PrévisionBoris[[#This Row],[Status]],LstMachines[MoisLivr],P$1)</f>
        <v>0</v>
      </c>
      <c r="Q138" s="222">
        <f>SUMIFS(LstMachines[Nbre],LstMachines[Model-Spec],PrévisionBoris[[#This Row],[Spec]],LstMachines[Status],PrévisionBoris[[#This Row],[Status]],LstMachines[MoisLivr],Q$1)</f>
        <v>0</v>
      </c>
      <c r="R138" s="220">
        <f>SUMIFS(LstMachines[Nbre],LstMachines[Model-Spec],PrévisionBoris[[#This Row],[Spec]],LstMachines[Status],PrévisionBoris[[#This Row],[Status]],LstMachines[MoisLivr],R$1)</f>
        <v>0</v>
      </c>
      <c r="S138" s="220">
        <f>SUMIFS(LstMachines[Nbre],LstMachines[Model-Spec],PrévisionBoris[[#This Row],[Spec]],LstMachines[Status],PrévisionBoris[[#This Row],[Status]],LstMachines[MoisLivr],S$1)</f>
        <v>0</v>
      </c>
      <c r="T138" s="219">
        <f>SUMIFS(LstMachines[Nbre],LstMachines[Model-Spec],PrévisionBoris[[#This Row],[Spec]],LstMachines[Status],PrévisionBoris[[#This Row],[Status]],LstMachines[MoisLivr],T$1)</f>
        <v>0</v>
      </c>
      <c r="U138" s="220">
        <f>SUMIFS(LstMachines[Nbre],LstMachines[Model-Spec],PrévisionBoris[[#This Row],[Spec]],LstMachines[Status],PrévisionBoris[[#This Row],[Status]],LstMachines[MoisLivr],U$1)</f>
        <v>0</v>
      </c>
      <c r="V138" s="220">
        <f>SUMIFS(LstMachines[Nbre],LstMachines[Model-Spec],PrévisionBoris[[#This Row],[Spec]],LstMachines[Status],PrévisionBoris[[#This Row],[Status]],LstMachines[MoisLivr],V$1)</f>
        <v>0</v>
      </c>
      <c r="W138" s="219">
        <f>SUMIFS(LstMachines[Nbre],LstMachines[Model-Spec],PrévisionBoris[[#This Row],[Spec]],LstMachines[Status],PrévisionBoris[[#This Row],[Status]],LstMachines[MoisLivr],W$1)</f>
        <v>0</v>
      </c>
      <c r="X138" s="220">
        <f>SUMIFS(LstMachines[Nbre],LstMachines[Model-Spec],PrévisionBoris[[#This Row],[Spec]],LstMachines[Status],PrévisionBoris[[#This Row],[Status]],LstMachines[MoisLivr],X$1)</f>
        <v>0</v>
      </c>
      <c r="Y138" s="220">
        <f>SUMIFS(LstMachines[Nbre],LstMachines[Model-Spec],PrévisionBoris[[#This Row],[Spec]],LstMachines[Status],PrévisionBoris[[#This Row],[Status]],LstMachines[MoisLivr],Y$1)</f>
        <v>0</v>
      </c>
      <c r="Z138" s="219">
        <f>SUMIFS(LstMachines[Nbre],LstMachines[Model-Spec],PrévisionBoris[[#This Row],[Spec]],LstMachines[Status],PrévisionBoris[[#This Row],[Status]],LstMachines[MoisLivr],Z$1)</f>
        <v>0</v>
      </c>
      <c r="AA138" s="220">
        <f>SUMIFS(LstMachines[Nbre],LstMachines[Model-Spec],PrévisionBoris[[#This Row],[Spec]],LstMachines[Status],PrévisionBoris[[#This Row],[Status]],LstMachines[MoisLivr],AA$1)</f>
        <v>0</v>
      </c>
      <c r="AB138" s="220">
        <f>SUMIFS(LstMachines[Nbre],LstMachines[Model-Spec],PrévisionBoris[[#This Row],[Spec]],LstMachines[Status],PrévisionBoris[[#This Row],[Status]],LstMachines[MoisLivr],AB$1)</f>
        <v>0</v>
      </c>
      <c r="AC138" s="219">
        <f>SUMIFS(LstMachines[Nbre],LstMachines[Model-Spec],PrévisionBoris[[#This Row],[Spec]],LstMachines[Status],PrévisionBoris[[#This Row],[Status]],LstMachines[MoisLivr],AC$1)</f>
        <v>0</v>
      </c>
      <c r="AD138" s="220">
        <f>SUMIFS(LstMachines[Nbre],LstMachines[Model-Spec],PrévisionBoris[[#This Row],[Spec]],LstMachines[Status],PrévisionBoris[[#This Row],[Status]],LstMachines[MoisLivr],AD$1)</f>
        <v>0</v>
      </c>
      <c r="AE138" s="220">
        <f>SUMIFS(LstMachines[Nbre],LstMachines[Model-Spec],PrévisionBoris[[#This Row],[Spec]],LstMachines[Status],PrévisionBoris[[#This Row],[Status]],LstMachines[MoisLivr],AE$1)</f>
        <v>0</v>
      </c>
      <c r="AF138" s="219">
        <f>SUMIFS(LstMachines[Nbre],LstMachines[Model-Spec],PrévisionBoris[[#This Row],[Spec]],LstMachines[Status],PrévisionBoris[[#This Row],[Status]],LstMachines[MoisLivr],AF$1)</f>
        <v>0</v>
      </c>
      <c r="AG138" s="220">
        <f>SUMIFS(LstMachines[Nbre],LstMachines[Model-Spec],PrévisionBoris[[#This Row],[Spec]],LstMachines[Status],PrévisionBoris[[#This Row],[Status]],LstMachines[MoisLivr],AG$1)</f>
        <v>0</v>
      </c>
      <c r="AH138" s="220">
        <f>SUMIFS(LstMachines[Nbre],LstMachines[Model-Spec],PrévisionBoris[[#This Row],[Spec]],LstMachines[Status],PrévisionBoris[[#This Row],[Status]],LstMachines[MoisLivr],AH$1)</f>
        <v>0</v>
      </c>
      <c r="AI138" s="219">
        <f>SUMIFS(LstMachines[Nbre],LstMachines[Model-Spec],PrévisionBoris[[#This Row],[Spec]],LstMachines[Status],PrévisionBoris[[#This Row],[Status]],LstMachines[MoisLivr],AI$1)</f>
        <v>0</v>
      </c>
      <c r="AJ138" s="220">
        <f>SUMIFS(LstMachines[Nbre],LstMachines[Model-Spec],PrévisionBoris[[#This Row],[Spec]],LstMachines[Status],PrévisionBoris[[#This Row],[Status]],LstMachines[MoisLivr],AJ$1)</f>
        <v>0</v>
      </c>
      <c r="AK138" s="220">
        <f>SUMIFS(LstMachines[Nbre],LstMachines[Model-Spec],PrévisionBoris[[#This Row],[Spec]],LstMachines[Status],PrévisionBoris[[#This Row],[Status]],LstMachines[MoisLivr],AK$1)</f>
        <v>0</v>
      </c>
      <c r="AL138" s="219">
        <f>SUMIFS(LstMachines[Nbre],LstMachines[Model-Spec],PrévisionBoris[[#This Row],[Spec]],LstMachines[Status],PrévisionBoris[[#This Row],[Status]],LstMachines[MoisLivr],AL$1)</f>
        <v>0</v>
      </c>
      <c r="AM138" s="220">
        <f>SUMIFS(LstMachines[Nbre],LstMachines[Model-Spec],PrévisionBoris[[#This Row],[Spec]],LstMachines[Status],PrévisionBoris[[#This Row],[Status]],LstMachines[MoisLivr],AM$1)</f>
        <v>0</v>
      </c>
      <c r="AN138" s="220">
        <f>SUMIFS(LstMachines[Nbre],LstMachines[Model-Spec],PrévisionBoris[[#This Row],[Spec]],LstMachines[Status],PrévisionBoris[[#This Row],[Status]],LstMachines[MoisLivr],AN$1)</f>
        <v>0</v>
      </c>
      <c r="AO138" s="219">
        <f>SUMIFS(LstMachines[Nbre],LstMachines[Model-Spec],PrévisionBoris[[#This Row],[Spec]],LstMachines[Status],PrévisionBoris[[#This Row],[Status]],LstMachines[MoisLivr],AO$1)</f>
        <v>0</v>
      </c>
      <c r="AP138" s="220">
        <f>SUMIFS(LstMachines[Nbre],LstMachines[Model-Spec],PrévisionBoris[[#This Row],[Spec]],LstMachines[Status],PrévisionBoris[[#This Row],[Status]],LstMachines[MoisLivr],AP$1)</f>
        <v>0</v>
      </c>
      <c r="AQ138" s="220">
        <f>SUMIFS(LstMachines[Nbre],LstMachines[Model-Spec],PrévisionBoris[[#This Row],[Spec]],LstMachines[Status],PrévisionBoris[[#This Row],[Status]],LstMachines[MoisLivr],AQ$1)</f>
        <v>0</v>
      </c>
      <c r="AR138" s="219">
        <f>SUMIFS(LstMachines[Nbre],LstMachines[Model-Spec],PrévisionBoris[[#This Row],[Spec]],LstMachines[Status],PrévisionBoris[[#This Row],[Status]],LstMachines[MoisLivr],AR$1)</f>
        <v>0</v>
      </c>
      <c r="AS138" s="220">
        <f>SUMIFS(LstMachines[Nbre],LstMachines[Model-Spec],PrévisionBoris[[#This Row],[Spec]],LstMachines[Status],PrévisionBoris[[#This Row],[Status]],LstMachines[MoisLivr],AS$1)</f>
        <v>0</v>
      </c>
      <c r="AT138" s="220">
        <f>SUMIFS(LstMachines[Nbre],LstMachines[Model-Spec],PrévisionBoris[[#This Row],[Spec]],LstMachines[Status],PrévisionBoris[[#This Row],[Status]],LstMachines[MoisLivr],AT$1)</f>
        <v>0</v>
      </c>
      <c r="AU138" s="219">
        <f>SUMIFS(LstMachines[Nbre],LstMachines[Model-Spec],PrévisionBoris[[#This Row],[Spec]],LstMachines[Status],PrévisionBoris[[#This Row],[Status]],LstMachines[MoisLivr],AU$1)</f>
        <v>0</v>
      </c>
      <c r="AV138" s="223">
        <f>SUMIFS(LstMachines[Nbre],LstMachines[Model-Spec],PrévisionBoris[[#This Row],[Spec]],LstMachines[Status],PrévisionBoris[[#This Row],[Status]],LstMachines[MoisLivr],AV$1)</f>
        <v>0</v>
      </c>
      <c r="AW138" s="224">
        <f>SUMIFS(LstMachines[Nbre],LstMachines[Model-Spec],PrévisionBoris[[#This Row],[Spec]],LstMachines[Status],PrévisionBoris[[#This Row],[Status]],LstMachines[MoisLivr],AW$1)</f>
        <v>0</v>
      </c>
      <c r="AX138" s="210"/>
      <c r="AY138" s="211">
        <f t="shared" si="35"/>
        <v>0</v>
      </c>
      <c r="AZ138" s="212">
        <f t="shared" si="36"/>
        <v>0</v>
      </c>
      <c r="BA138" s="212">
        <f t="shared" si="37"/>
        <v>0</v>
      </c>
      <c r="BB138" s="213">
        <f t="shared" si="38"/>
        <v>0</v>
      </c>
      <c r="BC138" s="225">
        <f t="shared" si="39"/>
        <v>0</v>
      </c>
      <c r="BD138" s="211">
        <f t="shared" si="40"/>
        <v>0</v>
      </c>
      <c r="BE138" s="212">
        <f t="shared" si="41"/>
        <v>0</v>
      </c>
      <c r="BF138" s="212">
        <f t="shared" si="42"/>
        <v>0</v>
      </c>
      <c r="BG138" s="213">
        <f t="shared" si="43"/>
        <v>0</v>
      </c>
      <c r="BH138" s="225">
        <f t="shared" si="44"/>
        <v>0</v>
      </c>
      <c r="BI138" s="214">
        <f t="shared" si="45"/>
        <v>0</v>
      </c>
      <c r="BJ138" s="215">
        <f t="shared" si="46"/>
        <v>0</v>
      </c>
      <c r="BK138" s="215">
        <f t="shared" si="47"/>
        <v>0</v>
      </c>
      <c r="BL138" s="216">
        <f t="shared" si="48"/>
        <v>0</v>
      </c>
      <c r="BM138" s="225">
        <f t="shared" si="49"/>
        <v>0</v>
      </c>
      <c r="BN138" s="225"/>
      <c r="BO138" s="217"/>
      <c r="BP138" s="218">
        <f t="shared" si="50"/>
        <v>0</v>
      </c>
    </row>
    <row r="139" spans="1:68">
      <c r="A139" s="171">
        <v>132</v>
      </c>
      <c r="B139" s="171" t="s">
        <v>75</v>
      </c>
      <c r="C139" s="201">
        <v>38</v>
      </c>
      <c r="D139" s="171" t="s">
        <v>188</v>
      </c>
      <c r="E139" s="171" t="s">
        <v>419</v>
      </c>
      <c r="F139" s="201">
        <f>VLOOKUP(PrévisionBoris[[#This Row],[Spec]],TabModelSpecs[[ModelSpec]:[Price]],2,FALSE)</f>
        <v>38</v>
      </c>
      <c r="G139" s="171" t="s">
        <v>463</v>
      </c>
      <c r="H139" s="226">
        <f>SUMIFS(LstMachines[Nbre],LstMachines[Model-Spec],PrévisionBoris[[#This Row],[Spec]],LstMachines[Status],PrévisionBoris[[#This Row],[Status]],LstMachines[MoisLivr],H$1)</f>
        <v>0</v>
      </c>
      <c r="I139" s="227">
        <f>SUMIFS(LstMachines[Nbre],LstMachines[Model-Spec],PrévisionBoris[[#This Row],[Spec]],LstMachines[Status],PrévisionBoris[[#This Row],[Status]],LstMachines[MoisLivr],I$1)</f>
        <v>0</v>
      </c>
      <c r="J139" s="228">
        <f>SUMIFS(LstMachines[Nbre],LstMachines[Model-Spec],PrévisionBoris[[#This Row],[Spec]],LstMachines[Status],PrévisionBoris[[#This Row],[Status]],LstMachines[MoisLivr],J$1)</f>
        <v>0</v>
      </c>
      <c r="K139" s="226">
        <f>SUMIFS(LstMachines[Nbre],LstMachines[Model-Spec],PrévisionBoris[[#This Row],[Spec]],LstMachines[Status],PrévisionBoris[[#This Row],[Status]],LstMachines[MoisLivr],K$1)</f>
        <v>0</v>
      </c>
      <c r="L139" s="227">
        <f>SUMIFS(LstMachines[Nbre],LstMachines[Model-Spec],PrévisionBoris[[#This Row],[Spec]],LstMachines[Status],PrévisionBoris[[#This Row],[Status]],LstMachines[MoisLivr],L$1)</f>
        <v>0</v>
      </c>
      <c r="M139" s="228">
        <f>SUMIFS(LstMachines[Nbre],LstMachines[Model-Spec],PrévisionBoris[[#This Row],[Spec]],LstMachines[Status],PrévisionBoris[[#This Row],[Status]],LstMachines[MoisLivr],M$1)</f>
        <v>0</v>
      </c>
      <c r="N139" s="226">
        <f>SUMIFS(LstMachines[Nbre],LstMachines[Model-Spec],PrévisionBoris[[#This Row],[Spec]],LstMachines[Status],PrévisionBoris[[#This Row],[Status]],LstMachines[MoisLivr],N$1)</f>
        <v>0</v>
      </c>
      <c r="O139" s="227">
        <f>SUMIFS(LstMachines[Nbre],LstMachines[Model-Spec],PrévisionBoris[[#This Row],[Spec]],LstMachines[Status],PrévisionBoris[[#This Row],[Status]],LstMachines[MoisLivr],O$1)</f>
        <v>0</v>
      </c>
      <c r="P139" s="228">
        <f>SUMIFS(LstMachines[Nbre],LstMachines[Model-Spec],PrévisionBoris[[#This Row],[Spec]],LstMachines[Status],PrévisionBoris[[#This Row],[Status]],LstMachines[MoisLivr],P$1)</f>
        <v>0</v>
      </c>
      <c r="Q139" s="229">
        <f>SUMIFS(LstMachines[Nbre],LstMachines[Model-Spec],PrévisionBoris[[#This Row],[Spec]],LstMachines[Status],PrévisionBoris[[#This Row],[Status]],LstMachines[MoisLivr],Q$1)</f>
        <v>0</v>
      </c>
      <c r="R139" s="227">
        <f>SUMIFS(LstMachines[Nbre],LstMachines[Model-Spec],PrévisionBoris[[#This Row],[Spec]],LstMachines[Status],PrévisionBoris[[#This Row],[Status]],LstMachines[MoisLivr],R$1)</f>
        <v>0</v>
      </c>
      <c r="S139" s="227">
        <f>SUMIFS(LstMachines[Nbre],LstMachines[Model-Spec],PrévisionBoris[[#This Row],[Spec]],LstMachines[Status],PrévisionBoris[[#This Row],[Status]],LstMachines[MoisLivr],S$1)</f>
        <v>0</v>
      </c>
      <c r="T139" s="226">
        <f>SUMIFS(LstMachines[Nbre],LstMachines[Model-Spec],PrévisionBoris[[#This Row],[Spec]],LstMachines[Status],PrévisionBoris[[#This Row],[Status]],LstMachines[MoisLivr],T$1)</f>
        <v>0</v>
      </c>
      <c r="U139" s="227">
        <f>SUMIFS(LstMachines[Nbre],LstMachines[Model-Spec],PrévisionBoris[[#This Row],[Spec]],LstMachines[Status],PrévisionBoris[[#This Row],[Status]],LstMachines[MoisLivr],U$1)</f>
        <v>0</v>
      </c>
      <c r="V139" s="227">
        <f>SUMIFS(LstMachines[Nbre],LstMachines[Model-Spec],PrévisionBoris[[#This Row],[Spec]],LstMachines[Status],PrévisionBoris[[#This Row],[Status]],LstMachines[MoisLivr],V$1)</f>
        <v>0</v>
      </c>
      <c r="W139" s="226">
        <f>SUMIFS(LstMachines[Nbre],LstMachines[Model-Spec],PrévisionBoris[[#This Row],[Spec]],LstMachines[Status],PrévisionBoris[[#This Row],[Status]],LstMachines[MoisLivr],W$1)</f>
        <v>0</v>
      </c>
      <c r="X139" s="227">
        <f>SUMIFS(LstMachines[Nbre],LstMachines[Model-Spec],PrévisionBoris[[#This Row],[Spec]],LstMachines[Status],PrévisionBoris[[#This Row],[Status]],LstMachines[MoisLivr],X$1)</f>
        <v>0</v>
      </c>
      <c r="Y139" s="227">
        <f>SUMIFS(LstMachines[Nbre],LstMachines[Model-Spec],PrévisionBoris[[#This Row],[Spec]],LstMachines[Status],PrévisionBoris[[#This Row],[Status]],LstMachines[MoisLivr],Y$1)</f>
        <v>0</v>
      </c>
      <c r="Z139" s="226">
        <f>SUMIFS(LstMachines[Nbre],LstMachines[Model-Spec],PrévisionBoris[[#This Row],[Spec]],LstMachines[Status],PrévisionBoris[[#This Row],[Status]],LstMachines[MoisLivr],Z$1)</f>
        <v>0</v>
      </c>
      <c r="AA139" s="227">
        <f>SUMIFS(LstMachines[Nbre],LstMachines[Model-Spec],PrévisionBoris[[#This Row],[Spec]],LstMachines[Status],PrévisionBoris[[#This Row],[Status]],LstMachines[MoisLivr],AA$1)</f>
        <v>0</v>
      </c>
      <c r="AB139" s="227">
        <f>SUMIFS(LstMachines[Nbre],LstMachines[Model-Spec],PrévisionBoris[[#This Row],[Spec]],LstMachines[Status],PrévisionBoris[[#This Row],[Status]],LstMachines[MoisLivr],AB$1)</f>
        <v>0</v>
      </c>
      <c r="AC139" s="226">
        <f>SUMIFS(LstMachines[Nbre],LstMachines[Model-Spec],PrévisionBoris[[#This Row],[Spec]],LstMachines[Status],PrévisionBoris[[#This Row],[Status]],LstMachines[MoisLivr],AC$1)</f>
        <v>0</v>
      </c>
      <c r="AD139" s="227">
        <f>SUMIFS(LstMachines[Nbre],LstMachines[Model-Spec],PrévisionBoris[[#This Row],[Spec]],LstMachines[Status],PrévisionBoris[[#This Row],[Status]],LstMachines[MoisLivr],AD$1)</f>
        <v>0</v>
      </c>
      <c r="AE139" s="227">
        <f>SUMIFS(LstMachines[Nbre],LstMachines[Model-Spec],PrévisionBoris[[#This Row],[Spec]],LstMachines[Status],PrévisionBoris[[#This Row],[Status]],LstMachines[MoisLivr],AE$1)</f>
        <v>0</v>
      </c>
      <c r="AF139" s="226">
        <f>SUMIFS(LstMachines[Nbre],LstMachines[Model-Spec],PrévisionBoris[[#This Row],[Spec]],LstMachines[Status],PrévisionBoris[[#This Row],[Status]],LstMachines[MoisLivr],AF$1)</f>
        <v>0</v>
      </c>
      <c r="AG139" s="227">
        <f>SUMIFS(LstMachines[Nbre],LstMachines[Model-Spec],PrévisionBoris[[#This Row],[Spec]],LstMachines[Status],PrévisionBoris[[#This Row],[Status]],LstMachines[MoisLivr],AG$1)</f>
        <v>0</v>
      </c>
      <c r="AH139" s="227">
        <f>SUMIFS(LstMachines[Nbre],LstMachines[Model-Spec],PrévisionBoris[[#This Row],[Spec]],LstMachines[Status],PrévisionBoris[[#This Row],[Status]],LstMachines[MoisLivr],AH$1)</f>
        <v>0</v>
      </c>
      <c r="AI139" s="226">
        <f>SUMIFS(LstMachines[Nbre],LstMachines[Model-Spec],PrévisionBoris[[#This Row],[Spec]],LstMachines[Status],PrévisionBoris[[#This Row],[Status]],LstMachines[MoisLivr],AI$1)</f>
        <v>0</v>
      </c>
      <c r="AJ139" s="227">
        <f>SUMIFS(LstMachines[Nbre],LstMachines[Model-Spec],PrévisionBoris[[#This Row],[Spec]],LstMachines[Status],PrévisionBoris[[#This Row],[Status]],LstMachines[MoisLivr],AJ$1)</f>
        <v>0</v>
      </c>
      <c r="AK139" s="227">
        <f>SUMIFS(LstMachines[Nbre],LstMachines[Model-Spec],PrévisionBoris[[#This Row],[Spec]],LstMachines[Status],PrévisionBoris[[#This Row],[Status]],LstMachines[MoisLivr],AK$1)</f>
        <v>0</v>
      </c>
      <c r="AL139" s="226">
        <f>SUMIFS(LstMachines[Nbre],LstMachines[Model-Spec],PrévisionBoris[[#This Row],[Spec]],LstMachines[Status],PrévisionBoris[[#This Row],[Status]],LstMachines[MoisLivr],AL$1)</f>
        <v>0</v>
      </c>
      <c r="AM139" s="227">
        <f>SUMIFS(LstMachines[Nbre],LstMachines[Model-Spec],PrévisionBoris[[#This Row],[Spec]],LstMachines[Status],PrévisionBoris[[#This Row],[Status]],LstMachines[MoisLivr],AM$1)</f>
        <v>0</v>
      </c>
      <c r="AN139" s="227">
        <f>SUMIFS(LstMachines[Nbre],LstMachines[Model-Spec],PrévisionBoris[[#This Row],[Spec]],LstMachines[Status],PrévisionBoris[[#This Row],[Status]],LstMachines[MoisLivr],AN$1)</f>
        <v>0</v>
      </c>
      <c r="AO139" s="226">
        <f>SUMIFS(LstMachines[Nbre],LstMachines[Model-Spec],PrévisionBoris[[#This Row],[Spec]],LstMachines[Status],PrévisionBoris[[#This Row],[Status]],LstMachines[MoisLivr],AO$1)</f>
        <v>0</v>
      </c>
      <c r="AP139" s="227">
        <f>SUMIFS(LstMachines[Nbre],LstMachines[Model-Spec],PrévisionBoris[[#This Row],[Spec]],LstMachines[Status],PrévisionBoris[[#This Row],[Status]],LstMachines[MoisLivr],AP$1)</f>
        <v>0</v>
      </c>
      <c r="AQ139" s="227">
        <f>SUMIFS(LstMachines[Nbre],LstMachines[Model-Spec],PrévisionBoris[[#This Row],[Spec]],LstMachines[Status],PrévisionBoris[[#This Row],[Status]],LstMachines[MoisLivr],AQ$1)</f>
        <v>0</v>
      </c>
      <c r="AR139" s="226">
        <f>SUMIFS(LstMachines[Nbre],LstMachines[Model-Spec],PrévisionBoris[[#This Row],[Spec]],LstMachines[Status],PrévisionBoris[[#This Row],[Status]],LstMachines[MoisLivr],AR$1)</f>
        <v>0</v>
      </c>
      <c r="AS139" s="227">
        <f>SUMIFS(LstMachines[Nbre],LstMachines[Model-Spec],PrévisionBoris[[#This Row],[Spec]],LstMachines[Status],PrévisionBoris[[#This Row],[Status]],LstMachines[MoisLivr],AS$1)</f>
        <v>0</v>
      </c>
      <c r="AT139" s="227">
        <f>SUMIFS(LstMachines[Nbre],LstMachines[Model-Spec],PrévisionBoris[[#This Row],[Spec]],LstMachines[Status],PrévisionBoris[[#This Row],[Status]],LstMachines[MoisLivr],AT$1)</f>
        <v>0</v>
      </c>
      <c r="AU139" s="226">
        <f>SUMIFS(LstMachines[Nbre],LstMachines[Model-Spec],PrévisionBoris[[#This Row],[Spec]],LstMachines[Status],PrévisionBoris[[#This Row],[Status]],LstMachines[MoisLivr],AU$1)</f>
        <v>0</v>
      </c>
      <c r="AV139" s="230">
        <f>SUMIFS(LstMachines[Nbre],LstMachines[Model-Spec],PrévisionBoris[[#This Row],[Spec]],LstMachines[Status],PrévisionBoris[[#This Row],[Status]],LstMachines[MoisLivr],AV$1)</f>
        <v>0</v>
      </c>
      <c r="AW139" s="231">
        <f>SUMIFS(LstMachines[Nbre],LstMachines[Model-Spec],PrévisionBoris[[#This Row],[Spec]],LstMachines[Status],PrévisionBoris[[#This Row],[Status]],LstMachines[MoisLivr],AW$1)</f>
        <v>0</v>
      </c>
      <c r="AX139" s="232"/>
      <c r="AY139" s="211">
        <f t="shared" si="35"/>
        <v>0</v>
      </c>
      <c r="AZ139" s="212">
        <f t="shared" si="36"/>
        <v>0</v>
      </c>
      <c r="BA139" s="212">
        <f t="shared" si="37"/>
        <v>0</v>
      </c>
      <c r="BB139" s="213">
        <f t="shared" si="38"/>
        <v>0</v>
      </c>
      <c r="BC139" s="225">
        <f t="shared" si="39"/>
        <v>0</v>
      </c>
      <c r="BD139" s="211">
        <f t="shared" si="40"/>
        <v>0</v>
      </c>
      <c r="BE139" s="212">
        <f t="shared" si="41"/>
        <v>0</v>
      </c>
      <c r="BF139" s="212">
        <f t="shared" si="42"/>
        <v>0</v>
      </c>
      <c r="BG139" s="213">
        <f t="shared" si="43"/>
        <v>0</v>
      </c>
      <c r="BH139" s="225">
        <f t="shared" si="44"/>
        <v>0</v>
      </c>
      <c r="BI139" s="214">
        <f t="shared" si="45"/>
        <v>0</v>
      </c>
      <c r="BJ139" s="215">
        <f t="shared" si="46"/>
        <v>0</v>
      </c>
      <c r="BK139" s="215">
        <f t="shared" si="47"/>
        <v>0</v>
      </c>
      <c r="BL139" s="216">
        <f t="shared" si="48"/>
        <v>0</v>
      </c>
      <c r="BM139" s="225">
        <f t="shared" si="49"/>
        <v>0</v>
      </c>
      <c r="BN139" s="225"/>
      <c r="BO139" s="217"/>
      <c r="BP139" s="218">
        <f t="shared" si="50"/>
        <v>0</v>
      </c>
    </row>
    <row r="140" spans="1:68">
      <c r="A140" s="172">
        <v>133</v>
      </c>
      <c r="B140" s="172" t="s">
        <v>75</v>
      </c>
      <c r="C140" s="202">
        <v>48</v>
      </c>
      <c r="D140" s="172" t="s">
        <v>82</v>
      </c>
      <c r="E140" s="172" t="s">
        <v>363</v>
      </c>
      <c r="F140" s="202">
        <f>VLOOKUP(PrévisionBoris[[#This Row],[Spec]],TabModelSpecs[[ModelSpec]:[Price]],2,FALSE)</f>
        <v>41</v>
      </c>
      <c r="G140" s="172" t="s">
        <v>461</v>
      </c>
      <c r="H140" s="206">
        <f>SUMIFS(LstMachines[Nbre],LstMachines[Model-Spec],PrévisionBoris[[#This Row],[Spec]],LstMachines[Status],PrévisionBoris[[#This Row],[Status]],LstMachines[MoisLivr],H$1)</f>
        <v>0</v>
      </c>
      <c r="I140" s="207">
        <f>SUMIFS(LstMachines[Nbre],LstMachines[Model-Spec],PrévisionBoris[[#This Row],[Spec]],LstMachines[Status],PrévisionBoris[[#This Row],[Status]],LstMachines[MoisLivr],I$1)</f>
        <v>0</v>
      </c>
      <c r="J140" s="208">
        <f>SUMIFS(LstMachines[Nbre],LstMachines[Model-Spec],PrévisionBoris[[#This Row],[Spec]],LstMachines[Status],PrévisionBoris[[#This Row],[Status]],LstMachines[MoisLivr],J$1)</f>
        <v>0</v>
      </c>
      <c r="K140" s="206">
        <f>SUMIFS(LstMachines[Nbre],LstMachines[Model-Spec],PrévisionBoris[[#This Row],[Spec]],LstMachines[Status],PrévisionBoris[[#This Row],[Status]],LstMachines[MoisLivr],K$1)</f>
        <v>0</v>
      </c>
      <c r="L140" s="207">
        <f>SUMIFS(LstMachines[Nbre],LstMachines[Model-Spec],PrévisionBoris[[#This Row],[Spec]],LstMachines[Status],PrévisionBoris[[#This Row],[Status]],LstMachines[MoisLivr],L$1)</f>
        <v>0</v>
      </c>
      <c r="M140" s="208">
        <f>SUMIFS(LstMachines[Nbre],LstMachines[Model-Spec],PrévisionBoris[[#This Row],[Spec]],LstMachines[Status],PrévisionBoris[[#This Row],[Status]],LstMachines[MoisLivr],M$1)</f>
        <v>2</v>
      </c>
      <c r="N140" s="206">
        <f>SUMIFS(LstMachines[Nbre],LstMachines[Model-Spec],PrévisionBoris[[#This Row],[Spec]],LstMachines[Status],PrévisionBoris[[#This Row],[Status]],LstMachines[MoisLivr],N$1)</f>
        <v>2</v>
      </c>
      <c r="O140" s="207">
        <f>SUMIFS(LstMachines[Nbre],LstMachines[Model-Spec],PrévisionBoris[[#This Row],[Spec]],LstMachines[Status],PrévisionBoris[[#This Row],[Status]],LstMachines[MoisLivr],O$1)</f>
        <v>0</v>
      </c>
      <c r="P140" s="208">
        <f>SUMIFS(LstMachines[Nbre],LstMachines[Model-Spec],PrévisionBoris[[#This Row],[Spec]],LstMachines[Status],PrévisionBoris[[#This Row],[Status]],LstMachines[MoisLivr],P$1)</f>
        <v>1</v>
      </c>
      <c r="Q140" s="209">
        <f>SUMIFS(LstMachines[Nbre],LstMachines[Model-Spec],PrévisionBoris[[#This Row],[Spec]],LstMachines[Status],PrévisionBoris[[#This Row],[Status]],LstMachines[MoisLivr],Q$1)</f>
        <v>0</v>
      </c>
      <c r="R140" s="207">
        <f>SUMIFS(LstMachines[Nbre],LstMachines[Model-Spec],PrévisionBoris[[#This Row],[Spec]],LstMachines[Status],PrévisionBoris[[#This Row],[Status]],LstMachines[MoisLivr],R$1)</f>
        <v>0</v>
      </c>
      <c r="S140" s="207">
        <f>SUMIFS(LstMachines[Nbre],LstMachines[Model-Spec],PrévisionBoris[[#This Row],[Spec]],LstMachines[Status],PrévisionBoris[[#This Row],[Status]],LstMachines[MoisLivr],S$1)</f>
        <v>2</v>
      </c>
      <c r="T140" s="206">
        <f>SUMIFS(LstMachines[Nbre],LstMachines[Model-Spec],PrévisionBoris[[#This Row],[Spec]],LstMachines[Status],PrévisionBoris[[#This Row],[Status]],LstMachines[MoisLivr],T$1)</f>
        <v>0</v>
      </c>
      <c r="U140" s="207">
        <f>SUMIFS(LstMachines[Nbre],LstMachines[Model-Spec],PrévisionBoris[[#This Row],[Spec]],LstMachines[Status],PrévisionBoris[[#This Row],[Status]],LstMachines[MoisLivr],U$1)</f>
        <v>0</v>
      </c>
      <c r="V140" s="207">
        <f>SUMIFS(LstMachines[Nbre],LstMachines[Model-Spec],PrévisionBoris[[#This Row],[Spec]],LstMachines[Status],PrévisionBoris[[#This Row],[Status]],LstMachines[MoisLivr],V$1)</f>
        <v>0</v>
      </c>
      <c r="W140" s="206">
        <f>SUMIFS(LstMachines[Nbre],LstMachines[Model-Spec],PrévisionBoris[[#This Row],[Spec]],LstMachines[Status],PrévisionBoris[[#This Row],[Status]],LstMachines[MoisLivr],W$1)</f>
        <v>0</v>
      </c>
      <c r="X140" s="207">
        <f>SUMIFS(LstMachines[Nbre],LstMachines[Model-Spec],PrévisionBoris[[#This Row],[Spec]],LstMachines[Status],PrévisionBoris[[#This Row],[Status]],LstMachines[MoisLivr],X$1)</f>
        <v>0</v>
      </c>
      <c r="Y140" s="207">
        <f>SUMIFS(LstMachines[Nbre],LstMachines[Model-Spec],PrévisionBoris[[#This Row],[Spec]],LstMachines[Status],PrévisionBoris[[#This Row],[Status]],LstMachines[MoisLivr],Y$1)</f>
        <v>2</v>
      </c>
      <c r="Z140" s="206">
        <f>SUMIFS(LstMachines[Nbre],LstMachines[Model-Spec],PrévisionBoris[[#This Row],[Spec]],LstMachines[Status],PrévisionBoris[[#This Row],[Status]],LstMachines[MoisLivr],Z$1)</f>
        <v>0</v>
      </c>
      <c r="AA140" s="207">
        <f>SUMIFS(LstMachines[Nbre],LstMachines[Model-Spec],PrévisionBoris[[#This Row],[Spec]],LstMachines[Status],PrévisionBoris[[#This Row],[Status]],LstMachines[MoisLivr],AA$1)</f>
        <v>0</v>
      </c>
      <c r="AB140" s="207">
        <f>SUMIFS(LstMachines[Nbre],LstMachines[Model-Spec],PrévisionBoris[[#This Row],[Spec]],LstMachines[Status],PrévisionBoris[[#This Row],[Status]],LstMachines[MoisLivr],AB$1)</f>
        <v>24</v>
      </c>
      <c r="AC140" s="206">
        <f>SUMIFS(LstMachines[Nbre],LstMachines[Model-Spec],PrévisionBoris[[#This Row],[Spec]],LstMachines[Status],PrévisionBoris[[#This Row],[Status]],LstMachines[MoisLivr],AC$1)</f>
        <v>0</v>
      </c>
      <c r="AD140" s="207">
        <f>SUMIFS(LstMachines[Nbre],LstMachines[Model-Spec],PrévisionBoris[[#This Row],[Spec]],LstMachines[Status],PrévisionBoris[[#This Row],[Status]],LstMachines[MoisLivr],AD$1)</f>
        <v>0</v>
      </c>
      <c r="AE140" s="207">
        <f>SUMIFS(LstMachines[Nbre],LstMachines[Model-Spec],PrévisionBoris[[#This Row],[Spec]],LstMachines[Status],PrévisionBoris[[#This Row],[Status]],LstMachines[MoisLivr],AE$1)</f>
        <v>0</v>
      </c>
      <c r="AF140" s="206">
        <f>SUMIFS(LstMachines[Nbre],LstMachines[Model-Spec],PrévisionBoris[[#This Row],[Spec]],LstMachines[Status],PrévisionBoris[[#This Row],[Status]],LstMachines[MoisLivr],AF$1)</f>
        <v>0</v>
      </c>
      <c r="AG140" s="207">
        <f>SUMIFS(LstMachines[Nbre],LstMachines[Model-Spec],PrévisionBoris[[#This Row],[Spec]],LstMachines[Status],PrévisionBoris[[#This Row],[Status]],LstMachines[MoisLivr],AG$1)</f>
        <v>0</v>
      </c>
      <c r="AH140" s="207">
        <f>SUMIFS(LstMachines[Nbre],LstMachines[Model-Spec],PrévisionBoris[[#This Row],[Spec]],LstMachines[Status],PrévisionBoris[[#This Row],[Status]],LstMachines[MoisLivr],AH$1)</f>
        <v>0</v>
      </c>
      <c r="AI140" s="206">
        <f>SUMIFS(LstMachines[Nbre],LstMachines[Model-Spec],PrévisionBoris[[#This Row],[Spec]],LstMachines[Status],PrévisionBoris[[#This Row],[Status]],LstMachines[MoisLivr],AI$1)</f>
        <v>0</v>
      </c>
      <c r="AJ140" s="207">
        <f>SUMIFS(LstMachines[Nbre],LstMachines[Model-Spec],PrévisionBoris[[#This Row],[Spec]],LstMachines[Status],PrévisionBoris[[#This Row],[Status]],LstMachines[MoisLivr],AJ$1)</f>
        <v>0</v>
      </c>
      <c r="AK140" s="207">
        <f>SUMIFS(LstMachines[Nbre],LstMachines[Model-Spec],PrévisionBoris[[#This Row],[Spec]],LstMachines[Status],PrévisionBoris[[#This Row],[Status]],LstMachines[MoisLivr],AK$1)</f>
        <v>0</v>
      </c>
      <c r="AL140" s="206">
        <f>SUMIFS(LstMachines[Nbre],LstMachines[Model-Spec],PrévisionBoris[[#This Row],[Spec]],LstMachines[Status],PrévisionBoris[[#This Row],[Status]],LstMachines[MoisLivr],AL$1)</f>
        <v>0</v>
      </c>
      <c r="AM140" s="207">
        <f>SUMIFS(LstMachines[Nbre],LstMachines[Model-Spec],PrévisionBoris[[#This Row],[Spec]],LstMachines[Status],PrévisionBoris[[#This Row],[Status]],LstMachines[MoisLivr],AM$1)</f>
        <v>0</v>
      </c>
      <c r="AN140" s="207">
        <f>SUMIFS(LstMachines[Nbre],LstMachines[Model-Spec],PrévisionBoris[[#This Row],[Spec]],LstMachines[Status],PrévisionBoris[[#This Row],[Status]],LstMachines[MoisLivr],AN$1)</f>
        <v>22</v>
      </c>
      <c r="AO140" s="206">
        <f>SUMIFS(LstMachines[Nbre],LstMachines[Model-Spec],PrévisionBoris[[#This Row],[Spec]],LstMachines[Status],PrévisionBoris[[#This Row],[Status]],LstMachines[MoisLivr],AO$1)</f>
        <v>0</v>
      </c>
      <c r="AP140" s="207">
        <f>SUMIFS(LstMachines[Nbre],LstMachines[Model-Spec],PrévisionBoris[[#This Row],[Spec]],LstMachines[Status],PrévisionBoris[[#This Row],[Status]],LstMachines[MoisLivr],AP$1)</f>
        <v>0</v>
      </c>
      <c r="AQ140" s="207">
        <f>SUMIFS(LstMachines[Nbre],LstMachines[Model-Spec],PrévisionBoris[[#This Row],[Spec]],LstMachines[Status],PrévisionBoris[[#This Row],[Status]],LstMachines[MoisLivr],AQ$1)</f>
        <v>0</v>
      </c>
      <c r="AR140" s="206">
        <f>SUMIFS(LstMachines[Nbre],LstMachines[Model-Spec],PrévisionBoris[[#This Row],[Spec]],LstMachines[Status],PrévisionBoris[[#This Row],[Status]],LstMachines[MoisLivr],AR$1)</f>
        <v>0</v>
      </c>
      <c r="AS140" s="207">
        <f>SUMIFS(LstMachines[Nbre],LstMachines[Model-Spec],PrévisionBoris[[#This Row],[Spec]],LstMachines[Status],PrévisionBoris[[#This Row],[Status]],LstMachines[MoisLivr],AS$1)</f>
        <v>0</v>
      </c>
      <c r="AT140" s="207">
        <f>SUMIFS(LstMachines[Nbre],LstMachines[Model-Spec],PrévisionBoris[[#This Row],[Spec]],LstMachines[Status],PrévisionBoris[[#This Row],[Status]],LstMachines[MoisLivr],AT$1)</f>
        <v>0</v>
      </c>
      <c r="AU140" s="206">
        <f>SUMIFS(LstMachines[Nbre],LstMachines[Model-Spec],PrévisionBoris[[#This Row],[Spec]],LstMachines[Status],PrévisionBoris[[#This Row],[Status]],LstMachines[MoisLivr],AU$1)</f>
        <v>0</v>
      </c>
      <c r="AV140" s="233">
        <f>SUMIFS(LstMachines[Nbre],LstMachines[Model-Spec],PrévisionBoris[[#This Row],[Spec]],LstMachines[Status],PrévisionBoris[[#This Row],[Status]],LstMachines[MoisLivr],AV$1)</f>
        <v>0</v>
      </c>
      <c r="AW140" s="208">
        <f>SUMIFS(LstMachines[Nbre],LstMachines[Model-Spec],PrévisionBoris[[#This Row],[Spec]],LstMachines[Status],PrévisionBoris[[#This Row],[Status]],LstMachines[MoisLivr],AW$1)</f>
        <v>0</v>
      </c>
      <c r="AX140" s="225"/>
      <c r="AY140" s="211">
        <f t="shared" si="35"/>
        <v>2</v>
      </c>
      <c r="AZ140" s="212">
        <f t="shared" si="36"/>
        <v>3</v>
      </c>
      <c r="BA140" s="212">
        <f t="shared" si="37"/>
        <v>2</v>
      </c>
      <c r="BB140" s="213">
        <f t="shared" si="38"/>
        <v>0</v>
      </c>
      <c r="BC140" s="225">
        <f t="shared" si="39"/>
        <v>7</v>
      </c>
      <c r="BD140" s="211">
        <f t="shared" si="40"/>
        <v>2</v>
      </c>
      <c r="BE140" s="212">
        <f t="shared" si="41"/>
        <v>24</v>
      </c>
      <c r="BF140" s="212">
        <f t="shared" si="42"/>
        <v>0</v>
      </c>
      <c r="BG140" s="213">
        <f t="shared" si="43"/>
        <v>0</v>
      </c>
      <c r="BH140" s="225">
        <f t="shared" si="44"/>
        <v>26</v>
      </c>
      <c r="BI140" s="214">
        <f t="shared" si="45"/>
        <v>0</v>
      </c>
      <c r="BJ140" s="215">
        <f t="shared" si="46"/>
        <v>22</v>
      </c>
      <c r="BK140" s="215">
        <f t="shared" si="47"/>
        <v>0</v>
      </c>
      <c r="BL140" s="216">
        <f t="shared" si="48"/>
        <v>0</v>
      </c>
      <c r="BM140" s="225">
        <f t="shared" si="49"/>
        <v>22</v>
      </c>
      <c r="BN140" s="225"/>
      <c r="BO140" s="234"/>
      <c r="BP140" s="218">
        <f t="shared" si="50"/>
        <v>55</v>
      </c>
    </row>
    <row r="141" spans="1:68">
      <c r="A141" s="170">
        <v>134</v>
      </c>
      <c r="B141" s="170" t="s">
        <v>75</v>
      </c>
      <c r="C141" s="200">
        <v>48</v>
      </c>
      <c r="D141" s="170" t="s">
        <v>82</v>
      </c>
      <c r="E141" s="170" t="s">
        <v>363</v>
      </c>
      <c r="F141" s="200">
        <f>VLOOKUP(PrévisionBoris[[#This Row],[Spec]],TabModelSpecs[[ModelSpec]:[Price]],2,FALSE)</f>
        <v>41</v>
      </c>
      <c r="G141" s="170" t="s">
        <v>462</v>
      </c>
      <c r="H141" s="219">
        <f>SUMIFS(LstMachines[Nbre],LstMachines[Model-Spec],PrévisionBoris[[#This Row],[Spec]],LstMachines[Status],PrévisionBoris[[#This Row],[Status]],LstMachines[MoisLivr],H$1)</f>
        <v>0</v>
      </c>
      <c r="I141" s="220">
        <f>SUMIFS(LstMachines[Nbre],LstMachines[Model-Spec],PrévisionBoris[[#This Row],[Spec]],LstMachines[Status],PrévisionBoris[[#This Row],[Status]],LstMachines[MoisLivr],I$1)</f>
        <v>0</v>
      </c>
      <c r="J141" s="221">
        <f>SUMIFS(LstMachines[Nbre],LstMachines[Model-Spec],PrévisionBoris[[#This Row],[Spec]],LstMachines[Status],PrévisionBoris[[#This Row],[Status]],LstMachines[MoisLivr],J$1)</f>
        <v>0</v>
      </c>
      <c r="K141" s="219">
        <f>SUMIFS(LstMachines[Nbre],LstMachines[Model-Spec],PrévisionBoris[[#This Row],[Spec]],LstMachines[Status],PrévisionBoris[[#This Row],[Status]],LstMachines[MoisLivr],K$1)</f>
        <v>0</v>
      </c>
      <c r="L141" s="220">
        <f>SUMIFS(LstMachines[Nbre],LstMachines[Model-Spec],PrévisionBoris[[#This Row],[Spec]],LstMachines[Status],PrévisionBoris[[#This Row],[Status]],LstMachines[MoisLivr],L$1)</f>
        <v>0</v>
      </c>
      <c r="M141" s="221">
        <f>SUMIFS(LstMachines[Nbre],LstMachines[Model-Spec],PrévisionBoris[[#This Row],[Spec]],LstMachines[Status],PrévisionBoris[[#This Row],[Status]],LstMachines[MoisLivr],M$1)</f>
        <v>0</v>
      </c>
      <c r="N141" s="219">
        <f>SUMIFS(LstMachines[Nbre],LstMachines[Model-Spec],PrévisionBoris[[#This Row],[Spec]],LstMachines[Status],PrévisionBoris[[#This Row],[Status]],LstMachines[MoisLivr],N$1)</f>
        <v>0</v>
      </c>
      <c r="O141" s="220">
        <f>SUMIFS(LstMachines[Nbre],LstMachines[Model-Spec],PrévisionBoris[[#This Row],[Spec]],LstMachines[Status],PrévisionBoris[[#This Row],[Status]],LstMachines[MoisLivr],O$1)</f>
        <v>0</v>
      </c>
      <c r="P141" s="221">
        <f>SUMIFS(LstMachines[Nbre],LstMachines[Model-Spec],PrévisionBoris[[#This Row],[Spec]],LstMachines[Status],PrévisionBoris[[#This Row],[Status]],LstMachines[MoisLivr],P$1)</f>
        <v>0</v>
      </c>
      <c r="Q141" s="222">
        <f>SUMIFS(LstMachines[Nbre],LstMachines[Model-Spec],PrévisionBoris[[#This Row],[Spec]],LstMachines[Status],PrévisionBoris[[#This Row],[Status]],LstMachines[MoisLivr],Q$1)</f>
        <v>0</v>
      </c>
      <c r="R141" s="220">
        <f>SUMIFS(LstMachines[Nbre],LstMachines[Model-Spec],PrévisionBoris[[#This Row],[Spec]],LstMachines[Status],PrévisionBoris[[#This Row],[Status]],LstMachines[MoisLivr],R$1)</f>
        <v>0</v>
      </c>
      <c r="S141" s="220">
        <f>SUMIFS(LstMachines[Nbre],LstMachines[Model-Spec],PrévisionBoris[[#This Row],[Spec]],LstMachines[Status],PrévisionBoris[[#This Row],[Status]],LstMachines[MoisLivr],S$1)</f>
        <v>0</v>
      </c>
      <c r="T141" s="219">
        <f>SUMIFS(LstMachines[Nbre],LstMachines[Model-Spec],PrévisionBoris[[#This Row],[Spec]],LstMachines[Status],PrévisionBoris[[#This Row],[Status]],LstMachines[MoisLivr],T$1)</f>
        <v>0</v>
      </c>
      <c r="U141" s="220">
        <f>SUMIFS(LstMachines[Nbre],LstMachines[Model-Spec],PrévisionBoris[[#This Row],[Spec]],LstMachines[Status],PrévisionBoris[[#This Row],[Status]],LstMachines[MoisLivr],U$1)</f>
        <v>0</v>
      </c>
      <c r="V141" s="220">
        <f>SUMIFS(LstMachines[Nbre],LstMachines[Model-Spec],PrévisionBoris[[#This Row],[Spec]],LstMachines[Status],PrévisionBoris[[#This Row],[Status]],LstMachines[MoisLivr],V$1)</f>
        <v>0</v>
      </c>
      <c r="W141" s="219">
        <f>SUMIFS(LstMachines[Nbre],LstMachines[Model-Spec],PrévisionBoris[[#This Row],[Spec]],LstMachines[Status],PrévisionBoris[[#This Row],[Status]],LstMachines[MoisLivr],W$1)</f>
        <v>0</v>
      </c>
      <c r="X141" s="220">
        <f>SUMIFS(LstMachines[Nbre],LstMachines[Model-Spec],PrévisionBoris[[#This Row],[Spec]],LstMachines[Status],PrévisionBoris[[#This Row],[Status]],LstMachines[MoisLivr],X$1)</f>
        <v>0</v>
      </c>
      <c r="Y141" s="220">
        <f>SUMIFS(LstMachines[Nbre],LstMachines[Model-Spec],PrévisionBoris[[#This Row],[Spec]],LstMachines[Status],PrévisionBoris[[#This Row],[Status]],LstMachines[MoisLivr],Y$1)</f>
        <v>0</v>
      </c>
      <c r="Z141" s="219">
        <f>SUMIFS(LstMachines[Nbre],LstMachines[Model-Spec],PrévisionBoris[[#This Row],[Spec]],LstMachines[Status],PrévisionBoris[[#This Row],[Status]],LstMachines[MoisLivr],Z$1)</f>
        <v>0</v>
      </c>
      <c r="AA141" s="220">
        <f>SUMIFS(LstMachines[Nbre],LstMachines[Model-Spec],PrévisionBoris[[#This Row],[Spec]],LstMachines[Status],PrévisionBoris[[#This Row],[Status]],LstMachines[MoisLivr],AA$1)</f>
        <v>0</v>
      </c>
      <c r="AB141" s="220">
        <f>SUMIFS(LstMachines[Nbre],LstMachines[Model-Spec],PrévisionBoris[[#This Row],[Spec]],LstMachines[Status],PrévisionBoris[[#This Row],[Status]],LstMachines[MoisLivr],AB$1)</f>
        <v>0</v>
      </c>
      <c r="AC141" s="219">
        <f>SUMIFS(LstMachines[Nbre],LstMachines[Model-Spec],PrévisionBoris[[#This Row],[Spec]],LstMachines[Status],PrévisionBoris[[#This Row],[Status]],LstMachines[MoisLivr],AC$1)</f>
        <v>0</v>
      </c>
      <c r="AD141" s="220">
        <f>SUMIFS(LstMachines[Nbre],LstMachines[Model-Spec],PrévisionBoris[[#This Row],[Spec]],LstMachines[Status],PrévisionBoris[[#This Row],[Status]],LstMachines[MoisLivr],AD$1)</f>
        <v>0</v>
      </c>
      <c r="AE141" s="220">
        <f>SUMIFS(LstMachines[Nbre],LstMachines[Model-Spec],PrévisionBoris[[#This Row],[Spec]],LstMachines[Status],PrévisionBoris[[#This Row],[Status]],LstMachines[MoisLivr],AE$1)</f>
        <v>0</v>
      </c>
      <c r="AF141" s="219">
        <f>SUMIFS(LstMachines[Nbre],LstMachines[Model-Spec],PrévisionBoris[[#This Row],[Spec]],LstMachines[Status],PrévisionBoris[[#This Row],[Status]],LstMachines[MoisLivr],AF$1)</f>
        <v>0</v>
      </c>
      <c r="AG141" s="220">
        <f>SUMIFS(LstMachines[Nbre],LstMachines[Model-Spec],PrévisionBoris[[#This Row],[Spec]],LstMachines[Status],PrévisionBoris[[#This Row],[Status]],LstMachines[MoisLivr],AG$1)</f>
        <v>0</v>
      </c>
      <c r="AH141" s="220">
        <f>SUMIFS(LstMachines[Nbre],LstMachines[Model-Spec],PrévisionBoris[[#This Row],[Spec]],LstMachines[Status],PrévisionBoris[[#This Row],[Status]],LstMachines[MoisLivr],AH$1)</f>
        <v>0</v>
      </c>
      <c r="AI141" s="219">
        <f>SUMIFS(LstMachines[Nbre],LstMachines[Model-Spec],PrévisionBoris[[#This Row],[Spec]],LstMachines[Status],PrévisionBoris[[#This Row],[Status]],LstMachines[MoisLivr],AI$1)</f>
        <v>0</v>
      </c>
      <c r="AJ141" s="220">
        <f>SUMIFS(LstMachines[Nbre],LstMachines[Model-Spec],PrévisionBoris[[#This Row],[Spec]],LstMachines[Status],PrévisionBoris[[#This Row],[Status]],LstMachines[MoisLivr],AJ$1)</f>
        <v>0</v>
      </c>
      <c r="AK141" s="220">
        <f>SUMIFS(LstMachines[Nbre],LstMachines[Model-Spec],PrévisionBoris[[#This Row],[Spec]],LstMachines[Status],PrévisionBoris[[#This Row],[Status]],LstMachines[MoisLivr],AK$1)</f>
        <v>0</v>
      </c>
      <c r="AL141" s="219">
        <f>SUMIFS(LstMachines[Nbre],LstMachines[Model-Spec],PrévisionBoris[[#This Row],[Spec]],LstMachines[Status],PrévisionBoris[[#This Row],[Status]],LstMachines[MoisLivr],AL$1)</f>
        <v>0</v>
      </c>
      <c r="AM141" s="220">
        <f>SUMIFS(LstMachines[Nbre],LstMachines[Model-Spec],PrévisionBoris[[#This Row],[Spec]],LstMachines[Status],PrévisionBoris[[#This Row],[Status]],LstMachines[MoisLivr],AM$1)</f>
        <v>0</v>
      </c>
      <c r="AN141" s="220">
        <f>SUMIFS(LstMachines[Nbre],LstMachines[Model-Spec],PrévisionBoris[[#This Row],[Spec]],LstMachines[Status],PrévisionBoris[[#This Row],[Status]],LstMachines[MoisLivr],AN$1)</f>
        <v>0</v>
      </c>
      <c r="AO141" s="219">
        <f>SUMIFS(LstMachines[Nbre],LstMachines[Model-Spec],PrévisionBoris[[#This Row],[Spec]],LstMachines[Status],PrévisionBoris[[#This Row],[Status]],LstMachines[MoisLivr],AO$1)</f>
        <v>0</v>
      </c>
      <c r="AP141" s="220">
        <f>SUMIFS(LstMachines[Nbre],LstMachines[Model-Spec],PrévisionBoris[[#This Row],[Spec]],LstMachines[Status],PrévisionBoris[[#This Row],[Status]],LstMachines[MoisLivr],AP$1)</f>
        <v>0</v>
      </c>
      <c r="AQ141" s="220">
        <f>SUMIFS(LstMachines[Nbre],LstMachines[Model-Spec],PrévisionBoris[[#This Row],[Spec]],LstMachines[Status],PrévisionBoris[[#This Row],[Status]],LstMachines[MoisLivr],AQ$1)</f>
        <v>0</v>
      </c>
      <c r="AR141" s="219">
        <f>SUMIFS(LstMachines[Nbre],LstMachines[Model-Spec],PrévisionBoris[[#This Row],[Spec]],LstMachines[Status],PrévisionBoris[[#This Row],[Status]],LstMachines[MoisLivr],AR$1)</f>
        <v>0</v>
      </c>
      <c r="AS141" s="220">
        <f>SUMIFS(LstMachines[Nbre],LstMachines[Model-Spec],PrévisionBoris[[#This Row],[Spec]],LstMachines[Status],PrévisionBoris[[#This Row],[Status]],LstMachines[MoisLivr],AS$1)</f>
        <v>0</v>
      </c>
      <c r="AT141" s="220">
        <f>SUMIFS(LstMachines[Nbre],LstMachines[Model-Spec],PrévisionBoris[[#This Row],[Spec]],LstMachines[Status],PrévisionBoris[[#This Row],[Status]],LstMachines[MoisLivr],AT$1)</f>
        <v>0</v>
      </c>
      <c r="AU141" s="219">
        <f>SUMIFS(LstMachines[Nbre],LstMachines[Model-Spec],PrévisionBoris[[#This Row],[Spec]],LstMachines[Status],PrévisionBoris[[#This Row],[Status]],LstMachines[MoisLivr],AU$1)</f>
        <v>0</v>
      </c>
      <c r="AV141" s="223">
        <f>SUMIFS(LstMachines[Nbre],LstMachines[Model-Spec],PrévisionBoris[[#This Row],[Spec]],LstMachines[Status],PrévisionBoris[[#This Row],[Status]],LstMachines[MoisLivr],AV$1)</f>
        <v>0</v>
      </c>
      <c r="AW141" s="224">
        <f>SUMIFS(LstMachines[Nbre],LstMachines[Model-Spec],PrévisionBoris[[#This Row],[Spec]],LstMachines[Status],PrévisionBoris[[#This Row],[Status]],LstMachines[MoisLivr],AW$1)</f>
        <v>0</v>
      </c>
      <c r="AX141" s="210"/>
      <c r="AY141" s="211">
        <f t="shared" si="35"/>
        <v>0</v>
      </c>
      <c r="AZ141" s="212">
        <f t="shared" si="36"/>
        <v>0</v>
      </c>
      <c r="BA141" s="212">
        <f t="shared" si="37"/>
        <v>0</v>
      </c>
      <c r="BB141" s="213">
        <f t="shared" si="38"/>
        <v>0</v>
      </c>
      <c r="BC141" s="225">
        <f t="shared" si="39"/>
        <v>0</v>
      </c>
      <c r="BD141" s="211">
        <f t="shared" si="40"/>
        <v>0</v>
      </c>
      <c r="BE141" s="212">
        <f t="shared" si="41"/>
        <v>0</v>
      </c>
      <c r="BF141" s="212">
        <f t="shared" si="42"/>
        <v>0</v>
      </c>
      <c r="BG141" s="213">
        <f t="shared" si="43"/>
        <v>0</v>
      </c>
      <c r="BH141" s="225">
        <f t="shared" si="44"/>
        <v>0</v>
      </c>
      <c r="BI141" s="214">
        <f t="shared" si="45"/>
        <v>0</v>
      </c>
      <c r="BJ141" s="215">
        <f t="shared" si="46"/>
        <v>0</v>
      </c>
      <c r="BK141" s="215">
        <f t="shared" si="47"/>
        <v>0</v>
      </c>
      <c r="BL141" s="216">
        <f t="shared" si="48"/>
        <v>0</v>
      </c>
      <c r="BM141" s="225">
        <f t="shared" si="49"/>
        <v>0</v>
      </c>
      <c r="BN141" s="225"/>
      <c r="BO141" s="217"/>
      <c r="BP141" s="218">
        <f t="shared" si="50"/>
        <v>0</v>
      </c>
    </row>
    <row r="142" spans="1:68">
      <c r="A142" s="171">
        <v>135</v>
      </c>
      <c r="B142" s="171" t="s">
        <v>75</v>
      </c>
      <c r="C142" s="201">
        <v>48</v>
      </c>
      <c r="D142" s="171" t="s">
        <v>82</v>
      </c>
      <c r="E142" s="171" t="s">
        <v>363</v>
      </c>
      <c r="F142" s="201">
        <f>VLOOKUP(PrévisionBoris[[#This Row],[Spec]],TabModelSpecs[[ModelSpec]:[Price]],2,FALSE)</f>
        <v>41</v>
      </c>
      <c r="G142" s="171" t="s">
        <v>463</v>
      </c>
      <c r="H142" s="226">
        <f>SUMIFS(LstMachines[Nbre],LstMachines[Model-Spec],PrévisionBoris[[#This Row],[Spec]],LstMachines[Status],PrévisionBoris[[#This Row],[Status]],LstMachines[MoisLivr],H$1)</f>
        <v>0</v>
      </c>
      <c r="I142" s="227">
        <f>SUMIFS(LstMachines[Nbre],LstMachines[Model-Spec],PrévisionBoris[[#This Row],[Spec]],LstMachines[Status],PrévisionBoris[[#This Row],[Status]],LstMachines[MoisLivr],I$1)</f>
        <v>0</v>
      </c>
      <c r="J142" s="228">
        <f>SUMIFS(LstMachines[Nbre],LstMachines[Model-Spec],PrévisionBoris[[#This Row],[Spec]],LstMachines[Status],PrévisionBoris[[#This Row],[Status]],LstMachines[MoisLivr],J$1)</f>
        <v>0</v>
      </c>
      <c r="K142" s="226">
        <f>SUMIFS(LstMachines[Nbre],LstMachines[Model-Spec],PrévisionBoris[[#This Row],[Spec]],LstMachines[Status],PrévisionBoris[[#This Row],[Status]],LstMachines[MoisLivr],K$1)</f>
        <v>0</v>
      </c>
      <c r="L142" s="227">
        <f>SUMIFS(LstMachines[Nbre],LstMachines[Model-Spec],PrévisionBoris[[#This Row],[Spec]],LstMachines[Status],PrévisionBoris[[#This Row],[Status]],LstMachines[MoisLivr],L$1)</f>
        <v>0</v>
      </c>
      <c r="M142" s="228">
        <f>SUMIFS(LstMachines[Nbre],LstMachines[Model-Spec],PrévisionBoris[[#This Row],[Spec]],LstMachines[Status],PrévisionBoris[[#This Row],[Status]],LstMachines[MoisLivr],M$1)</f>
        <v>2</v>
      </c>
      <c r="N142" s="226">
        <f>SUMIFS(LstMachines[Nbre],LstMachines[Model-Spec],PrévisionBoris[[#This Row],[Spec]],LstMachines[Status],PrévisionBoris[[#This Row],[Status]],LstMachines[MoisLivr],N$1)</f>
        <v>0</v>
      </c>
      <c r="O142" s="227">
        <f>SUMIFS(LstMachines[Nbre],LstMachines[Model-Spec],PrévisionBoris[[#This Row],[Spec]],LstMachines[Status],PrévisionBoris[[#This Row],[Status]],LstMachines[MoisLivr],O$1)</f>
        <v>0</v>
      </c>
      <c r="P142" s="228">
        <f>SUMIFS(LstMachines[Nbre],LstMachines[Model-Spec],PrévisionBoris[[#This Row],[Spec]],LstMachines[Status],PrévisionBoris[[#This Row],[Status]],LstMachines[MoisLivr],P$1)</f>
        <v>0</v>
      </c>
      <c r="Q142" s="229">
        <f>SUMIFS(LstMachines[Nbre],LstMachines[Model-Spec],PrévisionBoris[[#This Row],[Spec]],LstMachines[Status],PrévisionBoris[[#This Row],[Status]],LstMachines[MoisLivr],Q$1)</f>
        <v>0</v>
      </c>
      <c r="R142" s="227">
        <f>SUMIFS(LstMachines[Nbre],LstMachines[Model-Spec],PrévisionBoris[[#This Row],[Spec]],LstMachines[Status],PrévisionBoris[[#This Row],[Status]],LstMachines[MoisLivr],R$1)</f>
        <v>0</v>
      </c>
      <c r="S142" s="227">
        <f>SUMIFS(LstMachines[Nbre],LstMachines[Model-Spec],PrévisionBoris[[#This Row],[Spec]],LstMachines[Status],PrévisionBoris[[#This Row],[Status]],LstMachines[MoisLivr],S$1)</f>
        <v>0</v>
      </c>
      <c r="T142" s="226">
        <f>SUMIFS(LstMachines[Nbre],LstMachines[Model-Spec],PrévisionBoris[[#This Row],[Spec]],LstMachines[Status],PrévisionBoris[[#This Row],[Status]],LstMachines[MoisLivr],T$1)</f>
        <v>0</v>
      </c>
      <c r="U142" s="227">
        <f>SUMIFS(LstMachines[Nbre],LstMachines[Model-Spec],PrévisionBoris[[#This Row],[Spec]],LstMachines[Status],PrévisionBoris[[#This Row],[Status]],LstMachines[MoisLivr],U$1)</f>
        <v>1</v>
      </c>
      <c r="V142" s="227">
        <f>SUMIFS(LstMachines[Nbre],LstMachines[Model-Spec],PrévisionBoris[[#This Row],[Spec]],LstMachines[Status],PrévisionBoris[[#This Row],[Status]],LstMachines[MoisLivr],V$1)</f>
        <v>2</v>
      </c>
      <c r="W142" s="226">
        <f>SUMIFS(LstMachines[Nbre],LstMachines[Model-Spec],PrévisionBoris[[#This Row],[Spec]],LstMachines[Status],PrévisionBoris[[#This Row],[Status]],LstMachines[MoisLivr],W$1)</f>
        <v>0</v>
      </c>
      <c r="X142" s="227">
        <f>SUMIFS(LstMachines[Nbre],LstMachines[Model-Spec],PrévisionBoris[[#This Row],[Spec]],LstMachines[Status],PrévisionBoris[[#This Row],[Status]],LstMachines[MoisLivr],X$1)</f>
        <v>0</v>
      </c>
      <c r="Y142" s="227">
        <f>SUMIFS(LstMachines[Nbre],LstMachines[Model-Spec],PrévisionBoris[[#This Row],[Spec]],LstMachines[Status],PrévisionBoris[[#This Row],[Status]],LstMachines[MoisLivr],Y$1)</f>
        <v>0</v>
      </c>
      <c r="Z142" s="226">
        <f>SUMIFS(LstMachines[Nbre],LstMachines[Model-Spec],PrévisionBoris[[#This Row],[Spec]],LstMachines[Status],PrévisionBoris[[#This Row],[Status]],LstMachines[MoisLivr],Z$1)</f>
        <v>0</v>
      </c>
      <c r="AA142" s="227">
        <f>SUMIFS(LstMachines[Nbre],LstMachines[Model-Spec],PrévisionBoris[[#This Row],[Spec]],LstMachines[Status],PrévisionBoris[[#This Row],[Status]],LstMachines[MoisLivr],AA$1)</f>
        <v>0</v>
      </c>
      <c r="AB142" s="227">
        <f>SUMIFS(LstMachines[Nbre],LstMachines[Model-Spec],PrévisionBoris[[#This Row],[Spec]],LstMachines[Status],PrévisionBoris[[#This Row],[Status]],LstMachines[MoisLivr],AB$1)</f>
        <v>0</v>
      </c>
      <c r="AC142" s="226">
        <f>SUMIFS(LstMachines[Nbre],LstMachines[Model-Spec],PrévisionBoris[[#This Row],[Spec]],LstMachines[Status],PrévisionBoris[[#This Row],[Status]],LstMachines[MoisLivr],AC$1)</f>
        <v>0</v>
      </c>
      <c r="AD142" s="227">
        <f>SUMIFS(LstMachines[Nbre],LstMachines[Model-Spec],PrévisionBoris[[#This Row],[Spec]],LstMachines[Status],PrévisionBoris[[#This Row],[Status]],LstMachines[MoisLivr],AD$1)</f>
        <v>0</v>
      </c>
      <c r="AE142" s="227">
        <f>SUMIFS(LstMachines[Nbre],LstMachines[Model-Spec],PrévisionBoris[[#This Row],[Spec]],LstMachines[Status],PrévisionBoris[[#This Row],[Status]],LstMachines[MoisLivr],AE$1)</f>
        <v>0</v>
      </c>
      <c r="AF142" s="226">
        <f>SUMIFS(LstMachines[Nbre],LstMachines[Model-Spec],PrévisionBoris[[#This Row],[Spec]],LstMachines[Status],PrévisionBoris[[#This Row],[Status]],LstMachines[MoisLivr],AF$1)</f>
        <v>0</v>
      </c>
      <c r="AG142" s="227">
        <f>SUMIFS(LstMachines[Nbre],LstMachines[Model-Spec],PrévisionBoris[[#This Row],[Spec]],LstMachines[Status],PrévisionBoris[[#This Row],[Status]],LstMachines[MoisLivr],AG$1)</f>
        <v>0</v>
      </c>
      <c r="AH142" s="227">
        <f>SUMIFS(LstMachines[Nbre],LstMachines[Model-Spec],PrévisionBoris[[#This Row],[Spec]],LstMachines[Status],PrévisionBoris[[#This Row],[Status]],LstMachines[MoisLivr],AH$1)</f>
        <v>0</v>
      </c>
      <c r="AI142" s="226">
        <f>SUMIFS(LstMachines[Nbre],LstMachines[Model-Spec],PrévisionBoris[[#This Row],[Spec]],LstMachines[Status],PrévisionBoris[[#This Row],[Status]],LstMachines[MoisLivr],AI$1)</f>
        <v>0</v>
      </c>
      <c r="AJ142" s="227">
        <f>SUMIFS(LstMachines[Nbre],LstMachines[Model-Spec],PrévisionBoris[[#This Row],[Spec]],LstMachines[Status],PrévisionBoris[[#This Row],[Status]],LstMachines[MoisLivr],AJ$1)</f>
        <v>0</v>
      </c>
      <c r="AK142" s="227">
        <f>SUMIFS(LstMachines[Nbre],LstMachines[Model-Spec],PrévisionBoris[[#This Row],[Spec]],LstMachines[Status],PrévisionBoris[[#This Row],[Status]],LstMachines[MoisLivr],AK$1)</f>
        <v>0</v>
      </c>
      <c r="AL142" s="226">
        <f>SUMIFS(LstMachines[Nbre],LstMachines[Model-Spec],PrévisionBoris[[#This Row],[Spec]],LstMachines[Status],PrévisionBoris[[#This Row],[Status]],LstMachines[MoisLivr],AL$1)</f>
        <v>0</v>
      </c>
      <c r="AM142" s="227">
        <f>SUMIFS(LstMachines[Nbre],LstMachines[Model-Spec],PrévisionBoris[[#This Row],[Spec]],LstMachines[Status],PrévisionBoris[[#This Row],[Status]],LstMachines[MoisLivr],AM$1)</f>
        <v>0</v>
      </c>
      <c r="AN142" s="227">
        <f>SUMIFS(LstMachines[Nbre],LstMachines[Model-Spec],PrévisionBoris[[#This Row],[Spec]],LstMachines[Status],PrévisionBoris[[#This Row],[Status]],LstMachines[MoisLivr],AN$1)</f>
        <v>0</v>
      </c>
      <c r="AO142" s="226">
        <f>SUMIFS(LstMachines[Nbre],LstMachines[Model-Spec],PrévisionBoris[[#This Row],[Spec]],LstMachines[Status],PrévisionBoris[[#This Row],[Status]],LstMachines[MoisLivr],AO$1)</f>
        <v>0</v>
      </c>
      <c r="AP142" s="227">
        <f>SUMIFS(LstMachines[Nbre],LstMachines[Model-Spec],PrévisionBoris[[#This Row],[Spec]],LstMachines[Status],PrévisionBoris[[#This Row],[Status]],LstMachines[MoisLivr],AP$1)</f>
        <v>0</v>
      </c>
      <c r="AQ142" s="227">
        <f>SUMIFS(LstMachines[Nbre],LstMachines[Model-Spec],PrévisionBoris[[#This Row],[Spec]],LstMachines[Status],PrévisionBoris[[#This Row],[Status]],LstMachines[MoisLivr],AQ$1)</f>
        <v>0</v>
      </c>
      <c r="AR142" s="226">
        <f>SUMIFS(LstMachines[Nbre],LstMachines[Model-Spec],PrévisionBoris[[#This Row],[Spec]],LstMachines[Status],PrévisionBoris[[#This Row],[Status]],LstMachines[MoisLivr],AR$1)</f>
        <v>0</v>
      </c>
      <c r="AS142" s="227">
        <f>SUMIFS(LstMachines[Nbre],LstMachines[Model-Spec],PrévisionBoris[[#This Row],[Spec]],LstMachines[Status],PrévisionBoris[[#This Row],[Status]],LstMachines[MoisLivr],AS$1)</f>
        <v>0</v>
      </c>
      <c r="AT142" s="227">
        <f>SUMIFS(LstMachines[Nbre],LstMachines[Model-Spec],PrévisionBoris[[#This Row],[Spec]],LstMachines[Status],PrévisionBoris[[#This Row],[Status]],LstMachines[MoisLivr],AT$1)</f>
        <v>0</v>
      </c>
      <c r="AU142" s="226">
        <f>SUMIFS(LstMachines[Nbre],LstMachines[Model-Spec],PrévisionBoris[[#This Row],[Spec]],LstMachines[Status],PrévisionBoris[[#This Row],[Status]],LstMachines[MoisLivr],AU$1)</f>
        <v>0</v>
      </c>
      <c r="AV142" s="230">
        <f>SUMIFS(LstMachines[Nbre],LstMachines[Model-Spec],PrévisionBoris[[#This Row],[Spec]],LstMachines[Status],PrévisionBoris[[#This Row],[Status]],LstMachines[MoisLivr],AV$1)</f>
        <v>0</v>
      </c>
      <c r="AW142" s="231">
        <f>SUMIFS(LstMachines[Nbre],LstMachines[Model-Spec],PrévisionBoris[[#This Row],[Spec]],LstMachines[Status],PrévisionBoris[[#This Row],[Status]],LstMachines[MoisLivr],AW$1)</f>
        <v>0</v>
      </c>
      <c r="AX142" s="232"/>
      <c r="AY142" s="211">
        <f t="shared" si="35"/>
        <v>2</v>
      </c>
      <c r="AZ142" s="212">
        <f t="shared" si="36"/>
        <v>0</v>
      </c>
      <c r="BA142" s="212">
        <f t="shared" si="37"/>
        <v>0</v>
      </c>
      <c r="BB142" s="213">
        <f t="shared" si="38"/>
        <v>3</v>
      </c>
      <c r="BC142" s="225">
        <f t="shared" si="39"/>
        <v>5</v>
      </c>
      <c r="BD142" s="211">
        <f t="shared" si="40"/>
        <v>0</v>
      </c>
      <c r="BE142" s="212">
        <f t="shared" si="41"/>
        <v>0</v>
      </c>
      <c r="BF142" s="212">
        <f t="shared" si="42"/>
        <v>0</v>
      </c>
      <c r="BG142" s="213">
        <f t="shared" si="43"/>
        <v>0</v>
      </c>
      <c r="BH142" s="225">
        <f t="shared" si="44"/>
        <v>0</v>
      </c>
      <c r="BI142" s="214">
        <f t="shared" si="45"/>
        <v>0</v>
      </c>
      <c r="BJ142" s="215">
        <f t="shared" si="46"/>
        <v>0</v>
      </c>
      <c r="BK142" s="215">
        <f t="shared" si="47"/>
        <v>0</v>
      </c>
      <c r="BL142" s="216">
        <f t="shared" si="48"/>
        <v>0</v>
      </c>
      <c r="BM142" s="225">
        <f t="shared" si="49"/>
        <v>0</v>
      </c>
      <c r="BN142" s="225"/>
      <c r="BO142" s="217"/>
      <c r="BP142" s="218">
        <f t="shared" si="50"/>
        <v>5</v>
      </c>
    </row>
    <row r="143" spans="1:68">
      <c r="A143" s="172">
        <v>136</v>
      </c>
      <c r="B143" s="172" t="s">
        <v>75</v>
      </c>
      <c r="C143" s="202">
        <v>48</v>
      </c>
      <c r="D143" s="172" t="s">
        <v>82</v>
      </c>
      <c r="E143" s="172" t="s">
        <v>420</v>
      </c>
      <c r="F143" s="202">
        <f>VLOOKUP(PrévisionBoris[[#This Row],[Spec]],TabModelSpecs[[ModelSpec]:[Price]],2,FALSE)</f>
        <v>41</v>
      </c>
      <c r="G143" s="172" t="s">
        <v>461</v>
      </c>
      <c r="H143" s="206">
        <f>SUMIFS(LstMachines[Nbre],LstMachines[Model-Spec],PrévisionBoris[[#This Row],[Spec]],LstMachines[Status],PrévisionBoris[[#This Row],[Status]],LstMachines[MoisLivr],H$1)</f>
        <v>0</v>
      </c>
      <c r="I143" s="207">
        <f>SUMIFS(LstMachines[Nbre],LstMachines[Model-Spec],PrévisionBoris[[#This Row],[Spec]],LstMachines[Status],PrévisionBoris[[#This Row],[Status]],LstMachines[MoisLivr],I$1)</f>
        <v>0</v>
      </c>
      <c r="J143" s="208">
        <f>SUMIFS(LstMachines[Nbre],LstMachines[Model-Spec],PrévisionBoris[[#This Row],[Spec]],LstMachines[Status],PrévisionBoris[[#This Row],[Status]],LstMachines[MoisLivr],J$1)</f>
        <v>0</v>
      </c>
      <c r="K143" s="206">
        <f>SUMIFS(LstMachines[Nbre],LstMachines[Model-Spec],PrévisionBoris[[#This Row],[Spec]],LstMachines[Status],PrévisionBoris[[#This Row],[Status]],LstMachines[MoisLivr],K$1)</f>
        <v>0</v>
      </c>
      <c r="L143" s="207">
        <f>SUMIFS(LstMachines[Nbre],LstMachines[Model-Spec],PrévisionBoris[[#This Row],[Spec]],LstMachines[Status],PrévisionBoris[[#This Row],[Status]],LstMachines[MoisLivr],L$1)</f>
        <v>0</v>
      </c>
      <c r="M143" s="208">
        <f>SUMIFS(LstMachines[Nbre],LstMachines[Model-Spec],PrévisionBoris[[#This Row],[Spec]],LstMachines[Status],PrévisionBoris[[#This Row],[Status]],LstMachines[MoisLivr],M$1)</f>
        <v>0</v>
      </c>
      <c r="N143" s="206">
        <f>SUMIFS(LstMachines[Nbre],LstMachines[Model-Spec],PrévisionBoris[[#This Row],[Spec]],LstMachines[Status],PrévisionBoris[[#This Row],[Status]],LstMachines[MoisLivr],N$1)</f>
        <v>0</v>
      </c>
      <c r="O143" s="207">
        <f>SUMIFS(LstMachines[Nbre],LstMachines[Model-Spec],PrévisionBoris[[#This Row],[Spec]],LstMachines[Status],PrévisionBoris[[#This Row],[Status]],LstMachines[MoisLivr],O$1)</f>
        <v>0</v>
      </c>
      <c r="P143" s="208">
        <f>SUMIFS(LstMachines[Nbre],LstMachines[Model-Spec],PrévisionBoris[[#This Row],[Spec]],LstMachines[Status],PrévisionBoris[[#This Row],[Status]],LstMachines[MoisLivr],P$1)</f>
        <v>0</v>
      </c>
      <c r="Q143" s="209">
        <f>SUMIFS(LstMachines[Nbre],LstMachines[Model-Spec],PrévisionBoris[[#This Row],[Spec]],LstMachines[Status],PrévisionBoris[[#This Row],[Status]],LstMachines[MoisLivr],Q$1)</f>
        <v>0</v>
      </c>
      <c r="R143" s="207">
        <f>SUMIFS(LstMachines[Nbre],LstMachines[Model-Spec],PrévisionBoris[[#This Row],[Spec]],LstMachines[Status],PrévisionBoris[[#This Row],[Status]],LstMachines[MoisLivr],R$1)</f>
        <v>0</v>
      </c>
      <c r="S143" s="207">
        <f>SUMIFS(LstMachines[Nbre],LstMachines[Model-Spec],PrévisionBoris[[#This Row],[Spec]],LstMachines[Status],PrévisionBoris[[#This Row],[Status]],LstMachines[MoisLivr],S$1)</f>
        <v>0</v>
      </c>
      <c r="T143" s="206">
        <f>SUMIFS(LstMachines[Nbre],LstMachines[Model-Spec],PrévisionBoris[[#This Row],[Spec]],LstMachines[Status],PrévisionBoris[[#This Row],[Status]],LstMachines[MoisLivr],T$1)</f>
        <v>0</v>
      </c>
      <c r="U143" s="207">
        <f>SUMIFS(LstMachines[Nbre],LstMachines[Model-Spec],PrévisionBoris[[#This Row],[Spec]],LstMachines[Status],PrévisionBoris[[#This Row],[Status]],LstMachines[MoisLivr],U$1)</f>
        <v>0</v>
      </c>
      <c r="V143" s="207">
        <f>SUMIFS(LstMachines[Nbre],LstMachines[Model-Spec],PrévisionBoris[[#This Row],[Spec]],LstMachines[Status],PrévisionBoris[[#This Row],[Status]],LstMachines[MoisLivr],V$1)</f>
        <v>0</v>
      </c>
      <c r="W143" s="206">
        <f>SUMIFS(LstMachines[Nbre],LstMachines[Model-Spec],PrévisionBoris[[#This Row],[Spec]],LstMachines[Status],PrévisionBoris[[#This Row],[Status]],LstMachines[MoisLivr],W$1)</f>
        <v>0</v>
      </c>
      <c r="X143" s="207">
        <f>SUMIFS(LstMachines[Nbre],LstMachines[Model-Spec],PrévisionBoris[[#This Row],[Spec]],LstMachines[Status],PrévisionBoris[[#This Row],[Status]],LstMachines[MoisLivr],X$1)</f>
        <v>0</v>
      </c>
      <c r="Y143" s="207">
        <f>SUMIFS(LstMachines[Nbre],LstMachines[Model-Spec],PrévisionBoris[[#This Row],[Spec]],LstMachines[Status],PrévisionBoris[[#This Row],[Status]],LstMachines[MoisLivr],Y$1)</f>
        <v>0</v>
      </c>
      <c r="Z143" s="206">
        <f>SUMIFS(LstMachines[Nbre],LstMachines[Model-Spec],PrévisionBoris[[#This Row],[Spec]],LstMachines[Status],PrévisionBoris[[#This Row],[Status]],LstMachines[MoisLivr],Z$1)</f>
        <v>0</v>
      </c>
      <c r="AA143" s="207">
        <f>SUMIFS(LstMachines[Nbre],LstMachines[Model-Spec],PrévisionBoris[[#This Row],[Spec]],LstMachines[Status],PrévisionBoris[[#This Row],[Status]],LstMachines[MoisLivr],AA$1)</f>
        <v>0</v>
      </c>
      <c r="AB143" s="207">
        <f>SUMIFS(LstMachines[Nbre],LstMachines[Model-Spec],PrévisionBoris[[#This Row],[Spec]],LstMachines[Status],PrévisionBoris[[#This Row],[Status]],LstMachines[MoisLivr],AB$1)</f>
        <v>0</v>
      </c>
      <c r="AC143" s="206">
        <f>SUMIFS(LstMachines[Nbre],LstMachines[Model-Spec],PrévisionBoris[[#This Row],[Spec]],LstMachines[Status],PrévisionBoris[[#This Row],[Status]],LstMachines[MoisLivr],AC$1)</f>
        <v>0</v>
      </c>
      <c r="AD143" s="207">
        <f>SUMIFS(LstMachines[Nbre],LstMachines[Model-Spec],PrévisionBoris[[#This Row],[Spec]],LstMachines[Status],PrévisionBoris[[#This Row],[Status]],LstMachines[MoisLivr],AD$1)</f>
        <v>0</v>
      </c>
      <c r="AE143" s="207">
        <f>SUMIFS(LstMachines[Nbre],LstMachines[Model-Spec],PrévisionBoris[[#This Row],[Spec]],LstMachines[Status],PrévisionBoris[[#This Row],[Status]],LstMachines[MoisLivr],AE$1)</f>
        <v>0</v>
      </c>
      <c r="AF143" s="206">
        <f>SUMIFS(LstMachines[Nbre],LstMachines[Model-Spec],PrévisionBoris[[#This Row],[Spec]],LstMachines[Status],PrévisionBoris[[#This Row],[Status]],LstMachines[MoisLivr],AF$1)</f>
        <v>0</v>
      </c>
      <c r="AG143" s="207">
        <f>SUMIFS(LstMachines[Nbre],LstMachines[Model-Spec],PrévisionBoris[[#This Row],[Spec]],LstMachines[Status],PrévisionBoris[[#This Row],[Status]],LstMachines[MoisLivr],AG$1)</f>
        <v>0</v>
      </c>
      <c r="AH143" s="207">
        <f>SUMIFS(LstMachines[Nbre],LstMachines[Model-Spec],PrévisionBoris[[#This Row],[Spec]],LstMachines[Status],PrévisionBoris[[#This Row],[Status]],LstMachines[MoisLivr],AH$1)</f>
        <v>0</v>
      </c>
      <c r="AI143" s="206">
        <f>SUMIFS(LstMachines[Nbre],LstMachines[Model-Spec],PrévisionBoris[[#This Row],[Spec]],LstMachines[Status],PrévisionBoris[[#This Row],[Status]],LstMachines[MoisLivr],AI$1)</f>
        <v>0</v>
      </c>
      <c r="AJ143" s="207">
        <f>SUMIFS(LstMachines[Nbre],LstMachines[Model-Spec],PrévisionBoris[[#This Row],[Spec]],LstMachines[Status],PrévisionBoris[[#This Row],[Status]],LstMachines[MoisLivr],AJ$1)</f>
        <v>0</v>
      </c>
      <c r="AK143" s="207">
        <f>SUMIFS(LstMachines[Nbre],LstMachines[Model-Spec],PrévisionBoris[[#This Row],[Spec]],LstMachines[Status],PrévisionBoris[[#This Row],[Status]],LstMachines[MoisLivr],AK$1)</f>
        <v>0</v>
      </c>
      <c r="AL143" s="206">
        <f>SUMIFS(LstMachines[Nbre],LstMachines[Model-Spec],PrévisionBoris[[#This Row],[Spec]],LstMachines[Status],PrévisionBoris[[#This Row],[Status]],LstMachines[MoisLivr],AL$1)</f>
        <v>0</v>
      </c>
      <c r="AM143" s="207">
        <f>SUMIFS(LstMachines[Nbre],LstMachines[Model-Spec],PrévisionBoris[[#This Row],[Spec]],LstMachines[Status],PrévisionBoris[[#This Row],[Status]],LstMachines[MoisLivr],AM$1)</f>
        <v>0</v>
      </c>
      <c r="AN143" s="207">
        <f>SUMIFS(LstMachines[Nbre],LstMachines[Model-Spec],PrévisionBoris[[#This Row],[Spec]],LstMachines[Status],PrévisionBoris[[#This Row],[Status]],LstMachines[MoisLivr],AN$1)</f>
        <v>0</v>
      </c>
      <c r="AO143" s="206">
        <f>SUMIFS(LstMachines[Nbre],LstMachines[Model-Spec],PrévisionBoris[[#This Row],[Spec]],LstMachines[Status],PrévisionBoris[[#This Row],[Status]],LstMachines[MoisLivr],AO$1)</f>
        <v>0</v>
      </c>
      <c r="AP143" s="207">
        <f>SUMIFS(LstMachines[Nbre],LstMachines[Model-Spec],PrévisionBoris[[#This Row],[Spec]],LstMachines[Status],PrévisionBoris[[#This Row],[Status]],LstMachines[MoisLivr],AP$1)</f>
        <v>0</v>
      </c>
      <c r="AQ143" s="207">
        <f>SUMIFS(LstMachines[Nbre],LstMachines[Model-Spec],PrévisionBoris[[#This Row],[Spec]],LstMachines[Status],PrévisionBoris[[#This Row],[Status]],LstMachines[MoisLivr],AQ$1)</f>
        <v>0</v>
      </c>
      <c r="AR143" s="206">
        <f>SUMIFS(LstMachines[Nbre],LstMachines[Model-Spec],PrévisionBoris[[#This Row],[Spec]],LstMachines[Status],PrévisionBoris[[#This Row],[Status]],LstMachines[MoisLivr],AR$1)</f>
        <v>0</v>
      </c>
      <c r="AS143" s="207">
        <f>SUMIFS(LstMachines[Nbre],LstMachines[Model-Spec],PrévisionBoris[[#This Row],[Spec]],LstMachines[Status],PrévisionBoris[[#This Row],[Status]],LstMachines[MoisLivr],AS$1)</f>
        <v>0</v>
      </c>
      <c r="AT143" s="207">
        <f>SUMIFS(LstMachines[Nbre],LstMachines[Model-Spec],PrévisionBoris[[#This Row],[Spec]],LstMachines[Status],PrévisionBoris[[#This Row],[Status]],LstMachines[MoisLivr],AT$1)</f>
        <v>0</v>
      </c>
      <c r="AU143" s="206">
        <f>SUMIFS(LstMachines[Nbre],LstMachines[Model-Spec],PrévisionBoris[[#This Row],[Spec]],LstMachines[Status],PrévisionBoris[[#This Row],[Status]],LstMachines[MoisLivr],AU$1)</f>
        <v>0</v>
      </c>
      <c r="AV143" s="233">
        <f>SUMIFS(LstMachines[Nbre],LstMachines[Model-Spec],PrévisionBoris[[#This Row],[Spec]],LstMachines[Status],PrévisionBoris[[#This Row],[Status]],LstMachines[MoisLivr],AV$1)</f>
        <v>0</v>
      </c>
      <c r="AW143" s="208">
        <f>SUMIFS(LstMachines[Nbre],LstMachines[Model-Spec],PrévisionBoris[[#This Row],[Spec]],LstMachines[Status],PrévisionBoris[[#This Row],[Status]],LstMachines[MoisLivr],AW$1)</f>
        <v>0</v>
      </c>
      <c r="AX143" s="225"/>
      <c r="AY143" s="211">
        <f t="shared" si="35"/>
        <v>0</v>
      </c>
      <c r="AZ143" s="212">
        <f t="shared" si="36"/>
        <v>0</v>
      </c>
      <c r="BA143" s="212">
        <f t="shared" si="37"/>
        <v>0</v>
      </c>
      <c r="BB143" s="213">
        <f t="shared" si="38"/>
        <v>0</v>
      </c>
      <c r="BC143" s="225">
        <f t="shared" si="39"/>
        <v>0</v>
      </c>
      <c r="BD143" s="211">
        <f t="shared" si="40"/>
        <v>0</v>
      </c>
      <c r="BE143" s="212">
        <f t="shared" si="41"/>
        <v>0</v>
      </c>
      <c r="BF143" s="212">
        <f t="shared" si="42"/>
        <v>0</v>
      </c>
      <c r="BG143" s="213">
        <f t="shared" si="43"/>
        <v>0</v>
      </c>
      <c r="BH143" s="225">
        <f t="shared" si="44"/>
        <v>0</v>
      </c>
      <c r="BI143" s="214">
        <f t="shared" si="45"/>
        <v>0</v>
      </c>
      <c r="BJ143" s="215">
        <f t="shared" si="46"/>
        <v>0</v>
      </c>
      <c r="BK143" s="215">
        <f t="shared" si="47"/>
        <v>0</v>
      </c>
      <c r="BL143" s="216">
        <f t="shared" si="48"/>
        <v>0</v>
      </c>
      <c r="BM143" s="225">
        <f t="shared" si="49"/>
        <v>0</v>
      </c>
      <c r="BN143" s="225"/>
      <c r="BO143" s="234"/>
      <c r="BP143" s="218">
        <f t="shared" si="50"/>
        <v>0</v>
      </c>
    </row>
    <row r="144" spans="1:68">
      <c r="A144" s="170">
        <v>137</v>
      </c>
      <c r="B144" s="170" t="s">
        <v>75</v>
      </c>
      <c r="C144" s="200">
        <v>48</v>
      </c>
      <c r="D144" s="170" t="s">
        <v>82</v>
      </c>
      <c r="E144" s="170" t="s">
        <v>420</v>
      </c>
      <c r="F144" s="200">
        <f>VLOOKUP(PrévisionBoris[[#This Row],[Spec]],TabModelSpecs[[ModelSpec]:[Price]],2,FALSE)</f>
        <v>41</v>
      </c>
      <c r="G144" s="170" t="s">
        <v>462</v>
      </c>
      <c r="H144" s="219">
        <f>SUMIFS(LstMachines[Nbre],LstMachines[Model-Spec],PrévisionBoris[[#This Row],[Spec]],LstMachines[Status],PrévisionBoris[[#This Row],[Status]],LstMachines[MoisLivr],H$1)</f>
        <v>0</v>
      </c>
      <c r="I144" s="220">
        <f>SUMIFS(LstMachines[Nbre],LstMachines[Model-Spec],PrévisionBoris[[#This Row],[Spec]],LstMachines[Status],PrévisionBoris[[#This Row],[Status]],LstMachines[MoisLivr],I$1)</f>
        <v>0</v>
      </c>
      <c r="J144" s="221">
        <f>SUMIFS(LstMachines[Nbre],LstMachines[Model-Spec],PrévisionBoris[[#This Row],[Spec]],LstMachines[Status],PrévisionBoris[[#This Row],[Status]],LstMachines[MoisLivr],J$1)</f>
        <v>0</v>
      </c>
      <c r="K144" s="219">
        <f>SUMIFS(LstMachines[Nbre],LstMachines[Model-Spec],PrévisionBoris[[#This Row],[Spec]],LstMachines[Status],PrévisionBoris[[#This Row],[Status]],LstMachines[MoisLivr],K$1)</f>
        <v>0</v>
      </c>
      <c r="L144" s="220">
        <f>SUMIFS(LstMachines[Nbre],LstMachines[Model-Spec],PrévisionBoris[[#This Row],[Spec]],LstMachines[Status],PrévisionBoris[[#This Row],[Status]],LstMachines[MoisLivr],L$1)</f>
        <v>0</v>
      </c>
      <c r="M144" s="221">
        <f>SUMIFS(LstMachines[Nbre],LstMachines[Model-Spec],PrévisionBoris[[#This Row],[Spec]],LstMachines[Status],PrévisionBoris[[#This Row],[Status]],LstMachines[MoisLivr],M$1)</f>
        <v>0</v>
      </c>
      <c r="N144" s="219">
        <f>SUMIFS(LstMachines[Nbre],LstMachines[Model-Spec],PrévisionBoris[[#This Row],[Spec]],LstMachines[Status],PrévisionBoris[[#This Row],[Status]],LstMachines[MoisLivr],N$1)</f>
        <v>0</v>
      </c>
      <c r="O144" s="220">
        <f>SUMIFS(LstMachines[Nbre],LstMachines[Model-Spec],PrévisionBoris[[#This Row],[Spec]],LstMachines[Status],PrévisionBoris[[#This Row],[Status]],LstMachines[MoisLivr],O$1)</f>
        <v>0</v>
      </c>
      <c r="P144" s="221">
        <f>SUMIFS(LstMachines[Nbre],LstMachines[Model-Spec],PrévisionBoris[[#This Row],[Spec]],LstMachines[Status],PrévisionBoris[[#This Row],[Status]],LstMachines[MoisLivr],P$1)</f>
        <v>0</v>
      </c>
      <c r="Q144" s="222">
        <f>SUMIFS(LstMachines[Nbre],LstMachines[Model-Spec],PrévisionBoris[[#This Row],[Spec]],LstMachines[Status],PrévisionBoris[[#This Row],[Status]],LstMachines[MoisLivr],Q$1)</f>
        <v>0</v>
      </c>
      <c r="R144" s="220">
        <f>SUMIFS(LstMachines[Nbre],LstMachines[Model-Spec],PrévisionBoris[[#This Row],[Spec]],LstMachines[Status],PrévisionBoris[[#This Row],[Status]],LstMachines[MoisLivr],R$1)</f>
        <v>0</v>
      </c>
      <c r="S144" s="220">
        <f>SUMIFS(LstMachines[Nbre],LstMachines[Model-Spec],PrévisionBoris[[#This Row],[Spec]],LstMachines[Status],PrévisionBoris[[#This Row],[Status]],LstMachines[MoisLivr],S$1)</f>
        <v>0</v>
      </c>
      <c r="T144" s="219">
        <f>SUMIFS(LstMachines[Nbre],LstMachines[Model-Spec],PrévisionBoris[[#This Row],[Spec]],LstMachines[Status],PrévisionBoris[[#This Row],[Status]],LstMachines[MoisLivr],T$1)</f>
        <v>0</v>
      </c>
      <c r="U144" s="220">
        <f>SUMIFS(LstMachines[Nbre],LstMachines[Model-Spec],PrévisionBoris[[#This Row],[Spec]],LstMachines[Status],PrévisionBoris[[#This Row],[Status]],LstMachines[MoisLivr],U$1)</f>
        <v>0</v>
      </c>
      <c r="V144" s="220">
        <f>SUMIFS(LstMachines[Nbre],LstMachines[Model-Spec],PrévisionBoris[[#This Row],[Spec]],LstMachines[Status],PrévisionBoris[[#This Row],[Status]],LstMachines[MoisLivr],V$1)</f>
        <v>0</v>
      </c>
      <c r="W144" s="219">
        <f>SUMIFS(LstMachines[Nbre],LstMachines[Model-Spec],PrévisionBoris[[#This Row],[Spec]],LstMachines[Status],PrévisionBoris[[#This Row],[Status]],LstMachines[MoisLivr],W$1)</f>
        <v>0</v>
      </c>
      <c r="X144" s="220">
        <f>SUMIFS(LstMachines[Nbre],LstMachines[Model-Spec],PrévisionBoris[[#This Row],[Spec]],LstMachines[Status],PrévisionBoris[[#This Row],[Status]],LstMachines[MoisLivr],X$1)</f>
        <v>0</v>
      </c>
      <c r="Y144" s="220">
        <f>SUMIFS(LstMachines[Nbre],LstMachines[Model-Spec],PrévisionBoris[[#This Row],[Spec]],LstMachines[Status],PrévisionBoris[[#This Row],[Status]],LstMachines[MoisLivr],Y$1)</f>
        <v>0</v>
      </c>
      <c r="Z144" s="219">
        <f>SUMIFS(LstMachines[Nbre],LstMachines[Model-Spec],PrévisionBoris[[#This Row],[Spec]],LstMachines[Status],PrévisionBoris[[#This Row],[Status]],LstMachines[MoisLivr],Z$1)</f>
        <v>0</v>
      </c>
      <c r="AA144" s="220">
        <f>SUMIFS(LstMachines[Nbre],LstMachines[Model-Spec],PrévisionBoris[[#This Row],[Spec]],LstMachines[Status],PrévisionBoris[[#This Row],[Status]],LstMachines[MoisLivr],AA$1)</f>
        <v>0</v>
      </c>
      <c r="AB144" s="220">
        <f>SUMIFS(LstMachines[Nbre],LstMachines[Model-Spec],PrévisionBoris[[#This Row],[Spec]],LstMachines[Status],PrévisionBoris[[#This Row],[Status]],LstMachines[MoisLivr],AB$1)</f>
        <v>0</v>
      </c>
      <c r="AC144" s="219">
        <f>SUMIFS(LstMachines[Nbre],LstMachines[Model-Spec],PrévisionBoris[[#This Row],[Spec]],LstMachines[Status],PrévisionBoris[[#This Row],[Status]],LstMachines[MoisLivr],AC$1)</f>
        <v>0</v>
      </c>
      <c r="AD144" s="220">
        <f>SUMIFS(LstMachines[Nbre],LstMachines[Model-Spec],PrévisionBoris[[#This Row],[Spec]],LstMachines[Status],PrévisionBoris[[#This Row],[Status]],LstMachines[MoisLivr],AD$1)</f>
        <v>0</v>
      </c>
      <c r="AE144" s="220">
        <f>SUMIFS(LstMachines[Nbre],LstMachines[Model-Spec],PrévisionBoris[[#This Row],[Spec]],LstMachines[Status],PrévisionBoris[[#This Row],[Status]],LstMachines[MoisLivr],AE$1)</f>
        <v>0</v>
      </c>
      <c r="AF144" s="219">
        <f>SUMIFS(LstMachines[Nbre],LstMachines[Model-Spec],PrévisionBoris[[#This Row],[Spec]],LstMachines[Status],PrévisionBoris[[#This Row],[Status]],LstMachines[MoisLivr],AF$1)</f>
        <v>0</v>
      </c>
      <c r="AG144" s="220">
        <f>SUMIFS(LstMachines[Nbre],LstMachines[Model-Spec],PrévisionBoris[[#This Row],[Spec]],LstMachines[Status],PrévisionBoris[[#This Row],[Status]],LstMachines[MoisLivr],AG$1)</f>
        <v>0</v>
      </c>
      <c r="AH144" s="220">
        <f>SUMIFS(LstMachines[Nbre],LstMachines[Model-Spec],PrévisionBoris[[#This Row],[Spec]],LstMachines[Status],PrévisionBoris[[#This Row],[Status]],LstMachines[MoisLivr],AH$1)</f>
        <v>0</v>
      </c>
      <c r="AI144" s="219">
        <f>SUMIFS(LstMachines[Nbre],LstMachines[Model-Spec],PrévisionBoris[[#This Row],[Spec]],LstMachines[Status],PrévisionBoris[[#This Row],[Status]],LstMachines[MoisLivr],AI$1)</f>
        <v>0</v>
      </c>
      <c r="AJ144" s="220">
        <f>SUMIFS(LstMachines[Nbre],LstMachines[Model-Spec],PrévisionBoris[[#This Row],[Spec]],LstMachines[Status],PrévisionBoris[[#This Row],[Status]],LstMachines[MoisLivr],AJ$1)</f>
        <v>0</v>
      </c>
      <c r="AK144" s="220">
        <f>SUMIFS(LstMachines[Nbre],LstMachines[Model-Spec],PrévisionBoris[[#This Row],[Spec]],LstMachines[Status],PrévisionBoris[[#This Row],[Status]],LstMachines[MoisLivr],AK$1)</f>
        <v>0</v>
      </c>
      <c r="AL144" s="219">
        <f>SUMIFS(LstMachines[Nbre],LstMachines[Model-Spec],PrévisionBoris[[#This Row],[Spec]],LstMachines[Status],PrévisionBoris[[#This Row],[Status]],LstMachines[MoisLivr],AL$1)</f>
        <v>0</v>
      </c>
      <c r="AM144" s="220">
        <f>SUMIFS(LstMachines[Nbre],LstMachines[Model-Spec],PrévisionBoris[[#This Row],[Spec]],LstMachines[Status],PrévisionBoris[[#This Row],[Status]],LstMachines[MoisLivr],AM$1)</f>
        <v>0</v>
      </c>
      <c r="AN144" s="220">
        <f>SUMIFS(LstMachines[Nbre],LstMachines[Model-Spec],PrévisionBoris[[#This Row],[Spec]],LstMachines[Status],PrévisionBoris[[#This Row],[Status]],LstMachines[MoisLivr],AN$1)</f>
        <v>0</v>
      </c>
      <c r="AO144" s="219">
        <f>SUMIFS(LstMachines[Nbre],LstMachines[Model-Spec],PrévisionBoris[[#This Row],[Spec]],LstMachines[Status],PrévisionBoris[[#This Row],[Status]],LstMachines[MoisLivr],AO$1)</f>
        <v>0</v>
      </c>
      <c r="AP144" s="220">
        <f>SUMIFS(LstMachines[Nbre],LstMachines[Model-Spec],PrévisionBoris[[#This Row],[Spec]],LstMachines[Status],PrévisionBoris[[#This Row],[Status]],LstMachines[MoisLivr],AP$1)</f>
        <v>0</v>
      </c>
      <c r="AQ144" s="220">
        <f>SUMIFS(LstMachines[Nbre],LstMachines[Model-Spec],PrévisionBoris[[#This Row],[Spec]],LstMachines[Status],PrévisionBoris[[#This Row],[Status]],LstMachines[MoisLivr],AQ$1)</f>
        <v>0</v>
      </c>
      <c r="AR144" s="219">
        <f>SUMIFS(LstMachines[Nbre],LstMachines[Model-Spec],PrévisionBoris[[#This Row],[Spec]],LstMachines[Status],PrévisionBoris[[#This Row],[Status]],LstMachines[MoisLivr],AR$1)</f>
        <v>0</v>
      </c>
      <c r="AS144" s="220">
        <f>SUMIFS(LstMachines[Nbre],LstMachines[Model-Spec],PrévisionBoris[[#This Row],[Spec]],LstMachines[Status],PrévisionBoris[[#This Row],[Status]],LstMachines[MoisLivr],AS$1)</f>
        <v>0</v>
      </c>
      <c r="AT144" s="220">
        <f>SUMIFS(LstMachines[Nbre],LstMachines[Model-Spec],PrévisionBoris[[#This Row],[Spec]],LstMachines[Status],PrévisionBoris[[#This Row],[Status]],LstMachines[MoisLivr],AT$1)</f>
        <v>0</v>
      </c>
      <c r="AU144" s="219">
        <f>SUMIFS(LstMachines[Nbre],LstMachines[Model-Spec],PrévisionBoris[[#This Row],[Spec]],LstMachines[Status],PrévisionBoris[[#This Row],[Status]],LstMachines[MoisLivr],AU$1)</f>
        <v>0</v>
      </c>
      <c r="AV144" s="223">
        <f>SUMIFS(LstMachines[Nbre],LstMachines[Model-Spec],PrévisionBoris[[#This Row],[Spec]],LstMachines[Status],PrévisionBoris[[#This Row],[Status]],LstMachines[MoisLivr],AV$1)</f>
        <v>0</v>
      </c>
      <c r="AW144" s="224">
        <f>SUMIFS(LstMachines[Nbre],LstMachines[Model-Spec],PrévisionBoris[[#This Row],[Spec]],LstMachines[Status],PrévisionBoris[[#This Row],[Status]],LstMachines[MoisLivr],AW$1)</f>
        <v>0</v>
      </c>
      <c r="AX144" s="210"/>
      <c r="AY144" s="211">
        <f t="shared" si="35"/>
        <v>0</v>
      </c>
      <c r="AZ144" s="212">
        <f t="shared" si="36"/>
        <v>0</v>
      </c>
      <c r="BA144" s="212">
        <f t="shared" si="37"/>
        <v>0</v>
      </c>
      <c r="BB144" s="213">
        <f t="shared" si="38"/>
        <v>0</v>
      </c>
      <c r="BC144" s="225">
        <f t="shared" si="39"/>
        <v>0</v>
      </c>
      <c r="BD144" s="211">
        <f t="shared" si="40"/>
        <v>0</v>
      </c>
      <c r="BE144" s="212">
        <f t="shared" si="41"/>
        <v>0</v>
      </c>
      <c r="BF144" s="212">
        <f t="shared" si="42"/>
        <v>0</v>
      </c>
      <c r="BG144" s="213">
        <f t="shared" si="43"/>
        <v>0</v>
      </c>
      <c r="BH144" s="225">
        <f t="shared" si="44"/>
        <v>0</v>
      </c>
      <c r="BI144" s="214">
        <f t="shared" si="45"/>
        <v>0</v>
      </c>
      <c r="BJ144" s="215">
        <f t="shared" si="46"/>
        <v>0</v>
      </c>
      <c r="BK144" s="215">
        <f t="shared" si="47"/>
        <v>0</v>
      </c>
      <c r="BL144" s="216">
        <f t="shared" si="48"/>
        <v>0</v>
      </c>
      <c r="BM144" s="225">
        <f t="shared" si="49"/>
        <v>0</v>
      </c>
      <c r="BN144" s="225"/>
      <c r="BO144" s="217"/>
      <c r="BP144" s="218">
        <f t="shared" si="50"/>
        <v>0</v>
      </c>
    </row>
    <row r="145" spans="1:68">
      <c r="A145" s="171">
        <v>138</v>
      </c>
      <c r="B145" s="171" t="s">
        <v>75</v>
      </c>
      <c r="C145" s="201">
        <v>48</v>
      </c>
      <c r="D145" s="171" t="s">
        <v>82</v>
      </c>
      <c r="E145" s="171" t="s">
        <v>420</v>
      </c>
      <c r="F145" s="201">
        <f>VLOOKUP(PrévisionBoris[[#This Row],[Spec]],TabModelSpecs[[ModelSpec]:[Price]],2,FALSE)</f>
        <v>41</v>
      </c>
      <c r="G145" s="171" t="s">
        <v>463</v>
      </c>
      <c r="H145" s="226">
        <f>SUMIFS(LstMachines[Nbre],LstMachines[Model-Spec],PrévisionBoris[[#This Row],[Spec]],LstMachines[Status],PrévisionBoris[[#This Row],[Status]],LstMachines[MoisLivr],H$1)</f>
        <v>0</v>
      </c>
      <c r="I145" s="227">
        <f>SUMIFS(LstMachines[Nbre],LstMachines[Model-Spec],PrévisionBoris[[#This Row],[Spec]],LstMachines[Status],PrévisionBoris[[#This Row],[Status]],LstMachines[MoisLivr],I$1)</f>
        <v>0</v>
      </c>
      <c r="J145" s="228">
        <f>SUMIFS(LstMachines[Nbre],LstMachines[Model-Spec],PrévisionBoris[[#This Row],[Spec]],LstMachines[Status],PrévisionBoris[[#This Row],[Status]],LstMachines[MoisLivr],J$1)</f>
        <v>0</v>
      </c>
      <c r="K145" s="226">
        <f>SUMIFS(LstMachines[Nbre],LstMachines[Model-Spec],PrévisionBoris[[#This Row],[Spec]],LstMachines[Status],PrévisionBoris[[#This Row],[Status]],LstMachines[MoisLivr],K$1)</f>
        <v>0</v>
      </c>
      <c r="L145" s="227">
        <f>SUMIFS(LstMachines[Nbre],LstMachines[Model-Spec],PrévisionBoris[[#This Row],[Spec]],LstMachines[Status],PrévisionBoris[[#This Row],[Status]],LstMachines[MoisLivr],L$1)</f>
        <v>0</v>
      </c>
      <c r="M145" s="228">
        <f>SUMIFS(LstMachines[Nbre],LstMachines[Model-Spec],PrévisionBoris[[#This Row],[Spec]],LstMachines[Status],PrévisionBoris[[#This Row],[Status]],LstMachines[MoisLivr],M$1)</f>
        <v>0</v>
      </c>
      <c r="N145" s="226">
        <f>SUMIFS(LstMachines[Nbre],LstMachines[Model-Spec],PrévisionBoris[[#This Row],[Spec]],LstMachines[Status],PrévisionBoris[[#This Row],[Status]],LstMachines[MoisLivr],N$1)</f>
        <v>0</v>
      </c>
      <c r="O145" s="227">
        <f>SUMIFS(LstMachines[Nbre],LstMachines[Model-Spec],PrévisionBoris[[#This Row],[Spec]],LstMachines[Status],PrévisionBoris[[#This Row],[Status]],LstMachines[MoisLivr],O$1)</f>
        <v>0</v>
      </c>
      <c r="P145" s="228">
        <f>SUMIFS(LstMachines[Nbre],LstMachines[Model-Spec],PrévisionBoris[[#This Row],[Spec]],LstMachines[Status],PrévisionBoris[[#This Row],[Status]],LstMachines[MoisLivr],P$1)</f>
        <v>0</v>
      </c>
      <c r="Q145" s="229">
        <f>SUMIFS(LstMachines[Nbre],LstMachines[Model-Spec],PrévisionBoris[[#This Row],[Spec]],LstMachines[Status],PrévisionBoris[[#This Row],[Status]],LstMachines[MoisLivr],Q$1)</f>
        <v>0</v>
      </c>
      <c r="R145" s="227">
        <f>SUMIFS(LstMachines[Nbre],LstMachines[Model-Spec],PrévisionBoris[[#This Row],[Spec]],LstMachines[Status],PrévisionBoris[[#This Row],[Status]],LstMachines[MoisLivr],R$1)</f>
        <v>0</v>
      </c>
      <c r="S145" s="227">
        <f>SUMIFS(LstMachines[Nbre],LstMachines[Model-Spec],PrévisionBoris[[#This Row],[Spec]],LstMachines[Status],PrévisionBoris[[#This Row],[Status]],LstMachines[MoisLivr],S$1)</f>
        <v>0</v>
      </c>
      <c r="T145" s="226">
        <f>SUMIFS(LstMachines[Nbre],LstMachines[Model-Spec],PrévisionBoris[[#This Row],[Spec]],LstMachines[Status],PrévisionBoris[[#This Row],[Status]],LstMachines[MoisLivr],T$1)</f>
        <v>0</v>
      </c>
      <c r="U145" s="227">
        <f>SUMIFS(LstMachines[Nbre],LstMachines[Model-Spec],PrévisionBoris[[#This Row],[Spec]],LstMachines[Status],PrévisionBoris[[#This Row],[Status]],LstMachines[MoisLivr],U$1)</f>
        <v>0</v>
      </c>
      <c r="V145" s="227">
        <f>SUMIFS(LstMachines[Nbre],LstMachines[Model-Spec],PrévisionBoris[[#This Row],[Spec]],LstMachines[Status],PrévisionBoris[[#This Row],[Status]],LstMachines[MoisLivr],V$1)</f>
        <v>0</v>
      </c>
      <c r="W145" s="226">
        <f>SUMIFS(LstMachines[Nbre],LstMachines[Model-Spec],PrévisionBoris[[#This Row],[Spec]],LstMachines[Status],PrévisionBoris[[#This Row],[Status]],LstMachines[MoisLivr],W$1)</f>
        <v>0</v>
      </c>
      <c r="X145" s="227">
        <f>SUMIFS(LstMachines[Nbre],LstMachines[Model-Spec],PrévisionBoris[[#This Row],[Spec]],LstMachines[Status],PrévisionBoris[[#This Row],[Status]],LstMachines[MoisLivr],X$1)</f>
        <v>0</v>
      </c>
      <c r="Y145" s="227">
        <f>SUMIFS(LstMachines[Nbre],LstMachines[Model-Spec],PrévisionBoris[[#This Row],[Spec]],LstMachines[Status],PrévisionBoris[[#This Row],[Status]],LstMachines[MoisLivr],Y$1)</f>
        <v>0</v>
      </c>
      <c r="Z145" s="226">
        <f>SUMIFS(LstMachines[Nbre],LstMachines[Model-Spec],PrévisionBoris[[#This Row],[Spec]],LstMachines[Status],PrévisionBoris[[#This Row],[Status]],LstMachines[MoisLivr],Z$1)</f>
        <v>0</v>
      </c>
      <c r="AA145" s="227">
        <f>SUMIFS(LstMachines[Nbre],LstMachines[Model-Spec],PrévisionBoris[[#This Row],[Spec]],LstMachines[Status],PrévisionBoris[[#This Row],[Status]],LstMachines[MoisLivr],AA$1)</f>
        <v>0</v>
      </c>
      <c r="AB145" s="227">
        <f>SUMIFS(LstMachines[Nbre],LstMachines[Model-Spec],PrévisionBoris[[#This Row],[Spec]],LstMachines[Status],PrévisionBoris[[#This Row],[Status]],LstMachines[MoisLivr],AB$1)</f>
        <v>0</v>
      </c>
      <c r="AC145" s="226">
        <f>SUMIFS(LstMachines[Nbre],LstMachines[Model-Spec],PrévisionBoris[[#This Row],[Spec]],LstMachines[Status],PrévisionBoris[[#This Row],[Status]],LstMachines[MoisLivr],AC$1)</f>
        <v>0</v>
      </c>
      <c r="AD145" s="227">
        <f>SUMIFS(LstMachines[Nbre],LstMachines[Model-Spec],PrévisionBoris[[#This Row],[Spec]],LstMachines[Status],PrévisionBoris[[#This Row],[Status]],LstMachines[MoisLivr],AD$1)</f>
        <v>0</v>
      </c>
      <c r="AE145" s="227">
        <f>SUMIFS(LstMachines[Nbre],LstMachines[Model-Spec],PrévisionBoris[[#This Row],[Spec]],LstMachines[Status],PrévisionBoris[[#This Row],[Status]],LstMachines[MoisLivr],AE$1)</f>
        <v>0</v>
      </c>
      <c r="AF145" s="226">
        <f>SUMIFS(LstMachines[Nbre],LstMachines[Model-Spec],PrévisionBoris[[#This Row],[Spec]],LstMachines[Status],PrévisionBoris[[#This Row],[Status]],LstMachines[MoisLivr],AF$1)</f>
        <v>0</v>
      </c>
      <c r="AG145" s="227">
        <f>SUMIFS(LstMachines[Nbre],LstMachines[Model-Spec],PrévisionBoris[[#This Row],[Spec]],LstMachines[Status],PrévisionBoris[[#This Row],[Status]],LstMachines[MoisLivr],AG$1)</f>
        <v>0</v>
      </c>
      <c r="AH145" s="227">
        <f>SUMIFS(LstMachines[Nbre],LstMachines[Model-Spec],PrévisionBoris[[#This Row],[Spec]],LstMachines[Status],PrévisionBoris[[#This Row],[Status]],LstMachines[MoisLivr],AH$1)</f>
        <v>0</v>
      </c>
      <c r="AI145" s="226">
        <f>SUMIFS(LstMachines[Nbre],LstMachines[Model-Spec],PrévisionBoris[[#This Row],[Spec]],LstMachines[Status],PrévisionBoris[[#This Row],[Status]],LstMachines[MoisLivr],AI$1)</f>
        <v>0</v>
      </c>
      <c r="AJ145" s="227">
        <f>SUMIFS(LstMachines[Nbre],LstMachines[Model-Spec],PrévisionBoris[[#This Row],[Spec]],LstMachines[Status],PrévisionBoris[[#This Row],[Status]],LstMachines[MoisLivr],AJ$1)</f>
        <v>0</v>
      </c>
      <c r="AK145" s="227">
        <f>SUMIFS(LstMachines[Nbre],LstMachines[Model-Spec],PrévisionBoris[[#This Row],[Spec]],LstMachines[Status],PrévisionBoris[[#This Row],[Status]],LstMachines[MoisLivr],AK$1)</f>
        <v>0</v>
      </c>
      <c r="AL145" s="226">
        <f>SUMIFS(LstMachines[Nbre],LstMachines[Model-Spec],PrévisionBoris[[#This Row],[Spec]],LstMachines[Status],PrévisionBoris[[#This Row],[Status]],LstMachines[MoisLivr],AL$1)</f>
        <v>0</v>
      </c>
      <c r="AM145" s="227">
        <f>SUMIFS(LstMachines[Nbre],LstMachines[Model-Spec],PrévisionBoris[[#This Row],[Spec]],LstMachines[Status],PrévisionBoris[[#This Row],[Status]],LstMachines[MoisLivr],AM$1)</f>
        <v>0</v>
      </c>
      <c r="AN145" s="227">
        <f>SUMIFS(LstMachines[Nbre],LstMachines[Model-Spec],PrévisionBoris[[#This Row],[Spec]],LstMachines[Status],PrévisionBoris[[#This Row],[Status]],LstMachines[MoisLivr],AN$1)</f>
        <v>0</v>
      </c>
      <c r="AO145" s="226">
        <f>SUMIFS(LstMachines[Nbre],LstMachines[Model-Spec],PrévisionBoris[[#This Row],[Spec]],LstMachines[Status],PrévisionBoris[[#This Row],[Status]],LstMachines[MoisLivr],AO$1)</f>
        <v>0</v>
      </c>
      <c r="AP145" s="227">
        <f>SUMIFS(LstMachines[Nbre],LstMachines[Model-Spec],PrévisionBoris[[#This Row],[Spec]],LstMachines[Status],PrévisionBoris[[#This Row],[Status]],LstMachines[MoisLivr],AP$1)</f>
        <v>0</v>
      </c>
      <c r="AQ145" s="227">
        <f>SUMIFS(LstMachines[Nbre],LstMachines[Model-Spec],PrévisionBoris[[#This Row],[Spec]],LstMachines[Status],PrévisionBoris[[#This Row],[Status]],LstMachines[MoisLivr],AQ$1)</f>
        <v>0</v>
      </c>
      <c r="AR145" s="226">
        <f>SUMIFS(LstMachines[Nbre],LstMachines[Model-Spec],PrévisionBoris[[#This Row],[Spec]],LstMachines[Status],PrévisionBoris[[#This Row],[Status]],LstMachines[MoisLivr],AR$1)</f>
        <v>0</v>
      </c>
      <c r="AS145" s="227">
        <f>SUMIFS(LstMachines[Nbre],LstMachines[Model-Spec],PrévisionBoris[[#This Row],[Spec]],LstMachines[Status],PrévisionBoris[[#This Row],[Status]],LstMachines[MoisLivr],AS$1)</f>
        <v>0</v>
      </c>
      <c r="AT145" s="227">
        <f>SUMIFS(LstMachines[Nbre],LstMachines[Model-Spec],PrévisionBoris[[#This Row],[Spec]],LstMachines[Status],PrévisionBoris[[#This Row],[Status]],LstMachines[MoisLivr],AT$1)</f>
        <v>0</v>
      </c>
      <c r="AU145" s="226">
        <f>SUMIFS(LstMachines[Nbre],LstMachines[Model-Spec],PrévisionBoris[[#This Row],[Spec]],LstMachines[Status],PrévisionBoris[[#This Row],[Status]],LstMachines[MoisLivr],AU$1)</f>
        <v>0</v>
      </c>
      <c r="AV145" s="230">
        <f>SUMIFS(LstMachines[Nbre],LstMachines[Model-Spec],PrévisionBoris[[#This Row],[Spec]],LstMachines[Status],PrévisionBoris[[#This Row],[Status]],LstMachines[MoisLivr],AV$1)</f>
        <v>0</v>
      </c>
      <c r="AW145" s="231">
        <f>SUMIFS(LstMachines[Nbre],LstMachines[Model-Spec],PrévisionBoris[[#This Row],[Spec]],LstMachines[Status],PrévisionBoris[[#This Row],[Status]],LstMachines[MoisLivr],AW$1)</f>
        <v>0</v>
      </c>
      <c r="AX145" s="232"/>
      <c r="AY145" s="211">
        <f t="shared" si="35"/>
        <v>0</v>
      </c>
      <c r="AZ145" s="212">
        <f t="shared" si="36"/>
        <v>0</v>
      </c>
      <c r="BA145" s="212">
        <f t="shared" si="37"/>
        <v>0</v>
      </c>
      <c r="BB145" s="213">
        <f t="shared" si="38"/>
        <v>0</v>
      </c>
      <c r="BC145" s="225">
        <f t="shared" si="39"/>
        <v>0</v>
      </c>
      <c r="BD145" s="211">
        <f t="shared" si="40"/>
        <v>0</v>
      </c>
      <c r="BE145" s="212">
        <f t="shared" si="41"/>
        <v>0</v>
      </c>
      <c r="BF145" s="212">
        <f t="shared" si="42"/>
        <v>0</v>
      </c>
      <c r="BG145" s="213">
        <f t="shared" si="43"/>
        <v>0</v>
      </c>
      <c r="BH145" s="225">
        <f t="shared" si="44"/>
        <v>0</v>
      </c>
      <c r="BI145" s="214">
        <f t="shared" si="45"/>
        <v>0</v>
      </c>
      <c r="BJ145" s="215">
        <f t="shared" si="46"/>
        <v>0</v>
      </c>
      <c r="BK145" s="215">
        <f t="shared" si="47"/>
        <v>0</v>
      </c>
      <c r="BL145" s="216">
        <f t="shared" si="48"/>
        <v>0</v>
      </c>
      <c r="BM145" s="225">
        <f t="shared" si="49"/>
        <v>0</v>
      </c>
      <c r="BN145" s="225"/>
      <c r="BO145" s="217"/>
      <c r="BP145" s="218">
        <f t="shared" si="50"/>
        <v>0</v>
      </c>
    </row>
    <row r="146" spans="1:68">
      <c r="A146" s="172">
        <v>139</v>
      </c>
      <c r="B146" s="172" t="s">
        <v>75</v>
      </c>
      <c r="C146" s="202">
        <v>48</v>
      </c>
      <c r="D146" s="172" t="s">
        <v>82</v>
      </c>
      <c r="E146" s="172" t="s">
        <v>421</v>
      </c>
      <c r="F146" s="202">
        <f>VLOOKUP(PrévisionBoris[[#This Row],[Spec]],TabModelSpecs[[ModelSpec]:[Price]],2,FALSE)</f>
        <v>41</v>
      </c>
      <c r="G146" s="172" t="s">
        <v>461</v>
      </c>
      <c r="H146" s="206">
        <f>SUMIFS(LstMachines[Nbre],LstMachines[Model-Spec],PrévisionBoris[[#This Row],[Spec]],LstMachines[Status],PrévisionBoris[[#This Row],[Status]],LstMachines[MoisLivr],H$1)</f>
        <v>0</v>
      </c>
      <c r="I146" s="207">
        <f>SUMIFS(LstMachines[Nbre],LstMachines[Model-Spec],PrévisionBoris[[#This Row],[Spec]],LstMachines[Status],PrévisionBoris[[#This Row],[Status]],LstMachines[MoisLivr],I$1)</f>
        <v>0</v>
      </c>
      <c r="J146" s="208">
        <f>SUMIFS(LstMachines[Nbre],LstMachines[Model-Spec],PrévisionBoris[[#This Row],[Spec]],LstMachines[Status],PrévisionBoris[[#This Row],[Status]],LstMachines[MoisLivr],J$1)</f>
        <v>0</v>
      </c>
      <c r="K146" s="206">
        <f>SUMIFS(LstMachines[Nbre],LstMachines[Model-Spec],PrévisionBoris[[#This Row],[Spec]],LstMachines[Status],PrévisionBoris[[#This Row],[Status]],LstMachines[MoisLivr],K$1)</f>
        <v>0</v>
      </c>
      <c r="L146" s="207">
        <f>SUMIFS(LstMachines[Nbre],LstMachines[Model-Spec],PrévisionBoris[[#This Row],[Spec]],LstMachines[Status],PrévisionBoris[[#This Row],[Status]],LstMachines[MoisLivr],L$1)</f>
        <v>0</v>
      </c>
      <c r="M146" s="208">
        <f>SUMIFS(LstMachines[Nbre],LstMachines[Model-Spec],PrévisionBoris[[#This Row],[Spec]],LstMachines[Status],PrévisionBoris[[#This Row],[Status]],LstMachines[MoisLivr],M$1)</f>
        <v>0</v>
      </c>
      <c r="N146" s="206">
        <f>SUMIFS(LstMachines[Nbre],LstMachines[Model-Spec],PrévisionBoris[[#This Row],[Spec]],LstMachines[Status],PrévisionBoris[[#This Row],[Status]],LstMachines[MoisLivr],N$1)</f>
        <v>0</v>
      </c>
      <c r="O146" s="207">
        <f>SUMIFS(LstMachines[Nbre],LstMachines[Model-Spec],PrévisionBoris[[#This Row],[Spec]],LstMachines[Status],PrévisionBoris[[#This Row],[Status]],LstMachines[MoisLivr],O$1)</f>
        <v>0</v>
      </c>
      <c r="P146" s="208">
        <f>SUMIFS(LstMachines[Nbre],LstMachines[Model-Spec],PrévisionBoris[[#This Row],[Spec]],LstMachines[Status],PrévisionBoris[[#This Row],[Status]],LstMachines[MoisLivr],P$1)</f>
        <v>0</v>
      </c>
      <c r="Q146" s="209">
        <f>SUMIFS(LstMachines[Nbre],LstMachines[Model-Spec],PrévisionBoris[[#This Row],[Spec]],LstMachines[Status],PrévisionBoris[[#This Row],[Status]],LstMachines[MoisLivr],Q$1)</f>
        <v>0</v>
      </c>
      <c r="R146" s="207">
        <f>SUMIFS(LstMachines[Nbre],LstMachines[Model-Spec],PrévisionBoris[[#This Row],[Spec]],LstMachines[Status],PrévisionBoris[[#This Row],[Status]],LstMachines[MoisLivr],R$1)</f>
        <v>0</v>
      </c>
      <c r="S146" s="207">
        <f>SUMIFS(LstMachines[Nbre],LstMachines[Model-Spec],PrévisionBoris[[#This Row],[Spec]],LstMachines[Status],PrévisionBoris[[#This Row],[Status]],LstMachines[MoisLivr],S$1)</f>
        <v>0</v>
      </c>
      <c r="T146" s="206">
        <f>SUMIFS(LstMachines[Nbre],LstMachines[Model-Spec],PrévisionBoris[[#This Row],[Spec]],LstMachines[Status],PrévisionBoris[[#This Row],[Status]],LstMachines[MoisLivr],T$1)</f>
        <v>0</v>
      </c>
      <c r="U146" s="207">
        <f>SUMIFS(LstMachines[Nbre],LstMachines[Model-Spec],PrévisionBoris[[#This Row],[Spec]],LstMachines[Status],PrévisionBoris[[#This Row],[Status]],LstMachines[MoisLivr],U$1)</f>
        <v>0</v>
      </c>
      <c r="V146" s="207">
        <f>SUMIFS(LstMachines[Nbre],LstMachines[Model-Spec],PrévisionBoris[[#This Row],[Spec]],LstMachines[Status],PrévisionBoris[[#This Row],[Status]],LstMachines[MoisLivr],V$1)</f>
        <v>0</v>
      </c>
      <c r="W146" s="206">
        <f>SUMIFS(LstMachines[Nbre],LstMachines[Model-Spec],PrévisionBoris[[#This Row],[Spec]],LstMachines[Status],PrévisionBoris[[#This Row],[Status]],LstMachines[MoisLivr],W$1)</f>
        <v>0</v>
      </c>
      <c r="X146" s="207">
        <f>SUMIFS(LstMachines[Nbre],LstMachines[Model-Spec],PrévisionBoris[[#This Row],[Spec]],LstMachines[Status],PrévisionBoris[[#This Row],[Status]],LstMachines[MoisLivr],X$1)</f>
        <v>0</v>
      </c>
      <c r="Y146" s="207">
        <f>SUMIFS(LstMachines[Nbre],LstMachines[Model-Spec],PrévisionBoris[[#This Row],[Spec]],LstMachines[Status],PrévisionBoris[[#This Row],[Status]],LstMachines[MoisLivr],Y$1)</f>
        <v>0</v>
      </c>
      <c r="Z146" s="206">
        <f>SUMIFS(LstMachines[Nbre],LstMachines[Model-Spec],PrévisionBoris[[#This Row],[Spec]],LstMachines[Status],PrévisionBoris[[#This Row],[Status]],LstMachines[MoisLivr],Z$1)</f>
        <v>0</v>
      </c>
      <c r="AA146" s="207">
        <f>SUMIFS(LstMachines[Nbre],LstMachines[Model-Spec],PrévisionBoris[[#This Row],[Spec]],LstMachines[Status],PrévisionBoris[[#This Row],[Status]],LstMachines[MoisLivr],AA$1)</f>
        <v>0</v>
      </c>
      <c r="AB146" s="207">
        <f>SUMIFS(LstMachines[Nbre],LstMachines[Model-Spec],PrévisionBoris[[#This Row],[Spec]],LstMachines[Status],PrévisionBoris[[#This Row],[Status]],LstMachines[MoisLivr],AB$1)</f>
        <v>0</v>
      </c>
      <c r="AC146" s="206">
        <f>SUMIFS(LstMachines[Nbre],LstMachines[Model-Spec],PrévisionBoris[[#This Row],[Spec]],LstMachines[Status],PrévisionBoris[[#This Row],[Status]],LstMachines[MoisLivr],AC$1)</f>
        <v>0</v>
      </c>
      <c r="AD146" s="207">
        <f>SUMIFS(LstMachines[Nbre],LstMachines[Model-Spec],PrévisionBoris[[#This Row],[Spec]],LstMachines[Status],PrévisionBoris[[#This Row],[Status]],LstMachines[MoisLivr],AD$1)</f>
        <v>0</v>
      </c>
      <c r="AE146" s="207">
        <f>SUMIFS(LstMachines[Nbre],LstMachines[Model-Spec],PrévisionBoris[[#This Row],[Spec]],LstMachines[Status],PrévisionBoris[[#This Row],[Status]],LstMachines[MoisLivr],AE$1)</f>
        <v>0</v>
      </c>
      <c r="AF146" s="206">
        <f>SUMIFS(LstMachines[Nbre],LstMachines[Model-Spec],PrévisionBoris[[#This Row],[Spec]],LstMachines[Status],PrévisionBoris[[#This Row],[Status]],LstMachines[MoisLivr],AF$1)</f>
        <v>0</v>
      </c>
      <c r="AG146" s="207">
        <f>SUMIFS(LstMachines[Nbre],LstMachines[Model-Spec],PrévisionBoris[[#This Row],[Spec]],LstMachines[Status],PrévisionBoris[[#This Row],[Status]],LstMachines[MoisLivr],AG$1)</f>
        <v>0</v>
      </c>
      <c r="AH146" s="207">
        <f>SUMIFS(LstMachines[Nbre],LstMachines[Model-Spec],PrévisionBoris[[#This Row],[Spec]],LstMachines[Status],PrévisionBoris[[#This Row],[Status]],LstMachines[MoisLivr],AH$1)</f>
        <v>0</v>
      </c>
      <c r="AI146" s="206">
        <f>SUMIFS(LstMachines[Nbre],LstMachines[Model-Spec],PrévisionBoris[[#This Row],[Spec]],LstMachines[Status],PrévisionBoris[[#This Row],[Status]],LstMachines[MoisLivr],AI$1)</f>
        <v>0</v>
      </c>
      <c r="AJ146" s="207">
        <f>SUMIFS(LstMachines[Nbre],LstMachines[Model-Spec],PrévisionBoris[[#This Row],[Spec]],LstMachines[Status],PrévisionBoris[[#This Row],[Status]],LstMachines[MoisLivr],AJ$1)</f>
        <v>0</v>
      </c>
      <c r="AK146" s="207">
        <f>SUMIFS(LstMachines[Nbre],LstMachines[Model-Spec],PrévisionBoris[[#This Row],[Spec]],LstMachines[Status],PrévisionBoris[[#This Row],[Status]],LstMachines[MoisLivr],AK$1)</f>
        <v>0</v>
      </c>
      <c r="AL146" s="206">
        <f>SUMIFS(LstMachines[Nbre],LstMachines[Model-Spec],PrévisionBoris[[#This Row],[Spec]],LstMachines[Status],PrévisionBoris[[#This Row],[Status]],LstMachines[MoisLivr],AL$1)</f>
        <v>0</v>
      </c>
      <c r="AM146" s="207">
        <f>SUMIFS(LstMachines[Nbre],LstMachines[Model-Spec],PrévisionBoris[[#This Row],[Spec]],LstMachines[Status],PrévisionBoris[[#This Row],[Status]],LstMachines[MoisLivr],AM$1)</f>
        <v>0</v>
      </c>
      <c r="AN146" s="207">
        <f>SUMIFS(LstMachines[Nbre],LstMachines[Model-Spec],PrévisionBoris[[#This Row],[Spec]],LstMachines[Status],PrévisionBoris[[#This Row],[Status]],LstMachines[MoisLivr],AN$1)</f>
        <v>0</v>
      </c>
      <c r="AO146" s="206">
        <f>SUMIFS(LstMachines[Nbre],LstMachines[Model-Spec],PrévisionBoris[[#This Row],[Spec]],LstMachines[Status],PrévisionBoris[[#This Row],[Status]],LstMachines[MoisLivr],AO$1)</f>
        <v>0</v>
      </c>
      <c r="AP146" s="207">
        <f>SUMIFS(LstMachines[Nbre],LstMachines[Model-Spec],PrévisionBoris[[#This Row],[Spec]],LstMachines[Status],PrévisionBoris[[#This Row],[Status]],LstMachines[MoisLivr],AP$1)</f>
        <v>0</v>
      </c>
      <c r="AQ146" s="207">
        <f>SUMIFS(LstMachines[Nbre],LstMachines[Model-Spec],PrévisionBoris[[#This Row],[Spec]],LstMachines[Status],PrévisionBoris[[#This Row],[Status]],LstMachines[MoisLivr],AQ$1)</f>
        <v>0</v>
      </c>
      <c r="AR146" s="206">
        <f>SUMIFS(LstMachines[Nbre],LstMachines[Model-Spec],PrévisionBoris[[#This Row],[Spec]],LstMachines[Status],PrévisionBoris[[#This Row],[Status]],LstMachines[MoisLivr],AR$1)</f>
        <v>0</v>
      </c>
      <c r="AS146" s="207">
        <f>SUMIFS(LstMachines[Nbre],LstMachines[Model-Spec],PrévisionBoris[[#This Row],[Spec]],LstMachines[Status],PrévisionBoris[[#This Row],[Status]],LstMachines[MoisLivr],AS$1)</f>
        <v>0</v>
      </c>
      <c r="AT146" s="207">
        <f>SUMIFS(LstMachines[Nbre],LstMachines[Model-Spec],PrévisionBoris[[#This Row],[Spec]],LstMachines[Status],PrévisionBoris[[#This Row],[Status]],LstMachines[MoisLivr],AT$1)</f>
        <v>0</v>
      </c>
      <c r="AU146" s="206">
        <f>SUMIFS(LstMachines[Nbre],LstMachines[Model-Spec],PrévisionBoris[[#This Row],[Spec]],LstMachines[Status],PrévisionBoris[[#This Row],[Status]],LstMachines[MoisLivr],AU$1)</f>
        <v>0</v>
      </c>
      <c r="AV146" s="233">
        <f>SUMIFS(LstMachines[Nbre],LstMachines[Model-Spec],PrévisionBoris[[#This Row],[Spec]],LstMachines[Status],PrévisionBoris[[#This Row],[Status]],LstMachines[MoisLivr],AV$1)</f>
        <v>0</v>
      </c>
      <c r="AW146" s="208">
        <f>SUMIFS(LstMachines[Nbre],LstMachines[Model-Spec],PrévisionBoris[[#This Row],[Spec]],LstMachines[Status],PrévisionBoris[[#This Row],[Status]],LstMachines[MoisLivr],AW$1)</f>
        <v>0</v>
      </c>
      <c r="AX146" s="225"/>
      <c r="AY146" s="211">
        <f t="shared" si="35"/>
        <v>0</v>
      </c>
      <c r="AZ146" s="212">
        <f t="shared" si="36"/>
        <v>0</v>
      </c>
      <c r="BA146" s="212">
        <f t="shared" si="37"/>
        <v>0</v>
      </c>
      <c r="BB146" s="213">
        <f t="shared" si="38"/>
        <v>0</v>
      </c>
      <c r="BC146" s="225">
        <f t="shared" si="39"/>
        <v>0</v>
      </c>
      <c r="BD146" s="211">
        <f t="shared" si="40"/>
        <v>0</v>
      </c>
      <c r="BE146" s="212">
        <f t="shared" si="41"/>
        <v>0</v>
      </c>
      <c r="BF146" s="212">
        <f t="shared" si="42"/>
        <v>0</v>
      </c>
      <c r="BG146" s="213">
        <f t="shared" si="43"/>
        <v>0</v>
      </c>
      <c r="BH146" s="225">
        <f t="shared" si="44"/>
        <v>0</v>
      </c>
      <c r="BI146" s="214">
        <f t="shared" si="45"/>
        <v>0</v>
      </c>
      <c r="BJ146" s="215">
        <f t="shared" si="46"/>
        <v>0</v>
      </c>
      <c r="BK146" s="215">
        <f t="shared" si="47"/>
        <v>0</v>
      </c>
      <c r="BL146" s="216">
        <f t="shared" si="48"/>
        <v>0</v>
      </c>
      <c r="BM146" s="225">
        <f t="shared" si="49"/>
        <v>0</v>
      </c>
      <c r="BN146" s="225"/>
      <c r="BO146" s="234"/>
      <c r="BP146" s="218">
        <f t="shared" si="50"/>
        <v>0</v>
      </c>
    </row>
    <row r="147" spans="1:68">
      <c r="A147" s="170">
        <v>140</v>
      </c>
      <c r="B147" s="170" t="s">
        <v>75</v>
      </c>
      <c r="C147" s="200">
        <v>48</v>
      </c>
      <c r="D147" s="170" t="s">
        <v>82</v>
      </c>
      <c r="E147" s="170" t="s">
        <v>421</v>
      </c>
      <c r="F147" s="200">
        <f>VLOOKUP(PrévisionBoris[[#This Row],[Spec]],TabModelSpecs[[ModelSpec]:[Price]],2,FALSE)</f>
        <v>41</v>
      </c>
      <c r="G147" s="170" t="s">
        <v>462</v>
      </c>
      <c r="H147" s="219">
        <f>SUMIFS(LstMachines[Nbre],LstMachines[Model-Spec],PrévisionBoris[[#This Row],[Spec]],LstMachines[Status],PrévisionBoris[[#This Row],[Status]],LstMachines[MoisLivr],H$1)</f>
        <v>0</v>
      </c>
      <c r="I147" s="220">
        <f>SUMIFS(LstMachines[Nbre],LstMachines[Model-Spec],PrévisionBoris[[#This Row],[Spec]],LstMachines[Status],PrévisionBoris[[#This Row],[Status]],LstMachines[MoisLivr],I$1)</f>
        <v>0</v>
      </c>
      <c r="J147" s="221">
        <f>SUMIFS(LstMachines[Nbre],LstMachines[Model-Spec],PrévisionBoris[[#This Row],[Spec]],LstMachines[Status],PrévisionBoris[[#This Row],[Status]],LstMachines[MoisLivr],J$1)</f>
        <v>0</v>
      </c>
      <c r="K147" s="219">
        <f>SUMIFS(LstMachines[Nbre],LstMachines[Model-Spec],PrévisionBoris[[#This Row],[Spec]],LstMachines[Status],PrévisionBoris[[#This Row],[Status]],LstMachines[MoisLivr],K$1)</f>
        <v>0</v>
      </c>
      <c r="L147" s="220">
        <f>SUMIFS(LstMachines[Nbre],LstMachines[Model-Spec],PrévisionBoris[[#This Row],[Spec]],LstMachines[Status],PrévisionBoris[[#This Row],[Status]],LstMachines[MoisLivr],L$1)</f>
        <v>0</v>
      </c>
      <c r="M147" s="221">
        <f>SUMIFS(LstMachines[Nbre],LstMachines[Model-Spec],PrévisionBoris[[#This Row],[Spec]],LstMachines[Status],PrévisionBoris[[#This Row],[Status]],LstMachines[MoisLivr],M$1)</f>
        <v>0</v>
      </c>
      <c r="N147" s="219">
        <f>SUMIFS(LstMachines[Nbre],LstMachines[Model-Spec],PrévisionBoris[[#This Row],[Spec]],LstMachines[Status],PrévisionBoris[[#This Row],[Status]],LstMachines[MoisLivr],N$1)</f>
        <v>0</v>
      </c>
      <c r="O147" s="220">
        <f>SUMIFS(LstMachines[Nbre],LstMachines[Model-Spec],PrévisionBoris[[#This Row],[Spec]],LstMachines[Status],PrévisionBoris[[#This Row],[Status]],LstMachines[MoisLivr],O$1)</f>
        <v>0</v>
      </c>
      <c r="P147" s="221">
        <f>SUMIFS(LstMachines[Nbre],LstMachines[Model-Spec],PrévisionBoris[[#This Row],[Spec]],LstMachines[Status],PrévisionBoris[[#This Row],[Status]],LstMachines[MoisLivr],P$1)</f>
        <v>0</v>
      </c>
      <c r="Q147" s="222">
        <f>SUMIFS(LstMachines[Nbre],LstMachines[Model-Spec],PrévisionBoris[[#This Row],[Spec]],LstMachines[Status],PrévisionBoris[[#This Row],[Status]],LstMachines[MoisLivr],Q$1)</f>
        <v>0</v>
      </c>
      <c r="R147" s="220">
        <f>SUMIFS(LstMachines[Nbre],LstMachines[Model-Spec],PrévisionBoris[[#This Row],[Spec]],LstMachines[Status],PrévisionBoris[[#This Row],[Status]],LstMachines[MoisLivr],R$1)</f>
        <v>0</v>
      </c>
      <c r="S147" s="220">
        <f>SUMIFS(LstMachines[Nbre],LstMachines[Model-Spec],PrévisionBoris[[#This Row],[Spec]],LstMachines[Status],PrévisionBoris[[#This Row],[Status]],LstMachines[MoisLivr],S$1)</f>
        <v>0</v>
      </c>
      <c r="T147" s="219">
        <f>SUMIFS(LstMachines[Nbre],LstMachines[Model-Spec],PrévisionBoris[[#This Row],[Spec]],LstMachines[Status],PrévisionBoris[[#This Row],[Status]],LstMachines[MoisLivr],T$1)</f>
        <v>0</v>
      </c>
      <c r="U147" s="220">
        <f>SUMIFS(LstMachines[Nbre],LstMachines[Model-Spec],PrévisionBoris[[#This Row],[Spec]],LstMachines[Status],PrévisionBoris[[#This Row],[Status]],LstMachines[MoisLivr],U$1)</f>
        <v>0</v>
      </c>
      <c r="V147" s="220">
        <f>SUMIFS(LstMachines[Nbre],LstMachines[Model-Spec],PrévisionBoris[[#This Row],[Spec]],LstMachines[Status],PrévisionBoris[[#This Row],[Status]],LstMachines[MoisLivr],V$1)</f>
        <v>0</v>
      </c>
      <c r="W147" s="219">
        <f>SUMIFS(LstMachines[Nbre],LstMachines[Model-Spec],PrévisionBoris[[#This Row],[Spec]],LstMachines[Status],PrévisionBoris[[#This Row],[Status]],LstMachines[MoisLivr],W$1)</f>
        <v>0</v>
      </c>
      <c r="X147" s="220">
        <f>SUMIFS(LstMachines[Nbre],LstMachines[Model-Spec],PrévisionBoris[[#This Row],[Spec]],LstMachines[Status],PrévisionBoris[[#This Row],[Status]],LstMachines[MoisLivr],X$1)</f>
        <v>0</v>
      </c>
      <c r="Y147" s="220">
        <f>SUMIFS(LstMachines[Nbre],LstMachines[Model-Spec],PrévisionBoris[[#This Row],[Spec]],LstMachines[Status],PrévisionBoris[[#This Row],[Status]],LstMachines[MoisLivr],Y$1)</f>
        <v>0</v>
      </c>
      <c r="Z147" s="219">
        <f>SUMIFS(LstMachines[Nbre],LstMachines[Model-Spec],PrévisionBoris[[#This Row],[Spec]],LstMachines[Status],PrévisionBoris[[#This Row],[Status]],LstMachines[MoisLivr],Z$1)</f>
        <v>0</v>
      </c>
      <c r="AA147" s="220">
        <f>SUMIFS(LstMachines[Nbre],LstMachines[Model-Spec],PrévisionBoris[[#This Row],[Spec]],LstMachines[Status],PrévisionBoris[[#This Row],[Status]],LstMachines[MoisLivr],AA$1)</f>
        <v>0</v>
      </c>
      <c r="AB147" s="220">
        <f>SUMIFS(LstMachines[Nbre],LstMachines[Model-Spec],PrévisionBoris[[#This Row],[Spec]],LstMachines[Status],PrévisionBoris[[#This Row],[Status]],LstMachines[MoisLivr],AB$1)</f>
        <v>0</v>
      </c>
      <c r="AC147" s="219">
        <f>SUMIFS(LstMachines[Nbre],LstMachines[Model-Spec],PrévisionBoris[[#This Row],[Spec]],LstMachines[Status],PrévisionBoris[[#This Row],[Status]],LstMachines[MoisLivr],AC$1)</f>
        <v>0</v>
      </c>
      <c r="AD147" s="220">
        <f>SUMIFS(LstMachines[Nbre],LstMachines[Model-Spec],PrévisionBoris[[#This Row],[Spec]],LstMachines[Status],PrévisionBoris[[#This Row],[Status]],LstMachines[MoisLivr],AD$1)</f>
        <v>0</v>
      </c>
      <c r="AE147" s="220">
        <f>SUMIFS(LstMachines[Nbre],LstMachines[Model-Spec],PrévisionBoris[[#This Row],[Spec]],LstMachines[Status],PrévisionBoris[[#This Row],[Status]],LstMachines[MoisLivr],AE$1)</f>
        <v>0</v>
      </c>
      <c r="AF147" s="219">
        <f>SUMIFS(LstMachines[Nbre],LstMachines[Model-Spec],PrévisionBoris[[#This Row],[Spec]],LstMachines[Status],PrévisionBoris[[#This Row],[Status]],LstMachines[MoisLivr],AF$1)</f>
        <v>0</v>
      </c>
      <c r="AG147" s="220">
        <f>SUMIFS(LstMachines[Nbre],LstMachines[Model-Spec],PrévisionBoris[[#This Row],[Spec]],LstMachines[Status],PrévisionBoris[[#This Row],[Status]],LstMachines[MoisLivr],AG$1)</f>
        <v>0</v>
      </c>
      <c r="AH147" s="220">
        <f>SUMIFS(LstMachines[Nbre],LstMachines[Model-Spec],PrévisionBoris[[#This Row],[Spec]],LstMachines[Status],PrévisionBoris[[#This Row],[Status]],LstMachines[MoisLivr],AH$1)</f>
        <v>0</v>
      </c>
      <c r="AI147" s="219">
        <f>SUMIFS(LstMachines[Nbre],LstMachines[Model-Spec],PrévisionBoris[[#This Row],[Spec]],LstMachines[Status],PrévisionBoris[[#This Row],[Status]],LstMachines[MoisLivr],AI$1)</f>
        <v>0</v>
      </c>
      <c r="AJ147" s="220">
        <f>SUMIFS(LstMachines[Nbre],LstMachines[Model-Spec],PrévisionBoris[[#This Row],[Spec]],LstMachines[Status],PrévisionBoris[[#This Row],[Status]],LstMachines[MoisLivr],AJ$1)</f>
        <v>0</v>
      </c>
      <c r="AK147" s="220">
        <f>SUMIFS(LstMachines[Nbre],LstMachines[Model-Spec],PrévisionBoris[[#This Row],[Spec]],LstMachines[Status],PrévisionBoris[[#This Row],[Status]],LstMachines[MoisLivr],AK$1)</f>
        <v>0</v>
      </c>
      <c r="AL147" s="219">
        <f>SUMIFS(LstMachines[Nbre],LstMachines[Model-Spec],PrévisionBoris[[#This Row],[Spec]],LstMachines[Status],PrévisionBoris[[#This Row],[Status]],LstMachines[MoisLivr],AL$1)</f>
        <v>0</v>
      </c>
      <c r="AM147" s="220">
        <f>SUMIFS(LstMachines[Nbre],LstMachines[Model-Spec],PrévisionBoris[[#This Row],[Spec]],LstMachines[Status],PrévisionBoris[[#This Row],[Status]],LstMachines[MoisLivr],AM$1)</f>
        <v>0</v>
      </c>
      <c r="AN147" s="220">
        <f>SUMIFS(LstMachines[Nbre],LstMachines[Model-Spec],PrévisionBoris[[#This Row],[Spec]],LstMachines[Status],PrévisionBoris[[#This Row],[Status]],LstMachines[MoisLivr],AN$1)</f>
        <v>0</v>
      </c>
      <c r="AO147" s="219">
        <f>SUMIFS(LstMachines[Nbre],LstMachines[Model-Spec],PrévisionBoris[[#This Row],[Spec]],LstMachines[Status],PrévisionBoris[[#This Row],[Status]],LstMachines[MoisLivr],AO$1)</f>
        <v>0</v>
      </c>
      <c r="AP147" s="220">
        <f>SUMIFS(LstMachines[Nbre],LstMachines[Model-Spec],PrévisionBoris[[#This Row],[Spec]],LstMachines[Status],PrévisionBoris[[#This Row],[Status]],LstMachines[MoisLivr],AP$1)</f>
        <v>0</v>
      </c>
      <c r="AQ147" s="220">
        <f>SUMIFS(LstMachines[Nbre],LstMachines[Model-Spec],PrévisionBoris[[#This Row],[Spec]],LstMachines[Status],PrévisionBoris[[#This Row],[Status]],LstMachines[MoisLivr],AQ$1)</f>
        <v>0</v>
      </c>
      <c r="AR147" s="219">
        <f>SUMIFS(LstMachines[Nbre],LstMachines[Model-Spec],PrévisionBoris[[#This Row],[Spec]],LstMachines[Status],PrévisionBoris[[#This Row],[Status]],LstMachines[MoisLivr],AR$1)</f>
        <v>0</v>
      </c>
      <c r="AS147" s="220">
        <f>SUMIFS(LstMachines[Nbre],LstMachines[Model-Spec],PrévisionBoris[[#This Row],[Spec]],LstMachines[Status],PrévisionBoris[[#This Row],[Status]],LstMachines[MoisLivr],AS$1)</f>
        <v>0</v>
      </c>
      <c r="AT147" s="220">
        <f>SUMIFS(LstMachines[Nbre],LstMachines[Model-Spec],PrévisionBoris[[#This Row],[Spec]],LstMachines[Status],PrévisionBoris[[#This Row],[Status]],LstMachines[MoisLivr],AT$1)</f>
        <v>0</v>
      </c>
      <c r="AU147" s="219">
        <f>SUMIFS(LstMachines[Nbre],LstMachines[Model-Spec],PrévisionBoris[[#This Row],[Spec]],LstMachines[Status],PrévisionBoris[[#This Row],[Status]],LstMachines[MoisLivr],AU$1)</f>
        <v>0</v>
      </c>
      <c r="AV147" s="223">
        <f>SUMIFS(LstMachines[Nbre],LstMachines[Model-Spec],PrévisionBoris[[#This Row],[Spec]],LstMachines[Status],PrévisionBoris[[#This Row],[Status]],LstMachines[MoisLivr],AV$1)</f>
        <v>0</v>
      </c>
      <c r="AW147" s="224">
        <f>SUMIFS(LstMachines[Nbre],LstMachines[Model-Spec],PrévisionBoris[[#This Row],[Spec]],LstMachines[Status],PrévisionBoris[[#This Row],[Status]],LstMachines[MoisLivr],AW$1)</f>
        <v>0</v>
      </c>
      <c r="AX147" s="210"/>
      <c r="AY147" s="211">
        <f t="shared" si="35"/>
        <v>0</v>
      </c>
      <c r="AZ147" s="212">
        <f t="shared" si="36"/>
        <v>0</v>
      </c>
      <c r="BA147" s="212">
        <f t="shared" si="37"/>
        <v>0</v>
      </c>
      <c r="BB147" s="213">
        <f t="shared" si="38"/>
        <v>0</v>
      </c>
      <c r="BC147" s="225">
        <f t="shared" si="39"/>
        <v>0</v>
      </c>
      <c r="BD147" s="211">
        <f t="shared" si="40"/>
        <v>0</v>
      </c>
      <c r="BE147" s="212">
        <f t="shared" si="41"/>
        <v>0</v>
      </c>
      <c r="BF147" s="212">
        <f t="shared" si="42"/>
        <v>0</v>
      </c>
      <c r="BG147" s="213">
        <f t="shared" si="43"/>
        <v>0</v>
      </c>
      <c r="BH147" s="225">
        <f t="shared" si="44"/>
        <v>0</v>
      </c>
      <c r="BI147" s="214">
        <f t="shared" si="45"/>
        <v>0</v>
      </c>
      <c r="BJ147" s="215">
        <f t="shared" si="46"/>
        <v>0</v>
      </c>
      <c r="BK147" s="215">
        <f t="shared" si="47"/>
        <v>0</v>
      </c>
      <c r="BL147" s="216">
        <f t="shared" si="48"/>
        <v>0</v>
      </c>
      <c r="BM147" s="225">
        <f t="shared" si="49"/>
        <v>0</v>
      </c>
      <c r="BN147" s="225"/>
      <c r="BO147" s="217"/>
      <c r="BP147" s="218">
        <f t="shared" si="50"/>
        <v>0</v>
      </c>
    </row>
    <row r="148" spans="1:68">
      <c r="A148" s="171">
        <v>141</v>
      </c>
      <c r="B148" s="171" t="s">
        <v>75</v>
      </c>
      <c r="C148" s="201">
        <v>48</v>
      </c>
      <c r="D148" s="171" t="s">
        <v>82</v>
      </c>
      <c r="E148" s="171" t="s">
        <v>421</v>
      </c>
      <c r="F148" s="201">
        <f>VLOOKUP(PrévisionBoris[[#This Row],[Spec]],TabModelSpecs[[ModelSpec]:[Price]],2,FALSE)</f>
        <v>41</v>
      </c>
      <c r="G148" s="171" t="s">
        <v>463</v>
      </c>
      <c r="H148" s="226">
        <f>SUMIFS(LstMachines[Nbre],LstMachines[Model-Spec],PrévisionBoris[[#This Row],[Spec]],LstMachines[Status],PrévisionBoris[[#This Row],[Status]],LstMachines[MoisLivr],H$1)</f>
        <v>0</v>
      </c>
      <c r="I148" s="227">
        <f>SUMIFS(LstMachines[Nbre],LstMachines[Model-Spec],PrévisionBoris[[#This Row],[Spec]],LstMachines[Status],PrévisionBoris[[#This Row],[Status]],LstMachines[MoisLivr],I$1)</f>
        <v>0</v>
      </c>
      <c r="J148" s="228">
        <f>SUMIFS(LstMachines[Nbre],LstMachines[Model-Spec],PrévisionBoris[[#This Row],[Spec]],LstMachines[Status],PrévisionBoris[[#This Row],[Status]],LstMachines[MoisLivr],J$1)</f>
        <v>0</v>
      </c>
      <c r="K148" s="226">
        <f>SUMIFS(LstMachines[Nbre],LstMachines[Model-Spec],PrévisionBoris[[#This Row],[Spec]],LstMachines[Status],PrévisionBoris[[#This Row],[Status]],LstMachines[MoisLivr],K$1)</f>
        <v>0</v>
      </c>
      <c r="L148" s="227">
        <f>SUMIFS(LstMachines[Nbre],LstMachines[Model-Spec],PrévisionBoris[[#This Row],[Spec]],LstMachines[Status],PrévisionBoris[[#This Row],[Status]],LstMachines[MoisLivr],L$1)</f>
        <v>0</v>
      </c>
      <c r="M148" s="228">
        <f>SUMIFS(LstMachines[Nbre],LstMachines[Model-Spec],PrévisionBoris[[#This Row],[Spec]],LstMachines[Status],PrévisionBoris[[#This Row],[Status]],LstMachines[MoisLivr],M$1)</f>
        <v>0</v>
      </c>
      <c r="N148" s="226">
        <f>SUMIFS(LstMachines[Nbre],LstMachines[Model-Spec],PrévisionBoris[[#This Row],[Spec]],LstMachines[Status],PrévisionBoris[[#This Row],[Status]],LstMachines[MoisLivr],N$1)</f>
        <v>0</v>
      </c>
      <c r="O148" s="227">
        <f>SUMIFS(LstMachines[Nbre],LstMachines[Model-Spec],PrévisionBoris[[#This Row],[Spec]],LstMachines[Status],PrévisionBoris[[#This Row],[Status]],LstMachines[MoisLivr],O$1)</f>
        <v>0</v>
      </c>
      <c r="P148" s="228">
        <f>SUMIFS(LstMachines[Nbre],LstMachines[Model-Spec],PrévisionBoris[[#This Row],[Spec]],LstMachines[Status],PrévisionBoris[[#This Row],[Status]],LstMachines[MoisLivr],P$1)</f>
        <v>0</v>
      </c>
      <c r="Q148" s="229">
        <f>SUMIFS(LstMachines[Nbre],LstMachines[Model-Spec],PrévisionBoris[[#This Row],[Spec]],LstMachines[Status],PrévisionBoris[[#This Row],[Status]],LstMachines[MoisLivr],Q$1)</f>
        <v>0</v>
      </c>
      <c r="R148" s="227">
        <f>SUMIFS(LstMachines[Nbre],LstMachines[Model-Spec],PrévisionBoris[[#This Row],[Spec]],LstMachines[Status],PrévisionBoris[[#This Row],[Status]],LstMachines[MoisLivr],R$1)</f>
        <v>0</v>
      </c>
      <c r="S148" s="227">
        <f>SUMIFS(LstMachines[Nbre],LstMachines[Model-Spec],PrévisionBoris[[#This Row],[Spec]],LstMachines[Status],PrévisionBoris[[#This Row],[Status]],LstMachines[MoisLivr],S$1)</f>
        <v>0</v>
      </c>
      <c r="T148" s="226">
        <f>SUMIFS(LstMachines[Nbre],LstMachines[Model-Spec],PrévisionBoris[[#This Row],[Spec]],LstMachines[Status],PrévisionBoris[[#This Row],[Status]],LstMachines[MoisLivr],T$1)</f>
        <v>0</v>
      </c>
      <c r="U148" s="227">
        <f>SUMIFS(LstMachines[Nbre],LstMachines[Model-Spec],PrévisionBoris[[#This Row],[Spec]],LstMachines[Status],PrévisionBoris[[#This Row],[Status]],LstMachines[MoisLivr],U$1)</f>
        <v>0</v>
      </c>
      <c r="V148" s="227">
        <f>SUMIFS(LstMachines[Nbre],LstMachines[Model-Spec],PrévisionBoris[[#This Row],[Spec]],LstMachines[Status],PrévisionBoris[[#This Row],[Status]],LstMachines[MoisLivr],V$1)</f>
        <v>0</v>
      </c>
      <c r="W148" s="226">
        <f>SUMIFS(LstMachines[Nbre],LstMachines[Model-Spec],PrévisionBoris[[#This Row],[Spec]],LstMachines[Status],PrévisionBoris[[#This Row],[Status]],LstMachines[MoisLivr],W$1)</f>
        <v>0</v>
      </c>
      <c r="X148" s="227">
        <f>SUMIFS(LstMachines[Nbre],LstMachines[Model-Spec],PrévisionBoris[[#This Row],[Spec]],LstMachines[Status],PrévisionBoris[[#This Row],[Status]],LstMachines[MoisLivr],X$1)</f>
        <v>0</v>
      </c>
      <c r="Y148" s="227">
        <f>SUMIFS(LstMachines[Nbre],LstMachines[Model-Spec],PrévisionBoris[[#This Row],[Spec]],LstMachines[Status],PrévisionBoris[[#This Row],[Status]],LstMachines[MoisLivr],Y$1)</f>
        <v>0</v>
      </c>
      <c r="Z148" s="226">
        <f>SUMIFS(LstMachines[Nbre],LstMachines[Model-Spec],PrévisionBoris[[#This Row],[Spec]],LstMachines[Status],PrévisionBoris[[#This Row],[Status]],LstMachines[MoisLivr],Z$1)</f>
        <v>0</v>
      </c>
      <c r="AA148" s="227">
        <f>SUMIFS(LstMachines[Nbre],LstMachines[Model-Spec],PrévisionBoris[[#This Row],[Spec]],LstMachines[Status],PrévisionBoris[[#This Row],[Status]],LstMachines[MoisLivr],AA$1)</f>
        <v>0</v>
      </c>
      <c r="AB148" s="227">
        <f>SUMIFS(LstMachines[Nbre],LstMachines[Model-Spec],PrévisionBoris[[#This Row],[Spec]],LstMachines[Status],PrévisionBoris[[#This Row],[Status]],LstMachines[MoisLivr],AB$1)</f>
        <v>0</v>
      </c>
      <c r="AC148" s="226">
        <f>SUMIFS(LstMachines[Nbre],LstMachines[Model-Spec],PrévisionBoris[[#This Row],[Spec]],LstMachines[Status],PrévisionBoris[[#This Row],[Status]],LstMachines[MoisLivr],AC$1)</f>
        <v>0</v>
      </c>
      <c r="AD148" s="227">
        <f>SUMIFS(LstMachines[Nbre],LstMachines[Model-Spec],PrévisionBoris[[#This Row],[Spec]],LstMachines[Status],PrévisionBoris[[#This Row],[Status]],LstMachines[MoisLivr],AD$1)</f>
        <v>0</v>
      </c>
      <c r="AE148" s="227">
        <f>SUMIFS(LstMachines[Nbre],LstMachines[Model-Spec],PrévisionBoris[[#This Row],[Spec]],LstMachines[Status],PrévisionBoris[[#This Row],[Status]],LstMachines[MoisLivr],AE$1)</f>
        <v>0</v>
      </c>
      <c r="AF148" s="226">
        <f>SUMIFS(LstMachines[Nbre],LstMachines[Model-Spec],PrévisionBoris[[#This Row],[Spec]],LstMachines[Status],PrévisionBoris[[#This Row],[Status]],LstMachines[MoisLivr],AF$1)</f>
        <v>0</v>
      </c>
      <c r="AG148" s="227">
        <f>SUMIFS(LstMachines[Nbre],LstMachines[Model-Spec],PrévisionBoris[[#This Row],[Spec]],LstMachines[Status],PrévisionBoris[[#This Row],[Status]],LstMachines[MoisLivr],AG$1)</f>
        <v>0</v>
      </c>
      <c r="AH148" s="227">
        <f>SUMIFS(LstMachines[Nbre],LstMachines[Model-Spec],PrévisionBoris[[#This Row],[Spec]],LstMachines[Status],PrévisionBoris[[#This Row],[Status]],LstMachines[MoisLivr],AH$1)</f>
        <v>0</v>
      </c>
      <c r="AI148" s="226">
        <f>SUMIFS(LstMachines[Nbre],LstMachines[Model-Spec],PrévisionBoris[[#This Row],[Spec]],LstMachines[Status],PrévisionBoris[[#This Row],[Status]],LstMachines[MoisLivr],AI$1)</f>
        <v>0</v>
      </c>
      <c r="AJ148" s="227">
        <f>SUMIFS(LstMachines[Nbre],LstMachines[Model-Spec],PrévisionBoris[[#This Row],[Spec]],LstMachines[Status],PrévisionBoris[[#This Row],[Status]],LstMachines[MoisLivr],AJ$1)</f>
        <v>0</v>
      </c>
      <c r="AK148" s="227">
        <f>SUMIFS(LstMachines[Nbre],LstMachines[Model-Spec],PrévisionBoris[[#This Row],[Spec]],LstMachines[Status],PrévisionBoris[[#This Row],[Status]],LstMachines[MoisLivr],AK$1)</f>
        <v>0</v>
      </c>
      <c r="AL148" s="226">
        <f>SUMIFS(LstMachines[Nbre],LstMachines[Model-Spec],PrévisionBoris[[#This Row],[Spec]],LstMachines[Status],PrévisionBoris[[#This Row],[Status]],LstMachines[MoisLivr],AL$1)</f>
        <v>0</v>
      </c>
      <c r="AM148" s="227">
        <f>SUMIFS(LstMachines[Nbre],LstMachines[Model-Spec],PrévisionBoris[[#This Row],[Spec]],LstMachines[Status],PrévisionBoris[[#This Row],[Status]],LstMachines[MoisLivr],AM$1)</f>
        <v>0</v>
      </c>
      <c r="AN148" s="227">
        <f>SUMIFS(LstMachines[Nbre],LstMachines[Model-Spec],PrévisionBoris[[#This Row],[Spec]],LstMachines[Status],PrévisionBoris[[#This Row],[Status]],LstMachines[MoisLivr],AN$1)</f>
        <v>0</v>
      </c>
      <c r="AO148" s="226">
        <f>SUMIFS(LstMachines[Nbre],LstMachines[Model-Spec],PrévisionBoris[[#This Row],[Spec]],LstMachines[Status],PrévisionBoris[[#This Row],[Status]],LstMachines[MoisLivr],AO$1)</f>
        <v>0</v>
      </c>
      <c r="AP148" s="227">
        <f>SUMIFS(LstMachines[Nbre],LstMachines[Model-Spec],PrévisionBoris[[#This Row],[Spec]],LstMachines[Status],PrévisionBoris[[#This Row],[Status]],LstMachines[MoisLivr],AP$1)</f>
        <v>0</v>
      </c>
      <c r="AQ148" s="227">
        <f>SUMIFS(LstMachines[Nbre],LstMachines[Model-Spec],PrévisionBoris[[#This Row],[Spec]],LstMachines[Status],PrévisionBoris[[#This Row],[Status]],LstMachines[MoisLivr],AQ$1)</f>
        <v>0</v>
      </c>
      <c r="AR148" s="226">
        <f>SUMIFS(LstMachines[Nbre],LstMachines[Model-Spec],PrévisionBoris[[#This Row],[Spec]],LstMachines[Status],PrévisionBoris[[#This Row],[Status]],LstMachines[MoisLivr],AR$1)</f>
        <v>0</v>
      </c>
      <c r="AS148" s="227">
        <f>SUMIFS(LstMachines[Nbre],LstMachines[Model-Spec],PrévisionBoris[[#This Row],[Spec]],LstMachines[Status],PrévisionBoris[[#This Row],[Status]],LstMachines[MoisLivr],AS$1)</f>
        <v>0</v>
      </c>
      <c r="AT148" s="227">
        <f>SUMIFS(LstMachines[Nbre],LstMachines[Model-Spec],PrévisionBoris[[#This Row],[Spec]],LstMachines[Status],PrévisionBoris[[#This Row],[Status]],LstMachines[MoisLivr],AT$1)</f>
        <v>0</v>
      </c>
      <c r="AU148" s="226">
        <f>SUMIFS(LstMachines[Nbre],LstMachines[Model-Spec],PrévisionBoris[[#This Row],[Spec]],LstMachines[Status],PrévisionBoris[[#This Row],[Status]],LstMachines[MoisLivr],AU$1)</f>
        <v>0</v>
      </c>
      <c r="AV148" s="230">
        <f>SUMIFS(LstMachines[Nbre],LstMachines[Model-Spec],PrévisionBoris[[#This Row],[Spec]],LstMachines[Status],PrévisionBoris[[#This Row],[Status]],LstMachines[MoisLivr],AV$1)</f>
        <v>0</v>
      </c>
      <c r="AW148" s="231">
        <f>SUMIFS(LstMachines[Nbre],LstMachines[Model-Spec],PrévisionBoris[[#This Row],[Spec]],LstMachines[Status],PrévisionBoris[[#This Row],[Status]],LstMachines[MoisLivr],AW$1)</f>
        <v>0</v>
      </c>
      <c r="AX148" s="232"/>
      <c r="AY148" s="211">
        <f t="shared" si="35"/>
        <v>0</v>
      </c>
      <c r="AZ148" s="212">
        <f t="shared" si="36"/>
        <v>0</v>
      </c>
      <c r="BA148" s="212">
        <f t="shared" si="37"/>
        <v>0</v>
      </c>
      <c r="BB148" s="213">
        <f t="shared" si="38"/>
        <v>0</v>
      </c>
      <c r="BC148" s="225">
        <f t="shared" si="39"/>
        <v>0</v>
      </c>
      <c r="BD148" s="211">
        <f t="shared" si="40"/>
        <v>0</v>
      </c>
      <c r="BE148" s="212">
        <f t="shared" si="41"/>
        <v>0</v>
      </c>
      <c r="BF148" s="212">
        <f t="shared" si="42"/>
        <v>0</v>
      </c>
      <c r="BG148" s="213">
        <f t="shared" si="43"/>
        <v>0</v>
      </c>
      <c r="BH148" s="225">
        <f t="shared" si="44"/>
        <v>0</v>
      </c>
      <c r="BI148" s="214">
        <f t="shared" si="45"/>
        <v>0</v>
      </c>
      <c r="BJ148" s="215">
        <f t="shared" si="46"/>
        <v>0</v>
      </c>
      <c r="BK148" s="215">
        <f t="shared" si="47"/>
        <v>0</v>
      </c>
      <c r="BL148" s="216">
        <f t="shared" si="48"/>
        <v>0</v>
      </c>
      <c r="BM148" s="225">
        <f t="shared" si="49"/>
        <v>0</v>
      </c>
      <c r="BN148" s="225"/>
      <c r="BO148" s="217"/>
      <c r="BP148" s="218">
        <f t="shared" si="50"/>
        <v>0</v>
      </c>
    </row>
    <row r="149" spans="1:68">
      <c r="A149" s="172">
        <v>142</v>
      </c>
      <c r="B149" s="172" t="s">
        <v>75</v>
      </c>
      <c r="C149" s="202">
        <v>48</v>
      </c>
      <c r="D149" s="172" t="s">
        <v>82</v>
      </c>
      <c r="E149" s="172" t="s">
        <v>357</v>
      </c>
      <c r="F149" s="202">
        <f>VLOOKUP(PrévisionBoris[[#This Row],[Spec]],TabModelSpecs[[ModelSpec]:[Price]],2,FALSE)</f>
        <v>41</v>
      </c>
      <c r="G149" s="172" t="s">
        <v>461</v>
      </c>
      <c r="H149" s="206">
        <f>SUMIFS(LstMachines[Nbre],LstMachines[Model-Spec],PrévisionBoris[[#This Row],[Spec]],LstMachines[Status],PrévisionBoris[[#This Row],[Status]],LstMachines[MoisLivr],H$1)</f>
        <v>0</v>
      </c>
      <c r="I149" s="207">
        <f>SUMIFS(LstMachines[Nbre],LstMachines[Model-Spec],PrévisionBoris[[#This Row],[Spec]],LstMachines[Status],PrévisionBoris[[#This Row],[Status]],LstMachines[MoisLivr],I$1)</f>
        <v>0</v>
      </c>
      <c r="J149" s="208">
        <f>SUMIFS(LstMachines[Nbre],LstMachines[Model-Spec],PrévisionBoris[[#This Row],[Spec]],LstMachines[Status],PrévisionBoris[[#This Row],[Status]],LstMachines[MoisLivr],J$1)</f>
        <v>0</v>
      </c>
      <c r="K149" s="206">
        <f>SUMIFS(LstMachines[Nbre],LstMachines[Model-Spec],PrévisionBoris[[#This Row],[Spec]],LstMachines[Status],PrévisionBoris[[#This Row],[Status]],LstMachines[MoisLivr],K$1)</f>
        <v>0</v>
      </c>
      <c r="L149" s="207">
        <f>SUMIFS(LstMachines[Nbre],LstMachines[Model-Spec],PrévisionBoris[[#This Row],[Spec]],LstMachines[Status],PrévisionBoris[[#This Row],[Status]],LstMachines[MoisLivr],L$1)</f>
        <v>1</v>
      </c>
      <c r="M149" s="208">
        <f>SUMIFS(LstMachines[Nbre],LstMachines[Model-Spec],PrévisionBoris[[#This Row],[Spec]],LstMachines[Status],PrévisionBoris[[#This Row],[Status]],LstMachines[MoisLivr],M$1)</f>
        <v>0</v>
      </c>
      <c r="N149" s="206">
        <f>SUMIFS(LstMachines[Nbre],LstMachines[Model-Spec],PrévisionBoris[[#This Row],[Spec]],LstMachines[Status],PrévisionBoris[[#This Row],[Status]],LstMachines[MoisLivr],N$1)</f>
        <v>0</v>
      </c>
      <c r="O149" s="207">
        <f>SUMIFS(LstMachines[Nbre],LstMachines[Model-Spec],PrévisionBoris[[#This Row],[Spec]],LstMachines[Status],PrévisionBoris[[#This Row],[Status]],LstMachines[MoisLivr],O$1)</f>
        <v>0</v>
      </c>
      <c r="P149" s="208">
        <f>SUMIFS(LstMachines[Nbre],LstMachines[Model-Spec],PrévisionBoris[[#This Row],[Spec]],LstMachines[Status],PrévisionBoris[[#This Row],[Status]],LstMachines[MoisLivr],P$1)</f>
        <v>0</v>
      </c>
      <c r="Q149" s="209">
        <f>SUMIFS(LstMachines[Nbre],LstMachines[Model-Spec],PrévisionBoris[[#This Row],[Spec]],LstMachines[Status],PrévisionBoris[[#This Row],[Status]],LstMachines[MoisLivr],Q$1)</f>
        <v>0</v>
      </c>
      <c r="R149" s="207">
        <f>SUMIFS(LstMachines[Nbre],LstMachines[Model-Spec],PrévisionBoris[[#This Row],[Spec]],LstMachines[Status],PrévisionBoris[[#This Row],[Status]],LstMachines[MoisLivr],R$1)</f>
        <v>0</v>
      </c>
      <c r="S149" s="207">
        <f>SUMIFS(LstMachines[Nbre],LstMachines[Model-Spec],PrévisionBoris[[#This Row],[Spec]],LstMachines[Status],PrévisionBoris[[#This Row],[Status]],LstMachines[MoisLivr],S$1)</f>
        <v>0</v>
      </c>
      <c r="T149" s="206">
        <f>SUMIFS(LstMachines[Nbre],LstMachines[Model-Spec],PrévisionBoris[[#This Row],[Spec]],LstMachines[Status],PrévisionBoris[[#This Row],[Status]],LstMachines[MoisLivr],T$1)</f>
        <v>0</v>
      </c>
      <c r="U149" s="207">
        <f>SUMIFS(LstMachines[Nbre],LstMachines[Model-Spec],PrévisionBoris[[#This Row],[Spec]],LstMachines[Status],PrévisionBoris[[#This Row],[Status]],LstMachines[MoisLivr],U$1)</f>
        <v>0</v>
      </c>
      <c r="V149" s="207">
        <f>SUMIFS(LstMachines[Nbre],LstMachines[Model-Spec],PrévisionBoris[[#This Row],[Spec]],LstMachines[Status],PrévisionBoris[[#This Row],[Status]],LstMachines[MoisLivr],V$1)</f>
        <v>0</v>
      </c>
      <c r="W149" s="206">
        <f>SUMIFS(LstMachines[Nbre],LstMachines[Model-Spec],PrévisionBoris[[#This Row],[Spec]],LstMachines[Status],PrévisionBoris[[#This Row],[Status]],LstMachines[MoisLivr],W$1)</f>
        <v>0</v>
      </c>
      <c r="X149" s="207">
        <f>SUMIFS(LstMachines[Nbre],LstMachines[Model-Spec],PrévisionBoris[[#This Row],[Spec]],LstMachines[Status],PrévisionBoris[[#This Row],[Status]],LstMachines[MoisLivr],X$1)</f>
        <v>0</v>
      </c>
      <c r="Y149" s="207">
        <f>SUMIFS(LstMachines[Nbre],LstMachines[Model-Spec],PrévisionBoris[[#This Row],[Spec]],LstMachines[Status],PrévisionBoris[[#This Row],[Status]],LstMachines[MoisLivr],Y$1)</f>
        <v>0</v>
      </c>
      <c r="Z149" s="206">
        <f>SUMIFS(LstMachines[Nbre],LstMachines[Model-Spec],PrévisionBoris[[#This Row],[Spec]],LstMachines[Status],PrévisionBoris[[#This Row],[Status]],LstMachines[MoisLivr],Z$1)</f>
        <v>0</v>
      </c>
      <c r="AA149" s="207">
        <f>SUMIFS(LstMachines[Nbre],LstMachines[Model-Spec],PrévisionBoris[[#This Row],[Spec]],LstMachines[Status],PrévisionBoris[[#This Row],[Status]],LstMachines[MoisLivr],AA$1)</f>
        <v>0</v>
      </c>
      <c r="AB149" s="207">
        <f>SUMIFS(LstMachines[Nbre],LstMachines[Model-Spec],PrévisionBoris[[#This Row],[Spec]],LstMachines[Status],PrévisionBoris[[#This Row],[Status]],LstMachines[MoisLivr],AB$1)</f>
        <v>0</v>
      </c>
      <c r="AC149" s="206">
        <f>SUMIFS(LstMachines[Nbre],LstMachines[Model-Spec],PrévisionBoris[[#This Row],[Spec]],LstMachines[Status],PrévisionBoris[[#This Row],[Status]],LstMachines[MoisLivr],AC$1)</f>
        <v>0</v>
      </c>
      <c r="AD149" s="207">
        <f>SUMIFS(LstMachines[Nbre],LstMachines[Model-Spec],PrévisionBoris[[#This Row],[Spec]],LstMachines[Status],PrévisionBoris[[#This Row],[Status]],LstMachines[MoisLivr],AD$1)</f>
        <v>0</v>
      </c>
      <c r="AE149" s="207">
        <f>SUMIFS(LstMachines[Nbre],LstMachines[Model-Spec],PrévisionBoris[[#This Row],[Spec]],LstMachines[Status],PrévisionBoris[[#This Row],[Status]],LstMachines[MoisLivr],AE$1)</f>
        <v>0</v>
      </c>
      <c r="AF149" s="206">
        <f>SUMIFS(LstMachines[Nbre],LstMachines[Model-Spec],PrévisionBoris[[#This Row],[Spec]],LstMachines[Status],PrévisionBoris[[#This Row],[Status]],LstMachines[MoisLivr],AF$1)</f>
        <v>0</v>
      </c>
      <c r="AG149" s="207">
        <f>SUMIFS(LstMachines[Nbre],LstMachines[Model-Spec],PrévisionBoris[[#This Row],[Spec]],LstMachines[Status],PrévisionBoris[[#This Row],[Status]],LstMachines[MoisLivr],AG$1)</f>
        <v>0</v>
      </c>
      <c r="AH149" s="207">
        <f>SUMIFS(LstMachines[Nbre],LstMachines[Model-Spec],PrévisionBoris[[#This Row],[Spec]],LstMachines[Status],PrévisionBoris[[#This Row],[Status]],LstMachines[MoisLivr],AH$1)</f>
        <v>0</v>
      </c>
      <c r="AI149" s="206">
        <f>SUMIFS(LstMachines[Nbre],LstMachines[Model-Spec],PrévisionBoris[[#This Row],[Spec]],LstMachines[Status],PrévisionBoris[[#This Row],[Status]],LstMachines[MoisLivr],AI$1)</f>
        <v>0</v>
      </c>
      <c r="AJ149" s="207">
        <f>SUMIFS(LstMachines[Nbre],LstMachines[Model-Spec],PrévisionBoris[[#This Row],[Spec]],LstMachines[Status],PrévisionBoris[[#This Row],[Status]],LstMachines[MoisLivr],AJ$1)</f>
        <v>0</v>
      </c>
      <c r="AK149" s="207">
        <f>SUMIFS(LstMachines[Nbre],LstMachines[Model-Spec],PrévisionBoris[[#This Row],[Spec]],LstMachines[Status],PrévisionBoris[[#This Row],[Status]],LstMachines[MoisLivr],AK$1)</f>
        <v>0</v>
      </c>
      <c r="AL149" s="206">
        <f>SUMIFS(LstMachines[Nbre],LstMachines[Model-Spec],PrévisionBoris[[#This Row],[Spec]],LstMachines[Status],PrévisionBoris[[#This Row],[Status]],LstMachines[MoisLivr],AL$1)</f>
        <v>0</v>
      </c>
      <c r="AM149" s="207">
        <f>SUMIFS(LstMachines[Nbre],LstMachines[Model-Spec],PrévisionBoris[[#This Row],[Spec]],LstMachines[Status],PrévisionBoris[[#This Row],[Status]],LstMachines[MoisLivr],AM$1)</f>
        <v>0</v>
      </c>
      <c r="AN149" s="207">
        <f>SUMIFS(LstMachines[Nbre],LstMachines[Model-Spec],PrévisionBoris[[#This Row],[Spec]],LstMachines[Status],PrévisionBoris[[#This Row],[Status]],LstMachines[MoisLivr],AN$1)</f>
        <v>0</v>
      </c>
      <c r="AO149" s="206">
        <f>SUMIFS(LstMachines[Nbre],LstMachines[Model-Spec],PrévisionBoris[[#This Row],[Spec]],LstMachines[Status],PrévisionBoris[[#This Row],[Status]],LstMachines[MoisLivr],AO$1)</f>
        <v>0</v>
      </c>
      <c r="AP149" s="207">
        <f>SUMIFS(LstMachines[Nbre],LstMachines[Model-Spec],PrévisionBoris[[#This Row],[Spec]],LstMachines[Status],PrévisionBoris[[#This Row],[Status]],LstMachines[MoisLivr],AP$1)</f>
        <v>0</v>
      </c>
      <c r="AQ149" s="207">
        <f>SUMIFS(LstMachines[Nbre],LstMachines[Model-Spec],PrévisionBoris[[#This Row],[Spec]],LstMachines[Status],PrévisionBoris[[#This Row],[Status]],LstMachines[MoisLivr],AQ$1)</f>
        <v>0</v>
      </c>
      <c r="AR149" s="206">
        <f>SUMIFS(LstMachines[Nbre],LstMachines[Model-Spec],PrévisionBoris[[#This Row],[Spec]],LstMachines[Status],PrévisionBoris[[#This Row],[Status]],LstMachines[MoisLivr],AR$1)</f>
        <v>0</v>
      </c>
      <c r="AS149" s="207">
        <f>SUMIFS(LstMachines[Nbre],LstMachines[Model-Spec],PrévisionBoris[[#This Row],[Spec]],LstMachines[Status],PrévisionBoris[[#This Row],[Status]],LstMachines[MoisLivr],AS$1)</f>
        <v>0</v>
      </c>
      <c r="AT149" s="207">
        <f>SUMIFS(LstMachines[Nbre],LstMachines[Model-Spec],PrévisionBoris[[#This Row],[Spec]],LstMachines[Status],PrévisionBoris[[#This Row],[Status]],LstMachines[MoisLivr],AT$1)</f>
        <v>0</v>
      </c>
      <c r="AU149" s="206">
        <f>SUMIFS(LstMachines[Nbre],LstMachines[Model-Spec],PrévisionBoris[[#This Row],[Spec]],LstMachines[Status],PrévisionBoris[[#This Row],[Status]],LstMachines[MoisLivr],AU$1)</f>
        <v>0</v>
      </c>
      <c r="AV149" s="233">
        <f>SUMIFS(LstMachines[Nbre],LstMachines[Model-Spec],PrévisionBoris[[#This Row],[Spec]],LstMachines[Status],PrévisionBoris[[#This Row],[Status]],LstMachines[MoisLivr],AV$1)</f>
        <v>0</v>
      </c>
      <c r="AW149" s="208">
        <f>SUMIFS(LstMachines[Nbre],LstMachines[Model-Spec],PrévisionBoris[[#This Row],[Spec]],LstMachines[Status],PrévisionBoris[[#This Row],[Status]],LstMachines[MoisLivr],AW$1)</f>
        <v>0</v>
      </c>
      <c r="AX149" s="225"/>
      <c r="AY149" s="211">
        <f t="shared" si="35"/>
        <v>1</v>
      </c>
      <c r="AZ149" s="212">
        <f t="shared" si="36"/>
        <v>0</v>
      </c>
      <c r="BA149" s="212">
        <f t="shared" si="37"/>
        <v>0</v>
      </c>
      <c r="BB149" s="213">
        <f t="shared" si="38"/>
        <v>0</v>
      </c>
      <c r="BC149" s="225">
        <f t="shared" si="39"/>
        <v>1</v>
      </c>
      <c r="BD149" s="211">
        <f t="shared" si="40"/>
        <v>0</v>
      </c>
      <c r="BE149" s="212">
        <f t="shared" si="41"/>
        <v>0</v>
      </c>
      <c r="BF149" s="212">
        <f t="shared" si="42"/>
        <v>0</v>
      </c>
      <c r="BG149" s="213">
        <f t="shared" si="43"/>
        <v>0</v>
      </c>
      <c r="BH149" s="225">
        <f t="shared" si="44"/>
        <v>0</v>
      </c>
      <c r="BI149" s="214">
        <f t="shared" si="45"/>
        <v>0</v>
      </c>
      <c r="BJ149" s="215">
        <f t="shared" si="46"/>
        <v>0</v>
      </c>
      <c r="BK149" s="215">
        <f t="shared" si="47"/>
        <v>0</v>
      </c>
      <c r="BL149" s="216">
        <f t="shared" si="48"/>
        <v>0</v>
      </c>
      <c r="BM149" s="225">
        <f t="shared" si="49"/>
        <v>0</v>
      </c>
      <c r="BN149" s="225"/>
      <c r="BO149" s="234"/>
      <c r="BP149" s="218">
        <f t="shared" si="50"/>
        <v>1</v>
      </c>
    </row>
    <row r="150" spans="1:68">
      <c r="A150" s="170">
        <v>143</v>
      </c>
      <c r="B150" s="170" t="s">
        <v>75</v>
      </c>
      <c r="C150" s="200">
        <v>48</v>
      </c>
      <c r="D150" s="170" t="s">
        <v>82</v>
      </c>
      <c r="E150" s="170" t="s">
        <v>357</v>
      </c>
      <c r="F150" s="200">
        <f>VLOOKUP(PrévisionBoris[[#This Row],[Spec]],TabModelSpecs[[ModelSpec]:[Price]],2,FALSE)</f>
        <v>41</v>
      </c>
      <c r="G150" s="170" t="s">
        <v>462</v>
      </c>
      <c r="H150" s="219">
        <f>SUMIFS(LstMachines[Nbre],LstMachines[Model-Spec],PrévisionBoris[[#This Row],[Spec]],LstMachines[Status],PrévisionBoris[[#This Row],[Status]],LstMachines[MoisLivr],H$1)</f>
        <v>0</v>
      </c>
      <c r="I150" s="220">
        <f>SUMIFS(LstMachines[Nbre],LstMachines[Model-Spec],PrévisionBoris[[#This Row],[Spec]],LstMachines[Status],PrévisionBoris[[#This Row],[Status]],LstMachines[MoisLivr],I$1)</f>
        <v>0</v>
      </c>
      <c r="J150" s="221">
        <f>SUMIFS(LstMachines[Nbre],LstMachines[Model-Spec],PrévisionBoris[[#This Row],[Spec]],LstMachines[Status],PrévisionBoris[[#This Row],[Status]],LstMachines[MoisLivr],J$1)</f>
        <v>0</v>
      </c>
      <c r="K150" s="219">
        <f>SUMIFS(LstMachines[Nbre],LstMachines[Model-Spec],PrévisionBoris[[#This Row],[Spec]],LstMachines[Status],PrévisionBoris[[#This Row],[Status]],LstMachines[MoisLivr],K$1)</f>
        <v>0</v>
      </c>
      <c r="L150" s="220">
        <f>SUMIFS(LstMachines[Nbre],LstMachines[Model-Spec],PrévisionBoris[[#This Row],[Spec]],LstMachines[Status],PrévisionBoris[[#This Row],[Status]],LstMachines[MoisLivr],L$1)</f>
        <v>0</v>
      </c>
      <c r="M150" s="221">
        <f>SUMIFS(LstMachines[Nbre],LstMachines[Model-Spec],PrévisionBoris[[#This Row],[Spec]],LstMachines[Status],PrévisionBoris[[#This Row],[Status]],LstMachines[MoisLivr],M$1)</f>
        <v>0</v>
      </c>
      <c r="N150" s="219">
        <f>SUMIFS(LstMachines[Nbre],LstMachines[Model-Spec],PrévisionBoris[[#This Row],[Spec]],LstMachines[Status],PrévisionBoris[[#This Row],[Status]],LstMachines[MoisLivr],N$1)</f>
        <v>0</v>
      </c>
      <c r="O150" s="220">
        <f>SUMIFS(LstMachines[Nbre],LstMachines[Model-Spec],PrévisionBoris[[#This Row],[Spec]],LstMachines[Status],PrévisionBoris[[#This Row],[Status]],LstMachines[MoisLivr],O$1)</f>
        <v>0</v>
      </c>
      <c r="P150" s="221">
        <f>SUMIFS(LstMachines[Nbre],LstMachines[Model-Spec],PrévisionBoris[[#This Row],[Spec]],LstMachines[Status],PrévisionBoris[[#This Row],[Status]],LstMachines[MoisLivr],P$1)</f>
        <v>0</v>
      </c>
      <c r="Q150" s="222">
        <f>SUMIFS(LstMachines[Nbre],LstMachines[Model-Spec],PrévisionBoris[[#This Row],[Spec]],LstMachines[Status],PrévisionBoris[[#This Row],[Status]],LstMachines[MoisLivr],Q$1)</f>
        <v>0</v>
      </c>
      <c r="R150" s="220">
        <f>SUMIFS(LstMachines[Nbre],LstMachines[Model-Spec],PrévisionBoris[[#This Row],[Spec]],LstMachines[Status],PrévisionBoris[[#This Row],[Status]],LstMachines[MoisLivr],R$1)</f>
        <v>0</v>
      </c>
      <c r="S150" s="220">
        <f>SUMIFS(LstMachines[Nbre],LstMachines[Model-Spec],PrévisionBoris[[#This Row],[Spec]],LstMachines[Status],PrévisionBoris[[#This Row],[Status]],LstMachines[MoisLivr],S$1)</f>
        <v>0</v>
      </c>
      <c r="T150" s="219">
        <f>SUMIFS(LstMachines[Nbre],LstMachines[Model-Spec],PrévisionBoris[[#This Row],[Spec]],LstMachines[Status],PrévisionBoris[[#This Row],[Status]],LstMachines[MoisLivr],T$1)</f>
        <v>0</v>
      </c>
      <c r="U150" s="220">
        <f>SUMIFS(LstMachines[Nbre],LstMachines[Model-Spec],PrévisionBoris[[#This Row],[Spec]],LstMachines[Status],PrévisionBoris[[#This Row],[Status]],LstMachines[MoisLivr],U$1)</f>
        <v>0</v>
      </c>
      <c r="V150" s="220">
        <f>SUMIFS(LstMachines[Nbre],LstMachines[Model-Spec],PrévisionBoris[[#This Row],[Spec]],LstMachines[Status],PrévisionBoris[[#This Row],[Status]],LstMachines[MoisLivr],V$1)</f>
        <v>0</v>
      </c>
      <c r="W150" s="219">
        <f>SUMIFS(LstMachines[Nbre],LstMachines[Model-Spec],PrévisionBoris[[#This Row],[Spec]],LstMachines[Status],PrévisionBoris[[#This Row],[Status]],LstMachines[MoisLivr],W$1)</f>
        <v>0</v>
      </c>
      <c r="X150" s="220">
        <f>SUMIFS(LstMachines[Nbre],LstMachines[Model-Spec],PrévisionBoris[[#This Row],[Spec]],LstMachines[Status],PrévisionBoris[[#This Row],[Status]],LstMachines[MoisLivr],X$1)</f>
        <v>0</v>
      </c>
      <c r="Y150" s="220">
        <f>SUMIFS(LstMachines[Nbre],LstMachines[Model-Spec],PrévisionBoris[[#This Row],[Spec]],LstMachines[Status],PrévisionBoris[[#This Row],[Status]],LstMachines[MoisLivr],Y$1)</f>
        <v>0</v>
      </c>
      <c r="Z150" s="219">
        <f>SUMIFS(LstMachines[Nbre],LstMachines[Model-Spec],PrévisionBoris[[#This Row],[Spec]],LstMachines[Status],PrévisionBoris[[#This Row],[Status]],LstMachines[MoisLivr],Z$1)</f>
        <v>0</v>
      </c>
      <c r="AA150" s="220">
        <f>SUMIFS(LstMachines[Nbre],LstMachines[Model-Spec],PrévisionBoris[[#This Row],[Spec]],LstMachines[Status],PrévisionBoris[[#This Row],[Status]],LstMachines[MoisLivr],AA$1)</f>
        <v>0</v>
      </c>
      <c r="AB150" s="220">
        <f>SUMIFS(LstMachines[Nbre],LstMachines[Model-Spec],PrévisionBoris[[#This Row],[Spec]],LstMachines[Status],PrévisionBoris[[#This Row],[Status]],LstMachines[MoisLivr],AB$1)</f>
        <v>0</v>
      </c>
      <c r="AC150" s="219">
        <f>SUMIFS(LstMachines[Nbre],LstMachines[Model-Spec],PrévisionBoris[[#This Row],[Spec]],LstMachines[Status],PrévisionBoris[[#This Row],[Status]],LstMachines[MoisLivr],AC$1)</f>
        <v>0</v>
      </c>
      <c r="AD150" s="220">
        <f>SUMIFS(LstMachines[Nbre],LstMachines[Model-Spec],PrévisionBoris[[#This Row],[Spec]],LstMachines[Status],PrévisionBoris[[#This Row],[Status]],LstMachines[MoisLivr],AD$1)</f>
        <v>0</v>
      </c>
      <c r="AE150" s="220">
        <f>SUMIFS(LstMachines[Nbre],LstMachines[Model-Spec],PrévisionBoris[[#This Row],[Spec]],LstMachines[Status],PrévisionBoris[[#This Row],[Status]],LstMachines[MoisLivr],AE$1)</f>
        <v>0</v>
      </c>
      <c r="AF150" s="219">
        <f>SUMIFS(LstMachines[Nbre],LstMachines[Model-Spec],PrévisionBoris[[#This Row],[Spec]],LstMachines[Status],PrévisionBoris[[#This Row],[Status]],LstMachines[MoisLivr],AF$1)</f>
        <v>0</v>
      </c>
      <c r="AG150" s="220">
        <f>SUMIFS(LstMachines[Nbre],LstMachines[Model-Spec],PrévisionBoris[[#This Row],[Spec]],LstMachines[Status],PrévisionBoris[[#This Row],[Status]],LstMachines[MoisLivr],AG$1)</f>
        <v>0</v>
      </c>
      <c r="AH150" s="220">
        <f>SUMIFS(LstMachines[Nbre],LstMachines[Model-Spec],PrévisionBoris[[#This Row],[Spec]],LstMachines[Status],PrévisionBoris[[#This Row],[Status]],LstMachines[MoisLivr],AH$1)</f>
        <v>0</v>
      </c>
      <c r="AI150" s="219">
        <f>SUMIFS(LstMachines[Nbre],LstMachines[Model-Spec],PrévisionBoris[[#This Row],[Spec]],LstMachines[Status],PrévisionBoris[[#This Row],[Status]],LstMachines[MoisLivr],AI$1)</f>
        <v>0</v>
      </c>
      <c r="AJ150" s="220">
        <f>SUMIFS(LstMachines[Nbre],LstMachines[Model-Spec],PrévisionBoris[[#This Row],[Spec]],LstMachines[Status],PrévisionBoris[[#This Row],[Status]],LstMachines[MoisLivr],AJ$1)</f>
        <v>0</v>
      </c>
      <c r="AK150" s="220">
        <f>SUMIFS(LstMachines[Nbre],LstMachines[Model-Spec],PrévisionBoris[[#This Row],[Spec]],LstMachines[Status],PrévisionBoris[[#This Row],[Status]],LstMachines[MoisLivr],AK$1)</f>
        <v>0</v>
      </c>
      <c r="AL150" s="219">
        <f>SUMIFS(LstMachines[Nbre],LstMachines[Model-Spec],PrévisionBoris[[#This Row],[Spec]],LstMachines[Status],PrévisionBoris[[#This Row],[Status]],LstMachines[MoisLivr],AL$1)</f>
        <v>0</v>
      </c>
      <c r="AM150" s="220">
        <f>SUMIFS(LstMachines[Nbre],LstMachines[Model-Spec],PrévisionBoris[[#This Row],[Spec]],LstMachines[Status],PrévisionBoris[[#This Row],[Status]],LstMachines[MoisLivr],AM$1)</f>
        <v>0</v>
      </c>
      <c r="AN150" s="220">
        <f>SUMIFS(LstMachines[Nbre],LstMachines[Model-Spec],PrévisionBoris[[#This Row],[Spec]],LstMachines[Status],PrévisionBoris[[#This Row],[Status]],LstMachines[MoisLivr],AN$1)</f>
        <v>0</v>
      </c>
      <c r="AO150" s="219">
        <f>SUMIFS(LstMachines[Nbre],LstMachines[Model-Spec],PrévisionBoris[[#This Row],[Spec]],LstMachines[Status],PrévisionBoris[[#This Row],[Status]],LstMachines[MoisLivr],AO$1)</f>
        <v>0</v>
      </c>
      <c r="AP150" s="220">
        <f>SUMIFS(LstMachines[Nbre],LstMachines[Model-Spec],PrévisionBoris[[#This Row],[Spec]],LstMachines[Status],PrévisionBoris[[#This Row],[Status]],LstMachines[MoisLivr],AP$1)</f>
        <v>0</v>
      </c>
      <c r="AQ150" s="220">
        <f>SUMIFS(LstMachines[Nbre],LstMachines[Model-Spec],PrévisionBoris[[#This Row],[Spec]],LstMachines[Status],PrévisionBoris[[#This Row],[Status]],LstMachines[MoisLivr],AQ$1)</f>
        <v>0</v>
      </c>
      <c r="AR150" s="219">
        <f>SUMIFS(LstMachines[Nbre],LstMachines[Model-Spec],PrévisionBoris[[#This Row],[Spec]],LstMachines[Status],PrévisionBoris[[#This Row],[Status]],LstMachines[MoisLivr],AR$1)</f>
        <v>0</v>
      </c>
      <c r="AS150" s="220">
        <f>SUMIFS(LstMachines[Nbre],LstMachines[Model-Spec],PrévisionBoris[[#This Row],[Spec]],LstMachines[Status],PrévisionBoris[[#This Row],[Status]],LstMachines[MoisLivr],AS$1)</f>
        <v>0</v>
      </c>
      <c r="AT150" s="220">
        <f>SUMIFS(LstMachines[Nbre],LstMachines[Model-Spec],PrévisionBoris[[#This Row],[Spec]],LstMachines[Status],PrévisionBoris[[#This Row],[Status]],LstMachines[MoisLivr],AT$1)</f>
        <v>0</v>
      </c>
      <c r="AU150" s="219">
        <f>SUMIFS(LstMachines[Nbre],LstMachines[Model-Spec],PrévisionBoris[[#This Row],[Spec]],LstMachines[Status],PrévisionBoris[[#This Row],[Status]],LstMachines[MoisLivr],AU$1)</f>
        <v>0</v>
      </c>
      <c r="AV150" s="223">
        <f>SUMIFS(LstMachines[Nbre],LstMachines[Model-Spec],PrévisionBoris[[#This Row],[Spec]],LstMachines[Status],PrévisionBoris[[#This Row],[Status]],LstMachines[MoisLivr],AV$1)</f>
        <v>0</v>
      </c>
      <c r="AW150" s="224">
        <f>SUMIFS(LstMachines[Nbre],LstMachines[Model-Spec],PrévisionBoris[[#This Row],[Spec]],LstMachines[Status],PrévisionBoris[[#This Row],[Status]],LstMachines[MoisLivr],AW$1)</f>
        <v>0</v>
      </c>
      <c r="AX150" s="210"/>
      <c r="AY150" s="211">
        <f t="shared" si="35"/>
        <v>0</v>
      </c>
      <c r="AZ150" s="212">
        <f t="shared" si="36"/>
        <v>0</v>
      </c>
      <c r="BA150" s="212">
        <f t="shared" si="37"/>
        <v>0</v>
      </c>
      <c r="BB150" s="213">
        <f t="shared" si="38"/>
        <v>0</v>
      </c>
      <c r="BC150" s="225">
        <f t="shared" si="39"/>
        <v>0</v>
      </c>
      <c r="BD150" s="211">
        <f t="shared" si="40"/>
        <v>0</v>
      </c>
      <c r="BE150" s="212">
        <f t="shared" si="41"/>
        <v>0</v>
      </c>
      <c r="BF150" s="212">
        <f t="shared" si="42"/>
        <v>0</v>
      </c>
      <c r="BG150" s="213">
        <f t="shared" si="43"/>
        <v>0</v>
      </c>
      <c r="BH150" s="225">
        <f t="shared" si="44"/>
        <v>0</v>
      </c>
      <c r="BI150" s="214">
        <f t="shared" si="45"/>
        <v>0</v>
      </c>
      <c r="BJ150" s="215">
        <f t="shared" si="46"/>
        <v>0</v>
      </c>
      <c r="BK150" s="215">
        <f t="shared" si="47"/>
        <v>0</v>
      </c>
      <c r="BL150" s="216">
        <f t="shared" si="48"/>
        <v>0</v>
      </c>
      <c r="BM150" s="225">
        <f t="shared" si="49"/>
        <v>0</v>
      </c>
      <c r="BN150" s="225"/>
      <c r="BO150" s="217"/>
      <c r="BP150" s="218">
        <f t="shared" si="50"/>
        <v>0</v>
      </c>
    </row>
    <row r="151" spans="1:68">
      <c r="A151" s="171">
        <v>144</v>
      </c>
      <c r="B151" s="171" t="s">
        <v>75</v>
      </c>
      <c r="C151" s="201">
        <v>48</v>
      </c>
      <c r="D151" s="171" t="s">
        <v>82</v>
      </c>
      <c r="E151" s="171" t="s">
        <v>357</v>
      </c>
      <c r="F151" s="201">
        <f>VLOOKUP(PrévisionBoris[[#This Row],[Spec]],TabModelSpecs[[ModelSpec]:[Price]],2,FALSE)</f>
        <v>41</v>
      </c>
      <c r="G151" s="171" t="s">
        <v>463</v>
      </c>
      <c r="H151" s="226">
        <f>SUMIFS(LstMachines[Nbre],LstMachines[Model-Spec],PrévisionBoris[[#This Row],[Spec]],LstMachines[Status],PrévisionBoris[[#This Row],[Status]],LstMachines[MoisLivr],H$1)</f>
        <v>0</v>
      </c>
      <c r="I151" s="227">
        <f>SUMIFS(LstMachines[Nbre],LstMachines[Model-Spec],PrévisionBoris[[#This Row],[Spec]],LstMachines[Status],PrévisionBoris[[#This Row],[Status]],LstMachines[MoisLivr],I$1)</f>
        <v>0</v>
      </c>
      <c r="J151" s="228">
        <f>SUMIFS(LstMachines[Nbre],LstMachines[Model-Spec],PrévisionBoris[[#This Row],[Spec]],LstMachines[Status],PrévisionBoris[[#This Row],[Status]],LstMachines[MoisLivr],J$1)</f>
        <v>0</v>
      </c>
      <c r="K151" s="226">
        <f>SUMIFS(LstMachines[Nbre],LstMachines[Model-Spec],PrévisionBoris[[#This Row],[Spec]],LstMachines[Status],PrévisionBoris[[#This Row],[Status]],LstMachines[MoisLivr],K$1)</f>
        <v>0</v>
      </c>
      <c r="L151" s="227">
        <f>SUMIFS(LstMachines[Nbre],LstMachines[Model-Spec],PrévisionBoris[[#This Row],[Spec]],LstMachines[Status],PrévisionBoris[[#This Row],[Status]],LstMachines[MoisLivr],L$1)</f>
        <v>0</v>
      </c>
      <c r="M151" s="228">
        <f>SUMIFS(LstMachines[Nbre],LstMachines[Model-Spec],PrévisionBoris[[#This Row],[Spec]],LstMachines[Status],PrévisionBoris[[#This Row],[Status]],LstMachines[MoisLivr],M$1)</f>
        <v>0</v>
      </c>
      <c r="N151" s="226">
        <f>SUMIFS(LstMachines[Nbre],LstMachines[Model-Spec],PrévisionBoris[[#This Row],[Spec]],LstMachines[Status],PrévisionBoris[[#This Row],[Status]],LstMachines[MoisLivr],N$1)</f>
        <v>0</v>
      </c>
      <c r="O151" s="227">
        <f>SUMIFS(LstMachines[Nbre],LstMachines[Model-Spec],PrévisionBoris[[#This Row],[Spec]],LstMachines[Status],PrévisionBoris[[#This Row],[Status]],LstMachines[MoisLivr],O$1)</f>
        <v>0</v>
      </c>
      <c r="P151" s="228">
        <f>SUMIFS(LstMachines[Nbre],LstMachines[Model-Spec],PrévisionBoris[[#This Row],[Spec]],LstMachines[Status],PrévisionBoris[[#This Row],[Status]],LstMachines[MoisLivr],P$1)</f>
        <v>0</v>
      </c>
      <c r="Q151" s="229">
        <f>SUMIFS(LstMachines[Nbre],LstMachines[Model-Spec],PrévisionBoris[[#This Row],[Spec]],LstMachines[Status],PrévisionBoris[[#This Row],[Status]],LstMachines[MoisLivr],Q$1)</f>
        <v>0</v>
      </c>
      <c r="R151" s="227">
        <f>SUMIFS(LstMachines[Nbre],LstMachines[Model-Spec],PrévisionBoris[[#This Row],[Spec]],LstMachines[Status],PrévisionBoris[[#This Row],[Status]],LstMachines[MoisLivr],R$1)</f>
        <v>0</v>
      </c>
      <c r="S151" s="227">
        <f>SUMIFS(LstMachines[Nbre],LstMachines[Model-Spec],PrévisionBoris[[#This Row],[Spec]],LstMachines[Status],PrévisionBoris[[#This Row],[Status]],LstMachines[MoisLivr],S$1)</f>
        <v>0</v>
      </c>
      <c r="T151" s="226">
        <f>SUMIFS(LstMachines[Nbre],LstMachines[Model-Spec],PrévisionBoris[[#This Row],[Spec]],LstMachines[Status],PrévisionBoris[[#This Row],[Status]],LstMachines[MoisLivr],T$1)</f>
        <v>0</v>
      </c>
      <c r="U151" s="227">
        <f>SUMIFS(LstMachines[Nbre],LstMachines[Model-Spec],PrévisionBoris[[#This Row],[Spec]],LstMachines[Status],PrévisionBoris[[#This Row],[Status]],LstMachines[MoisLivr],U$1)</f>
        <v>0</v>
      </c>
      <c r="V151" s="227">
        <f>SUMIFS(LstMachines[Nbre],LstMachines[Model-Spec],PrévisionBoris[[#This Row],[Spec]],LstMachines[Status],PrévisionBoris[[#This Row],[Status]],LstMachines[MoisLivr],V$1)</f>
        <v>0</v>
      </c>
      <c r="W151" s="226">
        <f>SUMIFS(LstMachines[Nbre],LstMachines[Model-Spec],PrévisionBoris[[#This Row],[Spec]],LstMachines[Status],PrévisionBoris[[#This Row],[Status]],LstMachines[MoisLivr],W$1)</f>
        <v>0</v>
      </c>
      <c r="X151" s="227">
        <f>SUMIFS(LstMachines[Nbre],LstMachines[Model-Spec],PrévisionBoris[[#This Row],[Spec]],LstMachines[Status],PrévisionBoris[[#This Row],[Status]],LstMachines[MoisLivr],X$1)</f>
        <v>0</v>
      </c>
      <c r="Y151" s="227">
        <f>SUMIFS(LstMachines[Nbre],LstMachines[Model-Spec],PrévisionBoris[[#This Row],[Spec]],LstMachines[Status],PrévisionBoris[[#This Row],[Status]],LstMachines[MoisLivr],Y$1)</f>
        <v>0</v>
      </c>
      <c r="Z151" s="226">
        <f>SUMIFS(LstMachines[Nbre],LstMachines[Model-Spec],PrévisionBoris[[#This Row],[Spec]],LstMachines[Status],PrévisionBoris[[#This Row],[Status]],LstMachines[MoisLivr],Z$1)</f>
        <v>0</v>
      </c>
      <c r="AA151" s="227">
        <f>SUMIFS(LstMachines[Nbre],LstMachines[Model-Spec],PrévisionBoris[[#This Row],[Spec]],LstMachines[Status],PrévisionBoris[[#This Row],[Status]],LstMachines[MoisLivr],AA$1)</f>
        <v>0</v>
      </c>
      <c r="AB151" s="227">
        <f>SUMIFS(LstMachines[Nbre],LstMachines[Model-Spec],PrévisionBoris[[#This Row],[Spec]],LstMachines[Status],PrévisionBoris[[#This Row],[Status]],LstMachines[MoisLivr],AB$1)</f>
        <v>0</v>
      </c>
      <c r="AC151" s="226">
        <f>SUMIFS(LstMachines[Nbre],LstMachines[Model-Spec],PrévisionBoris[[#This Row],[Spec]],LstMachines[Status],PrévisionBoris[[#This Row],[Status]],LstMachines[MoisLivr],AC$1)</f>
        <v>0</v>
      </c>
      <c r="AD151" s="227">
        <f>SUMIFS(LstMachines[Nbre],LstMachines[Model-Spec],PrévisionBoris[[#This Row],[Spec]],LstMachines[Status],PrévisionBoris[[#This Row],[Status]],LstMachines[MoisLivr],AD$1)</f>
        <v>0</v>
      </c>
      <c r="AE151" s="227">
        <f>SUMIFS(LstMachines[Nbre],LstMachines[Model-Spec],PrévisionBoris[[#This Row],[Spec]],LstMachines[Status],PrévisionBoris[[#This Row],[Status]],LstMachines[MoisLivr],AE$1)</f>
        <v>0</v>
      </c>
      <c r="AF151" s="226">
        <f>SUMIFS(LstMachines[Nbre],LstMachines[Model-Spec],PrévisionBoris[[#This Row],[Spec]],LstMachines[Status],PrévisionBoris[[#This Row],[Status]],LstMachines[MoisLivr],AF$1)</f>
        <v>0</v>
      </c>
      <c r="AG151" s="227">
        <f>SUMIFS(LstMachines[Nbre],LstMachines[Model-Spec],PrévisionBoris[[#This Row],[Spec]],LstMachines[Status],PrévisionBoris[[#This Row],[Status]],LstMachines[MoisLivr],AG$1)</f>
        <v>0</v>
      </c>
      <c r="AH151" s="227">
        <f>SUMIFS(LstMachines[Nbre],LstMachines[Model-Spec],PrévisionBoris[[#This Row],[Spec]],LstMachines[Status],PrévisionBoris[[#This Row],[Status]],LstMachines[MoisLivr],AH$1)</f>
        <v>0</v>
      </c>
      <c r="AI151" s="226">
        <f>SUMIFS(LstMachines[Nbre],LstMachines[Model-Spec],PrévisionBoris[[#This Row],[Spec]],LstMachines[Status],PrévisionBoris[[#This Row],[Status]],LstMachines[MoisLivr],AI$1)</f>
        <v>0</v>
      </c>
      <c r="AJ151" s="227">
        <f>SUMIFS(LstMachines[Nbre],LstMachines[Model-Spec],PrévisionBoris[[#This Row],[Spec]],LstMachines[Status],PrévisionBoris[[#This Row],[Status]],LstMachines[MoisLivr],AJ$1)</f>
        <v>0</v>
      </c>
      <c r="AK151" s="227">
        <f>SUMIFS(LstMachines[Nbre],LstMachines[Model-Spec],PrévisionBoris[[#This Row],[Spec]],LstMachines[Status],PrévisionBoris[[#This Row],[Status]],LstMachines[MoisLivr],AK$1)</f>
        <v>0</v>
      </c>
      <c r="AL151" s="226">
        <f>SUMIFS(LstMachines[Nbre],LstMachines[Model-Spec],PrévisionBoris[[#This Row],[Spec]],LstMachines[Status],PrévisionBoris[[#This Row],[Status]],LstMachines[MoisLivr],AL$1)</f>
        <v>0</v>
      </c>
      <c r="AM151" s="227">
        <f>SUMIFS(LstMachines[Nbre],LstMachines[Model-Spec],PrévisionBoris[[#This Row],[Spec]],LstMachines[Status],PrévisionBoris[[#This Row],[Status]],LstMachines[MoisLivr],AM$1)</f>
        <v>0</v>
      </c>
      <c r="AN151" s="227">
        <f>SUMIFS(LstMachines[Nbre],LstMachines[Model-Spec],PrévisionBoris[[#This Row],[Spec]],LstMachines[Status],PrévisionBoris[[#This Row],[Status]],LstMachines[MoisLivr],AN$1)</f>
        <v>0</v>
      </c>
      <c r="AO151" s="226">
        <f>SUMIFS(LstMachines[Nbre],LstMachines[Model-Spec],PrévisionBoris[[#This Row],[Spec]],LstMachines[Status],PrévisionBoris[[#This Row],[Status]],LstMachines[MoisLivr],AO$1)</f>
        <v>0</v>
      </c>
      <c r="AP151" s="227">
        <f>SUMIFS(LstMachines[Nbre],LstMachines[Model-Spec],PrévisionBoris[[#This Row],[Spec]],LstMachines[Status],PrévisionBoris[[#This Row],[Status]],LstMachines[MoisLivr],AP$1)</f>
        <v>0</v>
      </c>
      <c r="AQ151" s="227">
        <f>SUMIFS(LstMachines[Nbre],LstMachines[Model-Spec],PrévisionBoris[[#This Row],[Spec]],LstMachines[Status],PrévisionBoris[[#This Row],[Status]],LstMachines[MoisLivr],AQ$1)</f>
        <v>0</v>
      </c>
      <c r="AR151" s="226">
        <f>SUMIFS(LstMachines[Nbre],LstMachines[Model-Spec],PrévisionBoris[[#This Row],[Spec]],LstMachines[Status],PrévisionBoris[[#This Row],[Status]],LstMachines[MoisLivr],AR$1)</f>
        <v>0</v>
      </c>
      <c r="AS151" s="227">
        <f>SUMIFS(LstMachines[Nbre],LstMachines[Model-Spec],PrévisionBoris[[#This Row],[Spec]],LstMachines[Status],PrévisionBoris[[#This Row],[Status]],LstMachines[MoisLivr],AS$1)</f>
        <v>0</v>
      </c>
      <c r="AT151" s="227">
        <f>SUMIFS(LstMachines[Nbre],LstMachines[Model-Spec],PrévisionBoris[[#This Row],[Spec]],LstMachines[Status],PrévisionBoris[[#This Row],[Status]],LstMachines[MoisLivr],AT$1)</f>
        <v>0</v>
      </c>
      <c r="AU151" s="226">
        <f>SUMIFS(LstMachines[Nbre],LstMachines[Model-Spec],PrévisionBoris[[#This Row],[Spec]],LstMachines[Status],PrévisionBoris[[#This Row],[Status]],LstMachines[MoisLivr],AU$1)</f>
        <v>0</v>
      </c>
      <c r="AV151" s="230">
        <f>SUMIFS(LstMachines[Nbre],LstMachines[Model-Spec],PrévisionBoris[[#This Row],[Spec]],LstMachines[Status],PrévisionBoris[[#This Row],[Status]],LstMachines[MoisLivr],AV$1)</f>
        <v>0</v>
      </c>
      <c r="AW151" s="231">
        <f>SUMIFS(LstMachines[Nbre],LstMachines[Model-Spec],PrévisionBoris[[#This Row],[Spec]],LstMachines[Status],PrévisionBoris[[#This Row],[Status]],LstMachines[MoisLivr],AW$1)</f>
        <v>0</v>
      </c>
      <c r="AX151" s="232"/>
      <c r="AY151" s="211">
        <f t="shared" si="35"/>
        <v>0</v>
      </c>
      <c r="AZ151" s="212">
        <f t="shared" si="36"/>
        <v>0</v>
      </c>
      <c r="BA151" s="212">
        <f t="shared" si="37"/>
        <v>0</v>
      </c>
      <c r="BB151" s="213">
        <f t="shared" si="38"/>
        <v>0</v>
      </c>
      <c r="BC151" s="225">
        <f t="shared" si="39"/>
        <v>0</v>
      </c>
      <c r="BD151" s="211">
        <f t="shared" si="40"/>
        <v>0</v>
      </c>
      <c r="BE151" s="212">
        <f t="shared" si="41"/>
        <v>0</v>
      </c>
      <c r="BF151" s="212">
        <f t="shared" si="42"/>
        <v>0</v>
      </c>
      <c r="BG151" s="213">
        <f t="shared" si="43"/>
        <v>0</v>
      </c>
      <c r="BH151" s="225">
        <f t="shared" si="44"/>
        <v>0</v>
      </c>
      <c r="BI151" s="214">
        <f t="shared" si="45"/>
        <v>0</v>
      </c>
      <c r="BJ151" s="215">
        <f t="shared" si="46"/>
        <v>0</v>
      </c>
      <c r="BK151" s="215">
        <f t="shared" si="47"/>
        <v>0</v>
      </c>
      <c r="BL151" s="216">
        <f t="shared" si="48"/>
        <v>0</v>
      </c>
      <c r="BM151" s="225">
        <f t="shared" si="49"/>
        <v>0</v>
      </c>
      <c r="BN151" s="225"/>
      <c r="BO151" s="217"/>
      <c r="BP151" s="218">
        <f t="shared" si="50"/>
        <v>0</v>
      </c>
    </row>
    <row r="152" spans="1:68">
      <c r="A152" s="172">
        <v>145</v>
      </c>
      <c r="B152" s="172" t="s">
        <v>75</v>
      </c>
      <c r="C152" s="202">
        <v>48</v>
      </c>
      <c r="D152" s="172" t="s">
        <v>82</v>
      </c>
      <c r="E152" s="172" t="s">
        <v>422</v>
      </c>
      <c r="F152" s="202">
        <f>VLOOKUP(PrévisionBoris[[#This Row],[Spec]],TabModelSpecs[[ModelSpec]:[Price]],2,FALSE)</f>
        <v>41</v>
      </c>
      <c r="G152" s="172" t="s">
        <v>461</v>
      </c>
      <c r="H152" s="206">
        <f>SUMIFS(LstMachines[Nbre],LstMachines[Model-Spec],PrévisionBoris[[#This Row],[Spec]],LstMachines[Status],PrévisionBoris[[#This Row],[Status]],LstMachines[MoisLivr],H$1)</f>
        <v>0</v>
      </c>
      <c r="I152" s="207">
        <f>SUMIFS(LstMachines[Nbre],LstMachines[Model-Spec],PrévisionBoris[[#This Row],[Spec]],LstMachines[Status],PrévisionBoris[[#This Row],[Status]],LstMachines[MoisLivr],I$1)</f>
        <v>0</v>
      </c>
      <c r="J152" s="208">
        <f>SUMIFS(LstMachines[Nbre],LstMachines[Model-Spec],PrévisionBoris[[#This Row],[Spec]],LstMachines[Status],PrévisionBoris[[#This Row],[Status]],LstMachines[MoisLivr],J$1)</f>
        <v>0</v>
      </c>
      <c r="K152" s="206">
        <f>SUMIFS(LstMachines[Nbre],LstMachines[Model-Spec],PrévisionBoris[[#This Row],[Spec]],LstMachines[Status],PrévisionBoris[[#This Row],[Status]],LstMachines[MoisLivr],K$1)</f>
        <v>0</v>
      </c>
      <c r="L152" s="207">
        <f>SUMIFS(LstMachines[Nbre],LstMachines[Model-Spec],PrévisionBoris[[#This Row],[Spec]],LstMachines[Status],PrévisionBoris[[#This Row],[Status]],LstMachines[MoisLivr],L$1)</f>
        <v>0</v>
      </c>
      <c r="M152" s="208">
        <f>SUMIFS(LstMachines[Nbre],LstMachines[Model-Spec],PrévisionBoris[[#This Row],[Spec]],LstMachines[Status],PrévisionBoris[[#This Row],[Status]],LstMachines[MoisLivr],M$1)</f>
        <v>0</v>
      </c>
      <c r="N152" s="206">
        <f>SUMIFS(LstMachines[Nbre],LstMachines[Model-Spec],PrévisionBoris[[#This Row],[Spec]],LstMachines[Status],PrévisionBoris[[#This Row],[Status]],LstMachines[MoisLivr],N$1)</f>
        <v>0</v>
      </c>
      <c r="O152" s="207">
        <f>SUMIFS(LstMachines[Nbre],LstMachines[Model-Spec],PrévisionBoris[[#This Row],[Spec]],LstMachines[Status],PrévisionBoris[[#This Row],[Status]],LstMachines[MoisLivr],O$1)</f>
        <v>0</v>
      </c>
      <c r="P152" s="208">
        <f>SUMIFS(LstMachines[Nbre],LstMachines[Model-Spec],PrévisionBoris[[#This Row],[Spec]],LstMachines[Status],PrévisionBoris[[#This Row],[Status]],LstMachines[MoisLivr],P$1)</f>
        <v>0</v>
      </c>
      <c r="Q152" s="209">
        <f>SUMIFS(LstMachines[Nbre],LstMachines[Model-Spec],PrévisionBoris[[#This Row],[Spec]],LstMachines[Status],PrévisionBoris[[#This Row],[Status]],LstMachines[MoisLivr],Q$1)</f>
        <v>0</v>
      </c>
      <c r="R152" s="207">
        <f>SUMIFS(LstMachines[Nbre],LstMachines[Model-Spec],PrévisionBoris[[#This Row],[Spec]],LstMachines[Status],PrévisionBoris[[#This Row],[Status]],LstMachines[MoisLivr],R$1)</f>
        <v>0</v>
      </c>
      <c r="S152" s="207">
        <f>SUMIFS(LstMachines[Nbre],LstMachines[Model-Spec],PrévisionBoris[[#This Row],[Spec]],LstMachines[Status],PrévisionBoris[[#This Row],[Status]],LstMachines[MoisLivr],S$1)</f>
        <v>0</v>
      </c>
      <c r="T152" s="206">
        <f>SUMIFS(LstMachines[Nbre],LstMachines[Model-Spec],PrévisionBoris[[#This Row],[Spec]],LstMachines[Status],PrévisionBoris[[#This Row],[Status]],LstMachines[MoisLivr],T$1)</f>
        <v>0</v>
      </c>
      <c r="U152" s="207">
        <f>SUMIFS(LstMachines[Nbre],LstMachines[Model-Spec],PrévisionBoris[[#This Row],[Spec]],LstMachines[Status],PrévisionBoris[[#This Row],[Status]],LstMachines[MoisLivr],U$1)</f>
        <v>0</v>
      </c>
      <c r="V152" s="207">
        <f>SUMIFS(LstMachines[Nbre],LstMachines[Model-Spec],PrévisionBoris[[#This Row],[Spec]],LstMachines[Status],PrévisionBoris[[#This Row],[Status]],LstMachines[MoisLivr],V$1)</f>
        <v>0</v>
      </c>
      <c r="W152" s="206">
        <f>SUMIFS(LstMachines[Nbre],LstMachines[Model-Spec],PrévisionBoris[[#This Row],[Spec]],LstMachines[Status],PrévisionBoris[[#This Row],[Status]],LstMachines[MoisLivr],W$1)</f>
        <v>0</v>
      </c>
      <c r="X152" s="207">
        <f>SUMIFS(LstMachines[Nbre],LstMachines[Model-Spec],PrévisionBoris[[#This Row],[Spec]],LstMachines[Status],PrévisionBoris[[#This Row],[Status]],LstMachines[MoisLivr],X$1)</f>
        <v>0</v>
      </c>
      <c r="Y152" s="207">
        <f>SUMIFS(LstMachines[Nbre],LstMachines[Model-Spec],PrévisionBoris[[#This Row],[Spec]],LstMachines[Status],PrévisionBoris[[#This Row],[Status]],LstMachines[MoisLivr],Y$1)</f>
        <v>0</v>
      </c>
      <c r="Z152" s="206">
        <f>SUMIFS(LstMachines[Nbre],LstMachines[Model-Spec],PrévisionBoris[[#This Row],[Spec]],LstMachines[Status],PrévisionBoris[[#This Row],[Status]],LstMachines[MoisLivr],Z$1)</f>
        <v>0</v>
      </c>
      <c r="AA152" s="207">
        <f>SUMIFS(LstMachines[Nbre],LstMachines[Model-Spec],PrévisionBoris[[#This Row],[Spec]],LstMachines[Status],PrévisionBoris[[#This Row],[Status]],LstMachines[MoisLivr],AA$1)</f>
        <v>0</v>
      </c>
      <c r="AB152" s="207">
        <f>SUMIFS(LstMachines[Nbre],LstMachines[Model-Spec],PrévisionBoris[[#This Row],[Spec]],LstMachines[Status],PrévisionBoris[[#This Row],[Status]],LstMachines[MoisLivr],AB$1)</f>
        <v>0</v>
      </c>
      <c r="AC152" s="206">
        <f>SUMIFS(LstMachines[Nbre],LstMachines[Model-Spec],PrévisionBoris[[#This Row],[Spec]],LstMachines[Status],PrévisionBoris[[#This Row],[Status]],LstMachines[MoisLivr],AC$1)</f>
        <v>0</v>
      </c>
      <c r="AD152" s="207">
        <f>SUMIFS(LstMachines[Nbre],LstMachines[Model-Spec],PrévisionBoris[[#This Row],[Spec]],LstMachines[Status],PrévisionBoris[[#This Row],[Status]],LstMachines[MoisLivr],AD$1)</f>
        <v>0</v>
      </c>
      <c r="AE152" s="207">
        <f>SUMIFS(LstMachines[Nbre],LstMachines[Model-Spec],PrévisionBoris[[#This Row],[Spec]],LstMachines[Status],PrévisionBoris[[#This Row],[Status]],LstMachines[MoisLivr],AE$1)</f>
        <v>0</v>
      </c>
      <c r="AF152" s="206">
        <f>SUMIFS(LstMachines[Nbre],LstMachines[Model-Spec],PrévisionBoris[[#This Row],[Spec]],LstMachines[Status],PrévisionBoris[[#This Row],[Status]],LstMachines[MoisLivr],AF$1)</f>
        <v>0</v>
      </c>
      <c r="AG152" s="207">
        <f>SUMIFS(LstMachines[Nbre],LstMachines[Model-Spec],PrévisionBoris[[#This Row],[Spec]],LstMachines[Status],PrévisionBoris[[#This Row],[Status]],LstMachines[MoisLivr],AG$1)</f>
        <v>0</v>
      </c>
      <c r="AH152" s="207">
        <f>SUMIFS(LstMachines[Nbre],LstMachines[Model-Spec],PrévisionBoris[[#This Row],[Spec]],LstMachines[Status],PrévisionBoris[[#This Row],[Status]],LstMachines[MoisLivr],AH$1)</f>
        <v>0</v>
      </c>
      <c r="AI152" s="206">
        <f>SUMIFS(LstMachines[Nbre],LstMachines[Model-Spec],PrévisionBoris[[#This Row],[Spec]],LstMachines[Status],PrévisionBoris[[#This Row],[Status]],LstMachines[MoisLivr],AI$1)</f>
        <v>0</v>
      </c>
      <c r="AJ152" s="207">
        <f>SUMIFS(LstMachines[Nbre],LstMachines[Model-Spec],PrévisionBoris[[#This Row],[Spec]],LstMachines[Status],PrévisionBoris[[#This Row],[Status]],LstMachines[MoisLivr],AJ$1)</f>
        <v>0</v>
      </c>
      <c r="AK152" s="207">
        <f>SUMIFS(LstMachines[Nbre],LstMachines[Model-Spec],PrévisionBoris[[#This Row],[Spec]],LstMachines[Status],PrévisionBoris[[#This Row],[Status]],LstMachines[MoisLivr],AK$1)</f>
        <v>0</v>
      </c>
      <c r="AL152" s="206">
        <f>SUMIFS(LstMachines[Nbre],LstMachines[Model-Spec],PrévisionBoris[[#This Row],[Spec]],LstMachines[Status],PrévisionBoris[[#This Row],[Status]],LstMachines[MoisLivr],AL$1)</f>
        <v>0</v>
      </c>
      <c r="AM152" s="207">
        <f>SUMIFS(LstMachines[Nbre],LstMachines[Model-Spec],PrévisionBoris[[#This Row],[Spec]],LstMachines[Status],PrévisionBoris[[#This Row],[Status]],LstMachines[MoisLivr],AM$1)</f>
        <v>0</v>
      </c>
      <c r="AN152" s="207">
        <f>SUMIFS(LstMachines[Nbre],LstMachines[Model-Spec],PrévisionBoris[[#This Row],[Spec]],LstMachines[Status],PrévisionBoris[[#This Row],[Status]],LstMachines[MoisLivr],AN$1)</f>
        <v>0</v>
      </c>
      <c r="AO152" s="206">
        <f>SUMIFS(LstMachines[Nbre],LstMachines[Model-Spec],PrévisionBoris[[#This Row],[Spec]],LstMachines[Status],PrévisionBoris[[#This Row],[Status]],LstMachines[MoisLivr],AO$1)</f>
        <v>0</v>
      </c>
      <c r="AP152" s="207">
        <f>SUMIFS(LstMachines[Nbre],LstMachines[Model-Spec],PrévisionBoris[[#This Row],[Spec]],LstMachines[Status],PrévisionBoris[[#This Row],[Status]],LstMachines[MoisLivr],AP$1)</f>
        <v>0</v>
      </c>
      <c r="AQ152" s="207">
        <f>SUMIFS(LstMachines[Nbre],LstMachines[Model-Spec],PrévisionBoris[[#This Row],[Spec]],LstMachines[Status],PrévisionBoris[[#This Row],[Status]],LstMachines[MoisLivr],AQ$1)</f>
        <v>0</v>
      </c>
      <c r="AR152" s="206">
        <f>SUMIFS(LstMachines[Nbre],LstMachines[Model-Spec],PrévisionBoris[[#This Row],[Spec]],LstMachines[Status],PrévisionBoris[[#This Row],[Status]],LstMachines[MoisLivr],AR$1)</f>
        <v>0</v>
      </c>
      <c r="AS152" s="207">
        <f>SUMIFS(LstMachines[Nbre],LstMachines[Model-Spec],PrévisionBoris[[#This Row],[Spec]],LstMachines[Status],PrévisionBoris[[#This Row],[Status]],LstMachines[MoisLivr],AS$1)</f>
        <v>0</v>
      </c>
      <c r="AT152" s="207">
        <f>SUMIFS(LstMachines[Nbre],LstMachines[Model-Spec],PrévisionBoris[[#This Row],[Spec]],LstMachines[Status],PrévisionBoris[[#This Row],[Status]],LstMachines[MoisLivr],AT$1)</f>
        <v>0</v>
      </c>
      <c r="AU152" s="206">
        <f>SUMIFS(LstMachines[Nbre],LstMachines[Model-Spec],PrévisionBoris[[#This Row],[Spec]],LstMachines[Status],PrévisionBoris[[#This Row],[Status]],LstMachines[MoisLivr],AU$1)</f>
        <v>0</v>
      </c>
      <c r="AV152" s="233">
        <f>SUMIFS(LstMachines[Nbre],LstMachines[Model-Spec],PrévisionBoris[[#This Row],[Spec]],LstMachines[Status],PrévisionBoris[[#This Row],[Status]],LstMachines[MoisLivr],AV$1)</f>
        <v>0</v>
      </c>
      <c r="AW152" s="208">
        <f>SUMIFS(LstMachines[Nbre],LstMachines[Model-Spec],PrévisionBoris[[#This Row],[Spec]],LstMachines[Status],PrévisionBoris[[#This Row],[Status]],LstMachines[MoisLivr],AW$1)</f>
        <v>0</v>
      </c>
      <c r="AX152" s="225"/>
      <c r="AY152" s="211">
        <f t="shared" si="35"/>
        <v>0</v>
      </c>
      <c r="AZ152" s="212">
        <f t="shared" si="36"/>
        <v>0</v>
      </c>
      <c r="BA152" s="212">
        <f t="shared" si="37"/>
        <v>0</v>
      </c>
      <c r="BB152" s="213">
        <f t="shared" si="38"/>
        <v>0</v>
      </c>
      <c r="BC152" s="225">
        <f t="shared" si="39"/>
        <v>0</v>
      </c>
      <c r="BD152" s="211">
        <f t="shared" si="40"/>
        <v>0</v>
      </c>
      <c r="BE152" s="212">
        <f t="shared" si="41"/>
        <v>0</v>
      </c>
      <c r="BF152" s="212">
        <f t="shared" si="42"/>
        <v>0</v>
      </c>
      <c r="BG152" s="213">
        <f t="shared" si="43"/>
        <v>0</v>
      </c>
      <c r="BH152" s="225">
        <f t="shared" si="44"/>
        <v>0</v>
      </c>
      <c r="BI152" s="214">
        <f t="shared" si="45"/>
        <v>0</v>
      </c>
      <c r="BJ152" s="215">
        <f t="shared" si="46"/>
        <v>0</v>
      </c>
      <c r="BK152" s="215">
        <f t="shared" si="47"/>
        <v>0</v>
      </c>
      <c r="BL152" s="216">
        <f t="shared" si="48"/>
        <v>0</v>
      </c>
      <c r="BM152" s="225">
        <f t="shared" si="49"/>
        <v>0</v>
      </c>
      <c r="BN152" s="225"/>
      <c r="BO152" s="234"/>
      <c r="BP152" s="218">
        <f t="shared" si="50"/>
        <v>0</v>
      </c>
    </row>
    <row r="153" spans="1:68">
      <c r="A153" s="170">
        <v>146</v>
      </c>
      <c r="B153" s="170" t="s">
        <v>75</v>
      </c>
      <c r="C153" s="200">
        <v>48</v>
      </c>
      <c r="D153" s="170" t="s">
        <v>82</v>
      </c>
      <c r="E153" s="170" t="s">
        <v>422</v>
      </c>
      <c r="F153" s="200">
        <f>VLOOKUP(PrévisionBoris[[#This Row],[Spec]],TabModelSpecs[[ModelSpec]:[Price]],2,FALSE)</f>
        <v>41</v>
      </c>
      <c r="G153" s="170" t="s">
        <v>462</v>
      </c>
      <c r="H153" s="219">
        <f>SUMIFS(LstMachines[Nbre],LstMachines[Model-Spec],PrévisionBoris[[#This Row],[Spec]],LstMachines[Status],PrévisionBoris[[#This Row],[Status]],LstMachines[MoisLivr],H$1)</f>
        <v>0</v>
      </c>
      <c r="I153" s="220">
        <f>SUMIFS(LstMachines[Nbre],LstMachines[Model-Spec],PrévisionBoris[[#This Row],[Spec]],LstMachines[Status],PrévisionBoris[[#This Row],[Status]],LstMachines[MoisLivr],I$1)</f>
        <v>0</v>
      </c>
      <c r="J153" s="221">
        <f>SUMIFS(LstMachines[Nbre],LstMachines[Model-Spec],PrévisionBoris[[#This Row],[Spec]],LstMachines[Status],PrévisionBoris[[#This Row],[Status]],LstMachines[MoisLivr],J$1)</f>
        <v>0</v>
      </c>
      <c r="K153" s="219">
        <f>SUMIFS(LstMachines[Nbre],LstMachines[Model-Spec],PrévisionBoris[[#This Row],[Spec]],LstMachines[Status],PrévisionBoris[[#This Row],[Status]],LstMachines[MoisLivr],K$1)</f>
        <v>0</v>
      </c>
      <c r="L153" s="220">
        <f>SUMIFS(LstMachines[Nbre],LstMachines[Model-Spec],PrévisionBoris[[#This Row],[Spec]],LstMachines[Status],PrévisionBoris[[#This Row],[Status]],LstMachines[MoisLivr],L$1)</f>
        <v>0</v>
      </c>
      <c r="M153" s="221">
        <f>SUMIFS(LstMachines[Nbre],LstMachines[Model-Spec],PrévisionBoris[[#This Row],[Spec]],LstMachines[Status],PrévisionBoris[[#This Row],[Status]],LstMachines[MoisLivr],M$1)</f>
        <v>0</v>
      </c>
      <c r="N153" s="219">
        <f>SUMIFS(LstMachines[Nbre],LstMachines[Model-Spec],PrévisionBoris[[#This Row],[Spec]],LstMachines[Status],PrévisionBoris[[#This Row],[Status]],LstMachines[MoisLivr],N$1)</f>
        <v>0</v>
      </c>
      <c r="O153" s="220">
        <f>SUMIFS(LstMachines[Nbre],LstMachines[Model-Spec],PrévisionBoris[[#This Row],[Spec]],LstMachines[Status],PrévisionBoris[[#This Row],[Status]],LstMachines[MoisLivr],O$1)</f>
        <v>0</v>
      </c>
      <c r="P153" s="221">
        <f>SUMIFS(LstMachines[Nbre],LstMachines[Model-Spec],PrévisionBoris[[#This Row],[Spec]],LstMachines[Status],PrévisionBoris[[#This Row],[Status]],LstMachines[MoisLivr],P$1)</f>
        <v>0</v>
      </c>
      <c r="Q153" s="222">
        <f>SUMIFS(LstMachines[Nbre],LstMachines[Model-Spec],PrévisionBoris[[#This Row],[Spec]],LstMachines[Status],PrévisionBoris[[#This Row],[Status]],LstMachines[MoisLivr],Q$1)</f>
        <v>0</v>
      </c>
      <c r="R153" s="220">
        <f>SUMIFS(LstMachines[Nbre],LstMachines[Model-Spec],PrévisionBoris[[#This Row],[Spec]],LstMachines[Status],PrévisionBoris[[#This Row],[Status]],LstMachines[MoisLivr],R$1)</f>
        <v>0</v>
      </c>
      <c r="S153" s="220">
        <f>SUMIFS(LstMachines[Nbre],LstMachines[Model-Spec],PrévisionBoris[[#This Row],[Spec]],LstMachines[Status],PrévisionBoris[[#This Row],[Status]],LstMachines[MoisLivr],S$1)</f>
        <v>0</v>
      </c>
      <c r="T153" s="219">
        <f>SUMIFS(LstMachines[Nbre],LstMachines[Model-Spec],PrévisionBoris[[#This Row],[Spec]],LstMachines[Status],PrévisionBoris[[#This Row],[Status]],LstMachines[MoisLivr],T$1)</f>
        <v>0</v>
      </c>
      <c r="U153" s="220">
        <f>SUMIFS(LstMachines[Nbre],LstMachines[Model-Spec],PrévisionBoris[[#This Row],[Spec]],LstMachines[Status],PrévisionBoris[[#This Row],[Status]],LstMachines[MoisLivr],U$1)</f>
        <v>0</v>
      </c>
      <c r="V153" s="220">
        <f>SUMIFS(LstMachines[Nbre],LstMachines[Model-Spec],PrévisionBoris[[#This Row],[Spec]],LstMachines[Status],PrévisionBoris[[#This Row],[Status]],LstMachines[MoisLivr],V$1)</f>
        <v>0</v>
      </c>
      <c r="W153" s="219">
        <f>SUMIFS(LstMachines[Nbre],LstMachines[Model-Spec],PrévisionBoris[[#This Row],[Spec]],LstMachines[Status],PrévisionBoris[[#This Row],[Status]],LstMachines[MoisLivr],W$1)</f>
        <v>0</v>
      </c>
      <c r="X153" s="220">
        <f>SUMIFS(LstMachines[Nbre],LstMachines[Model-Spec],PrévisionBoris[[#This Row],[Spec]],LstMachines[Status],PrévisionBoris[[#This Row],[Status]],LstMachines[MoisLivr],X$1)</f>
        <v>0</v>
      </c>
      <c r="Y153" s="220">
        <f>SUMIFS(LstMachines[Nbre],LstMachines[Model-Spec],PrévisionBoris[[#This Row],[Spec]],LstMachines[Status],PrévisionBoris[[#This Row],[Status]],LstMachines[MoisLivr],Y$1)</f>
        <v>0</v>
      </c>
      <c r="Z153" s="219">
        <f>SUMIFS(LstMachines[Nbre],LstMachines[Model-Spec],PrévisionBoris[[#This Row],[Spec]],LstMachines[Status],PrévisionBoris[[#This Row],[Status]],LstMachines[MoisLivr],Z$1)</f>
        <v>0</v>
      </c>
      <c r="AA153" s="220">
        <f>SUMIFS(LstMachines[Nbre],LstMachines[Model-Spec],PrévisionBoris[[#This Row],[Spec]],LstMachines[Status],PrévisionBoris[[#This Row],[Status]],LstMachines[MoisLivr],AA$1)</f>
        <v>0</v>
      </c>
      <c r="AB153" s="220">
        <f>SUMIFS(LstMachines[Nbre],LstMachines[Model-Spec],PrévisionBoris[[#This Row],[Spec]],LstMachines[Status],PrévisionBoris[[#This Row],[Status]],LstMachines[MoisLivr],AB$1)</f>
        <v>0</v>
      </c>
      <c r="AC153" s="219">
        <f>SUMIFS(LstMachines[Nbre],LstMachines[Model-Spec],PrévisionBoris[[#This Row],[Spec]],LstMachines[Status],PrévisionBoris[[#This Row],[Status]],LstMachines[MoisLivr],AC$1)</f>
        <v>0</v>
      </c>
      <c r="AD153" s="220">
        <f>SUMIFS(LstMachines[Nbre],LstMachines[Model-Spec],PrévisionBoris[[#This Row],[Spec]],LstMachines[Status],PrévisionBoris[[#This Row],[Status]],LstMachines[MoisLivr],AD$1)</f>
        <v>0</v>
      </c>
      <c r="AE153" s="220">
        <f>SUMIFS(LstMachines[Nbre],LstMachines[Model-Spec],PrévisionBoris[[#This Row],[Spec]],LstMachines[Status],PrévisionBoris[[#This Row],[Status]],LstMachines[MoisLivr],AE$1)</f>
        <v>0</v>
      </c>
      <c r="AF153" s="219">
        <f>SUMIFS(LstMachines[Nbre],LstMachines[Model-Spec],PrévisionBoris[[#This Row],[Spec]],LstMachines[Status],PrévisionBoris[[#This Row],[Status]],LstMachines[MoisLivr],AF$1)</f>
        <v>0</v>
      </c>
      <c r="AG153" s="220">
        <f>SUMIFS(LstMachines[Nbre],LstMachines[Model-Spec],PrévisionBoris[[#This Row],[Spec]],LstMachines[Status],PrévisionBoris[[#This Row],[Status]],LstMachines[MoisLivr],AG$1)</f>
        <v>0</v>
      </c>
      <c r="AH153" s="220">
        <f>SUMIFS(LstMachines[Nbre],LstMachines[Model-Spec],PrévisionBoris[[#This Row],[Spec]],LstMachines[Status],PrévisionBoris[[#This Row],[Status]],LstMachines[MoisLivr],AH$1)</f>
        <v>0</v>
      </c>
      <c r="AI153" s="219">
        <f>SUMIFS(LstMachines[Nbre],LstMachines[Model-Spec],PrévisionBoris[[#This Row],[Spec]],LstMachines[Status],PrévisionBoris[[#This Row],[Status]],LstMachines[MoisLivr],AI$1)</f>
        <v>0</v>
      </c>
      <c r="AJ153" s="220">
        <f>SUMIFS(LstMachines[Nbre],LstMachines[Model-Spec],PrévisionBoris[[#This Row],[Spec]],LstMachines[Status],PrévisionBoris[[#This Row],[Status]],LstMachines[MoisLivr],AJ$1)</f>
        <v>0</v>
      </c>
      <c r="AK153" s="220">
        <f>SUMIFS(LstMachines[Nbre],LstMachines[Model-Spec],PrévisionBoris[[#This Row],[Spec]],LstMachines[Status],PrévisionBoris[[#This Row],[Status]],LstMachines[MoisLivr],AK$1)</f>
        <v>0</v>
      </c>
      <c r="AL153" s="219">
        <f>SUMIFS(LstMachines[Nbre],LstMachines[Model-Spec],PrévisionBoris[[#This Row],[Spec]],LstMachines[Status],PrévisionBoris[[#This Row],[Status]],LstMachines[MoisLivr],AL$1)</f>
        <v>0</v>
      </c>
      <c r="AM153" s="220">
        <f>SUMIFS(LstMachines[Nbre],LstMachines[Model-Spec],PrévisionBoris[[#This Row],[Spec]],LstMachines[Status],PrévisionBoris[[#This Row],[Status]],LstMachines[MoisLivr],AM$1)</f>
        <v>0</v>
      </c>
      <c r="AN153" s="220">
        <f>SUMIFS(LstMachines[Nbre],LstMachines[Model-Spec],PrévisionBoris[[#This Row],[Spec]],LstMachines[Status],PrévisionBoris[[#This Row],[Status]],LstMachines[MoisLivr],AN$1)</f>
        <v>0</v>
      </c>
      <c r="AO153" s="219">
        <f>SUMIFS(LstMachines[Nbre],LstMachines[Model-Spec],PrévisionBoris[[#This Row],[Spec]],LstMachines[Status],PrévisionBoris[[#This Row],[Status]],LstMachines[MoisLivr],AO$1)</f>
        <v>0</v>
      </c>
      <c r="AP153" s="220">
        <f>SUMIFS(LstMachines[Nbre],LstMachines[Model-Spec],PrévisionBoris[[#This Row],[Spec]],LstMachines[Status],PrévisionBoris[[#This Row],[Status]],LstMachines[MoisLivr],AP$1)</f>
        <v>0</v>
      </c>
      <c r="AQ153" s="220">
        <f>SUMIFS(LstMachines[Nbre],LstMachines[Model-Spec],PrévisionBoris[[#This Row],[Spec]],LstMachines[Status],PrévisionBoris[[#This Row],[Status]],LstMachines[MoisLivr],AQ$1)</f>
        <v>0</v>
      </c>
      <c r="AR153" s="219">
        <f>SUMIFS(LstMachines[Nbre],LstMachines[Model-Spec],PrévisionBoris[[#This Row],[Spec]],LstMachines[Status],PrévisionBoris[[#This Row],[Status]],LstMachines[MoisLivr],AR$1)</f>
        <v>0</v>
      </c>
      <c r="AS153" s="220">
        <f>SUMIFS(LstMachines[Nbre],LstMachines[Model-Spec],PrévisionBoris[[#This Row],[Spec]],LstMachines[Status],PrévisionBoris[[#This Row],[Status]],LstMachines[MoisLivr],AS$1)</f>
        <v>0</v>
      </c>
      <c r="AT153" s="220">
        <f>SUMIFS(LstMachines[Nbre],LstMachines[Model-Spec],PrévisionBoris[[#This Row],[Spec]],LstMachines[Status],PrévisionBoris[[#This Row],[Status]],LstMachines[MoisLivr],AT$1)</f>
        <v>0</v>
      </c>
      <c r="AU153" s="219">
        <f>SUMIFS(LstMachines[Nbre],LstMachines[Model-Spec],PrévisionBoris[[#This Row],[Spec]],LstMachines[Status],PrévisionBoris[[#This Row],[Status]],LstMachines[MoisLivr],AU$1)</f>
        <v>0</v>
      </c>
      <c r="AV153" s="223">
        <f>SUMIFS(LstMachines[Nbre],LstMachines[Model-Spec],PrévisionBoris[[#This Row],[Spec]],LstMachines[Status],PrévisionBoris[[#This Row],[Status]],LstMachines[MoisLivr],AV$1)</f>
        <v>0</v>
      </c>
      <c r="AW153" s="224">
        <f>SUMIFS(LstMachines[Nbre],LstMachines[Model-Spec],PrévisionBoris[[#This Row],[Spec]],LstMachines[Status],PrévisionBoris[[#This Row],[Status]],LstMachines[MoisLivr],AW$1)</f>
        <v>0</v>
      </c>
      <c r="AX153" s="210"/>
      <c r="AY153" s="211">
        <f t="shared" si="35"/>
        <v>0</v>
      </c>
      <c r="AZ153" s="212">
        <f t="shared" si="36"/>
        <v>0</v>
      </c>
      <c r="BA153" s="212">
        <f t="shared" si="37"/>
        <v>0</v>
      </c>
      <c r="BB153" s="213">
        <f t="shared" si="38"/>
        <v>0</v>
      </c>
      <c r="BC153" s="225">
        <f t="shared" si="39"/>
        <v>0</v>
      </c>
      <c r="BD153" s="211">
        <f t="shared" si="40"/>
        <v>0</v>
      </c>
      <c r="BE153" s="212">
        <f t="shared" si="41"/>
        <v>0</v>
      </c>
      <c r="BF153" s="212">
        <f t="shared" si="42"/>
        <v>0</v>
      </c>
      <c r="BG153" s="213">
        <f t="shared" si="43"/>
        <v>0</v>
      </c>
      <c r="BH153" s="225">
        <f t="shared" si="44"/>
        <v>0</v>
      </c>
      <c r="BI153" s="214">
        <f t="shared" si="45"/>
        <v>0</v>
      </c>
      <c r="BJ153" s="215">
        <f t="shared" si="46"/>
        <v>0</v>
      </c>
      <c r="BK153" s="215">
        <f t="shared" si="47"/>
        <v>0</v>
      </c>
      <c r="BL153" s="216">
        <f t="shared" si="48"/>
        <v>0</v>
      </c>
      <c r="BM153" s="225">
        <f t="shared" si="49"/>
        <v>0</v>
      </c>
      <c r="BN153" s="225"/>
      <c r="BO153" s="217"/>
      <c r="BP153" s="218">
        <f t="shared" si="50"/>
        <v>0</v>
      </c>
    </row>
    <row r="154" spans="1:68">
      <c r="A154" s="171">
        <v>147</v>
      </c>
      <c r="B154" s="171" t="s">
        <v>75</v>
      </c>
      <c r="C154" s="201">
        <v>48</v>
      </c>
      <c r="D154" s="171" t="s">
        <v>82</v>
      </c>
      <c r="E154" s="171" t="s">
        <v>422</v>
      </c>
      <c r="F154" s="201">
        <f>VLOOKUP(PrévisionBoris[[#This Row],[Spec]],TabModelSpecs[[ModelSpec]:[Price]],2,FALSE)</f>
        <v>41</v>
      </c>
      <c r="G154" s="171" t="s">
        <v>463</v>
      </c>
      <c r="H154" s="226">
        <f>SUMIFS(LstMachines[Nbre],LstMachines[Model-Spec],PrévisionBoris[[#This Row],[Spec]],LstMachines[Status],PrévisionBoris[[#This Row],[Status]],LstMachines[MoisLivr],H$1)</f>
        <v>0</v>
      </c>
      <c r="I154" s="227">
        <f>SUMIFS(LstMachines[Nbre],LstMachines[Model-Spec],PrévisionBoris[[#This Row],[Spec]],LstMachines[Status],PrévisionBoris[[#This Row],[Status]],LstMachines[MoisLivr],I$1)</f>
        <v>0</v>
      </c>
      <c r="J154" s="228">
        <f>SUMIFS(LstMachines[Nbre],LstMachines[Model-Spec],PrévisionBoris[[#This Row],[Spec]],LstMachines[Status],PrévisionBoris[[#This Row],[Status]],LstMachines[MoisLivr],J$1)</f>
        <v>0</v>
      </c>
      <c r="K154" s="226">
        <f>SUMIFS(LstMachines[Nbre],LstMachines[Model-Spec],PrévisionBoris[[#This Row],[Spec]],LstMachines[Status],PrévisionBoris[[#This Row],[Status]],LstMachines[MoisLivr],K$1)</f>
        <v>0</v>
      </c>
      <c r="L154" s="227">
        <f>SUMIFS(LstMachines[Nbre],LstMachines[Model-Spec],PrévisionBoris[[#This Row],[Spec]],LstMachines[Status],PrévisionBoris[[#This Row],[Status]],LstMachines[MoisLivr],L$1)</f>
        <v>0</v>
      </c>
      <c r="M154" s="228">
        <f>SUMIFS(LstMachines[Nbre],LstMachines[Model-Spec],PrévisionBoris[[#This Row],[Spec]],LstMachines[Status],PrévisionBoris[[#This Row],[Status]],LstMachines[MoisLivr],M$1)</f>
        <v>0</v>
      </c>
      <c r="N154" s="226">
        <f>SUMIFS(LstMachines[Nbre],LstMachines[Model-Spec],PrévisionBoris[[#This Row],[Spec]],LstMachines[Status],PrévisionBoris[[#This Row],[Status]],LstMachines[MoisLivr],N$1)</f>
        <v>0</v>
      </c>
      <c r="O154" s="227">
        <f>SUMIFS(LstMachines[Nbre],LstMachines[Model-Spec],PrévisionBoris[[#This Row],[Spec]],LstMachines[Status],PrévisionBoris[[#This Row],[Status]],LstMachines[MoisLivr],O$1)</f>
        <v>0</v>
      </c>
      <c r="P154" s="228">
        <f>SUMIFS(LstMachines[Nbre],LstMachines[Model-Spec],PrévisionBoris[[#This Row],[Spec]],LstMachines[Status],PrévisionBoris[[#This Row],[Status]],LstMachines[MoisLivr],P$1)</f>
        <v>0</v>
      </c>
      <c r="Q154" s="229">
        <f>SUMIFS(LstMachines[Nbre],LstMachines[Model-Spec],PrévisionBoris[[#This Row],[Spec]],LstMachines[Status],PrévisionBoris[[#This Row],[Status]],LstMachines[MoisLivr],Q$1)</f>
        <v>0</v>
      </c>
      <c r="R154" s="227">
        <f>SUMIFS(LstMachines[Nbre],LstMachines[Model-Spec],PrévisionBoris[[#This Row],[Spec]],LstMachines[Status],PrévisionBoris[[#This Row],[Status]],LstMachines[MoisLivr],R$1)</f>
        <v>0</v>
      </c>
      <c r="S154" s="227">
        <f>SUMIFS(LstMachines[Nbre],LstMachines[Model-Spec],PrévisionBoris[[#This Row],[Spec]],LstMachines[Status],PrévisionBoris[[#This Row],[Status]],LstMachines[MoisLivr],S$1)</f>
        <v>0</v>
      </c>
      <c r="T154" s="226">
        <f>SUMIFS(LstMachines[Nbre],LstMachines[Model-Spec],PrévisionBoris[[#This Row],[Spec]],LstMachines[Status],PrévisionBoris[[#This Row],[Status]],LstMachines[MoisLivr],T$1)</f>
        <v>0</v>
      </c>
      <c r="U154" s="227">
        <f>SUMIFS(LstMachines[Nbre],LstMachines[Model-Spec],PrévisionBoris[[#This Row],[Spec]],LstMachines[Status],PrévisionBoris[[#This Row],[Status]],LstMachines[MoisLivr],U$1)</f>
        <v>0</v>
      </c>
      <c r="V154" s="227">
        <f>SUMIFS(LstMachines[Nbre],LstMachines[Model-Spec],PrévisionBoris[[#This Row],[Spec]],LstMachines[Status],PrévisionBoris[[#This Row],[Status]],LstMachines[MoisLivr],V$1)</f>
        <v>0</v>
      </c>
      <c r="W154" s="226">
        <f>SUMIFS(LstMachines[Nbre],LstMachines[Model-Spec],PrévisionBoris[[#This Row],[Spec]],LstMachines[Status],PrévisionBoris[[#This Row],[Status]],LstMachines[MoisLivr],W$1)</f>
        <v>0</v>
      </c>
      <c r="X154" s="227">
        <f>SUMIFS(LstMachines[Nbre],LstMachines[Model-Spec],PrévisionBoris[[#This Row],[Spec]],LstMachines[Status],PrévisionBoris[[#This Row],[Status]],LstMachines[MoisLivr],X$1)</f>
        <v>0</v>
      </c>
      <c r="Y154" s="227">
        <f>SUMIFS(LstMachines[Nbre],LstMachines[Model-Spec],PrévisionBoris[[#This Row],[Spec]],LstMachines[Status],PrévisionBoris[[#This Row],[Status]],LstMachines[MoisLivr],Y$1)</f>
        <v>0</v>
      </c>
      <c r="Z154" s="226">
        <f>SUMIFS(LstMachines[Nbre],LstMachines[Model-Spec],PrévisionBoris[[#This Row],[Spec]],LstMachines[Status],PrévisionBoris[[#This Row],[Status]],LstMachines[MoisLivr],Z$1)</f>
        <v>0</v>
      </c>
      <c r="AA154" s="227">
        <f>SUMIFS(LstMachines[Nbre],LstMachines[Model-Spec],PrévisionBoris[[#This Row],[Spec]],LstMachines[Status],PrévisionBoris[[#This Row],[Status]],LstMachines[MoisLivr],AA$1)</f>
        <v>0</v>
      </c>
      <c r="AB154" s="227">
        <f>SUMIFS(LstMachines[Nbre],LstMachines[Model-Spec],PrévisionBoris[[#This Row],[Spec]],LstMachines[Status],PrévisionBoris[[#This Row],[Status]],LstMachines[MoisLivr],AB$1)</f>
        <v>0</v>
      </c>
      <c r="AC154" s="226">
        <f>SUMIFS(LstMachines[Nbre],LstMachines[Model-Spec],PrévisionBoris[[#This Row],[Spec]],LstMachines[Status],PrévisionBoris[[#This Row],[Status]],LstMachines[MoisLivr],AC$1)</f>
        <v>0</v>
      </c>
      <c r="AD154" s="227">
        <f>SUMIFS(LstMachines[Nbre],LstMachines[Model-Spec],PrévisionBoris[[#This Row],[Spec]],LstMachines[Status],PrévisionBoris[[#This Row],[Status]],LstMachines[MoisLivr],AD$1)</f>
        <v>0</v>
      </c>
      <c r="AE154" s="227">
        <f>SUMIFS(LstMachines[Nbre],LstMachines[Model-Spec],PrévisionBoris[[#This Row],[Spec]],LstMachines[Status],PrévisionBoris[[#This Row],[Status]],LstMachines[MoisLivr],AE$1)</f>
        <v>0</v>
      </c>
      <c r="AF154" s="226">
        <f>SUMIFS(LstMachines[Nbre],LstMachines[Model-Spec],PrévisionBoris[[#This Row],[Spec]],LstMachines[Status],PrévisionBoris[[#This Row],[Status]],LstMachines[MoisLivr],AF$1)</f>
        <v>0</v>
      </c>
      <c r="AG154" s="227">
        <f>SUMIFS(LstMachines[Nbre],LstMachines[Model-Spec],PrévisionBoris[[#This Row],[Spec]],LstMachines[Status],PrévisionBoris[[#This Row],[Status]],LstMachines[MoisLivr],AG$1)</f>
        <v>0</v>
      </c>
      <c r="AH154" s="227">
        <f>SUMIFS(LstMachines[Nbre],LstMachines[Model-Spec],PrévisionBoris[[#This Row],[Spec]],LstMachines[Status],PrévisionBoris[[#This Row],[Status]],LstMachines[MoisLivr],AH$1)</f>
        <v>0</v>
      </c>
      <c r="AI154" s="226">
        <f>SUMIFS(LstMachines[Nbre],LstMachines[Model-Spec],PrévisionBoris[[#This Row],[Spec]],LstMachines[Status],PrévisionBoris[[#This Row],[Status]],LstMachines[MoisLivr],AI$1)</f>
        <v>0</v>
      </c>
      <c r="AJ154" s="227">
        <f>SUMIFS(LstMachines[Nbre],LstMachines[Model-Spec],PrévisionBoris[[#This Row],[Spec]],LstMachines[Status],PrévisionBoris[[#This Row],[Status]],LstMachines[MoisLivr],AJ$1)</f>
        <v>0</v>
      </c>
      <c r="AK154" s="227">
        <f>SUMIFS(LstMachines[Nbre],LstMachines[Model-Spec],PrévisionBoris[[#This Row],[Spec]],LstMachines[Status],PrévisionBoris[[#This Row],[Status]],LstMachines[MoisLivr],AK$1)</f>
        <v>0</v>
      </c>
      <c r="AL154" s="226">
        <f>SUMIFS(LstMachines[Nbre],LstMachines[Model-Spec],PrévisionBoris[[#This Row],[Spec]],LstMachines[Status],PrévisionBoris[[#This Row],[Status]],LstMachines[MoisLivr],AL$1)</f>
        <v>0</v>
      </c>
      <c r="AM154" s="227">
        <f>SUMIFS(LstMachines[Nbre],LstMachines[Model-Spec],PrévisionBoris[[#This Row],[Spec]],LstMachines[Status],PrévisionBoris[[#This Row],[Status]],LstMachines[MoisLivr],AM$1)</f>
        <v>0</v>
      </c>
      <c r="AN154" s="227">
        <f>SUMIFS(LstMachines[Nbre],LstMachines[Model-Spec],PrévisionBoris[[#This Row],[Spec]],LstMachines[Status],PrévisionBoris[[#This Row],[Status]],LstMachines[MoisLivr],AN$1)</f>
        <v>0</v>
      </c>
      <c r="AO154" s="226">
        <f>SUMIFS(LstMachines[Nbre],LstMachines[Model-Spec],PrévisionBoris[[#This Row],[Spec]],LstMachines[Status],PrévisionBoris[[#This Row],[Status]],LstMachines[MoisLivr],AO$1)</f>
        <v>0</v>
      </c>
      <c r="AP154" s="227">
        <f>SUMIFS(LstMachines[Nbre],LstMachines[Model-Spec],PrévisionBoris[[#This Row],[Spec]],LstMachines[Status],PrévisionBoris[[#This Row],[Status]],LstMachines[MoisLivr],AP$1)</f>
        <v>0</v>
      </c>
      <c r="AQ154" s="227">
        <f>SUMIFS(LstMachines[Nbre],LstMachines[Model-Spec],PrévisionBoris[[#This Row],[Spec]],LstMachines[Status],PrévisionBoris[[#This Row],[Status]],LstMachines[MoisLivr],AQ$1)</f>
        <v>0</v>
      </c>
      <c r="AR154" s="226">
        <f>SUMIFS(LstMachines[Nbre],LstMachines[Model-Spec],PrévisionBoris[[#This Row],[Spec]],LstMachines[Status],PrévisionBoris[[#This Row],[Status]],LstMachines[MoisLivr],AR$1)</f>
        <v>0</v>
      </c>
      <c r="AS154" s="227">
        <f>SUMIFS(LstMachines[Nbre],LstMachines[Model-Spec],PrévisionBoris[[#This Row],[Spec]],LstMachines[Status],PrévisionBoris[[#This Row],[Status]],LstMachines[MoisLivr],AS$1)</f>
        <v>0</v>
      </c>
      <c r="AT154" s="227">
        <f>SUMIFS(LstMachines[Nbre],LstMachines[Model-Spec],PrévisionBoris[[#This Row],[Spec]],LstMachines[Status],PrévisionBoris[[#This Row],[Status]],LstMachines[MoisLivr],AT$1)</f>
        <v>0</v>
      </c>
      <c r="AU154" s="226">
        <f>SUMIFS(LstMachines[Nbre],LstMachines[Model-Spec],PrévisionBoris[[#This Row],[Spec]],LstMachines[Status],PrévisionBoris[[#This Row],[Status]],LstMachines[MoisLivr],AU$1)</f>
        <v>0</v>
      </c>
      <c r="AV154" s="230">
        <f>SUMIFS(LstMachines[Nbre],LstMachines[Model-Spec],PrévisionBoris[[#This Row],[Spec]],LstMachines[Status],PrévisionBoris[[#This Row],[Status]],LstMachines[MoisLivr],AV$1)</f>
        <v>0</v>
      </c>
      <c r="AW154" s="231">
        <f>SUMIFS(LstMachines[Nbre],LstMachines[Model-Spec],PrévisionBoris[[#This Row],[Spec]],LstMachines[Status],PrévisionBoris[[#This Row],[Status]],LstMachines[MoisLivr],AW$1)</f>
        <v>0</v>
      </c>
      <c r="AX154" s="232"/>
      <c r="AY154" s="211">
        <f t="shared" si="35"/>
        <v>0</v>
      </c>
      <c r="AZ154" s="212">
        <f t="shared" si="36"/>
        <v>0</v>
      </c>
      <c r="BA154" s="212">
        <f t="shared" si="37"/>
        <v>0</v>
      </c>
      <c r="BB154" s="213">
        <f t="shared" si="38"/>
        <v>0</v>
      </c>
      <c r="BC154" s="225">
        <f t="shared" si="39"/>
        <v>0</v>
      </c>
      <c r="BD154" s="211">
        <f t="shared" si="40"/>
        <v>0</v>
      </c>
      <c r="BE154" s="212">
        <f t="shared" si="41"/>
        <v>0</v>
      </c>
      <c r="BF154" s="212">
        <f t="shared" si="42"/>
        <v>0</v>
      </c>
      <c r="BG154" s="213">
        <f t="shared" si="43"/>
        <v>0</v>
      </c>
      <c r="BH154" s="225">
        <f t="shared" si="44"/>
        <v>0</v>
      </c>
      <c r="BI154" s="214">
        <f t="shared" si="45"/>
        <v>0</v>
      </c>
      <c r="BJ154" s="215">
        <f t="shared" si="46"/>
        <v>0</v>
      </c>
      <c r="BK154" s="215">
        <f t="shared" si="47"/>
        <v>0</v>
      </c>
      <c r="BL154" s="216">
        <f t="shared" si="48"/>
        <v>0</v>
      </c>
      <c r="BM154" s="225">
        <f t="shared" si="49"/>
        <v>0</v>
      </c>
      <c r="BN154" s="225"/>
      <c r="BO154" s="217"/>
      <c r="BP154" s="218">
        <f t="shared" si="50"/>
        <v>0</v>
      </c>
    </row>
    <row r="155" spans="1:68">
      <c r="A155" s="172">
        <v>148</v>
      </c>
      <c r="B155" s="172" t="s">
        <v>75</v>
      </c>
      <c r="C155" s="202">
        <v>48</v>
      </c>
      <c r="D155" s="172" t="s">
        <v>82</v>
      </c>
      <c r="E155" s="172" t="s">
        <v>423</v>
      </c>
      <c r="F155" s="202">
        <f>VLOOKUP(PrévisionBoris[[#This Row],[Spec]],TabModelSpecs[[ModelSpec]:[Price]],2,FALSE)</f>
        <v>41</v>
      </c>
      <c r="G155" s="172" t="s">
        <v>461</v>
      </c>
      <c r="H155" s="206">
        <f>SUMIFS(LstMachines[Nbre],LstMachines[Model-Spec],PrévisionBoris[[#This Row],[Spec]],LstMachines[Status],PrévisionBoris[[#This Row],[Status]],LstMachines[MoisLivr],H$1)</f>
        <v>0</v>
      </c>
      <c r="I155" s="207">
        <f>SUMIFS(LstMachines[Nbre],LstMachines[Model-Spec],PrévisionBoris[[#This Row],[Spec]],LstMachines[Status],PrévisionBoris[[#This Row],[Status]],LstMachines[MoisLivr],I$1)</f>
        <v>0</v>
      </c>
      <c r="J155" s="208">
        <f>SUMIFS(LstMachines[Nbre],LstMachines[Model-Spec],PrévisionBoris[[#This Row],[Spec]],LstMachines[Status],PrévisionBoris[[#This Row],[Status]],LstMachines[MoisLivr],J$1)</f>
        <v>0</v>
      </c>
      <c r="K155" s="206">
        <f>SUMIFS(LstMachines[Nbre],LstMachines[Model-Spec],PrévisionBoris[[#This Row],[Spec]],LstMachines[Status],PrévisionBoris[[#This Row],[Status]],LstMachines[MoisLivr],K$1)</f>
        <v>0</v>
      </c>
      <c r="L155" s="207">
        <f>SUMIFS(LstMachines[Nbre],LstMachines[Model-Spec],PrévisionBoris[[#This Row],[Spec]],LstMachines[Status],PrévisionBoris[[#This Row],[Status]],LstMachines[MoisLivr],L$1)</f>
        <v>0</v>
      </c>
      <c r="M155" s="208">
        <f>SUMIFS(LstMachines[Nbre],LstMachines[Model-Spec],PrévisionBoris[[#This Row],[Spec]],LstMachines[Status],PrévisionBoris[[#This Row],[Status]],LstMachines[MoisLivr],M$1)</f>
        <v>0</v>
      </c>
      <c r="N155" s="206">
        <f>SUMIFS(LstMachines[Nbre],LstMachines[Model-Spec],PrévisionBoris[[#This Row],[Spec]],LstMachines[Status],PrévisionBoris[[#This Row],[Status]],LstMachines[MoisLivr],N$1)</f>
        <v>0</v>
      </c>
      <c r="O155" s="207">
        <f>SUMIFS(LstMachines[Nbre],LstMachines[Model-Spec],PrévisionBoris[[#This Row],[Spec]],LstMachines[Status],PrévisionBoris[[#This Row],[Status]],LstMachines[MoisLivr],O$1)</f>
        <v>0</v>
      </c>
      <c r="P155" s="208">
        <f>SUMIFS(LstMachines[Nbre],LstMachines[Model-Spec],PrévisionBoris[[#This Row],[Spec]],LstMachines[Status],PrévisionBoris[[#This Row],[Status]],LstMachines[MoisLivr],P$1)</f>
        <v>0</v>
      </c>
      <c r="Q155" s="209">
        <f>SUMIFS(LstMachines[Nbre],LstMachines[Model-Spec],PrévisionBoris[[#This Row],[Spec]],LstMachines[Status],PrévisionBoris[[#This Row],[Status]],LstMachines[MoisLivr],Q$1)</f>
        <v>0</v>
      </c>
      <c r="R155" s="207">
        <f>SUMIFS(LstMachines[Nbre],LstMachines[Model-Spec],PrévisionBoris[[#This Row],[Spec]],LstMachines[Status],PrévisionBoris[[#This Row],[Status]],LstMachines[MoisLivr],R$1)</f>
        <v>0</v>
      </c>
      <c r="S155" s="207">
        <f>SUMIFS(LstMachines[Nbre],LstMachines[Model-Spec],PrévisionBoris[[#This Row],[Spec]],LstMachines[Status],PrévisionBoris[[#This Row],[Status]],LstMachines[MoisLivr],S$1)</f>
        <v>0</v>
      </c>
      <c r="T155" s="206">
        <f>SUMIFS(LstMachines[Nbre],LstMachines[Model-Spec],PrévisionBoris[[#This Row],[Spec]],LstMachines[Status],PrévisionBoris[[#This Row],[Status]],LstMachines[MoisLivr],T$1)</f>
        <v>0</v>
      </c>
      <c r="U155" s="207">
        <f>SUMIFS(LstMachines[Nbre],LstMachines[Model-Spec],PrévisionBoris[[#This Row],[Spec]],LstMachines[Status],PrévisionBoris[[#This Row],[Status]],LstMachines[MoisLivr],U$1)</f>
        <v>0</v>
      </c>
      <c r="V155" s="207">
        <f>SUMIFS(LstMachines[Nbre],LstMachines[Model-Spec],PrévisionBoris[[#This Row],[Spec]],LstMachines[Status],PrévisionBoris[[#This Row],[Status]],LstMachines[MoisLivr],V$1)</f>
        <v>0</v>
      </c>
      <c r="W155" s="206">
        <f>SUMIFS(LstMachines[Nbre],LstMachines[Model-Spec],PrévisionBoris[[#This Row],[Spec]],LstMachines[Status],PrévisionBoris[[#This Row],[Status]],LstMachines[MoisLivr],W$1)</f>
        <v>0</v>
      </c>
      <c r="X155" s="207">
        <f>SUMIFS(LstMachines[Nbre],LstMachines[Model-Spec],PrévisionBoris[[#This Row],[Spec]],LstMachines[Status],PrévisionBoris[[#This Row],[Status]],LstMachines[MoisLivr],X$1)</f>
        <v>0</v>
      </c>
      <c r="Y155" s="207">
        <f>SUMIFS(LstMachines[Nbre],LstMachines[Model-Spec],PrévisionBoris[[#This Row],[Spec]],LstMachines[Status],PrévisionBoris[[#This Row],[Status]],LstMachines[MoisLivr],Y$1)</f>
        <v>0</v>
      </c>
      <c r="Z155" s="206">
        <f>SUMIFS(LstMachines[Nbre],LstMachines[Model-Spec],PrévisionBoris[[#This Row],[Spec]],LstMachines[Status],PrévisionBoris[[#This Row],[Status]],LstMachines[MoisLivr],Z$1)</f>
        <v>0</v>
      </c>
      <c r="AA155" s="207">
        <f>SUMIFS(LstMachines[Nbre],LstMachines[Model-Spec],PrévisionBoris[[#This Row],[Spec]],LstMachines[Status],PrévisionBoris[[#This Row],[Status]],LstMachines[MoisLivr],AA$1)</f>
        <v>0</v>
      </c>
      <c r="AB155" s="207">
        <f>SUMIFS(LstMachines[Nbre],LstMachines[Model-Spec],PrévisionBoris[[#This Row],[Spec]],LstMachines[Status],PrévisionBoris[[#This Row],[Status]],LstMachines[MoisLivr],AB$1)</f>
        <v>0</v>
      </c>
      <c r="AC155" s="206">
        <f>SUMIFS(LstMachines[Nbre],LstMachines[Model-Spec],PrévisionBoris[[#This Row],[Spec]],LstMachines[Status],PrévisionBoris[[#This Row],[Status]],LstMachines[MoisLivr],AC$1)</f>
        <v>0</v>
      </c>
      <c r="AD155" s="207">
        <f>SUMIFS(LstMachines[Nbre],LstMachines[Model-Spec],PrévisionBoris[[#This Row],[Spec]],LstMachines[Status],PrévisionBoris[[#This Row],[Status]],LstMachines[MoisLivr],AD$1)</f>
        <v>0</v>
      </c>
      <c r="AE155" s="207">
        <f>SUMIFS(LstMachines[Nbre],LstMachines[Model-Spec],PrévisionBoris[[#This Row],[Spec]],LstMachines[Status],PrévisionBoris[[#This Row],[Status]],LstMachines[MoisLivr],AE$1)</f>
        <v>0</v>
      </c>
      <c r="AF155" s="206">
        <f>SUMIFS(LstMachines[Nbre],LstMachines[Model-Spec],PrévisionBoris[[#This Row],[Spec]],LstMachines[Status],PrévisionBoris[[#This Row],[Status]],LstMachines[MoisLivr],AF$1)</f>
        <v>0</v>
      </c>
      <c r="AG155" s="207">
        <f>SUMIFS(LstMachines[Nbre],LstMachines[Model-Spec],PrévisionBoris[[#This Row],[Spec]],LstMachines[Status],PrévisionBoris[[#This Row],[Status]],LstMachines[MoisLivr],AG$1)</f>
        <v>0</v>
      </c>
      <c r="AH155" s="207">
        <f>SUMIFS(LstMachines[Nbre],LstMachines[Model-Spec],PrévisionBoris[[#This Row],[Spec]],LstMachines[Status],PrévisionBoris[[#This Row],[Status]],LstMachines[MoisLivr],AH$1)</f>
        <v>0</v>
      </c>
      <c r="AI155" s="206">
        <f>SUMIFS(LstMachines[Nbre],LstMachines[Model-Spec],PrévisionBoris[[#This Row],[Spec]],LstMachines[Status],PrévisionBoris[[#This Row],[Status]],LstMachines[MoisLivr],AI$1)</f>
        <v>0</v>
      </c>
      <c r="AJ155" s="207">
        <f>SUMIFS(LstMachines[Nbre],LstMachines[Model-Spec],PrévisionBoris[[#This Row],[Spec]],LstMachines[Status],PrévisionBoris[[#This Row],[Status]],LstMachines[MoisLivr],AJ$1)</f>
        <v>0</v>
      </c>
      <c r="AK155" s="207">
        <f>SUMIFS(LstMachines[Nbre],LstMachines[Model-Spec],PrévisionBoris[[#This Row],[Spec]],LstMachines[Status],PrévisionBoris[[#This Row],[Status]],LstMachines[MoisLivr],AK$1)</f>
        <v>0</v>
      </c>
      <c r="AL155" s="206">
        <f>SUMIFS(LstMachines[Nbre],LstMachines[Model-Spec],PrévisionBoris[[#This Row],[Spec]],LstMachines[Status],PrévisionBoris[[#This Row],[Status]],LstMachines[MoisLivr],AL$1)</f>
        <v>0</v>
      </c>
      <c r="AM155" s="207">
        <f>SUMIFS(LstMachines[Nbre],LstMachines[Model-Spec],PrévisionBoris[[#This Row],[Spec]],LstMachines[Status],PrévisionBoris[[#This Row],[Status]],LstMachines[MoisLivr],AM$1)</f>
        <v>0</v>
      </c>
      <c r="AN155" s="207">
        <f>SUMIFS(LstMachines[Nbre],LstMachines[Model-Spec],PrévisionBoris[[#This Row],[Spec]],LstMachines[Status],PrévisionBoris[[#This Row],[Status]],LstMachines[MoisLivr],AN$1)</f>
        <v>0</v>
      </c>
      <c r="AO155" s="206">
        <f>SUMIFS(LstMachines[Nbre],LstMachines[Model-Spec],PrévisionBoris[[#This Row],[Spec]],LstMachines[Status],PrévisionBoris[[#This Row],[Status]],LstMachines[MoisLivr],AO$1)</f>
        <v>0</v>
      </c>
      <c r="AP155" s="207">
        <f>SUMIFS(LstMachines[Nbre],LstMachines[Model-Spec],PrévisionBoris[[#This Row],[Spec]],LstMachines[Status],PrévisionBoris[[#This Row],[Status]],LstMachines[MoisLivr],AP$1)</f>
        <v>0</v>
      </c>
      <c r="AQ155" s="207">
        <f>SUMIFS(LstMachines[Nbre],LstMachines[Model-Spec],PrévisionBoris[[#This Row],[Spec]],LstMachines[Status],PrévisionBoris[[#This Row],[Status]],LstMachines[MoisLivr],AQ$1)</f>
        <v>0</v>
      </c>
      <c r="AR155" s="206">
        <f>SUMIFS(LstMachines[Nbre],LstMachines[Model-Spec],PrévisionBoris[[#This Row],[Spec]],LstMachines[Status],PrévisionBoris[[#This Row],[Status]],LstMachines[MoisLivr],AR$1)</f>
        <v>0</v>
      </c>
      <c r="AS155" s="207">
        <f>SUMIFS(LstMachines[Nbre],LstMachines[Model-Spec],PrévisionBoris[[#This Row],[Spec]],LstMachines[Status],PrévisionBoris[[#This Row],[Status]],LstMachines[MoisLivr],AS$1)</f>
        <v>0</v>
      </c>
      <c r="AT155" s="207">
        <f>SUMIFS(LstMachines[Nbre],LstMachines[Model-Spec],PrévisionBoris[[#This Row],[Spec]],LstMachines[Status],PrévisionBoris[[#This Row],[Status]],LstMachines[MoisLivr],AT$1)</f>
        <v>0</v>
      </c>
      <c r="AU155" s="206">
        <f>SUMIFS(LstMachines[Nbre],LstMachines[Model-Spec],PrévisionBoris[[#This Row],[Spec]],LstMachines[Status],PrévisionBoris[[#This Row],[Status]],LstMachines[MoisLivr],AU$1)</f>
        <v>0</v>
      </c>
      <c r="AV155" s="233">
        <f>SUMIFS(LstMachines[Nbre],LstMachines[Model-Spec],PrévisionBoris[[#This Row],[Spec]],LstMachines[Status],PrévisionBoris[[#This Row],[Status]],LstMachines[MoisLivr],AV$1)</f>
        <v>0</v>
      </c>
      <c r="AW155" s="208">
        <f>SUMIFS(LstMachines[Nbre],LstMachines[Model-Spec],PrévisionBoris[[#This Row],[Spec]],LstMachines[Status],PrévisionBoris[[#This Row],[Status]],LstMachines[MoisLivr],AW$1)</f>
        <v>0</v>
      </c>
      <c r="AX155" s="225"/>
      <c r="AY155" s="211">
        <f t="shared" si="35"/>
        <v>0</v>
      </c>
      <c r="AZ155" s="212">
        <f t="shared" si="36"/>
        <v>0</v>
      </c>
      <c r="BA155" s="212">
        <f t="shared" si="37"/>
        <v>0</v>
      </c>
      <c r="BB155" s="213">
        <f t="shared" si="38"/>
        <v>0</v>
      </c>
      <c r="BC155" s="225">
        <f t="shared" si="39"/>
        <v>0</v>
      </c>
      <c r="BD155" s="211">
        <f t="shared" si="40"/>
        <v>0</v>
      </c>
      <c r="BE155" s="212">
        <f t="shared" si="41"/>
        <v>0</v>
      </c>
      <c r="BF155" s="212">
        <f t="shared" si="42"/>
        <v>0</v>
      </c>
      <c r="BG155" s="213">
        <f t="shared" si="43"/>
        <v>0</v>
      </c>
      <c r="BH155" s="225">
        <f t="shared" si="44"/>
        <v>0</v>
      </c>
      <c r="BI155" s="214">
        <f t="shared" si="45"/>
        <v>0</v>
      </c>
      <c r="BJ155" s="215">
        <f t="shared" si="46"/>
        <v>0</v>
      </c>
      <c r="BK155" s="215">
        <f t="shared" si="47"/>
        <v>0</v>
      </c>
      <c r="BL155" s="216">
        <f t="shared" si="48"/>
        <v>0</v>
      </c>
      <c r="BM155" s="225">
        <f t="shared" si="49"/>
        <v>0</v>
      </c>
      <c r="BN155" s="225"/>
      <c r="BO155" s="234"/>
      <c r="BP155" s="218">
        <f t="shared" si="50"/>
        <v>0</v>
      </c>
    </row>
    <row r="156" spans="1:68">
      <c r="A156" s="170">
        <v>149</v>
      </c>
      <c r="B156" s="170" t="s">
        <v>75</v>
      </c>
      <c r="C156" s="200">
        <v>48</v>
      </c>
      <c r="D156" s="170" t="s">
        <v>82</v>
      </c>
      <c r="E156" s="170" t="s">
        <v>423</v>
      </c>
      <c r="F156" s="200">
        <f>VLOOKUP(PrévisionBoris[[#This Row],[Spec]],TabModelSpecs[[ModelSpec]:[Price]],2,FALSE)</f>
        <v>41</v>
      </c>
      <c r="G156" s="170" t="s">
        <v>462</v>
      </c>
      <c r="H156" s="219">
        <f>SUMIFS(LstMachines[Nbre],LstMachines[Model-Spec],PrévisionBoris[[#This Row],[Spec]],LstMachines[Status],PrévisionBoris[[#This Row],[Status]],LstMachines[MoisLivr],H$1)</f>
        <v>0</v>
      </c>
      <c r="I156" s="220">
        <f>SUMIFS(LstMachines[Nbre],LstMachines[Model-Spec],PrévisionBoris[[#This Row],[Spec]],LstMachines[Status],PrévisionBoris[[#This Row],[Status]],LstMachines[MoisLivr],I$1)</f>
        <v>0</v>
      </c>
      <c r="J156" s="221">
        <f>SUMIFS(LstMachines[Nbre],LstMachines[Model-Spec],PrévisionBoris[[#This Row],[Spec]],LstMachines[Status],PrévisionBoris[[#This Row],[Status]],LstMachines[MoisLivr],J$1)</f>
        <v>0</v>
      </c>
      <c r="K156" s="219">
        <f>SUMIFS(LstMachines[Nbre],LstMachines[Model-Spec],PrévisionBoris[[#This Row],[Spec]],LstMachines[Status],PrévisionBoris[[#This Row],[Status]],LstMachines[MoisLivr],K$1)</f>
        <v>0</v>
      </c>
      <c r="L156" s="220">
        <f>SUMIFS(LstMachines[Nbre],LstMachines[Model-Spec],PrévisionBoris[[#This Row],[Spec]],LstMachines[Status],PrévisionBoris[[#This Row],[Status]],LstMachines[MoisLivr],L$1)</f>
        <v>0</v>
      </c>
      <c r="M156" s="221">
        <f>SUMIFS(LstMachines[Nbre],LstMachines[Model-Spec],PrévisionBoris[[#This Row],[Spec]],LstMachines[Status],PrévisionBoris[[#This Row],[Status]],LstMachines[MoisLivr],M$1)</f>
        <v>0</v>
      </c>
      <c r="N156" s="219">
        <f>SUMIFS(LstMachines[Nbre],LstMachines[Model-Spec],PrévisionBoris[[#This Row],[Spec]],LstMachines[Status],PrévisionBoris[[#This Row],[Status]],LstMachines[MoisLivr],N$1)</f>
        <v>0</v>
      </c>
      <c r="O156" s="220">
        <f>SUMIFS(LstMachines[Nbre],LstMachines[Model-Spec],PrévisionBoris[[#This Row],[Spec]],LstMachines[Status],PrévisionBoris[[#This Row],[Status]],LstMachines[MoisLivr],O$1)</f>
        <v>0</v>
      </c>
      <c r="P156" s="221">
        <f>SUMIFS(LstMachines[Nbre],LstMachines[Model-Spec],PrévisionBoris[[#This Row],[Spec]],LstMachines[Status],PrévisionBoris[[#This Row],[Status]],LstMachines[MoisLivr],P$1)</f>
        <v>0</v>
      </c>
      <c r="Q156" s="222">
        <f>SUMIFS(LstMachines[Nbre],LstMachines[Model-Spec],PrévisionBoris[[#This Row],[Spec]],LstMachines[Status],PrévisionBoris[[#This Row],[Status]],LstMachines[MoisLivr],Q$1)</f>
        <v>0</v>
      </c>
      <c r="R156" s="220">
        <f>SUMIFS(LstMachines[Nbre],LstMachines[Model-Spec],PrévisionBoris[[#This Row],[Spec]],LstMachines[Status],PrévisionBoris[[#This Row],[Status]],LstMachines[MoisLivr],R$1)</f>
        <v>0</v>
      </c>
      <c r="S156" s="220">
        <f>SUMIFS(LstMachines[Nbre],LstMachines[Model-Spec],PrévisionBoris[[#This Row],[Spec]],LstMachines[Status],PrévisionBoris[[#This Row],[Status]],LstMachines[MoisLivr],S$1)</f>
        <v>0</v>
      </c>
      <c r="T156" s="219">
        <f>SUMIFS(LstMachines[Nbre],LstMachines[Model-Spec],PrévisionBoris[[#This Row],[Spec]],LstMachines[Status],PrévisionBoris[[#This Row],[Status]],LstMachines[MoisLivr],T$1)</f>
        <v>0</v>
      </c>
      <c r="U156" s="220">
        <f>SUMIFS(LstMachines[Nbre],LstMachines[Model-Spec],PrévisionBoris[[#This Row],[Spec]],LstMachines[Status],PrévisionBoris[[#This Row],[Status]],LstMachines[MoisLivr],U$1)</f>
        <v>0</v>
      </c>
      <c r="V156" s="220">
        <f>SUMIFS(LstMachines[Nbre],LstMachines[Model-Spec],PrévisionBoris[[#This Row],[Spec]],LstMachines[Status],PrévisionBoris[[#This Row],[Status]],LstMachines[MoisLivr],V$1)</f>
        <v>0</v>
      </c>
      <c r="W156" s="219">
        <f>SUMIFS(LstMachines[Nbre],LstMachines[Model-Spec],PrévisionBoris[[#This Row],[Spec]],LstMachines[Status],PrévisionBoris[[#This Row],[Status]],LstMachines[MoisLivr],W$1)</f>
        <v>0</v>
      </c>
      <c r="X156" s="220">
        <f>SUMIFS(LstMachines[Nbre],LstMachines[Model-Spec],PrévisionBoris[[#This Row],[Spec]],LstMachines[Status],PrévisionBoris[[#This Row],[Status]],LstMachines[MoisLivr],X$1)</f>
        <v>0</v>
      </c>
      <c r="Y156" s="220">
        <f>SUMIFS(LstMachines[Nbre],LstMachines[Model-Spec],PrévisionBoris[[#This Row],[Spec]],LstMachines[Status],PrévisionBoris[[#This Row],[Status]],LstMachines[MoisLivr],Y$1)</f>
        <v>0</v>
      </c>
      <c r="Z156" s="219">
        <f>SUMIFS(LstMachines[Nbre],LstMachines[Model-Spec],PrévisionBoris[[#This Row],[Spec]],LstMachines[Status],PrévisionBoris[[#This Row],[Status]],LstMachines[MoisLivr],Z$1)</f>
        <v>0</v>
      </c>
      <c r="AA156" s="220">
        <f>SUMIFS(LstMachines[Nbre],LstMachines[Model-Spec],PrévisionBoris[[#This Row],[Spec]],LstMachines[Status],PrévisionBoris[[#This Row],[Status]],LstMachines[MoisLivr],AA$1)</f>
        <v>0</v>
      </c>
      <c r="AB156" s="220">
        <f>SUMIFS(LstMachines[Nbre],LstMachines[Model-Spec],PrévisionBoris[[#This Row],[Spec]],LstMachines[Status],PrévisionBoris[[#This Row],[Status]],LstMachines[MoisLivr],AB$1)</f>
        <v>0</v>
      </c>
      <c r="AC156" s="219">
        <f>SUMIFS(LstMachines[Nbre],LstMachines[Model-Spec],PrévisionBoris[[#This Row],[Spec]],LstMachines[Status],PrévisionBoris[[#This Row],[Status]],LstMachines[MoisLivr],AC$1)</f>
        <v>0</v>
      </c>
      <c r="AD156" s="220">
        <f>SUMIFS(LstMachines[Nbre],LstMachines[Model-Spec],PrévisionBoris[[#This Row],[Spec]],LstMachines[Status],PrévisionBoris[[#This Row],[Status]],LstMachines[MoisLivr],AD$1)</f>
        <v>0</v>
      </c>
      <c r="AE156" s="220">
        <f>SUMIFS(LstMachines[Nbre],LstMachines[Model-Spec],PrévisionBoris[[#This Row],[Spec]],LstMachines[Status],PrévisionBoris[[#This Row],[Status]],LstMachines[MoisLivr],AE$1)</f>
        <v>0</v>
      </c>
      <c r="AF156" s="219">
        <f>SUMIFS(LstMachines[Nbre],LstMachines[Model-Spec],PrévisionBoris[[#This Row],[Spec]],LstMachines[Status],PrévisionBoris[[#This Row],[Status]],LstMachines[MoisLivr],AF$1)</f>
        <v>0</v>
      </c>
      <c r="AG156" s="220">
        <f>SUMIFS(LstMachines[Nbre],LstMachines[Model-Spec],PrévisionBoris[[#This Row],[Spec]],LstMachines[Status],PrévisionBoris[[#This Row],[Status]],LstMachines[MoisLivr],AG$1)</f>
        <v>0</v>
      </c>
      <c r="AH156" s="220">
        <f>SUMIFS(LstMachines[Nbre],LstMachines[Model-Spec],PrévisionBoris[[#This Row],[Spec]],LstMachines[Status],PrévisionBoris[[#This Row],[Status]],LstMachines[MoisLivr],AH$1)</f>
        <v>0</v>
      </c>
      <c r="AI156" s="219">
        <f>SUMIFS(LstMachines[Nbre],LstMachines[Model-Spec],PrévisionBoris[[#This Row],[Spec]],LstMachines[Status],PrévisionBoris[[#This Row],[Status]],LstMachines[MoisLivr],AI$1)</f>
        <v>0</v>
      </c>
      <c r="AJ156" s="220">
        <f>SUMIFS(LstMachines[Nbre],LstMachines[Model-Spec],PrévisionBoris[[#This Row],[Spec]],LstMachines[Status],PrévisionBoris[[#This Row],[Status]],LstMachines[MoisLivr],AJ$1)</f>
        <v>0</v>
      </c>
      <c r="AK156" s="220">
        <f>SUMIFS(LstMachines[Nbre],LstMachines[Model-Spec],PrévisionBoris[[#This Row],[Spec]],LstMachines[Status],PrévisionBoris[[#This Row],[Status]],LstMachines[MoisLivr],AK$1)</f>
        <v>0</v>
      </c>
      <c r="AL156" s="219">
        <f>SUMIFS(LstMachines[Nbre],LstMachines[Model-Spec],PrévisionBoris[[#This Row],[Spec]],LstMachines[Status],PrévisionBoris[[#This Row],[Status]],LstMachines[MoisLivr],AL$1)</f>
        <v>0</v>
      </c>
      <c r="AM156" s="220">
        <f>SUMIFS(LstMachines[Nbre],LstMachines[Model-Spec],PrévisionBoris[[#This Row],[Spec]],LstMachines[Status],PrévisionBoris[[#This Row],[Status]],LstMachines[MoisLivr],AM$1)</f>
        <v>0</v>
      </c>
      <c r="AN156" s="220">
        <f>SUMIFS(LstMachines[Nbre],LstMachines[Model-Spec],PrévisionBoris[[#This Row],[Spec]],LstMachines[Status],PrévisionBoris[[#This Row],[Status]],LstMachines[MoisLivr],AN$1)</f>
        <v>0</v>
      </c>
      <c r="AO156" s="219">
        <f>SUMIFS(LstMachines[Nbre],LstMachines[Model-Spec],PrévisionBoris[[#This Row],[Spec]],LstMachines[Status],PrévisionBoris[[#This Row],[Status]],LstMachines[MoisLivr],AO$1)</f>
        <v>0</v>
      </c>
      <c r="AP156" s="220">
        <f>SUMIFS(LstMachines[Nbre],LstMachines[Model-Spec],PrévisionBoris[[#This Row],[Spec]],LstMachines[Status],PrévisionBoris[[#This Row],[Status]],LstMachines[MoisLivr],AP$1)</f>
        <v>0</v>
      </c>
      <c r="AQ156" s="220">
        <f>SUMIFS(LstMachines[Nbre],LstMachines[Model-Spec],PrévisionBoris[[#This Row],[Spec]],LstMachines[Status],PrévisionBoris[[#This Row],[Status]],LstMachines[MoisLivr],AQ$1)</f>
        <v>0</v>
      </c>
      <c r="AR156" s="219">
        <f>SUMIFS(LstMachines[Nbre],LstMachines[Model-Spec],PrévisionBoris[[#This Row],[Spec]],LstMachines[Status],PrévisionBoris[[#This Row],[Status]],LstMachines[MoisLivr],AR$1)</f>
        <v>0</v>
      </c>
      <c r="AS156" s="220">
        <f>SUMIFS(LstMachines[Nbre],LstMachines[Model-Spec],PrévisionBoris[[#This Row],[Spec]],LstMachines[Status],PrévisionBoris[[#This Row],[Status]],LstMachines[MoisLivr],AS$1)</f>
        <v>0</v>
      </c>
      <c r="AT156" s="220">
        <f>SUMIFS(LstMachines[Nbre],LstMachines[Model-Spec],PrévisionBoris[[#This Row],[Spec]],LstMachines[Status],PrévisionBoris[[#This Row],[Status]],LstMachines[MoisLivr],AT$1)</f>
        <v>0</v>
      </c>
      <c r="AU156" s="219">
        <f>SUMIFS(LstMachines[Nbre],LstMachines[Model-Spec],PrévisionBoris[[#This Row],[Spec]],LstMachines[Status],PrévisionBoris[[#This Row],[Status]],LstMachines[MoisLivr],AU$1)</f>
        <v>0</v>
      </c>
      <c r="AV156" s="223">
        <f>SUMIFS(LstMachines[Nbre],LstMachines[Model-Spec],PrévisionBoris[[#This Row],[Spec]],LstMachines[Status],PrévisionBoris[[#This Row],[Status]],LstMachines[MoisLivr],AV$1)</f>
        <v>0</v>
      </c>
      <c r="AW156" s="224">
        <f>SUMIFS(LstMachines[Nbre],LstMachines[Model-Spec],PrévisionBoris[[#This Row],[Spec]],LstMachines[Status],PrévisionBoris[[#This Row],[Status]],LstMachines[MoisLivr],AW$1)</f>
        <v>0</v>
      </c>
      <c r="AX156" s="210"/>
      <c r="AY156" s="211">
        <f t="shared" si="35"/>
        <v>0</v>
      </c>
      <c r="AZ156" s="212">
        <f t="shared" si="36"/>
        <v>0</v>
      </c>
      <c r="BA156" s="212">
        <f t="shared" si="37"/>
        <v>0</v>
      </c>
      <c r="BB156" s="213">
        <f t="shared" si="38"/>
        <v>0</v>
      </c>
      <c r="BC156" s="225">
        <f t="shared" si="39"/>
        <v>0</v>
      </c>
      <c r="BD156" s="211">
        <f t="shared" si="40"/>
        <v>0</v>
      </c>
      <c r="BE156" s="212">
        <f t="shared" si="41"/>
        <v>0</v>
      </c>
      <c r="BF156" s="212">
        <f t="shared" si="42"/>
        <v>0</v>
      </c>
      <c r="BG156" s="213">
        <f t="shared" si="43"/>
        <v>0</v>
      </c>
      <c r="BH156" s="225">
        <f t="shared" si="44"/>
        <v>0</v>
      </c>
      <c r="BI156" s="214">
        <f t="shared" si="45"/>
        <v>0</v>
      </c>
      <c r="BJ156" s="215">
        <f t="shared" si="46"/>
        <v>0</v>
      </c>
      <c r="BK156" s="215">
        <f t="shared" si="47"/>
        <v>0</v>
      </c>
      <c r="BL156" s="216">
        <f t="shared" si="48"/>
        <v>0</v>
      </c>
      <c r="BM156" s="225">
        <f t="shared" si="49"/>
        <v>0</v>
      </c>
      <c r="BN156" s="225"/>
      <c r="BO156" s="217"/>
      <c r="BP156" s="218">
        <f t="shared" si="50"/>
        <v>0</v>
      </c>
    </row>
    <row r="157" spans="1:68">
      <c r="A157" s="171">
        <v>150</v>
      </c>
      <c r="B157" s="171" t="s">
        <v>75</v>
      </c>
      <c r="C157" s="201">
        <v>48</v>
      </c>
      <c r="D157" s="171" t="s">
        <v>82</v>
      </c>
      <c r="E157" s="171" t="s">
        <v>423</v>
      </c>
      <c r="F157" s="201">
        <f>VLOOKUP(PrévisionBoris[[#This Row],[Spec]],TabModelSpecs[[ModelSpec]:[Price]],2,FALSE)</f>
        <v>41</v>
      </c>
      <c r="G157" s="171" t="s">
        <v>463</v>
      </c>
      <c r="H157" s="226">
        <f>SUMIFS(LstMachines[Nbre],LstMachines[Model-Spec],PrévisionBoris[[#This Row],[Spec]],LstMachines[Status],PrévisionBoris[[#This Row],[Status]],LstMachines[MoisLivr],H$1)</f>
        <v>0</v>
      </c>
      <c r="I157" s="227">
        <f>SUMIFS(LstMachines[Nbre],LstMachines[Model-Spec],PrévisionBoris[[#This Row],[Spec]],LstMachines[Status],PrévisionBoris[[#This Row],[Status]],LstMachines[MoisLivr],I$1)</f>
        <v>0</v>
      </c>
      <c r="J157" s="228">
        <f>SUMIFS(LstMachines[Nbre],LstMachines[Model-Spec],PrévisionBoris[[#This Row],[Spec]],LstMachines[Status],PrévisionBoris[[#This Row],[Status]],LstMachines[MoisLivr],J$1)</f>
        <v>0</v>
      </c>
      <c r="K157" s="226">
        <f>SUMIFS(LstMachines[Nbre],LstMachines[Model-Spec],PrévisionBoris[[#This Row],[Spec]],LstMachines[Status],PrévisionBoris[[#This Row],[Status]],LstMachines[MoisLivr],K$1)</f>
        <v>0</v>
      </c>
      <c r="L157" s="227">
        <f>SUMIFS(LstMachines[Nbre],LstMachines[Model-Spec],PrévisionBoris[[#This Row],[Spec]],LstMachines[Status],PrévisionBoris[[#This Row],[Status]],LstMachines[MoisLivr],L$1)</f>
        <v>0</v>
      </c>
      <c r="M157" s="228">
        <f>SUMIFS(LstMachines[Nbre],LstMachines[Model-Spec],PrévisionBoris[[#This Row],[Spec]],LstMachines[Status],PrévisionBoris[[#This Row],[Status]],LstMachines[MoisLivr],M$1)</f>
        <v>0</v>
      </c>
      <c r="N157" s="226">
        <f>SUMIFS(LstMachines[Nbre],LstMachines[Model-Spec],PrévisionBoris[[#This Row],[Spec]],LstMachines[Status],PrévisionBoris[[#This Row],[Status]],LstMachines[MoisLivr],N$1)</f>
        <v>0</v>
      </c>
      <c r="O157" s="227">
        <f>SUMIFS(LstMachines[Nbre],LstMachines[Model-Spec],PrévisionBoris[[#This Row],[Spec]],LstMachines[Status],PrévisionBoris[[#This Row],[Status]],LstMachines[MoisLivr],O$1)</f>
        <v>0</v>
      </c>
      <c r="P157" s="228">
        <f>SUMIFS(LstMachines[Nbre],LstMachines[Model-Spec],PrévisionBoris[[#This Row],[Spec]],LstMachines[Status],PrévisionBoris[[#This Row],[Status]],LstMachines[MoisLivr],P$1)</f>
        <v>0</v>
      </c>
      <c r="Q157" s="229">
        <f>SUMIFS(LstMachines[Nbre],LstMachines[Model-Spec],PrévisionBoris[[#This Row],[Spec]],LstMachines[Status],PrévisionBoris[[#This Row],[Status]],LstMachines[MoisLivr],Q$1)</f>
        <v>0</v>
      </c>
      <c r="R157" s="227">
        <f>SUMIFS(LstMachines[Nbre],LstMachines[Model-Spec],PrévisionBoris[[#This Row],[Spec]],LstMachines[Status],PrévisionBoris[[#This Row],[Status]],LstMachines[MoisLivr],R$1)</f>
        <v>0</v>
      </c>
      <c r="S157" s="227">
        <f>SUMIFS(LstMachines[Nbre],LstMachines[Model-Spec],PrévisionBoris[[#This Row],[Spec]],LstMachines[Status],PrévisionBoris[[#This Row],[Status]],LstMachines[MoisLivr],S$1)</f>
        <v>0</v>
      </c>
      <c r="T157" s="226">
        <f>SUMIFS(LstMachines[Nbre],LstMachines[Model-Spec],PrévisionBoris[[#This Row],[Spec]],LstMachines[Status],PrévisionBoris[[#This Row],[Status]],LstMachines[MoisLivr],T$1)</f>
        <v>0</v>
      </c>
      <c r="U157" s="227">
        <f>SUMIFS(LstMachines[Nbre],LstMachines[Model-Spec],PrévisionBoris[[#This Row],[Spec]],LstMachines[Status],PrévisionBoris[[#This Row],[Status]],LstMachines[MoisLivr],U$1)</f>
        <v>0</v>
      </c>
      <c r="V157" s="227">
        <f>SUMIFS(LstMachines[Nbre],LstMachines[Model-Spec],PrévisionBoris[[#This Row],[Spec]],LstMachines[Status],PrévisionBoris[[#This Row],[Status]],LstMachines[MoisLivr],V$1)</f>
        <v>0</v>
      </c>
      <c r="W157" s="226">
        <f>SUMIFS(LstMachines[Nbre],LstMachines[Model-Spec],PrévisionBoris[[#This Row],[Spec]],LstMachines[Status],PrévisionBoris[[#This Row],[Status]],LstMachines[MoisLivr],W$1)</f>
        <v>0</v>
      </c>
      <c r="X157" s="227">
        <f>SUMIFS(LstMachines[Nbre],LstMachines[Model-Spec],PrévisionBoris[[#This Row],[Spec]],LstMachines[Status],PrévisionBoris[[#This Row],[Status]],LstMachines[MoisLivr],X$1)</f>
        <v>0</v>
      </c>
      <c r="Y157" s="227">
        <f>SUMIFS(LstMachines[Nbre],LstMachines[Model-Spec],PrévisionBoris[[#This Row],[Spec]],LstMachines[Status],PrévisionBoris[[#This Row],[Status]],LstMachines[MoisLivr],Y$1)</f>
        <v>0</v>
      </c>
      <c r="Z157" s="226">
        <f>SUMIFS(LstMachines[Nbre],LstMachines[Model-Spec],PrévisionBoris[[#This Row],[Spec]],LstMachines[Status],PrévisionBoris[[#This Row],[Status]],LstMachines[MoisLivr],Z$1)</f>
        <v>0</v>
      </c>
      <c r="AA157" s="227">
        <f>SUMIFS(LstMachines[Nbre],LstMachines[Model-Spec],PrévisionBoris[[#This Row],[Spec]],LstMachines[Status],PrévisionBoris[[#This Row],[Status]],LstMachines[MoisLivr],AA$1)</f>
        <v>0</v>
      </c>
      <c r="AB157" s="227">
        <f>SUMIFS(LstMachines[Nbre],LstMachines[Model-Spec],PrévisionBoris[[#This Row],[Spec]],LstMachines[Status],PrévisionBoris[[#This Row],[Status]],LstMachines[MoisLivr],AB$1)</f>
        <v>0</v>
      </c>
      <c r="AC157" s="226">
        <f>SUMIFS(LstMachines[Nbre],LstMachines[Model-Spec],PrévisionBoris[[#This Row],[Spec]],LstMachines[Status],PrévisionBoris[[#This Row],[Status]],LstMachines[MoisLivr],AC$1)</f>
        <v>0</v>
      </c>
      <c r="AD157" s="227">
        <f>SUMIFS(LstMachines[Nbre],LstMachines[Model-Spec],PrévisionBoris[[#This Row],[Spec]],LstMachines[Status],PrévisionBoris[[#This Row],[Status]],LstMachines[MoisLivr],AD$1)</f>
        <v>0</v>
      </c>
      <c r="AE157" s="227">
        <f>SUMIFS(LstMachines[Nbre],LstMachines[Model-Spec],PrévisionBoris[[#This Row],[Spec]],LstMachines[Status],PrévisionBoris[[#This Row],[Status]],LstMachines[MoisLivr],AE$1)</f>
        <v>0</v>
      </c>
      <c r="AF157" s="226">
        <f>SUMIFS(LstMachines[Nbre],LstMachines[Model-Spec],PrévisionBoris[[#This Row],[Spec]],LstMachines[Status],PrévisionBoris[[#This Row],[Status]],LstMachines[MoisLivr],AF$1)</f>
        <v>0</v>
      </c>
      <c r="AG157" s="227">
        <f>SUMIFS(LstMachines[Nbre],LstMachines[Model-Spec],PrévisionBoris[[#This Row],[Spec]],LstMachines[Status],PrévisionBoris[[#This Row],[Status]],LstMachines[MoisLivr],AG$1)</f>
        <v>0</v>
      </c>
      <c r="AH157" s="227">
        <f>SUMIFS(LstMachines[Nbre],LstMachines[Model-Spec],PrévisionBoris[[#This Row],[Spec]],LstMachines[Status],PrévisionBoris[[#This Row],[Status]],LstMachines[MoisLivr],AH$1)</f>
        <v>0</v>
      </c>
      <c r="AI157" s="226">
        <f>SUMIFS(LstMachines[Nbre],LstMachines[Model-Spec],PrévisionBoris[[#This Row],[Spec]],LstMachines[Status],PrévisionBoris[[#This Row],[Status]],LstMachines[MoisLivr],AI$1)</f>
        <v>0</v>
      </c>
      <c r="AJ157" s="227">
        <f>SUMIFS(LstMachines[Nbre],LstMachines[Model-Spec],PrévisionBoris[[#This Row],[Spec]],LstMachines[Status],PrévisionBoris[[#This Row],[Status]],LstMachines[MoisLivr],AJ$1)</f>
        <v>0</v>
      </c>
      <c r="AK157" s="227">
        <f>SUMIFS(LstMachines[Nbre],LstMachines[Model-Spec],PrévisionBoris[[#This Row],[Spec]],LstMachines[Status],PrévisionBoris[[#This Row],[Status]],LstMachines[MoisLivr],AK$1)</f>
        <v>0</v>
      </c>
      <c r="AL157" s="226">
        <f>SUMIFS(LstMachines[Nbre],LstMachines[Model-Spec],PrévisionBoris[[#This Row],[Spec]],LstMachines[Status],PrévisionBoris[[#This Row],[Status]],LstMachines[MoisLivr],AL$1)</f>
        <v>0</v>
      </c>
      <c r="AM157" s="227">
        <f>SUMIFS(LstMachines[Nbre],LstMachines[Model-Spec],PrévisionBoris[[#This Row],[Spec]],LstMachines[Status],PrévisionBoris[[#This Row],[Status]],LstMachines[MoisLivr],AM$1)</f>
        <v>0</v>
      </c>
      <c r="AN157" s="227">
        <f>SUMIFS(LstMachines[Nbre],LstMachines[Model-Spec],PrévisionBoris[[#This Row],[Spec]],LstMachines[Status],PrévisionBoris[[#This Row],[Status]],LstMachines[MoisLivr],AN$1)</f>
        <v>0</v>
      </c>
      <c r="AO157" s="226">
        <f>SUMIFS(LstMachines[Nbre],LstMachines[Model-Spec],PrévisionBoris[[#This Row],[Spec]],LstMachines[Status],PrévisionBoris[[#This Row],[Status]],LstMachines[MoisLivr],AO$1)</f>
        <v>0</v>
      </c>
      <c r="AP157" s="227">
        <f>SUMIFS(LstMachines[Nbre],LstMachines[Model-Spec],PrévisionBoris[[#This Row],[Spec]],LstMachines[Status],PrévisionBoris[[#This Row],[Status]],LstMachines[MoisLivr],AP$1)</f>
        <v>0</v>
      </c>
      <c r="AQ157" s="227">
        <f>SUMIFS(LstMachines[Nbre],LstMachines[Model-Spec],PrévisionBoris[[#This Row],[Spec]],LstMachines[Status],PrévisionBoris[[#This Row],[Status]],LstMachines[MoisLivr],AQ$1)</f>
        <v>0</v>
      </c>
      <c r="AR157" s="226">
        <f>SUMIFS(LstMachines[Nbre],LstMachines[Model-Spec],PrévisionBoris[[#This Row],[Spec]],LstMachines[Status],PrévisionBoris[[#This Row],[Status]],LstMachines[MoisLivr],AR$1)</f>
        <v>0</v>
      </c>
      <c r="AS157" s="227">
        <f>SUMIFS(LstMachines[Nbre],LstMachines[Model-Spec],PrévisionBoris[[#This Row],[Spec]],LstMachines[Status],PrévisionBoris[[#This Row],[Status]],LstMachines[MoisLivr],AS$1)</f>
        <v>0</v>
      </c>
      <c r="AT157" s="227">
        <f>SUMIFS(LstMachines[Nbre],LstMachines[Model-Spec],PrévisionBoris[[#This Row],[Spec]],LstMachines[Status],PrévisionBoris[[#This Row],[Status]],LstMachines[MoisLivr],AT$1)</f>
        <v>0</v>
      </c>
      <c r="AU157" s="226">
        <f>SUMIFS(LstMachines[Nbre],LstMachines[Model-Spec],PrévisionBoris[[#This Row],[Spec]],LstMachines[Status],PrévisionBoris[[#This Row],[Status]],LstMachines[MoisLivr],AU$1)</f>
        <v>0</v>
      </c>
      <c r="AV157" s="230">
        <f>SUMIFS(LstMachines[Nbre],LstMachines[Model-Spec],PrévisionBoris[[#This Row],[Spec]],LstMachines[Status],PrévisionBoris[[#This Row],[Status]],LstMachines[MoisLivr],AV$1)</f>
        <v>0</v>
      </c>
      <c r="AW157" s="231">
        <f>SUMIFS(LstMachines[Nbre],LstMachines[Model-Spec],PrévisionBoris[[#This Row],[Spec]],LstMachines[Status],PrévisionBoris[[#This Row],[Status]],LstMachines[MoisLivr],AW$1)</f>
        <v>0</v>
      </c>
      <c r="AX157" s="232"/>
      <c r="AY157" s="211">
        <f t="shared" si="35"/>
        <v>0</v>
      </c>
      <c r="AZ157" s="212">
        <f t="shared" si="36"/>
        <v>0</v>
      </c>
      <c r="BA157" s="212">
        <f t="shared" si="37"/>
        <v>0</v>
      </c>
      <c r="BB157" s="213">
        <f t="shared" si="38"/>
        <v>0</v>
      </c>
      <c r="BC157" s="225">
        <f t="shared" si="39"/>
        <v>0</v>
      </c>
      <c r="BD157" s="211">
        <f t="shared" si="40"/>
        <v>0</v>
      </c>
      <c r="BE157" s="212">
        <f t="shared" si="41"/>
        <v>0</v>
      </c>
      <c r="BF157" s="212">
        <f t="shared" si="42"/>
        <v>0</v>
      </c>
      <c r="BG157" s="213">
        <f t="shared" si="43"/>
        <v>0</v>
      </c>
      <c r="BH157" s="225">
        <f t="shared" si="44"/>
        <v>0</v>
      </c>
      <c r="BI157" s="214">
        <f t="shared" si="45"/>
        <v>0</v>
      </c>
      <c r="BJ157" s="215">
        <f t="shared" si="46"/>
        <v>0</v>
      </c>
      <c r="BK157" s="215">
        <f t="shared" si="47"/>
        <v>0</v>
      </c>
      <c r="BL157" s="216">
        <f t="shared" si="48"/>
        <v>0</v>
      </c>
      <c r="BM157" s="225">
        <f t="shared" si="49"/>
        <v>0</v>
      </c>
      <c r="BN157" s="225"/>
      <c r="BO157" s="217"/>
      <c r="BP157" s="218">
        <f t="shared" si="50"/>
        <v>0</v>
      </c>
    </row>
    <row r="158" spans="1:68">
      <c r="A158" s="172">
        <v>151</v>
      </c>
      <c r="B158" s="172" t="s">
        <v>75</v>
      </c>
      <c r="C158" s="202">
        <v>48</v>
      </c>
      <c r="D158" s="172" t="s">
        <v>82</v>
      </c>
      <c r="E158" s="172" t="s">
        <v>424</v>
      </c>
      <c r="F158" s="202">
        <f>VLOOKUP(PrévisionBoris[[#This Row],[Spec]],TabModelSpecs[[ModelSpec]:[Price]],2,FALSE)</f>
        <v>41</v>
      </c>
      <c r="G158" s="172" t="s">
        <v>461</v>
      </c>
      <c r="H158" s="206">
        <f>SUMIFS(LstMachines[Nbre],LstMachines[Model-Spec],PrévisionBoris[[#This Row],[Spec]],LstMachines[Status],PrévisionBoris[[#This Row],[Status]],LstMachines[MoisLivr],H$1)</f>
        <v>0</v>
      </c>
      <c r="I158" s="207">
        <f>SUMIFS(LstMachines[Nbre],LstMachines[Model-Spec],PrévisionBoris[[#This Row],[Spec]],LstMachines[Status],PrévisionBoris[[#This Row],[Status]],LstMachines[MoisLivr],I$1)</f>
        <v>0</v>
      </c>
      <c r="J158" s="208">
        <f>SUMIFS(LstMachines[Nbre],LstMachines[Model-Spec],PrévisionBoris[[#This Row],[Spec]],LstMachines[Status],PrévisionBoris[[#This Row],[Status]],LstMachines[MoisLivr],J$1)</f>
        <v>0</v>
      </c>
      <c r="K158" s="206">
        <f>SUMIFS(LstMachines[Nbre],LstMachines[Model-Spec],PrévisionBoris[[#This Row],[Spec]],LstMachines[Status],PrévisionBoris[[#This Row],[Status]],LstMachines[MoisLivr],K$1)</f>
        <v>0</v>
      </c>
      <c r="L158" s="207">
        <f>SUMIFS(LstMachines[Nbre],LstMachines[Model-Spec],PrévisionBoris[[#This Row],[Spec]],LstMachines[Status],PrévisionBoris[[#This Row],[Status]],LstMachines[MoisLivr],L$1)</f>
        <v>0</v>
      </c>
      <c r="M158" s="208">
        <f>SUMIFS(LstMachines[Nbre],LstMachines[Model-Spec],PrévisionBoris[[#This Row],[Spec]],LstMachines[Status],PrévisionBoris[[#This Row],[Status]],LstMachines[MoisLivr],M$1)</f>
        <v>0</v>
      </c>
      <c r="N158" s="206">
        <f>SUMIFS(LstMachines[Nbre],LstMachines[Model-Spec],PrévisionBoris[[#This Row],[Spec]],LstMachines[Status],PrévisionBoris[[#This Row],[Status]],LstMachines[MoisLivr],N$1)</f>
        <v>0</v>
      </c>
      <c r="O158" s="207">
        <f>SUMIFS(LstMachines[Nbre],LstMachines[Model-Spec],PrévisionBoris[[#This Row],[Spec]],LstMachines[Status],PrévisionBoris[[#This Row],[Status]],LstMachines[MoisLivr],O$1)</f>
        <v>0</v>
      </c>
      <c r="P158" s="208">
        <f>SUMIFS(LstMachines[Nbre],LstMachines[Model-Spec],PrévisionBoris[[#This Row],[Spec]],LstMachines[Status],PrévisionBoris[[#This Row],[Status]],LstMachines[MoisLivr],P$1)</f>
        <v>0</v>
      </c>
      <c r="Q158" s="209">
        <f>SUMIFS(LstMachines[Nbre],LstMachines[Model-Spec],PrévisionBoris[[#This Row],[Spec]],LstMachines[Status],PrévisionBoris[[#This Row],[Status]],LstMachines[MoisLivr],Q$1)</f>
        <v>0</v>
      </c>
      <c r="R158" s="207">
        <f>SUMIFS(LstMachines[Nbre],LstMachines[Model-Spec],PrévisionBoris[[#This Row],[Spec]],LstMachines[Status],PrévisionBoris[[#This Row],[Status]],LstMachines[MoisLivr],R$1)</f>
        <v>0</v>
      </c>
      <c r="S158" s="207">
        <f>SUMIFS(LstMachines[Nbre],LstMachines[Model-Spec],PrévisionBoris[[#This Row],[Spec]],LstMachines[Status],PrévisionBoris[[#This Row],[Status]],LstMachines[MoisLivr],S$1)</f>
        <v>0</v>
      </c>
      <c r="T158" s="206">
        <f>SUMIFS(LstMachines[Nbre],LstMachines[Model-Spec],PrévisionBoris[[#This Row],[Spec]],LstMachines[Status],PrévisionBoris[[#This Row],[Status]],LstMachines[MoisLivr],T$1)</f>
        <v>0</v>
      </c>
      <c r="U158" s="207">
        <f>SUMIFS(LstMachines[Nbre],LstMachines[Model-Spec],PrévisionBoris[[#This Row],[Spec]],LstMachines[Status],PrévisionBoris[[#This Row],[Status]],LstMachines[MoisLivr],U$1)</f>
        <v>0</v>
      </c>
      <c r="V158" s="207">
        <f>SUMIFS(LstMachines[Nbre],LstMachines[Model-Spec],PrévisionBoris[[#This Row],[Spec]],LstMachines[Status],PrévisionBoris[[#This Row],[Status]],LstMachines[MoisLivr],V$1)</f>
        <v>0</v>
      </c>
      <c r="W158" s="206">
        <f>SUMIFS(LstMachines[Nbre],LstMachines[Model-Spec],PrévisionBoris[[#This Row],[Spec]],LstMachines[Status],PrévisionBoris[[#This Row],[Status]],LstMachines[MoisLivr],W$1)</f>
        <v>0</v>
      </c>
      <c r="X158" s="207">
        <f>SUMIFS(LstMachines[Nbre],LstMachines[Model-Spec],PrévisionBoris[[#This Row],[Spec]],LstMachines[Status],PrévisionBoris[[#This Row],[Status]],LstMachines[MoisLivr],X$1)</f>
        <v>0</v>
      </c>
      <c r="Y158" s="207">
        <f>SUMIFS(LstMachines[Nbre],LstMachines[Model-Spec],PrévisionBoris[[#This Row],[Spec]],LstMachines[Status],PrévisionBoris[[#This Row],[Status]],LstMachines[MoisLivr],Y$1)</f>
        <v>0</v>
      </c>
      <c r="Z158" s="206">
        <f>SUMIFS(LstMachines[Nbre],LstMachines[Model-Spec],PrévisionBoris[[#This Row],[Spec]],LstMachines[Status],PrévisionBoris[[#This Row],[Status]],LstMachines[MoisLivr],Z$1)</f>
        <v>0</v>
      </c>
      <c r="AA158" s="207">
        <f>SUMIFS(LstMachines[Nbre],LstMachines[Model-Spec],PrévisionBoris[[#This Row],[Spec]],LstMachines[Status],PrévisionBoris[[#This Row],[Status]],LstMachines[MoisLivr],AA$1)</f>
        <v>0</v>
      </c>
      <c r="AB158" s="207">
        <f>SUMIFS(LstMachines[Nbre],LstMachines[Model-Spec],PrévisionBoris[[#This Row],[Spec]],LstMachines[Status],PrévisionBoris[[#This Row],[Status]],LstMachines[MoisLivr],AB$1)</f>
        <v>0</v>
      </c>
      <c r="AC158" s="206">
        <f>SUMIFS(LstMachines[Nbre],LstMachines[Model-Spec],PrévisionBoris[[#This Row],[Spec]],LstMachines[Status],PrévisionBoris[[#This Row],[Status]],LstMachines[MoisLivr],AC$1)</f>
        <v>0</v>
      </c>
      <c r="AD158" s="207">
        <f>SUMIFS(LstMachines[Nbre],LstMachines[Model-Spec],PrévisionBoris[[#This Row],[Spec]],LstMachines[Status],PrévisionBoris[[#This Row],[Status]],LstMachines[MoisLivr],AD$1)</f>
        <v>0</v>
      </c>
      <c r="AE158" s="207">
        <f>SUMIFS(LstMachines[Nbre],LstMachines[Model-Spec],PrévisionBoris[[#This Row],[Spec]],LstMachines[Status],PrévisionBoris[[#This Row],[Status]],LstMachines[MoisLivr],AE$1)</f>
        <v>0</v>
      </c>
      <c r="AF158" s="206">
        <f>SUMIFS(LstMachines[Nbre],LstMachines[Model-Spec],PrévisionBoris[[#This Row],[Spec]],LstMachines[Status],PrévisionBoris[[#This Row],[Status]],LstMachines[MoisLivr],AF$1)</f>
        <v>0</v>
      </c>
      <c r="AG158" s="207">
        <f>SUMIFS(LstMachines[Nbre],LstMachines[Model-Spec],PrévisionBoris[[#This Row],[Spec]],LstMachines[Status],PrévisionBoris[[#This Row],[Status]],LstMachines[MoisLivr],AG$1)</f>
        <v>0</v>
      </c>
      <c r="AH158" s="207">
        <f>SUMIFS(LstMachines[Nbre],LstMachines[Model-Spec],PrévisionBoris[[#This Row],[Spec]],LstMachines[Status],PrévisionBoris[[#This Row],[Status]],LstMachines[MoisLivr],AH$1)</f>
        <v>0</v>
      </c>
      <c r="AI158" s="206">
        <f>SUMIFS(LstMachines[Nbre],LstMachines[Model-Spec],PrévisionBoris[[#This Row],[Spec]],LstMachines[Status],PrévisionBoris[[#This Row],[Status]],LstMachines[MoisLivr],AI$1)</f>
        <v>0</v>
      </c>
      <c r="AJ158" s="207">
        <f>SUMIFS(LstMachines[Nbre],LstMachines[Model-Spec],PrévisionBoris[[#This Row],[Spec]],LstMachines[Status],PrévisionBoris[[#This Row],[Status]],LstMachines[MoisLivr],AJ$1)</f>
        <v>0</v>
      </c>
      <c r="AK158" s="207">
        <f>SUMIFS(LstMachines[Nbre],LstMachines[Model-Spec],PrévisionBoris[[#This Row],[Spec]],LstMachines[Status],PrévisionBoris[[#This Row],[Status]],LstMachines[MoisLivr],AK$1)</f>
        <v>0</v>
      </c>
      <c r="AL158" s="206">
        <f>SUMIFS(LstMachines[Nbre],LstMachines[Model-Spec],PrévisionBoris[[#This Row],[Spec]],LstMachines[Status],PrévisionBoris[[#This Row],[Status]],LstMachines[MoisLivr],AL$1)</f>
        <v>0</v>
      </c>
      <c r="AM158" s="207">
        <f>SUMIFS(LstMachines[Nbre],LstMachines[Model-Spec],PrévisionBoris[[#This Row],[Spec]],LstMachines[Status],PrévisionBoris[[#This Row],[Status]],LstMachines[MoisLivr],AM$1)</f>
        <v>0</v>
      </c>
      <c r="AN158" s="207">
        <f>SUMIFS(LstMachines[Nbre],LstMachines[Model-Spec],PrévisionBoris[[#This Row],[Spec]],LstMachines[Status],PrévisionBoris[[#This Row],[Status]],LstMachines[MoisLivr],AN$1)</f>
        <v>0</v>
      </c>
      <c r="AO158" s="206">
        <f>SUMIFS(LstMachines[Nbre],LstMachines[Model-Spec],PrévisionBoris[[#This Row],[Spec]],LstMachines[Status],PrévisionBoris[[#This Row],[Status]],LstMachines[MoisLivr],AO$1)</f>
        <v>0</v>
      </c>
      <c r="AP158" s="207">
        <f>SUMIFS(LstMachines[Nbre],LstMachines[Model-Spec],PrévisionBoris[[#This Row],[Spec]],LstMachines[Status],PrévisionBoris[[#This Row],[Status]],LstMachines[MoisLivr],AP$1)</f>
        <v>0</v>
      </c>
      <c r="AQ158" s="207">
        <f>SUMIFS(LstMachines[Nbre],LstMachines[Model-Spec],PrévisionBoris[[#This Row],[Spec]],LstMachines[Status],PrévisionBoris[[#This Row],[Status]],LstMachines[MoisLivr],AQ$1)</f>
        <v>0</v>
      </c>
      <c r="AR158" s="206">
        <f>SUMIFS(LstMachines[Nbre],LstMachines[Model-Spec],PrévisionBoris[[#This Row],[Spec]],LstMachines[Status],PrévisionBoris[[#This Row],[Status]],LstMachines[MoisLivr],AR$1)</f>
        <v>0</v>
      </c>
      <c r="AS158" s="207">
        <f>SUMIFS(LstMachines[Nbre],LstMachines[Model-Spec],PrévisionBoris[[#This Row],[Spec]],LstMachines[Status],PrévisionBoris[[#This Row],[Status]],LstMachines[MoisLivr],AS$1)</f>
        <v>0</v>
      </c>
      <c r="AT158" s="207">
        <f>SUMIFS(LstMachines[Nbre],LstMachines[Model-Spec],PrévisionBoris[[#This Row],[Spec]],LstMachines[Status],PrévisionBoris[[#This Row],[Status]],LstMachines[MoisLivr],AT$1)</f>
        <v>0</v>
      </c>
      <c r="AU158" s="206">
        <f>SUMIFS(LstMachines[Nbre],LstMachines[Model-Spec],PrévisionBoris[[#This Row],[Spec]],LstMachines[Status],PrévisionBoris[[#This Row],[Status]],LstMachines[MoisLivr],AU$1)</f>
        <v>0</v>
      </c>
      <c r="AV158" s="233">
        <f>SUMIFS(LstMachines[Nbre],LstMachines[Model-Spec],PrévisionBoris[[#This Row],[Spec]],LstMachines[Status],PrévisionBoris[[#This Row],[Status]],LstMachines[MoisLivr],AV$1)</f>
        <v>0</v>
      </c>
      <c r="AW158" s="208">
        <f>SUMIFS(LstMachines[Nbre],LstMachines[Model-Spec],PrévisionBoris[[#This Row],[Spec]],LstMachines[Status],PrévisionBoris[[#This Row],[Status]],LstMachines[MoisLivr],AW$1)</f>
        <v>0</v>
      </c>
      <c r="AX158" s="225"/>
      <c r="AY158" s="211">
        <f t="shared" si="35"/>
        <v>0</v>
      </c>
      <c r="AZ158" s="212">
        <f t="shared" si="36"/>
        <v>0</v>
      </c>
      <c r="BA158" s="212">
        <f t="shared" si="37"/>
        <v>0</v>
      </c>
      <c r="BB158" s="213">
        <f t="shared" si="38"/>
        <v>0</v>
      </c>
      <c r="BC158" s="225">
        <f t="shared" si="39"/>
        <v>0</v>
      </c>
      <c r="BD158" s="211">
        <f t="shared" si="40"/>
        <v>0</v>
      </c>
      <c r="BE158" s="212">
        <f t="shared" si="41"/>
        <v>0</v>
      </c>
      <c r="BF158" s="212">
        <f t="shared" si="42"/>
        <v>0</v>
      </c>
      <c r="BG158" s="213">
        <f t="shared" si="43"/>
        <v>0</v>
      </c>
      <c r="BH158" s="225">
        <f t="shared" si="44"/>
        <v>0</v>
      </c>
      <c r="BI158" s="214">
        <f t="shared" si="45"/>
        <v>0</v>
      </c>
      <c r="BJ158" s="215">
        <f t="shared" si="46"/>
        <v>0</v>
      </c>
      <c r="BK158" s="215">
        <f t="shared" si="47"/>
        <v>0</v>
      </c>
      <c r="BL158" s="216">
        <f t="shared" si="48"/>
        <v>0</v>
      </c>
      <c r="BM158" s="225">
        <f t="shared" si="49"/>
        <v>0</v>
      </c>
      <c r="BN158" s="225"/>
      <c r="BO158" s="234"/>
      <c r="BP158" s="218">
        <f t="shared" si="50"/>
        <v>0</v>
      </c>
    </row>
    <row r="159" spans="1:68">
      <c r="A159" s="170">
        <v>152</v>
      </c>
      <c r="B159" s="170" t="s">
        <v>75</v>
      </c>
      <c r="C159" s="200">
        <v>48</v>
      </c>
      <c r="D159" s="170" t="s">
        <v>82</v>
      </c>
      <c r="E159" s="170" t="s">
        <v>424</v>
      </c>
      <c r="F159" s="200">
        <f>VLOOKUP(PrévisionBoris[[#This Row],[Spec]],TabModelSpecs[[ModelSpec]:[Price]],2,FALSE)</f>
        <v>41</v>
      </c>
      <c r="G159" s="170" t="s">
        <v>462</v>
      </c>
      <c r="H159" s="219">
        <f>SUMIFS(LstMachines[Nbre],LstMachines[Model-Spec],PrévisionBoris[[#This Row],[Spec]],LstMachines[Status],PrévisionBoris[[#This Row],[Status]],LstMachines[MoisLivr],H$1)</f>
        <v>0</v>
      </c>
      <c r="I159" s="220">
        <f>SUMIFS(LstMachines[Nbre],LstMachines[Model-Spec],PrévisionBoris[[#This Row],[Spec]],LstMachines[Status],PrévisionBoris[[#This Row],[Status]],LstMachines[MoisLivr],I$1)</f>
        <v>0</v>
      </c>
      <c r="J159" s="221">
        <f>SUMIFS(LstMachines[Nbre],LstMachines[Model-Spec],PrévisionBoris[[#This Row],[Spec]],LstMachines[Status],PrévisionBoris[[#This Row],[Status]],LstMachines[MoisLivr],J$1)</f>
        <v>0</v>
      </c>
      <c r="K159" s="219">
        <f>SUMIFS(LstMachines[Nbre],LstMachines[Model-Spec],PrévisionBoris[[#This Row],[Spec]],LstMachines[Status],PrévisionBoris[[#This Row],[Status]],LstMachines[MoisLivr],K$1)</f>
        <v>0</v>
      </c>
      <c r="L159" s="220">
        <f>SUMIFS(LstMachines[Nbre],LstMachines[Model-Spec],PrévisionBoris[[#This Row],[Spec]],LstMachines[Status],PrévisionBoris[[#This Row],[Status]],LstMachines[MoisLivr],L$1)</f>
        <v>0</v>
      </c>
      <c r="M159" s="221">
        <f>SUMIFS(LstMachines[Nbre],LstMachines[Model-Spec],PrévisionBoris[[#This Row],[Spec]],LstMachines[Status],PrévisionBoris[[#This Row],[Status]],LstMachines[MoisLivr],M$1)</f>
        <v>0</v>
      </c>
      <c r="N159" s="219">
        <f>SUMIFS(LstMachines[Nbre],LstMachines[Model-Spec],PrévisionBoris[[#This Row],[Spec]],LstMachines[Status],PrévisionBoris[[#This Row],[Status]],LstMachines[MoisLivr],N$1)</f>
        <v>0</v>
      </c>
      <c r="O159" s="220">
        <f>SUMIFS(LstMachines[Nbre],LstMachines[Model-Spec],PrévisionBoris[[#This Row],[Spec]],LstMachines[Status],PrévisionBoris[[#This Row],[Status]],LstMachines[MoisLivr],O$1)</f>
        <v>0</v>
      </c>
      <c r="P159" s="221">
        <f>SUMIFS(LstMachines[Nbre],LstMachines[Model-Spec],PrévisionBoris[[#This Row],[Spec]],LstMachines[Status],PrévisionBoris[[#This Row],[Status]],LstMachines[MoisLivr],P$1)</f>
        <v>0</v>
      </c>
      <c r="Q159" s="222">
        <f>SUMIFS(LstMachines[Nbre],LstMachines[Model-Spec],PrévisionBoris[[#This Row],[Spec]],LstMachines[Status],PrévisionBoris[[#This Row],[Status]],LstMachines[MoisLivr],Q$1)</f>
        <v>0</v>
      </c>
      <c r="R159" s="220">
        <f>SUMIFS(LstMachines[Nbre],LstMachines[Model-Spec],PrévisionBoris[[#This Row],[Spec]],LstMachines[Status],PrévisionBoris[[#This Row],[Status]],LstMachines[MoisLivr],R$1)</f>
        <v>0</v>
      </c>
      <c r="S159" s="220">
        <f>SUMIFS(LstMachines[Nbre],LstMachines[Model-Spec],PrévisionBoris[[#This Row],[Spec]],LstMachines[Status],PrévisionBoris[[#This Row],[Status]],LstMachines[MoisLivr],S$1)</f>
        <v>0</v>
      </c>
      <c r="T159" s="219">
        <f>SUMIFS(LstMachines[Nbre],LstMachines[Model-Spec],PrévisionBoris[[#This Row],[Spec]],LstMachines[Status],PrévisionBoris[[#This Row],[Status]],LstMachines[MoisLivr],T$1)</f>
        <v>0</v>
      </c>
      <c r="U159" s="220">
        <f>SUMIFS(LstMachines[Nbre],LstMachines[Model-Spec],PrévisionBoris[[#This Row],[Spec]],LstMachines[Status],PrévisionBoris[[#This Row],[Status]],LstMachines[MoisLivr],U$1)</f>
        <v>0</v>
      </c>
      <c r="V159" s="220">
        <f>SUMIFS(LstMachines[Nbre],LstMachines[Model-Spec],PrévisionBoris[[#This Row],[Spec]],LstMachines[Status],PrévisionBoris[[#This Row],[Status]],LstMachines[MoisLivr],V$1)</f>
        <v>0</v>
      </c>
      <c r="W159" s="219">
        <f>SUMIFS(LstMachines[Nbre],LstMachines[Model-Spec],PrévisionBoris[[#This Row],[Spec]],LstMachines[Status],PrévisionBoris[[#This Row],[Status]],LstMachines[MoisLivr],W$1)</f>
        <v>0</v>
      </c>
      <c r="X159" s="220">
        <f>SUMIFS(LstMachines[Nbre],LstMachines[Model-Spec],PrévisionBoris[[#This Row],[Spec]],LstMachines[Status],PrévisionBoris[[#This Row],[Status]],LstMachines[MoisLivr],X$1)</f>
        <v>0</v>
      </c>
      <c r="Y159" s="220">
        <f>SUMIFS(LstMachines[Nbre],LstMachines[Model-Spec],PrévisionBoris[[#This Row],[Spec]],LstMachines[Status],PrévisionBoris[[#This Row],[Status]],LstMachines[MoisLivr],Y$1)</f>
        <v>0</v>
      </c>
      <c r="Z159" s="219">
        <f>SUMIFS(LstMachines[Nbre],LstMachines[Model-Spec],PrévisionBoris[[#This Row],[Spec]],LstMachines[Status],PrévisionBoris[[#This Row],[Status]],LstMachines[MoisLivr],Z$1)</f>
        <v>0</v>
      </c>
      <c r="AA159" s="220">
        <f>SUMIFS(LstMachines[Nbre],LstMachines[Model-Spec],PrévisionBoris[[#This Row],[Spec]],LstMachines[Status],PrévisionBoris[[#This Row],[Status]],LstMachines[MoisLivr],AA$1)</f>
        <v>0</v>
      </c>
      <c r="AB159" s="220">
        <f>SUMIFS(LstMachines[Nbre],LstMachines[Model-Spec],PrévisionBoris[[#This Row],[Spec]],LstMachines[Status],PrévisionBoris[[#This Row],[Status]],LstMachines[MoisLivr],AB$1)</f>
        <v>0</v>
      </c>
      <c r="AC159" s="219">
        <f>SUMIFS(LstMachines[Nbre],LstMachines[Model-Spec],PrévisionBoris[[#This Row],[Spec]],LstMachines[Status],PrévisionBoris[[#This Row],[Status]],LstMachines[MoisLivr],AC$1)</f>
        <v>0</v>
      </c>
      <c r="AD159" s="220">
        <f>SUMIFS(LstMachines[Nbre],LstMachines[Model-Spec],PrévisionBoris[[#This Row],[Spec]],LstMachines[Status],PrévisionBoris[[#This Row],[Status]],LstMachines[MoisLivr],AD$1)</f>
        <v>0</v>
      </c>
      <c r="AE159" s="220">
        <f>SUMIFS(LstMachines[Nbre],LstMachines[Model-Spec],PrévisionBoris[[#This Row],[Spec]],LstMachines[Status],PrévisionBoris[[#This Row],[Status]],LstMachines[MoisLivr],AE$1)</f>
        <v>0</v>
      </c>
      <c r="AF159" s="219">
        <f>SUMIFS(LstMachines[Nbre],LstMachines[Model-Spec],PrévisionBoris[[#This Row],[Spec]],LstMachines[Status],PrévisionBoris[[#This Row],[Status]],LstMachines[MoisLivr],AF$1)</f>
        <v>0</v>
      </c>
      <c r="AG159" s="220">
        <f>SUMIFS(LstMachines[Nbre],LstMachines[Model-Spec],PrévisionBoris[[#This Row],[Spec]],LstMachines[Status],PrévisionBoris[[#This Row],[Status]],LstMachines[MoisLivr],AG$1)</f>
        <v>0</v>
      </c>
      <c r="AH159" s="220">
        <f>SUMIFS(LstMachines[Nbre],LstMachines[Model-Spec],PrévisionBoris[[#This Row],[Spec]],LstMachines[Status],PrévisionBoris[[#This Row],[Status]],LstMachines[MoisLivr],AH$1)</f>
        <v>0</v>
      </c>
      <c r="AI159" s="219">
        <f>SUMIFS(LstMachines[Nbre],LstMachines[Model-Spec],PrévisionBoris[[#This Row],[Spec]],LstMachines[Status],PrévisionBoris[[#This Row],[Status]],LstMachines[MoisLivr],AI$1)</f>
        <v>0</v>
      </c>
      <c r="AJ159" s="220">
        <f>SUMIFS(LstMachines[Nbre],LstMachines[Model-Spec],PrévisionBoris[[#This Row],[Spec]],LstMachines[Status],PrévisionBoris[[#This Row],[Status]],LstMachines[MoisLivr],AJ$1)</f>
        <v>0</v>
      </c>
      <c r="AK159" s="220">
        <f>SUMIFS(LstMachines[Nbre],LstMachines[Model-Spec],PrévisionBoris[[#This Row],[Spec]],LstMachines[Status],PrévisionBoris[[#This Row],[Status]],LstMachines[MoisLivr],AK$1)</f>
        <v>0</v>
      </c>
      <c r="AL159" s="219">
        <f>SUMIFS(LstMachines[Nbre],LstMachines[Model-Spec],PrévisionBoris[[#This Row],[Spec]],LstMachines[Status],PrévisionBoris[[#This Row],[Status]],LstMachines[MoisLivr],AL$1)</f>
        <v>0</v>
      </c>
      <c r="AM159" s="220">
        <f>SUMIFS(LstMachines[Nbre],LstMachines[Model-Spec],PrévisionBoris[[#This Row],[Spec]],LstMachines[Status],PrévisionBoris[[#This Row],[Status]],LstMachines[MoisLivr],AM$1)</f>
        <v>0</v>
      </c>
      <c r="AN159" s="220">
        <f>SUMIFS(LstMachines[Nbre],LstMachines[Model-Spec],PrévisionBoris[[#This Row],[Spec]],LstMachines[Status],PrévisionBoris[[#This Row],[Status]],LstMachines[MoisLivr],AN$1)</f>
        <v>0</v>
      </c>
      <c r="AO159" s="219">
        <f>SUMIFS(LstMachines[Nbre],LstMachines[Model-Spec],PrévisionBoris[[#This Row],[Spec]],LstMachines[Status],PrévisionBoris[[#This Row],[Status]],LstMachines[MoisLivr],AO$1)</f>
        <v>0</v>
      </c>
      <c r="AP159" s="220">
        <f>SUMIFS(LstMachines[Nbre],LstMachines[Model-Spec],PrévisionBoris[[#This Row],[Spec]],LstMachines[Status],PrévisionBoris[[#This Row],[Status]],LstMachines[MoisLivr],AP$1)</f>
        <v>0</v>
      </c>
      <c r="AQ159" s="220">
        <f>SUMIFS(LstMachines[Nbre],LstMachines[Model-Spec],PrévisionBoris[[#This Row],[Spec]],LstMachines[Status],PrévisionBoris[[#This Row],[Status]],LstMachines[MoisLivr],AQ$1)</f>
        <v>0</v>
      </c>
      <c r="AR159" s="219">
        <f>SUMIFS(LstMachines[Nbre],LstMachines[Model-Spec],PrévisionBoris[[#This Row],[Spec]],LstMachines[Status],PrévisionBoris[[#This Row],[Status]],LstMachines[MoisLivr],AR$1)</f>
        <v>0</v>
      </c>
      <c r="AS159" s="220">
        <f>SUMIFS(LstMachines[Nbre],LstMachines[Model-Spec],PrévisionBoris[[#This Row],[Spec]],LstMachines[Status],PrévisionBoris[[#This Row],[Status]],LstMachines[MoisLivr],AS$1)</f>
        <v>0</v>
      </c>
      <c r="AT159" s="220">
        <f>SUMIFS(LstMachines[Nbre],LstMachines[Model-Spec],PrévisionBoris[[#This Row],[Spec]],LstMachines[Status],PrévisionBoris[[#This Row],[Status]],LstMachines[MoisLivr],AT$1)</f>
        <v>0</v>
      </c>
      <c r="AU159" s="219">
        <f>SUMIFS(LstMachines[Nbre],LstMachines[Model-Spec],PrévisionBoris[[#This Row],[Spec]],LstMachines[Status],PrévisionBoris[[#This Row],[Status]],LstMachines[MoisLivr],AU$1)</f>
        <v>0</v>
      </c>
      <c r="AV159" s="223">
        <f>SUMIFS(LstMachines[Nbre],LstMachines[Model-Spec],PrévisionBoris[[#This Row],[Spec]],LstMachines[Status],PrévisionBoris[[#This Row],[Status]],LstMachines[MoisLivr],AV$1)</f>
        <v>0</v>
      </c>
      <c r="AW159" s="224">
        <f>SUMIFS(LstMachines[Nbre],LstMachines[Model-Spec],PrévisionBoris[[#This Row],[Spec]],LstMachines[Status],PrévisionBoris[[#This Row],[Status]],LstMachines[MoisLivr],AW$1)</f>
        <v>0</v>
      </c>
      <c r="AX159" s="210"/>
      <c r="AY159" s="211">
        <f t="shared" si="35"/>
        <v>0</v>
      </c>
      <c r="AZ159" s="212">
        <f t="shared" si="36"/>
        <v>0</v>
      </c>
      <c r="BA159" s="212">
        <f t="shared" si="37"/>
        <v>0</v>
      </c>
      <c r="BB159" s="213">
        <f t="shared" si="38"/>
        <v>0</v>
      </c>
      <c r="BC159" s="225">
        <f t="shared" si="39"/>
        <v>0</v>
      </c>
      <c r="BD159" s="211">
        <f t="shared" si="40"/>
        <v>0</v>
      </c>
      <c r="BE159" s="212">
        <f t="shared" si="41"/>
        <v>0</v>
      </c>
      <c r="BF159" s="212">
        <f t="shared" si="42"/>
        <v>0</v>
      </c>
      <c r="BG159" s="213">
        <f t="shared" si="43"/>
        <v>0</v>
      </c>
      <c r="BH159" s="225">
        <f t="shared" si="44"/>
        <v>0</v>
      </c>
      <c r="BI159" s="214">
        <f t="shared" si="45"/>
        <v>0</v>
      </c>
      <c r="BJ159" s="215">
        <f t="shared" si="46"/>
        <v>0</v>
      </c>
      <c r="BK159" s="215">
        <f t="shared" si="47"/>
        <v>0</v>
      </c>
      <c r="BL159" s="216">
        <f t="shared" si="48"/>
        <v>0</v>
      </c>
      <c r="BM159" s="225">
        <f t="shared" si="49"/>
        <v>0</v>
      </c>
      <c r="BN159" s="225"/>
      <c r="BO159" s="217"/>
      <c r="BP159" s="218">
        <f t="shared" si="50"/>
        <v>0</v>
      </c>
    </row>
    <row r="160" spans="1:68">
      <c r="A160" s="171">
        <v>153</v>
      </c>
      <c r="B160" s="171" t="s">
        <v>75</v>
      </c>
      <c r="C160" s="201">
        <v>48</v>
      </c>
      <c r="D160" s="171" t="s">
        <v>82</v>
      </c>
      <c r="E160" s="171" t="s">
        <v>424</v>
      </c>
      <c r="F160" s="201">
        <f>VLOOKUP(PrévisionBoris[[#This Row],[Spec]],TabModelSpecs[[ModelSpec]:[Price]],2,FALSE)</f>
        <v>41</v>
      </c>
      <c r="G160" s="171" t="s">
        <v>463</v>
      </c>
      <c r="H160" s="226">
        <f>SUMIFS(LstMachines[Nbre],LstMachines[Model-Spec],PrévisionBoris[[#This Row],[Spec]],LstMachines[Status],PrévisionBoris[[#This Row],[Status]],LstMachines[MoisLivr],H$1)</f>
        <v>0</v>
      </c>
      <c r="I160" s="227">
        <f>SUMIFS(LstMachines[Nbre],LstMachines[Model-Spec],PrévisionBoris[[#This Row],[Spec]],LstMachines[Status],PrévisionBoris[[#This Row],[Status]],LstMachines[MoisLivr],I$1)</f>
        <v>0</v>
      </c>
      <c r="J160" s="228">
        <f>SUMIFS(LstMachines[Nbre],LstMachines[Model-Spec],PrévisionBoris[[#This Row],[Spec]],LstMachines[Status],PrévisionBoris[[#This Row],[Status]],LstMachines[MoisLivr],J$1)</f>
        <v>0</v>
      </c>
      <c r="K160" s="226">
        <f>SUMIFS(LstMachines[Nbre],LstMachines[Model-Spec],PrévisionBoris[[#This Row],[Spec]],LstMachines[Status],PrévisionBoris[[#This Row],[Status]],LstMachines[MoisLivr],K$1)</f>
        <v>0</v>
      </c>
      <c r="L160" s="227">
        <f>SUMIFS(LstMachines[Nbre],LstMachines[Model-Spec],PrévisionBoris[[#This Row],[Spec]],LstMachines[Status],PrévisionBoris[[#This Row],[Status]],LstMachines[MoisLivr],L$1)</f>
        <v>0</v>
      </c>
      <c r="M160" s="228">
        <f>SUMIFS(LstMachines[Nbre],LstMachines[Model-Spec],PrévisionBoris[[#This Row],[Spec]],LstMachines[Status],PrévisionBoris[[#This Row],[Status]],LstMachines[MoisLivr],M$1)</f>
        <v>0</v>
      </c>
      <c r="N160" s="226">
        <f>SUMIFS(LstMachines[Nbre],LstMachines[Model-Spec],PrévisionBoris[[#This Row],[Spec]],LstMachines[Status],PrévisionBoris[[#This Row],[Status]],LstMachines[MoisLivr],N$1)</f>
        <v>0</v>
      </c>
      <c r="O160" s="227">
        <f>SUMIFS(LstMachines[Nbre],LstMachines[Model-Spec],PrévisionBoris[[#This Row],[Spec]],LstMachines[Status],PrévisionBoris[[#This Row],[Status]],LstMachines[MoisLivr],O$1)</f>
        <v>0</v>
      </c>
      <c r="P160" s="228">
        <f>SUMIFS(LstMachines[Nbre],LstMachines[Model-Spec],PrévisionBoris[[#This Row],[Spec]],LstMachines[Status],PrévisionBoris[[#This Row],[Status]],LstMachines[MoisLivr],P$1)</f>
        <v>0</v>
      </c>
      <c r="Q160" s="229">
        <f>SUMIFS(LstMachines[Nbre],LstMachines[Model-Spec],PrévisionBoris[[#This Row],[Spec]],LstMachines[Status],PrévisionBoris[[#This Row],[Status]],LstMachines[MoisLivr],Q$1)</f>
        <v>0</v>
      </c>
      <c r="R160" s="227">
        <f>SUMIFS(LstMachines[Nbre],LstMachines[Model-Spec],PrévisionBoris[[#This Row],[Spec]],LstMachines[Status],PrévisionBoris[[#This Row],[Status]],LstMachines[MoisLivr],R$1)</f>
        <v>0</v>
      </c>
      <c r="S160" s="227">
        <f>SUMIFS(LstMachines[Nbre],LstMachines[Model-Spec],PrévisionBoris[[#This Row],[Spec]],LstMachines[Status],PrévisionBoris[[#This Row],[Status]],LstMachines[MoisLivr],S$1)</f>
        <v>0</v>
      </c>
      <c r="T160" s="226">
        <f>SUMIFS(LstMachines[Nbre],LstMachines[Model-Spec],PrévisionBoris[[#This Row],[Spec]],LstMachines[Status],PrévisionBoris[[#This Row],[Status]],LstMachines[MoisLivr],T$1)</f>
        <v>0</v>
      </c>
      <c r="U160" s="227">
        <f>SUMIFS(LstMachines[Nbre],LstMachines[Model-Spec],PrévisionBoris[[#This Row],[Spec]],LstMachines[Status],PrévisionBoris[[#This Row],[Status]],LstMachines[MoisLivr],U$1)</f>
        <v>0</v>
      </c>
      <c r="V160" s="227">
        <f>SUMIFS(LstMachines[Nbre],LstMachines[Model-Spec],PrévisionBoris[[#This Row],[Spec]],LstMachines[Status],PrévisionBoris[[#This Row],[Status]],LstMachines[MoisLivr],V$1)</f>
        <v>0</v>
      </c>
      <c r="W160" s="226">
        <f>SUMIFS(LstMachines[Nbre],LstMachines[Model-Spec],PrévisionBoris[[#This Row],[Spec]],LstMachines[Status],PrévisionBoris[[#This Row],[Status]],LstMachines[MoisLivr],W$1)</f>
        <v>0</v>
      </c>
      <c r="X160" s="227">
        <f>SUMIFS(LstMachines[Nbre],LstMachines[Model-Spec],PrévisionBoris[[#This Row],[Spec]],LstMachines[Status],PrévisionBoris[[#This Row],[Status]],LstMachines[MoisLivr],X$1)</f>
        <v>0</v>
      </c>
      <c r="Y160" s="227">
        <f>SUMIFS(LstMachines[Nbre],LstMachines[Model-Spec],PrévisionBoris[[#This Row],[Spec]],LstMachines[Status],PrévisionBoris[[#This Row],[Status]],LstMachines[MoisLivr],Y$1)</f>
        <v>0</v>
      </c>
      <c r="Z160" s="226">
        <f>SUMIFS(LstMachines[Nbre],LstMachines[Model-Spec],PrévisionBoris[[#This Row],[Spec]],LstMachines[Status],PrévisionBoris[[#This Row],[Status]],LstMachines[MoisLivr],Z$1)</f>
        <v>0</v>
      </c>
      <c r="AA160" s="227">
        <f>SUMIFS(LstMachines[Nbre],LstMachines[Model-Spec],PrévisionBoris[[#This Row],[Spec]],LstMachines[Status],PrévisionBoris[[#This Row],[Status]],LstMachines[MoisLivr],AA$1)</f>
        <v>0</v>
      </c>
      <c r="AB160" s="227">
        <f>SUMIFS(LstMachines[Nbre],LstMachines[Model-Spec],PrévisionBoris[[#This Row],[Spec]],LstMachines[Status],PrévisionBoris[[#This Row],[Status]],LstMachines[MoisLivr],AB$1)</f>
        <v>0</v>
      </c>
      <c r="AC160" s="226">
        <f>SUMIFS(LstMachines[Nbre],LstMachines[Model-Spec],PrévisionBoris[[#This Row],[Spec]],LstMachines[Status],PrévisionBoris[[#This Row],[Status]],LstMachines[MoisLivr],AC$1)</f>
        <v>0</v>
      </c>
      <c r="AD160" s="227">
        <f>SUMIFS(LstMachines[Nbre],LstMachines[Model-Spec],PrévisionBoris[[#This Row],[Spec]],LstMachines[Status],PrévisionBoris[[#This Row],[Status]],LstMachines[MoisLivr],AD$1)</f>
        <v>0</v>
      </c>
      <c r="AE160" s="227">
        <f>SUMIFS(LstMachines[Nbre],LstMachines[Model-Spec],PrévisionBoris[[#This Row],[Spec]],LstMachines[Status],PrévisionBoris[[#This Row],[Status]],LstMachines[MoisLivr],AE$1)</f>
        <v>0</v>
      </c>
      <c r="AF160" s="226">
        <f>SUMIFS(LstMachines[Nbre],LstMachines[Model-Spec],PrévisionBoris[[#This Row],[Spec]],LstMachines[Status],PrévisionBoris[[#This Row],[Status]],LstMachines[MoisLivr],AF$1)</f>
        <v>0</v>
      </c>
      <c r="AG160" s="227">
        <f>SUMIFS(LstMachines[Nbre],LstMachines[Model-Spec],PrévisionBoris[[#This Row],[Spec]],LstMachines[Status],PrévisionBoris[[#This Row],[Status]],LstMachines[MoisLivr],AG$1)</f>
        <v>0</v>
      </c>
      <c r="AH160" s="227">
        <f>SUMIFS(LstMachines[Nbre],LstMachines[Model-Spec],PrévisionBoris[[#This Row],[Spec]],LstMachines[Status],PrévisionBoris[[#This Row],[Status]],LstMachines[MoisLivr],AH$1)</f>
        <v>0</v>
      </c>
      <c r="AI160" s="226">
        <f>SUMIFS(LstMachines[Nbre],LstMachines[Model-Spec],PrévisionBoris[[#This Row],[Spec]],LstMachines[Status],PrévisionBoris[[#This Row],[Status]],LstMachines[MoisLivr],AI$1)</f>
        <v>0</v>
      </c>
      <c r="AJ160" s="227">
        <f>SUMIFS(LstMachines[Nbre],LstMachines[Model-Spec],PrévisionBoris[[#This Row],[Spec]],LstMachines[Status],PrévisionBoris[[#This Row],[Status]],LstMachines[MoisLivr],AJ$1)</f>
        <v>0</v>
      </c>
      <c r="AK160" s="227">
        <f>SUMIFS(LstMachines[Nbre],LstMachines[Model-Spec],PrévisionBoris[[#This Row],[Spec]],LstMachines[Status],PrévisionBoris[[#This Row],[Status]],LstMachines[MoisLivr],AK$1)</f>
        <v>0</v>
      </c>
      <c r="AL160" s="226">
        <f>SUMIFS(LstMachines[Nbre],LstMachines[Model-Spec],PrévisionBoris[[#This Row],[Spec]],LstMachines[Status],PrévisionBoris[[#This Row],[Status]],LstMachines[MoisLivr],AL$1)</f>
        <v>0</v>
      </c>
      <c r="AM160" s="227">
        <f>SUMIFS(LstMachines[Nbre],LstMachines[Model-Spec],PrévisionBoris[[#This Row],[Spec]],LstMachines[Status],PrévisionBoris[[#This Row],[Status]],LstMachines[MoisLivr],AM$1)</f>
        <v>0</v>
      </c>
      <c r="AN160" s="227">
        <f>SUMIFS(LstMachines[Nbre],LstMachines[Model-Spec],PrévisionBoris[[#This Row],[Spec]],LstMachines[Status],PrévisionBoris[[#This Row],[Status]],LstMachines[MoisLivr],AN$1)</f>
        <v>0</v>
      </c>
      <c r="AO160" s="226">
        <f>SUMIFS(LstMachines[Nbre],LstMachines[Model-Spec],PrévisionBoris[[#This Row],[Spec]],LstMachines[Status],PrévisionBoris[[#This Row],[Status]],LstMachines[MoisLivr],AO$1)</f>
        <v>0</v>
      </c>
      <c r="AP160" s="227">
        <f>SUMIFS(LstMachines[Nbre],LstMachines[Model-Spec],PrévisionBoris[[#This Row],[Spec]],LstMachines[Status],PrévisionBoris[[#This Row],[Status]],LstMachines[MoisLivr],AP$1)</f>
        <v>0</v>
      </c>
      <c r="AQ160" s="227">
        <f>SUMIFS(LstMachines[Nbre],LstMachines[Model-Spec],PrévisionBoris[[#This Row],[Spec]],LstMachines[Status],PrévisionBoris[[#This Row],[Status]],LstMachines[MoisLivr],AQ$1)</f>
        <v>0</v>
      </c>
      <c r="AR160" s="226">
        <f>SUMIFS(LstMachines[Nbre],LstMachines[Model-Spec],PrévisionBoris[[#This Row],[Spec]],LstMachines[Status],PrévisionBoris[[#This Row],[Status]],LstMachines[MoisLivr],AR$1)</f>
        <v>0</v>
      </c>
      <c r="AS160" s="227">
        <f>SUMIFS(LstMachines[Nbre],LstMachines[Model-Spec],PrévisionBoris[[#This Row],[Spec]],LstMachines[Status],PrévisionBoris[[#This Row],[Status]],LstMachines[MoisLivr],AS$1)</f>
        <v>0</v>
      </c>
      <c r="AT160" s="227">
        <f>SUMIFS(LstMachines[Nbre],LstMachines[Model-Spec],PrévisionBoris[[#This Row],[Spec]],LstMachines[Status],PrévisionBoris[[#This Row],[Status]],LstMachines[MoisLivr],AT$1)</f>
        <v>0</v>
      </c>
      <c r="AU160" s="226">
        <f>SUMIFS(LstMachines[Nbre],LstMachines[Model-Spec],PrévisionBoris[[#This Row],[Spec]],LstMachines[Status],PrévisionBoris[[#This Row],[Status]],LstMachines[MoisLivr],AU$1)</f>
        <v>0</v>
      </c>
      <c r="AV160" s="230">
        <f>SUMIFS(LstMachines[Nbre],LstMachines[Model-Spec],PrévisionBoris[[#This Row],[Spec]],LstMachines[Status],PrévisionBoris[[#This Row],[Status]],LstMachines[MoisLivr],AV$1)</f>
        <v>0</v>
      </c>
      <c r="AW160" s="231">
        <f>SUMIFS(LstMachines[Nbre],LstMachines[Model-Spec],PrévisionBoris[[#This Row],[Spec]],LstMachines[Status],PrévisionBoris[[#This Row],[Status]],LstMachines[MoisLivr],AW$1)</f>
        <v>0</v>
      </c>
      <c r="AX160" s="232"/>
      <c r="AY160" s="211">
        <f t="shared" si="35"/>
        <v>0</v>
      </c>
      <c r="AZ160" s="212">
        <f t="shared" si="36"/>
        <v>0</v>
      </c>
      <c r="BA160" s="212">
        <f t="shared" si="37"/>
        <v>0</v>
      </c>
      <c r="BB160" s="213">
        <f t="shared" si="38"/>
        <v>0</v>
      </c>
      <c r="BC160" s="225">
        <f t="shared" si="39"/>
        <v>0</v>
      </c>
      <c r="BD160" s="211">
        <f t="shared" si="40"/>
        <v>0</v>
      </c>
      <c r="BE160" s="212">
        <f t="shared" si="41"/>
        <v>0</v>
      </c>
      <c r="BF160" s="212">
        <f t="shared" si="42"/>
        <v>0</v>
      </c>
      <c r="BG160" s="213">
        <f t="shared" si="43"/>
        <v>0</v>
      </c>
      <c r="BH160" s="225">
        <f t="shared" si="44"/>
        <v>0</v>
      </c>
      <c r="BI160" s="214">
        <f t="shared" si="45"/>
        <v>0</v>
      </c>
      <c r="BJ160" s="215">
        <f t="shared" si="46"/>
        <v>0</v>
      </c>
      <c r="BK160" s="215">
        <f t="shared" si="47"/>
        <v>0</v>
      </c>
      <c r="BL160" s="216">
        <f t="shared" si="48"/>
        <v>0</v>
      </c>
      <c r="BM160" s="225">
        <f t="shared" si="49"/>
        <v>0</v>
      </c>
      <c r="BN160" s="225"/>
      <c r="BO160" s="217"/>
      <c r="BP160" s="218">
        <f t="shared" si="50"/>
        <v>0</v>
      </c>
    </row>
    <row r="161" spans="1:68">
      <c r="A161" s="172">
        <v>154</v>
      </c>
      <c r="B161" s="172" t="s">
        <v>75</v>
      </c>
      <c r="C161" s="202">
        <v>48</v>
      </c>
      <c r="D161" s="172" t="s">
        <v>82</v>
      </c>
      <c r="E161" s="172" t="s">
        <v>425</v>
      </c>
      <c r="F161" s="202">
        <f>VLOOKUP(PrévisionBoris[[#This Row],[Spec]],TabModelSpecs[[ModelSpec]:[Price]],2,FALSE)</f>
        <v>41</v>
      </c>
      <c r="G161" s="172" t="s">
        <v>461</v>
      </c>
      <c r="H161" s="206">
        <f>SUMIFS(LstMachines[Nbre],LstMachines[Model-Spec],PrévisionBoris[[#This Row],[Spec]],LstMachines[Status],PrévisionBoris[[#This Row],[Status]],LstMachines[MoisLivr],H$1)</f>
        <v>0</v>
      </c>
      <c r="I161" s="207">
        <f>SUMIFS(LstMachines[Nbre],LstMachines[Model-Spec],PrévisionBoris[[#This Row],[Spec]],LstMachines[Status],PrévisionBoris[[#This Row],[Status]],LstMachines[MoisLivr],I$1)</f>
        <v>0</v>
      </c>
      <c r="J161" s="208">
        <f>SUMIFS(LstMachines[Nbre],LstMachines[Model-Spec],PrévisionBoris[[#This Row],[Spec]],LstMachines[Status],PrévisionBoris[[#This Row],[Status]],LstMachines[MoisLivr],J$1)</f>
        <v>0</v>
      </c>
      <c r="K161" s="206">
        <f>SUMIFS(LstMachines[Nbre],LstMachines[Model-Spec],PrévisionBoris[[#This Row],[Spec]],LstMachines[Status],PrévisionBoris[[#This Row],[Status]],LstMachines[MoisLivr],K$1)</f>
        <v>0</v>
      </c>
      <c r="L161" s="207">
        <f>SUMIFS(LstMachines[Nbre],LstMachines[Model-Spec],PrévisionBoris[[#This Row],[Spec]],LstMachines[Status],PrévisionBoris[[#This Row],[Status]],LstMachines[MoisLivr],L$1)</f>
        <v>0</v>
      </c>
      <c r="M161" s="208">
        <f>SUMIFS(LstMachines[Nbre],LstMachines[Model-Spec],PrévisionBoris[[#This Row],[Spec]],LstMachines[Status],PrévisionBoris[[#This Row],[Status]],LstMachines[MoisLivr],M$1)</f>
        <v>0</v>
      </c>
      <c r="N161" s="206">
        <f>SUMIFS(LstMachines[Nbre],LstMachines[Model-Spec],PrévisionBoris[[#This Row],[Spec]],LstMachines[Status],PrévisionBoris[[#This Row],[Status]],LstMachines[MoisLivr],N$1)</f>
        <v>0</v>
      </c>
      <c r="O161" s="207">
        <f>SUMIFS(LstMachines[Nbre],LstMachines[Model-Spec],PrévisionBoris[[#This Row],[Spec]],LstMachines[Status],PrévisionBoris[[#This Row],[Status]],LstMachines[MoisLivr],O$1)</f>
        <v>0</v>
      </c>
      <c r="P161" s="208">
        <f>SUMIFS(LstMachines[Nbre],LstMachines[Model-Spec],PrévisionBoris[[#This Row],[Spec]],LstMachines[Status],PrévisionBoris[[#This Row],[Status]],LstMachines[MoisLivr],P$1)</f>
        <v>0</v>
      </c>
      <c r="Q161" s="209">
        <f>SUMIFS(LstMachines[Nbre],LstMachines[Model-Spec],PrévisionBoris[[#This Row],[Spec]],LstMachines[Status],PrévisionBoris[[#This Row],[Status]],LstMachines[MoisLivr],Q$1)</f>
        <v>0</v>
      </c>
      <c r="R161" s="207">
        <f>SUMIFS(LstMachines[Nbre],LstMachines[Model-Spec],PrévisionBoris[[#This Row],[Spec]],LstMachines[Status],PrévisionBoris[[#This Row],[Status]],LstMachines[MoisLivr],R$1)</f>
        <v>0</v>
      </c>
      <c r="S161" s="207">
        <f>SUMIFS(LstMachines[Nbre],LstMachines[Model-Spec],PrévisionBoris[[#This Row],[Spec]],LstMachines[Status],PrévisionBoris[[#This Row],[Status]],LstMachines[MoisLivr],S$1)</f>
        <v>0</v>
      </c>
      <c r="T161" s="206">
        <f>SUMIFS(LstMachines[Nbre],LstMachines[Model-Spec],PrévisionBoris[[#This Row],[Spec]],LstMachines[Status],PrévisionBoris[[#This Row],[Status]],LstMachines[MoisLivr],T$1)</f>
        <v>0</v>
      </c>
      <c r="U161" s="207">
        <f>SUMIFS(LstMachines[Nbre],LstMachines[Model-Spec],PrévisionBoris[[#This Row],[Spec]],LstMachines[Status],PrévisionBoris[[#This Row],[Status]],LstMachines[MoisLivr],U$1)</f>
        <v>0</v>
      </c>
      <c r="V161" s="207">
        <f>SUMIFS(LstMachines[Nbre],LstMachines[Model-Spec],PrévisionBoris[[#This Row],[Spec]],LstMachines[Status],PrévisionBoris[[#This Row],[Status]],LstMachines[MoisLivr],V$1)</f>
        <v>0</v>
      </c>
      <c r="W161" s="206">
        <f>SUMIFS(LstMachines[Nbre],LstMachines[Model-Spec],PrévisionBoris[[#This Row],[Spec]],LstMachines[Status],PrévisionBoris[[#This Row],[Status]],LstMachines[MoisLivr],W$1)</f>
        <v>0</v>
      </c>
      <c r="X161" s="207">
        <f>SUMIFS(LstMachines[Nbre],LstMachines[Model-Spec],PrévisionBoris[[#This Row],[Spec]],LstMachines[Status],PrévisionBoris[[#This Row],[Status]],LstMachines[MoisLivr],X$1)</f>
        <v>0</v>
      </c>
      <c r="Y161" s="207">
        <f>SUMIFS(LstMachines[Nbre],LstMachines[Model-Spec],PrévisionBoris[[#This Row],[Spec]],LstMachines[Status],PrévisionBoris[[#This Row],[Status]],LstMachines[MoisLivr],Y$1)</f>
        <v>0</v>
      </c>
      <c r="Z161" s="206">
        <f>SUMIFS(LstMachines[Nbre],LstMachines[Model-Spec],PrévisionBoris[[#This Row],[Spec]],LstMachines[Status],PrévisionBoris[[#This Row],[Status]],LstMachines[MoisLivr],Z$1)</f>
        <v>0</v>
      </c>
      <c r="AA161" s="207">
        <f>SUMIFS(LstMachines[Nbre],LstMachines[Model-Spec],PrévisionBoris[[#This Row],[Spec]],LstMachines[Status],PrévisionBoris[[#This Row],[Status]],LstMachines[MoisLivr],AA$1)</f>
        <v>0</v>
      </c>
      <c r="AB161" s="207">
        <f>SUMIFS(LstMachines[Nbre],LstMachines[Model-Spec],PrévisionBoris[[#This Row],[Spec]],LstMachines[Status],PrévisionBoris[[#This Row],[Status]],LstMachines[MoisLivr],AB$1)</f>
        <v>0</v>
      </c>
      <c r="AC161" s="206">
        <f>SUMIFS(LstMachines[Nbre],LstMachines[Model-Spec],PrévisionBoris[[#This Row],[Spec]],LstMachines[Status],PrévisionBoris[[#This Row],[Status]],LstMachines[MoisLivr],AC$1)</f>
        <v>0</v>
      </c>
      <c r="AD161" s="207">
        <f>SUMIFS(LstMachines[Nbre],LstMachines[Model-Spec],PrévisionBoris[[#This Row],[Spec]],LstMachines[Status],PrévisionBoris[[#This Row],[Status]],LstMachines[MoisLivr],AD$1)</f>
        <v>0</v>
      </c>
      <c r="AE161" s="207">
        <f>SUMIFS(LstMachines[Nbre],LstMachines[Model-Spec],PrévisionBoris[[#This Row],[Spec]],LstMachines[Status],PrévisionBoris[[#This Row],[Status]],LstMachines[MoisLivr],AE$1)</f>
        <v>0</v>
      </c>
      <c r="AF161" s="206">
        <f>SUMIFS(LstMachines[Nbre],LstMachines[Model-Spec],PrévisionBoris[[#This Row],[Spec]],LstMachines[Status],PrévisionBoris[[#This Row],[Status]],LstMachines[MoisLivr],AF$1)</f>
        <v>0</v>
      </c>
      <c r="AG161" s="207">
        <f>SUMIFS(LstMachines[Nbre],LstMachines[Model-Spec],PrévisionBoris[[#This Row],[Spec]],LstMachines[Status],PrévisionBoris[[#This Row],[Status]],LstMachines[MoisLivr],AG$1)</f>
        <v>0</v>
      </c>
      <c r="AH161" s="207">
        <f>SUMIFS(LstMachines[Nbre],LstMachines[Model-Spec],PrévisionBoris[[#This Row],[Spec]],LstMachines[Status],PrévisionBoris[[#This Row],[Status]],LstMachines[MoisLivr],AH$1)</f>
        <v>0</v>
      </c>
      <c r="AI161" s="206">
        <f>SUMIFS(LstMachines[Nbre],LstMachines[Model-Spec],PrévisionBoris[[#This Row],[Spec]],LstMachines[Status],PrévisionBoris[[#This Row],[Status]],LstMachines[MoisLivr],AI$1)</f>
        <v>0</v>
      </c>
      <c r="AJ161" s="207">
        <f>SUMIFS(LstMachines[Nbre],LstMachines[Model-Spec],PrévisionBoris[[#This Row],[Spec]],LstMachines[Status],PrévisionBoris[[#This Row],[Status]],LstMachines[MoisLivr],AJ$1)</f>
        <v>0</v>
      </c>
      <c r="AK161" s="207">
        <f>SUMIFS(LstMachines[Nbre],LstMachines[Model-Spec],PrévisionBoris[[#This Row],[Spec]],LstMachines[Status],PrévisionBoris[[#This Row],[Status]],LstMachines[MoisLivr],AK$1)</f>
        <v>0</v>
      </c>
      <c r="AL161" s="206">
        <f>SUMIFS(LstMachines[Nbre],LstMachines[Model-Spec],PrévisionBoris[[#This Row],[Spec]],LstMachines[Status],PrévisionBoris[[#This Row],[Status]],LstMachines[MoisLivr],AL$1)</f>
        <v>0</v>
      </c>
      <c r="AM161" s="207">
        <f>SUMIFS(LstMachines[Nbre],LstMachines[Model-Spec],PrévisionBoris[[#This Row],[Spec]],LstMachines[Status],PrévisionBoris[[#This Row],[Status]],LstMachines[MoisLivr],AM$1)</f>
        <v>0</v>
      </c>
      <c r="AN161" s="207">
        <f>SUMIFS(LstMachines[Nbre],LstMachines[Model-Spec],PrévisionBoris[[#This Row],[Spec]],LstMachines[Status],PrévisionBoris[[#This Row],[Status]],LstMachines[MoisLivr],AN$1)</f>
        <v>0</v>
      </c>
      <c r="AO161" s="206">
        <f>SUMIFS(LstMachines[Nbre],LstMachines[Model-Spec],PrévisionBoris[[#This Row],[Spec]],LstMachines[Status],PrévisionBoris[[#This Row],[Status]],LstMachines[MoisLivr],AO$1)</f>
        <v>0</v>
      </c>
      <c r="AP161" s="207">
        <f>SUMIFS(LstMachines[Nbre],LstMachines[Model-Spec],PrévisionBoris[[#This Row],[Spec]],LstMachines[Status],PrévisionBoris[[#This Row],[Status]],LstMachines[MoisLivr],AP$1)</f>
        <v>0</v>
      </c>
      <c r="AQ161" s="207">
        <f>SUMIFS(LstMachines[Nbre],LstMachines[Model-Spec],PrévisionBoris[[#This Row],[Spec]],LstMachines[Status],PrévisionBoris[[#This Row],[Status]],LstMachines[MoisLivr],AQ$1)</f>
        <v>0</v>
      </c>
      <c r="AR161" s="206">
        <f>SUMIFS(LstMachines[Nbre],LstMachines[Model-Spec],PrévisionBoris[[#This Row],[Spec]],LstMachines[Status],PrévisionBoris[[#This Row],[Status]],LstMachines[MoisLivr],AR$1)</f>
        <v>0</v>
      </c>
      <c r="AS161" s="207">
        <f>SUMIFS(LstMachines[Nbre],LstMachines[Model-Spec],PrévisionBoris[[#This Row],[Spec]],LstMachines[Status],PrévisionBoris[[#This Row],[Status]],LstMachines[MoisLivr],AS$1)</f>
        <v>0</v>
      </c>
      <c r="AT161" s="207">
        <f>SUMIFS(LstMachines[Nbre],LstMachines[Model-Spec],PrévisionBoris[[#This Row],[Spec]],LstMachines[Status],PrévisionBoris[[#This Row],[Status]],LstMachines[MoisLivr],AT$1)</f>
        <v>0</v>
      </c>
      <c r="AU161" s="206">
        <f>SUMIFS(LstMachines[Nbre],LstMachines[Model-Spec],PrévisionBoris[[#This Row],[Spec]],LstMachines[Status],PrévisionBoris[[#This Row],[Status]],LstMachines[MoisLivr],AU$1)</f>
        <v>0</v>
      </c>
      <c r="AV161" s="233">
        <f>SUMIFS(LstMachines[Nbre],LstMachines[Model-Spec],PrévisionBoris[[#This Row],[Spec]],LstMachines[Status],PrévisionBoris[[#This Row],[Status]],LstMachines[MoisLivr],AV$1)</f>
        <v>0</v>
      </c>
      <c r="AW161" s="208">
        <f>SUMIFS(LstMachines[Nbre],LstMachines[Model-Spec],PrévisionBoris[[#This Row],[Spec]],LstMachines[Status],PrévisionBoris[[#This Row],[Status]],LstMachines[MoisLivr],AW$1)</f>
        <v>0</v>
      </c>
      <c r="AX161" s="225"/>
      <c r="AY161" s="211">
        <f t="shared" si="35"/>
        <v>0</v>
      </c>
      <c r="AZ161" s="212">
        <f t="shared" si="36"/>
        <v>0</v>
      </c>
      <c r="BA161" s="212">
        <f t="shared" si="37"/>
        <v>0</v>
      </c>
      <c r="BB161" s="213">
        <f t="shared" si="38"/>
        <v>0</v>
      </c>
      <c r="BC161" s="225">
        <f t="shared" si="39"/>
        <v>0</v>
      </c>
      <c r="BD161" s="211">
        <f t="shared" si="40"/>
        <v>0</v>
      </c>
      <c r="BE161" s="212">
        <f t="shared" si="41"/>
        <v>0</v>
      </c>
      <c r="BF161" s="212">
        <f t="shared" si="42"/>
        <v>0</v>
      </c>
      <c r="BG161" s="213">
        <f t="shared" si="43"/>
        <v>0</v>
      </c>
      <c r="BH161" s="225">
        <f t="shared" si="44"/>
        <v>0</v>
      </c>
      <c r="BI161" s="214">
        <f t="shared" si="45"/>
        <v>0</v>
      </c>
      <c r="BJ161" s="215">
        <f t="shared" si="46"/>
        <v>0</v>
      </c>
      <c r="BK161" s="215">
        <f t="shared" si="47"/>
        <v>0</v>
      </c>
      <c r="BL161" s="216">
        <f t="shared" si="48"/>
        <v>0</v>
      </c>
      <c r="BM161" s="225">
        <f t="shared" si="49"/>
        <v>0</v>
      </c>
      <c r="BN161" s="225"/>
      <c r="BO161" s="234"/>
      <c r="BP161" s="218">
        <f t="shared" si="50"/>
        <v>0</v>
      </c>
    </row>
    <row r="162" spans="1:68">
      <c r="A162" s="170">
        <v>155</v>
      </c>
      <c r="B162" s="170" t="s">
        <v>75</v>
      </c>
      <c r="C162" s="200">
        <v>48</v>
      </c>
      <c r="D162" s="170" t="s">
        <v>82</v>
      </c>
      <c r="E162" s="170" t="s">
        <v>425</v>
      </c>
      <c r="F162" s="200">
        <f>VLOOKUP(PrévisionBoris[[#This Row],[Spec]],TabModelSpecs[[ModelSpec]:[Price]],2,FALSE)</f>
        <v>41</v>
      </c>
      <c r="G162" s="170" t="s">
        <v>462</v>
      </c>
      <c r="H162" s="219">
        <f>SUMIFS(LstMachines[Nbre],LstMachines[Model-Spec],PrévisionBoris[[#This Row],[Spec]],LstMachines[Status],PrévisionBoris[[#This Row],[Status]],LstMachines[MoisLivr],H$1)</f>
        <v>0</v>
      </c>
      <c r="I162" s="220">
        <f>SUMIFS(LstMachines[Nbre],LstMachines[Model-Spec],PrévisionBoris[[#This Row],[Spec]],LstMachines[Status],PrévisionBoris[[#This Row],[Status]],LstMachines[MoisLivr],I$1)</f>
        <v>0</v>
      </c>
      <c r="J162" s="221">
        <f>SUMIFS(LstMachines[Nbre],LstMachines[Model-Spec],PrévisionBoris[[#This Row],[Spec]],LstMachines[Status],PrévisionBoris[[#This Row],[Status]],LstMachines[MoisLivr],J$1)</f>
        <v>0</v>
      </c>
      <c r="K162" s="219">
        <f>SUMIFS(LstMachines[Nbre],LstMachines[Model-Spec],PrévisionBoris[[#This Row],[Spec]],LstMachines[Status],PrévisionBoris[[#This Row],[Status]],LstMachines[MoisLivr],K$1)</f>
        <v>0</v>
      </c>
      <c r="L162" s="220">
        <f>SUMIFS(LstMachines[Nbre],LstMachines[Model-Spec],PrévisionBoris[[#This Row],[Spec]],LstMachines[Status],PrévisionBoris[[#This Row],[Status]],LstMachines[MoisLivr],L$1)</f>
        <v>0</v>
      </c>
      <c r="M162" s="221">
        <f>SUMIFS(LstMachines[Nbre],LstMachines[Model-Spec],PrévisionBoris[[#This Row],[Spec]],LstMachines[Status],PrévisionBoris[[#This Row],[Status]],LstMachines[MoisLivr],M$1)</f>
        <v>0</v>
      </c>
      <c r="N162" s="219">
        <f>SUMIFS(LstMachines[Nbre],LstMachines[Model-Spec],PrévisionBoris[[#This Row],[Spec]],LstMachines[Status],PrévisionBoris[[#This Row],[Status]],LstMachines[MoisLivr],N$1)</f>
        <v>0</v>
      </c>
      <c r="O162" s="220">
        <f>SUMIFS(LstMachines[Nbre],LstMachines[Model-Spec],PrévisionBoris[[#This Row],[Spec]],LstMachines[Status],PrévisionBoris[[#This Row],[Status]],LstMachines[MoisLivr],O$1)</f>
        <v>0</v>
      </c>
      <c r="P162" s="221">
        <f>SUMIFS(LstMachines[Nbre],LstMachines[Model-Spec],PrévisionBoris[[#This Row],[Spec]],LstMachines[Status],PrévisionBoris[[#This Row],[Status]],LstMachines[MoisLivr],P$1)</f>
        <v>0</v>
      </c>
      <c r="Q162" s="222">
        <f>SUMIFS(LstMachines[Nbre],LstMachines[Model-Spec],PrévisionBoris[[#This Row],[Spec]],LstMachines[Status],PrévisionBoris[[#This Row],[Status]],LstMachines[MoisLivr],Q$1)</f>
        <v>0</v>
      </c>
      <c r="R162" s="220">
        <f>SUMIFS(LstMachines[Nbre],LstMachines[Model-Spec],PrévisionBoris[[#This Row],[Spec]],LstMachines[Status],PrévisionBoris[[#This Row],[Status]],LstMachines[MoisLivr],R$1)</f>
        <v>0</v>
      </c>
      <c r="S162" s="220">
        <f>SUMIFS(LstMachines[Nbre],LstMachines[Model-Spec],PrévisionBoris[[#This Row],[Spec]],LstMachines[Status],PrévisionBoris[[#This Row],[Status]],LstMachines[MoisLivr],S$1)</f>
        <v>0</v>
      </c>
      <c r="T162" s="219">
        <f>SUMIFS(LstMachines[Nbre],LstMachines[Model-Spec],PrévisionBoris[[#This Row],[Spec]],LstMachines[Status],PrévisionBoris[[#This Row],[Status]],LstMachines[MoisLivr],T$1)</f>
        <v>0</v>
      </c>
      <c r="U162" s="220">
        <f>SUMIFS(LstMachines[Nbre],LstMachines[Model-Spec],PrévisionBoris[[#This Row],[Spec]],LstMachines[Status],PrévisionBoris[[#This Row],[Status]],LstMachines[MoisLivr],U$1)</f>
        <v>0</v>
      </c>
      <c r="V162" s="220">
        <f>SUMIFS(LstMachines[Nbre],LstMachines[Model-Spec],PrévisionBoris[[#This Row],[Spec]],LstMachines[Status],PrévisionBoris[[#This Row],[Status]],LstMachines[MoisLivr],V$1)</f>
        <v>0</v>
      </c>
      <c r="W162" s="219">
        <f>SUMIFS(LstMachines[Nbre],LstMachines[Model-Spec],PrévisionBoris[[#This Row],[Spec]],LstMachines[Status],PrévisionBoris[[#This Row],[Status]],LstMachines[MoisLivr],W$1)</f>
        <v>0</v>
      </c>
      <c r="X162" s="220">
        <f>SUMIFS(LstMachines[Nbre],LstMachines[Model-Spec],PrévisionBoris[[#This Row],[Spec]],LstMachines[Status],PrévisionBoris[[#This Row],[Status]],LstMachines[MoisLivr],X$1)</f>
        <v>0</v>
      </c>
      <c r="Y162" s="220">
        <f>SUMIFS(LstMachines[Nbre],LstMachines[Model-Spec],PrévisionBoris[[#This Row],[Spec]],LstMachines[Status],PrévisionBoris[[#This Row],[Status]],LstMachines[MoisLivr],Y$1)</f>
        <v>0</v>
      </c>
      <c r="Z162" s="219">
        <f>SUMIFS(LstMachines[Nbre],LstMachines[Model-Spec],PrévisionBoris[[#This Row],[Spec]],LstMachines[Status],PrévisionBoris[[#This Row],[Status]],LstMachines[MoisLivr],Z$1)</f>
        <v>0</v>
      </c>
      <c r="AA162" s="220">
        <f>SUMIFS(LstMachines[Nbre],LstMachines[Model-Spec],PrévisionBoris[[#This Row],[Spec]],LstMachines[Status],PrévisionBoris[[#This Row],[Status]],LstMachines[MoisLivr],AA$1)</f>
        <v>0</v>
      </c>
      <c r="AB162" s="220">
        <f>SUMIFS(LstMachines[Nbre],LstMachines[Model-Spec],PrévisionBoris[[#This Row],[Spec]],LstMachines[Status],PrévisionBoris[[#This Row],[Status]],LstMachines[MoisLivr],AB$1)</f>
        <v>0</v>
      </c>
      <c r="AC162" s="219">
        <f>SUMIFS(LstMachines[Nbre],LstMachines[Model-Spec],PrévisionBoris[[#This Row],[Spec]],LstMachines[Status],PrévisionBoris[[#This Row],[Status]],LstMachines[MoisLivr],AC$1)</f>
        <v>0</v>
      </c>
      <c r="AD162" s="220">
        <f>SUMIFS(LstMachines[Nbre],LstMachines[Model-Spec],PrévisionBoris[[#This Row],[Spec]],LstMachines[Status],PrévisionBoris[[#This Row],[Status]],LstMachines[MoisLivr],AD$1)</f>
        <v>0</v>
      </c>
      <c r="AE162" s="220">
        <f>SUMIFS(LstMachines[Nbre],LstMachines[Model-Spec],PrévisionBoris[[#This Row],[Spec]],LstMachines[Status],PrévisionBoris[[#This Row],[Status]],LstMachines[MoisLivr],AE$1)</f>
        <v>0</v>
      </c>
      <c r="AF162" s="219">
        <f>SUMIFS(LstMachines[Nbre],LstMachines[Model-Spec],PrévisionBoris[[#This Row],[Spec]],LstMachines[Status],PrévisionBoris[[#This Row],[Status]],LstMachines[MoisLivr],AF$1)</f>
        <v>0</v>
      </c>
      <c r="AG162" s="220">
        <f>SUMIFS(LstMachines[Nbre],LstMachines[Model-Spec],PrévisionBoris[[#This Row],[Spec]],LstMachines[Status],PrévisionBoris[[#This Row],[Status]],LstMachines[MoisLivr],AG$1)</f>
        <v>0</v>
      </c>
      <c r="AH162" s="220">
        <f>SUMIFS(LstMachines[Nbre],LstMachines[Model-Spec],PrévisionBoris[[#This Row],[Spec]],LstMachines[Status],PrévisionBoris[[#This Row],[Status]],LstMachines[MoisLivr],AH$1)</f>
        <v>0</v>
      </c>
      <c r="AI162" s="219">
        <f>SUMIFS(LstMachines[Nbre],LstMachines[Model-Spec],PrévisionBoris[[#This Row],[Spec]],LstMachines[Status],PrévisionBoris[[#This Row],[Status]],LstMachines[MoisLivr],AI$1)</f>
        <v>0</v>
      </c>
      <c r="AJ162" s="220">
        <f>SUMIFS(LstMachines[Nbre],LstMachines[Model-Spec],PrévisionBoris[[#This Row],[Spec]],LstMachines[Status],PrévisionBoris[[#This Row],[Status]],LstMachines[MoisLivr],AJ$1)</f>
        <v>0</v>
      </c>
      <c r="AK162" s="220">
        <f>SUMIFS(LstMachines[Nbre],LstMachines[Model-Spec],PrévisionBoris[[#This Row],[Spec]],LstMachines[Status],PrévisionBoris[[#This Row],[Status]],LstMachines[MoisLivr],AK$1)</f>
        <v>0</v>
      </c>
      <c r="AL162" s="219">
        <f>SUMIFS(LstMachines[Nbre],LstMachines[Model-Spec],PrévisionBoris[[#This Row],[Spec]],LstMachines[Status],PrévisionBoris[[#This Row],[Status]],LstMachines[MoisLivr],AL$1)</f>
        <v>0</v>
      </c>
      <c r="AM162" s="220">
        <f>SUMIFS(LstMachines[Nbre],LstMachines[Model-Spec],PrévisionBoris[[#This Row],[Spec]],LstMachines[Status],PrévisionBoris[[#This Row],[Status]],LstMachines[MoisLivr],AM$1)</f>
        <v>0</v>
      </c>
      <c r="AN162" s="220">
        <f>SUMIFS(LstMachines[Nbre],LstMachines[Model-Spec],PrévisionBoris[[#This Row],[Spec]],LstMachines[Status],PrévisionBoris[[#This Row],[Status]],LstMachines[MoisLivr],AN$1)</f>
        <v>0</v>
      </c>
      <c r="AO162" s="219">
        <f>SUMIFS(LstMachines[Nbre],LstMachines[Model-Spec],PrévisionBoris[[#This Row],[Spec]],LstMachines[Status],PrévisionBoris[[#This Row],[Status]],LstMachines[MoisLivr],AO$1)</f>
        <v>0</v>
      </c>
      <c r="AP162" s="220">
        <f>SUMIFS(LstMachines[Nbre],LstMachines[Model-Spec],PrévisionBoris[[#This Row],[Spec]],LstMachines[Status],PrévisionBoris[[#This Row],[Status]],LstMachines[MoisLivr],AP$1)</f>
        <v>0</v>
      </c>
      <c r="AQ162" s="220">
        <f>SUMIFS(LstMachines[Nbre],LstMachines[Model-Spec],PrévisionBoris[[#This Row],[Spec]],LstMachines[Status],PrévisionBoris[[#This Row],[Status]],LstMachines[MoisLivr],AQ$1)</f>
        <v>0</v>
      </c>
      <c r="AR162" s="219">
        <f>SUMIFS(LstMachines[Nbre],LstMachines[Model-Spec],PrévisionBoris[[#This Row],[Spec]],LstMachines[Status],PrévisionBoris[[#This Row],[Status]],LstMachines[MoisLivr],AR$1)</f>
        <v>0</v>
      </c>
      <c r="AS162" s="220">
        <f>SUMIFS(LstMachines[Nbre],LstMachines[Model-Spec],PrévisionBoris[[#This Row],[Spec]],LstMachines[Status],PrévisionBoris[[#This Row],[Status]],LstMachines[MoisLivr],AS$1)</f>
        <v>0</v>
      </c>
      <c r="AT162" s="220">
        <f>SUMIFS(LstMachines[Nbre],LstMachines[Model-Spec],PrévisionBoris[[#This Row],[Spec]],LstMachines[Status],PrévisionBoris[[#This Row],[Status]],LstMachines[MoisLivr],AT$1)</f>
        <v>0</v>
      </c>
      <c r="AU162" s="219">
        <f>SUMIFS(LstMachines[Nbre],LstMachines[Model-Spec],PrévisionBoris[[#This Row],[Spec]],LstMachines[Status],PrévisionBoris[[#This Row],[Status]],LstMachines[MoisLivr],AU$1)</f>
        <v>0</v>
      </c>
      <c r="AV162" s="223">
        <f>SUMIFS(LstMachines[Nbre],LstMachines[Model-Spec],PrévisionBoris[[#This Row],[Spec]],LstMachines[Status],PrévisionBoris[[#This Row],[Status]],LstMachines[MoisLivr],AV$1)</f>
        <v>0</v>
      </c>
      <c r="AW162" s="224">
        <f>SUMIFS(LstMachines[Nbre],LstMachines[Model-Spec],PrévisionBoris[[#This Row],[Spec]],LstMachines[Status],PrévisionBoris[[#This Row],[Status]],LstMachines[MoisLivr],AW$1)</f>
        <v>0</v>
      </c>
      <c r="AX162" s="210"/>
      <c r="AY162" s="211">
        <f t="shared" si="35"/>
        <v>0</v>
      </c>
      <c r="AZ162" s="212">
        <f t="shared" si="36"/>
        <v>0</v>
      </c>
      <c r="BA162" s="212">
        <f t="shared" si="37"/>
        <v>0</v>
      </c>
      <c r="BB162" s="213">
        <f t="shared" si="38"/>
        <v>0</v>
      </c>
      <c r="BC162" s="225">
        <f t="shared" si="39"/>
        <v>0</v>
      </c>
      <c r="BD162" s="211">
        <f t="shared" si="40"/>
        <v>0</v>
      </c>
      <c r="BE162" s="212">
        <f t="shared" si="41"/>
        <v>0</v>
      </c>
      <c r="BF162" s="212">
        <f t="shared" si="42"/>
        <v>0</v>
      </c>
      <c r="BG162" s="213">
        <f t="shared" si="43"/>
        <v>0</v>
      </c>
      <c r="BH162" s="225">
        <f t="shared" si="44"/>
        <v>0</v>
      </c>
      <c r="BI162" s="214">
        <f t="shared" si="45"/>
        <v>0</v>
      </c>
      <c r="BJ162" s="215">
        <f t="shared" si="46"/>
        <v>0</v>
      </c>
      <c r="BK162" s="215">
        <f t="shared" si="47"/>
        <v>0</v>
      </c>
      <c r="BL162" s="216">
        <f t="shared" si="48"/>
        <v>0</v>
      </c>
      <c r="BM162" s="225">
        <f t="shared" si="49"/>
        <v>0</v>
      </c>
      <c r="BN162" s="225"/>
      <c r="BO162" s="217"/>
      <c r="BP162" s="218">
        <f t="shared" si="50"/>
        <v>0</v>
      </c>
    </row>
    <row r="163" spans="1:68">
      <c r="A163" s="171">
        <v>156</v>
      </c>
      <c r="B163" s="171" t="s">
        <v>75</v>
      </c>
      <c r="C163" s="201">
        <v>48</v>
      </c>
      <c r="D163" s="171" t="s">
        <v>82</v>
      </c>
      <c r="E163" s="171" t="s">
        <v>425</v>
      </c>
      <c r="F163" s="201">
        <f>VLOOKUP(PrévisionBoris[[#This Row],[Spec]],TabModelSpecs[[ModelSpec]:[Price]],2,FALSE)</f>
        <v>41</v>
      </c>
      <c r="G163" s="171" t="s">
        <v>463</v>
      </c>
      <c r="H163" s="226">
        <f>SUMIFS(LstMachines[Nbre],LstMachines[Model-Spec],PrévisionBoris[[#This Row],[Spec]],LstMachines[Status],PrévisionBoris[[#This Row],[Status]],LstMachines[MoisLivr],H$1)</f>
        <v>0</v>
      </c>
      <c r="I163" s="227">
        <f>SUMIFS(LstMachines[Nbre],LstMachines[Model-Spec],PrévisionBoris[[#This Row],[Spec]],LstMachines[Status],PrévisionBoris[[#This Row],[Status]],LstMachines[MoisLivr],I$1)</f>
        <v>0</v>
      </c>
      <c r="J163" s="228">
        <f>SUMIFS(LstMachines[Nbre],LstMachines[Model-Spec],PrévisionBoris[[#This Row],[Spec]],LstMachines[Status],PrévisionBoris[[#This Row],[Status]],LstMachines[MoisLivr],J$1)</f>
        <v>0</v>
      </c>
      <c r="K163" s="226">
        <f>SUMIFS(LstMachines[Nbre],LstMachines[Model-Spec],PrévisionBoris[[#This Row],[Spec]],LstMachines[Status],PrévisionBoris[[#This Row],[Status]],LstMachines[MoisLivr],K$1)</f>
        <v>0</v>
      </c>
      <c r="L163" s="227">
        <f>SUMIFS(LstMachines[Nbre],LstMachines[Model-Spec],PrévisionBoris[[#This Row],[Spec]],LstMachines[Status],PrévisionBoris[[#This Row],[Status]],LstMachines[MoisLivr],L$1)</f>
        <v>0</v>
      </c>
      <c r="M163" s="228">
        <f>SUMIFS(LstMachines[Nbre],LstMachines[Model-Spec],PrévisionBoris[[#This Row],[Spec]],LstMachines[Status],PrévisionBoris[[#This Row],[Status]],LstMachines[MoisLivr],M$1)</f>
        <v>0</v>
      </c>
      <c r="N163" s="226">
        <f>SUMIFS(LstMachines[Nbre],LstMachines[Model-Spec],PrévisionBoris[[#This Row],[Spec]],LstMachines[Status],PrévisionBoris[[#This Row],[Status]],LstMachines[MoisLivr],N$1)</f>
        <v>0</v>
      </c>
      <c r="O163" s="227">
        <f>SUMIFS(LstMachines[Nbre],LstMachines[Model-Spec],PrévisionBoris[[#This Row],[Spec]],LstMachines[Status],PrévisionBoris[[#This Row],[Status]],LstMachines[MoisLivr],O$1)</f>
        <v>0</v>
      </c>
      <c r="P163" s="228">
        <f>SUMIFS(LstMachines[Nbre],LstMachines[Model-Spec],PrévisionBoris[[#This Row],[Spec]],LstMachines[Status],PrévisionBoris[[#This Row],[Status]],LstMachines[MoisLivr],P$1)</f>
        <v>0</v>
      </c>
      <c r="Q163" s="229">
        <f>SUMIFS(LstMachines[Nbre],LstMachines[Model-Spec],PrévisionBoris[[#This Row],[Spec]],LstMachines[Status],PrévisionBoris[[#This Row],[Status]],LstMachines[MoisLivr],Q$1)</f>
        <v>0</v>
      </c>
      <c r="R163" s="227">
        <f>SUMIFS(LstMachines[Nbre],LstMachines[Model-Spec],PrévisionBoris[[#This Row],[Spec]],LstMachines[Status],PrévisionBoris[[#This Row],[Status]],LstMachines[MoisLivr],R$1)</f>
        <v>0</v>
      </c>
      <c r="S163" s="227">
        <f>SUMIFS(LstMachines[Nbre],LstMachines[Model-Spec],PrévisionBoris[[#This Row],[Spec]],LstMachines[Status],PrévisionBoris[[#This Row],[Status]],LstMachines[MoisLivr],S$1)</f>
        <v>0</v>
      </c>
      <c r="T163" s="226">
        <f>SUMIFS(LstMachines[Nbre],LstMachines[Model-Spec],PrévisionBoris[[#This Row],[Spec]],LstMachines[Status],PrévisionBoris[[#This Row],[Status]],LstMachines[MoisLivr],T$1)</f>
        <v>0</v>
      </c>
      <c r="U163" s="227">
        <f>SUMIFS(LstMachines[Nbre],LstMachines[Model-Spec],PrévisionBoris[[#This Row],[Spec]],LstMachines[Status],PrévisionBoris[[#This Row],[Status]],LstMachines[MoisLivr],U$1)</f>
        <v>0</v>
      </c>
      <c r="V163" s="227">
        <f>SUMIFS(LstMachines[Nbre],LstMachines[Model-Spec],PrévisionBoris[[#This Row],[Spec]],LstMachines[Status],PrévisionBoris[[#This Row],[Status]],LstMachines[MoisLivr],V$1)</f>
        <v>0</v>
      </c>
      <c r="W163" s="226">
        <f>SUMIFS(LstMachines[Nbre],LstMachines[Model-Spec],PrévisionBoris[[#This Row],[Spec]],LstMachines[Status],PrévisionBoris[[#This Row],[Status]],LstMachines[MoisLivr],W$1)</f>
        <v>0</v>
      </c>
      <c r="X163" s="227">
        <f>SUMIFS(LstMachines[Nbre],LstMachines[Model-Spec],PrévisionBoris[[#This Row],[Spec]],LstMachines[Status],PrévisionBoris[[#This Row],[Status]],LstMachines[MoisLivr],X$1)</f>
        <v>0</v>
      </c>
      <c r="Y163" s="227">
        <f>SUMIFS(LstMachines[Nbre],LstMachines[Model-Spec],PrévisionBoris[[#This Row],[Spec]],LstMachines[Status],PrévisionBoris[[#This Row],[Status]],LstMachines[MoisLivr],Y$1)</f>
        <v>0</v>
      </c>
      <c r="Z163" s="226">
        <f>SUMIFS(LstMachines[Nbre],LstMachines[Model-Spec],PrévisionBoris[[#This Row],[Spec]],LstMachines[Status],PrévisionBoris[[#This Row],[Status]],LstMachines[MoisLivr],Z$1)</f>
        <v>0</v>
      </c>
      <c r="AA163" s="227">
        <f>SUMIFS(LstMachines[Nbre],LstMachines[Model-Spec],PrévisionBoris[[#This Row],[Spec]],LstMachines[Status],PrévisionBoris[[#This Row],[Status]],LstMachines[MoisLivr],AA$1)</f>
        <v>0</v>
      </c>
      <c r="AB163" s="227">
        <f>SUMIFS(LstMachines[Nbre],LstMachines[Model-Spec],PrévisionBoris[[#This Row],[Spec]],LstMachines[Status],PrévisionBoris[[#This Row],[Status]],LstMachines[MoisLivr],AB$1)</f>
        <v>0</v>
      </c>
      <c r="AC163" s="226">
        <f>SUMIFS(LstMachines[Nbre],LstMachines[Model-Spec],PrévisionBoris[[#This Row],[Spec]],LstMachines[Status],PrévisionBoris[[#This Row],[Status]],LstMachines[MoisLivr],AC$1)</f>
        <v>0</v>
      </c>
      <c r="AD163" s="227">
        <f>SUMIFS(LstMachines[Nbre],LstMachines[Model-Spec],PrévisionBoris[[#This Row],[Spec]],LstMachines[Status],PrévisionBoris[[#This Row],[Status]],LstMachines[MoisLivr],AD$1)</f>
        <v>0</v>
      </c>
      <c r="AE163" s="227">
        <f>SUMIFS(LstMachines[Nbre],LstMachines[Model-Spec],PrévisionBoris[[#This Row],[Spec]],LstMachines[Status],PrévisionBoris[[#This Row],[Status]],LstMachines[MoisLivr],AE$1)</f>
        <v>0</v>
      </c>
      <c r="AF163" s="226">
        <f>SUMIFS(LstMachines[Nbre],LstMachines[Model-Spec],PrévisionBoris[[#This Row],[Spec]],LstMachines[Status],PrévisionBoris[[#This Row],[Status]],LstMachines[MoisLivr],AF$1)</f>
        <v>0</v>
      </c>
      <c r="AG163" s="227">
        <f>SUMIFS(LstMachines[Nbre],LstMachines[Model-Spec],PrévisionBoris[[#This Row],[Spec]],LstMachines[Status],PrévisionBoris[[#This Row],[Status]],LstMachines[MoisLivr],AG$1)</f>
        <v>0</v>
      </c>
      <c r="AH163" s="227">
        <f>SUMIFS(LstMachines[Nbre],LstMachines[Model-Spec],PrévisionBoris[[#This Row],[Spec]],LstMachines[Status],PrévisionBoris[[#This Row],[Status]],LstMachines[MoisLivr],AH$1)</f>
        <v>0</v>
      </c>
      <c r="AI163" s="226">
        <f>SUMIFS(LstMachines[Nbre],LstMachines[Model-Spec],PrévisionBoris[[#This Row],[Spec]],LstMachines[Status],PrévisionBoris[[#This Row],[Status]],LstMachines[MoisLivr],AI$1)</f>
        <v>0</v>
      </c>
      <c r="AJ163" s="227">
        <f>SUMIFS(LstMachines[Nbre],LstMachines[Model-Spec],PrévisionBoris[[#This Row],[Spec]],LstMachines[Status],PrévisionBoris[[#This Row],[Status]],LstMachines[MoisLivr],AJ$1)</f>
        <v>0</v>
      </c>
      <c r="AK163" s="227">
        <f>SUMIFS(LstMachines[Nbre],LstMachines[Model-Spec],PrévisionBoris[[#This Row],[Spec]],LstMachines[Status],PrévisionBoris[[#This Row],[Status]],LstMachines[MoisLivr],AK$1)</f>
        <v>0</v>
      </c>
      <c r="AL163" s="226">
        <f>SUMIFS(LstMachines[Nbre],LstMachines[Model-Spec],PrévisionBoris[[#This Row],[Spec]],LstMachines[Status],PrévisionBoris[[#This Row],[Status]],LstMachines[MoisLivr],AL$1)</f>
        <v>0</v>
      </c>
      <c r="AM163" s="227">
        <f>SUMIFS(LstMachines[Nbre],LstMachines[Model-Spec],PrévisionBoris[[#This Row],[Spec]],LstMachines[Status],PrévisionBoris[[#This Row],[Status]],LstMachines[MoisLivr],AM$1)</f>
        <v>0</v>
      </c>
      <c r="AN163" s="227">
        <f>SUMIFS(LstMachines[Nbre],LstMachines[Model-Spec],PrévisionBoris[[#This Row],[Spec]],LstMachines[Status],PrévisionBoris[[#This Row],[Status]],LstMachines[MoisLivr],AN$1)</f>
        <v>0</v>
      </c>
      <c r="AO163" s="226">
        <f>SUMIFS(LstMachines[Nbre],LstMachines[Model-Spec],PrévisionBoris[[#This Row],[Spec]],LstMachines[Status],PrévisionBoris[[#This Row],[Status]],LstMachines[MoisLivr],AO$1)</f>
        <v>0</v>
      </c>
      <c r="AP163" s="227">
        <f>SUMIFS(LstMachines[Nbre],LstMachines[Model-Spec],PrévisionBoris[[#This Row],[Spec]],LstMachines[Status],PrévisionBoris[[#This Row],[Status]],LstMachines[MoisLivr],AP$1)</f>
        <v>0</v>
      </c>
      <c r="AQ163" s="227">
        <f>SUMIFS(LstMachines[Nbre],LstMachines[Model-Spec],PrévisionBoris[[#This Row],[Spec]],LstMachines[Status],PrévisionBoris[[#This Row],[Status]],LstMachines[MoisLivr],AQ$1)</f>
        <v>0</v>
      </c>
      <c r="AR163" s="226">
        <f>SUMIFS(LstMachines[Nbre],LstMachines[Model-Spec],PrévisionBoris[[#This Row],[Spec]],LstMachines[Status],PrévisionBoris[[#This Row],[Status]],LstMachines[MoisLivr],AR$1)</f>
        <v>0</v>
      </c>
      <c r="AS163" s="227">
        <f>SUMIFS(LstMachines[Nbre],LstMachines[Model-Spec],PrévisionBoris[[#This Row],[Spec]],LstMachines[Status],PrévisionBoris[[#This Row],[Status]],LstMachines[MoisLivr],AS$1)</f>
        <v>0</v>
      </c>
      <c r="AT163" s="227">
        <f>SUMIFS(LstMachines[Nbre],LstMachines[Model-Spec],PrévisionBoris[[#This Row],[Spec]],LstMachines[Status],PrévisionBoris[[#This Row],[Status]],LstMachines[MoisLivr],AT$1)</f>
        <v>0</v>
      </c>
      <c r="AU163" s="226">
        <f>SUMIFS(LstMachines[Nbre],LstMachines[Model-Spec],PrévisionBoris[[#This Row],[Spec]],LstMachines[Status],PrévisionBoris[[#This Row],[Status]],LstMachines[MoisLivr],AU$1)</f>
        <v>0</v>
      </c>
      <c r="AV163" s="230">
        <f>SUMIFS(LstMachines[Nbre],LstMachines[Model-Spec],PrévisionBoris[[#This Row],[Spec]],LstMachines[Status],PrévisionBoris[[#This Row],[Status]],LstMachines[MoisLivr],AV$1)</f>
        <v>0</v>
      </c>
      <c r="AW163" s="231">
        <f>SUMIFS(LstMachines[Nbre],LstMachines[Model-Spec],PrévisionBoris[[#This Row],[Spec]],LstMachines[Status],PrévisionBoris[[#This Row],[Status]],LstMachines[MoisLivr],AW$1)</f>
        <v>0</v>
      </c>
      <c r="AX163" s="232"/>
      <c r="AY163" s="211">
        <f t="shared" si="35"/>
        <v>0</v>
      </c>
      <c r="AZ163" s="212">
        <f t="shared" si="36"/>
        <v>0</v>
      </c>
      <c r="BA163" s="212">
        <f t="shared" si="37"/>
        <v>0</v>
      </c>
      <c r="BB163" s="213">
        <f t="shared" si="38"/>
        <v>0</v>
      </c>
      <c r="BC163" s="225">
        <f t="shared" si="39"/>
        <v>0</v>
      </c>
      <c r="BD163" s="211">
        <f t="shared" si="40"/>
        <v>0</v>
      </c>
      <c r="BE163" s="212">
        <f t="shared" si="41"/>
        <v>0</v>
      </c>
      <c r="BF163" s="212">
        <f t="shared" si="42"/>
        <v>0</v>
      </c>
      <c r="BG163" s="213">
        <f t="shared" si="43"/>
        <v>0</v>
      </c>
      <c r="BH163" s="225">
        <f t="shared" si="44"/>
        <v>0</v>
      </c>
      <c r="BI163" s="214">
        <f t="shared" si="45"/>
        <v>0</v>
      </c>
      <c r="BJ163" s="215">
        <f t="shared" si="46"/>
        <v>0</v>
      </c>
      <c r="BK163" s="215">
        <f t="shared" si="47"/>
        <v>0</v>
      </c>
      <c r="BL163" s="216">
        <f t="shared" si="48"/>
        <v>0</v>
      </c>
      <c r="BM163" s="225">
        <f t="shared" si="49"/>
        <v>0</v>
      </c>
      <c r="BN163" s="225"/>
      <c r="BO163" s="217"/>
      <c r="BP163" s="218">
        <f t="shared" si="50"/>
        <v>0</v>
      </c>
    </row>
    <row r="164" spans="1:68">
      <c r="A164" s="172">
        <v>157</v>
      </c>
      <c r="B164" s="172" t="s">
        <v>75</v>
      </c>
      <c r="C164" s="202">
        <v>55</v>
      </c>
      <c r="D164" s="172" t="s">
        <v>83</v>
      </c>
      <c r="E164" s="172" t="s">
        <v>426</v>
      </c>
      <c r="F164" s="202">
        <f>VLOOKUP(PrévisionBoris[[#This Row],[Spec]],TabModelSpecs[[ModelSpec]:[Price]],2,FALSE)</f>
        <v>43</v>
      </c>
      <c r="G164" s="172" t="s">
        <v>461</v>
      </c>
      <c r="H164" s="206">
        <f>SUMIFS(LstMachines[Nbre],LstMachines[Model-Spec],PrévisionBoris[[#This Row],[Spec]],LstMachines[Status],PrévisionBoris[[#This Row],[Status]],LstMachines[MoisLivr],H$1)</f>
        <v>0</v>
      </c>
      <c r="I164" s="207">
        <f>SUMIFS(LstMachines[Nbre],LstMachines[Model-Spec],PrévisionBoris[[#This Row],[Spec]],LstMachines[Status],PrévisionBoris[[#This Row],[Status]],LstMachines[MoisLivr],I$1)</f>
        <v>0</v>
      </c>
      <c r="J164" s="208">
        <f>SUMIFS(LstMachines[Nbre],LstMachines[Model-Spec],PrévisionBoris[[#This Row],[Spec]],LstMachines[Status],PrévisionBoris[[#This Row],[Status]],LstMachines[MoisLivr],J$1)</f>
        <v>0</v>
      </c>
      <c r="K164" s="206">
        <f>SUMIFS(LstMachines[Nbre],LstMachines[Model-Spec],PrévisionBoris[[#This Row],[Spec]],LstMachines[Status],PrévisionBoris[[#This Row],[Status]],LstMachines[MoisLivr],K$1)</f>
        <v>0</v>
      </c>
      <c r="L164" s="207">
        <f>SUMIFS(LstMachines[Nbre],LstMachines[Model-Spec],PrévisionBoris[[#This Row],[Spec]],LstMachines[Status],PrévisionBoris[[#This Row],[Status]],LstMachines[MoisLivr],L$1)</f>
        <v>2</v>
      </c>
      <c r="M164" s="208">
        <f>SUMIFS(LstMachines[Nbre],LstMachines[Model-Spec],PrévisionBoris[[#This Row],[Spec]],LstMachines[Status],PrévisionBoris[[#This Row],[Status]],LstMachines[MoisLivr],M$1)</f>
        <v>0</v>
      </c>
      <c r="N164" s="206">
        <f>SUMIFS(LstMachines[Nbre],LstMachines[Model-Spec],PrévisionBoris[[#This Row],[Spec]],LstMachines[Status],PrévisionBoris[[#This Row],[Status]],LstMachines[MoisLivr],N$1)</f>
        <v>1</v>
      </c>
      <c r="O164" s="207">
        <f>SUMIFS(LstMachines[Nbre],LstMachines[Model-Spec],PrévisionBoris[[#This Row],[Spec]],LstMachines[Status],PrévisionBoris[[#This Row],[Status]],LstMachines[MoisLivr],O$1)</f>
        <v>0</v>
      </c>
      <c r="P164" s="208">
        <f>SUMIFS(LstMachines[Nbre],LstMachines[Model-Spec],PrévisionBoris[[#This Row],[Spec]],LstMachines[Status],PrévisionBoris[[#This Row],[Status]],LstMachines[MoisLivr],P$1)</f>
        <v>1</v>
      </c>
      <c r="Q164" s="209">
        <f>SUMIFS(LstMachines[Nbre],LstMachines[Model-Spec],PrévisionBoris[[#This Row],[Spec]],LstMachines[Status],PrévisionBoris[[#This Row],[Status]],LstMachines[MoisLivr],Q$1)</f>
        <v>2</v>
      </c>
      <c r="R164" s="207">
        <f>SUMIFS(LstMachines[Nbre],LstMachines[Model-Spec],PrévisionBoris[[#This Row],[Spec]],LstMachines[Status],PrévisionBoris[[#This Row],[Status]],LstMachines[MoisLivr],R$1)</f>
        <v>0</v>
      </c>
      <c r="S164" s="207">
        <f>SUMIFS(LstMachines[Nbre],LstMachines[Model-Spec],PrévisionBoris[[#This Row],[Spec]],LstMachines[Status],PrévisionBoris[[#This Row],[Status]],LstMachines[MoisLivr],S$1)</f>
        <v>1</v>
      </c>
      <c r="T164" s="206">
        <f>SUMIFS(LstMachines[Nbre],LstMachines[Model-Spec],PrévisionBoris[[#This Row],[Spec]],LstMachines[Status],PrévisionBoris[[#This Row],[Status]],LstMachines[MoisLivr],T$1)</f>
        <v>2</v>
      </c>
      <c r="U164" s="207">
        <f>SUMIFS(LstMachines[Nbre],LstMachines[Model-Spec],PrévisionBoris[[#This Row],[Spec]],LstMachines[Status],PrévisionBoris[[#This Row],[Status]],LstMachines[MoisLivr],U$1)</f>
        <v>0</v>
      </c>
      <c r="V164" s="207">
        <f>SUMIFS(LstMachines[Nbre],LstMachines[Model-Spec],PrévisionBoris[[#This Row],[Spec]],LstMachines[Status],PrévisionBoris[[#This Row],[Status]],LstMachines[MoisLivr],V$1)</f>
        <v>0</v>
      </c>
      <c r="W164" s="206">
        <f>SUMIFS(LstMachines[Nbre],LstMachines[Model-Spec],PrévisionBoris[[#This Row],[Spec]],LstMachines[Status],PrévisionBoris[[#This Row],[Status]],LstMachines[MoisLivr],W$1)</f>
        <v>0</v>
      </c>
      <c r="X164" s="207">
        <f>SUMIFS(LstMachines[Nbre],LstMachines[Model-Spec],PrévisionBoris[[#This Row],[Spec]],LstMachines[Status],PrévisionBoris[[#This Row],[Status]],LstMachines[MoisLivr],X$1)</f>
        <v>0</v>
      </c>
      <c r="Y164" s="207">
        <f>SUMIFS(LstMachines[Nbre],LstMachines[Model-Spec],PrévisionBoris[[#This Row],[Spec]],LstMachines[Status],PrévisionBoris[[#This Row],[Status]],LstMachines[MoisLivr],Y$1)</f>
        <v>0</v>
      </c>
      <c r="Z164" s="206">
        <f>SUMIFS(LstMachines[Nbre],LstMachines[Model-Spec],PrévisionBoris[[#This Row],[Spec]],LstMachines[Status],PrévisionBoris[[#This Row],[Status]],LstMachines[MoisLivr],Z$1)</f>
        <v>0</v>
      </c>
      <c r="AA164" s="207">
        <f>SUMIFS(LstMachines[Nbre],LstMachines[Model-Spec],PrévisionBoris[[#This Row],[Spec]],LstMachines[Status],PrévisionBoris[[#This Row],[Status]],LstMachines[MoisLivr],AA$1)</f>
        <v>0</v>
      </c>
      <c r="AB164" s="207">
        <f>SUMIFS(LstMachines[Nbre],LstMachines[Model-Spec],PrévisionBoris[[#This Row],[Spec]],LstMachines[Status],PrévisionBoris[[#This Row],[Status]],LstMachines[MoisLivr],AB$1)</f>
        <v>0</v>
      </c>
      <c r="AC164" s="206">
        <f>SUMIFS(LstMachines[Nbre],LstMachines[Model-Spec],PrévisionBoris[[#This Row],[Spec]],LstMachines[Status],PrévisionBoris[[#This Row],[Status]],LstMachines[MoisLivr],AC$1)</f>
        <v>0</v>
      </c>
      <c r="AD164" s="207">
        <f>SUMIFS(LstMachines[Nbre],LstMachines[Model-Spec],PrévisionBoris[[#This Row],[Spec]],LstMachines[Status],PrévisionBoris[[#This Row],[Status]],LstMachines[MoisLivr],AD$1)</f>
        <v>0</v>
      </c>
      <c r="AE164" s="207">
        <f>SUMIFS(LstMachines[Nbre],LstMachines[Model-Spec],PrévisionBoris[[#This Row],[Spec]],LstMachines[Status],PrévisionBoris[[#This Row],[Status]],LstMachines[MoisLivr],AE$1)</f>
        <v>0</v>
      </c>
      <c r="AF164" s="206">
        <f>SUMIFS(LstMachines[Nbre],LstMachines[Model-Spec],PrévisionBoris[[#This Row],[Spec]],LstMachines[Status],PrévisionBoris[[#This Row],[Status]],LstMachines[MoisLivr],AF$1)</f>
        <v>0</v>
      </c>
      <c r="AG164" s="207">
        <f>SUMIFS(LstMachines[Nbre],LstMachines[Model-Spec],PrévisionBoris[[#This Row],[Spec]],LstMachines[Status],PrévisionBoris[[#This Row],[Status]],LstMachines[MoisLivr],AG$1)</f>
        <v>0</v>
      </c>
      <c r="AH164" s="207">
        <f>SUMIFS(LstMachines[Nbre],LstMachines[Model-Spec],PrévisionBoris[[#This Row],[Spec]],LstMachines[Status],PrévisionBoris[[#This Row],[Status]],LstMachines[MoisLivr],AH$1)</f>
        <v>0</v>
      </c>
      <c r="AI164" s="206">
        <f>SUMIFS(LstMachines[Nbre],LstMachines[Model-Spec],PrévisionBoris[[#This Row],[Spec]],LstMachines[Status],PrévisionBoris[[#This Row],[Status]],LstMachines[MoisLivr],AI$1)</f>
        <v>0</v>
      </c>
      <c r="AJ164" s="207">
        <f>SUMIFS(LstMachines[Nbre],LstMachines[Model-Spec],PrévisionBoris[[#This Row],[Spec]],LstMachines[Status],PrévisionBoris[[#This Row],[Status]],LstMachines[MoisLivr],AJ$1)</f>
        <v>0</v>
      </c>
      <c r="AK164" s="207">
        <f>SUMIFS(LstMachines[Nbre],LstMachines[Model-Spec],PrévisionBoris[[#This Row],[Spec]],LstMachines[Status],PrévisionBoris[[#This Row],[Status]],LstMachines[MoisLivr],AK$1)</f>
        <v>0</v>
      </c>
      <c r="AL164" s="206">
        <f>SUMIFS(LstMachines[Nbre],LstMachines[Model-Spec],PrévisionBoris[[#This Row],[Spec]],LstMachines[Status],PrévisionBoris[[#This Row],[Status]],LstMachines[MoisLivr],AL$1)</f>
        <v>0</v>
      </c>
      <c r="AM164" s="207">
        <f>SUMIFS(LstMachines[Nbre],LstMachines[Model-Spec],PrévisionBoris[[#This Row],[Spec]],LstMachines[Status],PrévisionBoris[[#This Row],[Status]],LstMachines[MoisLivr],AM$1)</f>
        <v>0</v>
      </c>
      <c r="AN164" s="207">
        <f>SUMIFS(LstMachines[Nbre],LstMachines[Model-Spec],PrévisionBoris[[#This Row],[Spec]],LstMachines[Status],PrévisionBoris[[#This Row],[Status]],LstMachines[MoisLivr],AN$1)</f>
        <v>0</v>
      </c>
      <c r="AO164" s="206">
        <f>SUMIFS(LstMachines[Nbre],LstMachines[Model-Spec],PrévisionBoris[[#This Row],[Spec]],LstMachines[Status],PrévisionBoris[[#This Row],[Status]],LstMachines[MoisLivr],AO$1)</f>
        <v>0</v>
      </c>
      <c r="AP164" s="207">
        <f>SUMIFS(LstMachines[Nbre],LstMachines[Model-Spec],PrévisionBoris[[#This Row],[Spec]],LstMachines[Status],PrévisionBoris[[#This Row],[Status]],LstMachines[MoisLivr],AP$1)</f>
        <v>0</v>
      </c>
      <c r="AQ164" s="207">
        <f>SUMIFS(LstMachines[Nbre],LstMachines[Model-Spec],PrévisionBoris[[#This Row],[Spec]],LstMachines[Status],PrévisionBoris[[#This Row],[Status]],LstMachines[MoisLivr],AQ$1)</f>
        <v>0</v>
      </c>
      <c r="AR164" s="206">
        <f>SUMIFS(LstMachines[Nbre],LstMachines[Model-Spec],PrévisionBoris[[#This Row],[Spec]],LstMachines[Status],PrévisionBoris[[#This Row],[Status]],LstMachines[MoisLivr],AR$1)</f>
        <v>0</v>
      </c>
      <c r="AS164" s="207">
        <f>SUMIFS(LstMachines[Nbre],LstMachines[Model-Spec],PrévisionBoris[[#This Row],[Spec]],LstMachines[Status],PrévisionBoris[[#This Row],[Status]],LstMachines[MoisLivr],AS$1)</f>
        <v>0</v>
      </c>
      <c r="AT164" s="207">
        <f>SUMIFS(LstMachines[Nbre],LstMachines[Model-Spec],PrévisionBoris[[#This Row],[Spec]],LstMachines[Status],PrévisionBoris[[#This Row],[Status]],LstMachines[MoisLivr],AT$1)</f>
        <v>0</v>
      </c>
      <c r="AU164" s="206">
        <f>SUMIFS(LstMachines[Nbre],LstMachines[Model-Spec],PrévisionBoris[[#This Row],[Spec]],LstMachines[Status],PrévisionBoris[[#This Row],[Status]],LstMachines[MoisLivr],AU$1)</f>
        <v>0</v>
      </c>
      <c r="AV164" s="233">
        <f>SUMIFS(LstMachines[Nbre],LstMachines[Model-Spec],PrévisionBoris[[#This Row],[Spec]],LstMachines[Status],PrévisionBoris[[#This Row],[Status]],LstMachines[MoisLivr],AV$1)</f>
        <v>0</v>
      </c>
      <c r="AW164" s="208">
        <f>SUMIFS(LstMachines[Nbre],LstMachines[Model-Spec],PrévisionBoris[[#This Row],[Spec]],LstMachines[Status],PrévisionBoris[[#This Row],[Status]],LstMachines[MoisLivr],AW$1)</f>
        <v>0</v>
      </c>
      <c r="AX164" s="225"/>
      <c r="AY164" s="211">
        <f t="shared" si="35"/>
        <v>2</v>
      </c>
      <c r="AZ164" s="212">
        <f t="shared" si="36"/>
        <v>2</v>
      </c>
      <c r="BA164" s="212">
        <f t="shared" si="37"/>
        <v>3</v>
      </c>
      <c r="BB164" s="213">
        <f t="shared" si="38"/>
        <v>2</v>
      </c>
      <c r="BC164" s="225">
        <f t="shared" si="39"/>
        <v>9</v>
      </c>
      <c r="BD164" s="211">
        <f t="shared" si="40"/>
        <v>0</v>
      </c>
      <c r="BE164" s="212">
        <f t="shared" si="41"/>
        <v>0</v>
      </c>
      <c r="BF164" s="212">
        <f t="shared" si="42"/>
        <v>0</v>
      </c>
      <c r="BG164" s="213">
        <f t="shared" si="43"/>
        <v>0</v>
      </c>
      <c r="BH164" s="225">
        <f t="shared" si="44"/>
        <v>0</v>
      </c>
      <c r="BI164" s="214">
        <f t="shared" si="45"/>
        <v>0</v>
      </c>
      <c r="BJ164" s="215">
        <f t="shared" si="46"/>
        <v>0</v>
      </c>
      <c r="BK164" s="215">
        <f t="shared" si="47"/>
        <v>0</v>
      </c>
      <c r="BL164" s="216">
        <f t="shared" si="48"/>
        <v>0</v>
      </c>
      <c r="BM164" s="225">
        <f t="shared" si="49"/>
        <v>0</v>
      </c>
      <c r="BN164" s="225"/>
      <c r="BO164" s="234"/>
      <c r="BP164" s="218">
        <f t="shared" si="50"/>
        <v>9</v>
      </c>
    </row>
    <row r="165" spans="1:68">
      <c r="A165" s="170">
        <v>158</v>
      </c>
      <c r="B165" s="170" t="s">
        <v>75</v>
      </c>
      <c r="C165" s="200">
        <v>55</v>
      </c>
      <c r="D165" s="170" t="s">
        <v>83</v>
      </c>
      <c r="E165" s="170" t="s">
        <v>426</v>
      </c>
      <c r="F165" s="200">
        <f>VLOOKUP(PrévisionBoris[[#This Row],[Spec]],TabModelSpecs[[ModelSpec]:[Price]],2,FALSE)</f>
        <v>43</v>
      </c>
      <c r="G165" s="170" t="s">
        <v>462</v>
      </c>
      <c r="H165" s="219">
        <f>SUMIFS(LstMachines[Nbre],LstMachines[Model-Spec],PrévisionBoris[[#This Row],[Spec]],LstMachines[Status],PrévisionBoris[[#This Row],[Status]],LstMachines[MoisLivr],H$1)</f>
        <v>0</v>
      </c>
      <c r="I165" s="220">
        <f>SUMIFS(LstMachines[Nbre],LstMachines[Model-Spec],PrévisionBoris[[#This Row],[Spec]],LstMachines[Status],PrévisionBoris[[#This Row],[Status]],LstMachines[MoisLivr],I$1)</f>
        <v>0</v>
      </c>
      <c r="J165" s="221">
        <f>SUMIFS(LstMachines[Nbre],LstMachines[Model-Spec],PrévisionBoris[[#This Row],[Spec]],LstMachines[Status],PrévisionBoris[[#This Row],[Status]],LstMachines[MoisLivr],J$1)</f>
        <v>0</v>
      </c>
      <c r="K165" s="219">
        <f>SUMIFS(LstMachines[Nbre],LstMachines[Model-Spec],PrévisionBoris[[#This Row],[Spec]],LstMachines[Status],PrévisionBoris[[#This Row],[Status]],LstMachines[MoisLivr],K$1)</f>
        <v>0</v>
      </c>
      <c r="L165" s="220">
        <f>SUMIFS(LstMachines[Nbre],LstMachines[Model-Spec],PrévisionBoris[[#This Row],[Spec]],LstMachines[Status],PrévisionBoris[[#This Row],[Status]],LstMachines[MoisLivr],L$1)</f>
        <v>0</v>
      </c>
      <c r="M165" s="221">
        <f>SUMIFS(LstMachines[Nbre],LstMachines[Model-Spec],PrévisionBoris[[#This Row],[Spec]],LstMachines[Status],PrévisionBoris[[#This Row],[Status]],LstMachines[MoisLivr],M$1)</f>
        <v>0</v>
      </c>
      <c r="N165" s="219">
        <f>SUMIFS(LstMachines[Nbre],LstMachines[Model-Spec],PrévisionBoris[[#This Row],[Spec]],LstMachines[Status],PrévisionBoris[[#This Row],[Status]],LstMachines[MoisLivr],N$1)</f>
        <v>0</v>
      </c>
      <c r="O165" s="220">
        <f>SUMIFS(LstMachines[Nbre],LstMachines[Model-Spec],PrévisionBoris[[#This Row],[Spec]],LstMachines[Status],PrévisionBoris[[#This Row],[Status]],LstMachines[MoisLivr],O$1)</f>
        <v>0</v>
      </c>
      <c r="P165" s="221">
        <f>SUMIFS(LstMachines[Nbre],LstMachines[Model-Spec],PrévisionBoris[[#This Row],[Spec]],LstMachines[Status],PrévisionBoris[[#This Row],[Status]],LstMachines[MoisLivr],P$1)</f>
        <v>0</v>
      </c>
      <c r="Q165" s="222">
        <f>SUMIFS(LstMachines[Nbre],LstMachines[Model-Spec],PrévisionBoris[[#This Row],[Spec]],LstMachines[Status],PrévisionBoris[[#This Row],[Status]],LstMachines[MoisLivr],Q$1)</f>
        <v>0</v>
      </c>
      <c r="R165" s="220">
        <f>SUMIFS(LstMachines[Nbre],LstMachines[Model-Spec],PrévisionBoris[[#This Row],[Spec]],LstMachines[Status],PrévisionBoris[[#This Row],[Status]],LstMachines[MoisLivr],R$1)</f>
        <v>0</v>
      </c>
      <c r="S165" s="220">
        <f>SUMIFS(LstMachines[Nbre],LstMachines[Model-Spec],PrévisionBoris[[#This Row],[Spec]],LstMachines[Status],PrévisionBoris[[#This Row],[Status]],LstMachines[MoisLivr],S$1)</f>
        <v>0</v>
      </c>
      <c r="T165" s="219">
        <f>SUMIFS(LstMachines[Nbre],LstMachines[Model-Spec],PrévisionBoris[[#This Row],[Spec]],LstMachines[Status],PrévisionBoris[[#This Row],[Status]],LstMachines[MoisLivr],T$1)</f>
        <v>0</v>
      </c>
      <c r="U165" s="220">
        <f>SUMIFS(LstMachines[Nbre],LstMachines[Model-Spec],PrévisionBoris[[#This Row],[Spec]],LstMachines[Status],PrévisionBoris[[#This Row],[Status]],LstMachines[MoisLivr],U$1)</f>
        <v>0</v>
      </c>
      <c r="V165" s="220">
        <f>SUMIFS(LstMachines[Nbre],LstMachines[Model-Spec],PrévisionBoris[[#This Row],[Spec]],LstMachines[Status],PrévisionBoris[[#This Row],[Status]],LstMachines[MoisLivr],V$1)</f>
        <v>0</v>
      </c>
      <c r="W165" s="219">
        <f>SUMIFS(LstMachines[Nbre],LstMachines[Model-Spec],PrévisionBoris[[#This Row],[Spec]],LstMachines[Status],PrévisionBoris[[#This Row],[Status]],LstMachines[MoisLivr],W$1)</f>
        <v>0</v>
      </c>
      <c r="X165" s="220">
        <f>SUMIFS(LstMachines[Nbre],LstMachines[Model-Spec],PrévisionBoris[[#This Row],[Spec]],LstMachines[Status],PrévisionBoris[[#This Row],[Status]],LstMachines[MoisLivr],X$1)</f>
        <v>0</v>
      </c>
      <c r="Y165" s="220">
        <f>SUMIFS(LstMachines[Nbre],LstMachines[Model-Spec],PrévisionBoris[[#This Row],[Spec]],LstMachines[Status],PrévisionBoris[[#This Row],[Status]],LstMachines[MoisLivr],Y$1)</f>
        <v>0</v>
      </c>
      <c r="Z165" s="219">
        <f>SUMIFS(LstMachines[Nbre],LstMachines[Model-Spec],PrévisionBoris[[#This Row],[Spec]],LstMachines[Status],PrévisionBoris[[#This Row],[Status]],LstMachines[MoisLivr],Z$1)</f>
        <v>0</v>
      </c>
      <c r="AA165" s="220">
        <f>SUMIFS(LstMachines[Nbre],LstMachines[Model-Spec],PrévisionBoris[[#This Row],[Spec]],LstMachines[Status],PrévisionBoris[[#This Row],[Status]],LstMachines[MoisLivr],AA$1)</f>
        <v>0</v>
      </c>
      <c r="AB165" s="220">
        <f>SUMIFS(LstMachines[Nbre],LstMachines[Model-Spec],PrévisionBoris[[#This Row],[Spec]],LstMachines[Status],PrévisionBoris[[#This Row],[Status]],LstMachines[MoisLivr],AB$1)</f>
        <v>0</v>
      </c>
      <c r="AC165" s="219">
        <f>SUMIFS(LstMachines[Nbre],LstMachines[Model-Spec],PrévisionBoris[[#This Row],[Spec]],LstMachines[Status],PrévisionBoris[[#This Row],[Status]],LstMachines[MoisLivr],AC$1)</f>
        <v>0</v>
      </c>
      <c r="AD165" s="220">
        <f>SUMIFS(LstMachines[Nbre],LstMachines[Model-Spec],PrévisionBoris[[#This Row],[Spec]],LstMachines[Status],PrévisionBoris[[#This Row],[Status]],LstMachines[MoisLivr],AD$1)</f>
        <v>0</v>
      </c>
      <c r="AE165" s="220">
        <f>SUMIFS(LstMachines[Nbre],LstMachines[Model-Spec],PrévisionBoris[[#This Row],[Spec]],LstMachines[Status],PrévisionBoris[[#This Row],[Status]],LstMachines[MoisLivr],AE$1)</f>
        <v>0</v>
      </c>
      <c r="AF165" s="219">
        <f>SUMIFS(LstMachines[Nbre],LstMachines[Model-Spec],PrévisionBoris[[#This Row],[Spec]],LstMachines[Status],PrévisionBoris[[#This Row],[Status]],LstMachines[MoisLivr],AF$1)</f>
        <v>0</v>
      </c>
      <c r="AG165" s="220">
        <f>SUMIFS(LstMachines[Nbre],LstMachines[Model-Spec],PrévisionBoris[[#This Row],[Spec]],LstMachines[Status],PrévisionBoris[[#This Row],[Status]],LstMachines[MoisLivr],AG$1)</f>
        <v>0</v>
      </c>
      <c r="AH165" s="220">
        <f>SUMIFS(LstMachines[Nbre],LstMachines[Model-Spec],PrévisionBoris[[#This Row],[Spec]],LstMachines[Status],PrévisionBoris[[#This Row],[Status]],LstMachines[MoisLivr],AH$1)</f>
        <v>0</v>
      </c>
      <c r="AI165" s="219">
        <f>SUMIFS(LstMachines[Nbre],LstMachines[Model-Spec],PrévisionBoris[[#This Row],[Spec]],LstMachines[Status],PrévisionBoris[[#This Row],[Status]],LstMachines[MoisLivr],AI$1)</f>
        <v>0</v>
      </c>
      <c r="AJ165" s="220">
        <f>SUMIFS(LstMachines[Nbre],LstMachines[Model-Spec],PrévisionBoris[[#This Row],[Spec]],LstMachines[Status],PrévisionBoris[[#This Row],[Status]],LstMachines[MoisLivr],AJ$1)</f>
        <v>0</v>
      </c>
      <c r="AK165" s="220">
        <f>SUMIFS(LstMachines[Nbre],LstMachines[Model-Spec],PrévisionBoris[[#This Row],[Spec]],LstMachines[Status],PrévisionBoris[[#This Row],[Status]],LstMachines[MoisLivr],AK$1)</f>
        <v>0</v>
      </c>
      <c r="AL165" s="219">
        <f>SUMIFS(LstMachines[Nbre],LstMachines[Model-Spec],PrévisionBoris[[#This Row],[Spec]],LstMachines[Status],PrévisionBoris[[#This Row],[Status]],LstMachines[MoisLivr],AL$1)</f>
        <v>0</v>
      </c>
      <c r="AM165" s="220">
        <f>SUMIFS(LstMachines[Nbre],LstMachines[Model-Spec],PrévisionBoris[[#This Row],[Spec]],LstMachines[Status],PrévisionBoris[[#This Row],[Status]],LstMachines[MoisLivr],AM$1)</f>
        <v>0</v>
      </c>
      <c r="AN165" s="220">
        <f>SUMIFS(LstMachines[Nbre],LstMachines[Model-Spec],PrévisionBoris[[#This Row],[Spec]],LstMachines[Status],PrévisionBoris[[#This Row],[Status]],LstMachines[MoisLivr],AN$1)</f>
        <v>0</v>
      </c>
      <c r="AO165" s="219">
        <f>SUMIFS(LstMachines[Nbre],LstMachines[Model-Spec],PrévisionBoris[[#This Row],[Spec]],LstMachines[Status],PrévisionBoris[[#This Row],[Status]],LstMachines[MoisLivr],AO$1)</f>
        <v>0</v>
      </c>
      <c r="AP165" s="220">
        <f>SUMIFS(LstMachines[Nbre],LstMachines[Model-Spec],PrévisionBoris[[#This Row],[Spec]],LstMachines[Status],PrévisionBoris[[#This Row],[Status]],LstMachines[MoisLivr],AP$1)</f>
        <v>0</v>
      </c>
      <c r="AQ165" s="220">
        <f>SUMIFS(LstMachines[Nbre],LstMachines[Model-Spec],PrévisionBoris[[#This Row],[Spec]],LstMachines[Status],PrévisionBoris[[#This Row],[Status]],LstMachines[MoisLivr],AQ$1)</f>
        <v>0</v>
      </c>
      <c r="AR165" s="219">
        <f>SUMIFS(LstMachines[Nbre],LstMachines[Model-Spec],PrévisionBoris[[#This Row],[Spec]],LstMachines[Status],PrévisionBoris[[#This Row],[Status]],LstMachines[MoisLivr],AR$1)</f>
        <v>0</v>
      </c>
      <c r="AS165" s="220">
        <f>SUMIFS(LstMachines[Nbre],LstMachines[Model-Spec],PrévisionBoris[[#This Row],[Spec]],LstMachines[Status],PrévisionBoris[[#This Row],[Status]],LstMachines[MoisLivr],AS$1)</f>
        <v>0</v>
      </c>
      <c r="AT165" s="220">
        <f>SUMIFS(LstMachines[Nbre],LstMachines[Model-Spec],PrévisionBoris[[#This Row],[Spec]],LstMachines[Status],PrévisionBoris[[#This Row],[Status]],LstMachines[MoisLivr],AT$1)</f>
        <v>0</v>
      </c>
      <c r="AU165" s="219">
        <f>SUMIFS(LstMachines[Nbre],LstMachines[Model-Spec],PrévisionBoris[[#This Row],[Spec]],LstMachines[Status],PrévisionBoris[[#This Row],[Status]],LstMachines[MoisLivr],AU$1)</f>
        <v>0</v>
      </c>
      <c r="AV165" s="223">
        <f>SUMIFS(LstMachines[Nbre],LstMachines[Model-Spec],PrévisionBoris[[#This Row],[Spec]],LstMachines[Status],PrévisionBoris[[#This Row],[Status]],LstMachines[MoisLivr],AV$1)</f>
        <v>0</v>
      </c>
      <c r="AW165" s="224">
        <f>SUMIFS(LstMachines[Nbre],LstMachines[Model-Spec],PrévisionBoris[[#This Row],[Spec]],LstMachines[Status],PrévisionBoris[[#This Row],[Status]],LstMachines[MoisLivr],AW$1)</f>
        <v>0</v>
      </c>
      <c r="AX165" s="210"/>
      <c r="AY165" s="211">
        <f t="shared" si="35"/>
        <v>0</v>
      </c>
      <c r="AZ165" s="212">
        <f t="shared" si="36"/>
        <v>0</v>
      </c>
      <c r="BA165" s="212">
        <f t="shared" si="37"/>
        <v>0</v>
      </c>
      <c r="BB165" s="213">
        <f t="shared" si="38"/>
        <v>0</v>
      </c>
      <c r="BC165" s="225">
        <f t="shared" si="39"/>
        <v>0</v>
      </c>
      <c r="BD165" s="211">
        <f t="shared" si="40"/>
        <v>0</v>
      </c>
      <c r="BE165" s="212">
        <f t="shared" si="41"/>
        <v>0</v>
      </c>
      <c r="BF165" s="212">
        <f t="shared" si="42"/>
        <v>0</v>
      </c>
      <c r="BG165" s="213">
        <f t="shared" si="43"/>
        <v>0</v>
      </c>
      <c r="BH165" s="225">
        <f t="shared" si="44"/>
        <v>0</v>
      </c>
      <c r="BI165" s="214">
        <f t="shared" si="45"/>
        <v>0</v>
      </c>
      <c r="BJ165" s="215">
        <f t="shared" si="46"/>
        <v>0</v>
      </c>
      <c r="BK165" s="215">
        <f t="shared" si="47"/>
        <v>0</v>
      </c>
      <c r="BL165" s="216">
        <f t="shared" si="48"/>
        <v>0</v>
      </c>
      <c r="BM165" s="225">
        <f t="shared" si="49"/>
        <v>0</v>
      </c>
      <c r="BN165" s="225"/>
      <c r="BO165" s="217"/>
      <c r="BP165" s="218">
        <f t="shared" si="50"/>
        <v>0</v>
      </c>
    </row>
    <row r="166" spans="1:68">
      <c r="A166" s="171">
        <v>159</v>
      </c>
      <c r="B166" s="171" t="s">
        <v>75</v>
      </c>
      <c r="C166" s="201">
        <v>55</v>
      </c>
      <c r="D166" s="171" t="s">
        <v>83</v>
      </c>
      <c r="E166" s="171" t="s">
        <v>426</v>
      </c>
      <c r="F166" s="201">
        <f>VLOOKUP(PrévisionBoris[[#This Row],[Spec]],TabModelSpecs[[ModelSpec]:[Price]],2,FALSE)</f>
        <v>43</v>
      </c>
      <c r="G166" s="171" t="s">
        <v>463</v>
      </c>
      <c r="H166" s="226">
        <f>SUMIFS(LstMachines[Nbre],LstMachines[Model-Spec],PrévisionBoris[[#This Row],[Spec]],LstMachines[Status],PrévisionBoris[[#This Row],[Status]],LstMachines[MoisLivr],H$1)</f>
        <v>0</v>
      </c>
      <c r="I166" s="227">
        <f>SUMIFS(LstMachines[Nbre],LstMachines[Model-Spec],PrévisionBoris[[#This Row],[Spec]],LstMachines[Status],PrévisionBoris[[#This Row],[Status]],LstMachines[MoisLivr],I$1)</f>
        <v>0</v>
      </c>
      <c r="J166" s="228">
        <f>SUMIFS(LstMachines[Nbre],LstMachines[Model-Spec],PrévisionBoris[[#This Row],[Spec]],LstMachines[Status],PrévisionBoris[[#This Row],[Status]],LstMachines[MoisLivr],J$1)</f>
        <v>0</v>
      </c>
      <c r="K166" s="226">
        <f>SUMIFS(LstMachines[Nbre],LstMachines[Model-Spec],PrévisionBoris[[#This Row],[Spec]],LstMachines[Status],PrévisionBoris[[#This Row],[Status]],LstMachines[MoisLivr],K$1)</f>
        <v>0</v>
      </c>
      <c r="L166" s="227">
        <f>SUMIFS(LstMachines[Nbre],LstMachines[Model-Spec],PrévisionBoris[[#This Row],[Spec]],LstMachines[Status],PrévisionBoris[[#This Row],[Status]],LstMachines[MoisLivr],L$1)</f>
        <v>0</v>
      </c>
      <c r="M166" s="228">
        <f>SUMIFS(LstMachines[Nbre],LstMachines[Model-Spec],PrévisionBoris[[#This Row],[Spec]],LstMachines[Status],PrévisionBoris[[#This Row],[Status]],LstMachines[MoisLivr],M$1)</f>
        <v>0</v>
      </c>
      <c r="N166" s="226">
        <f>SUMIFS(LstMachines[Nbre],LstMachines[Model-Spec],PrévisionBoris[[#This Row],[Spec]],LstMachines[Status],PrévisionBoris[[#This Row],[Status]],LstMachines[MoisLivr],N$1)</f>
        <v>0</v>
      </c>
      <c r="O166" s="227">
        <f>SUMIFS(LstMachines[Nbre],LstMachines[Model-Spec],PrévisionBoris[[#This Row],[Spec]],LstMachines[Status],PrévisionBoris[[#This Row],[Status]],LstMachines[MoisLivr],O$1)</f>
        <v>0</v>
      </c>
      <c r="P166" s="228">
        <f>SUMIFS(LstMachines[Nbre],LstMachines[Model-Spec],PrévisionBoris[[#This Row],[Spec]],LstMachines[Status],PrévisionBoris[[#This Row],[Status]],LstMachines[MoisLivr],P$1)</f>
        <v>0</v>
      </c>
      <c r="Q166" s="229">
        <f>SUMIFS(LstMachines[Nbre],LstMachines[Model-Spec],PrévisionBoris[[#This Row],[Spec]],LstMachines[Status],PrévisionBoris[[#This Row],[Status]],LstMachines[MoisLivr],Q$1)</f>
        <v>4</v>
      </c>
      <c r="R166" s="227">
        <f>SUMIFS(LstMachines[Nbre],LstMachines[Model-Spec],PrévisionBoris[[#This Row],[Spec]],LstMachines[Status],PrévisionBoris[[#This Row],[Status]],LstMachines[MoisLivr],R$1)</f>
        <v>0</v>
      </c>
      <c r="S166" s="227">
        <f>SUMIFS(LstMachines[Nbre],LstMachines[Model-Spec],PrévisionBoris[[#This Row],[Spec]],LstMachines[Status],PrévisionBoris[[#This Row],[Status]],LstMachines[MoisLivr],S$1)</f>
        <v>0</v>
      </c>
      <c r="T166" s="226">
        <f>SUMIFS(LstMachines[Nbre],LstMachines[Model-Spec],PrévisionBoris[[#This Row],[Spec]],LstMachines[Status],PrévisionBoris[[#This Row],[Status]],LstMachines[MoisLivr],T$1)</f>
        <v>0</v>
      </c>
      <c r="U166" s="227">
        <f>SUMIFS(LstMachines[Nbre],LstMachines[Model-Spec],PrévisionBoris[[#This Row],[Spec]],LstMachines[Status],PrévisionBoris[[#This Row],[Status]],LstMachines[MoisLivr],U$1)</f>
        <v>0</v>
      </c>
      <c r="V166" s="227">
        <f>SUMIFS(LstMachines[Nbre],LstMachines[Model-Spec],PrévisionBoris[[#This Row],[Spec]],LstMachines[Status],PrévisionBoris[[#This Row],[Status]],LstMachines[MoisLivr],V$1)</f>
        <v>0</v>
      </c>
      <c r="W166" s="226">
        <f>SUMIFS(LstMachines[Nbre],LstMachines[Model-Spec],PrévisionBoris[[#This Row],[Spec]],LstMachines[Status],PrévisionBoris[[#This Row],[Status]],LstMachines[MoisLivr],W$1)</f>
        <v>0</v>
      </c>
      <c r="X166" s="227">
        <f>SUMIFS(LstMachines[Nbre],LstMachines[Model-Spec],PrévisionBoris[[#This Row],[Spec]],LstMachines[Status],PrévisionBoris[[#This Row],[Status]],LstMachines[MoisLivr],X$1)</f>
        <v>0</v>
      </c>
      <c r="Y166" s="227">
        <f>SUMIFS(LstMachines[Nbre],LstMachines[Model-Spec],PrévisionBoris[[#This Row],[Spec]],LstMachines[Status],PrévisionBoris[[#This Row],[Status]],LstMachines[MoisLivr],Y$1)</f>
        <v>0</v>
      </c>
      <c r="Z166" s="226">
        <f>SUMIFS(LstMachines[Nbre],LstMachines[Model-Spec],PrévisionBoris[[#This Row],[Spec]],LstMachines[Status],PrévisionBoris[[#This Row],[Status]],LstMachines[MoisLivr],Z$1)</f>
        <v>0</v>
      </c>
      <c r="AA166" s="227">
        <f>SUMIFS(LstMachines[Nbre],LstMachines[Model-Spec],PrévisionBoris[[#This Row],[Spec]],LstMachines[Status],PrévisionBoris[[#This Row],[Status]],LstMachines[MoisLivr],AA$1)</f>
        <v>0</v>
      </c>
      <c r="AB166" s="227">
        <f>SUMIFS(LstMachines[Nbre],LstMachines[Model-Spec],PrévisionBoris[[#This Row],[Spec]],LstMachines[Status],PrévisionBoris[[#This Row],[Status]],LstMachines[MoisLivr],AB$1)</f>
        <v>0</v>
      </c>
      <c r="AC166" s="226">
        <f>SUMIFS(LstMachines[Nbre],LstMachines[Model-Spec],PrévisionBoris[[#This Row],[Spec]],LstMachines[Status],PrévisionBoris[[#This Row],[Status]],LstMachines[MoisLivr],AC$1)</f>
        <v>0</v>
      </c>
      <c r="AD166" s="227">
        <f>SUMIFS(LstMachines[Nbre],LstMachines[Model-Spec],PrévisionBoris[[#This Row],[Spec]],LstMachines[Status],PrévisionBoris[[#This Row],[Status]],LstMachines[MoisLivr],AD$1)</f>
        <v>0</v>
      </c>
      <c r="AE166" s="227">
        <f>SUMIFS(LstMachines[Nbre],LstMachines[Model-Spec],PrévisionBoris[[#This Row],[Spec]],LstMachines[Status],PrévisionBoris[[#This Row],[Status]],LstMachines[MoisLivr],AE$1)</f>
        <v>0</v>
      </c>
      <c r="AF166" s="226">
        <f>SUMIFS(LstMachines[Nbre],LstMachines[Model-Spec],PrévisionBoris[[#This Row],[Spec]],LstMachines[Status],PrévisionBoris[[#This Row],[Status]],LstMachines[MoisLivr],AF$1)</f>
        <v>0</v>
      </c>
      <c r="AG166" s="227">
        <f>SUMIFS(LstMachines[Nbre],LstMachines[Model-Spec],PrévisionBoris[[#This Row],[Spec]],LstMachines[Status],PrévisionBoris[[#This Row],[Status]],LstMachines[MoisLivr],AG$1)</f>
        <v>0</v>
      </c>
      <c r="AH166" s="227">
        <f>SUMIFS(LstMachines[Nbre],LstMachines[Model-Spec],PrévisionBoris[[#This Row],[Spec]],LstMachines[Status],PrévisionBoris[[#This Row],[Status]],LstMachines[MoisLivr],AH$1)</f>
        <v>0</v>
      </c>
      <c r="AI166" s="226">
        <f>SUMIFS(LstMachines[Nbre],LstMachines[Model-Spec],PrévisionBoris[[#This Row],[Spec]],LstMachines[Status],PrévisionBoris[[#This Row],[Status]],LstMachines[MoisLivr],AI$1)</f>
        <v>0</v>
      </c>
      <c r="AJ166" s="227">
        <f>SUMIFS(LstMachines[Nbre],LstMachines[Model-Spec],PrévisionBoris[[#This Row],[Spec]],LstMachines[Status],PrévisionBoris[[#This Row],[Status]],LstMachines[MoisLivr],AJ$1)</f>
        <v>0</v>
      </c>
      <c r="AK166" s="227">
        <f>SUMIFS(LstMachines[Nbre],LstMachines[Model-Spec],PrévisionBoris[[#This Row],[Spec]],LstMachines[Status],PrévisionBoris[[#This Row],[Status]],LstMachines[MoisLivr],AK$1)</f>
        <v>0</v>
      </c>
      <c r="AL166" s="226">
        <f>SUMIFS(LstMachines[Nbre],LstMachines[Model-Spec],PrévisionBoris[[#This Row],[Spec]],LstMachines[Status],PrévisionBoris[[#This Row],[Status]],LstMachines[MoisLivr],AL$1)</f>
        <v>0</v>
      </c>
      <c r="AM166" s="227">
        <f>SUMIFS(LstMachines[Nbre],LstMachines[Model-Spec],PrévisionBoris[[#This Row],[Spec]],LstMachines[Status],PrévisionBoris[[#This Row],[Status]],LstMachines[MoisLivr],AM$1)</f>
        <v>0</v>
      </c>
      <c r="AN166" s="227">
        <f>SUMIFS(LstMachines[Nbre],LstMachines[Model-Spec],PrévisionBoris[[#This Row],[Spec]],LstMachines[Status],PrévisionBoris[[#This Row],[Status]],LstMachines[MoisLivr],AN$1)</f>
        <v>0</v>
      </c>
      <c r="AO166" s="226">
        <f>SUMIFS(LstMachines[Nbre],LstMachines[Model-Spec],PrévisionBoris[[#This Row],[Spec]],LstMachines[Status],PrévisionBoris[[#This Row],[Status]],LstMachines[MoisLivr],AO$1)</f>
        <v>0</v>
      </c>
      <c r="AP166" s="227">
        <f>SUMIFS(LstMachines[Nbre],LstMachines[Model-Spec],PrévisionBoris[[#This Row],[Spec]],LstMachines[Status],PrévisionBoris[[#This Row],[Status]],LstMachines[MoisLivr],AP$1)</f>
        <v>0</v>
      </c>
      <c r="AQ166" s="227">
        <f>SUMIFS(LstMachines[Nbre],LstMachines[Model-Spec],PrévisionBoris[[#This Row],[Spec]],LstMachines[Status],PrévisionBoris[[#This Row],[Status]],LstMachines[MoisLivr],AQ$1)</f>
        <v>0</v>
      </c>
      <c r="AR166" s="226">
        <f>SUMIFS(LstMachines[Nbre],LstMachines[Model-Spec],PrévisionBoris[[#This Row],[Spec]],LstMachines[Status],PrévisionBoris[[#This Row],[Status]],LstMachines[MoisLivr],AR$1)</f>
        <v>0</v>
      </c>
      <c r="AS166" s="227">
        <f>SUMIFS(LstMachines[Nbre],LstMachines[Model-Spec],PrévisionBoris[[#This Row],[Spec]],LstMachines[Status],PrévisionBoris[[#This Row],[Status]],LstMachines[MoisLivr],AS$1)</f>
        <v>0</v>
      </c>
      <c r="AT166" s="227">
        <f>SUMIFS(LstMachines[Nbre],LstMachines[Model-Spec],PrévisionBoris[[#This Row],[Spec]],LstMachines[Status],PrévisionBoris[[#This Row],[Status]],LstMachines[MoisLivr],AT$1)</f>
        <v>0</v>
      </c>
      <c r="AU166" s="226">
        <f>SUMIFS(LstMachines[Nbre],LstMachines[Model-Spec],PrévisionBoris[[#This Row],[Spec]],LstMachines[Status],PrévisionBoris[[#This Row],[Status]],LstMachines[MoisLivr],AU$1)</f>
        <v>0</v>
      </c>
      <c r="AV166" s="230">
        <f>SUMIFS(LstMachines[Nbre],LstMachines[Model-Spec],PrévisionBoris[[#This Row],[Spec]],LstMachines[Status],PrévisionBoris[[#This Row],[Status]],LstMachines[MoisLivr],AV$1)</f>
        <v>0</v>
      </c>
      <c r="AW166" s="231">
        <f>SUMIFS(LstMachines[Nbre],LstMachines[Model-Spec],PrévisionBoris[[#This Row],[Spec]],LstMachines[Status],PrévisionBoris[[#This Row],[Status]],LstMachines[MoisLivr],AW$1)</f>
        <v>0</v>
      </c>
      <c r="AX166" s="232"/>
      <c r="AY166" s="211">
        <f t="shared" si="35"/>
        <v>0</v>
      </c>
      <c r="AZ166" s="212">
        <f t="shared" si="36"/>
        <v>0</v>
      </c>
      <c r="BA166" s="212">
        <f t="shared" si="37"/>
        <v>4</v>
      </c>
      <c r="BB166" s="213">
        <f t="shared" si="38"/>
        <v>0</v>
      </c>
      <c r="BC166" s="225">
        <f t="shared" si="39"/>
        <v>4</v>
      </c>
      <c r="BD166" s="211">
        <f t="shared" si="40"/>
        <v>0</v>
      </c>
      <c r="BE166" s="212">
        <f t="shared" si="41"/>
        <v>0</v>
      </c>
      <c r="BF166" s="212">
        <f t="shared" si="42"/>
        <v>0</v>
      </c>
      <c r="BG166" s="213">
        <f t="shared" si="43"/>
        <v>0</v>
      </c>
      <c r="BH166" s="225">
        <f t="shared" si="44"/>
        <v>0</v>
      </c>
      <c r="BI166" s="214">
        <f t="shared" si="45"/>
        <v>0</v>
      </c>
      <c r="BJ166" s="215">
        <f t="shared" si="46"/>
        <v>0</v>
      </c>
      <c r="BK166" s="215">
        <f t="shared" si="47"/>
        <v>0</v>
      </c>
      <c r="BL166" s="216">
        <f t="shared" si="48"/>
        <v>0</v>
      </c>
      <c r="BM166" s="225">
        <f t="shared" si="49"/>
        <v>0</v>
      </c>
      <c r="BN166" s="225"/>
      <c r="BO166" s="217"/>
      <c r="BP166" s="218">
        <f t="shared" si="50"/>
        <v>4</v>
      </c>
    </row>
    <row r="167" spans="1:68">
      <c r="A167" s="172">
        <v>160</v>
      </c>
      <c r="B167" s="172" t="s">
        <v>75</v>
      </c>
      <c r="C167" s="202">
        <v>55</v>
      </c>
      <c r="D167" s="172" t="s">
        <v>83</v>
      </c>
      <c r="E167" s="172" t="s">
        <v>427</v>
      </c>
      <c r="F167" s="202">
        <f>VLOOKUP(PrévisionBoris[[#This Row],[Spec]],TabModelSpecs[[ModelSpec]:[Price]],2,FALSE)</f>
        <v>43</v>
      </c>
      <c r="G167" s="172" t="s">
        <v>461</v>
      </c>
      <c r="H167" s="206">
        <f>SUMIFS(LstMachines[Nbre],LstMachines[Model-Spec],PrévisionBoris[[#This Row],[Spec]],LstMachines[Status],PrévisionBoris[[#This Row],[Status]],LstMachines[MoisLivr],H$1)</f>
        <v>0</v>
      </c>
      <c r="I167" s="207">
        <f>SUMIFS(LstMachines[Nbre],LstMachines[Model-Spec],PrévisionBoris[[#This Row],[Spec]],LstMachines[Status],PrévisionBoris[[#This Row],[Status]],LstMachines[MoisLivr],I$1)</f>
        <v>0</v>
      </c>
      <c r="J167" s="208">
        <f>SUMIFS(LstMachines[Nbre],LstMachines[Model-Spec],PrévisionBoris[[#This Row],[Spec]],LstMachines[Status],PrévisionBoris[[#This Row],[Status]],LstMachines[MoisLivr],J$1)</f>
        <v>0</v>
      </c>
      <c r="K167" s="206">
        <f>SUMIFS(LstMachines[Nbre],LstMachines[Model-Spec],PrévisionBoris[[#This Row],[Spec]],LstMachines[Status],PrévisionBoris[[#This Row],[Status]],LstMachines[MoisLivr],K$1)</f>
        <v>0</v>
      </c>
      <c r="L167" s="207">
        <f>SUMIFS(LstMachines[Nbre],LstMachines[Model-Spec],PrévisionBoris[[#This Row],[Spec]],LstMachines[Status],PrévisionBoris[[#This Row],[Status]],LstMachines[MoisLivr],L$1)</f>
        <v>0</v>
      </c>
      <c r="M167" s="208">
        <f>SUMIFS(LstMachines[Nbre],LstMachines[Model-Spec],PrévisionBoris[[#This Row],[Spec]],LstMachines[Status],PrévisionBoris[[#This Row],[Status]],LstMachines[MoisLivr],M$1)</f>
        <v>0</v>
      </c>
      <c r="N167" s="206">
        <f>SUMIFS(LstMachines[Nbre],LstMachines[Model-Spec],PrévisionBoris[[#This Row],[Spec]],LstMachines[Status],PrévisionBoris[[#This Row],[Status]],LstMachines[MoisLivr],N$1)</f>
        <v>0</v>
      </c>
      <c r="O167" s="207">
        <f>SUMIFS(LstMachines[Nbre],LstMachines[Model-Spec],PrévisionBoris[[#This Row],[Spec]],LstMachines[Status],PrévisionBoris[[#This Row],[Status]],LstMachines[MoisLivr],O$1)</f>
        <v>0</v>
      </c>
      <c r="P167" s="208">
        <f>SUMIFS(LstMachines[Nbre],LstMachines[Model-Spec],PrévisionBoris[[#This Row],[Spec]],LstMachines[Status],PrévisionBoris[[#This Row],[Status]],LstMachines[MoisLivr],P$1)</f>
        <v>0</v>
      </c>
      <c r="Q167" s="209">
        <f>SUMIFS(LstMachines[Nbre],LstMachines[Model-Spec],PrévisionBoris[[#This Row],[Spec]],LstMachines[Status],PrévisionBoris[[#This Row],[Status]],LstMachines[MoisLivr],Q$1)</f>
        <v>0</v>
      </c>
      <c r="R167" s="207">
        <f>SUMIFS(LstMachines[Nbre],LstMachines[Model-Spec],PrévisionBoris[[#This Row],[Spec]],LstMachines[Status],PrévisionBoris[[#This Row],[Status]],LstMachines[MoisLivr],R$1)</f>
        <v>0</v>
      </c>
      <c r="S167" s="207">
        <f>SUMIFS(LstMachines[Nbre],LstMachines[Model-Spec],PrévisionBoris[[#This Row],[Spec]],LstMachines[Status],PrévisionBoris[[#This Row],[Status]],LstMachines[MoisLivr],S$1)</f>
        <v>0</v>
      </c>
      <c r="T167" s="206">
        <f>SUMIFS(LstMachines[Nbre],LstMachines[Model-Spec],PrévisionBoris[[#This Row],[Spec]],LstMachines[Status],PrévisionBoris[[#This Row],[Status]],LstMachines[MoisLivr],T$1)</f>
        <v>0</v>
      </c>
      <c r="U167" s="207">
        <f>SUMIFS(LstMachines[Nbre],LstMachines[Model-Spec],PrévisionBoris[[#This Row],[Spec]],LstMachines[Status],PrévisionBoris[[#This Row],[Status]],LstMachines[MoisLivr],U$1)</f>
        <v>0</v>
      </c>
      <c r="V167" s="207">
        <f>SUMIFS(LstMachines[Nbre],LstMachines[Model-Spec],PrévisionBoris[[#This Row],[Spec]],LstMachines[Status],PrévisionBoris[[#This Row],[Status]],LstMachines[MoisLivr],V$1)</f>
        <v>0</v>
      </c>
      <c r="W167" s="206">
        <f>SUMIFS(LstMachines[Nbre],LstMachines[Model-Spec],PrévisionBoris[[#This Row],[Spec]],LstMachines[Status],PrévisionBoris[[#This Row],[Status]],LstMachines[MoisLivr],W$1)</f>
        <v>0</v>
      </c>
      <c r="X167" s="207">
        <f>SUMIFS(LstMachines[Nbre],LstMachines[Model-Spec],PrévisionBoris[[#This Row],[Spec]],LstMachines[Status],PrévisionBoris[[#This Row],[Status]],LstMachines[MoisLivr],X$1)</f>
        <v>0</v>
      </c>
      <c r="Y167" s="207">
        <f>SUMIFS(LstMachines[Nbre],LstMachines[Model-Spec],PrévisionBoris[[#This Row],[Spec]],LstMachines[Status],PrévisionBoris[[#This Row],[Status]],LstMachines[MoisLivr],Y$1)</f>
        <v>0</v>
      </c>
      <c r="Z167" s="206">
        <f>SUMIFS(LstMachines[Nbre],LstMachines[Model-Spec],PrévisionBoris[[#This Row],[Spec]],LstMachines[Status],PrévisionBoris[[#This Row],[Status]],LstMachines[MoisLivr],Z$1)</f>
        <v>0</v>
      </c>
      <c r="AA167" s="207">
        <f>SUMIFS(LstMachines[Nbre],LstMachines[Model-Spec],PrévisionBoris[[#This Row],[Spec]],LstMachines[Status],PrévisionBoris[[#This Row],[Status]],LstMachines[MoisLivr],AA$1)</f>
        <v>0</v>
      </c>
      <c r="AB167" s="207">
        <f>SUMIFS(LstMachines[Nbre],LstMachines[Model-Spec],PrévisionBoris[[#This Row],[Spec]],LstMachines[Status],PrévisionBoris[[#This Row],[Status]],LstMachines[MoisLivr],AB$1)</f>
        <v>0</v>
      </c>
      <c r="AC167" s="206">
        <f>SUMIFS(LstMachines[Nbre],LstMachines[Model-Spec],PrévisionBoris[[#This Row],[Spec]],LstMachines[Status],PrévisionBoris[[#This Row],[Status]],LstMachines[MoisLivr],AC$1)</f>
        <v>0</v>
      </c>
      <c r="AD167" s="207">
        <f>SUMIFS(LstMachines[Nbre],LstMachines[Model-Spec],PrévisionBoris[[#This Row],[Spec]],LstMachines[Status],PrévisionBoris[[#This Row],[Status]],LstMachines[MoisLivr],AD$1)</f>
        <v>0</v>
      </c>
      <c r="AE167" s="207">
        <f>SUMIFS(LstMachines[Nbre],LstMachines[Model-Spec],PrévisionBoris[[#This Row],[Spec]],LstMachines[Status],PrévisionBoris[[#This Row],[Status]],LstMachines[MoisLivr],AE$1)</f>
        <v>0</v>
      </c>
      <c r="AF167" s="206">
        <f>SUMIFS(LstMachines[Nbre],LstMachines[Model-Spec],PrévisionBoris[[#This Row],[Spec]],LstMachines[Status],PrévisionBoris[[#This Row],[Status]],LstMachines[MoisLivr],AF$1)</f>
        <v>0</v>
      </c>
      <c r="AG167" s="207">
        <f>SUMIFS(LstMachines[Nbre],LstMachines[Model-Spec],PrévisionBoris[[#This Row],[Spec]],LstMachines[Status],PrévisionBoris[[#This Row],[Status]],LstMachines[MoisLivr],AG$1)</f>
        <v>0</v>
      </c>
      <c r="AH167" s="207">
        <f>SUMIFS(LstMachines[Nbre],LstMachines[Model-Spec],PrévisionBoris[[#This Row],[Spec]],LstMachines[Status],PrévisionBoris[[#This Row],[Status]],LstMachines[MoisLivr],AH$1)</f>
        <v>0</v>
      </c>
      <c r="AI167" s="206">
        <f>SUMIFS(LstMachines[Nbre],LstMachines[Model-Spec],PrévisionBoris[[#This Row],[Spec]],LstMachines[Status],PrévisionBoris[[#This Row],[Status]],LstMachines[MoisLivr],AI$1)</f>
        <v>0</v>
      </c>
      <c r="AJ167" s="207">
        <f>SUMIFS(LstMachines[Nbre],LstMachines[Model-Spec],PrévisionBoris[[#This Row],[Spec]],LstMachines[Status],PrévisionBoris[[#This Row],[Status]],LstMachines[MoisLivr],AJ$1)</f>
        <v>0</v>
      </c>
      <c r="AK167" s="207">
        <f>SUMIFS(LstMachines[Nbre],LstMachines[Model-Spec],PrévisionBoris[[#This Row],[Spec]],LstMachines[Status],PrévisionBoris[[#This Row],[Status]],LstMachines[MoisLivr],AK$1)</f>
        <v>0</v>
      </c>
      <c r="AL167" s="206">
        <f>SUMIFS(LstMachines[Nbre],LstMachines[Model-Spec],PrévisionBoris[[#This Row],[Spec]],LstMachines[Status],PrévisionBoris[[#This Row],[Status]],LstMachines[MoisLivr],AL$1)</f>
        <v>0</v>
      </c>
      <c r="AM167" s="207">
        <f>SUMIFS(LstMachines[Nbre],LstMachines[Model-Spec],PrévisionBoris[[#This Row],[Spec]],LstMachines[Status],PrévisionBoris[[#This Row],[Status]],LstMachines[MoisLivr],AM$1)</f>
        <v>0</v>
      </c>
      <c r="AN167" s="207">
        <f>SUMIFS(LstMachines[Nbre],LstMachines[Model-Spec],PrévisionBoris[[#This Row],[Spec]],LstMachines[Status],PrévisionBoris[[#This Row],[Status]],LstMachines[MoisLivr],AN$1)</f>
        <v>0</v>
      </c>
      <c r="AO167" s="206">
        <f>SUMIFS(LstMachines[Nbre],LstMachines[Model-Spec],PrévisionBoris[[#This Row],[Spec]],LstMachines[Status],PrévisionBoris[[#This Row],[Status]],LstMachines[MoisLivr],AO$1)</f>
        <v>0</v>
      </c>
      <c r="AP167" s="207">
        <f>SUMIFS(LstMachines[Nbre],LstMachines[Model-Spec],PrévisionBoris[[#This Row],[Spec]],LstMachines[Status],PrévisionBoris[[#This Row],[Status]],LstMachines[MoisLivr],AP$1)</f>
        <v>0</v>
      </c>
      <c r="AQ167" s="207">
        <f>SUMIFS(LstMachines[Nbre],LstMachines[Model-Spec],PrévisionBoris[[#This Row],[Spec]],LstMachines[Status],PrévisionBoris[[#This Row],[Status]],LstMachines[MoisLivr],AQ$1)</f>
        <v>0</v>
      </c>
      <c r="AR167" s="206">
        <f>SUMIFS(LstMachines[Nbre],LstMachines[Model-Spec],PrévisionBoris[[#This Row],[Spec]],LstMachines[Status],PrévisionBoris[[#This Row],[Status]],LstMachines[MoisLivr],AR$1)</f>
        <v>0</v>
      </c>
      <c r="AS167" s="207">
        <f>SUMIFS(LstMachines[Nbre],LstMachines[Model-Spec],PrévisionBoris[[#This Row],[Spec]],LstMachines[Status],PrévisionBoris[[#This Row],[Status]],LstMachines[MoisLivr],AS$1)</f>
        <v>0</v>
      </c>
      <c r="AT167" s="207">
        <f>SUMIFS(LstMachines[Nbre],LstMachines[Model-Spec],PrévisionBoris[[#This Row],[Spec]],LstMachines[Status],PrévisionBoris[[#This Row],[Status]],LstMachines[MoisLivr],AT$1)</f>
        <v>0</v>
      </c>
      <c r="AU167" s="206">
        <f>SUMIFS(LstMachines[Nbre],LstMachines[Model-Spec],PrévisionBoris[[#This Row],[Spec]],LstMachines[Status],PrévisionBoris[[#This Row],[Status]],LstMachines[MoisLivr],AU$1)</f>
        <v>0</v>
      </c>
      <c r="AV167" s="233">
        <f>SUMIFS(LstMachines[Nbre],LstMachines[Model-Spec],PrévisionBoris[[#This Row],[Spec]],LstMachines[Status],PrévisionBoris[[#This Row],[Status]],LstMachines[MoisLivr],AV$1)</f>
        <v>0</v>
      </c>
      <c r="AW167" s="208">
        <f>SUMIFS(LstMachines[Nbre],LstMachines[Model-Spec],PrévisionBoris[[#This Row],[Spec]],LstMachines[Status],PrévisionBoris[[#This Row],[Status]],LstMachines[MoisLivr],AW$1)</f>
        <v>0</v>
      </c>
      <c r="AX167" s="225"/>
      <c r="AY167" s="211">
        <f t="shared" si="35"/>
        <v>0</v>
      </c>
      <c r="AZ167" s="212">
        <f t="shared" si="36"/>
        <v>0</v>
      </c>
      <c r="BA167" s="212">
        <f t="shared" si="37"/>
        <v>0</v>
      </c>
      <c r="BB167" s="213">
        <f t="shared" si="38"/>
        <v>0</v>
      </c>
      <c r="BC167" s="225">
        <f t="shared" si="39"/>
        <v>0</v>
      </c>
      <c r="BD167" s="211">
        <f t="shared" si="40"/>
        <v>0</v>
      </c>
      <c r="BE167" s="212">
        <f t="shared" si="41"/>
        <v>0</v>
      </c>
      <c r="BF167" s="212">
        <f t="shared" si="42"/>
        <v>0</v>
      </c>
      <c r="BG167" s="213">
        <f t="shared" si="43"/>
        <v>0</v>
      </c>
      <c r="BH167" s="225">
        <f t="shared" si="44"/>
        <v>0</v>
      </c>
      <c r="BI167" s="214">
        <f t="shared" si="45"/>
        <v>0</v>
      </c>
      <c r="BJ167" s="215">
        <f t="shared" si="46"/>
        <v>0</v>
      </c>
      <c r="BK167" s="215">
        <f t="shared" si="47"/>
        <v>0</v>
      </c>
      <c r="BL167" s="216">
        <f t="shared" si="48"/>
        <v>0</v>
      </c>
      <c r="BM167" s="225">
        <f t="shared" si="49"/>
        <v>0</v>
      </c>
      <c r="BN167" s="225"/>
      <c r="BO167" s="234"/>
      <c r="BP167" s="218">
        <f t="shared" si="50"/>
        <v>0</v>
      </c>
    </row>
    <row r="168" spans="1:68">
      <c r="A168" s="170">
        <v>161</v>
      </c>
      <c r="B168" s="170" t="s">
        <v>75</v>
      </c>
      <c r="C168" s="200">
        <v>55</v>
      </c>
      <c r="D168" s="170" t="s">
        <v>83</v>
      </c>
      <c r="E168" s="170" t="s">
        <v>427</v>
      </c>
      <c r="F168" s="200">
        <f>VLOOKUP(PrévisionBoris[[#This Row],[Spec]],TabModelSpecs[[ModelSpec]:[Price]],2,FALSE)</f>
        <v>43</v>
      </c>
      <c r="G168" s="170" t="s">
        <v>462</v>
      </c>
      <c r="H168" s="219">
        <f>SUMIFS(LstMachines[Nbre],LstMachines[Model-Spec],PrévisionBoris[[#This Row],[Spec]],LstMachines[Status],PrévisionBoris[[#This Row],[Status]],LstMachines[MoisLivr],H$1)</f>
        <v>0</v>
      </c>
      <c r="I168" s="220">
        <f>SUMIFS(LstMachines[Nbre],LstMachines[Model-Spec],PrévisionBoris[[#This Row],[Spec]],LstMachines[Status],PrévisionBoris[[#This Row],[Status]],LstMachines[MoisLivr],I$1)</f>
        <v>0</v>
      </c>
      <c r="J168" s="221">
        <f>SUMIFS(LstMachines[Nbre],LstMachines[Model-Spec],PrévisionBoris[[#This Row],[Spec]],LstMachines[Status],PrévisionBoris[[#This Row],[Status]],LstMachines[MoisLivr],J$1)</f>
        <v>0</v>
      </c>
      <c r="K168" s="219">
        <f>SUMIFS(LstMachines[Nbre],LstMachines[Model-Spec],PrévisionBoris[[#This Row],[Spec]],LstMachines[Status],PrévisionBoris[[#This Row],[Status]],LstMachines[MoisLivr],K$1)</f>
        <v>0</v>
      </c>
      <c r="L168" s="220">
        <f>SUMIFS(LstMachines[Nbre],LstMachines[Model-Spec],PrévisionBoris[[#This Row],[Spec]],LstMachines[Status],PrévisionBoris[[#This Row],[Status]],LstMachines[MoisLivr],L$1)</f>
        <v>0</v>
      </c>
      <c r="M168" s="221">
        <f>SUMIFS(LstMachines[Nbre],LstMachines[Model-Spec],PrévisionBoris[[#This Row],[Spec]],LstMachines[Status],PrévisionBoris[[#This Row],[Status]],LstMachines[MoisLivr],M$1)</f>
        <v>0</v>
      </c>
      <c r="N168" s="219">
        <f>SUMIFS(LstMachines[Nbre],LstMachines[Model-Spec],PrévisionBoris[[#This Row],[Spec]],LstMachines[Status],PrévisionBoris[[#This Row],[Status]],LstMachines[MoisLivr],N$1)</f>
        <v>0</v>
      </c>
      <c r="O168" s="220">
        <f>SUMIFS(LstMachines[Nbre],LstMachines[Model-Spec],PrévisionBoris[[#This Row],[Spec]],LstMachines[Status],PrévisionBoris[[#This Row],[Status]],LstMachines[MoisLivr],O$1)</f>
        <v>0</v>
      </c>
      <c r="P168" s="221">
        <f>SUMIFS(LstMachines[Nbre],LstMachines[Model-Spec],PrévisionBoris[[#This Row],[Spec]],LstMachines[Status],PrévisionBoris[[#This Row],[Status]],LstMachines[MoisLivr],P$1)</f>
        <v>0</v>
      </c>
      <c r="Q168" s="222">
        <f>SUMIFS(LstMachines[Nbre],LstMachines[Model-Spec],PrévisionBoris[[#This Row],[Spec]],LstMachines[Status],PrévisionBoris[[#This Row],[Status]],LstMachines[MoisLivr],Q$1)</f>
        <v>0</v>
      </c>
      <c r="R168" s="220">
        <f>SUMIFS(LstMachines[Nbre],LstMachines[Model-Spec],PrévisionBoris[[#This Row],[Spec]],LstMachines[Status],PrévisionBoris[[#This Row],[Status]],LstMachines[MoisLivr],R$1)</f>
        <v>0</v>
      </c>
      <c r="S168" s="220">
        <f>SUMIFS(LstMachines[Nbre],LstMachines[Model-Spec],PrévisionBoris[[#This Row],[Spec]],LstMachines[Status],PrévisionBoris[[#This Row],[Status]],LstMachines[MoisLivr],S$1)</f>
        <v>0</v>
      </c>
      <c r="T168" s="219">
        <f>SUMIFS(LstMachines[Nbre],LstMachines[Model-Spec],PrévisionBoris[[#This Row],[Spec]],LstMachines[Status],PrévisionBoris[[#This Row],[Status]],LstMachines[MoisLivr],T$1)</f>
        <v>0</v>
      </c>
      <c r="U168" s="220">
        <f>SUMIFS(LstMachines[Nbre],LstMachines[Model-Spec],PrévisionBoris[[#This Row],[Spec]],LstMachines[Status],PrévisionBoris[[#This Row],[Status]],LstMachines[MoisLivr],U$1)</f>
        <v>0</v>
      </c>
      <c r="V168" s="220">
        <f>SUMIFS(LstMachines[Nbre],LstMachines[Model-Spec],PrévisionBoris[[#This Row],[Spec]],LstMachines[Status],PrévisionBoris[[#This Row],[Status]],LstMachines[MoisLivr],V$1)</f>
        <v>0</v>
      </c>
      <c r="W168" s="219">
        <f>SUMIFS(LstMachines[Nbre],LstMachines[Model-Spec],PrévisionBoris[[#This Row],[Spec]],LstMachines[Status],PrévisionBoris[[#This Row],[Status]],LstMachines[MoisLivr],W$1)</f>
        <v>0</v>
      </c>
      <c r="X168" s="220">
        <f>SUMIFS(LstMachines[Nbre],LstMachines[Model-Spec],PrévisionBoris[[#This Row],[Spec]],LstMachines[Status],PrévisionBoris[[#This Row],[Status]],LstMachines[MoisLivr],X$1)</f>
        <v>0</v>
      </c>
      <c r="Y168" s="220">
        <f>SUMIFS(LstMachines[Nbre],LstMachines[Model-Spec],PrévisionBoris[[#This Row],[Spec]],LstMachines[Status],PrévisionBoris[[#This Row],[Status]],LstMachines[MoisLivr],Y$1)</f>
        <v>0</v>
      </c>
      <c r="Z168" s="219">
        <f>SUMIFS(LstMachines[Nbre],LstMachines[Model-Spec],PrévisionBoris[[#This Row],[Spec]],LstMachines[Status],PrévisionBoris[[#This Row],[Status]],LstMachines[MoisLivr],Z$1)</f>
        <v>0</v>
      </c>
      <c r="AA168" s="220">
        <f>SUMIFS(LstMachines[Nbre],LstMachines[Model-Spec],PrévisionBoris[[#This Row],[Spec]],LstMachines[Status],PrévisionBoris[[#This Row],[Status]],LstMachines[MoisLivr],AA$1)</f>
        <v>0</v>
      </c>
      <c r="AB168" s="220">
        <f>SUMIFS(LstMachines[Nbre],LstMachines[Model-Spec],PrévisionBoris[[#This Row],[Spec]],LstMachines[Status],PrévisionBoris[[#This Row],[Status]],LstMachines[MoisLivr],AB$1)</f>
        <v>0</v>
      </c>
      <c r="AC168" s="219">
        <f>SUMIFS(LstMachines[Nbre],LstMachines[Model-Spec],PrévisionBoris[[#This Row],[Spec]],LstMachines[Status],PrévisionBoris[[#This Row],[Status]],LstMachines[MoisLivr],AC$1)</f>
        <v>0</v>
      </c>
      <c r="AD168" s="220">
        <f>SUMIFS(LstMachines[Nbre],LstMachines[Model-Spec],PrévisionBoris[[#This Row],[Spec]],LstMachines[Status],PrévisionBoris[[#This Row],[Status]],LstMachines[MoisLivr],AD$1)</f>
        <v>0</v>
      </c>
      <c r="AE168" s="220">
        <f>SUMIFS(LstMachines[Nbre],LstMachines[Model-Spec],PrévisionBoris[[#This Row],[Spec]],LstMachines[Status],PrévisionBoris[[#This Row],[Status]],LstMachines[MoisLivr],AE$1)</f>
        <v>0</v>
      </c>
      <c r="AF168" s="219">
        <f>SUMIFS(LstMachines[Nbre],LstMachines[Model-Spec],PrévisionBoris[[#This Row],[Spec]],LstMachines[Status],PrévisionBoris[[#This Row],[Status]],LstMachines[MoisLivr],AF$1)</f>
        <v>0</v>
      </c>
      <c r="AG168" s="220">
        <f>SUMIFS(LstMachines[Nbre],LstMachines[Model-Spec],PrévisionBoris[[#This Row],[Spec]],LstMachines[Status],PrévisionBoris[[#This Row],[Status]],LstMachines[MoisLivr],AG$1)</f>
        <v>0</v>
      </c>
      <c r="AH168" s="220">
        <f>SUMIFS(LstMachines[Nbre],LstMachines[Model-Spec],PrévisionBoris[[#This Row],[Spec]],LstMachines[Status],PrévisionBoris[[#This Row],[Status]],LstMachines[MoisLivr],AH$1)</f>
        <v>0</v>
      </c>
      <c r="AI168" s="219">
        <f>SUMIFS(LstMachines[Nbre],LstMachines[Model-Spec],PrévisionBoris[[#This Row],[Spec]],LstMachines[Status],PrévisionBoris[[#This Row],[Status]],LstMachines[MoisLivr],AI$1)</f>
        <v>0</v>
      </c>
      <c r="AJ168" s="220">
        <f>SUMIFS(LstMachines[Nbre],LstMachines[Model-Spec],PrévisionBoris[[#This Row],[Spec]],LstMachines[Status],PrévisionBoris[[#This Row],[Status]],LstMachines[MoisLivr],AJ$1)</f>
        <v>0</v>
      </c>
      <c r="AK168" s="220">
        <f>SUMIFS(LstMachines[Nbre],LstMachines[Model-Spec],PrévisionBoris[[#This Row],[Spec]],LstMachines[Status],PrévisionBoris[[#This Row],[Status]],LstMachines[MoisLivr],AK$1)</f>
        <v>0</v>
      </c>
      <c r="AL168" s="219">
        <f>SUMIFS(LstMachines[Nbre],LstMachines[Model-Spec],PrévisionBoris[[#This Row],[Spec]],LstMachines[Status],PrévisionBoris[[#This Row],[Status]],LstMachines[MoisLivr],AL$1)</f>
        <v>0</v>
      </c>
      <c r="AM168" s="220">
        <f>SUMIFS(LstMachines[Nbre],LstMachines[Model-Spec],PrévisionBoris[[#This Row],[Spec]],LstMachines[Status],PrévisionBoris[[#This Row],[Status]],LstMachines[MoisLivr],AM$1)</f>
        <v>0</v>
      </c>
      <c r="AN168" s="220">
        <f>SUMIFS(LstMachines[Nbre],LstMachines[Model-Spec],PrévisionBoris[[#This Row],[Spec]],LstMachines[Status],PrévisionBoris[[#This Row],[Status]],LstMachines[MoisLivr],AN$1)</f>
        <v>0</v>
      </c>
      <c r="AO168" s="219">
        <f>SUMIFS(LstMachines[Nbre],LstMachines[Model-Spec],PrévisionBoris[[#This Row],[Spec]],LstMachines[Status],PrévisionBoris[[#This Row],[Status]],LstMachines[MoisLivr],AO$1)</f>
        <v>0</v>
      </c>
      <c r="AP168" s="220">
        <f>SUMIFS(LstMachines[Nbre],LstMachines[Model-Spec],PrévisionBoris[[#This Row],[Spec]],LstMachines[Status],PrévisionBoris[[#This Row],[Status]],LstMachines[MoisLivr],AP$1)</f>
        <v>0</v>
      </c>
      <c r="AQ168" s="220">
        <f>SUMIFS(LstMachines[Nbre],LstMachines[Model-Spec],PrévisionBoris[[#This Row],[Spec]],LstMachines[Status],PrévisionBoris[[#This Row],[Status]],LstMachines[MoisLivr],AQ$1)</f>
        <v>0</v>
      </c>
      <c r="AR168" s="219">
        <f>SUMIFS(LstMachines[Nbre],LstMachines[Model-Spec],PrévisionBoris[[#This Row],[Spec]],LstMachines[Status],PrévisionBoris[[#This Row],[Status]],LstMachines[MoisLivr],AR$1)</f>
        <v>0</v>
      </c>
      <c r="AS168" s="220">
        <f>SUMIFS(LstMachines[Nbre],LstMachines[Model-Spec],PrévisionBoris[[#This Row],[Spec]],LstMachines[Status],PrévisionBoris[[#This Row],[Status]],LstMachines[MoisLivr],AS$1)</f>
        <v>0</v>
      </c>
      <c r="AT168" s="220">
        <f>SUMIFS(LstMachines[Nbre],LstMachines[Model-Spec],PrévisionBoris[[#This Row],[Spec]],LstMachines[Status],PrévisionBoris[[#This Row],[Status]],LstMachines[MoisLivr],AT$1)</f>
        <v>0</v>
      </c>
      <c r="AU168" s="219">
        <f>SUMIFS(LstMachines[Nbre],LstMachines[Model-Spec],PrévisionBoris[[#This Row],[Spec]],LstMachines[Status],PrévisionBoris[[#This Row],[Status]],LstMachines[MoisLivr],AU$1)</f>
        <v>0</v>
      </c>
      <c r="AV168" s="223">
        <f>SUMIFS(LstMachines[Nbre],LstMachines[Model-Spec],PrévisionBoris[[#This Row],[Spec]],LstMachines[Status],PrévisionBoris[[#This Row],[Status]],LstMachines[MoisLivr],AV$1)</f>
        <v>0</v>
      </c>
      <c r="AW168" s="224">
        <f>SUMIFS(LstMachines[Nbre],LstMachines[Model-Spec],PrévisionBoris[[#This Row],[Spec]],LstMachines[Status],PrévisionBoris[[#This Row],[Status]],LstMachines[MoisLivr],AW$1)</f>
        <v>0</v>
      </c>
      <c r="AX168" s="210"/>
      <c r="AY168" s="211">
        <f t="shared" si="35"/>
        <v>0</v>
      </c>
      <c r="AZ168" s="212">
        <f t="shared" si="36"/>
        <v>0</v>
      </c>
      <c r="BA168" s="212">
        <f t="shared" si="37"/>
        <v>0</v>
      </c>
      <c r="BB168" s="213">
        <f t="shared" si="38"/>
        <v>0</v>
      </c>
      <c r="BC168" s="225">
        <f t="shared" si="39"/>
        <v>0</v>
      </c>
      <c r="BD168" s="211">
        <f t="shared" si="40"/>
        <v>0</v>
      </c>
      <c r="BE168" s="212">
        <f t="shared" si="41"/>
        <v>0</v>
      </c>
      <c r="BF168" s="212">
        <f t="shared" si="42"/>
        <v>0</v>
      </c>
      <c r="BG168" s="213">
        <f t="shared" si="43"/>
        <v>0</v>
      </c>
      <c r="BH168" s="225">
        <f t="shared" si="44"/>
        <v>0</v>
      </c>
      <c r="BI168" s="214">
        <f t="shared" si="45"/>
        <v>0</v>
      </c>
      <c r="BJ168" s="215">
        <f t="shared" si="46"/>
        <v>0</v>
      </c>
      <c r="BK168" s="215">
        <f t="shared" si="47"/>
        <v>0</v>
      </c>
      <c r="BL168" s="216">
        <f t="shared" si="48"/>
        <v>0</v>
      </c>
      <c r="BM168" s="225">
        <f t="shared" si="49"/>
        <v>0</v>
      </c>
      <c r="BN168" s="225"/>
      <c r="BO168" s="217"/>
      <c r="BP168" s="218">
        <f t="shared" si="50"/>
        <v>0</v>
      </c>
    </row>
    <row r="169" spans="1:68">
      <c r="A169" s="171">
        <v>162</v>
      </c>
      <c r="B169" s="171" t="s">
        <v>75</v>
      </c>
      <c r="C169" s="201">
        <v>55</v>
      </c>
      <c r="D169" s="171" t="s">
        <v>83</v>
      </c>
      <c r="E169" s="171" t="s">
        <v>427</v>
      </c>
      <c r="F169" s="201">
        <f>VLOOKUP(PrévisionBoris[[#This Row],[Spec]],TabModelSpecs[[ModelSpec]:[Price]],2,FALSE)</f>
        <v>43</v>
      </c>
      <c r="G169" s="171" t="s">
        <v>463</v>
      </c>
      <c r="H169" s="226">
        <f>SUMIFS(LstMachines[Nbre],LstMachines[Model-Spec],PrévisionBoris[[#This Row],[Spec]],LstMachines[Status],PrévisionBoris[[#This Row],[Status]],LstMachines[MoisLivr],H$1)</f>
        <v>0</v>
      </c>
      <c r="I169" s="227">
        <f>SUMIFS(LstMachines[Nbre],LstMachines[Model-Spec],PrévisionBoris[[#This Row],[Spec]],LstMachines[Status],PrévisionBoris[[#This Row],[Status]],LstMachines[MoisLivr],I$1)</f>
        <v>0</v>
      </c>
      <c r="J169" s="228">
        <f>SUMIFS(LstMachines[Nbre],LstMachines[Model-Spec],PrévisionBoris[[#This Row],[Spec]],LstMachines[Status],PrévisionBoris[[#This Row],[Status]],LstMachines[MoisLivr],J$1)</f>
        <v>0</v>
      </c>
      <c r="K169" s="226">
        <f>SUMIFS(LstMachines[Nbre],LstMachines[Model-Spec],PrévisionBoris[[#This Row],[Spec]],LstMachines[Status],PrévisionBoris[[#This Row],[Status]],LstMachines[MoisLivr],K$1)</f>
        <v>0</v>
      </c>
      <c r="L169" s="227">
        <f>SUMIFS(LstMachines[Nbre],LstMachines[Model-Spec],PrévisionBoris[[#This Row],[Spec]],LstMachines[Status],PrévisionBoris[[#This Row],[Status]],LstMachines[MoisLivr],L$1)</f>
        <v>0</v>
      </c>
      <c r="M169" s="228">
        <f>SUMIFS(LstMachines[Nbre],LstMachines[Model-Spec],PrévisionBoris[[#This Row],[Spec]],LstMachines[Status],PrévisionBoris[[#This Row],[Status]],LstMachines[MoisLivr],M$1)</f>
        <v>0</v>
      </c>
      <c r="N169" s="226">
        <f>SUMIFS(LstMachines[Nbre],LstMachines[Model-Spec],PrévisionBoris[[#This Row],[Spec]],LstMachines[Status],PrévisionBoris[[#This Row],[Status]],LstMachines[MoisLivr],N$1)</f>
        <v>0</v>
      </c>
      <c r="O169" s="227">
        <f>SUMIFS(LstMachines[Nbre],LstMachines[Model-Spec],PrévisionBoris[[#This Row],[Spec]],LstMachines[Status],PrévisionBoris[[#This Row],[Status]],LstMachines[MoisLivr],O$1)</f>
        <v>0</v>
      </c>
      <c r="P169" s="228">
        <f>SUMIFS(LstMachines[Nbre],LstMachines[Model-Spec],PrévisionBoris[[#This Row],[Spec]],LstMachines[Status],PrévisionBoris[[#This Row],[Status]],LstMachines[MoisLivr],P$1)</f>
        <v>0</v>
      </c>
      <c r="Q169" s="229">
        <f>SUMIFS(LstMachines[Nbre],LstMachines[Model-Spec],PrévisionBoris[[#This Row],[Spec]],LstMachines[Status],PrévisionBoris[[#This Row],[Status]],LstMachines[MoisLivr],Q$1)</f>
        <v>0</v>
      </c>
      <c r="R169" s="227">
        <f>SUMIFS(LstMachines[Nbre],LstMachines[Model-Spec],PrévisionBoris[[#This Row],[Spec]],LstMachines[Status],PrévisionBoris[[#This Row],[Status]],LstMachines[MoisLivr],R$1)</f>
        <v>0</v>
      </c>
      <c r="S169" s="227">
        <f>SUMIFS(LstMachines[Nbre],LstMachines[Model-Spec],PrévisionBoris[[#This Row],[Spec]],LstMachines[Status],PrévisionBoris[[#This Row],[Status]],LstMachines[MoisLivr],S$1)</f>
        <v>0</v>
      </c>
      <c r="T169" s="226">
        <f>SUMIFS(LstMachines[Nbre],LstMachines[Model-Spec],PrévisionBoris[[#This Row],[Spec]],LstMachines[Status],PrévisionBoris[[#This Row],[Status]],LstMachines[MoisLivr],T$1)</f>
        <v>0</v>
      </c>
      <c r="U169" s="227">
        <f>SUMIFS(LstMachines[Nbre],LstMachines[Model-Spec],PrévisionBoris[[#This Row],[Spec]],LstMachines[Status],PrévisionBoris[[#This Row],[Status]],LstMachines[MoisLivr],U$1)</f>
        <v>0</v>
      </c>
      <c r="V169" s="227">
        <f>SUMIFS(LstMachines[Nbre],LstMachines[Model-Spec],PrévisionBoris[[#This Row],[Spec]],LstMachines[Status],PrévisionBoris[[#This Row],[Status]],LstMachines[MoisLivr],V$1)</f>
        <v>0</v>
      </c>
      <c r="W169" s="226">
        <f>SUMIFS(LstMachines[Nbre],LstMachines[Model-Spec],PrévisionBoris[[#This Row],[Spec]],LstMachines[Status],PrévisionBoris[[#This Row],[Status]],LstMachines[MoisLivr],W$1)</f>
        <v>0</v>
      </c>
      <c r="X169" s="227">
        <f>SUMIFS(LstMachines[Nbre],LstMachines[Model-Spec],PrévisionBoris[[#This Row],[Spec]],LstMachines[Status],PrévisionBoris[[#This Row],[Status]],LstMachines[MoisLivr],X$1)</f>
        <v>0</v>
      </c>
      <c r="Y169" s="227">
        <f>SUMIFS(LstMachines[Nbre],LstMachines[Model-Spec],PrévisionBoris[[#This Row],[Spec]],LstMachines[Status],PrévisionBoris[[#This Row],[Status]],LstMachines[MoisLivr],Y$1)</f>
        <v>0</v>
      </c>
      <c r="Z169" s="226">
        <f>SUMIFS(LstMachines[Nbre],LstMachines[Model-Spec],PrévisionBoris[[#This Row],[Spec]],LstMachines[Status],PrévisionBoris[[#This Row],[Status]],LstMachines[MoisLivr],Z$1)</f>
        <v>0</v>
      </c>
      <c r="AA169" s="227">
        <f>SUMIFS(LstMachines[Nbre],LstMachines[Model-Spec],PrévisionBoris[[#This Row],[Spec]],LstMachines[Status],PrévisionBoris[[#This Row],[Status]],LstMachines[MoisLivr],AA$1)</f>
        <v>0</v>
      </c>
      <c r="AB169" s="227">
        <f>SUMIFS(LstMachines[Nbre],LstMachines[Model-Spec],PrévisionBoris[[#This Row],[Spec]],LstMachines[Status],PrévisionBoris[[#This Row],[Status]],LstMachines[MoisLivr],AB$1)</f>
        <v>0</v>
      </c>
      <c r="AC169" s="226">
        <f>SUMIFS(LstMachines[Nbre],LstMachines[Model-Spec],PrévisionBoris[[#This Row],[Spec]],LstMachines[Status],PrévisionBoris[[#This Row],[Status]],LstMachines[MoisLivr],AC$1)</f>
        <v>0</v>
      </c>
      <c r="AD169" s="227">
        <f>SUMIFS(LstMachines[Nbre],LstMachines[Model-Spec],PrévisionBoris[[#This Row],[Spec]],LstMachines[Status],PrévisionBoris[[#This Row],[Status]],LstMachines[MoisLivr],AD$1)</f>
        <v>0</v>
      </c>
      <c r="AE169" s="227">
        <f>SUMIFS(LstMachines[Nbre],LstMachines[Model-Spec],PrévisionBoris[[#This Row],[Spec]],LstMachines[Status],PrévisionBoris[[#This Row],[Status]],LstMachines[MoisLivr],AE$1)</f>
        <v>0</v>
      </c>
      <c r="AF169" s="226">
        <f>SUMIFS(LstMachines[Nbre],LstMachines[Model-Spec],PrévisionBoris[[#This Row],[Spec]],LstMachines[Status],PrévisionBoris[[#This Row],[Status]],LstMachines[MoisLivr],AF$1)</f>
        <v>0</v>
      </c>
      <c r="AG169" s="227">
        <f>SUMIFS(LstMachines[Nbre],LstMachines[Model-Spec],PrévisionBoris[[#This Row],[Spec]],LstMachines[Status],PrévisionBoris[[#This Row],[Status]],LstMachines[MoisLivr],AG$1)</f>
        <v>0</v>
      </c>
      <c r="AH169" s="227">
        <f>SUMIFS(LstMachines[Nbre],LstMachines[Model-Spec],PrévisionBoris[[#This Row],[Spec]],LstMachines[Status],PrévisionBoris[[#This Row],[Status]],LstMachines[MoisLivr],AH$1)</f>
        <v>0</v>
      </c>
      <c r="AI169" s="226">
        <f>SUMIFS(LstMachines[Nbre],LstMachines[Model-Spec],PrévisionBoris[[#This Row],[Spec]],LstMachines[Status],PrévisionBoris[[#This Row],[Status]],LstMachines[MoisLivr],AI$1)</f>
        <v>0</v>
      </c>
      <c r="AJ169" s="227">
        <f>SUMIFS(LstMachines[Nbre],LstMachines[Model-Spec],PrévisionBoris[[#This Row],[Spec]],LstMachines[Status],PrévisionBoris[[#This Row],[Status]],LstMachines[MoisLivr],AJ$1)</f>
        <v>0</v>
      </c>
      <c r="AK169" s="227">
        <f>SUMIFS(LstMachines[Nbre],LstMachines[Model-Spec],PrévisionBoris[[#This Row],[Spec]],LstMachines[Status],PrévisionBoris[[#This Row],[Status]],LstMachines[MoisLivr],AK$1)</f>
        <v>0</v>
      </c>
      <c r="AL169" s="226">
        <f>SUMIFS(LstMachines[Nbre],LstMachines[Model-Spec],PrévisionBoris[[#This Row],[Spec]],LstMachines[Status],PrévisionBoris[[#This Row],[Status]],LstMachines[MoisLivr],AL$1)</f>
        <v>0</v>
      </c>
      <c r="AM169" s="227">
        <f>SUMIFS(LstMachines[Nbre],LstMachines[Model-Spec],PrévisionBoris[[#This Row],[Spec]],LstMachines[Status],PrévisionBoris[[#This Row],[Status]],LstMachines[MoisLivr],AM$1)</f>
        <v>0</v>
      </c>
      <c r="AN169" s="227">
        <f>SUMIFS(LstMachines[Nbre],LstMachines[Model-Spec],PrévisionBoris[[#This Row],[Spec]],LstMachines[Status],PrévisionBoris[[#This Row],[Status]],LstMachines[MoisLivr],AN$1)</f>
        <v>0</v>
      </c>
      <c r="AO169" s="226">
        <f>SUMIFS(LstMachines[Nbre],LstMachines[Model-Spec],PrévisionBoris[[#This Row],[Spec]],LstMachines[Status],PrévisionBoris[[#This Row],[Status]],LstMachines[MoisLivr],AO$1)</f>
        <v>0</v>
      </c>
      <c r="AP169" s="227">
        <f>SUMIFS(LstMachines[Nbre],LstMachines[Model-Spec],PrévisionBoris[[#This Row],[Spec]],LstMachines[Status],PrévisionBoris[[#This Row],[Status]],LstMachines[MoisLivr],AP$1)</f>
        <v>0</v>
      </c>
      <c r="AQ169" s="227">
        <f>SUMIFS(LstMachines[Nbre],LstMachines[Model-Spec],PrévisionBoris[[#This Row],[Spec]],LstMachines[Status],PrévisionBoris[[#This Row],[Status]],LstMachines[MoisLivr],AQ$1)</f>
        <v>0</v>
      </c>
      <c r="AR169" s="226">
        <f>SUMIFS(LstMachines[Nbre],LstMachines[Model-Spec],PrévisionBoris[[#This Row],[Spec]],LstMachines[Status],PrévisionBoris[[#This Row],[Status]],LstMachines[MoisLivr],AR$1)</f>
        <v>0</v>
      </c>
      <c r="AS169" s="227">
        <f>SUMIFS(LstMachines[Nbre],LstMachines[Model-Spec],PrévisionBoris[[#This Row],[Spec]],LstMachines[Status],PrévisionBoris[[#This Row],[Status]],LstMachines[MoisLivr],AS$1)</f>
        <v>0</v>
      </c>
      <c r="AT169" s="227">
        <f>SUMIFS(LstMachines[Nbre],LstMachines[Model-Spec],PrévisionBoris[[#This Row],[Spec]],LstMachines[Status],PrévisionBoris[[#This Row],[Status]],LstMachines[MoisLivr],AT$1)</f>
        <v>0</v>
      </c>
      <c r="AU169" s="226">
        <f>SUMIFS(LstMachines[Nbre],LstMachines[Model-Spec],PrévisionBoris[[#This Row],[Spec]],LstMachines[Status],PrévisionBoris[[#This Row],[Status]],LstMachines[MoisLivr],AU$1)</f>
        <v>0</v>
      </c>
      <c r="AV169" s="230">
        <f>SUMIFS(LstMachines[Nbre],LstMachines[Model-Spec],PrévisionBoris[[#This Row],[Spec]],LstMachines[Status],PrévisionBoris[[#This Row],[Status]],LstMachines[MoisLivr],AV$1)</f>
        <v>0</v>
      </c>
      <c r="AW169" s="231">
        <f>SUMIFS(LstMachines[Nbre],LstMachines[Model-Spec],PrévisionBoris[[#This Row],[Spec]],LstMachines[Status],PrévisionBoris[[#This Row],[Status]],LstMachines[MoisLivr],AW$1)</f>
        <v>0</v>
      </c>
      <c r="AX169" s="232"/>
      <c r="AY169" s="211">
        <f t="shared" si="35"/>
        <v>0</v>
      </c>
      <c r="AZ169" s="212">
        <f t="shared" si="36"/>
        <v>0</v>
      </c>
      <c r="BA169" s="212">
        <f t="shared" si="37"/>
        <v>0</v>
      </c>
      <c r="BB169" s="213">
        <f t="shared" si="38"/>
        <v>0</v>
      </c>
      <c r="BC169" s="225">
        <f t="shared" si="39"/>
        <v>0</v>
      </c>
      <c r="BD169" s="211">
        <f t="shared" si="40"/>
        <v>0</v>
      </c>
      <c r="BE169" s="212">
        <f t="shared" si="41"/>
        <v>0</v>
      </c>
      <c r="BF169" s="212">
        <f t="shared" si="42"/>
        <v>0</v>
      </c>
      <c r="BG169" s="213">
        <f t="shared" si="43"/>
        <v>0</v>
      </c>
      <c r="BH169" s="225">
        <f t="shared" si="44"/>
        <v>0</v>
      </c>
      <c r="BI169" s="214">
        <f t="shared" si="45"/>
        <v>0</v>
      </c>
      <c r="BJ169" s="215">
        <f t="shared" si="46"/>
        <v>0</v>
      </c>
      <c r="BK169" s="215">
        <f t="shared" si="47"/>
        <v>0</v>
      </c>
      <c r="BL169" s="216">
        <f t="shared" si="48"/>
        <v>0</v>
      </c>
      <c r="BM169" s="225">
        <f t="shared" si="49"/>
        <v>0</v>
      </c>
      <c r="BN169" s="225"/>
      <c r="BO169" s="217"/>
      <c r="BP169" s="218">
        <f t="shared" si="50"/>
        <v>0</v>
      </c>
    </row>
    <row r="170" spans="1:68">
      <c r="A170" s="172">
        <v>163</v>
      </c>
      <c r="B170" s="172" t="s">
        <v>75</v>
      </c>
      <c r="C170" s="202">
        <v>55</v>
      </c>
      <c r="D170" s="172" t="s">
        <v>83</v>
      </c>
      <c r="E170" s="172" t="s">
        <v>428</v>
      </c>
      <c r="F170" s="202">
        <f>VLOOKUP(PrévisionBoris[[#This Row],[Spec]],TabModelSpecs[[ModelSpec]:[Price]],2,FALSE)</f>
        <v>43</v>
      </c>
      <c r="G170" s="172" t="s">
        <v>461</v>
      </c>
      <c r="H170" s="206">
        <f>SUMIFS(LstMachines[Nbre],LstMachines[Model-Spec],PrévisionBoris[[#This Row],[Spec]],LstMachines[Status],PrévisionBoris[[#This Row],[Status]],LstMachines[MoisLivr],H$1)</f>
        <v>0</v>
      </c>
      <c r="I170" s="207">
        <f>SUMIFS(LstMachines[Nbre],LstMachines[Model-Spec],PrévisionBoris[[#This Row],[Spec]],LstMachines[Status],PrévisionBoris[[#This Row],[Status]],LstMachines[MoisLivr],I$1)</f>
        <v>0</v>
      </c>
      <c r="J170" s="208">
        <f>SUMIFS(LstMachines[Nbre],LstMachines[Model-Spec],PrévisionBoris[[#This Row],[Spec]],LstMachines[Status],PrévisionBoris[[#This Row],[Status]],LstMachines[MoisLivr],J$1)</f>
        <v>0</v>
      </c>
      <c r="K170" s="206">
        <f>SUMIFS(LstMachines[Nbre],LstMachines[Model-Spec],PrévisionBoris[[#This Row],[Spec]],LstMachines[Status],PrévisionBoris[[#This Row],[Status]],LstMachines[MoisLivr],K$1)</f>
        <v>0</v>
      </c>
      <c r="L170" s="207">
        <f>SUMIFS(LstMachines[Nbre],LstMachines[Model-Spec],PrévisionBoris[[#This Row],[Spec]],LstMachines[Status],PrévisionBoris[[#This Row],[Status]],LstMachines[MoisLivr],L$1)</f>
        <v>0</v>
      </c>
      <c r="M170" s="208">
        <f>SUMIFS(LstMachines[Nbre],LstMachines[Model-Spec],PrévisionBoris[[#This Row],[Spec]],LstMachines[Status],PrévisionBoris[[#This Row],[Status]],LstMachines[MoisLivr],M$1)</f>
        <v>0</v>
      </c>
      <c r="N170" s="206">
        <f>SUMIFS(LstMachines[Nbre],LstMachines[Model-Spec],PrévisionBoris[[#This Row],[Spec]],LstMachines[Status],PrévisionBoris[[#This Row],[Status]],LstMachines[MoisLivr],N$1)</f>
        <v>0</v>
      </c>
      <c r="O170" s="207">
        <f>SUMIFS(LstMachines[Nbre],LstMachines[Model-Spec],PrévisionBoris[[#This Row],[Spec]],LstMachines[Status],PrévisionBoris[[#This Row],[Status]],LstMachines[MoisLivr],O$1)</f>
        <v>0</v>
      </c>
      <c r="P170" s="208">
        <f>SUMIFS(LstMachines[Nbre],LstMachines[Model-Spec],PrévisionBoris[[#This Row],[Spec]],LstMachines[Status],PrévisionBoris[[#This Row],[Status]],LstMachines[MoisLivr],P$1)</f>
        <v>0</v>
      </c>
      <c r="Q170" s="209">
        <f>SUMIFS(LstMachines[Nbre],LstMachines[Model-Spec],PrévisionBoris[[#This Row],[Spec]],LstMachines[Status],PrévisionBoris[[#This Row],[Status]],LstMachines[MoisLivr],Q$1)</f>
        <v>0</v>
      </c>
      <c r="R170" s="207">
        <f>SUMIFS(LstMachines[Nbre],LstMachines[Model-Spec],PrévisionBoris[[#This Row],[Spec]],LstMachines[Status],PrévisionBoris[[#This Row],[Status]],LstMachines[MoisLivr],R$1)</f>
        <v>0</v>
      </c>
      <c r="S170" s="207">
        <f>SUMIFS(LstMachines[Nbre],LstMachines[Model-Spec],PrévisionBoris[[#This Row],[Spec]],LstMachines[Status],PrévisionBoris[[#This Row],[Status]],LstMachines[MoisLivr],S$1)</f>
        <v>0</v>
      </c>
      <c r="T170" s="206">
        <f>SUMIFS(LstMachines[Nbre],LstMachines[Model-Spec],PrévisionBoris[[#This Row],[Spec]],LstMachines[Status],PrévisionBoris[[#This Row],[Status]],LstMachines[MoisLivr],T$1)</f>
        <v>0</v>
      </c>
      <c r="U170" s="207">
        <f>SUMIFS(LstMachines[Nbre],LstMachines[Model-Spec],PrévisionBoris[[#This Row],[Spec]],LstMachines[Status],PrévisionBoris[[#This Row],[Status]],LstMachines[MoisLivr],U$1)</f>
        <v>0</v>
      </c>
      <c r="V170" s="207">
        <f>SUMIFS(LstMachines[Nbre],LstMachines[Model-Spec],PrévisionBoris[[#This Row],[Spec]],LstMachines[Status],PrévisionBoris[[#This Row],[Status]],LstMachines[MoisLivr],V$1)</f>
        <v>0</v>
      </c>
      <c r="W170" s="206">
        <f>SUMIFS(LstMachines[Nbre],LstMachines[Model-Spec],PrévisionBoris[[#This Row],[Spec]],LstMachines[Status],PrévisionBoris[[#This Row],[Status]],LstMachines[MoisLivr],W$1)</f>
        <v>0</v>
      </c>
      <c r="X170" s="207">
        <f>SUMIFS(LstMachines[Nbre],LstMachines[Model-Spec],PrévisionBoris[[#This Row],[Spec]],LstMachines[Status],PrévisionBoris[[#This Row],[Status]],LstMachines[MoisLivr],X$1)</f>
        <v>0</v>
      </c>
      <c r="Y170" s="207">
        <f>SUMIFS(LstMachines[Nbre],LstMachines[Model-Spec],PrévisionBoris[[#This Row],[Spec]],LstMachines[Status],PrévisionBoris[[#This Row],[Status]],LstMachines[MoisLivr],Y$1)</f>
        <v>0</v>
      </c>
      <c r="Z170" s="206">
        <f>SUMIFS(LstMachines[Nbre],LstMachines[Model-Spec],PrévisionBoris[[#This Row],[Spec]],LstMachines[Status],PrévisionBoris[[#This Row],[Status]],LstMachines[MoisLivr],Z$1)</f>
        <v>0</v>
      </c>
      <c r="AA170" s="207">
        <f>SUMIFS(LstMachines[Nbre],LstMachines[Model-Spec],PrévisionBoris[[#This Row],[Spec]],LstMachines[Status],PrévisionBoris[[#This Row],[Status]],LstMachines[MoisLivr],AA$1)</f>
        <v>0</v>
      </c>
      <c r="AB170" s="207">
        <f>SUMIFS(LstMachines[Nbre],LstMachines[Model-Spec],PrévisionBoris[[#This Row],[Spec]],LstMachines[Status],PrévisionBoris[[#This Row],[Status]],LstMachines[MoisLivr],AB$1)</f>
        <v>0</v>
      </c>
      <c r="AC170" s="206">
        <f>SUMIFS(LstMachines[Nbre],LstMachines[Model-Spec],PrévisionBoris[[#This Row],[Spec]],LstMachines[Status],PrévisionBoris[[#This Row],[Status]],LstMachines[MoisLivr],AC$1)</f>
        <v>0</v>
      </c>
      <c r="AD170" s="207">
        <f>SUMIFS(LstMachines[Nbre],LstMachines[Model-Spec],PrévisionBoris[[#This Row],[Spec]],LstMachines[Status],PrévisionBoris[[#This Row],[Status]],LstMachines[MoisLivr],AD$1)</f>
        <v>0</v>
      </c>
      <c r="AE170" s="207">
        <f>SUMIFS(LstMachines[Nbre],LstMachines[Model-Spec],PrévisionBoris[[#This Row],[Spec]],LstMachines[Status],PrévisionBoris[[#This Row],[Status]],LstMachines[MoisLivr],AE$1)</f>
        <v>0</v>
      </c>
      <c r="AF170" s="206">
        <f>SUMIFS(LstMachines[Nbre],LstMachines[Model-Spec],PrévisionBoris[[#This Row],[Spec]],LstMachines[Status],PrévisionBoris[[#This Row],[Status]],LstMachines[MoisLivr],AF$1)</f>
        <v>0</v>
      </c>
      <c r="AG170" s="207">
        <f>SUMIFS(LstMachines[Nbre],LstMachines[Model-Spec],PrévisionBoris[[#This Row],[Spec]],LstMachines[Status],PrévisionBoris[[#This Row],[Status]],LstMachines[MoisLivr],AG$1)</f>
        <v>0</v>
      </c>
      <c r="AH170" s="207">
        <f>SUMIFS(LstMachines[Nbre],LstMachines[Model-Spec],PrévisionBoris[[#This Row],[Spec]],LstMachines[Status],PrévisionBoris[[#This Row],[Status]],LstMachines[MoisLivr],AH$1)</f>
        <v>0</v>
      </c>
      <c r="AI170" s="206">
        <f>SUMIFS(LstMachines[Nbre],LstMachines[Model-Spec],PrévisionBoris[[#This Row],[Spec]],LstMachines[Status],PrévisionBoris[[#This Row],[Status]],LstMachines[MoisLivr],AI$1)</f>
        <v>0</v>
      </c>
      <c r="AJ170" s="207">
        <f>SUMIFS(LstMachines[Nbre],LstMachines[Model-Spec],PrévisionBoris[[#This Row],[Spec]],LstMachines[Status],PrévisionBoris[[#This Row],[Status]],LstMachines[MoisLivr],AJ$1)</f>
        <v>0</v>
      </c>
      <c r="AK170" s="207">
        <f>SUMIFS(LstMachines[Nbre],LstMachines[Model-Spec],PrévisionBoris[[#This Row],[Spec]],LstMachines[Status],PrévisionBoris[[#This Row],[Status]],LstMachines[MoisLivr],AK$1)</f>
        <v>0</v>
      </c>
      <c r="AL170" s="206">
        <f>SUMIFS(LstMachines[Nbre],LstMachines[Model-Spec],PrévisionBoris[[#This Row],[Spec]],LstMachines[Status],PrévisionBoris[[#This Row],[Status]],LstMachines[MoisLivr],AL$1)</f>
        <v>0</v>
      </c>
      <c r="AM170" s="207">
        <f>SUMIFS(LstMachines[Nbre],LstMachines[Model-Spec],PrévisionBoris[[#This Row],[Spec]],LstMachines[Status],PrévisionBoris[[#This Row],[Status]],LstMachines[MoisLivr],AM$1)</f>
        <v>0</v>
      </c>
      <c r="AN170" s="207">
        <f>SUMIFS(LstMachines[Nbre],LstMachines[Model-Spec],PrévisionBoris[[#This Row],[Spec]],LstMachines[Status],PrévisionBoris[[#This Row],[Status]],LstMachines[MoisLivr],AN$1)</f>
        <v>0</v>
      </c>
      <c r="AO170" s="206">
        <f>SUMIFS(LstMachines[Nbre],LstMachines[Model-Spec],PrévisionBoris[[#This Row],[Spec]],LstMachines[Status],PrévisionBoris[[#This Row],[Status]],LstMachines[MoisLivr],AO$1)</f>
        <v>0</v>
      </c>
      <c r="AP170" s="207">
        <f>SUMIFS(LstMachines[Nbre],LstMachines[Model-Spec],PrévisionBoris[[#This Row],[Spec]],LstMachines[Status],PrévisionBoris[[#This Row],[Status]],LstMachines[MoisLivr],AP$1)</f>
        <v>0</v>
      </c>
      <c r="AQ170" s="207">
        <f>SUMIFS(LstMachines[Nbre],LstMachines[Model-Spec],PrévisionBoris[[#This Row],[Spec]],LstMachines[Status],PrévisionBoris[[#This Row],[Status]],LstMachines[MoisLivr],AQ$1)</f>
        <v>0</v>
      </c>
      <c r="AR170" s="206">
        <f>SUMIFS(LstMachines[Nbre],LstMachines[Model-Spec],PrévisionBoris[[#This Row],[Spec]],LstMachines[Status],PrévisionBoris[[#This Row],[Status]],LstMachines[MoisLivr],AR$1)</f>
        <v>0</v>
      </c>
      <c r="AS170" s="207">
        <f>SUMIFS(LstMachines[Nbre],LstMachines[Model-Spec],PrévisionBoris[[#This Row],[Spec]],LstMachines[Status],PrévisionBoris[[#This Row],[Status]],LstMachines[MoisLivr],AS$1)</f>
        <v>0</v>
      </c>
      <c r="AT170" s="207">
        <f>SUMIFS(LstMachines[Nbre],LstMachines[Model-Spec],PrévisionBoris[[#This Row],[Spec]],LstMachines[Status],PrévisionBoris[[#This Row],[Status]],LstMachines[MoisLivr],AT$1)</f>
        <v>0</v>
      </c>
      <c r="AU170" s="206">
        <f>SUMIFS(LstMachines[Nbre],LstMachines[Model-Spec],PrévisionBoris[[#This Row],[Spec]],LstMachines[Status],PrévisionBoris[[#This Row],[Status]],LstMachines[MoisLivr],AU$1)</f>
        <v>0</v>
      </c>
      <c r="AV170" s="233">
        <f>SUMIFS(LstMachines[Nbre],LstMachines[Model-Spec],PrévisionBoris[[#This Row],[Spec]],LstMachines[Status],PrévisionBoris[[#This Row],[Status]],LstMachines[MoisLivr],AV$1)</f>
        <v>0</v>
      </c>
      <c r="AW170" s="208">
        <f>SUMIFS(LstMachines[Nbre],LstMachines[Model-Spec],PrévisionBoris[[#This Row],[Spec]],LstMachines[Status],PrévisionBoris[[#This Row],[Status]],LstMachines[MoisLivr],AW$1)</f>
        <v>0</v>
      </c>
      <c r="AX170" s="225"/>
      <c r="AY170" s="211">
        <f t="shared" si="35"/>
        <v>0</v>
      </c>
      <c r="AZ170" s="212">
        <f t="shared" si="36"/>
        <v>0</v>
      </c>
      <c r="BA170" s="212">
        <f t="shared" si="37"/>
        <v>0</v>
      </c>
      <c r="BB170" s="213">
        <f t="shared" si="38"/>
        <v>0</v>
      </c>
      <c r="BC170" s="225">
        <f t="shared" si="39"/>
        <v>0</v>
      </c>
      <c r="BD170" s="211">
        <f t="shared" si="40"/>
        <v>0</v>
      </c>
      <c r="BE170" s="212">
        <f t="shared" si="41"/>
        <v>0</v>
      </c>
      <c r="BF170" s="212">
        <f t="shared" si="42"/>
        <v>0</v>
      </c>
      <c r="BG170" s="213">
        <f t="shared" si="43"/>
        <v>0</v>
      </c>
      <c r="BH170" s="225">
        <f t="shared" si="44"/>
        <v>0</v>
      </c>
      <c r="BI170" s="214">
        <f t="shared" si="45"/>
        <v>0</v>
      </c>
      <c r="BJ170" s="215">
        <f t="shared" si="46"/>
        <v>0</v>
      </c>
      <c r="BK170" s="215">
        <f t="shared" si="47"/>
        <v>0</v>
      </c>
      <c r="BL170" s="216">
        <f t="shared" si="48"/>
        <v>0</v>
      </c>
      <c r="BM170" s="225">
        <f t="shared" si="49"/>
        <v>0</v>
      </c>
      <c r="BN170" s="225"/>
      <c r="BO170" s="234"/>
      <c r="BP170" s="218">
        <f t="shared" si="50"/>
        <v>0</v>
      </c>
    </row>
    <row r="171" spans="1:68">
      <c r="A171" s="170">
        <v>164</v>
      </c>
      <c r="B171" s="170" t="s">
        <v>75</v>
      </c>
      <c r="C171" s="200">
        <v>55</v>
      </c>
      <c r="D171" s="170" t="s">
        <v>83</v>
      </c>
      <c r="E171" s="170" t="s">
        <v>428</v>
      </c>
      <c r="F171" s="200">
        <f>VLOOKUP(PrévisionBoris[[#This Row],[Spec]],TabModelSpecs[[ModelSpec]:[Price]],2,FALSE)</f>
        <v>43</v>
      </c>
      <c r="G171" s="170" t="s">
        <v>462</v>
      </c>
      <c r="H171" s="219">
        <f>SUMIFS(LstMachines[Nbre],LstMachines[Model-Spec],PrévisionBoris[[#This Row],[Spec]],LstMachines[Status],PrévisionBoris[[#This Row],[Status]],LstMachines[MoisLivr],H$1)</f>
        <v>0</v>
      </c>
      <c r="I171" s="220">
        <f>SUMIFS(LstMachines[Nbre],LstMachines[Model-Spec],PrévisionBoris[[#This Row],[Spec]],LstMachines[Status],PrévisionBoris[[#This Row],[Status]],LstMachines[MoisLivr],I$1)</f>
        <v>0</v>
      </c>
      <c r="J171" s="221">
        <f>SUMIFS(LstMachines[Nbre],LstMachines[Model-Spec],PrévisionBoris[[#This Row],[Spec]],LstMachines[Status],PrévisionBoris[[#This Row],[Status]],LstMachines[MoisLivr],J$1)</f>
        <v>0</v>
      </c>
      <c r="K171" s="219">
        <f>SUMIFS(LstMachines[Nbre],LstMachines[Model-Spec],PrévisionBoris[[#This Row],[Spec]],LstMachines[Status],PrévisionBoris[[#This Row],[Status]],LstMachines[MoisLivr],K$1)</f>
        <v>0</v>
      </c>
      <c r="L171" s="220">
        <f>SUMIFS(LstMachines[Nbre],LstMachines[Model-Spec],PrévisionBoris[[#This Row],[Spec]],LstMachines[Status],PrévisionBoris[[#This Row],[Status]],LstMachines[MoisLivr],L$1)</f>
        <v>0</v>
      </c>
      <c r="M171" s="221">
        <f>SUMIFS(LstMachines[Nbre],LstMachines[Model-Spec],PrévisionBoris[[#This Row],[Spec]],LstMachines[Status],PrévisionBoris[[#This Row],[Status]],LstMachines[MoisLivr],M$1)</f>
        <v>0</v>
      </c>
      <c r="N171" s="219">
        <f>SUMIFS(LstMachines[Nbre],LstMachines[Model-Spec],PrévisionBoris[[#This Row],[Spec]],LstMachines[Status],PrévisionBoris[[#This Row],[Status]],LstMachines[MoisLivr],N$1)</f>
        <v>0</v>
      </c>
      <c r="O171" s="220">
        <f>SUMIFS(LstMachines[Nbre],LstMachines[Model-Spec],PrévisionBoris[[#This Row],[Spec]],LstMachines[Status],PrévisionBoris[[#This Row],[Status]],LstMachines[MoisLivr],O$1)</f>
        <v>0</v>
      </c>
      <c r="P171" s="221">
        <f>SUMIFS(LstMachines[Nbre],LstMachines[Model-Spec],PrévisionBoris[[#This Row],[Spec]],LstMachines[Status],PrévisionBoris[[#This Row],[Status]],LstMachines[MoisLivr],P$1)</f>
        <v>0</v>
      </c>
      <c r="Q171" s="222">
        <f>SUMIFS(LstMachines[Nbre],LstMachines[Model-Spec],PrévisionBoris[[#This Row],[Spec]],LstMachines[Status],PrévisionBoris[[#This Row],[Status]],LstMachines[MoisLivr],Q$1)</f>
        <v>0</v>
      </c>
      <c r="R171" s="220">
        <f>SUMIFS(LstMachines[Nbre],LstMachines[Model-Spec],PrévisionBoris[[#This Row],[Spec]],LstMachines[Status],PrévisionBoris[[#This Row],[Status]],LstMachines[MoisLivr],R$1)</f>
        <v>0</v>
      </c>
      <c r="S171" s="220">
        <f>SUMIFS(LstMachines[Nbre],LstMachines[Model-Spec],PrévisionBoris[[#This Row],[Spec]],LstMachines[Status],PrévisionBoris[[#This Row],[Status]],LstMachines[MoisLivr],S$1)</f>
        <v>0</v>
      </c>
      <c r="T171" s="219">
        <f>SUMIFS(LstMachines[Nbre],LstMachines[Model-Spec],PrévisionBoris[[#This Row],[Spec]],LstMachines[Status],PrévisionBoris[[#This Row],[Status]],LstMachines[MoisLivr],T$1)</f>
        <v>0</v>
      </c>
      <c r="U171" s="220">
        <f>SUMIFS(LstMachines[Nbre],LstMachines[Model-Spec],PrévisionBoris[[#This Row],[Spec]],LstMachines[Status],PrévisionBoris[[#This Row],[Status]],LstMachines[MoisLivr],U$1)</f>
        <v>0</v>
      </c>
      <c r="V171" s="220">
        <f>SUMIFS(LstMachines[Nbre],LstMachines[Model-Spec],PrévisionBoris[[#This Row],[Spec]],LstMachines[Status],PrévisionBoris[[#This Row],[Status]],LstMachines[MoisLivr],V$1)</f>
        <v>0</v>
      </c>
      <c r="W171" s="219">
        <f>SUMIFS(LstMachines[Nbre],LstMachines[Model-Spec],PrévisionBoris[[#This Row],[Spec]],LstMachines[Status],PrévisionBoris[[#This Row],[Status]],LstMachines[MoisLivr],W$1)</f>
        <v>0</v>
      </c>
      <c r="X171" s="220">
        <f>SUMIFS(LstMachines[Nbre],LstMachines[Model-Spec],PrévisionBoris[[#This Row],[Spec]],LstMachines[Status],PrévisionBoris[[#This Row],[Status]],LstMachines[MoisLivr],X$1)</f>
        <v>0</v>
      </c>
      <c r="Y171" s="220">
        <f>SUMIFS(LstMachines[Nbre],LstMachines[Model-Spec],PrévisionBoris[[#This Row],[Spec]],LstMachines[Status],PrévisionBoris[[#This Row],[Status]],LstMachines[MoisLivr],Y$1)</f>
        <v>0</v>
      </c>
      <c r="Z171" s="219">
        <f>SUMIFS(LstMachines[Nbre],LstMachines[Model-Spec],PrévisionBoris[[#This Row],[Spec]],LstMachines[Status],PrévisionBoris[[#This Row],[Status]],LstMachines[MoisLivr],Z$1)</f>
        <v>0</v>
      </c>
      <c r="AA171" s="220">
        <f>SUMIFS(LstMachines[Nbre],LstMachines[Model-Spec],PrévisionBoris[[#This Row],[Spec]],LstMachines[Status],PrévisionBoris[[#This Row],[Status]],LstMachines[MoisLivr],AA$1)</f>
        <v>0</v>
      </c>
      <c r="AB171" s="220">
        <f>SUMIFS(LstMachines[Nbre],LstMachines[Model-Spec],PrévisionBoris[[#This Row],[Spec]],LstMachines[Status],PrévisionBoris[[#This Row],[Status]],LstMachines[MoisLivr],AB$1)</f>
        <v>0</v>
      </c>
      <c r="AC171" s="219">
        <f>SUMIFS(LstMachines[Nbre],LstMachines[Model-Spec],PrévisionBoris[[#This Row],[Spec]],LstMachines[Status],PrévisionBoris[[#This Row],[Status]],LstMachines[MoisLivr],AC$1)</f>
        <v>0</v>
      </c>
      <c r="AD171" s="220">
        <f>SUMIFS(LstMachines[Nbre],LstMachines[Model-Spec],PrévisionBoris[[#This Row],[Spec]],LstMachines[Status],PrévisionBoris[[#This Row],[Status]],LstMachines[MoisLivr],AD$1)</f>
        <v>0</v>
      </c>
      <c r="AE171" s="220">
        <f>SUMIFS(LstMachines[Nbre],LstMachines[Model-Spec],PrévisionBoris[[#This Row],[Spec]],LstMachines[Status],PrévisionBoris[[#This Row],[Status]],LstMachines[MoisLivr],AE$1)</f>
        <v>0</v>
      </c>
      <c r="AF171" s="219">
        <f>SUMIFS(LstMachines[Nbre],LstMachines[Model-Spec],PrévisionBoris[[#This Row],[Spec]],LstMachines[Status],PrévisionBoris[[#This Row],[Status]],LstMachines[MoisLivr],AF$1)</f>
        <v>0</v>
      </c>
      <c r="AG171" s="220">
        <f>SUMIFS(LstMachines[Nbre],LstMachines[Model-Spec],PrévisionBoris[[#This Row],[Spec]],LstMachines[Status],PrévisionBoris[[#This Row],[Status]],LstMachines[MoisLivr],AG$1)</f>
        <v>0</v>
      </c>
      <c r="AH171" s="220">
        <f>SUMIFS(LstMachines[Nbre],LstMachines[Model-Spec],PrévisionBoris[[#This Row],[Spec]],LstMachines[Status],PrévisionBoris[[#This Row],[Status]],LstMachines[MoisLivr],AH$1)</f>
        <v>0</v>
      </c>
      <c r="AI171" s="219">
        <f>SUMIFS(LstMachines[Nbre],LstMachines[Model-Spec],PrévisionBoris[[#This Row],[Spec]],LstMachines[Status],PrévisionBoris[[#This Row],[Status]],LstMachines[MoisLivr],AI$1)</f>
        <v>0</v>
      </c>
      <c r="AJ171" s="220">
        <f>SUMIFS(LstMachines[Nbre],LstMachines[Model-Spec],PrévisionBoris[[#This Row],[Spec]],LstMachines[Status],PrévisionBoris[[#This Row],[Status]],LstMachines[MoisLivr],AJ$1)</f>
        <v>0</v>
      </c>
      <c r="AK171" s="220">
        <f>SUMIFS(LstMachines[Nbre],LstMachines[Model-Spec],PrévisionBoris[[#This Row],[Spec]],LstMachines[Status],PrévisionBoris[[#This Row],[Status]],LstMachines[MoisLivr],AK$1)</f>
        <v>0</v>
      </c>
      <c r="AL171" s="219">
        <f>SUMIFS(LstMachines[Nbre],LstMachines[Model-Spec],PrévisionBoris[[#This Row],[Spec]],LstMachines[Status],PrévisionBoris[[#This Row],[Status]],LstMachines[MoisLivr],AL$1)</f>
        <v>0</v>
      </c>
      <c r="AM171" s="220">
        <f>SUMIFS(LstMachines[Nbre],LstMachines[Model-Spec],PrévisionBoris[[#This Row],[Spec]],LstMachines[Status],PrévisionBoris[[#This Row],[Status]],LstMachines[MoisLivr],AM$1)</f>
        <v>0</v>
      </c>
      <c r="AN171" s="220">
        <f>SUMIFS(LstMachines[Nbre],LstMachines[Model-Spec],PrévisionBoris[[#This Row],[Spec]],LstMachines[Status],PrévisionBoris[[#This Row],[Status]],LstMachines[MoisLivr],AN$1)</f>
        <v>0</v>
      </c>
      <c r="AO171" s="219">
        <f>SUMIFS(LstMachines[Nbre],LstMachines[Model-Spec],PrévisionBoris[[#This Row],[Spec]],LstMachines[Status],PrévisionBoris[[#This Row],[Status]],LstMachines[MoisLivr],AO$1)</f>
        <v>0</v>
      </c>
      <c r="AP171" s="220">
        <f>SUMIFS(LstMachines[Nbre],LstMachines[Model-Spec],PrévisionBoris[[#This Row],[Spec]],LstMachines[Status],PrévisionBoris[[#This Row],[Status]],LstMachines[MoisLivr],AP$1)</f>
        <v>0</v>
      </c>
      <c r="AQ171" s="220">
        <f>SUMIFS(LstMachines[Nbre],LstMachines[Model-Spec],PrévisionBoris[[#This Row],[Spec]],LstMachines[Status],PrévisionBoris[[#This Row],[Status]],LstMachines[MoisLivr],AQ$1)</f>
        <v>0</v>
      </c>
      <c r="AR171" s="219">
        <f>SUMIFS(LstMachines[Nbre],LstMachines[Model-Spec],PrévisionBoris[[#This Row],[Spec]],LstMachines[Status],PrévisionBoris[[#This Row],[Status]],LstMachines[MoisLivr],AR$1)</f>
        <v>0</v>
      </c>
      <c r="AS171" s="220">
        <f>SUMIFS(LstMachines[Nbre],LstMachines[Model-Spec],PrévisionBoris[[#This Row],[Spec]],LstMachines[Status],PrévisionBoris[[#This Row],[Status]],LstMachines[MoisLivr],AS$1)</f>
        <v>0</v>
      </c>
      <c r="AT171" s="220">
        <f>SUMIFS(LstMachines[Nbre],LstMachines[Model-Spec],PrévisionBoris[[#This Row],[Spec]],LstMachines[Status],PrévisionBoris[[#This Row],[Status]],LstMachines[MoisLivr],AT$1)</f>
        <v>0</v>
      </c>
      <c r="AU171" s="219">
        <f>SUMIFS(LstMachines[Nbre],LstMachines[Model-Spec],PrévisionBoris[[#This Row],[Spec]],LstMachines[Status],PrévisionBoris[[#This Row],[Status]],LstMachines[MoisLivr],AU$1)</f>
        <v>0</v>
      </c>
      <c r="AV171" s="223">
        <f>SUMIFS(LstMachines[Nbre],LstMachines[Model-Spec],PrévisionBoris[[#This Row],[Spec]],LstMachines[Status],PrévisionBoris[[#This Row],[Status]],LstMachines[MoisLivr],AV$1)</f>
        <v>0</v>
      </c>
      <c r="AW171" s="224">
        <f>SUMIFS(LstMachines[Nbre],LstMachines[Model-Spec],PrévisionBoris[[#This Row],[Spec]],LstMachines[Status],PrévisionBoris[[#This Row],[Status]],LstMachines[MoisLivr],AW$1)</f>
        <v>0</v>
      </c>
      <c r="AX171" s="210"/>
      <c r="AY171" s="211">
        <f t="shared" si="35"/>
        <v>0</v>
      </c>
      <c r="AZ171" s="212">
        <f t="shared" si="36"/>
        <v>0</v>
      </c>
      <c r="BA171" s="212">
        <f t="shared" si="37"/>
        <v>0</v>
      </c>
      <c r="BB171" s="213">
        <f t="shared" si="38"/>
        <v>0</v>
      </c>
      <c r="BC171" s="225">
        <f t="shared" si="39"/>
        <v>0</v>
      </c>
      <c r="BD171" s="211">
        <f t="shared" si="40"/>
        <v>0</v>
      </c>
      <c r="BE171" s="212">
        <f t="shared" si="41"/>
        <v>0</v>
      </c>
      <c r="BF171" s="212">
        <f t="shared" si="42"/>
        <v>0</v>
      </c>
      <c r="BG171" s="213">
        <f t="shared" si="43"/>
        <v>0</v>
      </c>
      <c r="BH171" s="225">
        <f t="shared" si="44"/>
        <v>0</v>
      </c>
      <c r="BI171" s="214">
        <f t="shared" si="45"/>
        <v>0</v>
      </c>
      <c r="BJ171" s="215">
        <f t="shared" si="46"/>
        <v>0</v>
      </c>
      <c r="BK171" s="215">
        <f t="shared" si="47"/>
        <v>0</v>
      </c>
      <c r="BL171" s="216">
        <f t="shared" si="48"/>
        <v>0</v>
      </c>
      <c r="BM171" s="225">
        <f t="shared" si="49"/>
        <v>0</v>
      </c>
      <c r="BN171" s="225"/>
      <c r="BO171" s="217"/>
      <c r="BP171" s="218">
        <f t="shared" si="50"/>
        <v>0</v>
      </c>
    </row>
    <row r="172" spans="1:68">
      <c r="A172" s="171">
        <v>165</v>
      </c>
      <c r="B172" s="171" t="s">
        <v>75</v>
      </c>
      <c r="C172" s="201">
        <v>55</v>
      </c>
      <c r="D172" s="171" t="s">
        <v>83</v>
      </c>
      <c r="E172" s="171" t="s">
        <v>428</v>
      </c>
      <c r="F172" s="201">
        <f>VLOOKUP(PrévisionBoris[[#This Row],[Spec]],TabModelSpecs[[ModelSpec]:[Price]],2,FALSE)</f>
        <v>43</v>
      </c>
      <c r="G172" s="171" t="s">
        <v>463</v>
      </c>
      <c r="H172" s="226">
        <f>SUMIFS(LstMachines[Nbre],LstMachines[Model-Spec],PrévisionBoris[[#This Row],[Spec]],LstMachines[Status],PrévisionBoris[[#This Row],[Status]],LstMachines[MoisLivr],H$1)</f>
        <v>0</v>
      </c>
      <c r="I172" s="227">
        <f>SUMIFS(LstMachines[Nbre],LstMachines[Model-Spec],PrévisionBoris[[#This Row],[Spec]],LstMachines[Status],PrévisionBoris[[#This Row],[Status]],LstMachines[MoisLivr],I$1)</f>
        <v>0</v>
      </c>
      <c r="J172" s="228">
        <f>SUMIFS(LstMachines[Nbre],LstMachines[Model-Spec],PrévisionBoris[[#This Row],[Spec]],LstMachines[Status],PrévisionBoris[[#This Row],[Status]],LstMachines[MoisLivr],J$1)</f>
        <v>0</v>
      </c>
      <c r="K172" s="226">
        <f>SUMIFS(LstMachines[Nbre],LstMachines[Model-Spec],PrévisionBoris[[#This Row],[Spec]],LstMachines[Status],PrévisionBoris[[#This Row],[Status]],LstMachines[MoisLivr],K$1)</f>
        <v>0</v>
      </c>
      <c r="L172" s="227">
        <f>SUMIFS(LstMachines[Nbre],LstMachines[Model-Spec],PrévisionBoris[[#This Row],[Spec]],LstMachines[Status],PrévisionBoris[[#This Row],[Status]],LstMachines[MoisLivr],L$1)</f>
        <v>0</v>
      </c>
      <c r="M172" s="228">
        <f>SUMIFS(LstMachines[Nbre],LstMachines[Model-Spec],PrévisionBoris[[#This Row],[Spec]],LstMachines[Status],PrévisionBoris[[#This Row],[Status]],LstMachines[MoisLivr],M$1)</f>
        <v>0</v>
      </c>
      <c r="N172" s="226">
        <f>SUMIFS(LstMachines[Nbre],LstMachines[Model-Spec],PrévisionBoris[[#This Row],[Spec]],LstMachines[Status],PrévisionBoris[[#This Row],[Status]],LstMachines[MoisLivr],N$1)</f>
        <v>0</v>
      </c>
      <c r="O172" s="227">
        <f>SUMIFS(LstMachines[Nbre],LstMachines[Model-Spec],PrévisionBoris[[#This Row],[Spec]],LstMachines[Status],PrévisionBoris[[#This Row],[Status]],LstMachines[MoisLivr],O$1)</f>
        <v>0</v>
      </c>
      <c r="P172" s="228">
        <f>SUMIFS(LstMachines[Nbre],LstMachines[Model-Spec],PrévisionBoris[[#This Row],[Spec]],LstMachines[Status],PrévisionBoris[[#This Row],[Status]],LstMachines[MoisLivr],P$1)</f>
        <v>0</v>
      </c>
      <c r="Q172" s="229">
        <f>SUMIFS(LstMachines[Nbre],LstMachines[Model-Spec],PrévisionBoris[[#This Row],[Spec]],LstMachines[Status],PrévisionBoris[[#This Row],[Status]],LstMachines[MoisLivr],Q$1)</f>
        <v>0</v>
      </c>
      <c r="R172" s="227">
        <f>SUMIFS(LstMachines[Nbre],LstMachines[Model-Spec],PrévisionBoris[[#This Row],[Spec]],LstMachines[Status],PrévisionBoris[[#This Row],[Status]],LstMachines[MoisLivr],R$1)</f>
        <v>0</v>
      </c>
      <c r="S172" s="227">
        <f>SUMIFS(LstMachines[Nbre],LstMachines[Model-Spec],PrévisionBoris[[#This Row],[Spec]],LstMachines[Status],PrévisionBoris[[#This Row],[Status]],LstMachines[MoisLivr],S$1)</f>
        <v>0</v>
      </c>
      <c r="T172" s="226">
        <f>SUMIFS(LstMachines[Nbre],LstMachines[Model-Spec],PrévisionBoris[[#This Row],[Spec]],LstMachines[Status],PrévisionBoris[[#This Row],[Status]],LstMachines[MoisLivr],T$1)</f>
        <v>0</v>
      </c>
      <c r="U172" s="227">
        <f>SUMIFS(LstMachines[Nbre],LstMachines[Model-Spec],PrévisionBoris[[#This Row],[Spec]],LstMachines[Status],PrévisionBoris[[#This Row],[Status]],LstMachines[MoisLivr],U$1)</f>
        <v>0</v>
      </c>
      <c r="V172" s="227">
        <f>SUMIFS(LstMachines[Nbre],LstMachines[Model-Spec],PrévisionBoris[[#This Row],[Spec]],LstMachines[Status],PrévisionBoris[[#This Row],[Status]],LstMachines[MoisLivr],V$1)</f>
        <v>0</v>
      </c>
      <c r="W172" s="226">
        <f>SUMIFS(LstMachines[Nbre],LstMachines[Model-Spec],PrévisionBoris[[#This Row],[Spec]],LstMachines[Status],PrévisionBoris[[#This Row],[Status]],LstMachines[MoisLivr],W$1)</f>
        <v>0</v>
      </c>
      <c r="X172" s="227">
        <f>SUMIFS(LstMachines[Nbre],LstMachines[Model-Spec],PrévisionBoris[[#This Row],[Spec]],LstMachines[Status],PrévisionBoris[[#This Row],[Status]],LstMachines[MoisLivr],X$1)</f>
        <v>0</v>
      </c>
      <c r="Y172" s="227">
        <f>SUMIFS(LstMachines[Nbre],LstMachines[Model-Spec],PrévisionBoris[[#This Row],[Spec]],LstMachines[Status],PrévisionBoris[[#This Row],[Status]],LstMachines[MoisLivr],Y$1)</f>
        <v>0</v>
      </c>
      <c r="Z172" s="226">
        <f>SUMIFS(LstMachines[Nbre],LstMachines[Model-Spec],PrévisionBoris[[#This Row],[Spec]],LstMachines[Status],PrévisionBoris[[#This Row],[Status]],LstMachines[MoisLivr],Z$1)</f>
        <v>0</v>
      </c>
      <c r="AA172" s="227">
        <f>SUMIFS(LstMachines[Nbre],LstMachines[Model-Spec],PrévisionBoris[[#This Row],[Spec]],LstMachines[Status],PrévisionBoris[[#This Row],[Status]],LstMachines[MoisLivr],AA$1)</f>
        <v>0</v>
      </c>
      <c r="AB172" s="227">
        <f>SUMIFS(LstMachines[Nbre],LstMachines[Model-Spec],PrévisionBoris[[#This Row],[Spec]],LstMachines[Status],PrévisionBoris[[#This Row],[Status]],LstMachines[MoisLivr],AB$1)</f>
        <v>0</v>
      </c>
      <c r="AC172" s="226">
        <f>SUMIFS(LstMachines[Nbre],LstMachines[Model-Spec],PrévisionBoris[[#This Row],[Spec]],LstMachines[Status],PrévisionBoris[[#This Row],[Status]],LstMachines[MoisLivr],AC$1)</f>
        <v>0</v>
      </c>
      <c r="AD172" s="227">
        <f>SUMIFS(LstMachines[Nbre],LstMachines[Model-Spec],PrévisionBoris[[#This Row],[Spec]],LstMachines[Status],PrévisionBoris[[#This Row],[Status]],LstMachines[MoisLivr],AD$1)</f>
        <v>0</v>
      </c>
      <c r="AE172" s="227">
        <f>SUMIFS(LstMachines[Nbre],LstMachines[Model-Spec],PrévisionBoris[[#This Row],[Spec]],LstMachines[Status],PrévisionBoris[[#This Row],[Status]],LstMachines[MoisLivr],AE$1)</f>
        <v>0</v>
      </c>
      <c r="AF172" s="226">
        <f>SUMIFS(LstMachines[Nbre],LstMachines[Model-Spec],PrévisionBoris[[#This Row],[Spec]],LstMachines[Status],PrévisionBoris[[#This Row],[Status]],LstMachines[MoisLivr],AF$1)</f>
        <v>0</v>
      </c>
      <c r="AG172" s="227">
        <f>SUMIFS(LstMachines[Nbre],LstMachines[Model-Spec],PrévisionBoris[[#This Row],[Spec]],LstMachines[Status],PrévisionBoris[[#This Row],[Status]],LstMachines[MoisLivr],AG$1)</f>
        <v>0</v>
      </c>
      <c r="AH172" s="227">
        <f>SUMIFS(LstMachines[Nbre],LstMachines[Model-Spec],PrévisionBoris[[#This Row],[Spec]],LstMachines[Status],PrévisionBoris[[#This Row],[Status]],LstMachines[MoisLivr],AH$1)</f>
        <v>0</v>
      </c>
      <c r="AI172" s="226">
        <f>SUMIFS(LstMachines[Nbre],LstMachines[Model-Spec],PrévisionBoris[[#This Row],[Spec]],LstMachines[Status],PrévisionBoris[[#This Row],[Status]],LstMachines[MoisLivr],AI$1)</f>
        <v>0</v>
      </c>
      <c r="AJ172" s="227">
        <f>SUMIFS(LstMachines[Nbre],LstMachines[Model-Spec],PrévisionBoris[[#This Row],[Spec]],LstMachines[Status],PrévisionBoris[[#This Row],[Status]],LstMachines[MoisLivr],AJ$1)</f>
        <v>0</v>
      </c>
      <c r="AK172" s="227">
        <f>SUMIFS(LstMachines[Nbre],LstMachines[Model-Spec],PrévisionBoris[[#This Row],[Spec]],LstMachines[Status],PrévisionBoris[[#This Row],[Status]],LstMachines[MoisLivr],AK$1)</f>
        <v>0</v>
      </c>
      <c r="AL172" s="226">
        <f>SUMIFS(LstMachines[Nbre],LstMachines[Model-Spec],PrévisionBoris[[#This Row],[Spec]],LstMachines[Status],PrévisionBoris[[#This Row],[Status]],LstMachines[MoisLivr],AL$1)</f>
        <v>0</v>
      </c>
      <c r="AM172" s="227">
        <f>SUMIFS(LstMachines[Nbre],LstMachines[Model-Spec],PrévisionBoris[[#This Row],[Spec]],LstMachines[Status],PrévisionBoris[[#This Row],[Status]],LstMachines[MoisLivr],AM$1)</f>
        <v>0</v>
      </c>
      <c r="AN172" s="227">
        <f>SUMIFS(LstMachines[Nbre],LstMachines[Model-Spec],PrévisionBoris[[#This Row],[Spec]],LstMachines[Status],PrévisionBoris[[#This Row],[Status]],LstMachines[MoisLivr],AN$1)</f>
        <v>0</v>
      </c>
      <c r="AO172" s="226">
        <f>SUMIFS(LstMachines[Nbre],LstMachines[Model-Spec],PrévisionBoris[[#This Row],[Spec]],LstMachines[Status],PrévisionBoris[[#This Row],[Status]],LstMachines[MoisLivr],AO$1)</f>
        <v>0</v>
      </c>
      <c r="AP172" s="227">
        <f>SUMIFS(LstMachines[Nbre],LstMachines[Model-Spec],PrévisionBoris[[#This Row],[Spec]],LstMachines[Status],PrévisionBoris[[#This Row],[Status]],LstMachines[MoisLivr],AP$1)</f>
        <v>0</v>
      </c>
      <c r="AQ172" s="227">
        <f>SUMIFS(LstMachines[Nbre],LstMachines[Model-Spec],PrévisionBoris[[#This Row],[Spec]],LstMachines[Status],PrévisionBoris[[#This Row],[Status]],LstMachines[MoisLivr],AQ$1)</f>
        <v>0</v>
      </c>
      <c r="AR172" s="226">
        <f>SUMIFS(LstMachines[Nbre],LstMachines[Model-Spec],PrévisionBoris[[#This Row],[Spec]],LstMachines[Status],PrévisionBoris[[#This Row],[Status]],LstMachines[MoisLivr],AR$1)</f>
        <v>0</v>
      </c>
      <c r="AS172" s="227">
        <f>SUMIFS(LstMachines[Nbre],LstMachines[Model-Spec],PrévisionBoris[[#This Row],[Spec]],LstMachines[Status],PrévisionBoris[[#This Row],[Status]],LstMachines[MoisLivr],AS$1)</f>
        <v>0</v>
      </c>
      <c r="AT172" s="227">
        <f>SUMIFS(LstMachines[Nbre],LstMachines[Model-Spec],PrévisionBoris[[#This Row],[Spec]],LstMachines[Status],PrévisionBoris[[#This Row],[Status]],LstMachines[MoisLivr],AT$1)</f>
        <v>0</v>
      </c>
      <c r="AU172" s="226">
        <f>SUMIFS(LstMachines[Nbre],LstMachines[Model-Spec],PrévisionBoris[[#This Row],[Spec]],LstMachines[Status],PrévisionBoris[[#This Row],[Status]],LstMachines[MoisLivr],AU$1)</f>
        <v>0</v>
      </c>
      <c r="AV172" s="230">
        <f>SUMIFS(LstMachines[Nbre],LstMachines[Model-Spec],PrévisionBoris[[#This Row],[Spec]],LstMachines[Status],PrévisionBoris[[#This Row],[Status]],LstMachines[MoisLivr],AV$1)</f>
        <v>0</v>
      </c>
      <c r="AW172" s="231">
        <f>SUMIFS(LstMachines[Nbre],LstMachines[Model-Spec],PrévisionBoris[[#This Row],[Spec]],LstMachines[Status],PrévisionBoris[[#This Row],[Status]],LstMachines[MoisLivr],AW$1)</f>
        <v>0</v>
      </c>
      <c r="AX172" s="232"/>
      <c r="AY172" s="211">
        <f t="shared" si="35"/>
        <v>0</v>
      </c>
      <c r="AZ172" s="212">
        <f t="shared" si="36"/>
        <v>0</v>
      </c>
      <c r="BA172" s="212">
        <f t="shared" si="37"/>
        <v>0</v>
      </c>
      <c r="BB172" s="213">
        <f t="shared" si="38"/>
        <v>0</v>
      </c>
      <c r="BC172" s="225">
        <f t="shared" si="39"/>
        <v>0</v>
      </c>
      <c r="BD172" s="211">
        <f t="shared" si="40"/>
        <v>0</v>
      </c>
      <c r="BE172" s="212">
        <f t="shared" si="41"/>
        <v>0</v>
      </c>
      <c r="BF172" s="212">
        <f t="shared" si="42"/>
        <v>0</v>
      </c>
      <c r="BG172" s="213">
        <f t="shared" si="43"/>
        <v>0</v>
      </c>
      <c r="BH172" s="225">
        <f t="shared" si="44"/>
        <v>0</v>
      </c>
      <c r="BI172" s="214">
        <f t="shared" si="45"/>
        <v>0</v>
      </c>
      <c r="BJ172" s="215">
        <f t="shared" si="46"/>
        <v>0</v>
      </c>
      <c r="BK172" s="215">
        <f t="shared" si="47"/>
        <v>0</v>
      </c>
      <c r="BL172" s="216">
        <f t="shared" si="48"/>
        <v>0</v>
      </c>
      <c r="BM172" s="225">
        <f t="shared" si="49"/>
        <v>0</v>
      </c>
      <c r="BN172" s="225"/>
      <c r="BO172" s="217"/>
      <c r="BP172" s="218">
        <f t="shared" si="50"/>
        <v>0</v>
      </c>
    </row>
    <row r="173" spans="1:68">
      <c r="A173" s="172">
        <v>166</v>
      </c>
      <c r="B173" s="172" t="s">
        <v>75</v>
      </c>
      <c r="C173" s="202">
        <v>55</v>
      </c>
      <c r="D173" s="172" t="s">
        <v>83</v>
      </c>
      <c r="E173" s="172" t="s">
        <v>358</v>
      </c>
      <c r="F173" s="202">
        <f>VLOOKUP(PrévisionBoris[[#This Row],[Spec]],TabModelSpecs[[ModelSpec]:[Price]],2,FALSE)</f>
        <v>43</v>
      </c>
      <c r="G173" s="172" t="s">
        <v>461</v>
      </c>
      <c r="H173" s="206">
        <f>SUMIFS(LstMachines[Nbre],LstMachines[Model-Spec],PrévisionBoris[[#This Row],[Spec]],LstMachines[Status],PrévisionBoris[[#This Row],[Status]],LstMachines[MoisLivr],H$1)</f>
        <v>0</v>
      </c>
      <c r="I173" s="207">
        <f>SUMIFS(LstMachines[Nbre],LstMachines[Model-Spec],PrévisionBoris[[#This Row],[Spec]],LstMachines[Status],PrévisionBoris[[#This Row],[Status]],LstMachines[MoisLivr],I$1)</f>
        <v>0</v>
      </c>
      <c r="J173" s="208">
        <f>SUMIFS(LstMachines[Nbre],LstMachines[Model-Spec],PrévisionBoris[[#This Row],[Spec]],LstMachines[Status],PrévisionBoris[[#This Row],[Status]],LstMachines[MoisLivr],J$1)</f>
        <v>0</v>
      </c>
      <c r="K173" s="206">
        <f>SUMIFS(LstMachines[Nbre],LstMachines[Model-Spec],PrévisionBoris[[#This Row],[Spec]],LstMachines[Status],PrévisionBoris[[#This Row],[Status]],LstMachines[MoisLivr],K$1)</f>
        <v>0</v>
      </c>
      <c r="L173" s="207">
        <f>SUMIFS(LstMachines[Nbre],LstMachines[Model-Spec],PrévisionBoris[[#This Row],[Spec]],LstMachines[Status],PrévisionBoris[[#This Row],[Status]],LstMachines[MoisLivr],L$1)</f>
        <v>0</v>
      </c>
      <c r="M173" s="208">
        <f>SUMIFS(LstMachines[Nbre],LstMachines[Model-Spec],PrévisionBoris[[#This Row],[Spec]],LstMachines[Status],PrévisionBoris[[#This Row],[Status]],LstMachines[MoisLivr],M$1)</f>
        <v>0</v>
      </c>
      <c r="N173" s="206">
        <f>SUMIFS(LstMachines[Nbre],LstMachines[Model-Spec],PrévisionBoris[[#This Row],[Spec]],LstMachines[Status],PrévisionBoris[[#This Row],[Status]],LstMachines[MoisLivr],N$1)</f>
        <v>0</v>
      </c>
      <c r="O173" s="207">
        <f>SUMIFS(LstMachines[Nbre],LstMachines[Model-Spec],PrévisionBoris[[#This Row],[Spec]],LstMachines[Status],PrévisionBoris[[#This Row],[Status]],LstMachines[MoisLivr],O$1)</f>
        <v>0</v>
      </c>
      <c r="P173" s="208">
        <f>SUMIFS(LstMachines[Nbre],LstMachines[Model-Spec],PrévisionBoris[[#This Row],[Spec]],LstMachines[Status],PrévisionBoris[[#This Row],[Status]],LstMachines[MoisLivr],P$1)</f>
        <v>0</v>
      </c>
      <c r="Q173" s="209">
        <f>SUMIFS(LstMachines[Nbre],LstMachines[Model-Spec],PrévisionBoris[[#This Row],[Spec]],LstMachines[Status],PrévisionBoris[[#This Row],[Status]],LstMachines[MoisLivr],Q$1)</f>
        <v>0</v>
      </c>
      <c r="R173" s="207">
        <f>SUMIFS(LstMachines[Nbre],LstMachines[Model-Spec],PrévisionBoris[[#This Row],[Spec]],LstMachines[Status],PrévisionBoris[[#This Row],[Status]],LstMachines[MoisLivr],R$1)</f>
        <v>0</v>
      </c>
      <c r="S173" s="207">
        <f>SUMIFS(LstMachines[Nbre],LstMachines[Model-Spec],PrévisionBoris[[#This Row],[Spec]],LstMachines[Status],PrévisionBoris[[#This Row],[Status]],LstMachines[MoisLivr],S$1)</f>
        <v>0</v>
      </c>
      <c r="T173" s="206">
        <f>SUMIFS(LstMachines[Nbre],LstMachines[Model-Spec],PrévisionBoris[[#This Row],[Spec]],LstMachines[Status],PrévisionBoris[[#This Row],[Status]],LstMachines[MoisLivr],T$1)</f>
        <v>0</v>
      </c>
      <c r="U173" s="207">
        <f>SUMIFS(LstMachines[Nbre],LstMachines[Model-Spec],PrévisionBoris[[#This Row],[Spec]],LstMachines[Status],PrévisionBoris[[#This Row],[Status]],LstMachines[MoisLivr],U$1)</f>
        <v>0</v>
      </c>
      <c r="V173" s="207">
        <f>SUMIFS(LstMachines[Nbre],LstMachines[Model-Spec],PrévisionBoris[[#This Row],[Spec]],LstMachines[Status],PrévisionBoris[[#This Row],[Status]],LstMachines[MoisLivr],V$1)</f>
        <v>0</v>
      </c>
      <c r="W173" s="206">
        <f>SUMIFS(LstMachines[Nbre],LstMachines[Model-Spec],PrévisionBoris[[#This Row],[Spec]],LstMachines[Status],PrévisionBoris[[#This Row],[Status]],LstMachines[MoisLivr],W$1)</f>
        <v>0</v>
      </c>
      <c r="X173" s="207">
        <f>SUMIFS(LstMachines[Nbre],LstMachines[Model-Spec],PrévisionBoris[[#This Row],[Spec]],LstMachines[Status],PrévisionBoris[[#This Row],[Status]],LstMachines[MoisLivr],X$1)</f>
        <v>0</v>
      </c>
      <c r="Y173" s="207">
        <f>SUMIFS(LstMachines[Nbre],LstMachines[Model-Spec],PrévisionBoris[[#This Row],[Spec]],LstMachines[Status],PrévisionBoris[[#This Row],[Status]],LstMachines[MoisLivr],Y$1)</f>
        <v>0</v>
      </c>
      <c r="Z173" s="206">
        <f>SUMIFS(LstMachines[Nbre],LstMachines[Model-Spec],PrévisionBoris[[#This Row],[Spec]],LstMachines[Status],PrévisionBoris[[#This Row],[Status]],LstMachines[MoisLivr],Z$1)</f>
        <v>0</v>
      </c>
      <c r="AA173" s="207">
        <f>SUMIFS(LstMachines[Nbre],LstMachines[Model-Spec],PrévisionBoris[[#This Row],[Spec]],LstMachines[Status],PrévisionBoris[[#This Row],[Status]],LstMachines[MoisLivr],AA$1)</f>
        <v>0</v>
      </c>
      <c r="AB173" s="207">
        <f>SUMIFS(LstMachines[Nbre],LstMachines[Model-Spec],PrévisionBoris[[#This Row],[Spec]],LstMachines[Status],PrévisionBoris[[#This Row],[Status]],LstMachines[MoisLivr],AB$1)</f>
        <v>0</v>
      </c>
      <c r="AC173" s="206">
        <f>SUMIFS(LstMachines[Nbre],LstMachines[Model-Spec],PrévisionBoris[[#This Row],[Spec]],LstMachines[Status],PrévisionBoris[[#This Row],[Status]],LstMachines[MoisLivr],AC$1)</f>
        <v>0</v>
      </c>
      <c r="AD173" s="207">
        <f>SUMIFS(LstMachines[Nbre],LstMachines[Model-Spec],PrévisionBoris[[#This Row],[Spec]],LstMachines[Status],PrévisionBoris[[#This Row],[Status]],LstMachines[MoisLivr],AD$1)</f>
        <v>0</v>
      </c>
      <c r="AE173" s="207">
        <f>SUMIFS(LstMachines[Nbre],LstMachines[Model-Spec],PrévisionBoris[[#This Row],[Spec]],LstMachines[Status],PrévisionBoris[[#This Row],[Status]],LstMachines[MoisLivr],AE$1)</f>
        <v>0</v>
      </c>
      <c r="AF173" s="206">
        <f>SUMIFS(LstMachines[Nbre],LstMachines[Model-Spec],PrévisionBoris[[#This Row],[Spec]],LstMachines[Status],PrévisionBoris[[#This Row],[Status]],LstMachines[MoisLivr],AF$1)</f>
        <v>0</v>
      </c>
      <c r="AG173" s="207">
        <f>SUMIFS(LstMachines[Nbre],LstMachines[Model-Spec],PrévisionBoris[[#This Row],[Spec]],LstMachines[Status],PrévisionBoris[[#This Row],[Status]],LstMachines[MoisLivr],AG$1)</f>
        <v>0</v>
      </c>
      <c r="AH173" s="207">
        <f>SUMIFS(LstMachines[Nbre],LstMachines[Model-Spec],PrévisionBoris[[#This Row],[Spec]],LstMachines[Status],PrévisionBoris[[#This Row],[Status]],LstMachines[MoisLivr],AH$1)</f>
        <v>0</v>
      </c>
      <c r="AI173" s="206">
        <f>SUMIFS(LstMachines[Nbre],LstMachines[Model-Spec],PrévisionBoris[[#This Row],[Spec]],LstMachines[Status],PrévisionBoris[[#This Row],[Status]],LstMachines[MoisLivr],AI$1)</f>
        <v>0</v>
      </c>
      <c r="AJ173" s="207">
        <f>SUMIFS(LstMachines[Nbre],LstMachines[Model-Spec],PrévisionBoris[[#This Row],[Spec]],LstMachines[Status],PrévisionBoris[[#This Row],[Status]],LstMachines[MoisLivr],AJ$1)</f>
        <v>0</v>
      </c>
      <c r="AK173" s="207">
        <f>SUMIFS(LstMachines[Nbre],LstMachines[Model-Spec],PrévisionBoris[[#This Row],[Spec]],LstMachines[Status],PrévisionBoris[[#This Row],[Status]],LstMachines[MoisLivr],AK$1)</f>
        <v>0</v>
      </c>
      <c r="AL173" s="206">
        <f>SUMIFS(LstMachines[Nbre],LstMachines[Model-Spec],PrévisionBoris[[#This Row],[Spec]],LstMachines[Status],PrévisionBoris[[#This Row],[Status]],LstMachines[MoisLivr],AL$1)</f>
        <v>0</v>
      </c>
      <c r="AM173" s="207">
        <f>SUMIFS(LstMachines[Nbre],LstMachines[Model-Spec],PrévisionBoris[[#This Row],[Spec]],LstMachines[Status],PrévisionBoris[[#This Row],[Status]],LstMachines[MoisLivr],AM$1)</f>
        <v>0</v>
      </c>
      <c r="AN173" s="207">
        <f>SUMIFS(LstMachines[Nbre],LstMachines[Model-Spec],PrévisionBoris[[#This Row],[Spec]],LstMachines[Status],PrévisionBoris[[#This Row],[Status]],LstMachines[MoisLivr],AN$1)</f>
        <v>0</v>
      </c>
      <c r="AO173" s="206">
        <f>SUMIFS(LstMachines[Nbre],LstMachines[Model-Spec],PrévisionBoris[[#This Row],[Spec]],LstMachines[Status],PrévisionBoris[[#This Row],[Status]],LstMachines[MoisLivr],AO$1)</f>
        <v>0</v>
      </c>
      <c r="AP173" s="207">
        <f>SUMIFS(LstMachines[Nbre],LstMachines[Model-Spec],PrévisionBoris[[#This Row],[Spec]],LstMachines[Status],PrévisionBoris[[#This Row],[Status]],LstMachines[MoisLivr],AP$1)</f>
        <v>0</v>
      </c>
      <c r="AQ173" s="207">
        <f>SUMIFS(LstMachines[Nbre],LstMachines[Model-Spec],PrévisionBoris[[#This Row],[Spec]],LstMachines[Status],PrévisionBoris[[#This Row],[Status]],LstMachines[MoisLivr],AQ$1)</f>
        <v>0</v>
      </c>
      <c r="AR173" s="206">
        <f>SUMIFS(LstMachines[Nbre],LstMachines[Model-Spec],PrévisionBoris[[#This Row],[Spec]],LstMachines[Status],PrévisionBoris[[#This Row],[Status]],LstMachines[MoisLivr],AR$1)</f>
        <v>0</v>
      </c>
      <c r="AS173" s="207">
        <f>SUMIFS(LstMachines[Nbre],LstMachines[Model-Spec],PrévisionBoris[[#This Row],[Spec]],LstMachines[Status],PrévisionBoris[[#This Row],[Status]],LstMachines[MoisLivr],AS$1)</f>
        <v>0</v>
      </c>
      <c r="AT173" s="207">
        <f>SUMIFS(LstMachines[Nbre],LstMachines[Model-Spec],PrévisionBoris[[#This Row],[Spec]],LstMachines[Status],PrévisionBoris[[#This Row],[Status]],LstMachines[MoisLivr],AT$1)</f>
        <v>0</v>
      </c>
      <c r="AU173" s="206">
        <f>SUMIFS(LstMachines[Nbre],LstMachines[Model-Spec],PrévisionBoris[[#This Row],[Spec]],LstMachines[Status],PrévisionBoris[[#This Row],[Status]],LstMachines[MoisLivr],AU$1)</f>
        <v>0</v>
      </c>
      <c r="AV173" s="233">
        <f>SUMIFS(LstMachines[Nbre],LstMachines[Model-Spec],PrévisionBoris[[#This Row],[Spec]],LstMachines[Status],PrévisionBoris[[#This Row],[Status]],LstMachines[MoisLivr],AV$1)</f>
        <v>0</v>
      </c>
      <c r="AW173" s="208">
        <f>SUMIFS(LstMachines[Nbre],LstMachines[Model-Spec],PrévisionBoris[[#This Row],[Spec]],LstMachines[Status],PrévisionBoris[[#This Row],[Status]],LstMachines[MoisLivr],AW$1)</f>
        <v>0</v>
      </c>
      <c r="AX173" s="225"/>
      <c r="AY173" s="211">
        <f t="shared" si="35"/>
        <v>0</v>
      </c>
      <c r="AZ173" s="212">
        <f t="shared" si="36"/>
        <v>0</v>
      </c>
      <c r="BA173" s="212">
        <f t="shared" si="37"/>
        <v>0</v>
      </c>
      <c r="BB173" s="213">
        <f t="shared" si="38"/>
        <v>0</v>
      </c>
      <c r="BC173" s="225">
        <f t="shared" si="39"/>
        <v>0</v>
      </c>
      <c r="BD173" s="211">
        <f t="shared" si="40"/>
        <v>0</v>
      </c>
      <c r="BE173" s="212">
        <f t="shared" si="41"/>
        <v>0</v>
      </c>
      <c r="BF173" s="212">
        <f t="shared" si="42"/>
        <v>0</v>
      </c>
      <c r="BG173" s="213">
        <f t="shared" si="43"/>
        <v>0</v>
      </c>
      <c r="BH173" s="225">
        <f t="shared" si="44"/>
        <v>0</v>
      </c>
      <c r="BI173" s="214">
        <f t="shared" si="45"/>
        <v>0</v>
      </c>
      <c r="BJ173" s="215">
        <f t="shared" si="46"/>
        <v>0</v>
      </c>
      <c r="BK173" s="215">
        <f t="shared" si="47"/>
        <v>0</v>
      </c>
      <c r="BL173" s="216">
        <f t="shared" si="48"/>
        <v>0</v>
      </c>
      <c r="BM173" s="225">
        <f t="shared" si="49"/>
        <v>0</v>
      </c>
      <c r="BN173" s="225"/>
      <c r="BO173" s="234"/>
      <c r="BP173" s="218">
        <f t="shared" si="50"/>
        <v>0</v>
      </c>
    </row>
    <row r="174" spans="1:68">
      <c r="A174" s="170">
        <v>167</v>
      </c>
      <c r="B174" s="170" t="s">
        <v>75</v>
      </c>
      <c r="C174" s="200">
        <v>55</v>
      </c>
      <c r="D174" s="170" t="s">
        <v>83</v>
      </c>
      <c r="E174" s="170" t="s">
        <v>358</v>
      </c>
      <c r="F174" s="200">
        <f>VLOOKUP(PrévisionBoris[[#This Row],[Spec]],TabModelSpecs[[ModelSpec]:[Price]],2,FALSE)</f>
        <v>43</v>
      </c>
      <c r="G174" s="170" t="s">
        <v>462</v>
      </c>
      <c r="H174" s="219">
        <f>SUMIFS(LstMachines[Nbre],LstMachines[Model-Spec],PrévisionBoris[[#This Row],[Spec]],LstMachines[Status],PrévisionBoris[[#This Row],[Status]],LstMachines[MoisLivr],H$1)</f>
        <v>0</v>
      </c>
      <c r="I174" s="220">
        <f>SUMIFS(LstMachines[Nbre],LstMachines[Model-Spec],PrévisionBoris[[#This Row],[Spec]],LstMachines[Status],PrévisionBoris[[#This Row],[Status]],LstMachines[MoisLivr],I$1)</f>
        <v>0</v>
      </c>
      <c r="J174" s="221">
        <f>SUMIFS(LstMachines[Nbre],LstMachines[Model-Spec],PrévisionBoris[[#This Row],[Spec]],LstMachines[Status],PrévisionBoris[[#This Row],[Status]],LstMachines[MoisLivr],J$1)</f>
        <v>0</v>
      </c>
      <c r="K174" s="219">
        <f>SUMIFS(LstMachines[Nbre],LstMachines[Model-Spec],PrévisionBoris[[#This Row],[Spec]],LstMachines[Status],PrévisionBoris[[#This Row],[Status]],LstMachines[MoisLivr],K$1)</f>
        <v>0</v>
      </c>
      <c r="L174" s="220">
        <f>SUMIFS(LstMachines[Nbre],LstMachines[Model-Spec],PrévisionBoris[[#This Row],[Spec]],LstMachines[Status],PrévisionBoris[[#This Row],[Status]],LstMachines[MoisLivr],L$1)</f>
        <v>0</v>
      </c>
      <c r="M174" s="221">
        <f>SUMIFS(LstMachines[Nbre],LstMachines[Model-Spec],PrévisionBoris[[#This Row],[Spec]],LstMachines[Status],PrévisionBoris[[#This Row],[Status]],LstMachines[MoisLivr],M$1)</f>
        <v>0</v>
      </c>
      <c r="N174" s="219">
        <f>SUMIFS(LstMachines[Nbre],LstMachines[Model-Spec],PrévisionBoris[[#This Row],[Spec]],LstMachines[Status],PrévisionBoris[[#This Row],[Status]],LstMachines[MoisLivr],N$1)</f>
        <v>0</v>
      </c>
      <c r="O174" s="220">
        <f>SUMIFS(LstMachines[Nbre],LstMachines[Model-Spec],PrévisionBoris[[#This Row],[Spec]],LstMachines[Status],PrévisionBoris[[#This Row],[Status]],LstMachines[MoisLivr],O$1)</f>
        <v>0</v>
      </c>
      <c r="P174" s="221">
        <f>SUMIFS(LstMachines[Nbre],LstMachines[Model-Spec],PrévisionBoris[[#This Row],[Spec]],LstMachines[Status],PrévisionBoris[[#This Row],[Status]],LstMachines[MoisLivr],P$1)</f>
        <v>0</v>
      </c>
      <c r="Q174" s="222">
        <f>SUMIFS(LstMachines[Nbre],LstMachines[Model-Spec],PrévisionBoris[[#This Row],[Spec]],LstMachines[Status],PrévisionBoris[[#This Row],[Status]],LstMachines[MoisLivr],Q$1)</f>
        <v>0</v>
      </c>
      <c r="R174" s="220">
        <f>SUMIFS(LstMachines[Nbre],LstMachines[Model-Spec],PrévisionBoris[[#This Row],[Spec]],LstMachines[Status],PrévisionBoris[[#This Row],[Status]],LstMachines[MoisLivr],R$1)</f>
        <v>0</v>
      </c>
      <c r="S174" s="220">
        <f>SUMIFS(LstMachines[Nbre],LstMachines[Model-Spec],PrévisionBoris[[#This Row],[Spec]],LstMachines[Status],PrévisionBoris[[#This Row],[Status]],LstMachines[MoisLivr],S$1)</f>
        <v>0</v>
      </c>
      <c r="T174" s="219">
        <f>SUMIFS(LstMachines[Nbre],LstMachines[Model-Spec],PrévisionBoris[[#This Row],[Spec]],LstMachines[Status],PrévisionBoris[[#This Row],[Status]],LstMachines[MoisLivr],T$1)</f>
        <v>0</v>
      </c>
      <c r="U174" s="220">
        <f>SUMIFS(LstMachines[Nbre],LstMachines[Model-Spec],PrévisionBoris[[#This Row],[Spec]],LstMachines[Status],PrévisionBoris[[#This Row],[Status]],LstMachines[MoisLivr],U$1)</f>
        <v>0</v>
      </c>
      <c r="V174" s="220">
        <f>SUMIFS(LstMachines[Nbre],LstMachines[Model-Spec],PrévisionBoris[[#This Row],[Spec]],LstMachines[Status],PrévisionBoris[[#This Row],[Status]],LstMachines[MoisLivr],V$1)</f>
        <v>0</v>
      </c>
      <c r="W174" s="219">
        <f>SUMIFS(LstMachines[Nbre],LstMachines[Model-Spec],PrévisionBoris[[#This Row],[Spec]],LstMachines[Status],PrévisionBoris[[#This Row],[Status]],LstMachines[MoisLivr],W$1)</f>
        <v>0</v>
      </c>
      <c r="X174" s="220">
        <f>SUMIFS(LstMachines[Nbre],LstMachines[Model-Spec],PrévisionBoris[[#This Row],[Spec]],LstMachines[Status],PrévisionBoris[[#This Row],[Status]],LstMachines[MoisLivr],X$1)</f>
        <v>0</v>
      </c>
      <c r="Y174" s="220">
        <f>SUMIFS(LstMachines[Nbre],LstMachines[Model-Spec],PrévisionBoris[[#This Row],[Spec]],LstMachines[Status],PrévisionBoris[[#This Row],[Status]],LstMachines[MoisLivr],Y$1)</f>
        <v>0</v>
      </c>
      <c r="Z174" s="219">
        <f>SUMIFS(LstMachines[Nbre],LstMachines[Model-Spec],PrévisionBoris[[#This Row],[Spec]],LstMachines[Status],PrévisionBoris[[#This Row],[Status]],LstMachines[MoisLivr],Z$1)</f>
        <v>0</v>
      </c>
      <c r="AA174" s="220">
        <f>SUMIFS(LstMachines[Nbre],LstMachines[Model-Spec],PrévisionBoris[[#This Row],[Spec]],LstMachines[Status],PrévisionBoris[[#This Row],[Status]],LstMachines[MoisLivr],AA$1)</f>
        <v>0</v>
      </c>
      <c r="AB174" s="220">
        <f>SUMIFS(LstMachines[Nbre],LstMachines[Model-Spec],PrévisionBoris[[#This Row],[Spec]],LstMachines[Status],PrévisionBoris[[#This Row],[Status]],LstMachines[MoisLivr],AB$1)</f>
        <v>0</v>
      </c>
      <c r="AC174" s="219">
        <f>SUMIFS(LstMachines[Nbre],LstMachines[Model-Spec],PrévisionBoris[[#This Row],[Spec]],LstMachines[Status],PrévisionBoris[[#This Row],[Status]],LstMachines[MoisLivr],AC$1)</f>
        <v>0</v>
      </c>
      <c r="AD174" s="220">
        <f>SUMIFS(LstMachines[Nbre],LstMachines[Model-Spec],PrévisionBoris[[#This Row],[Spec]],LstMachines[Status],PrévisionBoris[[#This Row],[Status]],LstMachines[MoisLivr],AD$1)</f>
        <v>0</v>
      </c>
      <c r="AE174" s="220">
        <f>SUMIFS(LstMachines[Nbre],LstMachines[Model-Spec],PrévisionBoris[[#This Row],[Spec]],LstMachines[Status],PrévisionBoris[[#This Row],[Status]],LstMachines[MoisLivr],AE$1)</f>
        <v>0</v>
      </c>
      <c r="AF174" s="219">
        <f>SUMIFS(LstMachines[Nbre],LstMachines[Model-Spec],PrévisionBoris[[#This Row],[Spec]],LstMachines[Status],PrévisionBoris[[#This Row],[Status]],LstMachines[MoisLivr],AF$1)</f>
        <v>0</v>
      </c>
      <c r="AG174" s="220">
        <f>SUMIFS(LstMachines[Nbre],LstMachines[Model-Spec],PrévisionBoris[[#This Row],[Spec]],LstMachines[Status],PrévisionBoris[[#This Row],[Status]],LstMachines[MoisLivr],AG$1)</f>
        <v>0</v>
      </c>
      <c r="AH174" s="220">
        <f>SUMIFS(LstMachines[Nbre],LstMachines[Model-Spec],PrévisionBoris[[#This Row],[Spec]],LstMachines[Status],PrévisionBoris[[#This Row],[Status]],LstMachines[MoisLivr],AH$1)</f>
        <v>0</v>
      </c>
      <c r="AI174" s="219">
        <f>SUMIFS(LstMachines[Nbre],LstMachines[Model-Spec],PrévisionBoris[[#This Row],[Spec]],LstMachines[Status],PrévisionBoris[[#This Row],[Status]],LstMachines[MoisLivr],AI$1)</f>
        <v>0</v>
      </c>
      <c r="AJ174" s="220">
        <f>SUMIFS(LstMachines[Nbre],LstMachines[Model-Spec],PrévisionBoris[[#This Row],[Spec]],LstMachines[Status],PrévisionBoris[[#This Row],[Status]],LstMachines[MoisLivr],AJ$1)</f>
        <v>0</v>
      </c>
      <c r="AK174" s="220">
        <f>SUMIFS(LstMachines[Nbre],LstMachines[Model-Spec],PrévisionBoris[[#This Row],[Spec]],LstMachines[Status],PrévisionBoris[[#This Row],[Status]],LstMachines[MoisLivr],AK$1)</f>
        <v>0</v>
      </c>
      <c r="AL174" s="219">
        <f>SUMIFS(LstMachines[Nbre],LstMachines[Model-Spec],PrévisionBoris[[#This Row],[Spec]],LstMachines[Status],PrévisionBoris[[#This Row],[Status]],LstMachines[MoisLivr],AL$1)</f>
        <v>0</v>
      </c>
      <c r="AM174" s="220">
        <f>SUMIFS(LstMachines[Nbre],LstMachines[Model-Spec],PrévisionBoris[[#This Row],[Spec]],LstMachines[Status],PrévisionBoris[[#This Row],[Status]],LstMachines[MoisLivr],AM$1)</f>
        <v>0</v>
      </c>
      <c r="AN174" s="220">
        <f>SUMIFS(LstMachines[Nbre],LstMachines[Model-Spec],PrévisionBoris[[#This Row],[Spec]],LstMachines[Status],PrévisionBoris[[#This Row],[Status]],LstMachines[MoisLivr],AN$1)</f>
        <v>0</v>
      </c>
      <c r="AO174" s="219">
        <f>SUMIFS(LstMachines[Nbre],LstMachines[Model-Spec],PrévisionBoris[[#This Row],[Spec]],LstMachines[Status],PrévisionBoris[[#This Row],[Status]],LstMachines[MoisLivr],AO$1)</f>
        <v>0</v>
      </c>
      <c r="AP174" s="220">
        <f>SUMIFS(LstMachines[Nbre],LstMachines[Model-Spec],PrévisionBoris[[#This Row],[Spec]],LstMachines[Status],PrévisionBoris[[#This Row],[Status]],LstMachines[MoisLivr],AP$1)</f>
        <v>0</v>
      </c>
      <c r="AQ174" s="220">
        <f>SUMIFS(LstMachines[Nbre],LstMachines[Model-Spec],PrévisionBoris[[#This Row],[Spec]],LstMachines[Status],PrévisionBoris[[#This Row],[Status]],LstMachines[MoisLivr],AQ$1)</f>
        <v>0</v>
      </c>
      <c r="AR174" s="219">
        <f>SUMIFS(LstMachines[Nbre],LstMachines[Model-Spec],PrévisionBoris[[#This Row],[Spec]],LstMachines[Status],PrévisionBoris[[#This Row],[Status]],LstMachines[MoisLivr],AR$1)</f>
        <v>0</v>
      </c>
      <c r="AS174" s="220">
        <f>SUMIFS(LstMachines[Nbre],LstMachines[Model-Spec],PrévisionBoris[[#This Row],[Spec]],LstMachines[Status],PrévisionBoris[[#This Row],[Status]],LstMachines[MoisLivr],AS$1)</f>
        <v>0</v>
      </c>
      <c r="AT174" s="220">
        <f>SUMIFS(LstMachines[Nbre],LstMachines[Model-Spec],PrévisionBoris[[#This Row],[Spec]],LstMachines[Status],PrévisionBoris[[#This Row],[Status]],LstMachines[MoisLivr],AT$1)</f>
        <v>0</v>
      </c>
      <c r="AU174" s="219">
        <f>SUMIFS(LstMachines[Nbre],LstMachines[Model-Spec],PrévisionBoris[[#This Row],[Spec]],LstMachines[Status],PrévisionBoris[[#This Row],[Status]],LstMachines[MoisLivr],AU$1)</f>
        <v>0</v>
      </c>
      <c r="AV174" s="223">
        <f>SUMIFS(LstMachines[Nbre],LstMachines[Model-Spec],PrévisionBoris[[#This Row],[Spec]],LstMachines[Status],PrévisionBoris[[#This Row],[Status]],LstMachines[MoisLivr],AV$1)</f>
        <v>0</v>
      </c>
      <c r="AW174" s="224">
        <f>SUMIFS(LstMachines[Nbre],LstMachines[Model-Spec],PrévisionBoris[[#This Row],[Spec]],LstMachines[Status],PrévisionBoris[[#This Row],[Status]],LstMachines[MoisLivr],AW$1)</f>
        <v>0</v>
      </c>
      <c r="AX174" s="210"/>
      <c r="AY174" s="211">
        <f t="shared" si="35"/>
        <v>0</v>
      </c>
      <c r="AZ174" s="212">
        <f t="shared" si="36"/>
        <v>0</v>
      </c>
      <c r="BA174" s="212">
        <f t="shared" si="37"/>
        <v>0</v>
      </c>
      <c r="BB174" s="213">
        <f t="shared" si="38"/>
        <v>0</v>
      </c>
      <c r="BC174" s="225">
        <f t="shared" si="39"/>
        <v>0</v>
      </c>
      <c r="BD174" s="211">
        <f t="shared" si="40"/>
        <v>0</v>
      </c>
      <c r="BE174" s="212">
        <f t="shared" si="41"/>
        <v>0</v>
      </c>
      <c r="BF174" s="212">
        <f t="shared" si="42"/>
        <v>0</v>
      </c>
      <c r="BG174" s="213">
        <f t="shared" si="43"/>
        <v>0</v>
      </c>
      <c r="BH174" s="225">
        <f t="shared" si="44"/>
        <v>0</v>
      </c>
      <c r="BI174" s="214">
        <f t="shared" si="45"/>
        <v>0</v>
      </c>
      <c r="BJ174" s="215">
        <f t="shared" si="46"/>
        <v>0</v>
      </c>
      <c r="BK174" s="215">
        <f t="shared" si="47"/>
        <v>0</v>
      </c>
      <c r="BL174" s="216">
        <f t="shared" si="48"/>
        <v>0</v>
      </c>
      <c r="BM174" s="225">
        <f t="shared" si="49"/>
        <v>0</v>
      </c>
      <c r="BN174" s="225"/>
      <c r="BO174" s="217"/>
      <c r="BP174" s="218">
        <f t="shared" si="50"/>
        <v>0</v>
      </c>
    </row>
    <row r="175" spans="1:68">
      <c r="A175" s="171">
        <v>168</v>
      </c>
      <c r="B175" s="171" t="s">
        <v>75</v>
      </c>
      <c r="C175" s="201">
        <v>55</v>
      </c>
      <c r="D175" s="171" t="s">
        <v>83</v>
      </c>
      <c r="E175" s="171" t="s">
        <v>358</v>
      </c>
      <c r="F175" s="201">
        <f>VLOOKUP(PrévisionBoris[[#This Row],[Spec]],TabModelSpecs[[ModelSpec]:[Price]],2,FALSE)</f>
        <v>43</v>
      </c>
      <c r="G175" s="171" t="s">
        <v>463</v>
      </c>
      <c r="H175" s="226">
        <f>SUMIFS(LstMachines[Nbre],LstMachines[Model-Spec],PrévisionBoris[[#This Row],[Spec]],LstMachines[Status],PrévisionBoris[[#This Row],[Status]],LstMachines[MoisLivr],H$1)</f>
        <v>0</v>
      </c>
      <c r="I175" s="227">
        <f>SUMIFS(LstMachines[Nbre],LstMachines[Model-Spec],PrévisionBoris[[#This Row],[Spec]],LstMachines[Status],PrévisionBoris[[#This Row],[Status]],LstMachines[MoisLivr],I$1)</f>
        <v>0</v>
      </c>
      <c r="J175" s="228">
        <f>SUMIFS(LstMachines[Nbre],LstMachines[Model-Spec],PrévisionBoris[[#This Row],[Spec]],LstMachines[Status],PrévisionBoris[[#This Row],[Status]],LstMachines[MoisLivr],J$1)</f>
        <v>1</v>
      </c>
      <c r="K175" s="226">
        <f>SUMIFS(LstMachines[Nbre],LstMachines[Model-Spec],PrévisionBoris[[#This Row],[Spec]],LstMachines[Status],PrévisionBoris[[#This Row],[Status]],LstMachines[MoisLivr],K$1)</f>
        <v>0</v>
      </c>
      <c r="L175" s="227">
        <f>SUMIFS(LstMachines[Nbre],LstMachines[Model-Spec],PrévisionBoris[[#This Row],[Spec]],LstMachines[Status],PrévisionBoris[[#This Row],[Status]],LstMachines[MoisLivr],L$1)</f>
        <v>0</v>
      </c>
      <c r="M175" s="228">
        <f>SUMIFS(LstMachines[Nbre],LstMachines[Model-Spec],PrévisionBoris[[#This Row],[Spec]],LstMachines[Status],PrévisionBoris[[#This Row],[Status]],LstMachines[MoisLivr],M$1)</f>
        <v>0</v>
      </c>
      <c r="N175" s="226">
        <f>SUMIFS(LstMachines[Nbre],LstMachines[Model-Spec],PrévisionBoris[[#This Row],[Spec]],LstMachines[Status],PrévisionBoris[[#This Row],[Status]],LstMachines[MoisLivr],N$1)</f>
        <v>0</v>
      </c>
      <c r="O175" s="227">
        <f>SUMIFS(LstMachines[Nbre],LstMachines[Model-Spec],PrévisionBoris[[#This Row],[Spec]],LstMachines[Status],PrévisionBoris[[#This Row],[Status]],LstMachines[MoisLivr],O$1)</f>
        <v>0</v>
      </c>
      <c r="P175" s="228">
        <f>SUMIFS(LstMachines[Nbre],LstMachines[Model-Spec],PrévisionBoris[[#This Row],[Spec]],LstMachines[Status],PrévisionBoris[[#This Row],[Status]],LstMachines[MoisLivr],P$1)</f>
        <v>0</v>
      </c>
      <c r="Q175" s="229">
        <f>SUMIFS(LstMachines[Nbre],LstMachines[Model-Spec],PrévisionBoris[[#This Row],[Spec]],LstMachines[Status],PrévisionBoris[[#This Row],[Status]],LstMachines[MoisLivr],Q$1)</f>
        <v>0</v>
      </c>
      <c r="R175" s="227">
        <f>SUMIFS(LstMachines[Nbre],LstMachines[Model-Spec],PrévisionBoris[[#This Row],[Spec]],LstMachines[Status],PrévisionBoris[[#This Row],[Status]],LstMachines[MoisLivr],R$1)</f>
        <v>0</v>
      </c>
      <c r="S175" s="227">
        <f>SUMIFS(LstMachines[Nbre],LstMachines[Model-Spec],PrévisionBoris[[#This Row],[Spec]],LstMachines[Status],PrévisionBoris[[#This Row],[Status]],LstMachines[MoisLivr],S$1)</f>
        <v>0</v>
      </c>
      <c r="T175" s="226">
        <f>SUMIFS(LstMachines[Nbre],LstMachines[Model-Spec],PrévisionBoris[[#This Row],[Spec]],LstMachines[Status],PrévisionBoris[[#This Row],[Status]],LstMachines[MoisLivr],T$1)</f>
        <v>0</v>
      </c>
      <c r="U175" s="227">
        <f>SUMIFS(LstMachines[Nbre],LstMachines[Model-Spec],PrévisionBoris[[#This Row],[Spec]],LstMachines[Status],PrévisionBoris[[#This Row],[Status]],LstMachines[MoisLivr],U$1)</f>
        <v>0</v>
      </c>
      <c r="V175" s="227">
        <f>SUMIFS(LstMachines[Nbre],LstMachines[Model-Spec],PrévisionBoris[[#This Row],[Spec]],LstMachines[Status],PrévisionBoris[[#This Row],[Status]],LstMachines[MoisLivr],V$1)</f>
        <v>0</v>
      </c>
      <c r="W175" s="226">
        <f>SUMIFS(LstMachines[Nbre],LstMachines[Model-Spec],PrévisionBoris[[#This Row],[Spec]],LstMachines[Status],PrévisionBoris[[#This Row],[Status]],LstMachines[MoisLivr],W$1)</f>
        <v>0</v>
      </c>
      <c r="X175" s="227">
        <f>SUMIFS(LstMachines[Nbre],LstMachines[Model-Spec],PrévisionBoris[[#This Row],[Spec]],LstMachines[Status],PrévisionBoris[[#This Row],[Status]],LstMachines[MoisLivr],X$1)</f>
        <v>0</v>
      </c>
      <c r="Y175" s="227">
        <f>SUMIFS(LstMachines[Nbre],LstMachines[Model-Spec],PrévisionBoris[[#This Row],[Spec]],LstMachines[Status],PrévisionBoris[[#This Row],[Status]],LstMachines[MoisLivr],Y$1)</f>
        <v>0</v>
      </c>
      <c r="Z175" s="226">
        <f>SUMIFS(LstMachines[Nbre],LstMachines[Model-Spec],PrévisionBoris[[#This Row],[Spec]],LstMachines[Status],PrévisionBoris[[#This Row],[Status]],LstMachines[MoisLivr],Z$1)</f>
        <v>0</v>
      </c>
      <c r="AA175" s="227">
        <f>SUMIFS(LstMachines[Nbre],LstMachines[Model-Spec],PrévisionBoris[[#This Row],[Spec]],LstMachines[Status],PrévisionBoris[[#This Row],[Status]],LstMachines[MoisLivr],AA$1)</f>
        <v>0</v>
      </c>
      <c r="AB175" s="227">
        <f>SUMIFS(LstMachines[Nbre],LstMachines[Model-Spec],PrévisionBoris[[#This Row],[Spec]],LstMachines[Status],PrévisionBoris[[#This Row],[Status]],LstMachines[MoisLivr],AB$1)</f>
        <v>0</v>
      </c>
      <c r="AC175" s="226">
        <f>SUMIFS(LstMachines[Nbre],LstMachines[Model-Spec],PrévisionBoris[[#This Row],[Spec]],LstMachines[Status],PrévisionBoris[[#This Row],[Status]],LstMachines[MoisLivr],AC$1)</f>
        <v>0</v>
      </c>
      <c r="AD175" s="227">
        <f>SUMIFS(LstMachines[Nbre],LstMachines[Model-Spec],PrévisionBoris[[#This Row],[Spec]],LstMachines[Status],PrévisionBoris[[#This Row],[Status]],LstMachines[MoisLivr],AD$1)</f>
        <v>0</v>
      </c>
      <c r="AE175" s="227">
        <f>SUMIFS(LstMachines[Nbre],LstMachines[Model-Spec],PrévisionBoris[[#This Row],[Spec]],LstMachines[Status],PrévisionBoris[[#This Row],[Status]],LstMachines[MoisLivr],AE$1)</f>
        <v>0</v>
      </c>
      <c r="AF175" s="226">
        <f>SUMIFS(LstMachines[Nbre],LstMachines[Model-Spec],PrévisionBoris[[#This Row],[Spec]],LstMachines[Status],PrévisionBoris[[#This Row],[Status]],LstMachines[MoisLivr],AF$1)</f>
        <v>0</v>
      </c>
      <c r="AG175" s="227">
        <f>SUMIFS(LstMachines[Nbre],LstMachines[Model-Spec],PrévisionBoris[[#This Row],[Spec]],LstMachines[Status],PrévisionBoris[[#This Row],[Status]],LstMachines[MoisLivr],AG$1)</f>
        <v>0</v>
      </c>
      <c r="AH175" s="227">
        <f>SUMIFS(LstMachines[Nbre],LstMachines[Model-Spec],PrévisionBoris[[#This Row],[Spec]],LstMachines[Status],PrévisionBoris[[#This Row],[Status]],LstMachines[MoisLivr],AH$1)</f>
        <v>0</v>
      </c>
      <c r="AI175" s="226">
        <f>SUMIFS(LstMachines[Nbre],LstMachines[Model-Spec],PrévisionBoris[[#This Row],[Spec]],LstMachines[Status],PrévisionBoris[[#This Row],[Status]],LstMachines[MoisLivr],AI$1)</f>
        <v>0</v>
      </c>
      <c r="AJ175" s="227">
        <f>SUMIFS(LstMachines[Nbre],LstMachines[Model-Spec],PrévisionBoris[[#This Row],[Spec]],LstMachines[Status],PrévisionBoris[[#This Row],[Status]],LstMachines[MoisLivr],AJ$1)</f>
        <v>0</v>
      </c>
      <c r="AK175" s="227">
        <f>SUMIFS(LstMachines[Nbre],LstMachines[Model-Spec],PrévisionBoris[[#This Row],[Spec]],LstMachines[Status],PrévisionBoris[[#This Row],[Status]],LstMachines[MoisLivr],AK$1)</f>
        <v>0</v>
      </c>
      <c r="AL175" s="226">
        <f>SUMIFS(LstMachines[Nbre],LstMachines[Model-Spec],PrévisionBoris[[#This Row],[Spec]],LstMachines[Status],PrévisionBoris[[#This Row],[Status]],LstMachines[MoisLivr],AL$1)</f>
        <v>0</v>
      </c>
      <c r="AM175" s="227">
        <f>SUMIFS(LstMachines[Nbre],LstMachines[Model-Spec],PrévisionBoris[[#This Row],[Spec]],LstMachines[Status],PrévisionBoris[[#This Row],[Status]],LstMachines[MoisLivr],AM$1)</f>
        <v>0</v>
      </c>
      <c r="AN175" s="227">
        <f>SUMIFS(LstMachines[Nbre],LstMachines[Model-Spec],PrévisionBoris[[#This Row],[Spec]],LstMachines[Status],PrévisionBoris[[#This Row],[Status]],LstMachines[MoisLivr],AN$1)</f>
        <v>0</v>
      </c>
      <c r="AO175" s="226">
        <f>SUMIFS(LstMachines[Nbre],LstMachines[Model-Spec],PrévisionBoris[[#This Row],[Spec]],LstMachines[Status],PrévisionBoris[[#This Row],[Status]],LstMachines[MoisLivr],AO$1)</f>
        <v>0</v>
      </c>
      <c r="AP175" s="227">
        <f>SUMIFS(LstMachines[Nbre],LstMachines[Model-Spec],PrévisionBoris[[#This Row],[Spec]],LstMachines[Status],PrévisionBoris[[#This Row],[Status]],LstMachines[MoisLivr],AP$1)</f>
        <v>0</v>
      </c>
      <c r="AQ175" s="227">
        <f>SUMIFS(LstMachines[Nbre],LstMachines[Model-Spec],PrévisionBoris[[#This Row],[Spec]],LstMachines[Status],PrévisionBoris[[#This Row],[Status]],LstMachines[MoisLivr],AQ$1)</f>
        <v>0</v>
      </c>
      <c r="AR175" s="226">
        <f>SUMIFS(LstMachines[Nbre],LstMachines[Model-Spec],PrévisionBoris[[#This Row],[Spec]],LstMachines[Status],PrévisionBoris[[#This Row],[Status]],LstMachines[MoisLivr],AR$1)</f>
        <v>0</v>
      </c>
      <c r="AS175" s="227">
        <f>SUMIFS(LstMachines[Nbre],LstMachines[Model-Spec],PrévisionBoris[[#This Row],[Spec]],LstMachines[Status],PrévisionBoris[[#This Row],[Status]],LstMachines[MoisLivr],AS$1)</f>
        <v>0</v>
      </c>
      <c r="AT175" s="227">
        <f>SUMIFS(LstMachines[Nbre],LstMachines[Model-Spec],PrévisionBoris[[#This Row],[Spec]],LstMachines[Status],PrévisionBoris[[#This Row],[Status]],LstMachines[MoisLivr],AT$1)</f>
        <v>0</v>
      </c>
      <c r="AU175" s="226">
        <f>SUMIFS(LstMachines[Nbre],LstMachines[Model-Spec],PrévisionBoris[[#This Row],[Spec]],LstMachines[Status],PrévisionBoris[[#This Row],[Status]],LstMachines[MoisLivr],AU$1)</f>
        <v>0</v>
      </c>
      <c r="AV175" s="230">
        <f>SUMIFS(LstMachines[Nbre],LstMachines[Model-Spec],PrévisionBoris[[#This Row],[Spec]],LstMachines[Status],PrévisionBoris[[#This Row],[Status]],LstMachines[MoisLivr],AV$1)</f>
        <v>0</v>
      </c>
      <c r="AW175" s="231">
        <f>SUMIFS(LstMachines[Nbre],LstMachines[Model-Spec],PrévisionBoris[[#This Row],[Spec]],LstMachines[Status],PrévisionBoris[[#This Row],[Status]],LstMachines[MoisLivr],AW$1)</f>
        <v>0</v>
      </c>
      <c r="AX175" s="232"/>
      <c r="AY175" s="211">
        <f t="shared" si="35"/>
        <v>0</v>
      </c>
      <c r="AZ175" s="212">
        <f t="shared" si="36"/>
        <v>0</v>
      </c>
      <c r="BA175" s="212">
        <f t="shared" si="37"/>
        <v>0</v>
      </c>
      <c r="BB175" s="213">
        <f t="shared" si="38"/>
        <v>0</v>
      </c>
      <c r="BC175" s="225">
        <f t="shared" si="39"/>
        <v>0</v>
      </c>
      <c r="BD175" s="211">
        <f t="shared" si="40"/>
        <v>0</v>
      </c>
      <c r="BE175" s="212">
        <f t="shared" si="41"/>
        <v>0</v>
      </c>
      <c r="BF175" s="212">
        <f t="shared" si="42"/>
        <v>0</v>
      </c>
      <c r="BG175" s="213">
        <f t="shared" si="43"/>
        <v>0</v>
      </c>
      <c r="BH175" s="225">
        <f t="shared" si="44"/>
        <v>0</v>
      </c>
      <c r="BI175" s="214">
        <f t="shared" si="45"/>
        <v>0</v>
      </c>
      <c r="BJ175" s="215">
        <f t="shared" si="46"/>
        <v>0</v>
      </c>
      <c r="BK175" s="215">
        <f t="shared" si="47"/>
        <v>0</v>
      </c>
      <c r="BL175" s="216">
        <f t="shared" si="48"/>
        <v>0</v>
      </c>
      <c r="BM175" s="225">
        <f t="shared" si="49"/>
        <v>0</v>
      </c>
      <c r="BN175" s="225"/>
      <c r="BO175" s="217"/>
      <c r="BP175" s="218">
        <f t="shared" si="50"/>
        <v>1</v>
      </c>
    </row>
    <row r="176" spans="1:68">
      <c r="A176" s="172">
        <v>169</v>
      </c>
      <c r="B176" s="172" t="s">
        <v>75</v>
      </c>
      <c r="C176" s="202">
        <v>55</v>
      </c>
      <c r="D176" s="172" t="s">
        <v>83</v>
      </c>
      <c r="E176" s="172" t="s">
        <v>429</v>
      </c>
      <c r="F176" s="202">
        <f>VLOOKUP(PrévisionBoris[[#This Row],[Spec]],TabModelSpecs[[ModelSpec]:[Price]],2,FALSE)</f>
        <v>43</v>
      </c>
      <c r="G176" s="172" t="s">
        <v>461</v>
      </c>
      <c r="H176" s="206">
        <f>SUMIFS(LstMachines[Nbre],LstMachines[Model-Spec],PrévisionBoris[[#This Row],[Spec]],LstMachines[Status],PrévisionBoris[[#This Row],[Status]],LstMachines[MoisLivr],H$1)</f>
        <v>0</v>
      </c>
      <c r="I176" s="207">
        <f>SUMIFS(LstMachines[Nbre],LstMachines[Model-Spec],PrévisionBoris[[#This Row],[Spec]],LstMachines[Status],PrévisionBoris[[#This Row],[Status]],LstMachines[MoisLivr],I$1)</f>
        <v>0</v>
      </c>
      <c r="J176" s="208">
        <f>SUMIFS(LstMachines[Nbre],LstMachines[Model-Spec],PrévisionBoris[[#This Row],[Spec]],LstMachines[Status],PrévisionBoris[[#This Row],[Status]],LstMachines[MoisLivr],J$1)</f>
        <v>0</v>
      </c>
      <c r="K176" s="206">
        <f>SUMIFS(LstMachines[Nbre],LstMachines[Model-Spec],PrévisionBoris[[#This Row],[Spec]],LstMachines[Status],PrévisionBoris[[#This Row],[Status]],LstMachines[MoisLivr],K$1)</f>
        <v>0</v>
      </c>
      <c r="L176" s="207">
        <f>SUMIFS(LstMachines[Nbre],LstMachines[Model-Spec],PrévisionBoris[[#This Row],[Spec]],LstMachines[Status],PrévisionBoris[[#This Row],[Status]],LstMachines[MoisLivr],L$1)</f>
        <v>0</v>
      </c>
      <c r="M176" s="208">
        <f>SUMIFS(LstMachines[Nbre],LstMachines[Model-Spec],PrévisionBoris[[#This Row],[Spec]],LstMachines[Status],PrévisionBoris[[#This Row],[Status]],LstMachines[MoisLivr],M$1)</f>
        <v>0</v>
      </c>
      <c r="N176" s="206">
        <f>SUMIFS(LstMachines[Nbre],LstMachines[Model-Spec],PrévisionBoris[[#This Row],[Spec]],LstMachines[Status],PrévisionBoris[[#This Row],[Status]],LstMachines[MoisLivr],N$1)</f>
        <v>0</v>
      </c>
      <c r="O176" s="207">
        <f>SUMIFS(LstMachines[Nbre],LstMachines[Model-Spec],PrévisionBoris[[#This Row],[Spec]],LstMachines[Status],PrévisionBoris[[#This Row],[Status]],LstMachines[MoisLivr],O$1)</f>
        <v>0</v>
      </c>
      <c r="P176" s="208">
        <f>SUMIFS(LstMachines[Nbre],LstMachines[Model-Spec],PrévisionBoris[[#This Row],[Spec]],LstMachines[Status],PrévisionBoris[[#This Row],[Status]],LstMachines[MoisLivr],P$1)</f>
        <v>0</v>
      </c>
      <c r="Q176" s="209">
        <f>SUMIFS(LstMachines[Nbre],LstMachines[Model-Spec],PrévisionBoris[[#This Row],[Spec]],LstMachines[Status],PrévisionBoris[[#This Row],[Status]],LstMachines[MoisLivr],Q$1)</f>
        <v>0</v>
      </c>
      <c r="R176" s="207">
        <f>SUMIFS(LstMachines[Nbre],LstMachines[Model-Spec],PrévisionBoris[[#This Row],[Spec]],LstMachines[Status],PrévisionBoris[[#This Row],[Status]],LstMachines[MoisLivr],R$1)</f>
        <v>0</v>
      </c>
      <c r="S176" s="207">
        <f>SUMIFS(LstMachines[Nbre],LstMachines[Model-Spec],PrévisionBoris[[#This Row],[Spec]],LstMachines[Status],PrévisionBoris[[#This Row],[Status]],LstMachines[MoisLivr],S$1)</f>
        <v>0</v>
      </c>
      <c r="T176" s="206">
        <f>SUMIFS(LstMachines[Nbre],LstMachines[Model-Spec],PrévisionBoris[[#This Row],[Spec]],LstMachines[Status],PrévisionBoris[[#This Row],[Status]],LstMachines[MoisLivr],T$1)</f>
        <v>0</v>
      </c>
      <c r="U176" s="207">
        <f>SUMIFS(LstMachines[Nbre],LstMachines[Model-Spec],PrévisionBoris[[#This Row],[Spec]],LstMachines[Status],PrévisionBoris[[#This Row],[Status]],LstMachines[MoisLivr],U$1)</f>
        <v>0</v>
      </c>
      <c r="V176" s="207">
        <f>SUMIFS(LstMachines[Nbre],LstMachines[Model-Spec],PrévisionBoris[[#This Row],[Spec]],LstMachines[Status],PrévisionBoris[[#This Row],[Status]],LstMachines[MoisLivr],V$1)</f>
        <v>0</v>
      </c>
      <c r="W176" s="206">
        <f>SUMIFS(LstMachines[Nbre],LstMachines[Model-Spec],PrévisionBoris[[#This Row],[Spec]],LstMachines[Status],PrévisionBoris[[#This Row],[Status]],LstMachines[MoisLivr],W$1)</f>
        <v>0</v>
      </c>
      <c r="X176" s="207">
        <f>SUMIFS(LstMachines[Nbre],LstMachines[Model-Spec],PrévisionBoris[[#This Row],[Spec]],LstMachines[Status],PrévisionBoris[[#This Row],[Status]],LstMachines[MoisLivr],X$1)</f>
        <v>0</v>
      </c>
      <c r="Y176" s="207">
        <f>SUMIFS(LstMachines[Nbre],LstMachines[Model-Spec],PrévisionBoris[[#This Row],[Spec]],LstMachines[Status],PrévisionBoris[[#This Row],[Status]],LstMachines[MoisLivr],Y$1)</f>
        <v>0</v>
      </c>
      <c r="Z176" s="206">
        <f>SUMIFS(LstMachines[Nbre],LstMachines[Model-Spec],PrévisionBoris[[#This Row],[Spec]],LstMachines[Status],PrévisionBoris[[#This Row],[Status]],LstMachines[MoisLivr],Z$1)</f>
        <v>0</v>
      </c>
      <c r="AA176" s="207">
        <f>SUMIFS(LstMachines[Nbre],LstMachines[Model-Spec],PrévisionBoris[[#This Row],[Spec]],LstMachines[Status],PrévisionBoris[[#This Row],[Status]],LstMachines[MoisLivr],AA$1)</f>
        <v>0</v>
      </c>
      <c r="AB176" s="207">
        <f>SUMIFS(LstMachines[Nbre],LstMachines[Model-Spec],PrévisionBoris[[#This Row],[Spec]],LstMachines[Status],PrévisionBoris[[#This Row],[Status]],LstMachines[MoisLivr],AB$1)</f>
        <v>0</v>
      </c>
      <c r="AC176" s="206">
        <f>SUMIFS(LstMachines[Nbre],LstMachines[Model-Spec],PrévisionBoris[[#This Row],[Spec]],LstMachines[Status],PrévisionBoris[[#This Row],[Status]],LstMachines[MoisLivr],AC$1)</f>
        <v>0</v>
      </c>
      <c r="AD176" s="207">
        <f>SUMIFS(LstMachines[Nbre],LstMachines[Model-Spec],PrévisionBoris[[#This Row],[Spec]],LstMachines[Status],PrévisionBoris[[#This Row],[Status]],LstMachines[MoisLivr],AD$1)</f>
        <v>0</v>
      </c>
      <c r="AE176" s="207">
        <f>SUMIFS(LstMachines[Nbre],LstMachines[Model-Spec],PrévisionBoris[[#This Row],[Spec]],LstMachines[Status],PrévisionBoris[[#This Row],[Status]],LstMachines[MoisLivr],AE$1)</f>
        <v>0</v>
      </c>
      <c r="AF176" s="206">
        <f>SUMIFS(LstMachines[Nbre],LstMachines[Model-Spec],PrévisionBoris[[#This Row],[Spec]],LstMachines[Status],PrévisionBoris[[#This Row],[Status]],LstMachines[MoisLivr],AF$1)</f>
        <v>0</v>
      </c>
      <c r="AG176" s="207">
        <f>SUMIFS(LstMachines[Nbre],LstMachines[Model-Spec],PrévisionBoris[[#This Row],[Spec]],LstMachines[Status],PrévisionBoris[[#This Row],[Status]],LstMachines[MoisLivr],AG$1)</f>
        <v>0</v>
      </c>
      <c r="AH176" s="207">
        <f>SUMIFS(LstMachines[Nbre],LstMachines[Model-Spec],PrévisionBoris[[#This Row],[Spec]],LstMachines[Status],PrévisionBoris[[#This Row],[Status]],LstMachines[MoisLivr],AH$1)</f>
        <v>0</v>
      </c>
      <c r="AI176" s="206">
        <f>SUMIFS(LstMachines[Nbre],LstMachines[Model-Spec],PrévisionBoris[[#This Row],[Spec]],LstMachines[Status],PrévisionBoris[[#This Row],[Status]],LstMachines[MoisLivr],AI$1)</f>
        <v>0</v>
      </c>
      <c r="AJ176" s="207">
        <f>SUMIFS(LstMachines[Nbre],LstMachines[Model-Spec],PrévisionBoris[[#This Row],[Spec]],LstMachines[Status],PrévisionBoris[[#This Row],[Status]],LstMachines[MoisLivr],AJ$1)</f>
        <v>0</v>
      </c>
      <c r="AK176" s="207">
        <f>SUMIFS(LstMachines[Nbre],LstMachines[Model-Spec],PrévisionBoris[[#This Row],[Spec]],LstMachines[Status],PrévisionBoris[[#This Row],[Status]],LstMachines[MoisLivr],AK$1)</f>
        <v>0</v>
      </c>
      <c r="AL176" s="206">
        <f>SUMIFS(LstMachines[Nbre],LstMachines[Model-Spec],PrévisionBoris[[#This Row],[Spec]],LstMachines[Status],PrévisionBoris[[#This Row],[Status]],LstMachines[MoisLivr],AL$1)</f>
        <v>0</v>
      </c>
      <c r="AM176" s="207">
        <f>SUMIFS(LstMachines[Nbre],LstMachines[Model-Spec],PrévisionBoris[[#This Row],[Spec]],LstMachines[Status],PrévisionBoris[[#This Row],[Status]],LstMachines[MoisLivr],AM$1)</f>
        <v>0</v>
      </c>
      <c r="AN176" s="207">
        <f>SUMIFS(LstMachines[Nbre],LstMachines[Model-Spec],PrévisionBoris[[#This Row],[Spec]],LstMachines[Status],PrévisionBoris[[#This Row],[Status]],LstMachines[MoisLivr],AN$1)</f>
        <v>0</v>
      </c>
      <c r="AO176" s="206">
        <f>SUMIFS(LstMachines[Nbre],LstMachines[Model-Spec],PrévisionBoris[[#This Row],[Spec]],LstMachines[Status],PrévisionBoris[[#This Row],[Status]],LstMachines[MoisLivr],AO$1)</f>
        <v>0</v>
      </c>
      <c r="AP176" s="207">
        <f>SUMIFS(LstMachines[Nbre],LstMachines[Model-Spec],PrévisionBoris[[#This Row],[Spec]],LstMachines[Status],PrévisionBoris[[#This Row],[Status]],LstMachines[MoisLivr],AP$1)</f>
        <v>0</v>
      </c>
      <c r="AQ176" s="207">
        <f>SUMIFS(LstMachines[Nbre],LstMachines[Model-Spec],PrévisionBoris[[#This Row],[Spec]],LstMachines[Status],PrévisionBoris[[#This Row],[Status]],LstMachines[MoisLivr],AQ$1)</f>
        <v>0</v>
      </c>
      <c r="AR176" s="206">
        <f>SUMIFS(LstMachines[Nbre],LstMachines[Model-Spec],PrévisionBoris[[#This Row],[Spec]],LstMachines[Status],PrévisionBoris[[#This Row],[Status]],LstMachines[MoisLivr],AR$1)</f>
        <v>0</v>
      </c>
      <c r="AS176" s="207">
        <f>SUMIFS(LstMachines[Nbre],LstMachines[Model-Spec],PrévisionBoris[[#This Row],[Spec]],LstMachines[Status],PrévisionBoris[[#This Row],[Status]],LstMachines[MoisLivr],AS$1)</f>
        <v>0</v>
      </c>
      <c r="AT176" s="207">
        <f>SUMIFS(LstMachines[Nbre],LstMachines[Model-Spec],PrévisionBoris[[#This Row],[Spec]],LstMachines[Status],PrévisionBoris[[#This Row],[Status]],LstMachines[MoisLivr],AT$1)</f>
        <v>0</v>
      </c>
      <c r="AU176" s="206">
        <f>SUMIFS(LstMachines[Nbre],LstMachines[Model-Spec],PrévisionBoris[[#This Row],[Spec]],LstMachines[Status],PrévisionBoris[[#This Row],[Status]],LstMachines[MoisLivr],AU$1)</f>
        <v>0</v>
      </c>
      <c r="AV176" s="233">
        <f>SUMIFS(LstMachines[Nbre],LstMachines[Model-Spec],PrévisionBoris[[#This Row],[Spec]],LstMachines[Status],PrévisionBoris[[#This Row],[Status]],LstMachines[MoisLivr],AV$1)</f>
        <v>0</v>
      </c>
      <c r="AW176" s="208">
        <f>SUMIFS(LstMachines[Nbre],LstMachines[Model-Spec],PrévisionBoris[[#This Row],[Spec]],LstMachines[Status],PrévisionBoris[[#This Row],[Status]],LstMachines[MoisLivr],AW$1)</f>
        <v>0</v>
      </c>
      <c r="AX176" s="225"/>
      <c r="AY176" s="211">
        <f t="shared" si="35"/>
        <v>0</v>
      </c>
      <c r="AZ176" s="212">
        <f t="shared" si="36"/>
        <v>0</v>
      </c>
      <c r="BA176" s="212">
        <f t="shared" si="37"/>
        <v>0</v>
      </c>
      <c r="BB176" s="213">
        <f t="shared" si="38"/>
        <v>0</v>
      </c>
      <c r="BC176" s="225">
        <f t="shared" si="39"/>
        <v>0</v>
      </c>
      <c r="BD176" s="211">
        <f t="shared" si="40"/>
        <v>0</v>
      </c>
      <c r="BE176" s="212">
        <f t="shared" si="41"/>
        <v>0</v>
      </c>
      <c r="BF176" s="212">
        <f t="shared" si="42"/>
        <v>0</v>
      </c>
      <c r="BG176" s="213">
        <f t="shared" si="43"/>
        <v>0</v>
      </c>
      <c r="BH176" s="225">
        <f t="shared" si="44"/>
        <v>0</v>
      </c>
      <c r="BI176" s="214">
        <f t="shared" si="45"/>
        <v>0</v>
      </c>
      <c r="BJ176" s="215">
        <f t="shared" si="46"/>
        <v>0</v>
      </c>
      <c r="BK176" s="215">
        <f t="shared" si="47"/>
        <v>0</v>
      </c>
      <c r="BL176" s="216">
        <f t="shared" si="48"/>
        <v>0</v>
      </c>
      <c r="BM176" s="225">
        <f t="shared" si="49"/>
        <v>0</v>
      </c>
      <c r="BN176" s="225"/>
      <c r="BO176" s="234"/>
      <c r="BP176" s="218">
        <f t="shared" si="50"/>
        <v>0</v>
      </c>
    </row>
    <row r="177" spans="1:68">
      <c r="A177" s="170">
        <v>170</v>
      </c>
      <c r="B177" s="170" t="s">
        <v>75</v>
      </c>
      <c r="C177" s="200">
        <v>55</v>
      </c>
      <c r="D177" s="170" t="s">
        <v>83</v>
      </c>
      <c r="E177" s="170" t="s">
        <v>429</v>
      </c>
      <c r="F177" s="200">
        <f>VLOOKUP(PrévisionBoris[[#This Row],[Spec]],TabModelSpecs[[ModelSpec]:[Price]],2,FALSE)</f>
        <v>43</v>
      </c>
      <c r="G177" s="170" t="s">
        <v>462</v>
      </c>
      <c r="H177" s="219">
        <f>SUMIFS(LstMachines[Nbre],LstMachines[Model-Spec],PrévisionBoris[[#This Row],[Spec]],LstMachines[Status],PrévisionBoris[[#This Row],[Status]],LstMachines[MoisLivr],H$1)</f>
        <v>0</v>
      </c>
      <c r="I177" s="220">
        <f>SUMIFS(LstMachines[Nbre],LstMachines[Model-Spec],PrévisionBoris[[#This Row],[Spec]],LstMachines[Status],PrévisionBoris[[#This Row],[Status]],LstMachines[MoisLivr],I$1)</f>
        <v>0</v>
      </c>
      <c r="J177" s="221">
        <f>SUMIFS(LstMachines[Nbre],LstMachines[Model-Spec],PrévisionBoris[[#This Row],[Spec]],LstMachines[Status],PrévisionBoris[[#This Row],[Status]],LstMachines[MoisLivr],J$1)</f>
        <v>0</v>
      </c>
      <c r="K177" s="219">
        <f>SUMIFS(LstMachines[Nbre],LstMachines[Model-Spec],PrévisionBoris[[#This Row],[Spec]],LstMachines[Status],PrévisionBoris[[#This Row],[Status]],LstMachines[MoisLivr],K$1)</f>
        <v>0</v>
      </c>
      <c r="L177" s="220">
        <f>SUMIFS(LstMachines[Nbre],LstMachines[Model-Spec],PrévisionBoris[[#This Row],[Spec]],LstMachines[Status],PrévisionBoris[[#This Row],[Status]],LstMachines[MoisLivr],L$1)</f>
        <v>0</v>
      </c>
      <c r="M177" s="221">
        <f>SUMIFS(LstMachines[Nbre],LstMachines[Model-Spec],PrévisionBoris[[#This Row],[Spec]],LstMachines[Status],PrévisionBoris[[#This Row],[Status]],LstMachines[MoisLivr],M$1)</f>
        <v>0</v>
      </c>
      <c r="N177" s="219">
        <f>SUMIFS(LstMachines[Nbre],LstMachines[Model-Spec],PrévisionBoris[[#This Row],[Spec]],LstMachines[Status],PrévisionBoris[[#This Row],[Status]],LstMachines[MoisLivr],N$1)</f>
        <v>0</v>
      </c>
      <c r="O177" s="220">
        <f>SUMIFS(LstMachines[Nbre],LstMachines[Model-Spec],PrévisionBoris[[#This Row],[Spec]],LstMachines[Status],PrévisionBoris[[#This Row],[Status]],LstMachines[MoisLivr],O$1)</f>
        <v>0</v>
      </c>
      <c r="P177" s="221">
        <f>SUMIFS(LstMachines[Nbre],LstMachines[Model-Spec],PrévisionBoris[[#This Row],[Spec]],LstMachines[Status],PrévisionBoris[[#This Row],[Status]],LstMachines[MoisLivr],P$1)</f>
        <v>0</v>
      </c>
      <c r="Q177" s="222">
        <f>SUMIFS(LstMachines[Nbre],LstMachines[Model-Spec],PrévisionBoris[[#This Row],[Spec]],LstMachines[Status],PrévisionBoris[[#This Row],[Status]],LstMachines[MoisLivr],Q$1)</f>
        <v>0</v>
      </c>
      <c r="R177" s="220">
        <f>SUMIFS(LstMachines[Nbre],LstMachines[Model-Spec],PrévisionBoris[[#This Row],[Spec]],LstMachines[Status],PrévisionBoris[[#This Row],[Status]],LstMachines[MoisLivr],R$1)</f>
        <v>0</v>
      </c>
      <c r="S177" s="220">
        <f>SUMIFS(LstMachines[Nbre],LstMachines[Model-Spec],PrévisionBoris[[#This Row],[Spec]],LstMachines[Status],PrévisionBoris[[#This Row],[Status]],LstMachines[MoisLivr],S$1)</f>
        <v>0</v>
      </c>
      <c r="T177" s="219">
        <f>SUMIFS(LstMachines[Nbre],LstMachines[Model-Spec],PrévisionBoris[[#This Row],[Spec]],LstMachines[Status],PrévisionBoris[[#This Row],[Status]],LstMachines[MoisLivr],T$1)</f>
        <v>0</v>
      </c>
      <c r="U177" s="220">
        <f>SUMIFS(LstMachines[Nbre],LstMachines[Model-Spec],PrévisionBoris[[#This Row],[Spec]],LstMachines[Status],PrévisionBoris[[#This Row],[Status]],LstMachines[MoisLivr],U$1)</f>
        <v>0</v>
      </c>
      <c r="V177" s="220">
        <f>SUMIFS(LstMachines[Nbre],LstMachines[Model-Spec],PrévisionBoris[[#This Row],[Spec]],LstMachines[Status],PrévisionBoris[[#This Row],[Status]],LstMachines[MoisLivr],V$1)</f>
        <v>0</v>
      </c>
      <c r="W177" s="219">
        <f>SUMIFS(LstMachines[Nbre],LstMachines[Model-Spec],PrévisionBoris[[#This Row],[Spec]],LstMachines[Status],PrévisionBoris[[#This Row],[Status]],LstMachines[MoisLivr],W$1)</f>
        <v>0</v>
      </c>
      <c r="X177" s="220">
        <f>SUMIFS(LstMachines[Nbre],LstMachines[Model-Spec],PrévisionBoris[[#This Row],[Spec]],LstMachines[Status],PrévisionBoris[[#This Row],[Status]],LstMachines[MoisLivr],X$1)</f>
        <v>0</v>
      </c>
      <c r="Y177" s="220">
        <f>SUMIFS(LstMachines[Nbre],LstMachines[Model-Spec],PrévisionBoris[[#This Row],[Spec]],LstMachines[Status],PrévisionBoris[[#This Row],[Status]],LstMachines[MoisLivr],Y$1)</f>
        <v>0</v>
      </c>
      <c r="Z177" s="219">
        <f>SUMIFS(LstMachines[Nbre],LstMachines[Model-Spec],PrévisionBoris[[#This Row],[Spec]],LstMachines[Status],PrévisionBoris[[#This Row],[Status]],LstMachines[MoisLivr],Z$1)</f>
        <v>0</v>
      </c>
      <c r="AA177" s="220">
        <f>SUMIFS(LstMachines[Nbre],LstMachines[Model-Spec],PrévisionBoris[[#This Row],[Spec]],LstMachines[Status],PrévisionBoris[[#This Row],[Status]],LstMachines[MoisLivr],AA$1)</f>
        <v>0</v>
      </c>
      <c r="AB177" s="220">
        <f>SUMIFS(LstMachines[Nbre],LstMachines[Model-Spec],PrévisionBoris[[#This Row],[Spec]],LstMachines[Status],PrévisionBoris[[#This Row],[Status]],LstMachines[MoisLivr],AB$1)</f>
        <v>0</v>
      </c>
      <c r="AC177" s="219">
        <f>SUMIFS(LstMachines[Nbre],LstMachines[Model-Spec],PrévisionBoris[[#This Row],[Spec]],LstMachines[Status],PrévisionBoris[[#This Row],[Status]],LstMachines[MoisLivr],AC$1)</f>
        <v>0</v>
      </c>
      <c r="AD177" s="220">
        <f>SUMIFS(LstMachines[Nbre],LstMachines[Model-Spec],PrévisionBoris[[#This Row],[Spec]],LstMachines[Status],PrévisionBoris[[#This Row],[Status]],LstMachines[MoisLivr],AD$1)</f>
        <v>0</v>
      </c>
      <c r="AE177" s="220">
        <f>SUMIFS(LstMachines[Nbre],LstMachines[Model-Spec],PrévisionBoris[[#This Row],[Spec]],LstMachines[Status],PrévisionBoris[[#This Row],[Status]],LstMachines[MoisLivr],AE$1)</f>
        <v>0</v>
      </c>
      <c r="AF177" s="219">
        <f>SUMIFS(LstMachines[Nbre],LstMachines[Model-Spec],PrévisionBoris[[#This Row],[Spec]],LstMachines[Status],PrévisionBoris[[#This Row],[Status]],LstMachines[MoisLivr],AF$1)</f>
        <v>0</v>
      </c>
      <c r="AG177" s="220">
        <f>SUMIFS(LstMachines[Nbre],LstMachines[Model-Spec],PrévisionBoris[[#This Row],[Spec]],LstMachines[Status],PrévisionBoris[[#This Row],[Status]],LstMachines[MoisLivr],AG$1)</f>
        <v>0</v>
      </c>
      <c r="AH177" s="220">
        <f>SUMIFS(LstMachines[Nbre],LstMachines[Model-Spec],PrévisionBoris[[#This Row],[Spec]],LstMachines[Status],PrévisionBoris[[#This Row],[Status]],LstMachines[MoisLivr],AH$1)</f>
        <v>0</v>
      </c>
      <c r="AI177" s="219">
        <f>SUMIFS(LstMachines[Nbre],LstMachines[Model-Spec],PrévisionBoris[[#This Row],[Spec]],LstMachines[Status],PrévisionBoris[[#This Row],[Status]],LstMachines[MoisLivr],AI$1)</f>
        <v>0</v>
      </c>
      <c r="AJ177" s="220">
        <f>SUMIFS(LstMachines[Nbre],LstMachines[Model-Spec],PrévisionBoris[[#This Row],[Spec]],LstMachines[Status],PrévisionBoris[[#This Row],[Status]],LstMachines[MoisLivr],AJ$1)</f>
        <v>0</v>
      </c>
      <c r="AK177" s="220">
        <f>SUMIFS(LstMachines[Nbre],LstMachines[Model-Spec],PrévisionBoris[[#This Row],[Spec]],LstMachines[Status],PrévisionBoris[[#This Row],[Status]],LstMachines[MoisLivr],AK$1)</f>
        <v>0</v>
      </c>
      <c r="AL177" s="219">
        <f>SUMIFS(LstMachines[Nbre],LstMachines[Model-Spec],PrévisionBoris[[#This Row],[Spec]],LstMachines[Status],PrévisionBoris[[#This Row],[Status]],LstMachines[MoisLivr],AL$1)</f>
        <v>0</v>
      </c>
      <c r="AM177" s="220">
        <f>SUMIFS(LstMachines[Nbre],LstMachines[Model-Spec],PrévisionBoris[[#This Row],[Spec]],LstMachines[Status],PrévisionBoris[[#This Row],[Status]],LstMachines[MoisLivr],AM$1)</f>
        <v>0</v>
      </c>
      <c r="AN177" s="220">
        <f>SUMIFS(LstMachines[Nbre],LstMachines[Model-Spec],PrévisionBoris[[#This Row],[Spec]],LstMachines[Status],PrévisionBoris[[#This Row],[Status]],LstMachines[MoisLivr],AN$1)</f>
        <v>0</v>
      </c>
      <c r="AO177" s="219">
        <f>SUMIFS(LstMachines[Nbre],LstMachines[Model-Spec],PrévisionBoris[[#This Row],[Spec]],LstMachines[Status],PrévisionBoris[[#This Row],[Status]],LstMachines[MoisLivr],AO$1)</f>
        <v>0</v>
      </c>
      <c r="AP177" s="220">
        <f>SUMIFS(LstMachines[Nbre],LstMachines[Model-Spec],PrévisionBoris[[#This Row],[Spec]],LstMachines[Status],PrévisionBoris[[#This Row],[Status]],LstMachines[MoisLivr],AP$1)</f>
        <v>0</v>
      </c>
      <c r="AQ177" s="220">
        <f>SUMIFS(LstMachines[Nbre],LstMachines[Model-Spec],PrévisionBoris[[#This Row],[Spec]],LstMachines[Status],PrévisionBoris[[#This Row],[Status]],LstMachines[MoisLivr],AQ$1)</f>
        <v>0</v>
      </c>
      <c r="AR177" s="219">
        <f>SUMIFS(LstMachines[Nbre],LstMachines[Model-Spec],PrévisionBoris[[#This Row],[Spec]],LstMachines[Status],PrévisionBoris[[#This Row],[Status]],LstMachines[MoisLivr],AR$1)</f>
        <v>0</v>
      </c>
      <c r="AS177" s="220">
        <f>SUMIFS(LstMachines[Nbre],LstMachines[Model-Spec],PrévisionBoris[[#This Row],[Spec]],LstMachines[Status],PrévisionBoris[[#This Row],[Status]],LstMachines[MoisLivr],AS$1)</f>
        <v>0</v>
      </c>
      <c r="AT177" s="220">
        <f>SUMIFS(LstMachines[Nbre],LstMachines[Model-Spec],PrévisionBoris[[#This Row],[Spec]],LstMachines[Status],PrévisionBoris[[#This Row],[Status]],LstMachines[MoisLivr],AT$1)</f>
        <v>0</v>
      </c>
      <c r="AU177" s="219">
        <f>SUMIFS(LstMachines[Nbre],LstMachines[Model-Spec],PrévisionBoris[[#This Row],[Spec]],LstMachines[Status],PrévisionBoris[[#This Row],[Status]],LstMachines[MoisLivr],AU$1)</f>
        <v>0</v>
      </c>
      <c r="AV177" s="223">
        <f>SUMIFS(LstMachines[Nbre],LstMachines[Model-Spec],PrévisionBoris[[#This Row],[Spec]],LstMachines[Status],PrévisionBoris[[#This Row],[Status]],LstMachines[MoisLivr],AV$1)</f>
        <v>0</v>
      </c>
      <c r="AW177" s="224">
        <f>SUMIFS(LstMachines[Nbre],LstMachines[Model-Spec],PrévisionBoris[[#This Row],[Spec]],LstMachines[Status],PrévisionBoris[[#This Row],[Status]],LstMachines[MoisLivr],AW$1)</f>
        <v>0</v>
      </c>
      <c r="AX177" s="210"/>
      <c r="AY177" s="211">
        <f t="shared" si="35"/>
        <v>0</v>
      </c>
      <c r="AZ177" s="212">
        <f t="shared" si="36"/>
        <v>0</v>
      </c>
      <c r="BA177" s="212">
        <f t="shared" si="37"/>
        <v>0</v>
      </c>
      <c r="BB177" s="213">
        <f t="shared" si="38"/>
        <v>0</v>
      </c>
      <c r="BC177" s="225">
        <f t="shared" si="39"/>
        <v>0</v>
      </c>
      <c r="BD177" s="211">
        <f t="shared" si="40"/>
        <v>0</v>
      </c>
      <c r="BE177" s="212">
        <f t="shared" si="41"/>
        <v>0</v>
      </c>
      <c r="BF177" s="212">
        <f t="shared" si="42"/>
        <v>0</v>
      </c>
      <c r="BG177" s="213">
        <f t="shared" si="43"/>
        <v>0</v>
      </c>
      <c r="BH177" s="225">
        <f t="shared" si="44"/>
        <v>0</v>
      </c>
      <c r="BI177" s="214">
        <f t="shared" si="45"/>
        <v>0</v>
      </c>
      <c r="BJ177" s="215">
        <f t="shared" si="46"/>
        <v>0</v>
      </c>
      <c r="BK177" s="215">
        <f t="shared" si="47"/>
        <v>0</v>
      </c>
      <c r="BL177" s="216">
        <f t="shared" si="48"/>
        <v>0</v>
      </c>
      <c r="BM177" s="225">
        <f t="shared" si="49"/>
        <v>0</v>
      </c>
      <c r="BN177" s="225"/>
      <c r="BO177" s="217"/>
      <c r="BP177" s="218">
        <f t="shared" si="50"/>
        <v>0</v>
      </c>
    </row>
    <row r="178" spans="1:68">
      <c r="A178" s="171">
        <v>171</v>
      </c>
      <c r="B178" s="171" t="s">
        <v>75</v>
      </c>
      <c r="C178" s="201">
        <v>55</v>
      </c>
      <c r="D178" s="171" t="s">
        <v>83</v>
      </c>
      <c r="E178" s="171" t="s">
        <v>429</v>
      </c>
      <c r="F178" s="201">
        <f>VLOOKUP(PrévisionBoris[[#This Row],[Spec]],TabModelSpecs[[ModelSpec]:[Price]],2,FALSE)</f>
        <v>43</v>
      </c>
      <c r="G178" s="171" t="s">
        <v>463</v>
      </c>
      <c r="H178" s="226">
        <f>SUMIFS(LstMachines[Nbre],LstMachines[Model-Spec],PrévisionBoris[[#This Row],[Spec]],LstMachines[Status],PrévisionBoris[[#This Row],[Status]],LstMachines[MoisLivr],H$1)</f>
        <v>0</v>
      </c>
      <c r="I178" s="227">
        <f>SUMIFS(LstMachines[Nbre],LstMachines[Model-Spec],PrévisionBoris[[#This Row],[Spec]],LstMachines[Status],PrévisionBoris[[#This Row],[Status]],LstMachines[MoisLivr],I$1)</f>
        <v>0</v>
      </c>
      <c r="J178" s="228">
        <f>SUMIFS(LstMachines[Nbre],LstMachines[Model-Spec],PrévisionBoris[[#This Row],[Spec]],LstMachines[Status],PrévisionBoris[[#This Row],[Status]],LstMachines[MoisLivr],J$1)</f>
        <v>0</v>
      </c>
      <c r="K178" s="226">
        <f>SUMIFS(LstMachines[Nbre],LstMachines[Model-Spec],PrévisionBoris[[#This Row],[Spec]],LstMachines[Status],PrévisionBoris[[#This Row],[Status]],LstMachines[MoisLivr],K$1)</f>
        <v>0</v>
      </c>
      <c r="L178" s="227">
        <f>SUMIFS(LstMachines[Nbre],LstMachines[Model-Spec],PrévisionBoris[[#This Row],[Spec]],LstMachines[Status],PrévisionBoris[[#This Row],[Status]],LstMachines[MoisLivr],L$1)</f>
        <v>0</v>
      </c>
      <c r="M178" s="228">
        <f>SUMIFS(LstMachines[Nbre],LstMachines[Model-Spec],PrévisionBoris[[#This Row],[Spec]],LstMachines[Status],PrévisionBoris[[#This Row],[Status]],LstMachines[MoisLivr],M$1)</f>
        <v>0</v>
      </c>
      <c r="N178" s="226">
        <f>SUMIFS(LstMachines[Nbre],LstMachines[Model-Spec],PrévisionBoris[[#This Row],[Spec]],LstMachines[Status],PrévisionBoris[[#This Row],[Status]],LstMachines[MoisLivr],N$1)</f>
        <v>0</v>
      </c>
      <c r="O178" s="227">
        <f>SUMIFS(LstMachines[Nbre],LstMachines[Model-Spec],PrévisionBoris[[#This Row],[Spec]],LstMachines[Status],PrévisionBoris[[#This Row],[Status]],LstMachines[MoisLivr],O$1)</f>
        <v>0</v>
      </c>
      <c r="P178" s="228">
        <f>SUMIFS(LstMachines[Nbre],LstMachines[Model-Spec],PrévisionBoris[[#This Row],[Spec]],LstMachines[Status],PrévisionBoris[[#This Row],[Status]],LstMachines[MoisLivr],P$1)</f>
        <v>0</v>
      </c>
      <c r="Q178" s="229">
        <f>SUMIFS(LstMachines[Nbre],LstMachines[Model-Spec],PrévisionBoris[[#This Row],[Spec]],LstMachines[Status],PrévisionBoris[[#This Row],[Status]],LstMachines[MoisLivr],Q$1)</f>
        <v>0</v>
      </c>
      <c r="R178" s="227">
        <f>SUMIFS(LstMachines[Nbre],LstMachines[Model-Spec],PrévisionBoris[[#This Row],[Spec]],LstMachines[Status],PrévisionBoris[[#This Row],[Status]],LstMachines[MoisLivr],R$1)</f>
        <v>0</v>
      </c>
      <c r="S178" s="227">
        <f>SUMIFS(LstMachines[Nbre],LstMachines[Model-Spec],PrévisionBoris[[#This Row],[Spec]],LstMachines[Status],PrévisionBoris[[#This Row],[Status]],LstMachines[MoisLivr],S$1)</f>
        <v>0</v>
      </c>
      <c r="T178" s="226">
        <f>SUMIFS(LstMachines[Nbre],LstMachines[Model-Spec],PrévisionBoris[[#This Row],[Spec]],LstMachines[Status],PrévisionBoris[[#This Row],[Status]],LstMachines[MoisLivr],T$1)</f>
        <v>0</v>
      </c>
      <c r="U178" s="227">
        <f>SUMIFS(LstMachines[Nbre],LstMachines[Model-Spec],PrévisionBoris[[#This Row],[Spec]],LstMachines[Status],PrévisionBoris[[#This Row],[Status]],LstMachines[MoisLivr],U$1)</f>
        <v>0</v>
      </c>
      <c r="V178" s="227">
        <f>SUMIFS(LstMachines[Nbre],LstMachines[Model-Spec],PrévisionBoris[[#This Row],[Spec]],LstMachines[Status],PrévisionBoris[[#This Row],[Status]],LstMachines[MoisLivr],V$1)</f>
        <v>0</v>
      </c>
      <c r="W178" s="226">
        <f>SUMIFS(LstMachines[Nbre],LstMachines[Model-Spec],PrévisionBoris[[#This Row],[Spec]],LstMachines[Status],PrévisionBoris[[#This Row],[Status]],LstMachines[MoisLivr],W$1)</f>
        <v>0</v>
      </c>
      <c r="X178" s="227">
        <f>SUMIFS(LstMachines[Nbre],LstMachines[Model-Spec],PrévisionBoris[[#This Row],[Spec]],LstMachines[Status],PrévisionBoris[[#This Row],[Status]],LstMachines[MoisLivr],X$1)</f>
        <v>0</v>
      </c>
      <c r="Y178" s="227">
        <f>SUMIFS(LstMachines[Nbre],LstMachines[Model-Spec],PrévisionBoris[[#This Row],[Spec]],LstMachines[Status],PrévisionBoris[[#This Row],[Status]],LstMachines[MoisLivr],Y$1)</f>
        <v>0</v>
      </c>
      <c r="Z178" s="226">
        <f>SUMIFS(LstMachines[Nbre],LstMachines[Model-Spec],PrévisionBoris[[#This Row],[Spec]],LstMachines[Status],PrévisionBoris[[#This Row],[Status]],LstMachines[MoisLivr],Z$1)</f>
        <v>0</v>
      </c>
      <c r="AA178" s="227">
        <f>SUMIFS(LstMachines[Nbre],LstMachines[Model-Spec],PrévisionBoris[[#This Row],[Spec]],LstMachines[Status],PrévisionBoris[[#This Row],[Status]],LstMachines[MoisLivr],AA$1)</f>
        <v>0</v>
      </c>
      <c r="AB178" s="227">
        <f>SUMIFS(LstMachines[Nbre],LstMachines[Model-Spec],PrévisionBoris[[#This Row],[Spec]],LstMachines[Status],PrévisionBoris[[#This Row],[Status]],LstMachines[MoisLivr],AB$1)</f>
        <v>0</v>
      </c>
      <c r="AC178" s="226">
        <f>SUMIFS(LstMachines[Nbre],LstMachines[Model-Spec],PrévisionBoris[[#This Row],[Spec]],LstMachines[Status],PrévisionBoris[[#This Row],[Status]],LstMachines[MoisLivr],AC$1)</f>
        <v>0</v>
      </c>
      <c r="AD178" s="227">
        <f>SUMIFS(LstMachines[Nbre],LstMachines[Model-Spec],PrévisionBoris[[#This Row],[Spec]],LstMachines[Status],PrévisionBoris[[#This Row],[Status]],LstMachines[MoisLivr],AD$1)</f>
        <v>0</v>
      </c>
      <c r="AE178" s="227">
        <f>SUMIFS(LstMachines[Nbre],LstMachines[Model-Spec],PrévisionBoris[[#This Row],[Spec]],LstMachines[Status],PrévisionBoris[[#This Row],[Status]],LstMachines[MoisLivr],AE$1)</f>
        <v>0</v>
      </c>
      <c r="AF178" s="226">
        <f>SUMIFS(LstMachines[Nbre],LstMachines[Model-Spec],PrévisionBoris[[#This Row],[Spec]],LstMachines[Status],PrévisionBoris[[#This Row],[Status]],LstMachines[MoisLivr],AF$1)</f>
        <v>0</v>
      </c>
      <c r="AG178" s="227">
        <f>SUMIFS(LstMachines[Nbre],LstMachines[Model-Spec],PrévisionBoris[[#This Row],[Spec]],LstMachines[Status],PrévisionBoris[[#This Row],[Status]],LstMachines[MoisLivr],AG$1)</f>
        <v>0</v>
      </c>
      <c r="AH178" s="227">
        <f>SUMIFS(LstMachines[Nbre],LstMachines[Model-Spec],PrévisionBoris[[#This Row],[Spec]],LstMachines[Status],PrévisionBoris[[#This Row],[Status]],LstMachines[MoisLivr],AH$1)</f>
        <v>0</v>
      </c>
      <c r="AI178" s="226">
        <f>SUMIFS(LstMachines[Nbre],LstMachines[Model-Spec],PrévisionBoris[[#This Row],[Spec]],LstMachines[Status],PrévisionBoris[[#This Row],[Status]],LstMachines[MoisLivr],AI$1)</f>
        <v>0</v>
      </c>
      <c r="AJ178" s="227">
        <f>SUMIFS(LstMachines[Nbre],LstMachines[Model-Spec],PrévisionBoris[[#This Row],[Spec]],LstMachines[Status],PrévisionBoris[[#This Row],[Status]],LstMachines[MoisLivr],AJ$1)</f>
        <v>0</v>
      </c>
      <c r="AK178" s="227">
        <f>SUMIFS(LstMachines[Nbre],LstMachines[Model-Spec],PrévisionBoris[[#This Row],[Spec]],LstMachines[Status],PrévisionBoris[[#This Row],[Status]],LstMachines[MoisLivr],AK$1)</f>
        <v>0</v>
      </c>
      <c r="AL178" s="226">
        <f>SUMIFS(LstMachines[Nbre],LstMachines[Model-Spec],PrévisionBoris[[#This Row],[Spec]],LstMachines[Status],PrévisionBoris[[#This Row],[Status]],LstMachines[MoisLivr],AL$1)</f>
        <v>0</v>
      </c>
      <c r="AM178" s="227">
        <f>SUMIFS(LstMachines[Nbre],LstMachines[Model-Spec],PrévisionBoris[[#This Row],[Spec]],LstMachines[Status],PrévisionBoris[[#This Row],[Status]],LstMachines[MoisLivr],AM$1)</f>
        <v>0</v>
      </c>
      <c r="AN178" s="227">
        <f>SUMIFS(LstMachines[Nbre],LstMachines[Model-Spec],PrévisionBoris[[#This Row],[Spec]],LstMachines[Status],PrévisionBoris[[#This Row],[Status]],LstMachines[MoisLivr],AN$1)</f>
        <v>0</v>
      </c>
      <c r="AO178" s="226">
        <f>SUMIFS(LstMachines[Nbre],LstMachines[Model-Spec],PrévisionBoris[[#This Row],[Spec]],LstMachines[Status],PrévisionBoris[[#This Row],[Status]],LstMachines[MoisLivr],AO$1)</f>
        <v>0</v>
      </c>
      <c r="AP178" s="227">
        <f>SUMIFS(LstMachines[Nbre],LstMachines[Model-Spec],PrévisionBoris[[#This Row],[Spec]],LstMachines[Status],PrévisionBoris[[#This Row],[Status]],LstMachines[MoisLivr],AP$1)</f>
        <v>0</v>
      </c>
      <c r="AQ178" s="227">
        <f>SUMIFS(LstMachines[Nbre],LstMachines[Model-Spec],PrévisionBoris[[#This Row],[Spec]],LstMachines[Status],PrévisionBoris[[#This Row],[Status]],LstMachines[MoisLivr],AQ$1)</f>
        <v>0</v>
      </c>
      <c r="AR178" s="226">
        <f>SUMIFS(LstMachines[Nbre],LstMachines[Model-Spec],PrévisionBoris[[#This Row],[Spec]],LstMachines[Status],PrévisionBoris[[#This Row],[Status]],LstMachines[MoisLivr],AR$1)</f>
        <v>0</v>
      </c>
      <c r="AS178" s="227">
        <f>SUMIFS(LstMachines[Nbre],LstMachines[Model-Spec],PrévisionBoris[[#This Row],[Spec]],LstMachines[Status],PrévisionBoris[[#This Row],[Status]],LstMachines[MoisLivr],AS$1)</f>
        <v>0</v>
      </c>
      <c r="AT178" s="227">
        <f>SUMIFS(LstMachines[Nbre],LstMachines[Model-Spec],PrévisionBoris[[#This Row],[Spec]],LstMachines[Status],PrévisionBoris[[#This Row],[Status]],LstMachines[MoisLivr],AT$1)</f>
        <v>0</v>
      </c>
      <c r="AU178" s="226">
        <f>SUMIFS(LstMachines[Nbre],LstMachines[Model-Spec],PrévisionBoris[[#This Row],[Spec]],LstMachines[Status],PrévisionBoris[[#This Row],[Status]],LstMachines[MoisLivr],AU$1)</f>
        <v>0</v>
      </c>
      <c r="AV178" s="230">
        <f>SUMIFS(LstMachines[Nbre],LstMachines[Model-Spec],PrévisionBoris[[#This Row],[Spec]],LstMachines[Status],PrévisionBoris[[#This Row],[Status]],LstMachines[MoisLivr],AV$1)</f>
        <v>0</v>
      </c>
      <c r="AW178" s="231">
        <f>SUMIFS(LstMachines[Nbre],LstMachines[Model-Spec],PrévisionBoris[[#This Row],[Spec]],LstMachines[Status],PrévisionBoris[[#This Row],[Status]],LstMachines[MoisLivr],AW$1)</f>
        <v>0</v>
      </c>
      <c r="AX178" s="232"/>
      <c r="AY178" s="211">
        <f t="shared" si="35"/>
        <v>0</v>
      </c>
      <c r="AZ178" s="212">
        <f t="shared" si="36"/>
        <v>0</v>
      </c>
      <c r="BA178" s="212">
        <f t="shared" si="37"/>
        <v>0</v>
      </c>
      <c r="BB178" s="213">
        <f t="shared" si="38"/>
        <v>0</v>
      </c>
      <c r="BC178" s="225">
        <f t="shared" si="39"/>
        <v>0</v>
      </c>
      <c r="BD178" s="211">
        <f t="shared" si="40"/>
        <v>0</v>
      </c>
      <c r="BE178" s="212">
        <f t="shared" si="41"/>
        <v>0</v>
      </c>
      <c r="BF178" s="212">
        <f t="shared" si="42"/>
        <v>0</v>
      </c>
      <c r="BG178" s="213">
        <f t="shared" si="43"/>
        <v>0</v>
      </c>
      <c r="BH178" s="225">
        <f t="shared" si="44"/>
        <v>0</v>
      </c>
      <c r="BI178" s="214">
        <f t="shared" si="45"/>
        <v>0</v>
      </c>
      <c r="BJ178" s="215">
        <f t="shared" si="46"/>
        <v>0</v>
      </c>
      <c r="BK178" s="215">
        <f t="shared" si="47"/>
        <v>0</v>
      </c>
      <c r="BL178" s="216">
        <f t="shared" si="48"/>
        <v>0</v>
      </c>
      <c r="BM178" s="225">
        <f t="shared" si="49"/>
        <v>0</v>
      </c>
      <c r="BN178" s="225"/>
      <c r="BO178" s="217"/>
      <c r="BP178" s="218">
        <f t="shared" si="50"/>
        <v>0</v>
      </c>
    </row>
    <row r="179" spans="1:68">
      <c r="A179" s="172">
        <v>172</v>
      </c>
      <c r="B179" s="172" t="s">
        <v>75</v>
      </c>
      <c r="C179" s="202">
        <v>55</v>
      </c>
      <c r="D179" s="172" t="s">
        <v>83</v>
      </c>
      <c r="E179" s="172" t="s">
        <v>430</v>
      </c>
      <c r="F179" s="202">
        <f>VLOOKUP(PrévisionBoris[[#This Row],[Spec]],TabModelSpecs[[ModelSpec]:[Price]],2,FALSE)</f>
        <v>43</v>
      </c>
      <c r="G179" s="172" t="s">
        <v>461</v>
      </c>
      <c r="H179" s="206">
        <f>SUMIFS(LstMachines[Nbre],LstMachines[Model-Spec],PrévisionBoris[[#This Row],[Spec]],LstMachines[Status],PrévisionBoris[[#This Row],[Status]],LstMachines[MoisLivr],H$1)</f>
        <v>0</v>
      </c>
      <c r="I179" s="207">
        <f>SUMIFS(LstMachines[Nbre],LstMachines[Model-Spec],PrévisionBoris[[#This Row],[Spec]],LstMachines[Status],PrévisionBoris[[#This Row],[Status]],LstMachines[MoisLivr],I$1)</f>
        <v>0</v>
      </c>
      <c r="J179" s="208">
        <f>SUMIFS(LstMachines[Nbre],LstMachines[Model-Spec],PrévisionBoris[[#This Row],[Spec]],LstMachines[Status],PrévisionBoris[[#This Row],[Status]],LstMachines[MoisLivr],J$1)</f>
        <v>0</v>
      </c>
      <c r="K179" s="206">
        <f>SUMIFS(LstMachines[Nbre],LstMachines[Model-Spec],PrévisionBoris[[#This Row],[Spec]],LstMachines[Status],PrévisionBoris[[#This Row],[Status]],LstMachines[MoisLivr],K$1)</f>
        <v>0</v>
      </c>
      <c r="L179" s="207">
        <f>SUMIFS(LstMachines[Nbre],LstMachines[Model-Spec],PrévisionBoris[[#This Row],[Spec]],LstMachines[Status],PrévisionBoris[[#This Row],[Status]],LstMachines[MoisLivr],L$1)</f>
        <v>0</v>
      </c>
      <c r="M179" s="208">
        <f>SUMIFS(LstMachines[Nbre],LstMachines[Model-Spec],PrévisionBoris[[#This Row],[Spec]],LstMachines[Status],PrévisionBoris[[#This Row],[Status]],LstMachines[MoisLivr],M$1)</f>
        <v>0</v>
      </c>
      <c r="N179" s="206">
        <f>SUMIFS(LstMachines[Nbre],LstMachines[Model-Spec],PrévisionBoris[[#This Row],[Spec]],LstMachines[Status],PrévisionBoris[[#This Row],[Status]],LstMachines[MoisLivr],N$1)</f>
        <v>0</v>
      </c>
      <c r="O179" s="207">
        <f>SUMIFS(LstMachines[Nbre],LstMachines[Model-Spec],PrévisionBoris[[#This Row],[Spec]],LstMachines[Status],PrévisionBoris[[#This Row],[Status]],LstMachines[MoisLivr],O$1)</f>
        <v>0</v>
      </c>
      <c r="P179" s="208">
        <f>SUMIFS(LstMachines[Nbre],LstMachines[Model-Spec],PrévisionBoris[[#This Row],[Spec]],LstMachines[Status],PrévisionBoris[[#This Row],[Status]],LstMachines[MoisLivr],P$1)</f>
        <v>0</v>
      </c>
      <c r="Q179" s="209">
        <f>SUMIFS(LstMachines[Nbre],LstMachines[Model-Spec],PrévisionBoris[[#This Row],[Spec]],LstMachines[Status],PrévisionBoris[[#This Row],[Status]],LstMachines[MoisLivr],Q$1)</f>
        <v>0</v>
      </c>
      <c r="R179" s="207">
        <f>SUMIFS(LstMachines[Nbre],LstMachines[Model-Spec],PrévisionBoris[[#This Row],[Spec]],LstMachines[Status],PrévisionBoris[[#This Row],[Status]],LstMachines[MoisLivr],R$1)</f>
        <v>0</v>
      </c>
      <c r="S179" s="207">
        <f>SUMIFS(LstMachines[Nbre],LstMachines[Model-Spec],PrévisionBoris[[#This Row],[Spec]],LstMachines[Status],PrévisionBoris[[#This Row],[Status]],LstMachines[MoisLivr],S$1)</f>
        <v>0</v>
      </c>
      <c r="T179" s="206">
        <f>SUMIFS(LstMachines[Nbre],LstMachines[Model-Spec],PrévisionBoris[[#This Row],[Spec]],LstMachines[Status],PrévisionBoris[[#This Row],[Status]],LstMachines[MoisLivr],T$1)</f>
        <v>0</v>
      </c>
      <c r="U179" s="207">
        <f>SUMIFS(LstMachines[Nbre],LstMachines[Model-Spec],PrévisionBoris[[#This Row],[Spec]],LstMachines[Status],PrévisionBoris[[#This Row],[Status]],LstMachines[MoisLivr],U$1)</f>
        <v>0</v>
      </c>
      <c r="V179" s="207">
        <f>SUMIFS(LstMachines[Nbre],LstMachines[Model-Spec],PrévisionBoris[[#This Row],[Spec]],LstMachines[Status],PrévisionBoris[[#This Row],[Status]],LstMachines[MoisLivr],V$1)</f>
        <v>0</v>
      </c>
      <c r="W179" s="206">
        <f>SUMIFS(LstMachines[Nbre],LstMachines[Model-Spec],PrévisionBoris[[#This Row],[Spec]],LstMachines[Status],PrévisionBoris[[#This Row],[Status]],LstMachines[MoisLivr],W$1)</f>
        <v>0</v>
      </c>
      <c r="X179" s="207">
        <f>SUMIFS(LstMachines[Nbre],LstMachines[Model-Spec],PrévisionBoris[[#This Row],[Spec]],LstMachines[Status],PrévisionBoris[[#This Row],[Status]],LstMachines[MoisLivr],X$1)</f>
        <v>0</v>
      </c>
      <c r="Y179" s="207">
        <f>SUMIFS(LstMachines[Nbre],LstMachines[Model-Spec],PrévisionBoris[[#This Row],[Spec]],LstMachines[Status],PrévisionBoris[[#This Row],[Status]],LstMachines[MoisLivr],Y$1)</f>
        <v>0</v>
      </c>
      <c r="Z179" s="206">
        <f>SUMIFS(LstMachines[Nbre],LstMachines[Model-Spec],PrévisionBoris[[#This Row],[Spec]],LstMachines[Status],PrévisionBoris[[#This Row],[Status]],LstMachines[MoisLivr],Z$1)</f>
        <v>0</v>
      </c>
      <c r="AA179" s="207">
        <f>SUMIFS(LstMachines[Nbre],LstMachines[Model-Spec],PrévisionBoris[[#This Row],[Spec]],LstMachines[Status],PrévisionBoris[[#This Row],[Status]],LstMachines[MoisLivr],AA$1)</f>
        <v>0</v>
      </c>
      <c r="AB179" s="207">
        <f>SUMIFS(LstMachines[Nbre],LstMachines[Model-Spec],PrévisionBoris[[#This Row],[Spec]],LstMachines[Status],PrévisionBoris[[#This Row],[Status]],LstMachines[MoisLivr],AB$1)</f>
        <v>0</v>
      </c>
      <c r="AC179" s="206">
        <f>SUMIFS(LstMachines[Nbre],LstMachines[Model-Spec],PrévisionBoris[[#This Row],[Spec]],LstMachines[Status],PrévisionBoris[[#This Row],[Status]],LstMachines[MoisLivr],AC$1)</f>
        <v>0</v>
      </c>
      <c r="AD179" s="207">
        <f>SUMIFS(LstMachines[Nbre],LstMachines[Model-Spec],PrévisionBoris[[#This Row],[Spec]],LstMachines[Status],PrévisionBoris[[#This Row],[Status]],LstMachines[MoisLivr],AD$1)</f>
        <v>0</v>
      </c>
      <c r="AE179" s="207">
        <f>SUMIFS(LstMachines[Nbre],LstMachines[Model-Spec],PrévisionBoris[[#This Row],[Spec]],LstMachines[Status],PrévisionBoris[[#This Row],[Status]],LstMachines[MoisLivr],AE$1)</f>
        <v>0</v>
      </c>
      <c r="AF179" s="206">
        <f>SUMIFS(LstMachines[Nbre],LstMachines[Model-Spec],PrévisionBoris[[#This Row],[Spec]],LstMachines[Status],PrévisionBoris[[#This Row],[Status]],LstMachines[MoisLivr],AF$1)</f>
        <v>0</v>
      </c>
      <c r="AG179" s="207">
        <f>SUMIFS(LstMachines[Nbre],LstMachines[Model-Spec],PrévisionBoris[[#This Row],[Spec]],LstMachines[Status],PrévisionBoris[[#This Row],[Status]],LstMachines[MoisLivr],AG$1)</f>
        <v>0</v>
      </c>
      <c r="AH179" s="207">
        <f>SUMIFS(LstMachines[Nbre],LstMachines[Model-Spec],PrévisionBoris[[#This Row],[Spec]],LstMachines[Status],PrévisionBoris[[#This Row],[Status]],LstMachines[MoisLivr],AH$1)</f>
        <v>0</v>
      </c>
      <c r="AI179" s="206">
        <f>SUMIFS(LstMachines[Nbre],LstMachines[Model-Spec],PrévisionBoris[[#This Row],[Spec]],LstMachines[Status],PrévisionBoris[[#This Row],[Status]],LstMachines[MoisLivr],AI$1)</f>
        <v>0</v>
      </c>
      <c r="AJ179" s="207">
        <f>SUMIFS(LstMachines[Nbre],LstMachines[Model-Spec],PrévisionBoris[[#This Row],[Spec]],LstMachines[Status],PrévisionBoris[[#This Row],[Status]],LstMachines[MoisLivr],AJ$1)</f>
        <v>0</v>
      </c>
      <c r="AK179" s="207">
        <f>SUMIFS(LstMachines[Nbre],LstMachines[Model-Spec],PrévisionBoris[[#This Row],[Spec]],LstMachines[Status],PrévisionBoris[[#This Row],[Status]],LstMachines[MoisLivr],AK$1)</f>
        <v>0</v>
      </c>
      <c r="AL179" s="206">
        <f>SUMIFS(LstMachines[Nbre],LstMachines[Model-Spec],PrévisionBoris[[#This Row],[Spec]],LstMachines[Status],PrévisionBoris[[#This Row],[Status]],LstMachines[MoisLivr],AL$1)</f>
        <v>0</v>
      </c>
      <c r="AM179" s="207">
        <f>SUMIFS(LstMachines[Nbre],LstMachines[Model-Spec],PrévisionBoris[[#This Row],[Spec]],LstMachines[Status],PrévisionBoris[[#This Row],[Status]],LstMachines[MoisLivr],AM$1)</f>
        <v>0</v>
      </c>
      <c r="AN179" s="207">
        <f>SUMIFS(LstMachines[Nbre],LstMachines[Model-Spec],PrévisionBoris[[#This Row],[Spec]],LstMachines[Status],PrévisionBoris[[#This Row],[Status]],LstMachines[MoisLivr],AN$1)</f>
        <v>0</v>
      </c>
      <c r="AO179" s="206">
        <f>SUMIFS(LstMachines[Nbre],LstMachines[Model-Spec],PrévisionBoris[[#This Row],[Spec]],LstMachines[Status],PrévisionBoris[[#This Row],[Status]],LstMachines[MoisLivr],AO$1)</f>
        <v>0</v>
      </c>
      <c r="AP179" s="207">
        <f>SUMIFS(LstMachines[Nbre],LstMachines[Model-Spec],PrévisionBoris[[#This Row],[Spec]],LstMachines[Status],PrévisionBoris[[#This Row],[Status]],LstMachines[MoisLivr],AP$1)</f>
        <v>0</v>
      </c>
      <c r="AQ179" s="207">
        <f>SUMIFS(LstMachines[Nbre],LstMachines[Model-Spec],PrévisionBoris[[#This Row],[Spec]],LstMachines[Status],PrévisionBoris[[#This Row],[Status]],LstMachines[MoisLivr],AQ$1)</f>
        <v>0</v>
      </c>
      <c r="AR179" s="206">
        <f>SUMIFS(LstMachines[Nbre],LstMachines[Model-Spec],PrévisionBoris[[#This Row],[Spec]],LstMachines[Status],PrévisionBoris[[#This Row],[Status]],LstMachines[MoisLivr],AR$1)</f>
        <v>0</v>
      </c>
      <c r="AS179" s="207">
        <f>SUMIFS(LstMachines[Nbre],LstMachines[Model-Spec],PrévisionBoris[[#This Row],[Spec]],LstMachines[Status],PrévisionBoris[[#This Row],[Status]],LstMachines[MoisLivr],AS$1)</f>
        <v>0</v>
      </c>
      <c r="AT179" s="207">
        <f>SUMIFS(LstMachines[Nbre],LstMachines[Model-Spec],PrévisionBoris[[#This Row],[Spec]],LstMachines[Status],PrévisionBoris[[#This Row],[Status]],LstMachines[MoisLivr],AT$1)</f>
        <v>0</v>
      </c>
      <c r="AU179" s="206">
        <f>SUMIFS(LstMachines[Nbre],LstMachines[Model-Spec],PrévisionBoris[[#This Row],[Spec]],LstMachines[Status],PrévisionBoris[[#This Row],[Status]],LstMachines[MoisLivr],AU$1)</f>
        <v>0</v>
      </c>
      <c r="AV179" s="233">
        <f>SUMIFS(LstMachines[Nbre],LstMachines[Model-Spec],PrévisionBoris[[#This Row],[Spec]],LstMachines[Status],PrévisionBoris[[#This Row],[Status]],LstMachines[MoisLivr],AV$1)</f>
        <v>0</v>
      </c>
      <c r="AW179" s="208">
        <f>SUMIFS(LstMachines[Nbre],LstMachines[Model-Spec],PrévisionBoris[[#This Row],[Spec]],LstMachines[Status],PrévisionBoris[[#This Row],[Status]],LstMachines[MoisLivr],AW$1)</f>
        <v>0</v>
      </c>
      <c r="AX179" s="225"/>
      <c r="AY179" s="211">
        <f t="shared" si="35"/>
        <v>0</v>
      </c>
      <c r="AZ179" s="212">
        <f t="shared" si="36"/>
        <v>0</v>
      </c>
      <c r="BA179" s="212">
        <f t="shared" si="37"/>
        <v>0</v>
      </c>
      <c r="BB179" s="213">
        <f t="shared" si="38"/>
        <v>0</v>
      </c>
      <c r="BC179" s="225">
        <f t="shared" si="39"/>
        <v>0</v>
      </c>
      <c r="BD179" s="211">
        <f t="shared" si="40"/>
        <v>0</v>
      </c>
      <c r="BE179" s="212">
        <f t="shared" si="41"/>
        <v>0</v>
      </c>
      <c r="BF179" s="212">
        <f t="shared" si="42"/>
        <v>0</v>
      </c>
      <c r="BG179" s="213">
        <f t="shared" si="43"/>
        <v>0</v>
      </c>
      <c r="BH179" s="225">
        <f t="shared" si="44"/>
        <v>0</v>
      </c>
      <c r="BI179" s="214">
        <f t="shared" si="45"/>
        <v>0</v>
      </c>
      <c r="BJ179" s="215">
        <f t="shared" si="46"/>
        <v>0</v>
      </c>
      <c r="BK179" s="215">
        <f t="shared" si="47"/>
        <v>0</v>
      </c>
      <c r="BL179" s="216">
        <f t="shared" si="48"/>
        <v>0</v>
      </c>
      <c r="BM179" s="225">
        <f t="shared" si="49"/>
        <v>0</v>
      </c>
      <c r="BN179" s="225"/>
      <c r="BO179" s="234"/>
      <c r="BP179" s="218">
        <f t="shared" si="50"/>
        <v>0</v>
      </c>
    </row>
    <row r="180" spans="1:68">
      <c r="A180" s="170">
        <v>173</v>
      </c>
      <c r="B180" s="170" t="s">
        <v>75</v>
      </c>
      <c r="C180" s="200">
        <v>55</v>
      </c>
      <c r="D180" s="170" t="s">
        <v>83</v>
      </c>
      <c r="E180" s="170" t="s">
        <v>430</v>
      </c>
      <c r="F180" s="200">
        <f>VLOOKUP(PrévisionBoris[[#This Row],[Spec]],TabModelSpecs[[ModelSpec]:[Price]],2,FALSE)</f>
        <v>43</v>
      </c>
      <c r="G180" s="170" t="s">
        <v>462</v>
      </c>
      <c r="H180" s="219">
        <f>SUMIFS(LstMachines[Nbre],LstMachines[Model-Spec],PrévisionBoris[[#This Row],[Spec]],LstMachines[Status],PrévisionBoris[[#This Row],[Status]],LstMachines[MoisLivr],H$1)</f>
        <v>0</v>
      </c>
      <c r="I180" s="220">
        <f>SUMIFS(LstMachines[Nbre],LstMachines[Model-Spec],PrévisionBoris[[#This Row],[Spec]],LstMachines[Status],PrévisionBoris[[#This Row],[Status]],LstMachines[MoisLivr],I$1)</f>
        <v>0</v>
      </c>
      <c r="J180" s="221">
        <f>SUMIFS(LstMachines[Nbre],LstMachines[Model-Spec],PrévisionBoris[[#This Row],[Spec]],LstMachines[Status],PrévisionBoris[[#This Row],[Status]],LstMachines[MoisLivr],J$1)</f>
        <v>0</v>
      </c>
      <c r="K180" s="219">
        <f>SUMIFS(LstMachines[Nbre],LstMachines[Model-Spec],PrévisionBoris[[#This Row],[Spec]],LstMachines[Status],PrévisionBoris[[#This Row],[Status]],LstMachines[MoisLivr],K$1)</f>
        <v>0</v>
      </c>
      <c r="L180" s="220">
        <f>SUMIFS(LstMachines[Nbre],LstMachines[Model-Spec],PrévisionBoris[[#This Row],[Spec]],LstMachines[Status],PrévisionBoris[[#This Row],[Status]],LstMachines[MoisLivr],L$1)</f>
        <v>0</v>
      </c>
      <c r="M180" s="221">
        <f>SUMIFS(LstMachines[Nbre],LstMachines[Model-Spec],PrévisionBoris[[#This Row],[Spec]],LstMachines[Status],PrévisionBoris[[#This Row],[Status]],LstMachines[MoisLivr],M$1)</f>
        <v>0</v>
      </c>
      <c r="N180" s="219">
        <f>SUMIFS(LstMachines[Nbre],LstMachines[Model-Spec],PrévisionBoris[[#This Row],[Spec]],LstMachines[Status],PrévisionBoris[[#This Row],[Status]],LstMachines[MoisLivr],N$1)</f>
        <v>0</v>
      </c>
      <c r="O180" s="220">
        <f>SUMIFS(LstMachines[Nbre],LstMachines[Model-Spec],PrévisionBoris[[#This Row],[Spec]],LstMachines[Status],PrévisionBoris[[#This Row],[Status]],LstMachines[MoisLivr],O$1)</f>
        <v>0</v>
      </c>
      <c r="P180" s="221">
        <f>SUMIFS(LstMachines[Nbre],LstMachines[Model-Spec],PrévisionBoris[[#This Row],[Spec]],LstMachines[Status],PrévisionBoris[[#This Row],[Status]],LstMachines[MoisLivr],P$1)</f>
        <v>0</v>
      </c>
      <c r="Q180" s="222">
        <f>SUMIFS(LstMachines[Nbre],LstMachines[Model-Spec],PrévisionBoris[[#This Row],[Spec]],LstMachines[Status],PrévisionBoris[[#This Row],[Status]],LstMachines[MoisLivr],Q$1)</f>
        <v>0</v>
      </c>
      <c r="R180" s="220">
        <f>SUMIFS(LstMachines[Nbre],LstMachines[Model-Spec],PrévisionBoris[[#This Row],[Spec]],LstMachines[Status],PrévisionBoris[[#This Row],[Status]],LstMachines[MoisLivr],R$1)</f>
        <v>0</v>
      </c>
      <c r="S180" s="220">
        <f>SUMIFS(LstMachines[Nbre],LstMachines[Model-Spec],PrévisionBoris[[#This Row],[Spec]],LstMachines[Status],PrévisionBoris[[#This Row],[Status]],LstMachines[MoisLivr],S$1)</f>
        <v>0</v>
      </c>
      <c r="T180" s="219">
        <f>SUMIFS(LstMachines[Nbre],LstMachines[Model-Spec],PrévisionBoris[[#This Row],[Spec]],LstMachines[Status],PrévisionBoris[[#This Row],[Status]],LstMachines[MoisLivr],T$1)</f>
        <v>0</v>
      </c>
      <c r="U180" s="220">
        <f>SUMIFS(LstMachines[Nbre],LstMachines[Model-Spec],PrévisionBoris[[#This Row],[Spec]],LstMachines[Status],PrévisionBoris[[#This Row],[Status]],LstMachines[MoisLivr],U$1)</f>
        <v>0</v>
      </c>
      <c r="V180" s="220">
        <f>SUMIFS(LstMachines[Nbre],LstMachines[Model-Spec],PrévisionBoris[[#This Row],[Spec]],LstMachines[Status],PrévisionBoris[[#This Row],[Status]],LstMachines[MoisLivr],V$1)</f>
        <v>0</v>
      </c>
      <c r="W180" s="219">
        <f>SUMIFS(LstMachines[Nbre],LstMachines[Model-Spec],PrévisionBoris[[#This Row],[Spec]],LstMachines[Status],PrévisionBoris[[#This Row],[Status]],LstMachines[MoisLivr],W$1)</f>
        <v>0</v>
      </c>
      <c r="X180" s="220">
        <f>SUMIFS(LstMachines[Nbre],LstMachines[Model-Spec],PrévisionBoris[[#This Row],[Spec]],LstMachines[Status],PrévisionBoris[[#This Row],[Status]],LstMachines[MoisLivr],X$1)</f>
        <v>0</v>
      </c>
      <c r="Y180" s="220">
        <f>SUMIFS(LstMachines[Nbre],LstMachines[Model-Spec],PrévisionBoris[[#This Row],[Spec]],LstMachines[Status],PrévisionBoris[[#This Row],[Status]],LstMachines[MoisLivr],Y$1)</f>
        <v>0</v>
      </c>
      <c r="Z180" s="219">
        <f>SUMIFS(LstMachines[Nbre],LstMachines[Model-Spec],PrévisionBoris[[#This Row],[Spec]],LstMachines[Status],PrévisionBoris[[#This Row],[Status]],LstMachines[MoisLivr],Z$1)</f>
        <v>0</v>
      </c>
      <c r="AA180" s="220">
        <f>SUMIFS(LstMachines[Nbre],LstMachines[Model-Spec],PrévisionBoris[[#This Row],[Spec]],LstMachines[Status],PrévisionBoris[[#This Row],[Status]],LstMachines[MoisLivr],AA$1)</f>
        <v>0</v>
      </c>
      <c r="AB180" s="220">
        <f>SUMIFS(LstMachines[Nbre],LstMachines[Model-Spec],PrévisionBoris[[#This Row],[Spec]],LstMachines[Status],PrévisionBoris[[#This Row],[Status]],LstMachines[MoisLivr],AB$1)</f>
        <v>0</v>
      </c>
      <c r="AC180" s="219">
        <f>SUMIFS(LstMachines[Nbre],LstMachines[Model-Spec],PrévisionBoris[[#This Row],[Spec]],LstMachines[Status],PrévisionBoris[[#This Row],[Status]],LstMachines[MoisLivr],AC$1)</f>
        <v>0</v>
      </c>
      <c r="AD180" s="220">
        <f>SUMIFS(LstMachines[Nbre],LstMachines[Model-Spec],PrévisionBoris[[#This Row],[Spec]],LstMachines[Status],PrévisionBoris[[#This Row],[Status]],LstMachines[MoisLivr],AD$1)</f>
        <v>0</v>
      </c>
      <c r="AE180" s="220">
        <f>SUMIFS(LstMachines[Nbre],LstMachines[Model-Spec],PrévisionBoris[[#This Row],[Spec]],LstMachines[Status],PrévisionBoris[[#This Row],[Status]],LstMachines[MoisLivr],AE$1)</f>
        <v>0</v>
      </c>
      <c r="AF180" s="219">
        <f>SUMIFS(LstMachines[Nbre],LstMachines[Model-Spec],PrévisionBoris[[#This Row],[Spec]],LstMachines[Status],PrévisionBoris[[#This Row],[Status]],LstMachines[MoisLivr],AF$1)</f>
        <v>0</v>
      </c>
      <c r="AG180" s="220">
        <f>SUMIFS(LstMachines[Nbre],LstMachines[Model-Spec],PrévisionBoris[[#This Row],[Spec]],LstMachines[Status],PrévisionBoris[[#This Row],[Status]],LstMachines[MoisLivr],AG$1)</f>
        <v>0</v>
      </c>
      <c r="AH180" s="220">
        <f>SUMIFS(LstMachines[Nbre],LstMachines[Model-Spec],PrévisionBoris[[#This Row],[Spec]],LstMachines[Status],PrévisionBoris[[#This Row],[Status]],LstMachines[MoisLivr],AH$1)</f>
        <v>0</v>
      </c>
      <c r="AI180" s="219">
        <f>SUMIFS(LstMachines[Nbre],LstMachines[Model-Spec],PrévisionBoris[[#This Row],[Spec]],LstMachines[Status],PrévisionBoris[[#This Row],[Status]],LstMachines[MoisLivr],AI$1)</f>
        <v>0</v>
      </c>
      <c r="AJ180" s="220">
        <f>SUMIFS(LstMachines[Nbre],LstMachines[Model-Spec],PrévisionBoris[[#This Row],[Spec]],LstMachines[Status],PrévisionBoris[[#This Row],[Status]],LstMachines[MoisLivr],AJ$1)</f>
        <v>0</v>
      </c>
      <c r="AK180" s="220">
        <f>SUMIFS(LstMachines[Nbre],LstMachines[Model-Spec],PrévisionBoris[[#This Row],[Spec]],LstMachines[Status],PrévisionBoris[[#This Row],[Status]],LstMachines[MoisLivr],AK$1)</f>
        <v>0</v>
      </c>
      <c r="AL180" s="219">
        <f>SUMIFS(LstMachines[Nbre],LstMachines[Model-Spec],PrévisionBoris[[#This Row],[Spec]],LstMachines[Status],PrévisionBoris[[#This Row],[Status]],LstMachines[MoisLivr],AL$1)</f>
        <v>0</v>
      </c>
      <c r="AM180" s="220">
        <f>SUMIFS(LstMachines[Nbre],LstMachines[Model-Spec],PrévisionBoris[[#This Row],[Spec]],LstMachines[Status],PrévisionBoris[[#This Row],[Status]],LstMachines[MoisLivr],AM$1)</f>
        <v>0</v>
      </c>
      <c r="AN180" s="220">
        <f>SUMIFS(LstMachines[Nbre],LstMachines[Model-Spec],PrévisionBoris[[#This Row],[Spec]],LstMachines[Status],PrévisionBoris[[#This Row],[Status]],LstMachines[MoisLivr],AN$1)</f>
        <v>0</v>
      </c>
      <c r="AO180" s="219">
        <f>SUMIFS(LstMachines[Nbre],LstMachines[Model-Spec],PrévisionBoris[[#This Row],[Spec]],LstMachines[Status],PrévisionBoris[[#This Row],[Status]],LstMachines[MoisLivr],AO$1)</f>
        <v>0</v>
      </c>
      <c r="AP180" s="220">
        <f>SUMIFS(LstMachines[Nbre],LstMachines[Model-Spec],PrévisionBoris[[#This Row],[Spec]],LstMachines[Status],PrévisionBoris[[#This Row],[Status]],LstMachines[MoisLivr],AP$1)</f>
        <v>0</v>
      </c>
      <c r="AQ180" s="220">
        <f>SUMIFS(LstMachines[Nbre],LstMachines[Model-Spec],PrévisionBoris[[#This Row],[Spec]],LstMachines[Status],PrévisionBoris[[#This Row],[Status]],LstMachines[MoisLivr],AQ$1)</f>
        <v>0</v>
      </c>
      <c r="AR180" s="219">
        <f>SUMIFS(LstMachines[Nbre],LstMachines[Model-Spec],PrévisionBoris[[#This Row],[Spec]],LstMachines[Status],PrévisionBoris[[#This Row],[Status]],LstMachines[MoisLivr],AR$1)</f>
        <v>0</v>
      </c>
      <c r="AS180" s="220">
        <f>SUMIFS(LstMachines[Nbre],LstMachines[Model-Spec],PrévisionBoris[[#This Row],[Spec]],LstMachines[Status],PrévisionBoris[[#This Row],[Status]],LstMachines[MoisLivr],AS$1)</f>
        <v>0</v>
      </c>
      <c r="AT180" s="220">
        <f>SUMIFS(LstMachines[Nbre],LstMachines[Model-Spec],PrévisionBoris[[#This Row],[Spec]],LstMachines[Status],PrévisionBoris[[#This Row],[Status]],LstMachines[MoisLivr],AT$1)</f>
        <v>0</v>
      </c>
      <c r="AU180" s="219">
        <f>SUMIFS(LstMachines[Nbre],LstMachines[Model-Spec],PrévisionBoris[[#This Row],[Spec]],LstMachines[Status],PrévisionBoris[[#This Row],[Status]],LstMachines[MoisLivr],AU$1)</f>
        <v>0</v>
      </c>
      <c r="AV180" s="223">
        <f>SUMIFS(LstMachines[Nbre],LstMachines[Model-Spec],PrévisionBoris[[#This Row],[Spec]],LstMachines[Status],PrévisionBoris[[#This Row],[Status]],LstMachines[MoisLivr],AV$1)</f>
        <v>0</v>
      </c>
      <c r="AW180" s="224">
        <f>SUMIFS(LstMachines[Nbre],LstMachines[Model-Spec],PrévisionBoris[[#This Row],[Spec]],LstMachines[Status],PrévisionBoris[[#This Row],[Status]],LstMachines[MoisLivr],AW$1)</f>
        <v>0</v>
      </c>
      <c r="AX180" s="210"/>
      <c r="AY180" s="211">
        <f t="shared" si="35"/>
        <v>0</v>
      </c>
      <c r="AZ180" s="212">
        <f t="shared" si="36"/>
        <v>0</v>
      </c>
      <c r="BA180" s="212">
        <f t="shared" si="37"/>
        <v>0</v>
      </c>
      <c r="BB180" s="213">
        <f t="shared" si="38"/>
        <v>0</v>
      </c>
      <c r="BC180" s="225">
        <f t="shared" si="39"/>
        <v>0</v>
      </c>
      <c r="BD180" s="211">
        <f t="shared" si="40"/>
        <v>0</v>
      </c>
      <c r="BE180" s="212">
        <f t="shared" si="41"/>
        <v>0</v>
      </c>
      <c r="BF180" s="212">
        <f t="shared" si="42"/>
        <v>0</v>
      </c>
      <c r="BG180" s="213">
        <f t="shared" si="43"/>
        <v>0</v>
      </c>
      <c r="BH180" s="225">
        <f t="shared" si="44"/>
        <v>0</v>
      </c>
      <c r="BI180" s="214">
        <f t="shared" si="45"/>
        <v>0</v>
      </c>
      <c r="BJ180" s="215">
        <f t="shared" si="46"/>
        <v>0</v>
      </c>
      <c r="BK180" s="215">
        <f t="shared" si="47"/>
        <v>0</v>
      </c>
      <c r="BL180" s="216">
        <f t="shared" si="48"/>
        <v>0</v>
      </c>
      <c r="BM180" s="225">
        <f t="shared" si="49"/>
        <v>0</v>
      </c>
      <c r="BN180" s="225"/>
      <c r="BO180" s="217"/>
      <c r="BP180" s="218">
        <f t="shared" si="50"/>
        <v>0</v>
      </c>
    </row>
    <row r="181" spans="1:68">
      <c r="A181" s="171">
        <v>174</v>
      </c>
      <c r="B181" s="171" t="s">
        <v>75</v>
      </c>
      <c r="C181" s="201">
        <v>55</v>
      </c>
      <c r="D181" s="171" t="s">
        <v>83</v>
      </c>
      <c r="E181" s="171" t="s">
        <v>430</v>
      </c>
      <c r="F181" s="201">
        <f>VLOOKUP(PrévisionBoris[[#This Row],[Spec]],TabModelSpecs[[ModelSpec]:[Price]],2,FALSE)</f>
        <v>43</v>
      </c>
      <c r="G181" s="171" t="s">
        <v>463</v>
      </c>
      <c r="H181" s="226">
        <f>SUMIFS(LstMachines[Nbre],LstMachines[Model-Spec],PrévisionBoris[[#This Row],[Spec]],LstMachines[Status],PrévisionBoris[[#This Row],[Status]],LstMachines[MoisLivr],H$1)</f>
        <v>0</v>
      </c>
      <c r="I181" s="227">
        <f>SUMIFS(LstMachines[Nbre],LstMachines[Model-Spec],PrévisionBoris[[#This Row],[Spec]],LstMachines[Status],PrévisionBoris[[#This Row],[Status]],LstMachines[MoisLivr],I$1)</f>
        <v>0</v>
      </c>
      <c r="J181" s="228">
        <f>SUMIFS(LstMachines[Nbre],LstMachines[Model-Spec],PrévisionBoris[[#This Row],[Spec]],LstMachines[Status],PrévisionBoris[[#This Row],[Status]],LstMachines[MoisLivr],J$1)</f>
        <v>0</v>
      </c>
      <c r="K181" s="226">
        <f>SUMIFS(LstMachines[Nbre],LstMachines[Model-Spec],PrévisionBoris[[#This Row],[Spec]],LstMachines[Status],PrévisionBoris[[#This Row],[Status]],LstMachines[MoisLivr],K$1)</f>
        <v>0</v>
      </c>
      <c r="L181" s="227">
        <f>SUMIFS(LstMachines[Nbre],LstMachines[Model-Spec],PrévisionBoris[[#This Row],[Spec]],LstMachines[Status],PrévisionBoris[[#This Row],[Status]],LstMachines[MoisLivr],L$1)</f>
        <v>0</v>
      </c>
      <c r="M181" s="228">
        <f>SUMIFS(LstMachines[Nbre],LstMachines[Model-Spec],PrévisionBoris[[#This Row],[Spec]],LstMachines[Status],PrévisionBoris[[#This Row],[Status]],LstMachines[MoisLivr],M$1)</f>
        <v>0</v>
      </c>
      <c r="N181" s="226">
        <f>SUMIFS(LstMachines[Nbre],LstMachines[Model-Spec],PrévisionBoris[[#This Row],[Spec]],LstMachines[Status],PrévisionBoris[[#This Row],[Status]],LstMachines[MoisLivr],N$1)</f>
        <v>0</v>
      </c>
      <c r="O181" s="227">
        <f>SUMIFS(LstMachines[Nbre],LstMachines[Model-Spec],PrévisionBoris[[#This Row],[Spec]],LstMachines[Status],PrévisionBoris[[#This Row],[Status]],LstMachines[MoisLivr],O$1)</f>
        <v>0</v>
      </c>
      <c r="P181" s="228">
        <f>SUMIFS(LstMachines[Nbre],LstMachines[Model-Spec],PrévisionBoris[[#This Row],[Spec]],LstMachines[Status],PrévisionBoris[[#This Row],[Status]],LstMachines[MoisLivr],P$1)</f>
        <v>0</v>
      </c>
      <c r="Q181" s="229">
        <f>SUMIFS(LstMachines[Nbre],LstMachines[Model-Spec],PrévisionBoris[[#This Row],[Spec]],LstMachines[Status],PrévisionBoris[[#This Row],[Status]],LstMachines[MoisLivr],Q$1)</f>
        <v>0</v>
      </c>
      <c r="R181" s="227">
        <f>SUMIFS(LstMachines[Nbre],LstMachines[Model-Spec],PrévisionBoris[[#This Row],[Spec]],LstMachines[Status],PrévisionBoris[[#This Row],[Status]],LstMachines[MoisLivr],R$1)</f>
        <v>0</v>
      </c>
      <c r="S181" s="227">
        <f>SUMIFS(LstMachines[Nbre],LstMachines[Model-Spec],PrévisionBoris[[#This Row],[Spec]],LstMachines[Status],PrévisionBoris[[#This Row],[Status]],LstMachines[MoisLivr],S$1)</f>
        <v>0</v>
      </c>
      <c r="T181" s="226">
        <f>SUMIFS(LstMachines[Nbre],LstMachines[Model-Spec],PrévisionBoris[[#This Row],[Spec]],LstMachines[Status],PrévisionBoris[[#This Row],[Status]],LstMachines[MoisLivr],T$1)</f>
        <v>0</v>
      </c>
      <c r="U181" s="227">
        <f>SUMIFS(LstMachines[Nbre],LstMachines[Model-Spec],PrévisionBoris[[#This Row],[Spec]],LstMachines[Status],PrévisionBoris[[#This Row],[Status]],LstMachines[MoisLivr],U$1)</f>
        <v>0</v>
      </c>
      <c r="V181" s="227">
        <f>SUMIFS(LstMachines[Nbre],LstMachines[Model-Spec],PrévisionBoris[[#This Row],[Spec]],LstMachines[Status],PrévisionBoris[[#This Row],[Status]],LstMachines[MoisLivr],V$1)</f>
        <v>0</v>
      </c>
      <c r="W181" s="226">
        <f>SUMIFS(LstMachines[Nbre],LstMachines[Model-Spec],PrévisionBoris[[#This Row],[Spec]],LstMachines[Status],PrévisionBoris[[#This Row],[Status]],LstMachines[MoisLivr],W$1)</f>
        <v>0</v>
      </c>
      <c r="X181" s="227">
        <f>SUMIFS(LstMachines[Nbre],LstMachines[Model-Spec],PrévisionBoris[[#This Row],[Spec]],LstMachines[Status],PrévisionBoris[[#This Row],[Status]],LstMachines[MoisLivr],X$1)</f>
        <v>0</v>
      </c>
      <c r="Y181" s="227">
        <f>SUMIFS(LstMachines[Nbre],LstMachines[Model-Spec],PrévisionBoris[[#This Row],[Spec]],LstMachines[Status],PrévisionBoris[[#This Row],[Status]],LstMachines[MoisLivr],Y$1)</f>
        <v>0</v>
      </c>
      <c r="Z181" s="226">
        <f>SUMIFS(LstMachines[Nbre],LstMachines[Model-Spec],PrévisionBoris[[#This Row],[Spec]],LstMachines[Status],PrévisionBoris[[#This Row],[Status]],LstMachines[MoisLivr],Z$1)</f>
        <v>0</v>
      </c>
      <c r="AA181" s="227">
        <f>SUMIFS(LstMachines[Nbre],LstMachines[Model-Spec],PrévisionBoris[[#This Row],[Spec]],LstMachines[Status],PrévisionBoris[[#This Row],[Status]],LstMachines[MoisLivr],AA$1)</f>
        <v>0</v>
      </c>
      <c r="AB181" s="227">
        <f>SUMIFS(LstMachines[Nbre],LstMachines[Model-Spec],PrévisionBoris[[#This Row],[Spec]],LstMachines[Status],PrévisionBoris[[#This Row],[Status]],LstMachines[MoisLivr],AB$1)</f>
        <v>0</v>
      </c>
      <c r="AC181" s="226">
        <f>SUMIFS(LstMachines[Nbre],LstMachines[Model-Spec],PrévisionBoris[[#This Row],[Spec]],LstMachines[Status],PrévisionBoris[[#This Row],[Status]],LstMachines[MoisLivr],AC$1)</f>
        <v>0</v>
      </c>
      <c r="AD181" s="227">
        <f>SUMIFS(LstMachines[Nbre],LstMachines[Model-Spec],PrévisionBoris[[#This Row],[Spec]],LstMachines[Status],PrévisionBoris[[#This Row],[Status]],LstMachines[MoisLivr],AD$1)</f>
        <v>0</v>
      </c>
      <c r="AE181" s="227">
        <f>SUMIFS(LstMachines[Nbre],LstMachines[Model-Spec],PrévisionBoris[[#This Row],[Spec]],LstMachines[Status],PrévisionBoris[[#This Row],[Status]],LstMachines[MoisLivr],AE$1)</f>
        <v>0</v>
      </c>
      <c r="AF181" s="226">
        <f>SUMIFS(LstMachines[Nbre],LstMachines[Model-Spec],PrévisionBoris[[#This Row],[Spec]],LstMachines[Status],PrévisionBoris[[#This Row],[Status]],LstMachines[MoisLivr],AF$1)</f>
        <v>0</v>
      </c>
      <c r="AG181" s="227">
        <f>SUMIFS(LstMachines[Nbre],LstMachines[Model-Spec],PrévisionBoris[[#This Row],[Spec]],LstMachines[Status],PrévisionBoris[[#This Row],[Status]],LstMachines[MoisLivr],AG$1)</f>
        <v>0</v>
      </c>
      <c r="AH181" s="227">
        <f>SUMIFS(LstMachines[Nbre],LstMachines[Model-Spec],PrévisionBoris[[#This Row],[Spec]],LstMachines[Status],PrévisionBoris[[#This Row],[Status]],LstMachines[MoisLivr],AH$1)</f>
        <v>0</v>
      </c>
      <c r="AI181" s="226">
        <f>SUMIFS(LstMachines[Nbre],LstMachines[Model-Spec],PrévisionBoris[[#This Row],[Spec]],LstMachines[Status],PrévisionBoris[[#This Row],[Status]],LstMachines[MoisLivr],AI$1)</f>
        <v>0</v>
      </c>
      <c r="AJ181" s="227">
        <f>SUMIFS(LstMachines[Nbre],LstMachines[Model-Spec],PrévisionBoris[[#This Row],[Spec]],LstMachines[Status],PrévisionBoris[[#This Row],[Status]],LstMachines[MoisLivr],AJ$1)</f>
        <v>0</v>
      </c>
      <c r="AK181" s="227">
        <f>SUMIFS(LstMachines[Nbre],LstMachines[Model-Spec],PrévisionBoris[[#This Row],[Spec]],LstMachines[Status],PrévisionBoris[[#This Row],[Status]],LstMachines[MoisLivr],AK$1)</f>
        <v>0</v>
      </c>
      <c r="AL181" s="226">
        <f>SUMIFS(LstMachines[Nbre],LstMachines[Model-Spec],PrévisionBoris[[#This Row],[Spec]],LstMachines[Status],PrévisionBoris[[#This Row],[Status]],LstMachines[MoisLivr],AL$1)</f>
        <v>0</v>
      </c>
      <c r="AM181" s="227">
        <f>SUMIFS(LstMachines[Nbre],LstMachines[Model-Spec],PrévisionBoris[[#This Row],[Spec]],LstMachines[Status],PrévisionBoris[[#This Row],[Status]],LstMachines[MoisLivr],AM$1)</f>
        <v>0</v>
      </c>
      <c r="AN181" s="227">
        <f>SUMIFS(LstMachines[Nbre],LstMachines[Model-Spec],PrévisionBoris[[#This Row],[Spec]],LstMachines[Status],PrévisionBoris[[#This Row],[Status]],LstMachines[MoisLivr],AN$1)</f>
        <v>0</v>
      </c>
      <c r="AO181" s="226">
        <f>SUMIFS(LstMachines[Nbre],LstMachines[Model-Spec],PrévisionBoris[[#This Row],[Spec]],LstMachines[Status],PrévisionBoris[[#This Row],[Status]],LstMachines[MoisLivr],AO$1)</f>
        <v>0</v>
      </c>
      <c r="AP181" s="227">
        <f>SUMIFS(LstMachines[Nbre],LstMachines[Model-Spec],PrévisionBoris[[#This Row],[Spec]],LstMachines[Status],PrévisionBoris[[#This Row],[Status]],LstMachines[MoisLivr],AP$1)</f>
        <v>0</v>
      </c>
      <c r="AQ181" s="227">
        <f>SUMIFS(LstMachines[Nbre],LstMachines[Model-Spec],PrévisionBoris[[#This Row],[Spec]],LstMachines[Status],PrévisionBoris[[#This Row],[Status]],LstMachines[MoisLivr],AQ$1)</f>
        <v>0</v>
      </c>
      <c r="AR181" s="226">
        <f>SUMIFS(LstMachines[Nbre],LstMachines[Model-Spec],PrévisionBoris[[#This Row],[Spec]],LstMachines[Status],PrévisionBoris[[#This Row],[Status]],LstMachines[MoisLivr],AR$1)</f>
        <v>0</v>
      </c>
      <c r="AS181" s="227">
        <f>SUMIFS(LstMachines[Nbre],LstMachines[Model-Spec],PrévisionBoris[[#This Row],[Spec]],LstMachines[Status],PrévisionBoris[[#This Row],[Status]],LstMachines[MoisLivr],AS$1)</f>
        <v>0</v>
      </c>
      <c r="AT181" s="227">
        <f>SUMIFS(LstMachines[Nbre],LstMachines[Model-Spec],PrévisionBoris[[#This Row],[Spec]],LstMachines[Status],PrévisionBoris[[#This Row],[Status]],LstMachines[MoisLivr],AT$1)</f>
        <v>0</v>
      </c>
      <c r="AU181" s="226">
        <f>SUMIFS(LstMachines[Nbre],LstMachines[Model-Spec],PrévisionBoris[[#This Row],[Spec]],LstMachines[Status],PrévisionBoris[[#This Row],[Status]],LstMachines[MoisLivr],AU$1)</f>
        <v>0</v>
      </c>
      <c r="AV181" s="230">
        <f>SUMIFS(LstMachines[Nbre],LstMachines[Model-Spec],PrévisionBoris[[#This Row],[Spec]],LstMachines[Status],PrévisionBoris[[#This Row],[Status]],LstMachines[MoisLivr],AV$1)</f>
        <v>0</v>
      </c>
      <c r="AW181" s="231">
        <f>SUMIFS(LstMachines[Nbre],LstMachines[Model-Spec],PrévisionBoris[[#This Row],[Spec]],LstMachines[Status],PrévisionBoris[[#This Row],[Status]],LstMachines[MoisLivr],AW$1)</f>
        <v>0</v>
      </c>
      <c r="AX181" s="232"/>
      <c r="AY181" s="211">
        <f t="shared" si="35"/>
        <v>0</v>
      </c>
      <c r="AZ181" s="212">
        <f t="shared" si="36"/>
        <v>0</v>
      </c>
      <c r="BA181" s="212">
        <f t="shared" si="37"/>
        <v>0</v>
      </c>
      <c r="BB181" s="213">
        <f t="shared" si="38"/>
        <v>0</v>
      </c>
      <c r="BC181" s="225">
        <f t="shared" si="39"/>
        <v>0</v>
      </c>
      <c r="BD181" s="211">
        <f t="shared" si="40"/>
        <v>0</v>
      </c>
      <c r="BE181" s="212">
        <f t="shared" si="41"/>
        <v>0</v>
      </c>
      <c r="BF181" s="212">
        <f t="shared" si="42"/>
        <v>0</v>
      </c>
      <c r="BG181" s="213">
        <f t="shared" si="43"/>
        <v>0</v>
      </c>
      <c r="BH181" s="225">
        <f t="shared" si="44"/>
        <v>0</v>
      </c>
      <c r="BI181" s="214">
        <f t="shared" si="45"/>
        <v>0</v>
      </c>
      <c r="BJ181" s="215">
        <f t="shared" si="46"/>
        <v>0</v>
      </c>
      <c r="BK181" s="215">
        <f t="shared" si="47"/>
        <v>0</v>
      </c>
      <c r="BL181" s="216">
        <f t="shared" si="48"/>
        <v>0</v>
      </c>
      <c r="BM181" s="225">
        <f t="shared" si="49"/>
        <v>0</v>
      </c>
      <c r="BN181" s="225"/>
      <c r="BO181" s="217"/>
      <c r="BP181" s="218">
        <f t="shared" si="50"/>
        <v>0</v>
      </c>
    </row>
    <row r="182" spans="1:68">
      <c r="A182" s="172">
        <v>175</v>
      </c>
      <c r="B182" s="172" t="s">
        <v>75</v>
      </c>
      <c r="C182" s="202">
        <v>55</v>
      </c>
      <c r="D182" s="172" t="s">
        <v>83</v>
      </c>
      <c r="E182" s="172" t="s">
        <v>431</v>
      </c>
      <c r="F182" s="202">
        <f>VLOOKUP(PrévisionBoris[[#This Row],[Spec]],TabModelSpecs[[ModelSpec]:[Price]],2,FALSE)</f>
        <v>43</v>
      </c>
      <c r="G182" s="172" t="s">
        <v>461</v>
      </c>
      <c r="H182" s="206">
        <f>SUMIFS(LstMachines[Nbre],LstMachines[Model-Spec],PrévisionBoris[[#This Row],[Spec]],LstMachines[Status],PrévisionBoris[[#This Row],[Status]],LstMachines[MoisLivr],H$1)</f>
        <v>0</v>
      </c>
      <c r="I182" s="207">
        <f>SUMIFS(LstMachines[Nbre],LstMachines[Model-Spec],PrévisionBoris[[#This Row],[Spec]],LstMachines[Status],PrévisionBoris[[#This Row],[Status]],LstMachines[MoisLivr],I$1)</f>
        <v>0</v>
      </c>
      <c r="J182" s="208">
        <f>SUMIFS(LstMachines[Nbre],LstMachines[Model-Spec],PrévisionBoris[[#This Row],[Spec]],LstMachines[Status],PrévisionBoris[[#This Row],[Status]],LstMachines[MoisLivr],J$1)</f>
        <v>0</v>
      </c>
      <c r="K182" s="206">
        <f>SUMIFS(LstMachines[Nbre],LstMachines[Model-Spec],PrévisionBoris[[#This Row],[Spec]],LstMachines[Status],PrévisionBoris[[#This Row],[Status]],LstMachines[MoisLivr],K$1)</f>
        <v>0</v>
      </c>
      <c r="L182" s="207">
        <f>SUMIFS(LstMachines[Nbre],LstMachines[Model-Spec],PrévisionBoris[[#This Row],[Spec]],LstMachines[Status],PrévisionBoris[[#This Row],[Status]],LstMachines[MoisLivr],L$1)</f>
        <v>0</v>
      </c>
      <c r="M182" s="208">
        <f>SUMIFS(LstMachines[Nbre],LstMachines[Model-Spec],PrévisionBoris[[#This Row],[Spec]],LstMachines[Status],PrévisionBoris[[#This Row],[Status]],LstMachines[MoisLivr],M$1)</f>
        <v>0</v>
      </c>
      <c r="N182" s="206">
        <f>SUMIFS(LstMachines[Nbre],LstMachines[Model-Spec],PrévisionBoris[[#This Row],[Spec]],LstMachines[Status],PrévisionBoris[[#This Row],[Status]],LstMachines[MoisLivr],N$1)</f>
        <v>0</v>
      </c>
      <c r="O182" s="207">
        <f>SUMIFS(LstMachines[Nbre],LstMachines[Model-Spec],PrévisionBoris[[#This Row],[Spec]],LstMachines[Status],PrévisionBoris[[#This Row],[Status]],LstMachines[MoisLivr],O$1)</f>
        <v>0</v>
      </c>
      <c r="P182" s="208">
        <f>SUMIFS(LstMachines[Nbre],LstMachines[Model-Spec],PrévisionBoris[[#This Row],[Spec]],LstMachines[Status],PrévisionBoris[[#This Row],[Status]],LstMachines[MoisLivr],P$1)</f>
        <v>0</v>
      </c>
      <c r="Q182" s="209">
        <f>SUMIFS(LstMachines[Nbre],LstMachines[Model-Spec],PrévisionBoris[[#This Row],[Spec]],LstMachines[Status],PrévisionBoris[[#This Row],[Status]],LstMachines[MoisLivr],Q$1)</f>
        <v>0</v>
      </c>
      <c r="R182" s="207">
        <f>SUMIFS(LstMachines[Nbre],LstMachines[Model-Spec],PrévisionBoris[[#This Row],[Spec]],LstMachines[Status],PrévisionBoris[[#This Row],[Status]],LstMachines[MoisLivr],R$1)</f>
        <v>0</v>
      </c>
      <c r="S182" s="207">
        <f>SUMIFS(LstMachines[Nbre],LstMachines[Model-Spec],PrévisionBoris[[#This Row],[Spec]],LstMachines[Status],PrévisionBoris[[#This Row],[Status]],LstMachines[MoisLivr],S$1)</f>
        <v>0</v>
      </c>
      <c r="T182" s="206">
        <f>SUMIFS(LstMachines[Nbre],LstMachines[Model-Spec],PrévisionBoris[[#This Row],[Spec]],LstMachines[Status],PrévisionBoris[[#This Row],[Status]],LstMachines[MoisLivr],T$1)</f>
        <v>0</v>
      </c>
      <c r="U182" s="207">
        <f>SUMIFS(LstMachines[Nbre],LstMachines[Model-Spec],PrévisionBoris[[#This Row],[Spec]],LstMachines[Status],PrévisionBoris[[#This Row],[Status]],LstMachines[MoisLivr],U$1)</f>
        <v>0</v>
      </c>
      <c r="V182" s="207">
        <f>SUMIFS(LstMachines[Nbre],LstMachines[Model-Spec],PrévisionBoris[[#This Row],[Spec]],LstMachines[Status],PrévisionBoris[[#This Row],[Status]],LstMachines[MoisLivr],V$1)</f>
        <v>0</v>
      </c>
      <c r="W182" s="206">
        <f>SUMIFS(LstMachines[Nbre],LstMachines[Model-Spec],PrévisionBoris[[#This Row],[Spec]],LstMachines[Status],PrévisionBoris[[#This Row],[Status]],LstMachines[MoisLivr],W$1)</f>
        <v>0</v>
      </c>
      <c r="X182" s="207">
        <f>SUMIFS(LstMachines[Nbre],LstMachines[Model-Spec],PrévisionBoris[[#This Row],[Spec]],LstMachines[Status],PrévisionBoris[[#This Row],[Status]],LstMachines[MoisLivr],X$1)</f>
        <v>0</v>
      </c>
      <c r="Y182" s="207">
        <f>SUMIFS(LstMachines[Nbre],LstMachines[Model-Spec],PrévisionBoris[[#This Row],[Spec]],LstMachines[Status],PrévisionBoris[[#This Row],[Status]],LstMachines[MoisLivr],Y$1)</f>
        <v>0</v>
      </c>
      <c r="Z182" s="206">
        <f>SUMIFS(LstMachines[Nbre],LstMachines[Model-Spec],PrévisionBoris[[#This Row],[Spec]],LstMachines[Status],PrévisionBoris[[#This Row],[Status]],LstMachines[MoisLivr],Z$1)</f>
        <v>0</v>
      </c>
      <c r="AA182" s="207">
        <f>SUMIFS(LstMachines[Nbre],LstMachines[Model-Spec],PrévisionBoris[[#This Row],[Spec]],LstMachines[Status],PrévisionBoris[[#This Row],[Status]],LstMachines[MoisLivr],AA$1)</f>
        <v>0</v>
      </c>
      <c r="AB182" s="207">
        <f>SUMIFS(LstMachines[Nbre],LstMachines[Model-Spec],PrévisionBoris[[#This Row],[Spec]],LstMachines[Status],PrévisionBoris[[#This Row],[Status]],LstMachines[MoisLivr],AB$1)</f>
        <v>0</v>
      </c>
      <c r="AC182" s="206">
        <f>SUMIFS(LstMachines[Nbre],LstMachines[Model-Spec],PrévisionBoris[[#This Row],[Spec]],LstMachines[Status],PrévisionBoris[[#This Row],[Status]],LstMachines[MoisLivr],AC$1)</f>
        <v>0</v>
      </c>
      <c r="AD182" s="207">
        <f>SUMIFS(LstMachines[Nbre],LstMachines[Model-Spec],PrévisionBoris[[#This Row],[Spec]],LstMachines[Status],PrévisionBoris[[#This Row],[Status]],LstMachines[MoisLivr],AD$1)</f>
        <v>0</v>
      </c>
      <c r="AE182" s="207">
        <f>SUMIFS(LstMachines[Nbre],LstMachines[Model-Spec],PrévisionBoris[[#This Row],[Spec]],LstMachines[Status],PrévisionBoris[[#This Row],[Status]],LstMachines[MoisLivr],AE$1)</f>
        <v>0</v>
      </c>
      <c r="AF182" s="206">
        <f>SUMIFS(LstMachines[Nbre],LstMachines[Model-Spec],PrévisionBoris[[#This Row],[Spec]],LstMachines[Status],PrévisionBoris[[#This Row],[Status]],LstMachines[MoisLivr],AF$1)</f>
        <v>0</v>
      </c>
      <c r="AG182" s="207">
        <f>SUMIFS(LstMachines[Nbre],LstMachines[Model-Spec],PrévisionBoris[[#This Row],[Spec]],LstMachines[Status],PrévisionBoris[[#This Row],[Status]],LstMachines[MoisLivr],AG$1)</f>
        <v>0</v>
      </c>
      <c r="AH182" s="207">
        <f>SUMIFS(LstMachines[Nbre],LstMachines[Model-Spec],PrévisionBoris[[#This Row],[Spec]],LstMachines[Status],PrévisionBoris[[#This Row],[Status]],LstMachines[MoisLivr],AH$1)</f>
        <v>0</v>
      </c>
      <c r="AI182" s="206">
        <f>SUMIFS(LstMachines[Nbre],LstMachines[Model-Spec],PrévisionBoris[[#This Row],[Spec]],LstMachines[Status],PrévisionBoris[[#This Row],[Status]],LstMachines[MoisLivr],AI$1)</f>
        <v>0</v>
      </c>
      <c r="AJ182" s="207">
        <f>SUMIFS(LstMachines[Nbre],LstMachines[Model-Spec],PrévisionBoris[[#This Row],[Spec]],LstMachines[Status],PrévisionBoris[[#This Row],[Status]],LstMachines[MoisLivr],AJ$1)</f>
        <v>0</v>
      </c>
      <c r="AK182" s="207">
        <f>SUMIFS(LstMachines[Nbre],LstMachines[Model-Spec],PrévisionBoris[[#This Row],[Spec]],LstMachines[Status],PrévisionBoris[[#This Row],[Status]],LstMachines[MoisLivr],AK$1)</f>
        <v>0</v>
      </c>
      <c r="AL182" s="206">
        <f>SUMIFS(LstMachines[Nbre],LstMachines[Model-Spec],PrévisionBoris[[#This Row],[Spec]],LstMachines[Status],PrévisionBoris[[#This Row],[Status]],LstMachines[MoisLivr],AL$1)</f>
        <v>0</v>
      </c>
      <c r="AM182" s="207">
        <f>SUMIFS(LstMachines[Nbre],LstMachines[Model-Spec],PrévisionBoris[[#This Row],[Spec]],LstMachines[Status],PrévisionBoris[[#This Row],[Status]],LstMachines[MoisLivr],AM$1)</f>
        <v>0</v>
      </c>
      <c r="AN182" s="207">
        <f>SUMIFS(LstMachines[Nbre],LstMachines[Model-Spec],PrévisionBoris[[#This Row],[Spec]],LstMachines[Status],PrévisionBoris[[#This Row],[Status]],LstMachines[MoisLivr],AN$1)</f>
        <v>0</v>
      </c>
      <c r="AO182" s="206">
        <f>SUMIFS(LstMachines[Nbre],LstMachines[Model-Spec],PrévisionBoris[[#This Row],[Spec]],LstMachines[Status],PrévisionBoris[[#This Row],[Status]],LstMachines[MoisLivr],AO$1)</f>
        <v>0</v>
      </c>
      <c r="AP182" s="207">
        <f>SUMIFS(LstMachines[Nbre],LstMachines[Model-Spec],PrévisionBoris[[#This Row],[Spec]],LstMachines[Status],PrévisionBoris[[#This Row],[Status]],LstMachines[MoisLivr],AP$1)</f>
        <v>0</v>
      </c>
      <c r="AQ182" s="207">
        <f>SUMIFS(LstMachines[Nbre],LstMachines[Model-Spec],PrévisionBoris[[#This Row],[Spec]],LstMachines[Status],PrévisionBoris[[#This Row],[Status]],LstMachines[MoisLivr],AQ$1)</f>
        <v>0</v>
      </c>
      <c r="AR182" s="206">
        <f>SUMIFS(LstMachines[Nbre],LstMachines[Model-Spec],PrévisionBoris[[#This Row],[Spec]],LstMachines[Status],PrévisionBoris[[#This Row],[Status]],LstMachines[MoisLivr],AR$1)</f>
        <v>0</v>
      </c>
      <c r="AS182" s="207">
        <f>SUMIFS(LstMachines[Nbre],LstMachines[Model-Spec],PrévisionBoris[[#This Row],[Spec]],LstMachines[Status],PrévisionBoris[[#This Row],[Status]],LstMachines[MoisLivr],AS$1)</f>
        <v>0</v>
      </c>
      <c r="AT182" s="207">
        <f>SUMIFS(LstMachines[Nbre],LstMachines[Model-Spec],PrévisionBoris[[#This Row],[Spec]],LstMachines[Status],PrévisionBoris[[#This Row],[Status]],LstMachines[MoisLivr],AT$1)</f>
        <v>0</v>
      </c>
      <c r="AU182" s="206">
        <f>SUMIFS(LstMachines[Nbre],LstMachines[Model-Spec],PrévisionBoris[[#This Row],[Spec]],LstMachines[Status],PrévisionBoris[[#This Row],[Status]],LstMachines[MoisLivr],AU$1)</f>
        <v>0</v>
      </c>
      <c r="AV182" s="233">
        <f>SUMIFS(LstMachines[Nbre],LstMachines[Model-Spec],PrévisionBoris[[#This Row],[Spec]],LstMachines[Status],PrévisionBoris[[#This Row],[Status]],LstMachines[MoisLivr],AV$1)</f>
        <v>0</v>
      </c>
      <c r="AW182" s="208">
        <f>SUMIFS(LstMachines[Nbre],LstMachines[Model-Spec],PrévisionBoris[[#This Row],[Spec]],LstMachines[Status],PrévisionBoris[[#This Row],[Status]],LstMachines[MoisLivr],AW$1)</f>
        <v>0</v>
      </c>
      <c r="AX182" s="225"/>
      <c r="AY182" s="211">
        <f t="shared" si="35"/>
        <v>0</v>
      </c>
      <c r="AZ182" s="212">
        <f t="shared" si="36"/>
        <v>0</v>
      </c>
      <c r="BA182" s="212">
        <f t="shared" si="37"/>
        <v>0</v>
      </c>
      <c r="BB182" s="213">
        <f t="shared" si="38"/>
        <v>0</v>
      </c>
      <c r="BC182" s="225">
        <f t="shared" si="39"/>
        <v>0</v>
      </c>
      <c r="BD182" s="211">
        <f t="shared" si="40"/>
        <v>0</v>
      </c>
      <c r="BE182" s="212">
        <f t="shared" si="41"/>
        <v>0</v>
      </c>
      <c r="BF182" s="212">
        <f t="shared" si="42"/>
        <v>0</v>
      </c>
      <c r="BG182" s="213">
        <f t="shared" si="43"/>
        <v>0</v>
      </c>
      <c r="BH182" s="225">
        <f t="shared" si="44"/>
        <v>0</v>
      </c>
      <c r="BI182" s="214">
        <f t="shared" si="45"/>
        <v>0</v>
      </c>
      <c r="BJ182" s="215">
        <f t="shared" si="46"/>
        <v>0</v>
      </c>
      <c r="BK182" s="215">
        <f t="shared" si="47"/>
        <v>0</v>
      </c>
      <c r="BL182" s="216">
        <f t="shared" si="48"/>
        <v>0</v>
      </c>
      <c r="BM182" s="225">
        <f t="shared" si="49"/>
        <v>0</v>
      </c>
      <c r="BN182" s="225"/>
      <c r="BO182" s="234"/>
      <c r="BP182" s="218">
        <f t="shared" si="50"/>
        <v>0</v>
      </c>
    </row>
    <row r="183" spans="1:68">
      <c r="A183" s="170">
        <v>176</v>
      </c>
      <c r="B183" s="170" t="s">
        <v>75</v>
      </c>
      <c r="C183" s="200">
        <v>55</v>
      </c>
      <c r="D183" s="170" t="s">
        <v>83</v>
      </c>
      <c r="E183" s="170" t="s">
        <v>431</v>
      </c>
      <c r="F183" s="200">
        <f>VLOOKUP(PrévisionBoris[[#This Row],[Spec]],TabModelSpecs[[ModelSpec]:[Price]],2,FALSE)</f>
        <v>43</v>
      </c>
      <c r="G183" s="170" t="s">
        <v>462</v>
      </c>
      <c r="H183" s="219">
        <f>SUMIFS(LstMachines[Nbre],LstMachines[Model-Spec],PrévisionBoris[[#This Row],[Spec]],LstMachines[Status],PrévisionBoris[[#This Row],[Status]],LstMachines[MoisLivr],H$1)</f>
        <v>0</v>
      </c>
      <c r="I183" s="220">
        <f>SUMIFS(LstMachines[Nbre],LstMachines[Model-Spec],PrévisionBoris[[#This Row],[Spec]],LstMachines[Status],PrévisionBoris[[#This Row],[Status]],LstMachines[MoisLivr],I$1)</f>
        <v>0</v>
      </c>
      <c r="J183" s="221">
        <f>SUMIFS(LstMachines[Nbre],LstMachines[Model-Spec],PrévisionBoris[[#This Row],[Spec]],LstMachines[Status],PrévisionBoris[[#This Row],[Status]],LstMachines[MoisLivr],J$1)</f>
        <v>0</v>
      </c>
      <c r="K183" s="219">
        <f>SUMIFS(LstMachines[Nbre],LstMachines[Model-Spec],PrévisionBoris[[#This Row],[Spec]],LstMachines[Status],PrévisionBoris[[#This Row],[Status]],LstMachines[MoisLivr],K$1)</f>
        <v>0</v>
      </c>
      <c r="L183" s="220">
        <f>SUMIFS(LstMachines[Nbre],LstMachines[Model-Spec],PrévisionBoris[[#This Row],[Spec]],LstMachines[Status],PrévisionBoris[[#This Row],[Status]],LstMachines[MoisLivr],L$1)</f>
        <v>0</v>
      </c>
      <c r="M183" s="221">
        <f>SUMIFS(LstMachines[Nbre],LstMachines[Model-Spec],PrévisionBoris[[#This Row],[Spec]],LstMachines[Status],PrévisionBoris[[#This Row],[Status]],LstMachines[MoisLivr],M$1)</f>
        <v>0</v>
      </c>
      <c r="N183" s="219">
        <f>SUMIFS(LstMachines[Nbre],LstMachines[Model-Spec],PrévisionBoris[[#This Row],[Spec]],LstMachines[Status],PrévisionBoris[[#This Row],[Status]],LstMachines[MoisLivr],N$1)</f>
        <v>0</v>
      </c>
      <c r="O183" s="220">
        <f>SUMIFS(LstMachines[Nbre],LstMachines[Model-Spec],PrévisionBoris[[#This Row],[Spec]],LstMachines[Status],PrévisionBoris[[#This Row],[Status]],LstMachines[MoisLivr],O$1)</f>
        <v>0</v>
      </c>
      <c r="P183" s="221">
        <f>SUMIFS(LstMachines[Nbre],LstMachines[Model-Spec],PrévisionBoris[[#This Row],[Spec]],LstMachines[Status],PrévisionBoris[[#This Row],[Status]],LstMachines[MoisLivr],P$1)</f>
        <v>0</v>
      </c>
      <c r="Q183" s="222">
        <f>SUMIFS(LstMachines[Nbre],LstMachines[Model-Spec],PrévisionBoris[[#This Row],[Spec]],LstMachines[Status],PrévisionBoris[[#This Row],[Status]],LstMachines[MoisLivr],Q$1)</f>
        <v>0</v>
      </c>
      <c r="R183" s="220">
        <f>SUMIFS(LstMachines[Nbre],LstMachines[Model-Spec],PrévisionBoris[[#This Row],[Spec]],LstMachines[Status],PrévisionBoris[[#This Row],[Status]],LstMachines[MoisLivr],R$1)</f>
        <v>0</v>
      </c>
      <c r="S183" s="220">
        <f>SUMIFS(LstMachines[Nbre],LstMachines[Model-Spec],PrévisionBoris[[#This Row],[Spec]],LstMachines[Status],PrévisionBoris[[#This Row],[Status]],LstMachines[MoisLivr],S$1)</f>
        <v>0</v>
      </c>
      <c r="T183" s="219">
        <f>SUMIFS(LstMachines[Nbre],LstMachines[Model-Spec],PrévisionBoris[[#This Row],[Spec]],LstMachines[Status],PrévisionBoris[[#This Row],[Status]],LstMachines[MoisLivr],T$1)</f>
        <v>0</v>
      </c>
      <c r="U183" s="220">
        <f>SUMIFS(LstMachines[Nbre],LstMachines[Model-Spec],PrévisionBoris[[#This Row],[Spec]],LstMachines[Status],PrévisionBoris[[#This Row],[Status]],LstMachines[MoisLivr],U$1)</f>
        <v>0</v>
      </c>
      <c r="V183" s="220">
        <f>SUMIFS(LstMachines[Nbre],LstMachines[Model-Spec],PrévisionBoris[[#This Row],[Spec]],LstMachines[Status],PrévisionBoris[[#This Row],[Status]],LstMachines[MoisLivr],V$1)</f>
        <v>0</v>
      </c>
      <c r="W183" s="219">
        <f>SUMIFS(LstMachines[Nbre],LstMachines[Model-Spec],PrévisionBoris[[#This Row],[Spec]],LstMachines[Status],PrévisionBoris[[#This Row],[Status]],LstMachines[MoisLivr],W$1)</f>
        <v>0</v>
      </c>
      <c r="X183" s="220">
        <f>SUMIFS(LstMachines[Nbre],LstMachines[Model-Spec],PrévisionBoris[[#This Row],[Spec]],LstMachines[Status],PrévisionBoris[[#This Row],[Status]],LstMachines[MoisLivr],X$1)</f>
        <v>0</v>
      </c>
      <c r="Y183" s="220">
        <f>SUMIFS(LstMachines[Nbre],LstMachines[Model-Spec],PrévisionBoris[[#This Row],[Spec]],LstMachines[Status],PrévisionBoris[[#This Row],[Status]],LstMachines[MoisLivr],Y$1)</f>
        <v>0</v>
      </c>
      <c r="Z183" s="219">
        <f>SUMIFS(LstMachines[Nbre],LstMachines[Model-Spec],PrévisionBoris[[#This Row],[Spec]],LstMachines[Status],PrévisionBoris[[#This Row],[Status]],LstMachines[MoisLivr],Z$1)</f>
        <v>0</v>
      </c>
      <c r="AA183" s="220">
        <f>SUMIFS(LstMachines[Nbre],LstMachines[Model-Spec],PrévisionBoris[[#This Row],[Spec]],LstMachines[Status],PrévisionBoris[[#This Row],[Status]],LstMachines[MoisLivr],AA$1)</f>
        <v>0</v>
      </c>
      <c r="AB183" s="220">
        <f>SUMIFS(LstMachines[Nbre],LstMachines[Model-Spec],PrévisionBoris[[#This Row],[Spec]],LstMachines[Status],PrévisionBoris[[#This Row],[Status]],LstMachines[MoisLivr],AB$1)</f>
        <v>0</v>
      </c>
      <c r="AC183" s="219">
        <f>SUMIFS(LstMachines[Nbre],LstMachines[Model-Spec],PrévisionBoris[[#This Row],[Spec]],LstMachines[Status],PrévisionBoris[[#This Row],[Status]],LstMachines[MoisLivr],AC$1)</f>
        <v>0</v>
      </c>
      <c r="AD183" s="220">
        <f>SUMIFS(LstMachines[Nbre],LstMachines[Model-Spec],PrévisionBoris[[#This Row],[Spec]],LstMachines[Status],PrévisionBoris[[#This Row],[Status]],LstMachines[MoisLivr],AD$1)</f>
        <v>0</v>
      </c>
      <c r="AE183" s="220">
        <f>SUMIFS(LstMachines[Nbre],LstMachines[Model-Spec],PrévisionBoris[[#This Row],[Spec]],LstMachines[Status],PrévisionBoris[[#This Row],[Status]],LstMachines[MoisLivr],AE$1)</f>
        <v>0</v>
      </c>
      <c r="AF183" s="219">
        <f>SUMIFS(LstMachines[Nbre],LstMachines[Model-Spec],PrévisionBoris[[#This Row],[Spec]],LstMachines[Status],PrévisionBoris[[#This Row],[Status]],LstMachines[MoisLivr],AF$1)</f>
        <v>0</v>
      </c>
      <c r="AG183" s="220">
        <f>SUMIFS(LstMachines[Nbre],LstMachines[Model-Spec],PrévisionBoris[[#This Row],[Spec]],LstMachines[Status],PrévisionBoris[[#This Row],[Status]],LstMachines[MoisLivr],AG$1)</f>
        <v>0</v>
      </c>
      <c r="AH183" s="220">
        <f>SUMIFS(LstMachines[Nbre],LstMachines[Model-Spec],PrévisionBoris[[#This Row],[Spec]],LstMachines[Status],PrévisionBoris[[#This Row],[Status]],LstMachines[MoisLivr],AH$1)</f>
        <v>0</v>
      </c>
      <c r="AI183" s="219">
        <f>SUMIFS(LstMachines[Nbre],LstMachines[Model-Spec],PrévisionBoris[[#This Row],[Spec]],LstMachines[Status],PrévisionBoris[[#This Row],[Status]],LstMachines[MoisLivr],AI$1)</f>
        <v>0</v>
      </c>
      <c r="AJ183" s="220">
        <f>SUMIFS(LstMachines[Nbre],LstMachines[Model-Spec],PrévisionBoris[[#This Row],[Spec]],LstMachines[Status],PrévisionBoris[[#This Row],[Status]],LstMachines[MoisLivr],AJ$1)</f>
        <v>0</v>
      </c>
      <c r="AK183" s="220">
        <f>SUMIFS(LstMachines[Nbre],LstMachines[Model-Spec],PrévisionBoris[[#This Row],[Spec]],LstMachines[Status],PrévisionBoris[[#This Row],[Status]],LstMachines[MoisLivr],AK$1)</f>
        <v>0</v>
      </c>
      <c r="AL183" s="219">
        <f>SUMIFS(LstMachines[Nbre],LstMachines[Model-Spec],PrévisionBoris[[#This Row],[Spec]],LstMachines[Status],PrévisionBoris[[#This Row],[Status]],LstMachines[MoisLivr],AL$1)</f>
        <v>0</v>
      </c>
      <c r="AM183" s="220">
        <f>SUMIFS(LstMachines[Nbre],LstMachines[Model-Spec],PrévisionBoris[[#This Row],[Spec]],LstMachines[Status],PrévisionBoris[[#This Row],[Status]],LstMachines[MoisLivr],AM$1)</f>
        <v>0</v>
      </c>
      <c r="AN183" s="220">
        <f>SUMIFS(LstMachines[Nbre],LstMachines[Model-Spec],PrévisionBoris[[#This Row],[Spec]],LstMachines[Status],PrévisionBoris[[#This Row],[Status]],LstMachines[MoisLivr],AN$1)</f>
        <v>0</v>
      </c>
      <c r="AO183" s="219">
        <f>SUMIFS(LstMachines[Nbre],LstMachines[Model-Spec],PrévisionBoris[[#This Row],[Spec]],LstMachines[Status],PrévisionBoris[[#This Row],[Status]],LstMachines[MoisLivr],AO$1)</f>
        <v>0</v>
      </c>
      <c r="AP183" s="220">
        <f>SUMIFS(LstMachines[Nbre],LstMachines[Model-Spec],PrévisionBoris[[#This Row],[Spec]],LstMachines[Status],PrévisionBoris[[#This Row],[Status]],LstMachines[MoisLivr],AP$1)</f>
        <v>0</v>
      </c>
      <c r="AQ183" s="220">
        <f>SUMIFS(LstMachines[Nbre],LstMachines[Model-Spec],PrévisionBoris[[#This Row],[Spec]],LstMachines[Status],PrévisionBoris[[#This Row],[Status]],LstMachines[MoisLivr],AQ$1)</f>
        <v>0</v>
      </c>
      <c r="AR183" s="219">
        <f>SUMIFS(LstMachines[Nbre],LstMachines[Model-Spec],PrévisionBoris[[#This Row],[Spec]],LstMachines[Status],PrévisionBoris[[#This Row],[Status]],LstMachines[MoisLivr],AR$1)</f>
        <v>0</v>
      </c>
      <c r="AS183" s="220">
        <f>SUMIFS(LstMachines[Nbre],LstMachines[Model-Spec],PrévisionBoris[[#This Row],[Spec]],LstMachines[Status],PrévisionBoris[[#This Row],[Status]],LstMachines[MoisLivr],AS$1)</f>
        <v>0</v>
      </c>
      <c r="AT183" s="220">
        <f>SUMIFS(LstMachines[Nbre],LstMachines[Model-Spec],PrévisionBoris[[#This Row],[Spec]],LstMachines[Status],PrévisionBoris[[#This Row],[Status]],LstMachines[MoisLivr],AT$1)</f>
        <v>0</v>
      </c>
      <c r="AU183" s="219">
        <f>SUMIFS(LstMachines[Nbre],LstMachines[Model-Spec],PrévisionBoris[[#This Row],[Spec]],LstMachines[Status],PrévisionBoris[[#This Row],[Status]],LstMachines[MoisLivr],AU$1)</f>
        <v>0</v>
      </c>
      <c r="AV183" s="223">
        <f>SUMIFS(LstMachines[Nbre],LstMachines[Model-Spec],PrévisionBoris[[#This Row],[Spec]],LstMachines[Status],PrévisionBoris[[#This Row],[Status]],LstMachines[MoisLivr],AV$1)</f>
        <v>0</v>
      </c>
      <c r="AW183" s="224">
        <f>SUMIFS(LstMachines[Nbre],LstMachines[Model-Spec],PrévisionBoris[[#This Row],[Spec]],LstMachines[Status],PrévisionBoris[[#This Row],[Status]],LstMachines[MoisLivr],AW$1)</f>
        <v>0</v>
      </c>
      <c r="AX183" s="210"/>
      <c r="AY183" s="211">
        <f t="shared" si="35"/>
        <v>0</v>
      </c>
      <c r="AZ183" s="212">
        <f t="shared" si="36"/>
        <v>0</v>
      </c>
      <c r="BA183" s="212">
        <f t="shared" si="37"/>
        <v>0</v>
      </c>
      <c r="BB183" s="213">
        <f t="shared" si="38"/>
        <v>0</v>
      </c>
      <c r="BC183" s="225">
        <f t="shared" si="39"/>
        <v>0</v>
      </c>
      <c r="BD183" s="211">
        <f t="shared" si="40"/>
        <v>0</v>
      </c>
      <c r="BE183" s="212">
        <f t="shared" si="41"/>
        <v>0</v>
      </c>
      <c r="BF183" s="212">
        <f t="shared" si="42"/>
        <v>0</v>
      </c>
      <c r="BG183" s="213">
        <f t="shared" si="43"/>
        <v>0</v>
      </c>
      <c r="BH183" s="225">
        <f t="shared" si="44"/>
        <v>0</v>
      </c>
      <c r="BI183" s="214">
        <f t="shared" si="45"/>
        <v>0</v>
      </c>
      <c r="BJ183" s="215">
        <f t="shared" si="46"/>
        <v>0</v>
      </c>
      <c r="BK183" s="215">
        <f t="shared" si="47"/>
        <v>0</v>
      </c>
      <c r="BL183" s="216">
        <f t="shared" si="48"/>
        <v>0</v>
      </c>
      <c r="BM183" s="225">
        <f t="shared" si="49"/>
        <v>0</v>
      </c>
      <c r="BN183" s="225"/>
      <c r="BO183" s="217"/>
      <c r="BP183" s="218">
        <f t="shared" si="50"/>
        <v>0</v>
      </c>
    </row>
    <row r="184" spans="1:68">
      <c r="A184" s="171">
        <v>177</v>
      </c>
      <c r="B184" s="171" t="s">
        <v>75</v>
      </c>
      <c r="C184" s="201">
        <v>55</v>
      </c>
      <c r="D184" s="171" t="s">
        <v>83</v>
      </c>
      <c r="E184" s="171" t="s">
        <v>431</v>
      </c>
      <c r="F184" s="201">
        <f>VLOOKUP(PrévisionBoris[[#This Row],[Spec]],TabModelSpecs[[ModelSpec]:[Price]],2,FALSE)</f>
        <v>43</v>
      </c>
      <c r="G184" s="171" t="s">
        <v>463</v>
      </c>
      <c r="H184" s="226">
        <f>SUMIFS(LstMachines[Nbre],LstMachines[Model-Spec],PrévisionBoris[[#This Row],[Spec]],LstMachines[Status],PrévisionBoris[[#This Row],[Status]],LstMachines[MoisLivr],H$1)</f>
        <v>0</v>
      </c>
      <c r="I184" s="227">
        <f>SUMIFS(LstMachines[Nbre],LstMachines[Model-Spec],PrévisionBoris[[#This Row],[Spec]],LstMachines[Status],PrévisionBoris[[#This Row],[Status]],LstMachines[MoisLivr],I$1)</f>
        <v>0</v>
      </c>
      <c r="J184" s="228">
        <f>SUMIFS(LstMachines[Nbre],LstMachines[Model-Spec],PrévisionBoris[[#This Row],[Spec]],LstMachines[Status],PrévisionBoris[[#This Row],[Status]],LstMachines[MoisLivr],J$1)</f>
        <v>0</v>
      </c>
      <c r="K184" s="226">
        <f>SUMIFS(LstMachines[Nbre],LstMachines[Model-Spec],PrévisionBoris[[#This Row],[Spec]],LstMachines[Status],PrévisionBoris[[#This Row],[Status]],LstMachines[MoisLivr],K$1)</f>
        <v>0</v>
      </c>
      <c r="L184" s="227">
        <f>SUMIFS(LstMachines[Nbre],LstMachines[Model-Spec],PrévisionBoris[[#This Row],[Spec]],LstMachines[Status],PrévisionBoris[[#This Row],[Status]],LstMachines[MoisLivr],L$1)</f>
        <v>0</v>
      </c>
      <c r="M184" s="228">
        <f>SUMIFS(LstMachines[Nbre],LstMachines[Model-Spec],PrévisionBoris[[#This Row],[Spec]],LstMachines[Status],PrévisionBoris[[#This Row],[Status]],LstMachines[MoisLivr],M$1)</f>
        <v>0</v>
      </c>
      <c r="N184" s="226">
        <f>SUMIFS(LstMachines[Nbre],LstMachines[Model-Spec],PrévisionBoris[[#This Row],[Spec]],LstMachines[Status],PrévisionBoris[[#This Row],[Status]],LstMachines[MoisLivr],N$1)</f>
        <v>0</v>
      </c>
      <c r="O184" s="227">
        <f>SUMIFS(LstMachines[Nbre],LstMachines[Model-Spec],PrévisionBoris[[#This Row],[Spec]],LstMachines[Status],PrévisionBoris[[#This Row],[Status]],LstMachines[MoisLivr],O$1)</f>
        <v>0</v>
      </c>
      <c r="P184" s="228">
        <f>SUMIFS(LstMachines[Nbre],LstMachines[Model-Spec],PrévisionBoris[[#This Row],[Spec]],LstMachines[Status],PrévisionBoris[[#This Row],[Status]],LstMachines[MoisLivr],P$1)</f>
        <v>0</v>
      </c>
      <c r="Q184" s="229">
        <f>SUMIFS(LstMachines[Nbre],LstMachines[Model-Spec],PrévisionBoris[[#This Row],[Spec]],LstMachines[Status],PrévisionBoris[[#This Row],[Status]],LstMachines[MoisLivr],Q$1)</f>
        <v>0</v>
      </c>
      <c r="R184" s="227">
        <f>SUMIFS(LstMachines[Nbre],LstMachines[Model-Spec],PrévisionBoris[[#This Row],[Spec]],LstMachines[Status],PrévisionBoris[[#This Row],[Status]],LstMachines[MoisLivr],R$1)</f>
        <v>0</v>
      </c>
      <c r="S184" s="227">
        <f>SUMIFS(LstMachines[Nbre],LstMachines[Model-Spec],PrévisionBoris[[#This Row],[Spec]],LstMachines[Status],PrévisionBoris[[#This Row],[Status]],LstMachines[MoisLivr],S$1)</f>
        <v>0</v>
      </c>
      <c r="T184" s="226">
        <f>SUMIFS(LstMachines[Nbre],LstMachines[Model-Spec],PrévisionBoris[[#This Row],[Spec]],LstMachines[Status],PrévisionBoris[[#This Row],[Status]],LstMachines[MoisLivr],T$1)</f>
        <v>0</v>
      </c>
      <c r="U184" s="227">
        <f>SUMIFS(LstMachines[Nbre],LstMachines[Model-Spec],PrévisionBoris[[#This Row],[Spec]],LstMachines[Status],PrévisionBoris[[#This Row],[Status]],LstMachines[MoisLivr],U$1)</f>
        <v>0</v>
      </c>
      <c r="V184" s="227">
        <f>SUMIFS(LstMachines[Nbre],LstMachines[Model-Spec],PrévisionBoris[[#This Row],[Spec]],LstMachines[Status],PrévisionBoris[[#This Row],[Status]],LstMachines[MoisLivr],V$1)</f>
        <v>0</v>
      </c>
      <c r="W184" s="226">
        <f>SUMIFS(LstMachines[Nbre],LstMachines[Model-Spec],PrévisionBoris[[#This Row],[Spec]],LstMachines[Status],PrévisionBoris[[#This Row],[Status]],LstMachines[MoisLivr],W$1)</f>
        <v>0</v>
      </c>
      <c r="X184" s="227">
        <f>SUMIFS(LstMachines[Nbre],LstMachines[Model-Spec],PrévisionBoris[[#This Row],[Spec]],LstMachines[Status],PrévisionBoris[[#This Row],[Status]],LstMachines[MoisLivr],X$1)</f>
        <v>0</v>
      </c>
      <c r="Y184" s="227">
        <f>SUMIFS(LstMachines[Nbre],LstMachines[Model-Spec],PrévisionBoris[[#This Row],[Spec]],LstMachines[Status],PrévisionBoris[[#This Row],[Status]],LstMachines[MoisLivr],Y$1)</f>
        <v>0</v>
      </c>
      <c r="Z184" s="226">
        <f>SUMIFS(LstMachines[Nbre],LstMachines[Model-Spec],PrévisionBoris[[#This Row],[Spec]],LstMachines[Status],PrévisionBoris[[#This Row],[Status]],LstMachines[MoisLivr],Z$1)</f>
        <v>0</v>
      </c>
      <c r="AA184" s="227">
        <f>SUMIFS(LstMachines[Nbre],LstMachines[Model-Spec],PrévisionBoris[[#This Row],[Spec]],LstMachines[Status],PrévisionBoris[[#This Row],[Status]],LstMachines[MoisLivr],AA$1)</f>
        <v>0</v>
      </c>
      <c r="AB184" s="227">
        <f>SUMIFS(LstMachines[Nbre],LstMachines[Model-Spec],PrévisionBoris[[#This Row],[Spec]],LstMachines[Status],PrévisionBoris[[#This Row],[Status]],LstMachines[MoisLivr],AB$1)</f>
        <v>0</v>
      </c>
      <c r="AC184" s="226">
        <f>SUMIFS(LstMachines[Nbre],LstMachines[Model-Spec],PrévisionBoris[[#This Row],[Spec]],LstMachines[Status],PrévisionBoris[[#This Row],[Status]],LstMachines[MoisLivr],AC$1)</f>
        <v>0</v>
      </c>
      <c r="AD184" s="227">
        <f>SUMIFS(LstMachines[Nbre],LstMachines[Model-Spec],PrévisionBoris[[#This Row],[Spec]],LstMachines[Status],PrévisionBoris[[#This Row],[Status]],LstMachines[MoisLivr],AD$1)</f>
        <v>0</v>
      </c>
      <c r="AE184" s="227">
        <f>SUMIFS(LstMachines[Nbre],LstMachines[Model-Spec],PrévisionBoris[[#This Row],[Spec]],LstMachines[Status],PrévisionBoris[[#This Row],[Status]],LstMachines[MoisLivr],AE$1)</f>
        <v>0</v>
      </c>
      <c r="AF184" s="226">
        <f>SUMIFS(LstMachines[Nbre],LstMachines[Model-Spec],PrévisionBoris[[#This Row],[Spec]],LstMachines[Status],PrévisionBoris[[#This Row],[Status]],LstMachines[MoisLivr],AF$1)</f>
        <v>0</v>
      </c>
      <c r="AG184" s="227">
        <f>SUMIFS(LstMachines[Nbre],LstMachines[Model-Spec],PrévisionBoris[[#This Row],[Spec]],LstMachines[Status],PrévisionBoris[[#This Row],[Status]],LstMachines[MoisLivr],AG$1)</f>
        <v>0</v>
      </c>
      <c r="AH184" s="227">
        <f>SUMIFS(LstMachines[Nbre],LstMachines[Model-Spec],PrévisionBoris[[#This Row],[Spec]],LstMachines[Status],PrévisionBoris[[#This Row],[Status]],LstMachines[MoisLivr],AH$1)</f>
        <v>0</v>
      </c>
      <c r="AI184" s="226">
        <f>SUMIFS(LstMachines[Nbre],LstMachines[Model-Spec],PrévisionBoris[[#This Row],[Spec]],LstMachines[Status],PrévisionBoris[[#This Row],[Status]],LstMachines[MoisLivr],AI$1)</f>
        <v>0</v>
      </c>
      <c r="AJ184" s="227">
        <f>SUMIFS(LstMachines[Nbre],LstMachines[Model-Spec],PrévisionBoris[[#This Row],[Spec]],LstMachines[Status],PrévisionBoris[[#This Row],[Status]],LstMachines[MoisLivr],AJ$1)</f>
        <v>0</v>
      </c>
      <c r="AK184" s="227">
        <f>SUMIFS(LstMachines[Nbre],LstMachines[Model-Spec],PrévisionBoris[[#This Row],[Spec]],LstMachines[Status],PrévisionBoris[[#This Row],[Status]],LstMachines[MoisLivr],AK$1)</f>
        <v>0</v>
      </c>
      <c r="AL184" s="226">
        <f>SUMIFS(LstMachines[Nbre],LstMachines[Model-Spec],PrévisionBoris[[#This Row],[Spec]],LstMachines[Status],PrévisionBoris[[#This Row],[Status]],LstMachines[MoisLivr],AL$1)</f>
        <v>0</v>
      </c>
      <c r="AM184" s="227">
        <f>SUMIFS(LstMachines[Nbre],LstMachines[Model-Spec],PrévisionBoris[[#This Row],[Spec]],LstMachines[Status],PrévisionBoris[[#This Row],[Status]],LstMachines[MoisLivr],AM$1)</f>
        <v>0</v>
      </c>
      <c r="AN184" s="227">
        <f>SUMIFS(LstMachines[Nbre],LstMachines[Model-Spec],PrévisionBoris[[#This Row],[Spec]],LstMachines[Status],PrévisionBoris[[#This Row],[Status]],LstMachines[MoisLivr],AN$1)</f>
        <v>0</v>
      </c>
      <c r="AO184" s="226">
        <f>SUMIFS(LstMachines[Nbre],LstMachines[Model-Spec],PrévisionBoris[[#This Row],[Spec]],LstMachines[Status],PrévisionBoris[[#This Row],[Status]],LstMachines[MoisLivr],AO$1)</f>
        <v>0</v>
      </c>
      <c r="AP184" s="227">
        <f>SUMIFS(LstMachines[Nbre],LstMachines[Model-Spec],PrévisionBoris[[#This Row],[Spec]],LstMachines[Status],PrévisionBoris[[#This Row],[Status]],LstMachines[MoisLivr],AP$1)</f>
        <v>0</v>
      </c>
      <c r="AQ184" s="227">
        <f>SUMIFS(LstMachines[Nbre],LstMachines[Model-Spec],PrévisionBoris[[#This Row],[Spec]],LstMachines[Status],PrévisionBoris[[#This Row],[Status]],LstMachines[MoisLivr],AQ$1)</f>
        <v>0</v>
      </c>
      <c r="AR184" s="226">
        <f>SUMIFS(LstMachines[Nbre],LstMachines[Model-Spec],PrévisionBoris[[#This Row],[Spec]],LstMachines[Status],PrévisionBoris[[#This Row],[Status]],LstMachines[MoisLivr],AR$1)</f>
        <v>0</v>
      </c>
      <c r="AS184" s="227">
        <f>SUMIFS(LstMachines[Nbre],LstMachines[Model-Spec],PrévisionBoris[[#This Row],[Spec]],LstMachines[Status],PrévisionBoris[[#This Row],[Status]],LstMachines[MoisLivr],AS$1)</f>
        <v>0</v>
      </c>
      <c r="AT184" s="227">
        <f>SUMIFS(LstMachines[Nbre],LstMachines[Model-Spec],PrévisionBoris[[#This Row],[Spec]],LstMachines[Status],PrévisionBoris[[#This Row],[Status]],LstMachines[MoisLivr],AT$1)</f>
        <v>0</v>
      </c>
      <c r="AU184" s="226">
        <f>SUMIFS(LstMachines[Nbre],LstMachines[Model-Spec],PrévisionBoris[[#This Row],[Spec]],LstMachines[Status],PrévisionBoris[[#This Row],[Status]],LstMachines[MoisLivr],AU$1)</f>
        <v>0</v>
      </c>
      <c r="AV184" s="230">
        <f>SUMIFS(LstMachines[Nbre],LstMachines[Model-Spec],PrévisionBoris[[#This Row],[Spec]],LstMachines[Status],PrévisionBoris[[#This Row],[Status]],LstMachines[MoisLivr],AV$1)</f>
        <v>0</v>
      </c>
      <c r="AW184" s="231">
        <f>SUMIFS(LstMachines[Nbre],LstMachines[Model-Spec],PrévisionBoris[[#This Row],[Spec]],LstMachines[Status],PrévisionBoris[[#This Row],[Status]],LstMachines[MoisLivr],AW$1)</f>
        <v>0</v>
      </c>
      <c r="AX184" s="232"/>
      <c r="AY184" s="211">
        <f t="shared" si="35"/>
        <v>0</v>
      </c>
      <c r="AZ184" s="212">
        <f t="shared" si="36"/>
        <v>0</v>
      </c>
      <c r="BA184" s="212">
        <f t="shared" si="37"/>
        <v>0</v>
      </c>
      <c r="BB184" s="213">
        <f t="shared" si="38"/>
        <v>0</v>
      </c>
      <c r="BC184" s="225">
        <f t="shared" si="39"/>
        <v>0</v>
      </c>
      <c r="BD184" s="211">
        <f t="shared" si="40"/>
        <v>0</v>
      </c>
      <c r="BE184" s="212">
        <f t="shared" si="41"/>
        <v>0</v>
      </c>
      <c r="BF184" s="212">
        <f t="shared" si="42"/>
        <v>0</v>
      </c>
      <c r="BG184" s="213">
        <f t="shared" si="43"/>
        <v>0</v>
      </c>
      <c r="BH184" s="225">
        <f t="shared" si="44"/>
        <v>0</v>
      </c>
      <c r="BI184" s="214">
        <f t="shared" si="45"/>
        <v>0</v>
      </c>
      <c r="BJ184" s="215">
        <f t="shared" si="46"/>
        <v>0</v>
      </c>
      <c r="BK184" s="215">
        <f t="shared" si="47"/>
        <v>0</v>
      </c>
      <c r="BL184" s="216">
        <f t="shared" si="48"/>
        <v>0</v>
      </c>
      <c r="BM184" s="225">
        <f t="shared" si="49"/>
        <v>0</v>
      </c>
      <c r="BN184" s="225"/>
      <c r="BO184" s="217"/>
      <c r="BP184" s="218">
        <f t="shared" si="50"/>
        <v>0</v>
      </c>
    </row>
    <row r="185" spans="1:68">
      <c r="A185" s="172">
        <v>178</v>
      </c>
      <c r="B185" s="172" t="s">
        <v>75</v>
      </c>
      <c r="C185" s="202">
        <v>55</v>
      </c>
      <c r="D185" s="172" t="s">
        <v>83</v>
      </c>
      <c r="E185" s="172" t="s">
        <v>432</v>
      </c>
      <c r="F185" s="202">
        <f>VLOOKUP(PrévisionBoris[[#This Row],[Spec]],TabModelSpecs[[ModelSpec]:[Price]],2,FALSE)</f>
        <v>43</v>
      </c>
      <c r="G185" s="172" t="s">
        <v>461</v>
      </c>
      <c r="H185" s="206">
        <f>SUMIFS(LstMachines[Nbre],LstMachines[Model-Spec],PrévisionBoris[[#This Row],[Spec]],LstMachines[Status],PrévisionBoris[[#This Row],[Status]],LstMachines[MoisLivr],H$1)</f>
        <v>0</v>
      </c>
      <c r="I185" s="207">
        <f>SUMIFS(LstMachines[Nbre],LstMachines[Model-Spec],PrévisionBoris[[#This Row],[Spec]],LstMachines[Status],PrévisionBoris[[#This Row],[Status]],LstMachines[MoisLivr],I$1)</f>
        <v>0</v>
      </c>
      <c r="J185" s="208">
        <f>SUMIFS(LstMachines[Nbre],LstMachines[Model-Spec],PrévisionBoris[[#This Row],[Spec]],LstMachines[Status],PrévisionBoris[[#This Row],[Status]],LstMachines[MoisLivr],J$1)</f>
        <v>0</v>
      </c>
      <c r="K185" s="206">
        <f>SUMIFS(LstMachines[Nbre],LstMachines[Model-Spec],PrévisionBoris[[#This Row],[Spec]],LstMachines[Status],PrévisionBoris[[#This Row],[Status]],LstMachines[MoisLivr],K$1)</f>
        <v>0</v>
      </c>
      <c r="L185" s="207">
        <f>SUMIFS(LstMachines[Nbre],LstMachines[Model-Spec],PrévisionBoris[[#This Row],[Spec]],LstMachines[Status],PrévisionBoris[[#This Row],[Status]],LstMachines[MoisLivr],L$1)</f>
        <v>0</v>
      </c>
      <c r="M185" s="208">
        <f>SUMIFS(LstMachines[Nbre],LstMachines[Model-Spec],PrévisionBoris[[#This Row],[Spec]],LstMachines[Status],PrévisionBoris[[#This Row],[Status]],LstMachines[MoisLivr],M$1)</f>
        <v>0</v>
      </c>
      <c r="N185" s="206">
        <f>SUMIFS(LstMachines[Nbre],LstMachines[Model-Spec],PrévisionBoris[[#This Row],[Spec]],LstMachines[Status],PrévisionBoris[[#This Row],[Status]],LstMachines[MoisLivr],N$1)</f>
        <v>0</v>
      </c>
      <c r="O185" s="207">
        <f>SUMIFS(LstMachines[Nbre],LstMachines[Model-Spec],PrévisionBoris[[#This Row],[Spec]],LstMachines[Status],PrévisionBoris[[#This Row],[Status]],LstMachines[MoisLivr],O$1)</f>
        <v>0</v>
      </c>
      <c r="P185" s="208">
        <f>SUMIFS(LstMachines[Nbre],LstMachines[Model-Spec],PrévisionBoris[[#This Row],[Spec]],LstMachines[Status],PrévisionBoris[[#This Row],[Status]],LstMachines[MoisLivr],P$1)</f>
        <v>0</v>
      </c>
      <c r="Q185" s="209">
        <f>SUMIFS(LstMachines[Nbre],LstMachines[Model-Spec],PrévisionBoris[[#This Row],[Spec]],LstMachines[Status],PrévisionBoris[[#This Row],[Status]],LstMachines[MoisLivr],Q$1)</f>
        <v>0</v>
      </c>
      <c r="R185" s="207">
        <f>SUMIFS(LstMachines[Nbre],LstMachines[Model-Spec],PrévisionBoris[[#This Row],[Spec]],LstMachines[Status],PrévisionBoris[[#This Row],[Status]],LstMachines[MoisLivr],R$1)</f>
        <v>0</v>
      </c>
      <c r="S185" s="207">
        <f>SUMIFS(LstMachines[Nbre],LstMachines[Model-Spec],PrévisionBoris[[#This Row],[Spec]],LstMachines[Status],PrévisionBoris[[#This Row],[Status]],LstMachines[MoisLivr],S$1)</f>
        <v>0</v>
      </c>
      <c r="T185" s="206">
        <f>SUMIFS(LstMachines[Nbre],LstMachines[Model-Spec],PrévisionBoris[[#This Row],[Spec]],LstMachines[Status],PrévisionBoris[[#This Row],[Status]],LstMachines[MoisLivr],T$1)</f>
        <v>0</v>
      </c>
      <c r="U185" s="207">
        <f>SUMIFS(LstMachines[Nbre],LstMachines[Model-Spec],PrévisionBoris[[#This Row],[Spec]],LstMachines[Status],PrévisionBoris[[#This Row],[Status]],LstMachines[MoisLivr],U$1)</f>
        <v>0</v>
      </c>
      <c r="V185" s="207">
        <f>SUMIFS(LstMachines[Nbre],LstMachines[Model-Spec],PrévisionBoris[[#This Row],[Spec]],LstMachines[Status],PrévisionBoris[[#This Row],[Status]],LstMachines[MoisLivr],V$1)</f>
        <v>0</v>
      </c>
      <c r="W185" s="206">
        <f>SUMIFS(LstMachines[Nbre],LstMachines[Model-Spec],PrévisionBoris[[#This Row],[Spec]],LstMachines[Status],PrévisionBoris[[#This Row],[Status]],LstMachines[MoisLivr],W$1)</f>
        <v>0</v>
      </c>
      <c r="X185" s="207">
        <f>SUMIFS(LstMachines[Nbre],LstMachines[Model-Spec],PrévisionBoris[[#This Row],[Spec]],LstMachines[Status],PrévisionBoris[[#This Row],[Status]],LstMachines[MoisLivr],X$1)</f>
        <v>0</v>
      </c>
      <c r="Y185" s="207">
        <f>SUMIFS(LstMachines[Nbre],LstMachines[Model-Spec],PrévisionBoris[[#This Row],[Spec]],LstMachines[Status],PrévisionBoris[[#This Row],[Status]],LstMachines[MoisLivr],Y$1)</f>
        <v>0</v>
      </c>
      <c r="Z185" s="206">
        <f>SUMIFS(LstMachines[Nbre],LstMachines[Model-Spec],PrévisionBoris[[#This Row],[Spec]],LstMachines[Status],PrévisionBoris[[#This Row],[Status]],LstMachines[MoisLivr],Z$1)</f>
        <v>0</v>
      </c>
      <c r="AA185" s="207">
        <f>SUMIFS(LstMachines[Nbre],LstMachines[Model-Spec],PrévisionBoris[[#This Row],[Spec]],LstMachines[Status],PrévisionBoris[[#This Row],[Status]],LstMachines[MoisLivr],AA$1)</f>
        <v>0</v>
      </c>
      <c r="AB185" s="207">
        <f>SUMIFS(LstMachines[Nbre],LstMachines[Model-Spec],PrévisionBoris[[#This Row],[Spec]],LstMachines[Status],PrévisionBoris[[#This Row],[Status]],LstMachines[MoisLivr],AB$1)</f>
        <v>0</v>
      </c>
      <c r="AC185" s="206">
        <f>SUMIFS(LstMachines[Nbre],LstMachines[Model-Spec],PrévisionBoris[[#This Row],[Spec]],LstMachines[Status],PrévisionBoris[[#This Row],[Status]],LstMachines[MoisLivr],AC$1)</f>
        <v>0</v>
      </c>
      <c r="AD185" s="207">
        <f>SUMIFS(LstMachines[Nbre],LstMachines[Model-Spec],PrévisionBoris[[#This Row],[Spec]],LstMachines[Status],PrévisionBoris[[#This Row],[Status]],LstMachines[MoisLivr],AD$1)</f>
        <v>0</v>
      </c>
      <c r="AE185" s="207">
        <f>SUMIFS(LstMachines[Nbre],LstMachines[Model-Spec],PrévisionBoris[[#This Row],[Spec]],LstMachines[Status],PrévisionBoris[[#This Row],[Status]],LstMachines[MoisLivr],AE$1)</f>
        <v>0</v>
      </c>
      <c r="AF185" s="206">
        <f>SUMIFS(LstMachines[Nbre],LstMachines[Model-Spec],PrévisionBoris[[#This Row],[Spec]],LstMachines[Status],PrévisionBoris[[#This Row],[Status]],LstMachines[MoisLivr],AF$1)</f>
        <v>0</v>
      </c>
      <c r="AG185" s="207">
        <f>SUMIFS(LstMachines[Nbre],LstMachines[Model-Spec],PrévisionBoris[[#This Row],[Spec]],LstMachines[Status],PrévisionBoris[[#This Row],[Status]],LstMachines[MoisLivr],AG$1)</f>
        <v>0</v>
      </c>
      <c r="AH185" s="207">
        <f>SUMIFS(LstMachines[Nbre],LstMachines[Model-Spec],PrévisionBoris[[#This Row],[Spec]],LstMachines[Status],PrévisionBoris[[#This Row],[Status]],LstMachines[MoisLivr],AH$1)</f>
        <v>0</v>
      </c>
      <c r="AI185" s="206">
        <f>SUMIFS(LstMachines[Nbre],LstMachines[Model-Spec],PrévisionBoris[[#This Row],[Spec]],LstMachines[Status],PrévisionBoris[[#This Row],[Status]],LstMachines[MoisLivr],AI$1)</f>
        <v>0</v>
      </c>
      <c r="AJ185" s="207">
        <f>SUMIFS(LstMachines[Nbre],LstMachines[Model-Spec],PrévisionBoris[[#This Row],[Spec]],LstMachines[Status],PrévisionBoris[[#This Row],[Status]],LstMachines[MoisLivr],AJ$1)</f>
        <v>0</v>
      </c>
      <c r="AK185" s="207">
        <f>SUMIFS(LstMachines[Nbre],LstMachines[Model-Spec],PrévisionBoris[[#This Row],[Spec]],LstMachines[Status],PrévisionBoris[[#This Row],[Status]],LstMachines[MoisLivr],AK$1)</f>
        <v>0</v>
      </c>
      <c r="AL185" s="206">
        <f>SUMIFS(LstMachines[Nbre],LstMachines[Model-Spec],PrévisionBoris[[#This Row],[Spec]],LstMachines[Status],PrévisionBoris[[#This Row],[Status]],LstMachines[MoisLivr],AL$1)</f>
        <v>0</v>
      </c>
      <c r="AM185" s="207">
        <f>SUMIFS(LstMachines[Nbre],LstMachines[Model-Spec],PrévisionBoris[[#This Row],[Spec]],LstMachines[Status],PrévisionBoris[[#This Row],[Status]],LstMachines[MoisLivr],AM$1)</f>
        <v>0</v>
      </c>
      <c r="AN185" s="207">
        <f>SUMIFS(LstMachines[Nbre],LstMachines[Model-Spec],PrévisionBoris[[#This Row],[Spec]],LstMachines[Status],PrévisionBoris[[#This Row],[Status]],LstMachines[MoisLivr],AN$1)</f>
        <v>0</v>
      </c>
      <c r="AO185" s="206">
        <f>SUMIFS(LstMachines[Nbre],LstMachines[Model-Spec],PrévisionBoris[[#This Row],[Spec]],LstMachines[Status],PrévisionBoris[[#This Row],[Status]],LstMachines[MoisLivr],AO$1)</f>
        <v>0</v>
      </c>
      <c r="AP185" s="207">
        <f>SUMIFS(LstMachines[Nbre],LstMachines[Model-Spec],PrévisionBoris[[#This Row],[Spec]],LstMachines[Status],PrévisionBoris[[#This Row],[Status]],LstMachines[MoisLivr],AP$1)</f>
        <v>0</v>
      </c>
      <c r="AQ185" s="207">
        <f>SUMIFS(LstMachines[Nbre],LstMachines[Model-Spec],PrévisionBoris[[#This Row],[Spec]],LstMachines[Status],PrévisionBoris[[#This Row],[Status]],LstMachines[MoisLivr],AQ$1)</f>
        <v>0</v>
      </c>
      <c r="AR185" s="206">
        <f>SUMIFS(LstMachines[Nbre],LstMachines[Model-Spec],PrévisionBoris[[#This Row],[Spec]],LstMachines[Status],PrévisionBoris[[#This Row],[Status]],LstMachines[MoisLivr],AR$1)</f>
        <v>0</v>
      </c>
      <c r="AS185" s="207">
        <f>SUMIFS(LstMachines[Nbre],LstMachines[Model-Spec],PrévisionBoris[[#This Row],[Spec]],LstMachines[Status],PrévisionBoris[[#This Row],[Status]],LstMachines[MoisLivr],AS$1)</f>
        <v>0</v>
      </c>
      <c r="AT185" s="207">
        <f>SUMIFS(LstMachines[Nbre],LstMachines[Model-Spec],PrévisionBoris[[#This Row],[Spec]],LstMachines[Status],PrévisionBoris[[#This Row],[Status]],LstMachines[MoisLivr],AT$1)</f>
        <v>0</v>
      </c>
      <c r="AU185" s="206">
        <f>SUMIFS(LstMachines[Nbre],LstMachines[Model-Spec],PrévisionBoris[[#This Row],[Spec]],LstMachines[Status],PrévisionBoris[[#This Row],[Status]],LstMachines[MoisLivr],AU$1)</f>
        <v>0</v>
      </c>
      <c r="AV185" s="233">
        <f>SUMIFS(LstMachines[Nbre],LstMachines[Model-Spec],PrévisionBoris[[#This Row],[Spec]],LstMachines[Status],PrévisionBoris[[#This Row],[Status]],LstMachines[MoisLivr],AV$1)</f>
        <v>0</v>
      </c>
      <c r="AW185" s="208">
        <f>SUMIFS(LstMachines[Nbre],LstMachines[Model-Spec],PrévisionBoris[[#This Row],[Spec]],LstMachines[Status],PrévisionBoris[[#This Row],[Status]],LstMachines[MoisLivr],AW$1)</f>
        <v>0</v>
      </c>
      <c r="AX185" s="225"/>
      <c r="AY185" s="211">
        <f t="shared" si="35"/>
        <v>0</v>
      </c>
      <c r="AZ185" s="212">
        <f t="shared" si="36"/>
        <v>0</v>
      </c>
      <c r="BA185" s="212">
        <f t="shared" si="37"/>
        <v>0</v>
      </c>
      <c r="BB185" s="213">
        <f t="shared" si="38"/>
        <v>0</v>
      </c>
      <c r="BC185" s="225">
        <f t="shared" si="39"/>
        <v>0</v>
      </c>
      <c r="BD185" s="211">
        <f t="shared" si="40"/>
        <v>0</v>
      </c>
      <c r="BE185" s="212">
        <f t="shared" si="41"/>
        <v>0</v>
      </c>
      <c r="BF185" s="212">
        <f t="shared" si="42"/>
        <v>0</v>
      </c>
      <c r="BG185" s="213">
        <f t="shared" si="43"/>
        <v>0</v>
      </c>
      <c r="BH185" s="225">
        <f t="shared" si="44"/>
        <v>0</v>
      </c>
      <c r="BI185" s="214">
        <f t="shared" si="45"/>
        <v>0</v>
      </c>
      <c r="BJ185" s="215">
        <f t="shared" si="46"/>
        <v>0</v>
      </c>
      <c r="BK185" s="215">
        <f t="shared" si="47"/>
        <v>0</v>
      </c>
      <c r="BL185" s="216">
        <f t="shared" si="48"/>
        <v>0</v>
      </c>
      <c r="BM185" s="225">
        <f t="shared" si="49"/>
        <v>0</v>
      </c>
      <c r="BN185" s="225"/>
      <c r="BO185" s="234"/>
      <c r="BP185" s="218">
        <f t="shared" si="50"/>
        <v>0</v>
      </c>
    </row>
    <row r="186" spans="1:68">
      <c r="A186" s="170">
        <v>179</v>
      </c>
      <c r="B186" s="170" t="s">
        <v>75</v>
      </c>
      <c r="C186" s="200">
        <v>55</v>
      </c>
      <c r="D186" s="170" t="s">
        <v>83</v>
      </c>
      <c r="E186" s="170" t="s">
        <v>432</v>
      </c>
      <c r="F186" s="200">
        <f>VLOOKUP(PrévisionBoris[[#This Row],[Spec]],TabModelSpecs[[ModelSpec]:[Price]],2,FALSE)</f>
        <v>43</v>
      </c>
      <c r="G186" s="170" t="s">
        <v>462</v>
      </c>
      <c r="H186" s="219">
        <f>SUMIFS(LstMachines[Nbre],LstMachines[Model-Spec],PrévisionBoris[[#This Row],[Spec]],LstMachines[Status],PrévisionBoris[[#This Row],[Status]],LstMachines[MoisLivr],H$1)</f>
        <v>0</v>
      </c>
      <c r="I186" s="220">
        <f>SUMIFS(LstMachines[Nbre],LstMachines[Model-Spec],PrévisionBoris[[#This Row],[Spec]],LstMachines[Status],PrévisionBoris[[#This Row],[Status]],LstMachines[MoisLivr],I$1)</f>
        <v>0</v>
      </c>
      <c r="J186" s="221">
        <f>SUMIFS(LstMachines[Nbre],LstMachines[Model-Spec],PrévisionBoris[[#This Row],[Spec]],LstMachines[Status],PrévisionBoris[[#This Row],[Status]],LstMachines[MoisLivr],J$1)</f>
        <v>0</v>
      </c>
      <c r="K186" s="219">
        <f>SUMIFS(LstMachines[Nbre],LstMachines[Model-Spec],PrévisionBoris[[#This Row],[Spec]],LstMachines[Status],PrévisionBoris[[#This Row],[Status]],LstMachines[MoisLivr],K$1)</f>
        <v>0</v>
      </c>
      <c r="L186" s="220">
        <f>SUMIFS(LstMachines[Nbre],LstMachines[Model-Spec],PrévisionBoris[[#This Row],[Spec]],LstMachines[Status],PrévisionBoris[[#This Row],[Status]],LstMachines[MoisLivr],L$1)</f>
        <v>0</v>
      </c>
      <c r="M186" s="221">
        <f>SUMIFS(LstMachines[Nbre],LstMachines[Model-Spec],PrévisionBoris[[#This Row],[Spec]],LstMachines[Status],PrévisionBoris[[#This Row],[Status]],LstMachines[MoisLivr],M$1)</f>
        <v>0</v>
      </c>
      <c r="N186" s="219">
        <f>SUMIFS(LstMachines[Nbre],LstMachines[Model-Spec],PrévisionBoris[[#This Row],[Spec]],LstMachines[Status],PrévisionBoris[[#This Row],[Status]],LstMachines[MoisLivr],N$1)</f>
        <v>0</v>
      </c>
      <c r="O186" s="220">
        <f>SUMIFS(LstMachines[Nbre],LstMachines[Model-Spec],PrévisionBoris[[#This Row],[Spec]],LstMachines[Status],PrévisionBoris[[#This Row],[Status]],LstMachines[MoisLivr],O$1)</f>
        <v>0</v>
      </c>
      <c r="P186" s="221">
        <f>SUMIFS(LstMachines[Nbre],LstMachines[Model-Spec],PrévisionBoris[[#This Row],[Spec]],LstMachines[Status],PrévisionBoris[[#This Row],[Status]],LstMachines[MoisLivr],P$1)</f>
        <v>0</v>
      </c>
      <c r="Q186" s="222">
        <f>SUMIFS(LstMachines[Nbre],LstMachines[Model-Spec],PrévisionBoris[[#This Row],[Spec]],LstMachines[Status],PrévisionBoris[[#This Row],[Status]],LstMachines[MoisLivr],Q$1)</f>
        <v>0</v>
      </c>
      <c r="R186" s="220">
        <f>SUMIFS(LstMachines[Nbre],LstMachines[Model-Spec],PrévisionBoris[[#This Row],[Spec]],LstMachines[Status],PrévisionBoris[[#This Row],[Status]],LstMachines[MoisLivr],R$1)</f>
        <v>0</v>
      </c>
      <c r="S186" s="220">
        <f>SUMIFS(LstMachines[Nbre],LstMachines[Model-Spec],PrévisionBoris[[#This Row],[Spec]],LstMachines[Status],PrévisionBoris[[#This Row],[Status]],LstMachines[MoisLivr],S$1)</f>
        <v>0</v>
      </c>
      <c r="T186" s="219">
        <f>SUMIFS(LstMachines[Nbre],LstMachines[Model-Spec],PrévisionBoris[[#This Row],[Spec]],LstMachines[Status],PrévisionBoris[[#This Row],[Status]],LstMachines[MoisLivr],T$1)</f>
        <v>0</v>
      </c>
      <c r="U186" s="220">
        <f>SUMIFS(LstMachines[Nbre],LstMachines[Model-Spec],PrévisionBoris[[#This Row],[Spec]],LstMachines[Status],PrévisionBoris[[#This Row],[Status]],LstMachines[MoisLivr],U$1)</f>
        <v>0</v>
      </c>
      <c r="V186" s="220">
        <f>SUMIFS(LstMachines[Nbre],LstMachines[Model-Spec],PrévisionBoris[[#This Row],[Spec]],LstMachines[Status],PrévisionBoris[[#This Row],[Status]],LstMachines[MoisLivr],V$1)</f>
        <v>0</v>
      </c>
      <c r="W186" s="219">
        <f>SUMIFS(LstMachines[Nbre],LstMachines[Model-Spec],PrévisionBoris[[#This Row],[Spec]],LstMachines[Status],PrévisionBoris[[#This Row],[Status]],LstMachines[MoisLivr],W$1)</f>
        <v>0</v>
      </c>
      <c r="X186" s="220">
        <f>SUMIFS(LstMachines[Nbre],LstMachines[Model-Spec],PrévisionBoris[[#This Row],[Spec]],LstMachines[Status],PrévisionBoris[[#This Row],[Status]],LstMachines[MoisLivr],X$1)</f>
        <v>0</v>
      </c>
      <c r="Y186" s="220">
        <f>SUMIFS(LstMachines[Nbre],LstMachines[Model-Spec],PrévisionBoris[[#This Row],[Spec]],LstMachines[Status],PrévisionBoris[[#This Row],[Status]],LstMachines[MoisLivr],Y$1)</f>
        <v>0</v>
      </c>
      <c r="Z186" s="219">
        <f>SUMIFS(LstMachines[Nbre],LstMachines[Model-Spec],PrévisionBoris[[#This Row],[Spec]],LstMachines[Status],PrévisionBoris[[#This Row],[Status]],LstMachines[MoisLivr],Z$1)</f>
        <v>0</v>
      </c>
      <c r="AA186" s="220">
        <f>SUMIFS(LstMachines[Nbre],LstMachines[Model-Spec],PrévisionBoris[[#This Row],[Spec]],LstMachines[Status],PrévisionBoris[[#This Row],[Status]],LstMachines[MoisLivr],AA$1)</f>
        <v>0</v>
      </c>
      <c r="AB186" s="220">
        <f>SUMIFS(LstMachines[Nbre],LstMachines[Model-Spec],PrévisionBoris[[#This Row],[Spec]],LstMachines[Status],PrévisionBoris[[#This Row],[Status]],LstMachines[MoisLivr],AB$1)</f>
        <v>0</v>
      </c>
      <c r="AC186" s="219">
        <f>SUMIFS(LstMachines[Nbre],LstMachines[Model-Spec],PrévisionBoris[[#This Row],[Spec]],LstMachines[Status],PrévisionBoris[[#This Row],[Status]],LstMachines[MoisLivr],AC$1)</f>
        <v>0</v>
      </c>
      <c r="AD186" s="220">
        <f>SUMIFS(LstMachines[Nbre],LstMachines[Model-Spec],PrévisionBoris[[#This Row],[Spec]],LstMachines[Status],PrévisionBoris[[#This Row],[Status]],LstMachines[MoisLivr],AD$1)</f>
        <v>0</v>
      </c>
      <c r="AE186" s="220">
        <f>SUMIFS(LstMachines[Nbre],LstMachines[Model-Spec],PrévisionBoris[[#This Row],[Spec]],LstMachines[Status],PrévisionBoris[[#This Row],[Status]],LstMachines[MoisLivr],AE$1)</f>
        <v>0</v>
      </c>
      <c r="AF186" s="219">
        <f>SUMIFS(LstMachines[Nbre],LstMachines[Model-Spec],PrévisionBoris[[#This Row],[Spec]],LstMachines[Status],PrévisionBoris[[#This Row],[Status]],LstMachines[MoisLivr],AF$1)</f>
        <v>0</v>
      </c>
      <c r="AG186" s="220">
        <f>SUMIFS(LstMachines[Nbre],LstMachines[Model-Spec],PrévisionBoris[[#This Row],[Spec]],LstMachines[Status],PrévisionBoris[[#This Row],[Status]],LstMachines[MoisLivr],AG$1)</f>
        <v>0</v>
      </c>
      <c r="AH186" s="220">
        <f>SUMIFS(LstMachines[Nbre],LstMachines[Model-Spec],PrévisionBoris[[#This Row],[Spec]],LstMachines[Status],PrévisionBoris[[#This Row],[Status]],LstMachines[MoisLivr],AH$1)</f>
        <v>0</v>
      </c>
      <c r="AI186" s="219">
        <f>SUMIFS(LstMachines[Nbre],LstMachines[Model-Spec],PrévisionBoris[[#This Row],[Spec]],LstMachines[Status],PrévisionBoris[[#This Row],[Status]],LstMachines[MoisLivr],AI$1)</f>
        <v>0</v>
      </c>
      <c r="AJ186" s="220">
        <f>SUMIFS(LstMachines[Nbre],LstMachines[Model-Spec],PrévisionBoris[[#This Row],[Spec]],LstMachines[Status],PrévisionBoris[[#This Row],[Status]],LstMachines[MoisLivr],AJ$1)</f>
        <v>0</v>
      </c>
      <c r="AK186" s="220">
        <f>SUMIFS(LstMachines[Nbre],LstMachines[Model-Spec],PrévisionBoris[[#This Row],[Spec]],LstMachines[Status],PrévisionBoris[[#This Row],[Status]],LstMachines[MoisLivr],AK$1)</f>
        <v>0</v>
      </c>
      <c r="AL186" s="219">
        <f>SUMIFS(LstMachines[Nbre],LstMachines[Model-Spec],PrévisionBoris[[#This Row],[Spec]],LstMachines[Status],PrévisionBoris[[#This Row],[Status]],LstMachines[MoisLivr],AL$1)</f>
        <v>0</v>
      </c>
      <c r="AM186" s="220">
        <f>SUMIFS(LstMachines[Nbre],LstMachines[Model-Spec],PrévisionBoris[[#This Row],[Spec]],LstMachines[Status],PrévisionBoris[[#This Row],[Status]],LstMachines[MoisLivr],AM$1)</f>
        <v>0</v>
      </c>
      <c r="AN186" s="220">
        <f>SUMIFS(LstMachines[Nbre],LstMachines[Model-Spec],PrévisionBoris[[#This Row],[Spec]],LstMachines[Status],PrévisionBoris[[#This Row],[Status]],LstMachines[MoisLivr],AN$1)</f>
        <v>0</v>
      </c>
      <c r="AO186" s="219">
        <f>SUMIFS(LstMachines[Nbre],LstMachines[Model-Spec],PrévisionBoris[[#This Row],[Spec]],LstMachines[Status],PrévisionBoris[[#This Row],[Status]],LstMachines[MoisLivr],AO$1)</f>
        <v>0</v>
      </c>
      <c r="AP186" s="220">
        <f>SUMIFS(LstMachines[Nbre],LstMachines[Model-Spec],PrévisionBoris[[#This Row],[Spec]],LstMachines[Status],PrévisionBoris[[#This Row],[Status]],LstMachines[MoisLivr],AP$1)</f>
        <v>0</v>
      </c>
      <c r="AQ186" s="220">
        <f>SUMIFS(LstMachines[Nbre],LstMachines[Model-Spec],PrévisionBoris[[#This Row],[Spec]],LstMachines[Status],PrévisionBoris[[#This Row],[Status]],LstMachines[MoisLivr],AQ$1)</f>
        <v>0</v>
      </c>
      <c r="AR186" s="219">
        <f>SUMIFS(LstMachines[Nbre],LstMachines[Model-Spec],PrévisionBoris[[#This Row],[Spec]],LstMachines[Status],PrévisionBoris[[#This Row],[Status]],LstMachines[MoisLivr],AR$1)</f>
        <v>0</v>
      </c>
      <c r="AS186" s="220">
        <f>SUMIFS(LstMachines[Nbre],LstMachines[Model-Spec],PrévisionBoris[[#This Row],[Spec]],LstMachines[Status],PrévisionBoris[[#This Row],[Status]],LstMachines[MoisLivr],AS$1)</f>
        <v>0</v>
      </c>
      <c r="AT186" s="220">
        <f>SUMIFS(LstMachines[Nbre],LstMachines[Model-Spec],PrévisionBoris[[#This Row],[Spec]],LstMachines[Status],PrévisionBoris[[#This Row],[Status]],LstMachines[MoisLivr],AT$1)</f>
        <v>0</v>
      </c>
      <c r="AU186" s="219">
        <f>SUMIFS(LstMachines[Nbre],LstMachines[Model-Spec],PrévisionBoris[[#This Row],[Spec]],LstMachines[Status],PrévisionBoris[[#This Row],[Status]],LstMachines[MoisLivr],AU$1)</f>
        <v>0</v>
      </c>
      <c r="AV186" s="223">
        <f>SUMIFS(LstMachines[Nbre],LstMachines[Model-Spec],PrévisionBoris[[#This Row],[Spec]],LstMachines[Status],PrévisionBoris[[#This Row],[Status]],LstMachines[MoisLivr],AV$1)</f>
        <v>0</v>
      </c>
      <c r="AW186" s="224">
        <f>SUMIFS(LstMachines[Nbre],LstMachines[Model-Spec],PrévisionBoris[[#This Row],[Spec]],LstMachines[Status],PrévisionBoris[[#This Row],[Status]],LstMachines[MoisLivr],AW$1)</f>
        <v>0</v>
      </c>
      <c r="AX186" s="210"/>
      <c r="AY186" s="211">
        <f t="shared" si="35"/>
        <v>0</v>
      </c>
      <c r="AZ186" s="212">
        <f t="shared" si="36"/>
        <v>0</v>
      </c>
      <c r="BA186" s="212">
        <f t="shared" si="37"/>
        <v>0</v>
      </c>
      <c r="BB186" s="213">
        <f t="shared" si="38"/>
        <v>0</v>
      </c>
      <c r="BC186" s="225">
        <f t="shared" si="39"/>
        <v>0</v>
      </c>
      <c r="BD186" s="211">
        <f t="shared" si="40"/>
        <v>0</v>
      </c>
      <c r="BE186" s="212">
        <f t="shared" si="41"/>
        <v>0</v>
      </c>
      <c r="BF186" s="212">
        <f t="shared" si="42"/>
        <v>0</v>
      </c>
      <c r="BG186" s="213">
        <f t="shared" si="43"/>
        <v>0</v>
      </c>
      <c r="BH186" s="225">
        <f t="shared" si="44"/>
        <v>0</v>
      </c>
      <c r="BI186" s="214">
        <f t="shared" si="45"/>
        <v>0</v>
      </c>
      <c r="BJ186" s="215">
        <f t="shared" si="46"/>
        <v>0</v>
      </c>
      <c r="BK186" s="215">
        <f t="shared" si="47"/>
        <v>0</v>
      </c>
      <c r="BL186" s="216">
        <f t="shared" si="48"/>
        <v>0</v>
      </c>
      <c r="BM186" s="225">
        <f t="shared" si="49"/>
        <v>0</v>
      </c>
      <c r="BN186" s="225"/>
      <c r="BO186" s="217"/>
      <c r="BP186" s="218">
        <f t="shared" si="50"/>
        <v>0</v>
      </c>
    </row>
    <row r="187" spans="1:68">
      <c r="A187" s="171">
        <v>180</v>
      </c>
      <c r="B187" s="171" t="s">
        <v>75</v>
      </c>
      <c r="C187" s="201">
        <v>55</v>
      </c>
      <c r="D187" s="171" t="s">
        <v>83</v>
      </c>
      <c r="E187" s="171" t="s">
        <v>432</v>
      </c>
      <c r="F187" s="201">
        <f>VLOOKUP(PrévisionBoris[[#This Row],[Spec]],TabModelSpecs[[ModelSpec]:[Price]],2,FALSE)</f>
        <v>43</v>
      </c>
      <c r="G187" s="171" t="s">
        <v>463</v>
      </c>
      <c r="H187" s="226">
        <f>SUMIFS(LstMachines[Nbre],LstMachines[Model-Spec],PrévisionBoris[[#This Row],[Spec]],LstMachines[Status],PrévisionBoris[[#This Row],[Status]],LstMachines[MoisLivr],H$1)</f>
        <v>0</v>
      </c>
      <c r="I187" s="227">
        <f>SUMIFS(LstMachines[Nbre],LstMachines[Model-Spec],PrévisionBoris[[#This Row],[Spec]],LstMachines[Status],PrévisionBoris[[#This Row],[Status]],LstMachines[MoisLivr],I$1)</f>
        <v>0</v>
      </c>
      <c r="J187" s="228">
        <f>SUMIFS(LstMachines[Nbre],LstMachines[Model-Spec],PrévisionBoris[[#This Row],[Spec]],LstMachines[Status],PrévisionBoris[[#This Row],[Status]],LstMachines[MoisLivr],J$1)</f>
        <v>0</v>
      </c>
      <c r="K187" s="226">
        <f>SUMIFS(LstMachines[Nbre],LstMachines[Model-Spec],PrévisionBoris[[#This Row],[Spec]],LstMachines[Status],PrévisionBoris[[#This Row],[Status]],LstMachines[MoisLivr],K$1)</f>
        <v>0</v>
      </c>
      <c r="L187" s="227">
        <f>SUMIFS(LstMachines[Nbre],LstMachines[Model-Spec],PrévisionBoris[[#This Row],[Spec]],LstMachines[Status],PrévisionBoris[[#This Row],[Status]],LstMachines[MoisLivr],L$1)</f>
        <v>0</v>
      </c>
      <c r="M187" s="228">
        <f>SUMIFS(LstMachines[Nbre],LstMachines[Model-Spec],PrévisionBoris[[#This Row],[Spec]],LstMachines[Status],PrévisionBoris[[#This Row],[Status]],LstMachines[MoisLivr],M$1)</f>
        <v>0</v>
      </c>
      <c r="N187" s="226">
        <f>SUMIFS(LstMachines[Nbre],LstMachines[Model-Spec],PrévisionBoris[[#This Row],[Spec]],LstMachines[Status],PrévisionBoris[[#This Row],[Status]],LstMachines[MoisLivr],N$1)</f>
        <v>0</v>
      </c>
      <c r="O187" s="227">
        <f>SUMIFS(LstMachines[Nbre],LstMachines[Model-Spec],PrévisionBoris[[#This Row],[Spec]],LstMachines[Status],PrévisionBoris[[#This Row],[Status]],LstMachines[MoisLivr],O$1)</f>
        <v>0</v>
      </c>
      <c r="P187" s="228">
        <f>SUMIFS(LstMachines[Nbre],LstMachines[Model-Spec],PrévisionBoris[[#This Row],[Spec]],LstMachines[Status],PrévisionBoris[[#This Row],[Status]],LstMachines[MoisLivr],P$1)</f>
        <v>0</v>
      </c>
      <c r="Q187" s="229">
        <f>SUMIFS(LstMachines[Nbre],LstMachines[Model-Spec],PrévisionBoris[[#This Row],[Spec]],LstMachines[Status],PrévisionBoris[[#This Row],[Status]],LstMachines[MoisLivr],Q$1)</f>
        <v>0</v>
      </c>
      <c r="R187" s="227">
        <f>SUMIFS(LstMachines[Nbre],LstMachines[Model-Spec],PrévisionBoris[[#This Row],[Spec]],LstMachines[Status],PrévisionBoris[[#This Row],[Status]],LstMachines[MoisLivr],R$1)</f>
        <v>0</v>
      </c>
      <c r="S187" s="227">
        <f>SUMIFS(LstMachines[Nbre],LstMachines[Model-Spec],PrévisionBoris[[#This Row],[Spec]],LstMachines[Status],PrévisionBoris[[#This Row],[Status]],LstMachines[MoisLivr],S$1)</f>
        <v>0</v>
      </c>
      <c r="T187" s="226">
        <f>SUMIFS(LstMachines[Nbre],LstMachines[Model-Spec],PrévisionBoris[[#This Row],[Spec]],LstMachines[Status],PrévisionBoris[[#This Row],[Status]],LstMachines[MoisLivr],T$1)</f>
        <v>0</v>
      </c>
      <c r="U187" s="227">
        <f>SUMIFS(LstMachines[Nbre],LstMachines[Model-Spec],PrévisionBoris[[#This Row],[Spec]],LstMachines[Status],PrévisionBoris[[#This Row],[Status]],LstMachines[MoisLivr],U$1)</f>
        <v>0</v>
      </c>
      <c r="V187" s="227">
        <f>SUMIFS(LstMachines[Nbre],LstMachines[Model-Spec],PrévisionBoris[[#This Row],[Spec]],LstMachines[Status],PrévisionBoris[[#This Row],[Status]],LstMachines[MoisLivr],V$1)</f>
        <v>0</v>
      </c>
      <c r="W187" s="226">
        <f>SUMIFS(LstMachines[Nbre],LstMachines[Model-Spec],PrévisionBoris[[#This Row],[Spec]],LstMachines[Status],PrévisionBoris[[#This Row],[Status]],LstMachines[MoisLivr],W$1)</f>
        <v>0</v>
      </c>
      <c r="X187" s="227">
        <f>SUMIFS(LstMachines[Nbre],LstMachines[Model-Spec],PrévisionBoris[[#This Row],[Spec]],LstMachines[Status],PrévisionBoris[[#This Row],[Status]],LstMachines[MoisLivr],X$1)</f>
        <v>0</v>
      </c>
      <c r="Y187" s="227">
        <f>SUMIFS(LstMachines[Nbre],LstMachines[Model-Spec],PrévisionBoris[[#This Row],[Spec]],LstMachines[Status],PrévisionBoris[[#This Row],[Status]],LstMachines[MoisLivr],Y$1)</f>
        <v>0</v>
      </c>
      <c r="Z187" s="226">
        <f>SUMIFS(LstMachines[Nbre],LstMachines[Model-Spec],PrévisionBoris[[#This Row],[Spec]],LstMachines[Status],PrévisionBoris[[#This Row],[Status]],LstMachines[MoisLivr],Z$1)</f>
        <v>0</v>
      </c>
      <c r="AA187" s="227">
        <f>SUMIFS(LstMachines[Nbre],LstMachines[Model-Spec],PrévisionBoris[[#This Row],[Spec]],LstMachines[Status],PrévisionBoris[[#This Row],[Status]],LstMachines[MoisLivr],AA$1)</f>
        <v>0</v>
      </c>
      <c r="AB187" s="227">
        <f>SUMIFS(LstMachines[Nbre],LstMachines[Model-Spec],PrévisionBoris[[#This Row],[Spec]],LstMachines[Status],PrévisionBoris[[#This Row],[Status]],LstMachines[MoisLivr],AB$1)</f>
        <v>0</v>
      </c>
      <c r="AC187" s="226">
        <f>SUMIFS(LstMachines[Nbre],LstMachines[Model-Spec],PrévisionBoris[[#This Row],[Spec]],LstMachines[Status],PrévisionBoris[[#This Row],[Status]],LstMachines[MoisLivr],AC$1)</f>
        <v>0</v>
      </c>
      <c r="AD187" s="227">
        <f>SUMIFS(LstMachines[Nbre],LstMachines[Model-Spec],PrévisionBoris[[#This Row],[Spec]],LstMachines[Status],PrévisionBoris[[#This Row],[Status]],LstMachines[MoisLivr],AD$1)</f>
        <v>0</v>
      </c>
      <c r="AE187" s="227">
        <f>SUMIFS(LstMachines[Nbre],LstMachines[Model-Spec],PrévisionBoris[[#This Row],[Spec]],LstMachines[Status],PrévisionBoris[[#This Row],[Status]],LstMachines[MoisLivr],AE$1)</f>
        <v>0</v>
      </c>
      <c r="AF187" s="226">
        <f>SUMIFS(LstMachines[Nbre],LstMachines[Model-Spec],PrévisionBoris[[#This Row],[Spec]],LstMachines[Status],PrévisionBoris[[#This Row],[Status]],LstMachines[MoisLivr],AF$1)</f>
        <v>0</v>
      </c>
      <c r="AG187" s="227">
        <f>SUMIFS(LstMachines[Nbre],LstMachines[Model-Spec],PrévisionBoris[[#This Row],[Spec]],LstMachines[Status],PrévisionBoris[[#This Row],[Status]],LstMachines[MoisLivr],AG$1)</f>
        <v>0</v>
      </c>
      <c r="AH187" s="227">
        <f>SUMIFS(LstMachines[Nbre],LstMachines[Model-Spec],PrévisionBoris[[#This Row],[Spec]],LstMachines[Status],PrévisionBoris[[#This Row],[Status]],LstMachines[MoisLivr],AH$1)</f>
        <v>0</v>
      </c>
      <c r="AI187" s="226">
        <f>SUMIFS(LstMachines[Nbre],LstMachines[Model-Spec],PrévisionBoris[[#This Row],[Spec]],LstMachines[Status],PrévisionBoris[[#This Row],[Status]],LstMachines[MoisLivr],AI$1)</f>
        <v>0</v>
      </c>
      <c r="AJ187" s="227">
        <f>SUMIFS(LstMachines[Nbre],LstMachines[Model-Spec],PrévisionBoris[[#This Row],[Spec]],LstMachines[Status],PrévisionBoris[[#This Row],[Status]],LstMachines[MoisLivr],AJ$1)</f>
        <v>0</v>
      </c>
      <c r="AK187" s="227">
        <f>SUMIFS(LstMachines[Nbre],LstMachines[Model-Spec],PrévisionBoris[[#This Row],[Spec]],LstMachines[Status],PrévisionBoris[[#This Row],[Status]],LstMachines[MoisLivr],AK$1)</f>
        <v>0</v>
      </c>
      <c r="AL187" s="226">
        <f>SUMIFS(LstMachines[Nbre],LstMachines[Model-Spec],PrévisionBoris[[#This Row],[Spec]],LstMachines[Status],PrévisionBoris[[#This Row],[Status]],LstMachines[MoisLivr],AL$1)</f>
        <v>0</v>
      </c>
      <c r="AM187" s="227">
        <f>SUMIFS(LstMachines[Nbre],LstMachines[Model-Spec],PrévisionBoris[[#This Row],[Spec]],LstMachines[Status],PrévisionBoris[[#This Row],[Status]],LstMachines[MoisLivr],AM$1)</f>
        <v>0</v>
      </c>
      <c r="AN187" s="227">
        <f>SUMIFS(LstMachines[Nbre],LstMachines[Model-Spec],PrévisionBoris[[#This Row],[Spec]],LstMachines[Status],PrévisionBoris[[#This Row],[Status]],LstMachines[MoisLivr],AN$1)</f>
        <v>0</v>
      </c>
      <c r="AO187" s="226">
        <f>SUMIFS(LstMachines[Nbre],LstMachines[Model-Spec],PrévisionBoris[[#This Row],[Spec]],LstMachines[Status],PrévisionBoris[[#This Row],[Status]],LstMachines[MoisLivr],AO$1)</f>
        <v>0</v>
      </c>
      <c r="AP187" s="227">
        <f>SUMIFS(LstMachines[Nbre],LstMachines[Model-Spec],PrévisionBoris[[#This Row],[Spec]],LstMachines[Status],PrévisionBoris[[#This Row],[Status]],LstMachines[MoisLivr],AP$1)</f>
        <v>0</v>
      </c>
      <c r="AQ187" s="227">
        <f>SUMIFS(LstMachines[Nbre],LstMachines[Model-Spec],PrévisionBoris[[#This Row],[Spec]],LstMachines[Status],PrévisionBoris[[#This Row],[Status]],LstMachines[MoisLivr],AQ$1)</f>
        <v>0</v>
      </c>
      <c r="AR187" s="226">
        <f>SUMIFS(LstMachines[Nbre],LstMachines[Model-Spec],PrévisionBoris[[#This Row],[Spec]],LstMachines[Status],PrévisionBoris[[#This Row],[Status]],LstMachines[MoisLivr],AR$1)</f>
        <v>0</v>
      </c>
      <c r="AS187" s="227">
        <f>SUMIFS(LstMachines[Nbre],LstMachines[Model-Spec],PrévisionBoris[[#This Row],[Spec]],LstMachines[Status],PrévisionBoris[[#This Row],[Status]],LstMachines[MoisLivr],AS$1)</f>
        <v>0</v>
      </c>
      <c r="AT187" s="227">
        <f>SUMIFS(LstMachines[Nbre],LstMachines[Model-Spec],PrévisionBoris[[#This Row],[Spec]],LstMachines[Status],PrévisionBoris[[#This Row],[Status]],LstMachines[MoisLivr],AT$1)</f>
        <v>0</v>
      </c>
      <c r="AU187" s="226">
        <f>SUMIFS(LstMachines[Nbre],LstMachines[Model-Spec],PrévisionBoris[[#This Row],[Spec]],LstMachines[Status],PrévisionBoris[[#This Row],[Status]],LstMachines[MoisLivr],AU$1)</f>
        <v>0</v>
      </c>
      <c r="AV187" s="230">
        <f>SUMIFS(LstMachines[Nbre],LstMachines[Model-Spec],PrévisionBoris[[#This Row],[Spec]],LstMachines[Status],PrévisionBoris[[#This Row],[Status]],LstMachines[MoisLivr],AV$1)</f>
        <v>0</v>
      </c>
      <c r="AW187" s="231">
        <f>SUMIFS(LstMachines[Nbre],LstMachines[Model-Spec],PrévisionBoris[[#This Row],[Spec]],LstMachines[Status],PrévisionBoris[[#This Row],[Status]],LstMachines[MoisLivr],AW$1)</f>
        <v>0</v>
      </c>
      <c r="AX187" s="232"/>
      <c r="AY187" s="211">
        <f t="shared" si="35"/>
        <v>0</v>
      </c>
      <c r="AZ187" s="212">
        <f t="shared" si="36"/>
        <v>0</v>
      </c>
      <c r="BA187" s="212">
        <f t="shared" si="37"/>
        <v>0</v>
      </c>
      <c r="BB187" s="213">
        <f t="shared" si="38"/>
        <v>0</v>
      </c>
      <c r="BC187" s="225">
        <f t="shared" si="39"/>
        <v>0</v>
      </c>
      <c r="BD187" s="211">
        <f t="shared" si="40"/>
        <v>0</v>
      </c>
      <c r="BE187" s="212">
        <f t="shared" si="41"/>
        <v>0</v>
      </c>
      <c r="BF187" s="212">
        <f t="shared" si="42"/>
        <v>0</v>
      </c>
      <c r="BG187" s="213">
        <f t="shared" si="43"/>
        <v>0</v>
      </c>
      <c r="BH187" s="225">
        <f t="shared" si="44"/>
        <v>0</v>
      </c>
      <c r="BI187" s="214">
        <f t="shared" si="45"/>
        <v>0</v>
      </c>
      <c r="BJ187" s="215">
        <f t="shared" si="46"/>
        <v>0</v>
      </c>
      <c r="BK187" s="215">
        <f t="shared" si="47"/>
        <v>0</v>
      </c>
      <c r="BL187" s="216">
        <f t="shared" si="48"/>
        <v>0</v>
      </c>
      <c r="BM187" s="225">
        <f t="shared" si="49"/>
        <v>0</v>
      </c>
      <c r="BN187" s="225"/>
      <c r="BO187" s="217"/>
      <c r="BP187" s="218">
        <f t="shared" si="50"/>
        <v>0</v>
      </c>
    </row>
    <row r="188" spans="1:68">
      <c r="A188" s="172">
        <v>181</v>
      </c>
      <c r="B188" s="172" t="s">
        <v>75</v>
      </c>
      <c r="C188" s="202">
        <v>65</v>
      </c>
      <c r="D188" s="172" t="s">
        <v>84</v>
      </c>
      <c r="E188" s="172" t="s">
        <v>376</v>
      </c>
      <c r="F188" s="202">
        <f>VLOOKUP(PrévisionBoris[[#This Row],[Spec]],TabModelSpecs[[ModelSpec]:[Price]],2,FALSE)</f>
        <v>45</v>
      </c>
      <c r="G188" s="172" t="s">
        <v>461</v>
      </c>
      <c r="H188" s="206">
        <f>SUMIFS(LstMachines[Nbre],LstMachines[Model-Spec],PrévisionBoris[[#This Row],[Spec]],LstMachines[Status],PrévisionBoris[[#This Row],[Status]],LstMachines[MoisLivr],H$1)</f>
        <v>0</v>
      </c>
      <c r="I188" s="207">
        <f>SUMIFS(LstMachines[Nbre],LstMachines[Model-Spec],PrévisionBoris[[#This Row],[Spec]],LstMachines[Status],PrévisionBoris[[#This Row],[Status]],LstMachines[MoisLivr],I$1)</f>
        <v>0</v>
      </c>
      <c r="J188" s="208">
        <f>SUMIFS(LstMachines[Nbre],LstMachines[Model-Spec],PrévisionBoris[[#This Row],[Spec]],LstMachines[Status],PrévisionBoris[[#This Row],[Status]],LstMachines[MoisLivr],J$1)</f>
        <v>0</v>
      </c>
      <c r="K188" s="206">
        <f>SUMIFS(LstMachines[Nbre],LstMachines[Model-Spec],PrévisionBoris[[#This Row],[Spec]],LstMachines[Status],PrévisionBoris[[#This Row],[Status]],LstMachines[MoisLivr],K$1)</f>
        <v>0</v>
      </c>
      <c r="L188" s="207">
        <f>SUMIFS(LstMachines[Nbre],LstMachines[Model-Spec],PrévisionBoris[[#This Row],[Spec]],LstMachines[Status],PrévisionBoris[[#This Row],[Status]],LstMachines[MoisLivr],L$1)</f>
        <v>0</v>
      </c>
      <c r="M188" s="208">
        <f>SUMIFS(LstMachines[Nbre],LstMachines[Model-Spec],PrévisionBoris[[#This Row],[Spec]],LstMachines[Status],PrévisionBoris[[#This Row],[Status]],LstMachines[MoisLivr],M$1)</f>
        <v>0</v>
      </c>
      <c r="N188" s="206">
        <f>SUMIFS(LstMachines[Nbre],LstMachines[Model-Spec],PrévisionBoris[[#This Row],[Spec]],LstMachines[Status],PrévisionBoris[[#This Row],[Status]],LstMachines[MoisLivr],N$1)</f>
        <v>0</v>
      </c>
      <c r="O188" s="207">
        <f>SUMIFS(LstMachines[Nbre],LstMachines[Model-Spec],PrévisionBoris[[#This Row],[Spec]],LstMachines[Status],PrévisionBoris[[#This Row],[Status]],LstMachines[MoisLivr],O$1)</f>
        <v>0</v>
      </c>
      <c r="P188" s="208">
        <f>SUMIFS(LstMachines[Nbre],LstMachines[Model-Spec],PrévisionBoris[[#This Row],[Spec]],LstMachines[Status],PrévisionBoris[[#This Row],[Status]],LstMachines[MoisLivr],P$1)</f>
        <v>0</v>
      </c>
      <c r="Q188" s="209">
        <f>SUMIFS(LstMachines[Nbre],LstMachines[Model-Spec],PrévisionBoris[[#This Row],[Spec]],LstMachines[Status],PrévisionBoris[[#This Row],[Status]],LstMachines[MoisLivr],Q$1)</f>
        <v>0</v>
      </c>
      <c r="R188" s="207">
        <f>SUMIFS(LstMachines[Nbre],LstMachines[Model-Spec],PrévisionBoris[[#This Row],[Spec]],LstMachines[Status],PrévisionBoris[[#This Row],[Status]],LstMachines[MoisLivr],R$1)</f>
        <v>0</v>
      </c>
      <c r="S188" s="207">
        <f>SUMIFS(LstMachines[Nbre],LstMachines[Model-Spec],PrévisionBoris[[#This Row],[Spec]],LstMachines[Status],PrévisionBoris[[#This Row],[Status]],LstMachines[MoisLivr],S$1)</f>
        <v>0</v>
      </c>
      <c r="T188" s="206">
        <f>SUMIFS(LstMachines[Nbre],LstMachines[Model-Spec],PrévisionBoris[[#This Row],[Spec]],LstMachines[Status],PrévisionBoris[[#This Row],[Status]],LstMachines[MoisLivr],T$1)</f>
        <v>0</v>
      </c>
      <c r="U188" s="207">
        <f>SUMIFS(LstMachines[Nbre],LstMachines[Model-Spec],PrévisionBoris[[#This Row],[Spec]],LstMachines[Status],PrévisionBoris[[#This Row],[Status]],LstMachines[MoisLivr],U$1)</f>
        <v>0</v>
      </c>
      <c r="V188" s="207">
        <f>SUMIFS(LstMachines[Nbre],LstMachines[Model-Spec],PrévisionBoris[[#This Row],[Spec]],LstMachines[Status],PrévisionBoris[[#This Row],[Status]],LstMachines[MoisLivr],V$1)</f>
        <v>0</v>
      </c>
      <c r="W188" s="206">
        <f>SUMIFS(LstMachines[Nbre],LstMachines[Model-Spec],PrévisionBoris[[#This Row],[Spec]],LstMachines[Status],PrévisionBoris[[#This Row],[Status]],LstMachines[MoisLivr],W$1)</f>
        <v>0</v>
      </c>
      <c r="X188" s="207">
        <f>SUMIFS(LstMachines[Nbre],LstMachines[Model-Spec],PrévisionBoris[[#This Row],[Spec]],LstMachines[Status],PrévisionBoris[[#This Row],[Status]],LstMachines[MoisLivr],X$1)</f>
        <v>0</v>
      </c>
      <c r="Y188" s="207">
        <f>SUMIFS(LstMachines[Nbre],LstMachines[Model-Spec],PrévisionBoris[[#This Row],[Spec]],LstMachines[Status],PrévisionBoris[[#This Row],[Status]],LstMachines[MoisLivr],Y$1)</f>
        <v>0</v>
      </c>
      <c r="Z188" s="206">
        <f>SUMIFS(LstMachines[Nbre],LstMachines[Model-Spec],PrévisionBoris[[#This Row],[Spec]],LstMachines[Status],PrévisionBoris[[#This Row],[Status]],LstMachines[MoisLivr],Z$1)</f>
        <v>0</v>
      </c>
      <c r="AA188" s="207">
        <f>SUMIFS(LstMachines[Nbre],LstMachines[Model-Spec],PrévisionBoris[[#This Row],[Spec]],LstMachines[Status],PrévisionBoris[[#This Row],[Status]],LstMachines[MoisLivr],AA$1)</f>
        <v>0</v>
      </c>
      <c r="AB188" s="207">
        <f>SUMIFS(LstMachines[Nbre],LstMachines[Model-Spec],PrévisionBoris[[#This Row],[Spec]],LstMachines[Status],PrévisionBoris[[#This Row],[Status]],LstMachines[MoisLivr],AB$1)</f>
        <v>9</v>
      </c>
      <c r="AC188" s="206">
        <f>SUMIFS(LstMachines[Nbre],LstMachines[Model-Spec],PrévisionBoris[[#This Row],[Spec]],LstMachines[Status],PrévisionBoris[[#This Row],[Status]],LstMachines[MoisLivr],AC$1)</f>
        <v>0</v>
      </c>
      <c r="AD188" s="207">
        <f>SUMIFS(LstMachines[Nbre],LstMachines[Model-Spec],PrévisionBoris[[#This Row],[Spec]],LstMachines[Status],PrévisionBoris[[#This Row],[Status]],LstMachines[MoisLivr],AD$1)</f>
        <v>0</v>
      </c>
      <c r="AE188" s="207">
        <f>SUMIFS(LstMachines[Nbre],LstMachines[Model-Spec],PrévisionBoris[[#This Row],[Spec]],LstMachines[Status],PrévisionBoris[[#This Row],[Status]],LstMachines[MoisLivr],AE$1)</f>
        <v>0</v>
      </c>
      <c r="AF188" s="206">
        <f>SUMIFS(LstMachines[Nbre],LstMachines[Model-Spec],PrévisionBoris[[#This Row],[Spec]],LstMachines[Status],PrévisionBoris[[#This Row],[Status]],LstMachines[MoisLivr],AF$1)</f>
        <v>0</v>
      </c>
      <c r="AG188" s="207">
        <f>SUMIFS(LstMachines[Nbre],LstMachines[Model-Spec],PrévisionBoris[[#This Row],[Spec]],LstMachines[Status],PrévisionBoris[[#This Row],[Status]],LstMachines[MoisLivr],AG$1)</f>
        <v>0</v>
      </c>
      <c r="AH188" s="207">
        <f>SUMIFS(LstMachines[Nbre],LstMachines[Model-Spec],PrévisionBoris[[#This Row],[Spec]],LstMachines[Status],PrévisionBoris[[#This Row],[Status]],LstMachines[MoisLivr],AH$1)</f>
        <v>0</v>
      </c>
      <c r="AI188" s="206">
        <f>SUMIFS(LstMachines[Nbre],LstMachines[Model-Spec],PrévisionBoris[[#This Row],[Spec]],LstMachines[Status],PrévisionBoris[[#This Row],[Status]],LstMachines[MoisLivr],AI$1)</f>
        <v>0</v>
      </c>
      <c r="AJ188" s="207">
        <f>SUMIFS(LstMachines[Nbre],LstMachines[Model-Spec],PrévisionBoris[[#This Row],[Spec]],LstMachines[Status],PrévisionBoris[[#This Row],[Status]],LstMachines[MoisLivr],AJ$1)</f>
        <v>0</v>
      </c>
      <c r="AK188" s="207">
        <f>SUMIFS(LstMachines[Nbre],LstMachines[Model-Spec],PrévisionBoris[[#This Row],[Spec]],LstMachines[Status],PrévisionBoris[[#This Row],[Status]],LstMachines[MoisLivr],AK$1)</f>
        <v>0</v>
      </c>
      <c r="AL188" s="206">
        <f>SUMIFS(LstMachines[Nbre],LstMachines[Model-Spec],PrévisionBoris[[#This Row],[Spec]],LstMachines[Status],PrévisionBoris[[#This Row],[Status]],LstMachines[MoisLivr],AL$1)</f>
        <v>0</v>
      </c>
      <c r="AM188" s="207">
        <f>SUMIFS(LstMachines[Nbre],LstMachines[Model-Spec],PrévisionBoris[[#This Row],[Spec]],LstMachines[Status],PrévisionBoris[[#This Row],[Status]],LstMachines[MoisLivr],AM$1)</f>
        <v>0</v>
      </c>
      <c r="AN188" s="207">
        <f>SUMIFS(LstMachines[Nbre],LstMachines[Model-Spec],PrévisionBoris[[#This Row],[Spec]],LstMachines[Status],PrévisionBoris[[#This Row],[Status]],LstMachines[MoisLivr],AN$1)</f>
        <v>9</v>
      </c>
      <c r="AO188" s="206">
        <f>SUMIFS(LstMachines[Nbre],LstMachines[Model-Spec],PrévisionBoris[[#This Row],[Spec]],LstMachines[Status],PrévisionBoris[[#This Row],[Status]],LstMachines[MoisLivr],AO$1)</f>
        <v>0</v>
      </c>
      <c r="AP188" s="207">
        <f>SUMIFS(LstMachines[Nbre],LstMachines[Model-Spec],PrévisionBoris[[#This Row],[Spec]],LstMachines[Status],PrévisionBoris[[#This Row],[Status]],LstMachines[MoisLivr],AP$1)</f>
        <v>0</v>
      </c>
      <c r="AQ188" s="207">
        <f>SUMIFS(LstMachines[Nbre],LstMachines[Model-Spec],PrévisionBoris[[#This Row],[Spec]],LstMachines[Status],PrévisionBoris[[#This Row],[Status]],LstMachines[MoisLivr],AQ$1)</f>
        <v>0</v>
      </c>
      <c r="AR188" s="206">
        <f>SUMIFS(LstMachines[Nbre],LstMachines[Model-Spec],PrévisionBoris[[#This Row],[Spec]],LstMachines[Status],PrévisionBoris[[#This Row],[Status]],LstMachines[MoisLivr],AR$1)</f>
        <v>0</v>
      </c>
      <c r="AS188" s="207">
        <f>SUMIFS(LstMachines[Nbre],LstMachines[Model-Spec],PrévisionBoris[[#This Row],[Spec]],LstMachines[Status],PrévisionBoris[[#This Row],[Status]],LstMachines[MoisLivr],AS$1)</f>
        <v>0</v>
      </c>
      <c r="AT188" s="207">
        <f>SUMIFS(LstMachines[Nbre],LstMachines[Model-Spec],PrévisionBoris[[#This Row],[Spec]],LstMachines[Status],PrévisionBoris[[#This Row],[Status]],LstMachines[MoisLivr],AT$1)</f>
        <v>0</v>
      </c>
      <c r="AU188" s="206">
        <f>SUMIFS(LstMachines[Nbre],LstMachines[Model-Spec],PrévisionBoris[[#This Row],[Spec]],LstMachines[Status],PrévisionBoris[[#This Row],[Status]],LstMachines[MoisLivr],AU$1)</f>
        <v>0</v>
      </c>
      <c r="AV188" s="233">
        <f>SUMIFS(LstMachines[Nbre],LstMachines[Model-Spec],PrévisionBoris[[#This Row],[Spec]],LstMachines[Status],PrévisionBoris[[#This Row],[Status]],LstMachines[MoisLivr],AV$1)</f>
        <v>0</v>
      </c>
      <c r="AW188" s="208">
        <f>SUMIFS(LstMachines[Nbre],LstMachines[Model-Spec],PrévisionBoris[[#This Row],[Spec]],LstMachines[Status],PrévisionBoris[[#This Row],[Status]],LstMachines[MoisLivr],AW$1)</f>
        <v>0</v>
      </c>
      <c r="AX188" s="225"/>
      <c r="AY188" s="211">
        <f t="shared" si="35"/>
        <v>0</v>
      </c>
      <c r="AZ188" s="212">
        <f t="shared" si="36"/>
        <v>0</v>
      </c>
      <c r="BA188" s="212">
        <f t="shared" si="37"/>
        <v>0</v>
      </c>
      <c r="BB188" s="213">
        <f t="shared" si="38"/>
        <v>0</v>
      </c>
      <c r="BC188" s="225">
        <f t="shared" si="39"/>
        <v>0</v>
      </c>
      <c r="BD188" s="211">
        <f t="shared" si="40"/>
        <v>0</v>
      </c>
      <c r="BE188" s="212">
        <f t="shared" si="41"/>
        <v>9</v>
      </c>
      <c r="BF188" s="212">
        <f t="shared" si="42"/>
        <v>0</v>
      </c>
      <c r="BG188" s="213">
        <f t="shared" si="43"/>
        <v>0</v>
      </c>
      <c r="BH188" s="225">
        <f t="shared" si="44"/>
        <v>9</v>
      </c>
      <c r="BI188" s="214">
        <f t="shared" si="45"/>
        <v>0</v>
      </c>
      <c r="BJ188" s="215">
        <f t="shared" si="46"/>
        <v>9</v>
      </c>
      <c r="BK188" s="215">
        <f t="shared" si="47"/>
        <v>0</v>
      </c>
      <c r="BL188" s="216">
        <f t="shared" si="48"/>
        <v>0</v>
      </c>
      <c r="BM188" s="225">
        <f t="shared" si="49"/>
        <v>9</v>
      </c>
      <c r="BN188" s="225"/>
      <c r="BO188" s="234"/>
      <c r="BP188" s="218">
        <f t="shared" si="50"/>
        <v>18</v>
      </c>
    </row>
    <row r="189" spans="1:68">
      <c r="A189" s="170">
        <v>182</v>
      </c>
      <c r="B189" s="170" t="s">
        <v>75</v>
      </c>
      <c r="C189" s="200">
        <v>65</v>
      </c>
      <c r="D189" s="170" t="s">
        <v>84</v>
      </c>
      <c r="E189" s="170" t="s">
        <v>376</v>
      </c>
      <c r="F189" s="200">
        <f>VLOOKUP(PrévisionBoris[[#This Row],[Spec]],TabModelSpecs[[ModelSpec]:[Price]],2,FALSE)</f>
        <v>45</v>
      </c>
      <c r="G189" s="170" t="s">
        <v>462</v>
      </c>
      <c r="H189" s="219">
        <f>SUMIFS(LstMachines[Nbre],LstMachines[Model-Spec],PrévisionBoris[[#This Row],[Spec]],LstMachines[Status],PrévisionBoris[[#This Row],[Status]],LstMachines[MoisLivr],H$1)</f>
        <v>0</v>
      </c>
      <c r="I189" s="220">
        <f>SUMIFS(LstMachines[Nbre],LstMachines[Model-Spec],PrévisionBoris[[#This Row],[Spec]],LstMachines[Status],PrévisionBoris[[#This Row],[Status]],LstMachines[MoisLivr],I$1)</f>
        <v>0</v>
      </c>
      <c r="J189" s="221">
        <f>SUMIFS(LstMachines[Nbre],LstMachines[Model-Spec],PrévisionBoris[[#This Row],[Spec]],LstMachines[Status],PrévisionBoris[[#This Row],[Status]],LstMachines[MoisLivr],J$1)</f>
        <v>0</v>
      </c>
      <c r="K189" s="219">
        <f>SUMIFS(LstMachines[Nbre],LstMachines[Model-Spec],PrévisionBoris[[#This Row],[Spec]],LstMachines[Status],PrévisionBoris[[#This Row],[Status]],LstMachines[MoisLivr],K$1)</f>
        <v>0</v>
      </c>
      <c r="L189" s="220">
        <f>SUMIFS(LstMachines[Nbre],LstMachines[Model-Spec],PrévisionBoris[[#This Row],[Spec]],LstMachines[Status],PrévisionBoris[[#This Row],[Status]],LstMachines[MoisLivr],L$1)</f>
        <v>0</v>
      </c>
      <c r="M189" s="221">
        <f>SUMIFS(LstMachines[Nbre],LstMachines[Model-Spec],PrévisionBoris[[#This Row],[Spec]],LstMachines[Status],PrévisionBoris[[#This Row],[Status]],LstMachines[MoisLivr],M$1)</f>
        <v>0</v>
      </c>
      <c r="N189" s="219">
        <f>SUMIFS(LstMachines[Nbre],LstMachines[Model-Spec],PrévisionBoris[[#This Row],[Spec]],LstMachines[Status],PrévisionBoris[[#This Row],[Status]],LstMachines[MoisLivr],N$1)</f>
        <v>0</v>
      </c>
      <c r="O189" s="220">
        <f>SUMIFS(LstMachines[Nbre],LstMachines[Model-Spec],PrévisionBoris[[#This Row],[Spec]],LstMachines[Status],PrévisionBoris[[#This Row],[Status]],LstMachines[MoisLivr],O$1)</f>
        <v>0</v>
      </c>
      <c r="P189" s="221">
        <f>SUMIFS(LstMachines[Nbre],LstMachines[Model-Spec],PrévisionBoris[[#This Row],[Spec]],LstMachines[Status],PrévisionBoris[[#This Row],[Status]],LstMachines[MoisLivr],P$1)</f>
        <v>0</v>
      </c>
      <c r="Q189" s="222">
        <f>SUMIFS(LstMachines[Nbre],LstMachines[Model-Spec],PrévisionBoris[[#This Row],[Spec]],LstMachines[Status],PrévisionBoris[[#This Row],[Status]],LstMachines[MoisLivr],Q$1)</f>
        <v>0</v>
      </c>
      <c r="R189" s="220">
        <f>SUMIFS(LstMachines[Nbre],LstMachines[Model-Spec],PrévisionBoris[[#This Row],[Spec]],LstMachines[Status],PrévisionBoris[[#This Row],[Status]],LstMachines[MoisLivr],R$1)</f>
        <v>0</v>
      </c>
      <c r="S189" s="220">
        <f>SUMIFS(LstMachines[Nbre],LstMachines[Model-Spec],PrévisionBoris[[#This Row],[Spec]],LstMachines[Status],PrévisionBoris[[#This Row],[Status]],LstMachines[MoisLivr],S$1)</f>
        <v>0</v>
      </c>
      <c r="T189" s="219">
        <f>SUMIFS(LstMachines[Nbre],LstMachines[Model-Spec],PrévisionBoris[[#This Row],[Spec]],LstMachines[Status],PrévisionBoris[[#This Row],[Status]],LstMachines[MoisLivr],T$1)</f>
        <v>0</v>
      </c>
      <c r="U189" s="220">
        <f>SUMIFS(LstMachines[Nbre],LstMachines[Model-Spec],PrévisionBoris[[#This Row],[Spec]],LstMachines[Status],PrévisionBoris[[#This Row],[Status]],LstMachines[MoisLivr],U$1)</f>
        <v>0</v>
      </c>
      <c r="V189" s="220">
        <f>SUMIFS(LstMachines[Nbre],LstMachines[Model-Spec],PrévisionBoris[[#This Row],[Spec]],LstMachines[Status],PrévisionBoris[[#This Row],[Status]],LstMachines[MoisLivr],V$1)</f>
        <v>0</v>
      </c>
      <c r="W189" s="219">
        <f>SUMIFS(LstMachines[Nbre],LstMachines[Model-Spec],PrévisionBoris[[#This Row],[Spec]],LstMachines[Status],PrévisionBoris[[#This Row],[Status]],LstMachines[MoisLivr],W$1)</f>
        <v>0</v>
      </c>
      <c r="X189" s="220">
        <f>SUMIFS(LstMachines[Nbre],LstMachines[Model-Spec],PrévisionBoris[[#This Row],[Spec]],LstMachines[Status],PrévisionBoris[[#This Row],[Status]],LstMachines[MoisLivr],X$1)</f>
        <v>0</v>
      </c>
      <c r="Y189" s="220">
        <f>SUMIFS(LstMachines[Nbre],LstMachines[Model-Spec],PrévisionBoris[[#This Row],[Spec]],LstMachines[Status],PrévisionBoris[[#This Row],[Status]],LstMachines[MoisLivr],Y$1)</f>
        <v>0</v>
      </c>
      <c r="Z189" s="219">
        <f>SUMIFS(LstMachines[Nbre],LstMachines[Model-Spec],PrévisionBoris[[#This Row],[Spec]],LstMachines[Status],PrévisionBoris[[#This Row],[Status]],LstMachines[MoisLivr],Z$1)</f>
        <v>0</v>
      </c>
      <c r="AA189" s="220">
        <f>SUMIFS(LstMachines[Nbre],LstMachines[Model-Spec],PrévisionBoris[[#This Row],[Spec]],LstMachines[Status],PrévisionBoris[[#This Row],[Status]],LstMachines[MoisLivr],AA$1)</f>
        <v>0</v>
      </c>
      <c r="AB189" s="220">
        <f>SUMIFS(LstMachines[Nbre],LstMachines[Model-Spec],PrévisionBoris[[#This Row],[Spec]],LstMachines[Status],PrévisionBoris[[#This Row],[Status]],LstMachines[MoisLivr],AB$1)</f>
        <v>0</v>
      </c>
      <c r="AC189" s="219">
        <f>SUMIFS(LstMachines[Nbre],LstMachines[Model-Spec],PrévisionBoris[[#This Row],[Spec]],LstMachines[Status],PrévisionBoris[[#This Row],[Status]],LstMachines[MoisLivr],AC$1)</f>
        <v>0</v>
      </c>
      <c r="AD189" s="220">
        <f>SUMIFS(LstMachines[Nbre],LstMachines[Model-Spec],PrévisionBoris[[#This Row],[Spec]],LstMachines[Status],PrévisionBoris[[#This Row],[Status]],LstMachines[MoisLivr],AD$1)</f>
        <v>0</v>
      </c>
      <c r="AE189" s="220">
        <f>SUMIFS(LstMachines[Nbre],LstMachines[Model-Spec],PrévisionBoris[[#This Row],[Spec]],LstMachines[Status],PrévisionBoris[[#This Row],[Status]],LstMachines[MoisLivr],AE$1)</f>
        <v>0</v>
      </c>
      <c r="AF189" s="219">
        <f>SUMIFS(LstMachines[Nbre],LstMachines[Model-Spec],PrévisionBoris[[#This Row],[Spec]],LstMachines[Status],PrévisionBoris[[#This Row],[Status]],LstMachines[MoisLivr],AF$1)</f>
        <v>0</v>
      </c>
      <c r="AG189" s="220">
        <f>SUMIFS(LstMachines[Nbre],LstMachines[Model-Spec],PrévisionBoris[[#This Row],[Spec]],LstMachines[Status],PrévisionBoris[[#This Row],[Status]],LstMachines[MoisLivr],AG$1)</f>
        <v>0</v>
      </c>
      <c r="AH189" s="220">
        <f>SUMIFS(LstMachines[Nbre],LstMachines[Model-Spec],PrévisionBoris[[#This Row],[Spec]],LstMachines[Status],PrévisionBoris[[#This Row],[Status]],LstMachines[MoisLivr],AH$1)</f>
        <v>0</v>
      </c>
      <c r="AI189" s="219">
        <f>SUMIFS(LstMachines[Nbre],LstMachines[Model-Spec],PrévisionBoris[[#This Row],[Spec]],LstMachines[Status],PrévisionBoris[[#This Row],[Status]],LstMachines[MoisLivr],AI$1)</f>
        <v>0</v>
      </c>
      <c r="AJ189" s="220">
        <f>SUMIFS(LstMachines[Nbre],LstMachines[Model-Spec],PrévisionBoris[[#This Row],[Spec]],LstMachines[Status],PrévisionBoris[[#This Row],[Status]],LstMachines[MoisLivr],AJ$1)</f>
        <v>0</v>
      </c>
      <c r="AK189" s="220">
        <f>SUMIFS(LstMachines[Nbre],LstMachines[Model-Spec],PrévisionBoris[[#This Row],[Spec]],LstMachines[Status],PrévisionBoris[[#This Row],[Status]],LstMachines[MoisLivr],AK$1)</f>
        <v>0</v>
      </c>
      <c r="AL189" s="219">
        <f>SUMIFS(LstMachines[Nbre],LstMachines[Model-Spec],PrévisionBoris[[#This Row],[Spec]],LstMachines[Status],PrévisionBoris[[#This Row],[Status]],LstMachines[MoisLivr],AL$1)</f>
        <v>0</v>
      </c>
      <c r="AM189" s="220">
        <f>SUMIFS(LstMachines[Nbre],LstMachines[Model-Spec],PrévisionBoris[[#This Row],[Spec]],LstMachines[Status],PrévisionBoris[[#This Row],[Status]],LstMachines[MoisLivr],AM$1)</f>
        <v>0</v>
      </c>
      <c r="AN189" s="220">
        <f>SUMIFS(LstMachines[Nbre],LstMachines[Model-Spec],PrévisionBoris[[#This Row],[Spec]],LstMachines[Status],PrévisionBoris[[#This Row],[Status]],LstMachines[MoisLivr],AN$1)</f>
        <v>0</v>
      </c>
      <c r="AO189" s="219">
        <f>SUMIFS(LstMachines[Nbre],LstMachines[Model-Spec],PrévisionBoris[[#This Row],[Spec]],LstMachines[Status],PrévisionBoris[[#This Row],[Status]],LstMachines[MoisLivr],AO$1)</f>
        <v>0</v>
      </c>
      <c r="AP189" s="220">
        <f>SUMIFS(LstMachines[Nbre],LstMachines[Model-Spec],PrévisionBoris[[#This Row],[Spec]],LstMachines[Status],PrévisionBoris[[#This Row],[Status]],LstMachines[MoisLivr],AP$1)</f>
        <v>0</v>
      </c>
      <c r="AQ189" s="220">
        <f>SUMIFS(LstMachines[Nbre],LstMachines[Model-Spec],PrévisionBoris[[#This Row],[Spec]],LstMachines[Status],PrévisionBoris[[#This Row],[Status]],LstMachines[MoisLivr],AQ$1)</f>
        <v>0</v>
      </c>
      <c r="AR189" s="219">
        <f>SUMIFS(LstMachines[Nbre],LstMachines[Model-Spec],PrévisionBoris[[#This Row],[Spec]],LstMachines[Status],PrévisionBoris[[#This Row],[Status]],LstMachines[MoisLivr],AR$1)</f>
        <v>0</v>
      </c>
      <c r="AS189" s="220">
        <f>SUMIFS(LstMachines[Nbre],LstMachines[Model-Spec],PrévisionBoris[[#This Row],[Spec]],LstMachines[Status],PrévisionBoris[[#This Row],[Status]],LstMachines[MoisLivr],AS$1)</f>
        <v>0</v>
      </c>
      <c r="AT189" s="220">
        <f>SUMIFS(LstMachines[Nbre],LstMachines[Model-Spec],PrévisionBoris[[#This Row],[Spec]],LstMachines[Status],PrévisionBoris[[#This Row],[Status]],LstMachines[MoisLivr],AT$1)</f>
        <v>0</v>
      </c>
      <c r="AU189" s="219">
        <f>SUMIFS(LstMachines[Nbre],LstMachines[Model-Spec],PrévisionBoris[[#This Row],[Spec]],LstMachines[Status],PrévisionBoris[[#This Row],[Status]],LstMachines[MoisLivr],AU$1)</f>
        <v>0</v>
      </c>
      <c r="AV189" s="223">
        <f>SUMIFS(LstMachines[Nbre],LstMachines[Model-Spec],PrévisionBoris[[#This Row],[Spec]],LstMachines[Status],PrévisionBoris[[#This Row],[Status]],LstMachines[MoisLivr],AV$1)</f>
        <v>0</v>
      </c>
      <c r="AW189" s="224">
        <f>SUMIFS(LstMachines[Nbre],LstMachines[Model-Spec],PrévisionBoris[[#This Row],[Spec]],LstMachines[Status],PrévisionBoris[[#This Row],[Status]],LstMachines[MoisLivr],AW$1)</f>
        <v>0</v>
      </c>
      <c r="AX189" s="210"/>
      <c r="AY189" s="211">
        <f t="shared" si="35"/>
        <v>0</v>
      </c>
      <c r="AZ189" s="212">
        <f t="shared" si="36"/>
        <v>0</v>
      </c>
      <c r="BA189" s="212">
        <f t="shared" si="37"/>
        <v>0</v>
      </c>
      <c r="BB189" s="213">
        <f t="shared" si="38"/>
        <v>0</v>
      </c>
      <c r="BC189" s="225">
        <f t="shared" si="39"/>
        <v>0</v>
      </c>
      <c r="BD189" s="211">
        <f t="shared" si="40"/>
        <v>0</v>
      </c>
      <c r="BE189" s="212">
        <f t="shared" si="41"/>
        <v>0</v>
      </c>
      <c r="BF189" s="212">
        <f t="shared" si="42"/>
        <v>0</v>
      </c>
      <c r="BG189" s="213">
        <f t="shared" si="43"/>
        <v>0</v>
      </c>
      <c r="BH189" s="225">
        <f t="shared" si="44"/>
        <v>0</v>
      </c>
      <c r="BI189" s="214">
        <f t="shared" si="45"/>
        <v>0</v>
      </c>
      <c r="BJ189" s="215">
        <f t="shared" si="46"/>
        <v>0</v>
      </c>
      <c r="BK189" s="215">
        <f t="shared" si="47"/>
        <v>0</v>
      </c>
      <c r="BL189" s="216">
        <f t="shared" si="48"/>
        <v>0</v>
      </c>
      <c r="BM189" s="225">
        <f t="shared" si="49"/>
        <v>0</v>
      </c>
      <c r="BN189" s="225"/>
      <c r="BO189" s="217"/>
      <c r="BP189" s="218">
        <f t="shared" si="50"/>
        <v>0</v>
      </c>
    </row>
    <row r="190" spans="1:68">
      <c r="A190" s="171">
        <v>183</v>
      </c>
      <c r="B190" s="171" t="s">
        <v>75</v>
      </c>
      <c r="C190" s="201">
        <v>65</v>
      </c>
      <c r="D190" s="171" t="s">
        <v>84</v>
      </c>
      <c r="E190" s="171" t="s">
        <v>376</v>
      </c>
      <c r="F190" s="201">
        <f>VLOOKUP(PrévisionBoris[[#This Row],[Spec]],TabModelSpecs[[ModelSpec]:[Price]],2,FALSE)</f>
        <v>45</v>
      </c>
      <c r="G190" s="171" t="s">
        <v>463</v>
      </c>
      <c r="H190" s="226">
        <f>SUMIFS(LstMachines[Nbre],LstMachines[Model-Spec],PrévisionBoris[[#This Row],[Spec]],LstMachines[Status],PrévisionBoris[[#This Row],[Status]],LstMachines[MoisLivr],H$1)</f>
        <v>0</v>
      </c>
      <c r="I190" s="227">
        <f>SUMIFS(LstMachines[Nbre],LstMachines[Model-Spec],PrévisionBoris[[#This Row],[Spec]],LstMachines[Status],PrévisionBoris[[#This Row],[Status]],LstMachines[MoisLivr],I$1)</f>
        <v>0</v>
      </c>
      <c r="J190" s="228">
        <f>SUMIFS(LstMachines[Nbre],LstMachines[Model-Spec],PrévisionBoris[[#This Row],[Spec]],LstMachines[Status],PrévisionBoris[[#This Row],[Status]],LstMachines[MoisLivr],J$1)</f>
        <v>0</v>
      </c>
      <c r="K190" s="226">
        <f>SUMIFS(LstMachines[Nbre],LstMachines[Model-Spec],PrévisionBoris[[#This Row],[Spec]],LstMachines[Status],PrévisionBoris[[#This Row],[Status]],LstMachines[MoisLivr],K$1)</f>
        <v>0</v>
      </c>
      <c r="L190" s="227">
        <f>SUMIFS(LstMachines[Nbre],LstMachines[Model-Spec],PrévisionBoris[[#This Row],[Spec]],LstMachines[Status],PrévisionBoris[[#This Row],[Status]],LstMachines[MoisLivr],L$1)</f>
        <v>0</v>
      </c>
      <c r="M190" s="228">
        <f>SUMIFS(LstMachines[Nbre],LstMachines[Model-Spec],PrévisionBoris[[#This Row],[Spec]],LstMachines[Status],PrévisionBoris[[#This Row],[Status]],LstMachines[MoisLivr],M$1)</f>
        <v>0</v>
      </c>
      <c r="N190" s="226">
        <f>SUMIFS(LstMachines[Nbre],LstMachines[Model-Spec],PrévisionBoris[[#This Row],[Spec]],LstMachines[Status],PrévisionBoris[[#This Row],[Status]],LstMachines[MoisLivr],N$1)</f>
        <v>0</v>
      </c>
      <c r="O190" s="227">
        <f>SUMIFS(LstMachines[Nbre],LstMachines[Model-Spec],PrévisionBoris[[#This Row],[Spec]],LstMachines[Status],PrévisionBoris[[#This Row],[Status]],LstMachines[MoisLivr],O$1)</f>
        <v>0</v>
      </c>
      <c r="P190" s="228">
        <f>SUMIFS(LstMachines[Nbre],LstMachines[Model-Spec],PrévisionBoris[[#This Row],[Spec]],LstMachines[Status],PrévisionBoris[[#This Row],[Status]],LstMachines[MoisLivr],P$1)</f>
        <v>0</v>
      </c>
      <c r="Q190" s="229">
        <f>SUMIFS(LstMachines[Nbre],LstMachines[Model-Spec],PrévisionBoris[[#This Row],[Spec]],LstMachines[Status],PrévisionBoris[[#This Row],[Status]],LstMachines[MoisLivr],Q$1)</f>
        <v>0</v>
      </c>
      <c r="R190" s="227">
        <f>SUMIFS(LstMachines[Nbre],LstMachines[Model-Spec],PrévisionBoris[[#This Row],[Spec]],LstMachines[Status],PrévisionBoris[[#This Row],[Status]],LstMachines[MoisLivr],R$1)</f>
        <v>0</v>
      </c>
      <c r="S190" s="227">
        <f>SUMIFS(LstMachines[Nbre],LstMachines[Model-Spec],PrévisionBoris[[#This Row],[Spec]],LstMachines[Status],PrévisionBoris[[#This Row],[Status]],LstMachines[MoisLivr],S$1)</f>
        <v>0</v>
      </c>
      <c r="T190" s="226">
        <f>SUMIFS(LstMachines[Nbre],LstMachines[Model-Spec],PrévisionBoris[[#This Row],[Spec]],LstMachines[Status],PrévisionBoris[[#This Row],[Status]],LstMachines[MoisLivr],T$1)</f>
        <v>0</v>
      </c>
      <c r="U190" s="227">
        <f>SUMIFS(LstMachines[Nbre],LstMachines[Model-Spec],PrévisionBoris[[#This Row],[Spec]],LstMachines[Status],PrévisionBoris[[#This Row],[Status]],LstMachines[MoisLivr],U$1)</f>
        <v>0</v>
      </c>
      <c r="V190" s="227">
        <f>SUMIFS(LstMachines[Nbre],LstMachines[Model-Spec],PrévisionBoris[[#This Row],[Spec]],LstMachines[Status],PrévisionBoris[[#This Row],[Status]],LstMachines[MoisLivr],V$1)</f>
        <v>0</v>
      </c>
      <c r="W190" s="226">
        <f>SUMIFS(LstMachines[Nbre],LstMachines[Model-Spec],PrévisionBoris[[#This Row],[Spec]],LstMachines[Status],PrévisionBoris[[#This Row],[Status]],LstMachines[MoisLivr],W$1)</f>
        <v>0</v>
      </c>
      <c r="X190" s="227">
        <f>SUMIFS(LstMachines[Nbre],LstMachines[Model-Spec],PrévisionBoris[[#This Row],[Spec]],LstMachines[Status],PrévisionBoris[[#This Row],[Status]],LstMachines[MoisLivr],X$1)</f>
        <v>0</v>
      </c>
      <c r="Y190" s="227">
        <f>SUMIFS(LstMachines[Nbre],LstMachines[Model-Spec],PrévisionBoris[[#This Row],[Spec]],LstMachines[Status],PrévisionBoris[[#This Row],[Status]],LstMachines[MoisLivr],Y$1)</f>
        <v>0</v>
      </c>
      <c r="Z190" s="226">
        <f>SUMIFS(LstMachines[Nbre],LstMachines[Model-Spec],PrévisionBoris[[#This Row],[Spec]],LstMachines[Status],PrévisionBoris[[#This Row],[Status]],LstMachines[MoisLivr],Z$1)</f>
        <v>0</v>
      </c>
      <c r="AA190" s="227">
        <f>SUMIFS(LstMachines[Nbre],LstMachines[Model-Spec],PrévisionBoris[[#This Row],[Spec]],LstMachines[Status],PrévisionBoris[[#This Row],[Status]],LstMachines[MoisLivr],AA$1)</f>
        <v>0</v>
      </c>
      <c r="AB190" s="227">
        <f>SUMIFS(LstMachines[Nbre],LstMachines[Model-Spec],PrévisionBoris[[#This Row],[Spec]],LstMachines[Status],PrévisionBoris[[#This Row],[Status]],LstMachines[MoisLivr],AB$1)</f>
        <v>0</v>
      </c>
      <c r="AC190" s="226">
        <f>SUMIFS(LstMachines[Nbre],LstMachines[Model-Spec],PrévisionBoris[[#This Row],[Spec]],LstMachines[Status],PrévisionBoris[[#This Row],[Status]],LstMachines[MoisLivr],AC$1)</f>
        <v>0</v>
      </c>
      <c r="AD190" s="227">
        <f>SUMIFS(LstMachines[Nbre],LstMachines[Model-Spec],PrévisionBoris[[#This Row],[Spec]],LstMachines[Status],PrévisionBoris[[#This Row],[Status]],LstMachines[MoisLivr],AD$1)</f>
        <v>0</v>
      </c>
      <c r="AE190" s="227">
        <f>SUMIFS(LstMachines[Nbre],LstMachines[Model-Spec],PrévisionBoris[[#This Row],[Spec]],LstMachines[Status],PrévisionBoris[[#This Row],[Status]],LstMachines[MoisLivr],AE$1)</f>
        <v>0</v>
      </c>
      <c r="AF190" s="226">
        <f>SUMIFS(LstMachines[Nbre],LstMachines[Model-Spec],PrévisionBoris[[#This Row],[Spec]],LstMachines[Status],PrévisionBoris[[#This Row],[Status]],LstMachines[MoisLivr],AF$1)</f>
        <v>0</v>
      </c>
      <c r="AG190" s="227">
        <f>SUMIFS(LstMachines[Nbre],LstMachines[Model-Spec],PrévisionBoris[[#This Row],[Spec]],LstMachines[Status],PrévisionBoris[[#This Row],[Status]],LstMachines[MoisLivr],AG$1)</f>
        <v>0</v>
      </c>
      <c r="AH190" s="227">
        <f>SUMIFS(LstMachines[Nbre],LstMachines[Model-Spec],PrévisionBoris[[#This Row],[Spec]],LstMachines[Status],PrévisionBoris[[#This Row],[Status]],LstMachines[MoisLivr],AH$1)</f>
        <v>0</v>
      </c>
      <c r="AI190" s="226">
        <f>SUMIFS(LstMachines[Nbre],LstMachines[Model-Spec],PrévisionBoris[[#This Row],[Spec]],LstMachines[Status],PrévisionBoris[[#This Row],[Status]],LstMachines[MoisLivr],AI$1)</f>
        <v>0</v>
      </c>
      <c r="AJ190" s="227">
        <f>SUMIFS(LstMachines[Nbre],LstMachines[Model-Spec],PrévisionBoris[[#This Row],[Spec]],LstMachines[Status],PrévisionBoris[[#This Row],[Status]],LstMachines[MoisLivr],AJ$1)</f>
        <v>0</v>
      </c>
      <c r="AK190" s="227">
        <f>SUMIFS(LstMachines[Nbre],LstMachines[Model-Spec],PrévisionBoris[[#This Row],[Spec]],LstMachines[Status],PrévisionBoris[[#This Row],[Status]],LstMachines[MoisLivr],AK$1)</f>
        <v>0</v>
      </c>
      <c r="AL190" s="226">
        <f>SUMIFS(LstMachines[Nbre],LstMachines[Model-Spec],PrévisionBoris[[#This Row],[Spec]],LstMachines[Status],PrévisionBoris[[#This Row],[Status]],LstMachines[MoisLivr],AL$1)</f>
        <v>0</v>
      </c>
      <c r="AM190" s="227">
        <f>SUMIFS(LstMachines[Nbre],LstMachines[Model-Spec],PrévisionBoris[[#This Row],[Spec]],LstMachines[Status],PrévisionBoris[[#This Row],[Status]],LstMachines[MoisLivr],AM$1)</f>
        <v>0</v>
      </c>
      <c r="AN190" s="227">
        <f>SUMIFS(LstMachines[Nbre],LstMachines[Model-Spec],PrévisionBoris[[#This Row],[Spec]],LstMachines[Status],PrévisionBoris[[#This Row],[Status]],LstMachines[MoisLivr],AN$1)</f>
        <v>0</v>
      </c>
      <c r="AO190" s="226">
        <f>SUMIFS(LstMachines[Nbre],LstMachines[Model-Spec],PrévisionBoris[[#This Row],[Spec]],LstMachines[Status],PrévisionBoris[[#This Row],[Status]],LstMachines[MoisLivr],AO$1)</f>
        <v>0</v>
      </c>
      <c r="AP190" s="227">
        <f>SUMIFS(LstMachines[Nbre],LstMachines[Model-Spec],PrévisionBoris[[#This Row],[Spec]],LstMachines[Status],PrévisionBoris[[#This Row],[Status]],LstMachines[MoisLivr],AP$1)</f>
        <v>0</v>
      </c>
      <c r="AQ190" s="227">
        <f>SUMIFS(LstMachines[Nbre],LstMachines[Model-Spec],PrévisionBoris[[#This Row],[Spec]],LstMachines[Status],PrévisionBoris[[#This Row],[Status]],LstMachines[MoisLivr],AQ$1)</f>
        <v>0</v>
      </c>
      <c r="AR190" s="226">
        <f>SUMIFS(LstMachines[Nbre],LstMachines[Model-Spec],PrévisionBoris[[#This Row],[Spec]],LstMachines[Status],PrévisionBoris[[#This Row],[Status]],LstMachines[MoisLivr],AR$1)</f>
        <v>0</v>
      </c>
      <c r="AS190" s="227">
        <f>SUMIFS(LstMachines[Nbre],LstMachines[Model-Spec],PrévisionBoris[[#This Row],[Spec]],LstMachines[Status],PrévisionBoris[[#This Row],[Status]],LstMachines[MoisLivr],AS$1)</f>
        <v>0</v>
      </c>
      <c r="AT190" s="227">
        <f>SUMIFS(LstMachines[Nbre],LstMachines[Model-Spec],PrévisionBoris[[#This Row],[Spec]],LstMachines[Status],PrévisionBoris[[#This Row],[Status]],LstMachines[MoisLivr],AT$1)</f>
        <v>0</v>
      </c>
      <c r="AU190" s="226">
        <f>SUMIFS(LstMachines[Nbre],LstMachines[Model-Spec],PrévisionBoris[[#This Row],[Spec]],LstMachines[Status],PrévisionBoris[[#This Row],[Status]],LstMachines[MoisLivr],AU$1)</f>
        <v>0</v>
      </c>
      <c r="AV190" s="230">
        <f>SUMIFS(LstMachines[Nbre],LstMachines[Model-Spec],PrévisionBoris[[#This Row],[Spec]],LstMachines[Status],PrévisionBoris[[#This Row],[Status]],LstMachines[MoisLivr],AV$1)</f>
        <v>0</v>
      </c>
      <c r="AW190" s="231">
        <f>SUMIFS(LstMachines[Nbre],LstMachines[Model-Spec],PrévisionBoris[[#This Row],[Spec]],LstMachines[Status],PrévisionBoris[[#This Row],[Status]],LstMachines[MoisLivr],AW$1)</f>
        <v>0</v>
      </c>
      <c r="AX190" s="232"/>
      <c r="AY190" s="211">
        <f t="shared" si="35"/>
        <v>0</v>
      </c>
      <c r="AZ190" s="212">
        <f t="shared" si="36"/>
        <v>0</v>
      </c>
      <c r="BA190" s="212">
        <f t="shared" si="37"/>
        <v>0</v>
      </c>
      <c r="BB190" s="213">
        <f t="shared" si="38"/>
        <v>0</v>
      </c>
      <c r="BC190" s="225">
        <f t="shared" si="39"/>
        <v>0</v>
      </c>
      <c r="BD190" s="211">
        <f t="shared" si="40"/>
        <v>0</v>
      </c>
      <c r="BE190" s="212">
        <f t="shared" si="41"/>
        <v>0</v>
      </c>
      <c r="BF190" s="212">
        <f t="shared" si="42"/>
        <v>0</v>
      </c>
      <c r="BG190" s="213">
        <f t="shared" si="43"/>
        <v>0</v>
      </c>
      <c r="BH190" s="225">
        <f t="shared" si="44"/>
        <v>0</v>
      </c>
      <c r="BI190" s="214">
        <f t="shared" si="45"/>
        <v>0</v>
      </c>
      <c r="BJ190" s="215">
        <f t="shared" si="46"/>
        <v>0</v>
      </c>
      <c r="BK190" s="215">
        <f t="shared" si="47"/>
        <v>0</v>
      </c>
      <c r="BL190" s="216">
        <f t="shared" si="48"/>
        <v>0</v>
      </c>
      <c r="BM190" s="225">
        <f t="shared" si="49"/>
        <v>0</v>
      </c>
      <c r="BN190" s="225"/>
      <c r="BO190" s="217"/>
      <c r="BP190" s="218">
        <f t="shared" si="50"/>
        <v>0</v>
      </c>
    </row>
    <row r="191" spans="1:68">
      <c r="A191" s="172">
        <v>184</v>
      </c>
      <c r="B191" s="172" t="s">
        <v>75</v>
      </c>
      <c r="C191" s="202">
        <v>65</v>
      </c>
      <c r="D191" s="172" t="s">
        <v>84</v>
      </c>
      <c r="E191" s="172" t="s">
        <v>364</v>
      </c>
      <c r="F191" s="202">
        <f>VLOOKUP(PrévisionBoris[[#This Row],[Spec]],TabModelSpecs[[ModelSpec]:[Price]],2,FALSE)</f>
        <v>45</v>
      </c>
      <c r="G191" s="172" t="s">
        <v>461</v>
      </c>
      <c r="H191" s="206">
        <f>SUMIFS(LstMachines[Nbre],LstMachines[Model-Spec],PrévisionBoris[[#This Row],[Spec]],LstMachines[Status],PrévisionBoris[[#This Row],[Status]],LstMachines[MoisLivr],H$1)</f>
        <v>0</v>
      </c>
      <c r="I191" s="207">
        <f>SUMIFS(LstMachines[Nbre],LstMachines[Model-Spec],PrévisionBoris[[#This Row],[Spec]],LstMachines[Status],PrévisionBoris[[#This Row],[Status]],LstMachines[MoisLivr],I$1)</f>
        <v>0</v>
      </c>
      <c r="J191" s="208">
        <f>SUMIFS(LstMachines[Nbre],LstMachines[Model-Spec],PrévisionBoris[[#This Row],[Spec]],LstMachines[Status],PrévisionBoris[[#This Row],[Status]],LstMachines[MoisLivr],J$1)</f>
        <v>0</v>
      </c>
      <c r="K191" s="206">
        <f>SUMIFS(LstMachines[Nbre],LstMachines[Model-Spec],PrévisionBoris[[#This Row],[Spec]],LstMachines[Status],PrévisionBoris[[#This Row],[Status]],LstMachines[MoisLivr],K$1)</f>
        <v>0</v>
      </c>
      <c r="L191" s="207">
        <f>SUMIFS(LstMachines[Nbre],LstMachines[Model-Spec],PrévisionBoris[[#This Row],[Spec]],LstMachines[Status],PrévisionBoris[[#This Row],[Status]],LstMachines[MoisLivr],L$1)</f>
        <v>0</v>
      </c>
      <c r="M191" s="208">
        <f>SUMIFS(LstMachines[Nbre],LstMachines[Model-Spec],PrévisionBoris[[#This Row],[Spec]],LstMachines[Status],PrévisionBoris[[#This Row],[Status]],LstMachines[MoisLivr],M$1)</f>
        <v>1</v>
      </c>
      <c r="N191" s="206">
        <f>SUMIFS(LstMachines[Nbre],LstMachines[Model-Spec],PrévisionBoris[[#This Row],[Spec]],LstMachines[Status],PrévisionBoris[[#This Row],[Status]],LstMachines[MoisLivr],N$1)</f>
        <v>0</v>
      </c>
      <c r="O191" s="207">
        <f>SUMIFS(LstMachines[Nbre],LstMachines[Model-Spec],PrévisionBoris[[#This Row],[Spec]],LstMachines[Status],PrévisionBoris[[#This Row],[Status]],LstMachines[MoisLivr],O$1)</f>
        <v>0</v>
      </c>
      <c r="P191" s="208">
        <f>SUMIFS(LstMachines[Nbre],LstMachines[Model-Spec],PrévisionBoris[[#This Row],[Spec]],LstMachines[Status],PrévisionBoris[[#This Row],[Status]],LstMachines[MoisLivr],P$1)</f>
        <v>3</v>
      </c>
      <c r="Q191" s="209">
        <f>SUMIFS(LstMachines[Nbre],LstMachines[Model-Spec],PrévisionBoris[[#This Row],[Spec]],LstMachines[Status],PrévisionBoris[[#This Row],[Status]],LstMachines[MoisLivr],Q$1)</f>
        <v>1</v>
      </c>
      <c r="R191" s="207">
        <f>SUMIFS(LstMachines[Nbre],LstMachines[Model-Spec],PrévisionBoris[[#This Row],[Spec]],LstMachines[Status],PrévisionBoris[[#This Row],[Status]],LstMachines[MoisLivr],R$1)</f>
        <v>1</v>
      </c>
      <c r="S191" s="207">
        <f>SUMIFS(LstMachines[Nbre],LstMachines[Model-Spec],PrévisionBoris[[#This Row],[Spec]],LstMachines[Status],PrévisionBoris[[#This Row],[Status]],LstMachines[MoisLivr],S$1)</f>
        <v>1</v>
      </c>
      <c r="T191" s="206">
        <f>SUMIFS(LstMachines[Nbre],LstMachines[Model-Spec],PrévisionBoris[[#This Row],[Spec]],LstMachines[Status],PrévisionBoris[[#This Row],[Status]],LstMachines[MoisLivr],T$1)</f>
        <v>2</v>
      </c>
      <c r="U191" s="207">
        <f>SUMIFS(LstMachines[Nbre],LstMachines[Model-Spec],PrévisionBoris[[#This Row],[Spec]],LstMachines[Status],PrévisionBoris[[#This Row],[Status]],LstMachines[MoisLivr],U$1)</f>
        <v>1</v>
      </c>
      <c r="V191" s="207">
        <f>SUMIFS(LstMachines[Nbre],LstMachines[Model-Spec],PrévisionBoris[[#This Row],[Spec]],LstMachines[Status],PrévisionBoris[[#This Row],[Status]],LstMachines[MoisLivr],V$1)</f>
        <v>0</v>
      </c>
      <c r="W191" s="206">
        <f>SUMIFS(LstMachines[Nbre],LstMachines[Model-Spec],PrévisionBoris[[#This Row],[Spec]],LstMachines[Status],PrévisionBoris[[#This Row],[Status]],LstMachines[MoisLivr],W$1)</f>
        <v>0</v>
      </c>
      <c r="X191" s="207">
        <f>SUMIFS(LstMachines[Nbre],LstMachines[Model-Spec],PrévisionBoris[[#This Row],[Spec]],LstMachines[Status],PrévisionBoris[[#This Row],[Status]],LstMachines[MoisLivr],X$1)</f>
        <v>0</v>
      </c>
      <c r="Y191" s="207">
        <f>SUMIFS(LstMachines[Nbre],LstMachines[Model-Spec],PrévisionBoris[[#This Row],[Spec]],LstMachines[Status],PrévisionBoris[[#This Row],[Status]],LstMachines[MoisLivr],Y$1)</f>
        <v>0</v>
      </c>
      <c r="Z191" s="206">
        <f>SUMIFS(LstMachines[Nbre],LstMachines[Model-Spec],PrévisionBoris[[#This Row],[Spec]],LstMachines[Status],PrévisionBoris[[#This Row],[Status]],LstMachines[MoisLivr],Z$1)</f>
        <v>1</v>
      </c>
      <c r="AA191" s="207">
        <f>SUMIFS(LstMachines[Nbre],LstMachines[Model-Spec],PrévisionBoris[[#This Row],[Spec]],LstMachines[Status],PrévisionBoris[[#This Row],[Status]],LstMachines[MoisLivr],AA$1)</f>
        <v>0</v>
      </c>
      <c r="AB191" s="207">
        <f>SUMIFS(LstMachines[Nbre],LstMachines[Model-Spec],PrévisionBoris[[#This Row],[Spec]],LstMachines[Status],PrévisionBoris[[#This Row],[Status]],LstMachines[MoisLivr],AB$1)</f>
        <v>9</v>
      </c>
      <c r="AC191" s="206">
        <f>SUMIFS(LstMachines[Nbre],LstMachines[Model-Spec],PrévisionBoris[[#This Row],[Spec]],LstMachines[Status],PrévisionBoris[[#This Row],[Status]],LstMachines[MoisLivr],AC$1)</f>
        <v>1</v>
      </c>
      <c r="AD191" s="207">
        <f>SUMIFS(LstMachines[Nbre],LstMachines[Model-Spec],PrévisionBoris[[#This Row],[Spec]],LstMachines[Status],PrévisionBoris[[#This Row],[Status]],LstMachines[MoisLivr],AD$1)</f>
        <v>1</v>
      </c>
      <c r="AE191" s="207">
        <f>SUMIFS(LstMachines[Nbre],LstMachines[Model-Spec],PrévisionBoris[[#This Row],[Spec]],LstMachines[Status],PrévisionBoris[[#This Row],[Status]],LstMachines[MoisLivr],AE$1)</f>
        <v>0</v>
      </c>
      <c r="AF191" s="206">
        <f>SUMIFS(LstMachines[Nbre],LstMachines[Model-Spec],PrévisionBoris[[#This Row],[Spec]],LstMachines[Status],PrévisionBoris[[#This Row],[Status]],LstMachines[MoisLivr],AF$1)</f>
        <v>0</v>
      </c>
      <c r="AG191" s="207">
        <f>SUMIFS(LstMachines[Nbre],LstMachines[Model-Spec],PrévisionBoris[[#This Row],[Spec]],LstMachines[Status],PrévisionBoris[[#This Row],[Status]],LstMachines[MoisLivr],AG$1)</f>
        <v>1</v>
      </c>
      <c r="AH191" s="207">
        <f>SUMIFS(LstMachines[Nbre],LstMachines[Model-Spec],PrévisionBoris[[#This Row],[Spec]],LstMachines[Status],PrévisionBoris[[#This Row],[Status]],LstMachines[MoisLivr],AH$1)</f>
        <v>0</v>
      </c>
      <c r="AI191" s="206">
        <f>SUMIFS(LstMachines[Nbre],LstMachines[Model-Spec],PrévisionBoris[[#This Row],[Spec]],LstMachines[Status],PrévisionBoris[[#This Row],[Status]],LstMachines[MoisLivr],AI$1)</f>
        <v>0</v>
      </c>
      <c r="AJ191" s="207">
        <f>SUMIFS(LstMachines[Nbre],LstMachines[Model-Spec],PrévisionBoris[[#This Row],[Spec]],LstMachines[Status],PrévisionBoris[[#This Row],[Status]],LstMachines[MoisLivr],AJ$1)</f>
        <v>0</v>
      </c>
      <c r="AK191" s="207">
        <f>SUMIFS(LstMachines[Nbre],LstMachines[Model-Spec],PrévisionBoris[[#This Row],[Spec]],LstMachines[Status],PrévisionBoris[[#This Row],[Status]],LstMachines[MoisLivr],AK$1)</f>
        <v>0</v>
      </c>
      <c r="AL191" s="206">
        <f>SUMIFS(LstMachines[Nbre],LstMachines[Model-Spec],PrévisionBoris[[#This Row],[Spec]],LstMachines[Status],PrévisionBoris[[#This Row],[Status]],LstMachines[MoisLivr],AL$1)</f>
        <v>0</v>
      </c>
      <c r="AM191" s="207">
        <f>SUMIFS(LstMachines[Nbre],LstMachines[Model-Spec],PrévisionBoris[[#This Row],[Spec]],LstMachines[Status],PrévisionBoris[[#This Row],[Status]],LstMachines[MoisLivr],AM$1)</f>
        <v>0</v>
      </c>
      <c r="AN191" s="207">
        <f>SUMIFS(LstMachines[Nbre],LstMachines[Model-Spec],PrévisionBoris[[#This Row],[Spec]],LstMachines[Status],PrévisionBoris[[#This Row],[Status]],LstMachines[MoisLivr],AN$1)</f>
        <v>9</v>
      </c>
      <c r="AO191" s="206">
        <f>SUMIFS(LstMachines[Nbre],LstMachines[Model-Spec],PrévisionBoris[[#This Row],[Spec]],LstMachines[Status],PrévisionBoris[[#This Row],[Status]],LstMachines[MoisLivr],AO$1)</f>
        <v>1</v>
      </c>
      <c r="AP191" s="207">
        <f>SUMIFS(LstMachines[Nbre],LstMachines[Model-Spec],PrévisionBoris[[#This Row],[Spec]],LstMachines[Status],PrévisionBoris[[#This Row],[Status]],LstMachines[MoisLivr],AP$1)</f>
        <v>0</v>
      </c>
      <c r="AQ191" s="207">
        <f>SUMIFS(LstMachines[Nbre],LstMachines[Model-Spec],PrévisionBoris[[#This Row],[Spec]],LstMachines[Status],PrévisionBoris[[#This Row],[Status]],LstMachines[MoisLivr],AQ$1)</f>
        <v>0</v>
      </c>
      <c r="AR191" s="206">
        <f>SUMIFS(LstMachines[Nbre],LstMachines[Model-Spec],PrévisionBoris[[#This Row],[Spec]],LstMachines[Status],PrévisionBoris[[#This Row],[Status]],LstMachines[MoisLivr],AR$1)</f>
        <v>0</v>
      </c>
      <c r="AS191" s="207">
        <f>SUMIFS(LstMachines[Nbre],LstMachines[Model-Spec],PrévisionBoris[[#This Row],[Spec]],LstMachines[Status],PrévisionBoris[[#This Row],[Status]],LstMachines[MoisLivr],AS$1)</f>
        <v>1</v>
      </c>
      <c r="AT191" s="207">
        <f>SUMIFS(LstMachines[Nbre],LstMachines[Model-Spec],PrévisionBoris[[#This Row],[Spec]],LstMachines[Status],PrévisionBoris[[#This Row],[Status]],LstMachines[MoisLivr],AT$1)</f>
        <v>0</v>
      </c>
      <c r="AU191" s="206">
        <f>SUMIFS(LstMachines[Nbre],LstMachines[Model-Spec],PrévisionBoris[[#This Row],[Spec]],LstMachines[Status],PrévisionBoris[[#This Row],[Status]],LstMachines[MoisLivr],AU$1)</f>
        <v>0</v>
      </c>
      <c r="AV191" s="233">
        <f>SUMIFS(LstMachines[Nbre],LstMachines[Model-Spec],PrévisionBoris[[#This Row],[Spec]],LstMachines[Status],PrévisionBoris[[#This Row],[Status]],LstMachines[MoisLivr],AV$1)</f>
        <v>0</v>
      </c>
      <c r="AW191" s="208">
        <f>SUMIFS(LstMachines[Nbre],LstMachines[Model-Spec],PrévisionBoris[[#This Row],[Spec]],LstMachines[Status],PrévisionBoris[[#This Row],[Status]],LstMachines[MoisLivr],AW$1)</f>
        <v>0</v>
      </c>
      <c r="AX191" s="225"/>
      <c r="AY191" s="211">
        <f t="shared" si="35"/>
        <v>1</v>
      </c>
      <c r="AZ191" s="212">
        <f t="shared" si="36"/>
        <v>3</v>
      </c>
      <c r="BA191" s="212">
        <f t="shared" si="37"/>
        <v>3</v>
      </c>
      <c r="BB191" s="213">
        <f t="shared" si="38"/>
        <v>3</v>
      </c>
      <c r="BC191" s="225">
        <f t="shared" si="39"/>
        <v>10</v>
      </c>
      <c r="BD191" s="211">
        <f t="shared" si="40"/>
        <v>0</v>
      </c>
      <c r="BE191" s="212">
        <f t="shared" si="41"/>
        <v>10</v>
      </c>
      <c r="BF191" s="212">
        <f t="shared" si="42"/>
        <v>2</v>
      </c>
      <c r="BG191" s="213">
        <f t="shared" si="43"/>
        <v>1</v>
      </c>
      <c r="BH191" s="225">
        <f t="shared" si="44"/>
        <v>13</v>
      </c>
      <c r="BI191" s="214">
        <f t="shared" si="45"/>
        <v>0</v>
      </c>
      <c r="BJ191" s="215">
        <f t="shared" si="46"/>
        <v>9</v>
      </c>
      <c r="BK191" s="215">
        <f t="shared" si="47"/>
        <v>1</v>
      </c>
      <c r="BL191" s="216">
        <f t="shared" si="48"/>
        <v>1</v>
      </c>
      <c r="BM191" s="225">
        <f t="shared" si="49"/>
        <v>11</v>
      </c>
      <c r="BN191" s="225"/>
      <c r="BO191" s="234"/>
      <c r="BP191" s="218">
        <f t="shared" si="50"/>
        <v>34</v>
      </c>
    </row>
    <row r="192" spans="1:68">
      <c r="A192" s="170">
        <v>185</v>
      </c>
      <c r="B192" s="170" t="s">
        <v>75</v>
      </c>
      <c r="C192" s="200">
        <v>65</v>
      </c>
      <c r="D192" s="170" t="s">
        <v>84</v>
      </c>
      <c r="E192" s="170" t="s">
        <v>364</v>
      </c>
      <c r="F192" s="200">
        <f>VLOOKUP(PrévisionBoris[[#This Row],[Spec]],TabModelSpecs[[ModelSpec]:[Price]],2,FALSE)</f>
        <v>45</v>
      </c>
      <c r="G192" s="170" t="s">
        <v>462</v>
      </c>
      <c r="H192" s="219">
        <f>SUMIFS(LstMachines[Nbre],LstMachines[Model-Spec],PrévisionBoris[[#This Row],[Spec]],LstMachines[Status],PrévisionBoris[[#This Row],[Status]],LstMachines[MoisLivr],H$1)</f>
        <v>0</v>
      </c>
      <c r="I192" s="220">
        <f>SUMIFS(LstMachines[Nbre],LstMachines[Model-Spec],PrévisionBoris[[#This Row],[Spec]],LstMachines[Status],PrévisionBoris[[#This Row],[Status]],LstMachines[MoisLivr],I$1)</f>
        <v>0</v>
      </c>
      <c r="J192" s="221">
        <f>SUMIFS(LstMachines[Nbre],LstMachines[Model-Spec],PrévisionBoris[[#This Row],[Spec]],LstMachines[Status],PrévisionBoris[[#This Row],[Status]],LstMachines[MoisLivr],J$1)</f>
        <v>0</v>
      </c>
      <c r="K192" s="219">
        <f>SUMIFS(LstMachines[Nbre],LstMachines[Model-Spec],PrévisionBoris[[#This Row],[Spec]],LstMachines[Status],PrévisionBoris[[#This Row],[Status]],LstMachines[MoisLivr],K$1)</f>
        <v>0</v>
      </c>
      <c r="L192" s="220">
        <f>SUMIFS(LstMachines[Nbre],LstMachines[Model-Spec],PrévisionBoris[[#This Row],[Spec]],LstMachines[Status],PrévisionBoris[[#This Row],[Status]],LstMachines[MoisLivr],L$1)</f>
        <v>0</v>
      </c>
      <c r="M192" s="221">
        <f>SUMIFS(LstMachines[Nbre],LstMachines[Model-Spec],PrévisionBoris[[#This Row],[Spec]],LstMachines[Status],PrévisionBoris[[#This Row],[Status]],LstMachines[MoisLivr],M$1)</f>
        <v>0</v>
      </c>
      <c r="N192" s="219">
        <f>SUMIFS(LstMachines[Nbre],LstMachines[Model-Spec],PrévisionBoris[[#This Row],[Spec]],LstMachines[Status],PrévisionBoris[[#This Row],[Status]],LstMachines[MoisLivr],N$1)</f>
        <v>0</v>
      </c>
      <c r="O192" s="220">
        <f>SUMIFS(LstMachines[Nbre],LstMachines[Model-Spec],PrévisionBoris[[#This Row],[Spec]],LstMachines[Status],PrévisionBoris[[#This Row],[Status]],LstMachines[MoisLivr],O$1)</f>
        <v>0</v>
      </c>
      <c r="P192" s="221">
        <f>SUMIFS(LstMachines[Nbre],LstMachines[Model-Spec],PrévisionBoris[[#This Row],[Spec]],LstMachines[Status],PrévisionBoris[[#This Row],[Status]],LstMachines[MoisLivr],P$1)</f>
        <v>0</v>
      </c>
      <c r="Q192" s="222">
        <f>SUMIFS(LstMachines[Nbre],LstMachines[Model-Spec],PrévisionBoris[[#This Row],[Spec]],LstMachines[Status],PrévisionBoris[[#This Row],[Status]],LstMachines[MoisLivr],Q$1)</f>
        <v>0</v>
      </c>
      <c r="R192" s="220">
        <f>SUMIFS(LstMachines[Nbre],LstMachines[Model-Spec],PrévisionBoris[[#This Row],[Spec]],LstMachines[Status],PrévisionBoris[[#This Row],[Status]],LstMachines[MoisLivr],R$1)</f>
        <v>0</v>
      </c>
      <c r="S192" s="220">
        <f>SUMIFS(LstMachines[Nbre],LstMachines[Model-Spec],PrévisionBoris[[#This Row],[Spec]],LstMachines[Status],PrévisionBoris[[#This Row],[Status]],LstMachines[MoisLivr],S$1)</f>
        <v>0</v>
      </c>
      <c r="T192" s="219">
        <f>SUMIFS(LstMachines[Nbre],LstMachines[Model-Spec],PrévisionBoris[[#This Row],[Spec]],LstMachines[Status],PrévisionBoris[[#This Row],[Status]],LstMachines[MoisLivr],T$1)</f>
        <v>0</v>
      </c>
      <c r="U192" s="220">
        <f>SUMIFS(LstMachines[Nbre],LstMachines[Model-Spec],PrévisionBoris[[#This Row],[Spec]],LstMachines[Status],PrévisionBoris[[#This Row],[Status]],LstMachines[MoisLivr],U$1)</f>
        <v>0</v>
      </c>
      <c r="V192" s="220">
        <f>SUMIFS(LstMachines[Nbre],LstMachines[Model-Spec],PrévisionBoris[[#This Row],[Spec]],LstMachines[Status],PrévisionBoris[[#This Row],[Status]],LstMachines[MoisLivr],V$1)</f>
        <v>0</v>
      </c>
      <c r="W192" s="219">
        <f>SUMIFS(LstMachines[Nbre],LstMachines[Model-Spec],PrévisionBoris[[#This Row],[Spec]],LstMachines[Status],PrévisionBoris[[#This Row],[Status]],LstMachines[MoisLivr],W$1)</f>
        <v>0</v>
      </c>
      <c r="X192" s="220">
        <f>SUMIFS(LstMachines[Nbre],LstMachines[Model-Spec],PrévisionBoris[[#This Row],[Spec]],LstMachines[Status],PrévisionBoris[[#This Row],[Status]],LstMachines[MoisLivr],X$1)</f>
        <v>0</v>
      </c>
      <c r="Y192" s="220">
        <f>SUMIFS(LstMachines[Nbre],LstMachines[Model-Spec],PrévisionBoris[[#This Row],[Spec]],LstMachines[Status],PrévisionBoris[[#This Row],[Status]],LstMachines[MoisLivr],Y$1)</f>
        <v>0</v>
      </c>
      <c r="Z192" s="219">
        <f>SUMIFS(LstMachines[Nbre],LstMachines[Model-Spec],PrévisionBoris[[#This Row],[Spec]],LstMachines[Status],PrévisionBoris[[#This Row],[Status]],LstMachines[MoisLivr],Z$1)</f>
        <v>0</v>
      </c>
      <c r="AA192" s="220">
        <f>SUMIFS(LstMachines[Nbre],LstMachines[Model-Spec],PrévisionBoris[[#This Row],[Spec]],LstMachines[Status],PrévisionBoris[[#This Row],[Status]],LstMachines[MoisLivr],AA$1)</f>
        <v>0</v>
      </c>
      <c r="AB192" s="220">
        <f>SUMIFS(LstMachines[Nbre],LstMachines[Model-Spec],PrévisionBoris[[#This Row],[Spec]],LstMachines[Status],PrévisionBoris[[#This Row],[Status]],LstMachines[MoisLivr],AB$1)</f>
        <v>0</v>
      </c>
      <c r="AC192" s="219">
        <f>SUMIFS(LstMachines[Nbre],LstMachines[Model-Spec],PrévisionBoris[[#This Row],[Spec]],LstMachines[Status],PrévisionBoris[[#This Row],[Status]],LstMachines[MoisLivr],AC$1)</f>
        <v>0</v>
      </c>
      <c r="AD192" s="220">
        <f>SUMIFS(LstMachines[Nbre],LstMachines[Model-Spec],PrévisionBoris[[#This Row],[Spec]],LstMachines[Status],PrévisionBoris[[#This Row],[Status]],LstMachines[MoisLivr],AD$1)</f>
        <v>0</v>
      </c>
      <c r="AE192" s="220">
        <f>SUMIFS(LstMachines[Nbre],LstMachines[Model-Spec],PrévisionBoris[[#This Row],[Spec]],LstMachines[Status],PrévisionBoris[[#This Row],[Status]],LstMachines[MoisLivr],AE$1)</f>
        <v>0</v>
      </c>
      <c r="AF192" s="219">
        <f>SUMIFS(LstMachines[Nbre],LstMachines[Model-Spec],PrévisionBoris[[#This Row],[Spec]],LstMachines[Status],PrévisionBoris[[#This Row],[Status]],LstMachines[MoisLivr],AF$1)</f>
        <v>0</v>
      </c>
      <c r="AG192" s="220">
        <f>SUMIFS(LstMachines[Nbre],LstMachines[Model-Spec],PrévisionBoris[[#This Row],[Spec]],LstMachines[Status],PrévisionBoris[[#This Row],[Status]],LstMachines[MoisLivr],AG$1)</f>
        <v>0</v>
      </c>
      <c r="AH192" s="220">
        <f>SUMIFS(LstMachines[Nbre],LstMachines[Model-Spec],PrévisionBoris[[#This Row],[Spec]],LstMachines[Status],PrévisionBoris[[#This Row],[Status]],LstMachines[MoisLivr],AH$1)</f>
        <v>0</v>
      </c>
      <c r="AI192" s="219">
        <f>SUMIFS(LstMachines[Nbre],LstMachines[Model-Spec],PrévisionBoris[[#This Row],[Spec]],LstMachines[Status],PrévisionBoris[[#This Row],[Status]],LstMachines[MoisLivr],AI$1)</f>
        <v>0</v>
      </c>
      <c r="AJ192" s="220">
        <f>SUMIFS(LstMachines[Nbre],LstMachines[Model-Spec],PrévisionBoris[[#This Row],[Spec]],LstMachines[Status],PrévisionBoris[[#This Row],[Status]],LstMachines[MoisLivr],AJ$1)</f>
        <v>0</v>
      </c>
      <c r="AK192" s="220">
        <f>SUMIFS(LstMachines[Nbre],LstMachines[Model-Spec],PrévisionBoris[[#This Row],[Spec]],LstMachines[Status],PrévisionBoris[[#This Row],[Status]],LstMachines[MoisLivr],AK$1)</f>
        <v>0</v>
      </c>
      <c r="AL192" s="219">
        <f>SUMIFS(LstMachines[Nbre],LstMachines[Model-Spec],PrévisionBoris[[#This Row],[Spec]],LstMachines[Status],PrévisionBoris[[#This Row],[Status]],LstMachines[MoisLivr],AL$1)</f>
        <v>0</v>
      </c>
      <c r="AM192" s="220">
        <f>SUMIFS(LstMachines[Nbre],LstMachines[Model-Spec],PrévisionBoris[[#This Row],[Spec]],LstMachines[Status],PrévisionBoris[[#This Row],[Status]],LstMachines[MoisLivr],AM$1)</f>
        <v>0</v>
      </c>
      <c r="AN192" s="220">
        <f>SUMIFS(LstMachines[Nbre],LstMachines[Model-Spec],PrévisionBoris[[#This Row],[Spec]],LstMachines[Status],PrévisionBoris[[#This Row],[Status]],LstMachines[MoisLivr],AN$1)</f>
        <v>0</v>
      </c>
      <c r="AO192" s="219">
        <f>SUMIFS(LstMachines[Nbre],LstMachines[Model-Spec],PrévisionBoris[[#This Row],[Spec]],LstMachines[Status],PrévisionBoris[[#This Row],[Status]],LstMachines[MoisLivr],AO$1)</f>
        <v>0</v>
      </c>
      <c r="AP192" s="220">
        <f>SUMIFS(LstMachines[Nbre],LstMachines[Model-Spec],PrévisionBoris[[#This Row],[Spec]],LstMachines[Status],PrévisionBoris[[#This Row],[Status]],LstMachines[MoisLivr],AP$1)</f>
        <v>0</v>
      </c>
      <c r="AQ192" s="220">
        <f>SUMIFS(LstMachines[Nbre],LstMachines[Model-Spec],PrévisionBoris[[#This Row],[Spec]],LstMachines[Status],PrévisionBoris[[#This Row],[Status]],LstMachines[MoisLivr],AQ$1)</f>
        <v>0</v>
      </c>
      <c r="AR192" s="219">
        <f>SUMIFS(LstMachines[Nbre],LstMachines[Model-Spec],PrévisionBoris[[#This Row],[Spec]],LstMachines[Status],PrévisionBoris[[#This Row],[Status]],LstMachines[MoisLivr],AR$1)</f>
        <v>0</v>
      </c>
      <c r="AS192" s="220">
        <f>SUMIFS(LstMachines[Nbre],LstMachines[Model-Spec],PrévisionBoris[[#This Row],[Spec]],LstMachines[Status],PrévisionBoris[[#This Row],[Status]],LstMachines[MoisLivr],AS$1)</f>
        <v>0</v>
      </c>
      <c r="AT192" s="220">
        <f>SUMIFS(LstMachines[Nbre],LstMachines[Model-Spec],PrévisionBoris[[#This Row],[Spec]],LstMachines[Status],PrévisionBoris[[#This Row],[Status]],LstMachines[MoisLivr],AT$1)</f>
        <v>0</v>
      </c>
      <c r="AU192" s="219">
        <f>SUMIFS(LstMachines[Nbre],LstMachines[Model-Spec],PrévisionBoris[[#This Row],[Spec]],LstMachines[Status],PrévisionBoris[[#This Row],[Status]],LstMachines[MoisLivr],AU$1)</f>
        <v>0</v>
      </c>
      <c r="AV192" s="223">
        <f>SUMIFS(LstMachines[Nbre],LstMachines[Model-Spec],PrévisionBoris[[#This Row],[Spec]],LstMachines[Status],PrévisionBoris[[#This Row],[Status]],LstMachines[MoisLivr],AV$1)</f>
        <v>0</v>
      </c>
      <c r="AW192" s="224">
        <f>SUMIFS(LstMachines[Nbre],LstMachines[Model-Spec],PrévisionBoris[[#This Row],[Spec]],LstMachines[Status],PrévisionBoris[[#This Row],[Status]],LstMachines[MoisLivr],AW$1)</f>
        <v>0</v>
      </c>
      <c r="AX192" s="210"/>
      <c r="AY192" s="211">
        <f t="shared" si="35"/>
        <v>0</v>
      </c>
      <c r="AZ192" s="212">
        <f t="shared" si="36"/>
        <v>0</v>
      </c>
      <c r="BA192" s="212">
        <f t="shared" si="37"/>
        <v>0</v>
      </c>
      <c r="BB192" s="213">
        <f t="shared" si="38"/>
        <v>0</v>
      </c>
      <c r="BC192" s="225">
        <f t="shared" si="39"/>
        <v>0</v>
      </c>
      <c r="BD192" s="211">
        <f t="shared" si="40"/>
        <v>0</v>
      </c>
      <c r="BE192" s="212">
        <f t="shared" si="41"/>
        <v>0</v>
      </c>
      <c r="BF192" s="212">
        <f t="shared" si="42"/>
        <v>0</v>
      </c>
      <c r="BG192" s="213">
        <f t="shared" si="43"/>
        <v>0</v>
      </c>
      <c r="BH192" s="225">
        <f t="shared" si="44"/>
        <v>0</v>
      </c>
      <c r="BI192" s="214">
        <f t="shared" si="45"/>
        <v>0</v>
      </c>
      <c r="BJ192" s="215">
        <f t="shared" si="46"/>
        <v>0</v>
      </c>
      <c r="BK192" s="215">
        <f t="shared" si="47"/>
        <v>0</v>
      </c>
      <c r="BL192" s="216">
        <f t="shared" si="48"/>
        <v>0</v>
      </c>
      <c r="BM192" s="225">
        <f t="shared" si="49"/>
        <v>0</v>
      </c>
      <c r="BN192" s="225"/>
      <c r="BO192" s="217"/>
      <c r="BP192" s="218">
        <f t="shared" si="50"/>
        <v>0</v>
      </c>
    </row>
    <row r="193" spans="1:68">
      <c r="A193" s="171">
        <v>186</v>
      </c>
      <c r="B193" s="171" t="s">
        <v>75</v>
      </c>
      <c r="C193" s="201">
        <v>65</v>
      </c>
      <c r="D193" s="171" t="s">
        <v>84</v>
      </c>
      <c r="E193" s="171" t="s">
        <v>364</v>
      </c>
      <c r="F193" s="201">
        <f>VLOOKUP(PrévisionBoris[[#This Row],[Spec]],TabModelSpecs[[ModelSpec]:[Price]],2,FALSE)</f>
        <v>45</v>
      </c>
      <c r="G193" s="171" t="s">
        <v>463</v>
      </c>
      <c r="H193" s="226">
        <f>SUMIFS(LstMachines[Nbre],LstMachines[Model-Spec],PrévisionBoris[[#This Row],[Spec]],LstMachines[Status],PrévisionBoris[[#This Row],[Status]],LstMachines[MoisLivr],H$1)</f>
        <v>0</v>
      </c>
      <c r="I193" s="227">
        <f>SUMIFS(LstMachines[Nbre],LstMachines[Model-Spec],PrévisionBoris[[#This Row],[Spec]],LstMachines[Status],PrévisionBoris[[#This Row],[Status]],LstMachines[MoisLivr],I$1)</f>
        <v>0</v>
      </c>
      <c r="J193" s="228">
        <f>SUMIFS(LstMachines[Nbre],LstMachines[Model-Spec],PrévisionBoris[[#This Row],[Spec]],LstMachines[Status],PrévisionBoris[[#This Row],[Status]],LstMachines[MoisLivr],J$1)</f>
        <v>1</v>
      </c>
      <c r="K193" s="226">
        <f>SUMIFS(LstMachines[Nbre],LstMachines[Model-Spec],PrévisionBoris[[#This Row],[Spec]],LstMachines[Status],PrévisionBoris[[#This Row],[Status]],LstMachines[MoisLivr],K$1)</f>
        <v>0</v>
      </c>
      <c r="L193" s="227">
        <f>SUMIFS(LstMachines[Nbre],LstMachines[Model-Spec],PrévisionBoris[[#This Row],[Spec]],LstMachines[Status],PrévisionBoris[[#This Row],[Status]],LstMachines[MoisLivr],L$1)</f>
        <v>2</v>
      </c>
      <c r="M193" s="228">
        <f>SUMIFS(LstMachines[Nbre],LstMachines[Model-Spec],PrévisionBoris[[#This Row],[Spec]],LstMachines[Status],PrévisionBoris[[#This Row],[Status]],LstMachines[MoisLivr],M$1)</f>
        <v>0</v>
      </c>
      <c r="N193" s="226">
        <f>SUMIFS(LstMachines[Nbre],LstMachines[Model-Spec],PrévisionBoris[[#This Row],[Spec]],LstMachines[Status],PrévisionBoris[[#This Row],[Status]],LstMachines[MoisLivr],N$1)</f>
        <v>0</v>
      </c>
      <c r="O193" s="227">
        <f>SUMIFS(LstMachines[Nbre],LstMachines[Model-Spec],PrévisionBoris[[#This Row],[Spec]],LstMachines[Status],PrévisionBoris[[#This Row],[Status]],LstMachines[MoisLivr],O$1)</f>
        <v>0</v>
      </c>
      <c r="P193" s="228">
        <f>SUMIFS(LstMachines[Nbre],LstMachines[Model-Spec],PrévisionBoris[[#This Row],[Spec]],LstMachines[Status],PrévisionBoris[[#This Row],[Status]],LstMachines[MoisLivr],P$1)</f>
        <v>0</v>
      </c>
      <c r="Q193" s="229">
        <f>SUMIFS(LstMachines[Nbre],LstMachines[Model-Spec],PrévisionBoris[[#This Row],[Spec]],LstMachines[Status],PrévisionBoris[[#This Row],[Status]],LstMachines[MoisLivr],Q$1)</f>
        <v>0</v>
      </c>
      <c r="R193" s="227">
        <f>SUMIFS(LstMachines[Nbre],LstMachines[Model-Spec],PrévisionBoris[[#This Row],[Spec]],LstMachines[Status],PrévisionBoris[[#This Row],[Status]],LstMachines[MoisLivr],R$1)</f>
        <v>0</v>
      </c>
      <c r="S193" s="227">
        <f>SUMIFS(LstMachines[Nbre],LstMachines[Model-Spec],PrévisionBoris[[#This Row],[Spec]],LstMachines[Status],PrévisionBoris[[#This Row],[Status]],LstMachines[MoisLivr],S$1)</f>
        <v>0</v>
      </c>
      <c r="T193" s="226">
        <f>SUMIFS(LstMachines[Nbre],LstMachines[Model-Spec],PrévisionBoris[[#This Row],[Spec]],LstMachines[Status],PrévisionBoris[[#This Row],[Status]],LstMachines[MoisLivr],T$1)</f>
        <v>0</v>
      </c>
      <c r="U193" s="227">
        <f>SUMIFS(LstMachines[Nbre],LstMachines[Model-Spec],PrévisionBoris[[#This Row],[Spec]],LstMachines[Status],PrévisionBoris[[#This Row],[Status]],LstMachines[MoisLivr],U$1)</f>
        <v>0</v>
      </c>
      <c r="V193" s="227">
        <f>SUMIFS(LstMachines[Nbre],LstMachines[Model-Spec],PrévisionBoris[[#This Row],[Spec]],LstMachines[Status],PrévisionBoris[[#This Row],[Status]],LstMachines[MoisLivr],V$1)</f>
        <v>0</v>
      </c>
      <c r="W193" s="226">
        <f>SUMIFS(LstMachines[Nbre],LstMachines[Model-Spec],PrévisionBoris[[#This Row],[Spec]],LstMachines[Status],PrévisionBoris[[#This Row],[Status]],LstMachines[MoisLivr],W$1)</f>
        <v>0</v>
      </c>
      <c r="X193" s="227">
        <f>SUMIFS(LstMachines[Nbre],LstMachines[Model-Spec],PrévisionBoris[[#This Row],[Spec]],LstMachines[Status],PrévisionBoris[[#This Row],[Status]],LstMachines[MoisLivr],X$1)</f>
        <v>0</v>
      </c>
      <c r="Y193" s="227">
        <f>SUMIFS(LstMachines[Nbre],LstMachines[Model-Spec],PrévisionBoris[[#This Row],[Spec]],LstMachines[Status],PrévisionBoris[[#This Row],[Status]],LstMachines[MoisLivr],Y$1)</f>
        <v>0</v>
      </c>
      <c r="Z193" s="226">
        <f>SUMIFS(LstMachines[Nbre],LstMachines[Model-Spec],PrévisionBoris[[#This Row],[Spec]],LstMachines[Status],PrévisionBoris[[#This Row],[Status]],LstMachines[MoisLivr],Z$1)</f>
        <v>0</v>
      </c>
      <c r="AA193" s="227">
        <f>SUMIFS(LstMachines[Nbre],LstMachines[Model-Spec],PrévisionBoris[[#This Row],[Spec]],LstMachines[Status],PrévisionBoris[[#This Row],[Status]],LstMachines[MoisLivr],AA$1)</f>
        <v>0</v>
      </c>
      <c r="AB193" s="227">
        <f>SUMIFS(LstMachines[Nbre],LstMachines[Model-Spec],PrévisionBoris[[#This Row],[Spec]],LstMachines[Status],PrévisionBoris[[#This Row],[Status]],LstMachines[MoisLivr],AB$1)</f>
        <v>0</v>
      </c>
      <c r="AC193" s="226">
        <f>SUMIFS(LstMachines[Nbre],LstMachines[Model-Spec],PrévisionBoris[[#This Row],[Spec]],LstMachines[Status],PrévisionBoris[[#This Row],[Status]],LstMachines[MoisLivr],AC$1)</f>
        <v>0</v>
      </c>
      <c r="AD193" s="227">
        <f>SUMIFS(LstMachines[Nbre],LstMachines[Model-Spec],PrévisionBoris[[#This Row],[Spec]],LstMachines[Status],PrévisionBoris[[#This Row],[Status]],LstMachines[MoisLivr],AD$1)</f>
        <v>0</v>
      </c>
      <c r="AE193" s="227">
        <f>SUMIFS(LstMachines[Nbre],LstMachines[Model-Spec],PrévisionBoris[[#This Row],[Spec]],LstMachines[Status],PrévisionBoris[[#This Row],[Status]],LstMachines[MoisLivr],AE$1)</f>
        <v>0</v>
      </c>
      <c r="AF193" s="226">
        <f>SUMIFS(LstMachines[Nbre],LstMachines[Model-Spec],PrévisionBoris[[#This Row],[Spec]],LstMachines[Status],PrévisionBoris[[#This Row],[Status]],LstMachines[MoisLivr],AF$1)</f>
        <v>0</v>
      </c>
      <c r="AG193" s="227">
        <f>SUMIFS(LstMachines[Nbre],LstMachines[Model-Spec],PrévisionBoris[[#This Row],[Spec]],LstMachines[Status],PrévisionBoris[[#This Row],[Status]],LstMachines[MoisLivr],AG$1)</f>
        <v>0</v>
      </c>
      <c r="AH193" s="227">
        <f>SUMIFS(LstMachines[Nbre],LstMachines[Model-Spec],PrévisionBoris[[#This Row],[Spec]],LstMachines[Status],PrévisionBoris[[#This Row],[Status]],LstMachines[MoisLivr],AH$1)</f>
        <v>0</v>
      </c>
      <c r="AI193" s="226">
        <f>SUMIFS(LstMachines[Nbre],LstMachines[Model-Spec],PrévisionBoris[[#This Row],[Spec]],LstMachines[Status],PrévisionBoris[[#This Row],[Status]],LstMachines[MoisLivr],AI$1)</f>
        <v>0</v>
      </c>
      <c r="AJ193" s="227">
        <f>SUMIFS(LstMachines[Nbre],LstMachines[Model-Spec],PrévisionBoris[[#This Row],[Spec]],LstMachines[Status],PrévisionBoris[[#This Row],[Status]],LstMachines[MoisLivr],AJ$1)</f>
        <v>0</v>
      </c>
      <c r="AK193" s="227">
        <f>SUMIFS(LstMachines[Nbre],LstMachines[Model-Spec],PrévisionBoris[[#This Row],[Spec]],LstMachines[Status],PrévisionBoris[[#This Row],[Status]],LstMachines[MoisLivr],AK$1)</f>
        <v>0</v>
      </c>
      <c r="AL193" s="226">
        <f>SUMIFS(LstMachines[Nbre],LstMachines[Model-Spec],PrévisionBoris[[#This Row],[Spec]],LstMachines[Status],PrévisionBoris[[#This Row],[Status]],LstMachines[MoisLivr],AL$1)</f>
        <v>0</v>
      </c>
      <c r="AM193" s="227">
        <f>SUMIFS(LstMachines[Nbre],LstMachines[Model-Spec],PrévisionBoris[[#This Row],[Spec]],LstMachines[Status],PrévisionBoris[[#This Row],[Status]],LstMachines[MoisLivr],AM$1)</f>
        <v>0</v>
      </c>
      <c r="AN193" s="227">
        <f>SUMIFS(LstMachines[Nbre],LstMachines[Model-Spec],PrévisionBoris[[#This Row],[Spec]],LstMachines[Status],PrévisionBoris[[#This Row],[Status]],LstMachines[MoisLivr],AN$1)</f>
        <v>0</v>
      </c>
      <c r="AO193" s="226">
        <f>SUMIFS(LstMachines[Nbre],LstMachines[Model-Spec],PrévisionBoris[[#This Row],[Spec]],LstMachines[Status],PrévisionBoris[[#This Row],[Status]],LstMachines[MoisLivr],AO$1)</f>
        <v>0</v>
      </c>
      <c r="AP193" s="227">
        <f>SUMIFS(LstMachines[Nbre],LstMachines[Model-Spec],PrévisionBoris[[#This Row],[Spec]],LstMachines[Status],PrévisionBoris[[#This Row],[Status]],LstMachines[MoisLivr],AP$1)</f>
        <v>0</v>
      </c>
      <c r="AQ193" s="227">
        <f>SUMIFS(LstMachines[Nbre],LstMachines[Model-Spec],PrévisionBoris[[#This Row],[Spec]],LstMachines[Status],PrévisionBoris[[#This Row],[Status]],LstMachines[MoisLivr],AQ$1)</f>
        <v>0</v>
      </c>
      <c r="AR193" s="226">
        <f>SUMIFS(LstMachines[Nbre],LstMachines[Model-Spec],PrévisionBoris[[#This Row],[Spec]],LstMachines[Status],PrévisionBoris[[#This Row],[Status]],LstMachines[MoisLivr],AR$1)</f>
        <v>0</v>
      </c>
      <c r="AS193" s="227">
        <f>SUMIFS(LstMachines[Nbre],LstMachines[Model-Spec],PrévisionBoris[[#This Row],[Spec]],LstMachines[Status],PrévisionBoris[[#This Row],[Status]],LstMachines[MoisLivr],AS$1)</f>
        <v>0</v>
      </c>
      <c r="AT193" s="227">
        <f>SUMIFS(LstMachines[Nbre],LstMachines[Model-Spec],PrévisionBoris[[#This Row],[Spec]],LstMachines[Status],PrévisionBoris[[#This Row],[Status]],LstMachines[MoisLivr],AT$1)</f>
        <v>0</v>
      </c>
      <c r="AU193" s="226">
        <f>SUMIFS(LstMachines[Nbre],LstMachines[Model-Spec],PrévisionBoris[[#This Row],[Spec]],LstMachines[Status],PrévisionBoris[[#This Row],[Status]],LstMachines[MoisLivr],AU$1)</f>
        <v>0</v>
      </c>
      <c r="AV193" s="230">
        <f>SUMIFS(LstMachines[Nbre],LstMachines[Model-Spec],PrévisionBoris[[#This Row],[Spec]],LstMachines[Status],PrévisionBoris[[#This Row],[Status]],LstMachines[MoisLivr],AV$1)</f>
        <v>0</v>
      </c>
      <c r="AW193" s="231">
        <f>SUMIFS(LstMachines[Nbre],LstMachines[Model-Spec],PrévisionBoris[[#This Row],[Spec]],LstMachines[Status],PrévisionBoris[[#This Row],[Status]],LstMachines[MoisLivr],AW$1)</f>
        <v>0</v>
      </c>
      <c r="AX193" s="232"/>
      <c r="AY193" s="211">
        <f t="shared" si="35"/>
        <v>2</v>
      </c>
      <c r="AZ193" s="212">
        <f t="shared" si="36"/>
        <v>0</v>
      </c>
      <c r="BA193" s="212">
        <f t="shared" si="37"/>
        <v>0</v>
      </c>
      <c r="BB193" s="213">
        <f t="shared" si="38"/>
        <v>0</v>
      </c>
      <c r="BC193" s="225">
        <f t="shared" si="39"/>
        <v>2</v>
      </c>
      <c r="BD193" s="211">
        <f t="shared" si="40"/>
        <v>0</v>
      </c>
      <c r="BE193" s="212">
        <f t="shared" si="41"/>
        <v>0</v>
      </c>
      <c r="BF193" s="212">
        <f t="shared" si="42"/>
        <v>0</v>
      </c>
      <c r="BG193" s="213">
        <f t="shared" si="43"/>
        <v>0</v>
      </c>
      <c r="BH193" s="225">
        <f t="shared" si="44"/>
        <v>0</v>
      </c>
      <c r="BI193" s="214">
        <f t="shared" si="45"/>
        <v>0</v>
      </c>
      <c r="BJ193" s="215">
        <f t="shared" si="46"/>
        <v>0</v>
      </c>
      <c r="BK193" s="215">
        <f t="shared" si="47"/>
        <v>0</v>
      </c>
      <c r="BL193" s="216">
        <f t="shared" si="48"/>
        <v>0</v>
      </c>
      <c r="BM193" s="225">
        <f t="shared" si="49"/>
        <v>0</v>
      </c>
      <c r="BN193" s="225"/>
      <c r="BO193" s="217"/>
      <c r="BP193" s="218">
        <f t="shared" si="50"/>
        <v>3</v>
      </c>
    </row>
    <row r="194" spans="1:68">
      <c r="A194" s="172">
        <v>187</v>
      </c>
      <c r="B194" s="172" t="s">
        <v>75</v>
      </c>
      <c r="C194" s="202">
        <v>65</v>
      </c>
      <c r="D194" s="172" t="s">
        <v>84</v>
      </c>
      <c r="E194" s="172" t="s">
        <v>433</v>
      </c>
      <c r="F194" s="202">
        <f>VLOOKUP(PrévisionBoris[[#This Row],[Spec]],TabModelSpecs[[ModelSpec]:[Price]],2,FALSE)</f>
        <v>45</v>
      </c>
      <c r="G194" s="172" t="s">
        <v>461</v>
      </c>
      <c r="H194" s="206">
        <f>SUMIFS(LstMachines[Nbre],LstMachines[Model-Spec],PrévisionBoris[[#This Row],[Spec]],LstMachines[Status],PrévisionBoris[[#This Row],[Status]],LstMachines[MoisLivr],H$1)</f>
        <v>0</v>
      </c>
      <c r="I194" s="207">
        <f>SUMIFS(LstMachines[Nbre],LstMachines[Model-Spec],PrévisionBoris[[#This Row],[Spec]],LstMachines[Status],PrévisionBoris[[#This Row],[Status]],LstMachines[MoisLivr],I$1)</f>
        <v>0</v>
      </c>
      <c r="J194" s="208">
        <f>SUMIFS(LstMachines[Nbre],LstMachines[Model-Spec],PrévisionBoris[[#This Row],[Spec]],LstMachines[Status],PrévisionBoris[[#This Row],[Status]],LstMachines[MoisLivr],J$1)</f>
        <v>0</v>
      </c>
      <c r="K194" s="206">
        <f>SUMIFS(LstMachines[Nbre],LstMachines[Model-Spec],PrévisionBoris[[#This Row],[Spec]],LstMachines[Status],PrévisionBoris[[#This Row],[Status]],LstMachines[MoisLivr],K$1)</f>
        <v>0</v>
      </c>
      <c r="L194" s="207">
        <f>SUMIFS(LstMachines[Nbre],LstMachines[Model-Spec],PrévisionBoris[[#This Row],[Spec]],LstMachines[Status],PrévisionBoris[[#This Row],[Status]],LstMachines[MoisLivr],L$1)</f>
        <v>0</v>
      </c>
      <c r="M194" s="208">
        <f>SUMIFS(LstMachines[Nbre],LstMachines[Model-Spec],PrévisionBoris[[#This Row],[Spec]],LstMachines[Status],PrévisionBoris[[#This Row],[Status]],LstMachines[MoisLivr],M$1)</f>
        <v>0</v>
      </c>
      <c r="N194" s="206">
        <f>SUMIFS(LstMachines[Nbre],LstMachines[Model-Spec],PrévisionBoris[[#This Row],[Spec]],LstMachines[Status],PrévisionBoris[[#This Row],[Status]],LstMachines[MoisLivr],N$1)</f>
        <v>0</v>
      </c>
      <c r="O194" s="207">
        <f>SUMIFS(LstMachines[Nbre],LstMachines[Model-Spec],PrévisionBoris[[#This Row],[Spec]],LstMachines[Status],PrévisionBoris[[#This Row],[Status]],LstMachines[MoisLivr],O$1)</f>
        <v>0</v>
      </c>
      <c r="P194" s="208">
        <f>SUMIFS(LstMachines[Nbre],LstMachines[Model-Spec],PrévisionBoris[[#This Row],[Spec]],LstMachines[Status],PrévisionBoris[[#This Row],[Status]],LstMachines[MoisLivr],P$1)</f>
        <v>0</v>
      </c>
      <c r="Q194" s="209">
        <f>SUMIFS(LstMachines[Nbre],LstMachines[Model-Spec],PrévisionBoris[[#This Row],[Spec]],LstMachines[Status],PrévisionBoris[[#This Row],[Status]],LstMachines[MoisLivr],Q$1)</f>
        <v>0</v>
      </c>
      <c r="R194" s="207">
        <f>SUMIFS(LstMachines[Nbre],LstMachines[Model-Spec],PrévisionBoris[[#This Row],[Spec]],LstMachines[Status],PrévisionBoris[[#This Row],[Status]],LstMachines[MoisLivr],R$1)</f>
        <v>0</v>
      </c>
      <c r="S194" s="207">
        <f>SUMIFS(LstMachines[Nbre],LstMachines[Model-Spec],PrévisionBoris[[#This Row],[Spec]],LstMachines[Status],PrévisionBoris[[#This Row],[Status]],LstMachines[MoisLivr],S$1)</f>
        <v>0</v>
      </c>
      <c r="T194" s="206">
        <f>SUMIFS(LstMachines[Nbre],LstMachines[Model-Spec],PrévisionBoris[[#This Row],[Spec]],LstMachines[Status],PrévisionBoris[[#This Row],[Status]],LstMachines[MoisLivr],T$1)</f>
        <v>0</v>
      </c>
      <c r="U194" s="207">
        <f>SUMIFS(LstMachines[Nbre],LstMachines[Model-Spec],PrévisionBoris[[#This Row],[Spec]],LstMachines[Status],PrévisionBoris[[#This Row],[Status]],LstMachines[MoisLivr],U$1)</f>
        <v>0</v>
      </c>
      <c r="V194" s="207">
        <f>SUMIFS(LstMachines[Nbre],LstMachines[Model-Spec],PrévisionBoris[[#This Row],[Spec]],LstMachines[Status],PrévisionBoris[[#This Row],[Status]],LstMachines[MoisLivr],V$1)</f>
        <v>0</v>
      </c>
      <c r="W194" s="206">
        <f>SUMIFS(LstMachines[Nbre],LstMachines[Model-Spec],PrévisionBoris[[#This Row],[Spec]],LstMachines[Status],PrévisionBoris[[#This Row],[Status]],LstMachines[MoisLivr],W$1)</f>
        <v>0</v>
      </c>
      <c r="X194" s="207">
        <f>SUMIFS(LstMachines[Nbre],LstMachines[Model-Spec],PrévisionBoris[[#This Row],[Spec]],LstMachines[Status],PrévisionBoris[[#This Row],[Status]],LstMachines[MoisLivr],X$1)</f>
        <v>0</v>
      </c>
      <c r="Y194" s="207">
        <f>SUMIFS(LstMachines[Nbre],LstMachines[Model-Spec],PrévisionBoris[[#This Row],[Spec]],LstMachines[Status],PrévisionBoris[[#This Row],[Status]],LstMachines[MoisLivr],Y$1)</f>
        <v>0</v>
      </c>
      <c r="Z194" s="206">
        <f>SUMIFS(LstMachines[Nbre],LstMachines[Model-Spec],PrévisionBoris[[#This Row],[Spec]],LstMachines[Status],PrévisionBoris[[#This Row],[Status]],LstMachines[MoisLivr],Z$1)</f>
        <v>0</v>
      </c>
      <c r="AA194" s="207">
        <f>SUMIFS(LstMachines[Nbre],LstMachines[Model-Spec],PrévisionBoris[[#This Row],[Spec]],LstMachines[Status],PrévisionBoris[[#This Row],[Status]],LstMachines[MoisLivr],AA$1)</f>
        <v>0</v>
      </c>
      <c r="AB194" s="207">
        <f>SUMIFS(LstMachines[Nbre],LstMachines[Model-Spec],PrévisionBoris[[#This Row],[Spec]],LstMachines[Status],PrévisionBoris[[#This Row],[Status]],LstMachines[MoisLivr],AB$1)</f>
        <v>0</v>
      </c>
      <c r="AC194" s="206">
        <f>SUMIFS(LstMachines[Nbre],LstMachines[Model-Spec],PrévisionBoris[[#This Row],[Spec]],LstMachines[Status],PrévisionBoris[[#This Row],[Status]],LstMachines[MoisLivr],AC$1)</f>
        <v>0</v>
      </c>
      <c r="AD194" s="207">
        <f>SUMIFS(LstMachines[Nbre],LstMachines[Model-Spec],PrévisionBoris[[#This Row],[Spec]],LstMachines[Status],PrévisionBoris[[#This Row],[Status]],LstMachines[MoisLivr],AD$1)</f>
        <v>0</v>
      </c>
      <c r="AE194" s="207">
        <f>SUMIFS(LstMachines[Nbre],LstMachines[Model-Spec],PrévisionBoris[[#This Row],[Spec]],LstMachines[Status],PrévisionBoris[[#This Row],[Status]],LstMachines[MoisLivr],AE$1)</f>
        <v>0</v>
      </c>
      <c r="AF194" s="206">
        <f>SUMIFS(LstMachines[Nbre],LstMachines[Model-Spec],PrévisionBoris[[#This Row],[Spec]],LstMachines[Status],PrévisionBoris[[#This Row],[Status]],LstMachines[MoisLivr],AF$1)</f>
        <v>0</v>
      </c>
      <c r="AG194" s="207">
        <f>SUMIFS(LstMachines[Nbre],LstMachines[Model-Spec],PrévisionBoris[[#This Row],[Spec]],LstMachines[Status],PrévisionBoris[[#This Row],[Status]],LstMachines[MoisLivr],AG$1)</f>
        <v>0</v>
      </c>
      <c r="AH194" s="207">
        <f>SUMIFS(LstMachines[Nbre],LstMachines[Model-Spec],PrévisionBoris[[#This Row],[Spec]],LstMachines[Status],PrévisionBoris[[#This Row],[Status]],LstMachines[MoisLivr],AH$1)</f>
        <v>0</v>
      </c>
      <c r="AI194" s="206">
        <f>SUMIFS(LstMachines[Nbre],LstMachines[Model-Spec],PrévisionBoris[[#This Row],[Spec]],LstMachines[Status],PrévisionBoris[[#This Row],[Status]],LstMachines[MoisLivr],AI$1)</f>
        <v>0</v>
      </c>
      <c r="AJ194" s="207">
        <f>SUMIFS(LstMachines[Nbre],LstMachines[Model-Spec],PrévisionBoris[[#This Row],[Spec]],LstMachines[Status],PrévisionBoris[[#This Row],[Status]],LstMachines[MoisLivr],AJ$1)</f>
        <v>0</v>
      </c>
      <c r="AK194" s="207">
        <f>SUMIFS(LstMachines[Nbre],LstMachines[Model-Spec],PrévisionBoris[[#This Row],[Spec]],LstMachines[Status],PrévisionBoris[[#This Row],[Status]],LstMachines[MoisLivr],AK$1)</f>
        <v>0</v>
      </c>
      <c r="AL194" s="206">
        <f>SUMIFS(LstMachines[Nbre],LstMachines[Model-Spec],PrévisionBoris[[#This Row],[Spec]],LstMachines[Status],PrévisionBoris[[#This Row],[Status]],LstMachines[MoisLivr],AL$1)</f>
        <v>0</v>
      </c>
      <c r="AM194" s="207">
        <f>SUMIFS(LstMachines[Nbre],LstMachines[Model-Spec],PrévisionBoris[[#This Row],[Spec]],LstMachines[Status],PrévisionBoris[[#This Row],[Status]],LstMachines[MoisLivr],AM$1)</f>
        <v>0</v>
      </c>
      <c r="AN194" s="207">
        <f>SUMIFS(LstMachines[Nbre],LstMachines[Model-Spec],PrévisionBoris[[#This Row],[Spec]],LstMachines[Status],PrévisionBoris[[#This Row],[Status]],LstMachines[MoisLivr],AN$1)</f>
        <v>0</v>
      </c>
      <c r="AO194" s="206">
        <f>SUMIFS(LstMachines[Nbre],LstMachines[Model-Spec],PrévisionBoris[[#This Row],[Spec]],LstMachines[Status],PrévisionBoris[[#This Row],[Status]],LstMachines[MoisLivr],AO$1)</f>
        <v>0</v>
      </c>
      <c r="AP194" s="207">
        <f>SUMIFS(LstMachines[Nbre],LstMachines[Model-Spec],PrévisionBoris[[#This Row],[Spec]],LstMachines[Status],PrévisionBoris[[#This Row],[Status]],LstMachines[MoisLivr],AP$1)</f>
        <v>0</v>
      </c>
      <c r="AQ194" s="207">
        <f>SUMIFS(LstMachines[Nbre],LstMachines[Model-Spec],PrévisionBoris[[#This Row],[Spec]],LstMachines[Status],PrévisionBoris[[#This Row],[Status]],LstMachines[MoisLivr],AQ$1)</f>
        <v>0</v>
      </c>
      <c r="AR194" s="206">
        <f>SUMIFS(LstMachines[Nbre],LstMachines[Model-Spec],PrévisionBoris[[#This Row],[Spec]],LstMachines[Status],PrévisionBoris[[#This Row],[Status]],LstMachines[MoisLivr],AR$1)</f>
        <v>0</v>
      </c>
      <c r="AS194" s="207">
        <f>SUMIFS(LstMachines[Nbre],LstMachines[Model-Spec],PrévisionBoris[[#This Row],[Spec]],LstMachines[Status],PrévisionBoris[[#This Row],[Status]],LstMachines[MoisLivr],AS$1)</f>
        <v>0</v>
      </c>
      <c r="AT194" s="207">
        <f>SUMIFS(LstMachines[Nbre],LstMachines[Model-Spec],PrévisionBoris[[#This Row],[Spec]],LstMachines[Status],PrévisionBoris[[#This Row],[Status]],LstMachines[MoisLivr],AT$1)</f>
        <v>0</v>
      </c>
      <c r="AU194" s="206">
        <f>SUMIFS(LstMachines[Nbre],LstMachines[Model-Spec],PrévisionBoris[[#This Row],[Spec]],LstMachines[Status],PrévisionBoris[[#This Row],[Status]],LstMachines[MoisLivr],AU$1)</f>
        <v>0</v>
      </c>
      <c r="AV194" s="233">
        <f>SUMIFS(LstMachines[Nbre],LstMachines[Model-Spec],PrévisionBoris[[#This Row],[Spec]],LstMachines[Status],PrévisionBoris[[#This Row],[Status]],LstMachines[MoisLivr],AV$1)</f>
        <v>0</v>
      </c>
      <c r="AW194" s="208">
        <f>SUMIFS(LstMachines[Nbre],LstMachines[Model-Spec],PrévisionBoris[[#This Row],[Spec]],LstMachines[Status],PrévisionBoris[[#This Row],[Status]],LstMachines[MoisLivr],AW$1)</f>
        <v>0</v>
      </c>
      <c r="AX194" s="225"/>
      <c r="AY194" s="211">
        <f t="shared" si="35"/>
        <v>0</v>
      </c>
      <c r="AZ194" s="212">
        <f t="shared" si="36"/>
        <v>0</v>
      </c>
      <c r="BA194" s="212">
        <f t="shared" si="37"/>
        <v>0</v>
      </c>
      <c r="BB194" s="213">
        <f t="shared" si="38"/>
        <v>0</v>
      </c>
      <c r="BC194" s="225">
        <f t="shared" si="39"/>
        <v>0</v>
      </c>
      <c r="BD194" s="211">
        <f t="shared" si="40"/>
        <v>0</v>
      </c>
      <c r="BE194" s="212">
        <f t="shared" si="41"/>
        <v>0</v>
      </c>
      <c r="BF194" s="212">
        <f t="shared" si="42"/>
        <v>0</v>
      </c>
      <c r="BG194" s="213">
        <f t="shared" si="43"/>
        <v>0</v>
      </c>
      <c r="BH194" s="225">
        <f t="shared" si="44"/>
        <v>0</v>
      </c>
      <c r="BI194" s="214">
        <f t="shared" si="45"/>
        <v>0</v>
      </c>
      <c r="BJ194" s="215">
        <f t="shared" si="46"/>
        <v>0</v>
      </c>
      <c r="BK194" s="215">
        <f t="shared" si="47"/>
        <v>0</v>
      </c>
      <c r="BL194" s="216">
        <f t="shared" si="48"/>
        <v>0</v>
      </c>
      <c r="BM194" s="225">
        <f t="shared" si="49"/>
        <v>0</v>
      </c>
      <c r="BN194" s="225"/>
      <c r="BO194" s="234"/>
      <c r="BP194" s="218">
        <f t="shared" si="50"/>
        <v>0</v>
      </c>
    </row>
    <row r="195" spans="1:68">
      <c r="A195" s="170">
        <v>188</v>
      </c>
      <c r="B195" s="170" t="s">
        <v>75</v>
      </c>
      <c r="C195" s="200">
        <v>65</v>
      </c>
      <c r="D195" s="170" t="s">
        <v>84</v>
      </c>
      <c r="E195" s="170" t="s">
        <v>433</v>
      </c>
      <c r="F195" s="200">
        <f>VLOOKUP(PrévisionBoris[[#This Row],[Spec]],TabModelSpecs[[ModelSpec]:[Price]],2,FALSE)</f>
        <v>45</v>
      </c>
      <c r="G195" s="170" t="s">
        <v>462</v>
      </c>
      <c r="H195" s="219">
        <f>SUMIFS(LstMachines[Nbre],LstMachines[Model-Spec],PrévisionBoris[[#This Row],[Spec]],LstMachines[Status],PrévisionBoris[[#This Row],[Status]],LstMachines[MoisLivr],H$1)</f>
        <v>0</v>
      </c>
      <c r="I195" s="220">
        <f>SUMIFS(LstMachines[Nbre],LstMachines[Model-Spec],PrévisionBoris[[#This Row],[Spec]],LstMachines[Status],PrévisionBoris[[#This Row],[Status]],LstMachines[MoisLivr],I$1)</f>
        <v>0</v>
      </c>
      <c r="J195" s="221">
        <f>SUMIFS(LstMachines[Nbre],LstMachines[Model-Spec],PrévisionBoris[[#This Row],[Spec]],LstMachines[Status],PrévisionBoris[[#This Row],[Status]],LstMachines[MoisLivr],J$1)</f>
        <v>0</v>
      </c>
      <c r="K195" s="219">
        <f>SUMIFS(LstMachines[Nbre],LstMachines[Model-Spec],PrévisionBoris[[#This Row],[Spec]],LstMachines[Status],PrévisionBoris[[#This Row],[Status]],LstMachines[MoisLivr],K$1)</f>
        <v>0</v>
      </c>
      <c r="L195" s="220">
        <f>SUMIFS(LstMachines[Nbre],LstMachines[Model-Spec],PrévisionBoris[[#This Row],[Spec]],LstMachines[Status],PrévisionBoris[[#This Row],[Status]],LstMachines[MoisLivr],L$1)</f>
        <v>0</v>
      </c>
      <c r="M195" s="221">
        <f>SUMIFS(LstMachines[Nbre],LstMachines[Model-Spec],PrévisionBoris[[#This Row],[Spec]],LstMachines[Status],PrévisionBoris[[#This Row],[Status]],LstMachines[MoisLivr],M$1)</f>
        <v>0</v>
      </c>
      <c r="N195" s="219">
        <f>SUMIFS(LstMachines[Nbre],LstMachines[Model-Spec],PrévisionBoris[[#This Row],[Spec]],LstMachines[Status],PrévisionBoris[[#This Row],[Status]],LstMachines[MoisLivr],N$1)</f>
        <v>0</v>
      </c>
      <c r="O195" s="220">
        <f>SUMIFS(LstMachines[Nbre],LstMachines[Model-Spec],PrévisionBoris[[#This Row],[Spec]],LstMachines[Status],PrévisionBoris[[#This Row],[Status]],LstMachines[MoisLivr],O$1)</f>
        <v>0</v>
      </c>
      <c r="P195" s="221">
        <f>SUMIFS(LstMachines[Nbre],LstMachines[Model-Spec],PrévisionBoris[[#This Row],[Spec]],LstMachines[Status],PrévisionBoris[[#This Row],[Status]],LstMachines[MoisLivr],P$1)</f>
        <v>0</v>
      </c>
      <c r="Q195" s="222">
        <f>SUMIFS(LstMachines[Nbre],LstMachines[Model-Spec],PrévisionBoris[[#This Row],[Spec]],LstMachines[Status],PrévisionBoris[[#This Row],[Status]],LstMachines[MoisLivr],Q$1)</f>
        <v>0</v>
      </c>
      <c r="R195" s="220">
        <f>SUMIFS(LstMachines[Nbre],LstMachines[Model-Spec],PrévisionBoris[[#This Row],[Spec]],LstMachines[Status],PrévisionBoris[[#This Row],[Status]],LstMachines[MoisLivr],R$1)</f>
        <v>0</v>
      </c>
      <c r="S195" s="220">
        <f>SUMIFS(LstMachines[Nbre],LstMachines[Model-Spec],PrévisionBoris[[#This Row],[Spec]],LstMachines[Status],PrévisionBoris[[#This Row],[Status]],LstMachines[MoisLivr],S$1)</f>
        <v>0</v>
      </c>
      <c r="T195" s="219">
        <f>SUMIFS(LstMachines[Nbre],LstMachines[Model-Spec],PrévisionBoris[[#This Row],[Spec]],LstMachines[Status],PrévisionBoris[[#This Row],[Status]],LstMachines[MoisLivr],T$1)</f>
        <v>0</v>
      </c>
      <c r="U195" s="220">
        <f>SUMIFS(LstMachines[Nbre],LstMachines[Model-Spec],PrévisionBoris[[#This Row],[Spec]],LstMachines[Status],PrévisionBoris[[#This Row],[Status]],LstMachines[MoisLivr],U$1)</f>
        <v>0</v>
      </c>
      <c r="V195" s="220">
        <f>SUMIFS(LstMachines[Nbre],LstMachines[Model-Spec],PrévisionBoris[[#This Row],[Spec]],LstMachines[Status],PrévisionBoris[[#This Row],[Status]],LstMachines[MoisLivr],V$1)</f>
        <v>0</v>
      </c>
      <c r="W195" s="219">
        <f>SUMIFS(LstMachines[Nbre],LstMachines[Model-Spec],PrévisionBoris[[#This Row],[Spec]],LstMachines[Status],PrévisionBoris[[#This Row],[Status]],LstMachines[MoisLivr],W$1)</f>
        <v>0</v>
      </c>
      <c r="X195" s="220">
        <f>SUMIFS(LstMachines[Nbre],LstMachines[Model-Spec],PrévisionBoris[[#This Row],[Spec]],LstMachines[Status],PrévisionBoris[[#This Row],[Status]],LstMachines[MoisLivr],X$1)</f>
        <v>0</v>
      </c>
      <c r="Y195" s="220">
        <f>SUMIFS(LstMachines[Nbre],LstMachines[Model-Spec],PrévisionBoris[[#This Row],[Spec]],LstMachines[Status],PrévisionBoris[[#This Row],[Status]],LstMachines[MoisLivr],Y$1)</f>
        <v>0</v>
      </c>
      <c r="Z195" s="219">
        <f>SUMIFS(LstMachines[Nbre],LstMachines[Model-Spec],PrévisionBoris[[#This Row],[Spec]],LstMachines[Status],PrévisionBoris[[#This Row],[Status]],LstMachines[MoisLivr],Z$1)</f>
        <v>0</v>
      </c>
      <c r="AA195" s="220">
        <f>SUMIFS(LstMachines[Nbre],LstMachines[Model-Spec],PrévisionBoris[[#This Row],[Spec]],LstMachines[Status],PrévisionBoris[[#This Row],[Status]],LstMachines[MoisLivr],AA$1)</f>
        <v>0</v>
      </c>
      <c r="AB195" s="220">
        <f>SUMIFS(LstMachines[Nbre],LstMachines[Model-Spec],PrévisionBoris[[#This Row],[Spec]],LstMachines[Status],PrévisionBoris[[#This Row],[Status]],LstMachines[MoisLivr],AB$1)</f>
        <v>0</v>
      </c>
      <c r="AC195" s="219">
        <f>SUMIFS(LstMachines[Nbre],LstMachines[Model-Spec],PrévisionBoris[[#This Row],[Spec]],LstMachines[Status],PrévisionBoris[[#This Row],[Status]],LstMachines[MoisLivr],AC$1)</f>
        <v>0</v>
      </c>
      <c r="AD195" s="220">
        <f>SUMIFS(LstMachines[Nbre],LstMachines[Model-Spec],PrévisionBoris[[#This Row],[Spec]],LstMachines[Status],PrévisionBoris[[#This Row],[Status]],LstMachines[MoisLivr],AD$1)</f>
        <v>0</v>
      </c>
      <c r="AE195" s="220">
        <f>SUMIFS(LstMachines[Nbre],LstMachines[Model-Spec],PrévisionBoris[[#This Row],[Spec]],LstMachines[Status],PrévisionBoris[[#This Row],[Status]],LstMachines[MoisLivr],AE$1)</f>
        <v>0</v>
      </c>
      <c r="AF195" s="219">
        <f>SUMIFS(LstMachines[Nbre],LstMachines[Model-Spec],PrévisionBoris[[#This Row],[Spec]],LstMachines[Status],PrévisionBoris[[#This Row],[Status]],LstMachines[MoisLivr],AF$1)</f>
        <v>0</v>
      </c>
      <c r="AG195" s="220">
        <f>SUMIFS(LstMachines[Nbre],LstMachines[Model-Spec],PrévisionBoris[[#This Row],[Spec]],LstMachines[Status],PrévisionBoris[[#This Row],[Status]],LstMachines[MoisLivr],AG$1)</f>
        <v>0</v>
      </c>
      <c r="AH195" s="220">
        <f>SUMIFS(LstMachines[Nbre],LstMachines[Model-Spec],PrévisionBoris[[#This Row],[Spec]],LstMachines[Status],PrévisionBoris[[#This Row],[Status]],LstMachines[MoisLivr],AH$1)</f>
        <v>0</v>
      </c>
      <c r="AI195" s="219">
        <f>SUMIFS(LstMachines[Nbre],LstMachines[Model-Spec],PrévisionBoris[[#This Row],[Spec]],LstMachines[Status],PrévisionBoris[[#This Row],[Status]],LstMachines[MoisLivr],AI$1)</f>
        <v>0</v>
      </c>
      <c r="AJ195" s="220">
        <f>SUMIFS(LstMachines[Nbre],LstMachines[Model-Spec],PrévisionBoris[[#This Row],[Spec]],LstMachines[Status],PrévisionBoris[[#This Row],[Status]],LstMachines[MoisLivr],AJ$1)</f>
        <v>0</v>
      </c>
      <c r="AK195" s="220">
        <f>SUMIFS(LstMachines[Nbre],LstMachines[Model-Spec],PrévisionBoris[[#This Row],[Spec]],LstMachines[Status],PrévisionBoris[[#This Row],[Status]],LstMachines[MoisLivr],AK$1)</f>
        <v>0</v>
      </c>
      <c r="AL195" s="219">
        <f>SUMIFS(LstMachines[Nbre],LstMachines[Model-Spec],PrévisionBoris[[#This Row],[Spec]],LstMachines[Status],PrévisionBoris[[#This Row],[Status]],LstMachines[MoisLivr],AL$1)</f>
        <v>0</v>
      </c>
      <c r="AM195" s="220">
        <f>SUMIFS(LstMachines[Nbre],LstMachines[Model-Spec],PrévisionBoris[[#This Row],[Spec]],LstMachines[Status],PrévisionBoris[[#This Row],[Status]],LstMachines[MoisLivr],AM$1)</f>
        <v>0</v>
      </c>
      <c r="AN195" s="220">
        <f>SUMIFS(LstMachines[Nbre],LstMachines[Model-Spec],PrévisionBoris[[#This Row],[Spec]],LstMachines[Status],PrévisionBoris[[#This Row],[Status]],LstMachines[MoisLivr],AN$1)</f>
        <v>0</v>
      </c>
      <c r="AO195" s="219">
        <f>SUMIFS(LstMachines[Nbre],LstMachines[Model-Spec],PrévisionBoris[[#This Row],[Spec]],LstMachines[Status],PrévisionBoris[[#This Row],[Status]],LstMachines[MoisLivr],AO$1)</f>
        <v>0</v>
      </c>
      <c r="AP195" s="220">
        <f>SUMIFS(LstMachines[Nbre],LstMachines[Model-Spec],PrévisionBoris[[#This Row],[Spec]],LstMachines[Status],PrévisionBoris[[#This Row],[Status]],LstMachines[MoisLivr],AP$1)</f>
        <v>0</v>
      </c>
      <c r="AQ195" s="220">
        <f>SUMIFS(LstMachines[Nbre],LstMachines[Model-Spec],PrévisionBoris[[#This Row],[Spec]],LstMachines[Status],PrévisionBoris[[#This Row],[Status]],LstMachines[MoisLivr],AQ$1)</f>
        <v>0</v>
      </c>
      <c r="AR195" s="219">
        <f>SUMIFS(LstMachines[Nbre],LstMachines[Model-Spec],PrévisionBoris[[#This Row],[Spec]],LstMachines[Status],PrévisionBoris[[#This Row],[Status]],LstMachines[MoisLivr],AR$1)</f>
        <v>0</v>
      </c>
      <c r="AS195" s="220">
        <f>SUMIFS(LstMachines[Nbre],LstMachines[Model-Spec],PrévisionBoris[[#This Row],[Spec]],LstMachines[Status],PrévisionBoris[[#This Row],[Status]],LstMachines[MoisLivr],AS$1)</f>
        <v>0</v>
      </c>
      <c r="AT195" s="220">
        <f>SUMIFS(LstMachines[Nbre],LstMachines[Model-Spec],PrévisionBoris[[#This Row],[Spec]],LstMachines[Status],PrévisionBoris[[#This Row],[Status]],LstMachines[MoisLivr],AT$1)</f>
        <v>0</v>
      </c>
      <c r="AU195" s="219">
        <f>SUMIFS(LstMachines[Nbre],LstMachines[Model-Spec],PrévisionBoris[[#This Row],[Spec]],LstMachines[Status],PrévisionBoris[[#This Row],[Status]],LstMachines[MoisLivr],AU$1)</f>
        <v>0</v>
      </c>
      <c r="AV195" s="223">
        <f>SUMIFS(LstMachines[Nbre],LstMachines[Model-Spec],PrévisionBoris[[#This Row],[Spec]],LstMachines[Status],PrévisionBoris[[#This Row],[Status]],LstMachines[MoisLivr],AV$1)</f>
        <v>0</v>
      </c>
      <c r="AW195" s="224">
        <f>SUMIFS(LstMachines[Nbre],LstMachines[Model-Spec],PrévisionBoris[[#This Row],[Spec]],LstMachines[Status],PrévisionBoris[[#This Row],[Status]],LstMachines[MoisLivr],AW$1)</f>
        <v>0</v>
      </c>
      <c r="AX195" s="210"/>
      <c r="AY195" s="211">
        <f t="shared" si="35"/>
        <v>0</v>
      </c>
      <c r="AZ195" s="212">
        <f t="shared" si="36"/>
        <v>0</v>
      </c>
      <c r="BA195" s="212">
        <f t="shared" si="37"/>
        <v>0</v>
      </c>
      <c r="BB195" s="213">
        <f t="shared" si="38"/>
        <v>0</v>
      </c>
      <c r="BC195" s="225">
        <f t="shared" si="39"/>
        <v>0</v>
      </c>
      <c r="BD195" s="211">
        <f t="shared" si="40"/>
        <v>0</v>
      </c>
      <c r="BE195" s="212">
        <f t="shared" si="41"/>
        <v>0</v>
      </c>
      <c r="BF195" s="212">
        <f t="shared" si="42"/>
        <v>0</v>
      </c>
      <c r="BG195" s="213">
        <f t="shared" si="43"/>
        <v>0</v>
      </c>
      <c r="BH195" s="225">
        <f t="shared" si="44"/>
        <v>0</v>
      </c>
      <c r="BI195" s="214">
        <f t="shared" si="45"/>
        <v>0</v>
      </c>
      <c r="BJ195" s="215">
        <f t="shared" si="46"/>
        <v>0</v>
      </c>
      <c r="BK195" s="215">
        <f t="shared" si="47"/>
        <v>0</v>
      </c>
      <c r="BL195" s="216">
        <f t="shared" si="48"/>
        <v>0</v>
      </c>
      <c r="BM195" s="225">
        <f t="shared" si="49"/>
        <v>0</v>
      </c>
      <c r="BN195" s="225"/>
      <c r="BO195" s="217"/>
      <c r="BP195" s="218">
        <f t="shared" si="50"/>
        <v>0</v>
      </c>
    </row>
    <row r="196" spans="1:68">
      <c r="A196" s="171">
        <v>189</v>
      </c>
      <c r="B196" s="171" t="s">
        <v>75</v>
      </c>
      <c r="C196" s="201">
        <v>65</v>
      </c>
      <c r="D196" s="171" t="s">
        <v>84</v>
      </c>
      <c r="E196" s="171" t="s">
        <v>433</v>
      </c>
      <c r="F196" s="201">
        <f>VLOOKUP(PrévisionBoris[[#This Row],[Spec]],TabModelSpecs[[ModelSpec]:[Price]],2,FALSE)</f>
        <v>45</v>
      </c>
      <c r="G196" s="171" t="s">
        <v>463</v>
      </c>
      <c r="H196" s="226">
        <f>SUMIFS(LstMachines[Nbre],LstMachines[Model-Spec],PrévisionBoris[[#This Row],[Spec]],LstMachines[Status],PrévisionBoris[[#This Row],[Status]],LstMachines[MoisLivr],H$1)</f>
        <v>0</v>
      </c>
      <c r="I196" s="227">
        <f>SUMIFS(LstMachines[Nbre],LstMachines[Model-Spec],PrévisionBoris[[#This Row],[Spec]],LstMachines[Status],PrévisionBoris[[#This Row],[Status]],LstMachines[MoisLivr],I$1)</f>
        <v>0</v>
      </c>
      <c r="J196" s="228">
        <f>SUMIFS(LstMachines[Nbre],LstMachines[Model-Spec],PrévisionBoris[[#This Row],[Spec]],LstMachines[Status],PrévisionBoris[[#This Row],[Status]],LstMachines[MoisLivr],J$1)</f>
        <v>0</v>
      </c>
      <c r="K196" s="226">
        <f>SUMIFS(LstMachines[Nbre],LstMachines[Model-Spec],PrévisionBoris[[#This Row],[Spec]],LstMachines[Status],PrévisionBoris[[#This Row],[Status]],LstMachines[MoisLivr],K$1)</f>
        <v>0</v>
      </c>
      <c r="L196" s="227">
        <f>SUMIFS(LstMachines[Nbre],LstMachines[Model-Spec],PrévisionBoris[[#This Row],[Spec]],LstMachines[Status],PrévisionBoris[[#This Row],[Status]],LstMachines[MoisLivr],L$1)</f>
        <v>0</v>
      </c>
      <c r="M196" s="228">
        <f>SUMIFS(LstMachines[Nbre],LstMachines[Model-Spec],PrévisionBoris[[#This Row],[Spec]],LstMachines[Status],PrévisionBoris[[#This Row],[Status]],LstMachines[MoisLivr],M$1)</f>
        <v>0</v>
      </c>
      <c r="N196" s="226">
        <f>SUMIFS(LstMachines[Nbre],LstMachines[Model-Spec],PrévisionBoris[[#This Row],[Spec]],LstMachines[Status],PrévisionBoris[[#This Row],[Status]],LstMachines[MoisLivr],N$1)</f>
        <v>0</v>
      </c>
      <c r="O196" s="227">
        <f>SUMIFS(LstMachines[Nbre],LstMachines[Model-Spec],PrévisionBoris[[#This Row],[Spec]],LstMachines[Status],PrévisionBoris[[#This Row],[Status]],LstMachines[MoisLivr],O$1)</f>
        <v>0</v>
      </c>
      <c r="P196" s="228">
        <f>SUMIFS(LstMachines[Nbre],LstMachines[Model-Spec],PrévisionBoris[[#This Row],[Spec]],LstMachines[Status],PrévisionBoris[[#This Row],[Status]],LstMachines[MoisLivr],P$1)</f>
        <v>0</v>
      </c>
      <c r="Q196" s="229">
        <f>SUMIFS(LstMachines[Nbre],LstMachines[Model-Spec],PrévisionBoris[[#This Row],[Spec]],LstMachines[Status],PrévisionBoris[[#This Row],[Status]],LstMachines[MoisLivr],Q$1)</f>
        <v>0</v>
      </c>
      <c r="R196" s="227">
        <f>SUMIFS(LstMachines[Nbre],LstMachines[Model-Spec],PrévisionBoris[[#This Row],[Spec]],LstMachines[Status],PrévisionBoris[[#This Row],[Status]],LstMachines[MoisLivr],R$1)</f>
        <v>0</v>
      </c>
      <c r="S196" s="227">
        <f>SUMIFS(LstMachines[Nbre],LstMachines[Model-Spec],PrévisionBoris[[#This Row],[Spec]],LstMachines[Status],PrévisionBoris[[#This Row],[Status]],LstMachines[MoisLivr],S$1)</f>
        <v>0</v>
      </c>
      <c r="T196" s="226">
        <f>SUMIFS(LstMachines[Nbre],LstMachines[Model-Spec],PrévisionBoris[[#This Row],[Spec]],LstMachines[Status],PrévisionBoris[[#This Row],[Status]],LstMachines[MoisLivr],T$1)</f>
        <v>0</v>
      </c>
      <c r="U196" s="227">
        <f>SUMIFS(LstMachines[Nbre],LstMachines[Model-Spec],PrévisionBoris[[#This Row],[Spec]],LstMachines[Status],PrévisionBoris[[#This Row],[Status]],LstMachines[MoisLivr],U$1)</f>
        <v>0</v>
      </c>
      <c r="V196" s="227">
        <f>SUMIFS(LstMachines[Nbre],LstMachines[Model-Spec],PrévisionBoris[[#This Row],[Spec]],LstMachines[Status],PrévisionBoris[[#This Row],[Status]],LstMachines[MoisLivr],V$1)</f>
        <v>0</v>
      </c>
      <c r="W196" s="226">
        <f>SUMIFS(LstMachines[Nbre],LstMachines[Model-Spec],PrévisionBoris[[#This Row],[Spec]],LstMachines[Status],PrévisionBoris[[#This Row],[Status]],LstMachines[MoisLivr],W$1)</f>
        <v>0</v>
      </c>
      <c r="X196" s="227">
        <f>SUMIFS(LstMachines[Nbre],LstMachines[Model-Spec],PrévisionBoris[[#This Row],[Spec]],LstMachines[Status],PrévisionBoris[[#This Row],[Status]],LstMachines[MoisLivr],X$1)</f>
        <v>0</v>
      </c>
      <c r="Y196" s="227">
        <f>SUMIFS(LstMachines[Nbre],LstMachines[Model-Spec],PrévisionBoris[[#This Row],[Spec]],LstMachines[Status],PrévisionBoris[[#This Row],[Status]],LstMachines[MoisLivr],Y$1)</f>
        <v>0</v>
      </c>
      <c r="Z196" s="226">
        <f>SUMIFS(LstMachines[Nbre],LstMachines[Model-Spec],PrévisionBoris[[#This Row],[Spec]],LstMachines[Status],PrévisionBoris[[#This Row],[Status]],LstMachines[MoisLivr],Z$1)</f>
        <v>0</v>
      </c>
      <c r="AA196" s="227">
        <f>SUMIFS(LstMachines[Nbre],LstMachines[Model-Spec],PrévisionBoris[[#This Row],[Spec]],LstMachines[Status],PrévisionBoris[[#This Row],[Status]],LstMachines[MoisLivr],AA$1)</f>
        <v>0</v>
      </c>
      <c r="AB196" s="227">
        <f>SUMIFS(LstMachines[Nbre],LstMachines[Model-Spec],PrévisionBoris[[#This Row],[Spec]],LstMachines[Status],PrévisionBoris[[#This Row],[Status]],LstMachines[MoisLivr],AB$1)</f>
        <v>0</v>
      </c>
      <c r="AC196" s="226">
        <f>SUMIFS(LstMachines[Nbre],LstMachines[Model-Spec],PrévisionBoris[[#This Row],[Spec]],LstMachines[Status],PrévisionBoris[[#This Row],[Status]],LstMachines[MoisLivr],AC$1)</f>
        <v>0</v>
      </c>
      <c r="AD196" s="227">
        <f>SUMIFS(LstMachines[Nbre],LstMachines[Model-Spec],PrévisionBoris[[#This Row],[Spec]],LstMachines[Status],PrévisionBoris[[#This Row],[Status]],LstMachines[MoisLivr],AD$1)</f>
        <v>0</v>
      </c>
      <c r="AE196" s="227">
        <f>SUMIFS(LstMachines[Nbre],LstMachines[Model-Spec],PrévisionBoris[[#This Row],[Spec]],LstMachines[Status],PrévisionBoris[[#This Row],[Status]],LstMachines[MoisLivr],AE$1)</f>
        <v>0</v>
      </c>
      <c r="AF196" s="226">
        <f>SUMIFS(LstMachines[Nbre],LstMachines[Model-Spec],PrévisionBoris[[#This Row],[Spec]],LstMachines[Status],PrévisionBoris[[#This Row],[Status]],LstMachines[MoisLivr],AF$1)</f>
        <v>0</v>
      </c>
      <c r="AG196" s="227">
        <f>SUMIFS(LstMachines[Nbre],LstMachines[Model-Spec],PrévisionBoris[[#This Row],[Spec]],LstMachines[Status],PrévisionBoris[[#This Row],[Status]],LstMachines[MoisLivr],AG$1)</f>
        <v>0</v>
      </c>
      <c r="AH196" s="227">
        <f>SUMIFS(LstMachines[Nbre],LstMachines[Model-Spec],PrévisionBoris[[#This Row],[Spec]],LstMachines[Status],PrévisionBoris[[#This Row],[Status]],LstMachines[MoisLivr],AH$1)</f>
        <v>0</v>
      </c>
      <c r="AI196" s="226">
        <f>SUMIFS(LstMachines[Nbre],LstMachines[Model-Spec],PrévisionBoris[[#This Row],[Spec]],LstMachines[Status],PrévisionBoris[[#This Row],[Status]],LstMachines[MoisLivr],AI$1)</f>
        <v>0</v>
      </c>
      <c r="AJ196" s="227">
        <f>SUMIFS(LstMachines[Nbre],LstMachines[Model-Spec],PrévisionBoris[[#This Row],[Spec]],LstMachines[Status],PrévisionBoris[[#This Row],[Status]],LstMachines[MoisLivr],AJ$1)</f>
        <v>0</v>
      </c>
      <c r="AK196" s="227">
        <f>SUMIFS(LstMachines[Nbre],LstMachines[Model-Spec],PrévisionBoris[[#This Row],[Spec]],LstMachines[Status],PrévisionBoris[[#This Row],[Status]],LstMachines[MoisLivr],AK$1)</f>
        <v>0</v>
      </c>
      <c r="AL196" s="226">
        <f>SUMIFS(LstMachines[Nbre],LstMachines[Model-Spec],PrévisionBoris[[#This Row],[Spec]],LstMachines[Status],PrévisionBoris[[#This Row],[Status]],LstMachines[MoisLivr],AL$1)</f>
        <v>0</v>
      </c>
      <c r="AM196" s="227">
        <f>SUMIFS(LstMachines[Nbre],LstMachines[Model-Spec],PrévisionBoris[[#This Row],[Spec]],LstMachines[Status],PrévisionBoris[[#This Row],[Status]],LstMachines[MoisLivr],AM$1)</f>
        <v>0</v>
      </c>
      <c r="AN196" s="227">
        <f>SUMIFS(LstMachines[Nbre],LstMachines[Model-Spec],PrévisionBoris[[#This Row],[Spec]],LstMachines[Status],PrévisionBoris[[#This Row],[Status]],LstMachines[MoisLivr],AN$1)</f>
        <v>0</v>
      </c>
      <c r="AO196" s="226">
        <f>SUMIFS(LstMachines[Nbre],LstMachines[Model-Spec],PrévisionBoris[[#This Row],[Spec]],LstMachines[Status],PrévisionBoris[[#This Row],[Status]],LstMachines[MoisLivr],AO$1)</f>
        <v>0</v>
      </c>
      <c r="AP196" s="227">
        <f>SUMIFS(LstMachines[Nbre],LstMachines[Model-Spec],PrévisionBoris[[#This Row],[Spec]],LstMachines[Status],PrévisionBoris[[#This Row],[Status]],LstMachines[MoisLivr],AP$1)</f>
        <v>0</v>
      </c>
      <c r="AQ196" s="227">
        <f>SUMIFS(LstMachines[Nbre],LstMachines[Model-Spec],PrévisionBoris[[#This Row],[Spec]],LstMachines[Status],PrévisionBoris[[#This Row],[Status]],LstMachines[MoisLivr],AQ$1)</f>
        <v>0</v>
      </c>
      <c r="AR196" s="226">
        <f>SUMIFS(LstMachines[Nbre],LstMachines[Model-Spec],PrévisionBoris[[#This Row],[Spec]],LstMachines[Status],PrévisionBoris[[#This Row],[Status]],LstMachines[MoisLivr],AR$1)</f>
        <v>0</v>
      </c>
      <c r="AS196" s="227">
        <f>SUMIFS(LstMachines[Nbre],LstMachines[Model-Spec],PrévisionBoris[[#This Row],[Spec]],LstMachines[Status],PrévisionBoris[[#This Row],[Status]],LstMachines[MoisLivr],AS$1)</f>
        <v>0</v>
      </c>
      <c r="AT196" s="227">
        <f>SUMIFS(LstMachines[Nbre],LstMachines[Model-Spec],PrévisionBoris[[#This Row],[Spec]],LstMachines[Status],PrévisionBoris[[#This Row],[Status]],LstMachines[MoisLivr],AT$1)</f>
        <v>0</v>
      </c>
      <c r="AU196" s="226">
        <f>SUMIFS(LstMachines[Nbre],LstMachines[Model-Spec],PrévisionBoris[[#This Row],[Spec]],LstMachines[Status],PrévisionBoris[[#This Row],[Status]],LstMachines[MoisLivr],AU$1)</f>
        <v>0</v>
      </c>
      <c r="AV196" s="230">
        <f>SUMIFS(LstMachines[Nbre],LstMachines[Model-Spec],PrévisionBoris[[#This Row],[Spec]],LstMachines[Status],PrévisionBoris[[#This Row],[Status]],LstMachines[MoisLivr],AV$1)</f>
        <v>0</v>
      </c>
      <c r="AW196" s="231">
        <f>SUMIFS(LstMachines[Nbre],LstMachines[Model-Spec],PrévisionBoris[[#This Row],[Spec]],LstMachines[Status],PrévisionBoris[[#This Row],[Status]],LstMachines[MoisLivr],AW$1)</f>
        <v>0</v>
      </c>
      <c r="AX196" s="232"/>
      <c r="AY196" s="211">
        <f t="shared" si="35"/>
        <v>0</v>
      </c>
      <c r="AZ196" s="212">
        <f t="shared" si="36"/>
        <v>0</v>
      </c>
      <c r="BA196" s="212">
        <f t="shared" si="37"/>
        <v>0</v>
      </c>
      <c r="BB196" s="213">
        <f t="shared" si="38"/>
        <v>0</v>
      </c>
      <c r="BC196" s="225">
        <f t="shared" si="39"/>
        <v>0</v>
      </c>
      <c r="BD196" s="211">
        <f t="shared" si="40"/>
        <v>0</v>
      </c>
      <c r="BE196" s="212">
        <f t="shared" si="41"/>
        <v>0</v>
      </c>
      <c r="BF196" s="212">
        <f t="shared" si="42"/>
        <v>0</v>
      </c>
      <c r="BG196" s="213">
        <f t="shared" si="43"/>
        <v>0</v>
      </c>
      <c r="BH196" s="225">
        <f t="shared" si="44"/>
        <v>0</v>
      </c>
      <c r="BI196" s="214">
        <f t="shared" si="45"/>
        <v>0</v>
      </c>
      <c r="BJ196" s="215">
        <f t="shared" si="46"/>
        <v>0</v>
      </c>
      <c r="BK196" s="215">
        <f t="shared" si="47"/>
        <v>0</v>
      </c>
      <c r="BL196" s="216">
        <f t="shared" si="48"/>
        <v>0</v>
      </c>
      <c r="BM196" s="225">
        <f t="shared" si="49"/>
        <v>0</v>
      </c>
      <c r="BN196" s="225"/>
      <c r="BO196" s="217"/>
      <c r="BP196" s="218">
        <f t="shared" si="50"/>
        <v>0</v>
      </c>
    </row>
    <row r="197" spans="1:68">
      <c r="A197" s="172">
        <v>190</v>
      </c>
      <c r="B197" s="172" t="s">
        <v>75</v>
      </c>
      <c r="C197" s="202">
        <v>65</v>
      </c>
      <c r="D197" s="172" t="s">
        <v>84</v>
      </c>
      <c r="E197" s="172" t="s">
        <v>434</v>
      </c>
      <c r="F197" s="202">
        <f>VLOOKUP(PrévisionBoris[[#This Row],[Spec]],TabModelSpecs[[ModelSpec]:[Price]],2,FALSE)</f>
        <v>45</v>
      </c>
      <c r="G197" s="172" t="s">
        <v>461</v>
      </c>
      <c r="H197" s="206">
        <f>SUMIFS(LstMachines[Nbre],LstMachines[Model-Spec],PrévisionBoris[[#This Row],[Spec]],LstMachines[Status],PrévisionBoris[[#This Row],[Status]],LstMachines[MoisLivr],H$1)</f>
        <v>0</v>
      </c>
      <c r="I197" s="207">
        <f>SUMIFS(LstMachines[Nbre],LstMachines[Model-Spec],PrévisionBoris[[#This Row],[Spec]],LstMachines[Status],PrévisionBoris[[#This Row],[Status]],LstMachines[MoisLivr],I$1)</f>
        <v>0</v>
      </c>
      <c r="J197" s="208">
        <f>SUMIFS(LstMachines[Nbre],LstMachines[Model-Spec],PrévisionBoris[[#This Row],[Spec]],LstMachines[Status],PrévisionBoris[[#This Row],[Status]],LstMachines[MoisLivr],J$1)</f>
        <v>0</v>
      </c>
      <c r="K197" s="206">
        <f>SUMIFS(LstMachines[Nbre],LstMachines[Model-Spec],PrévisionBoris[[#This Row],[Spec]],LstMachines[Status],PrévisionBoris[[#This Row],[Status]],LstMachines[MoisLivr],K$1)</f>
        <v>0</v>
      </c>
      <c r="L197" s="207">
        <f>SUMIFS(LstMachines[Nbre],LstMachines[Model-Spec],PrévisionBoris[[#This Row],[Spec]],LstMachines[Status],PrévisionBoris[[#This Row],[Status]],LstMachines[MoisLivr],L$1)</f>
        <v>0</v>
      </c>
      <c r="M197" s="208">
        <f>SUMIFS(LstMachines[Nbre],LstMachines[Model-Spec],PrévisionBoris[[#This Row],[Spec]],LstMachines[Status],PrévisionBoris[[#This Row],[Status]],LstMachines[MoisLivr],M$1)</f>
        <v>0</v>
      </c>
      <c r="N197" s="206">
        <f>SUMIFS(LstMachines[Nbre],LstMachines[Model-Spec],PrévisionBoris[[#This Row],[Spec]],LstMachines[Status],PrévisionBoris[[#This Row],[Status]],LstMachines[MoisLivr],N$1)</f>
        <v>0</v>
      </c>
      <c r="O197" s="207">
        <f>SUMIFS(LstMachines[Nbre],LstMachines[Model-Spec],PrévisionBoris[[#This Row],[Spec]],LstMachines[Status],PrévisionBoris[[#This Row],[Status]],LstMachines[MoisLivr],O$1)</f>
        <v>0</v>
      </c>
      <c r="P197" s="208">
        <f>SUMIFS(LstMachines[Nbre],LstMachines[Model-Spec],PrévisionBoris[[#This Row],[Spec]],LstMachines[Status],PrévisionBoris[[#This Row],[Status]],LstMachines[MoisLivr],P$1)</f>
        <v>0</v>
      </c>
      <c r="Q197" s="209">
        <f>SUMIFS(LstMachines[Nbre],LstMachines[Model-Spec],PrévisionBoris[[#This Row],[Spec]],LstMachines[Status],PrévisionBoris[[#This Row],[Status]],LstMachines[MoisLivr],Q$1)</f>
        <v>0</v>
      </c>
      <c r="R197" s="207">
        <f>SUMIFS(LstMachines[Nbre],LstMachines[Model-Spec],PrévisionBoris[[#This Row],[Spec]],LstMachines[Status],PrévisionBoris[[#This Row],[Status]],LstMachines[MoisLivr],R$1)</f>
        <v>0</v>
      </c>
      <c r="S197" s="207">
        <f>SUMIFS(LstMachines[Nbre],LstMachines[Model-Spec],PrévisionBoris[[#This Row],[Spec]],LstMachines[Status],PrévisionBoris[[#This Row],[Status]],LstMachines[MoisLivr],S$1)</f>
        <v>0</v>
      </c>
      <c r="T197" s="206">
        <f>SUMIFS(LstMachines[Nbre],LstMachines[Model-Spec],PrévisionBoris[[#This Row],[Spec]],LstMachines[Status],PrévisionBoris[[#This Row],[Status]],LstMachines[MoisLivr],T$1)</f>
        <v>0</v>
      </c>
      <c r="U197" s="207">
        <f>SUMIFS(LstMachines[Nbre],LstMachines[Model-Spec],PrévisionBoris[[#This Row],[Spec]],LstMachines[Status],PrévisionBoris[[#This Row],[Status]],LstMachines[MoisLivr],U$1)</f>
        <v>0</v>
      </c>
      <c r="V197" s="207">
        <f>SUMIFS(LstMachines[Nbre],LstMachines[Model-Spec],PrévisionBoris[[#This Row],[Spec]],LstMachines[Status],PrévisionBoris[[#This Row],[Status]],LstMachines[MoisLivr],V$1)</f>
        <v>0</v>
      </c>
      <c r="W197" s="206">
        <f>SUMIFS(LstMachines[Nbre],LstMachines[Model-Spec],PrévisionBoris[[#This Row],[Spec]],LstMachines[Status],PrévisionBoris[[#This Row],[Status]],LstMachines[MoisLivr],W$1)</f>
        <v>0</v>
      </c>
      <c r="X197" s="207">
        <f>SUMIFS(LstMachines[Nbre],LstMachines[Model-Spec],PrévisionBoris[[#This Row],[Spec]],LstMachines[Status],PrévisionBoris[[#This Row],[Status]],LstMachines[MoisLivr],X$1)</f>
        <v>0</v>
      </c>
      <c r="Y197" s="207">
        <f>SUMIFS(LstMachines[Nbre],LstMachines[Model-Spec],PrévisionBoris[[#This Row],[Spec]],LstMachines[Status],PrévisionBoris[[#This Row],[Status]],LstMachines[MoisLivr],Y$1)</f>
        <v>0</v>
      </c>
      <c r="Z197" s="206">
        <f>SUMIFS(LstMachines[Nbre],LstMachines[Model-Spec],PrévisionBoris[[#This Row],[Spec]],LstMachines[Status],PrévisionBoris[[#This Row],[Status]],LstMachines[MoisLivr],Z$1)</f>
        <v>0</v>
      </c>
      <c r="AA197" s="207">
        <f>SUMIFS(LstMachines[Nbre],LstMachines[Model-Spec],PrévisionBoris[[#This Row],[Spec]],LstMachines[Status],PrévisionBoris[[#This Row],[Status]],LstMachines[MoisLivr],AA$1)</f>
        <v>0</v>
      </c>
      <c r="AB197" s="207">
        <f>SUMIFS(LstMachines[Nbre],LstMachines[Model-Spec],PrévisionBoris[[#This Row],[Spec]],LstMachines[Status],PrévisionBoris[[#This Row],[Status]],LstMachines[MoisLivr],AB$1)</f>
        <v>0</v>
      </c>
      <c r="AC197" s="206">
        <f>SUMIFS(LstMachines[Nbre],LstMachines[Model-Spec],PrévisionBoris[[#This Row],[Spec]],LstMachines[Status],PrévisionBoris[[#This Row],[Status]],LstMachines[MoisLivr],AC$1)</f>
        <v>0</v>
      </c>
      <c r="AD197" s="207">
        <f>SUMIFS(LstMachines[Nbre],LstMachines[Model-Spec],PrévisionBoris[[#This Row],[Spec]],LstMachines[Status],PrévisionBoris[[#This Row],[Status]],LstMachines[MoisLivr],AD$1)</f>
        <v>0</v>
      </c>
      <c r="AE197" s="207">
        <f>SUMIFS(LstMachines[Nbre],LstMachines[Model-Spec],PrévisionBoris[[#This Row],[Spec]],LstMachines[Status],PrévisionBoris[[#This Row],[Status]],LstMachines[MoisLivr],AE$1)</f>
        <v>0</v>
      </c>
      <c r="AF197" s="206">
        <f>SUMIFS(LstMachines[Nbre],LstMachines[Model-Spec],PrévisionBoris[[#This Row],[Spec]],LstMachines[Status],PrévisionBoris[[#This Row],[Status]],LstMachines[MoisLivr],AF$1)</f>
        <v>0</v>
      </c>
      <c r="AG197" s="207">
        <f>SUMIFS(LstMachines[Nbre],LstMachines[Model-Spec],PrévisionBoris[[#This Row],[Spec]],LstMachines[Status],PrévisionBoris[[#This Row],[Status]],LstMachines[MoisLivr],AG$1)</f>
        <v>0</v>
      </c>
      <c r="AH197" s="207">
        <f>SUMIFS(LstMachines[Nbre],LstMachines[Model-Spec],PrévisionBoris[[#This Row],[Spec]],LstMachines[Status],PrévisionBoris[[#This Row],[Status]],LstMachines[MoisLivr],AH$1)</f>
        <v>0</v>
      </c>
      <c r="AI197" s="206">
        <f>SUMIFS(LstMachines[Nbre],LstMachines[Model-Spec],PrévisionBoris[[#This Row],[Spec]],LstMachines[Status],PrévisionBoris[[#This Row],[Status]],LstMachines[MoisLivr],AI$1)</f>
        <v>0</v>
      </c>
      <c r="AJ197" s="207">
        <f>SUMIFS(LstMachines[Nbre],LstMachines[Model-Spec],PrévisionBoris[[#This Row],[Spec]],LstMachines[Status],PrévisionBoris[[#This Row],[Status]],LstMachines[MoisLivr],AJ$1)</f>
        <v>0</v>
      </c>
      <c r="AK197" s="207">
        <f>SUMIFS(LstMachines[Nbre],LstMachines[Model-Spec],PrévisionBoris[[#This Row],[Spec]],LstMachines[Status],PrévisionBoris[[#This Row],[Status]],LstMachines[MoisLivr],AK$1)</f>
        <v>0</v>
      </c>
      <c r="AL197" s="206">
        <f>SUMIFS(LstMachines[Nbre],LstMachines[Model-Spec],PrévisionBoris[[#This Row],[Spec]],LstMachines[Status],PrévisionBoris[[#This Row],[Status]],LstMachines[MoisLivr],AL$1)</f>
        <v>0</v>
      </c>
      <c r="AM197" s="207">
        <f>SUMIFS(LstMachines[Nbre],LstMachines[Model-Spec],PrévisionBoris[[#This Row],[Spec]],LstMachines[Status],PrévisionBoris[[#This Row],[Status]],LstMachines[MoisLivr],AM$1)</f>
        <v>0</v>
      </c>
      <c r="AN197" s="207">
        <f>SUMIFS(LstMachines[Nbre],LstMachines[Model-Spec],PrévisionBoris[[#This Row],[Spec]],LstMachines[Status],PrévisionBoris[[#This Row],[Status]],LstMachines[MoisLivr],AN$1)</f>
        <v>0</v>
      </c>
      <c r="AO197" s="206">
        <f>SUMIFS(LstMachines[Nbre],LstMachines[Model-Spec],PrévisionBoris[[#This Row],[Spec]],LstMachines[Status],PrévisionBoris[[#This Row],[Status]],LstMachines[MoisLivr],AO$1)</f>
        <v>0</v>
      </c>
      <c r="AP197" s="207">
        <f>SUMIFS(LstMachines[Nbre],LstMachines[Model-Spec],PrévisionBoris[[#This Row],[Spec]],LstMachines[Status],PrévisionBoris[[#This Row],[Status]],LstMachines[MoisLivr],AP$1)</f>
        <v>0</v>
      </c>
      <c r="AQ197" s="207">
        <f>SUMIFS(LstMachines[Nbre],LstMachines[Model-Spec],PrévisionBoris[[#This Row],[Spec]],LstMachines[Status],PrévisionBoris[[#This Row],[Status]],LstMachines[MoisLivr],AQ$1)</f>
        <v>0</v>
      </c>
      <c r="AR197" s="206">
        <f>SUMIFS(LstMachines[Nbre],LstMachines[Model-Spec],PrévisionBoris[[#This Row],[Spec]],LstMachines[Status],PrévisionBoris[[#This Row],[Status]],LstMachines[MoisLivr],AR$1)</f>
        <v>0</v>
      </c>
      <c r="AS197" s="207">
        <f>SUMIFS(LstMachines[Nbre],LstMachines[Model-Spec],PrévisionBoris[[#This Row],[Spec]],LstMachines[Status],PrévisionBoris[[#This Row],[Status]],LstMachines[MoisLivr],AS$1)</f>
        <v>0</v>
      </c>
      <c r="AT197" s="207">
        <f>SUMIFS(LstMachines[Nbre],LstMachines[Model-Spec],PrévisionBoris[[#This Row],[Spec]],LstMachines[Status],PrévisionBoris[[#This Row],[Status]],LstMachines[MoisLivr],AT$1)</f>
        <v>0</v>
      </c>
      <c r="AU197" s="206">
        <f>SUMIFS(LstMachines[Nbre],LstMachines[Model-Spec],PrévisionBoris[[#This Row],[Spec]],LstMachines[Status],PrévisionBoris[[#This Row],[Status]],LstMachines[MoisLivr],AU$1)</f>
        <v>0</v>
      </c>
      <c r="AV197" s="233">
        <f>SUMIFS(LstMachines[Nbre],LstMachines[Model-Spec],PrévisionBoris[[#This Row],[Spec]],LstMachines[Status],PrévisionBoris[[#This Row],[Status]],LstMachines[MoisLivr],AV$1)</f>
        <v>0</v>
      </c>
      <c r="AW197" s="208">
        <f>SUMIFS(LstMachines[Nbre],LstMachines[Model-Spec],PrévisionBoris[[#This Row],[Spec]],LstMachines[Status],PrévisionBoris[[#This Row],[Status]],LstMachines[MoisLivr],AW$1)</f>
        <v>0</v>
      </c>
      <c r="AX197" s="225"/>
      <c r="AY197" s="211">
        <f t="shared" si="35"/>
        <v>0</v>
      </c>
      <c r="AZ197" s="212">
        <f t="shared" si="36"/>
        <v>0</v>
      </c>
      <c r="BA197" s="212">
        <f t="shared" si="37"/>
        <v>0</v>
      </c>
      <c r="BB197" s="213">
        <f t="shared" si="38"/>
        <v>0</v>
      </c>
      <c r="BC197" s="225">
        <f t="shared" si="39"/>
        <v>0</v>
      </c>
      <c r="BD197" s="211">
        <f t="shared" si="40"/>
        <v>0</v>
      </c>
      <c r="BE197" s="212">
        <f t="shared" si="41"/>
        <v>0</v>
      </c>
      <c r="BF197" s="212">
        <f t="shared" si="42"/>
        <v>0</v>
      </c>
      <c r="BG197" s="213">
        <f t="shared" si="43"/>
        <v>0</v>
      </c>
      <c r="BH197" s="225">
        <f t="shared" si="44"/>
        <v>0</v>
      </c>
      <c r="BI197" s="214">
        <f t="shared" si="45"/>
        <v>0</v>
      </c>
      <c r="BJ197" s="215">
        <f t="shared" si="46"/>
        <v>0</v>
      </c>
      <c r="BK197" s="215">
        <f t="shared" si="47"/>
        <v>0</v>
      </c>
      <c r="BL197" s="216">
        <f t="shared" si="48"/>
        <v>0</v>
      </c>
      <c r="BM197" s="225">
        <f t="shared" si="49"/>
        <v>0</v>
      </c>
      <c r="BN197" s="225"/>
      <c r="BO197" s="234"/>
      <c r="BP197" s="218">
        <f t="shared" si="50"/>
        <v>0</v>
      </c>
    </row>
    <row r="198" spans="1:68">
      <c r="A198" s="170">
        <v>191</v>
      </c>
      <c r="B198" s="170" t="s">
        <v>75</v>
      </c>
      <c r="C198" s="200">
        <v>65</v>
      </c>
      <c r="D198" s="170" t="s">
        <v>84</v>
      </c>
      <c r="E198" s="170" t="s">
        <v>434</v>
      </c>
      <c r="F198" s="200">
        <f>VLOOKUP(PrévisionBoris[[#This Row],[Spec]],TabModelSpecs[[ModelSpec]:[Price]],2,FALSE)</f>
        <v>45</v>
      </c>
      <c r="G198" s="170" t="s">
        <v>462</v>
      </c>
      <c r="H198" s="219">
        <f>SUMIFS(LstMachines[Nbre],LstMachines[Model-Spec],PrévisionBoris[[#This Row],[Spec]],LstMachines[Status],PrévisionBoris[[#This Row],[Status]],LstMachines[MoisLivr],H$1)</f>
        <v>0</v>
      </c>
      <c r="I198" s="220">
        <f>SUMIFS(LstMachines[Nbre],LstMachines[Model-Spec],PrévisionBoris[[#This Row],[Spec]],LstMachines[Status],PrévisionBoris[[#This Row],[Status]],LstMachines[MoisLivr],I$1)</f>
        <v>0</v>
      </c>
      <c r="J198" s="221">
        <f>SUMIFS(LstMachines[Nbre],LstMachines[Model-Spec],PrévisionBoris[[#This Row],[Spec]],LstMachines[Status],PrévisionBoris[[#This Row],[Status]],LstMachines[MoisLivr],J$1)</f>
        <v>0</v>
      </c>
      <c r="K198" s="219">
        <f>SUMIFS(LstMachines[Nbre],LstMachines[Model-Spec],PrévisionBoris[[#This Row],[Spec]],LstMachines[Status],PrévisionBoris[[#This Row],[Status]],LstMachines[MoisLivr],K$1)</f>
        <v>0</v>
      </c>
      <c r="L198" s="220">
        <f>SUMIFS(LstMachines[Nbre],LstMachines[Model-Spec],PrévisionBoris[[#This Row],[Spec]],LstMachines[Status],PrévisionBoris[[#This Row],[Status]],LstMachines[MoisLivr],L$1)</f>
        <v>0</v>
      </c>
      <c r="M198" s="221">
        <f>SUMIFS(LstMachines[Nbre],LstMachines[Model-Spec],PrévisionBoris[[#This Row],[Spec]],LstMachines[Status],PrévisionBoris[[#This Row],[Status]],LstMachines[MoisLivr],M$1)</f>
        <v>0</v>
      </c>
      <c r="N198" s="219">
        <f>SUMIFS(LstMachines[Nbre],LstMachines[Model-Spec],PrévisionBoris[[#This Row],[Spec]],LstMachines[Status],PrévisionBoris[[#This Row],[Status]],LstMachines[MoisLivr],N$1)</f>
        <v>0</v>
      </c>
      <c r="O198" s="220">
        <f>SUMIFS(LstMachines[Nbre],LstMachines[Model-Spec],PrévisionBoris[[#This Row],[Spec]],LstMachines[Status],PrévisionBoris[[#This Row],[Status]],LstMachines[MoisLivr],O$1)</f>
        <v>0</v>
      </c>
      <c r="P198" s="221">
        <f>SUMIFS(LstMachines[Nbre],LstMachines[Model-Spec],PrévisionBoris[[#This Row],[Spec]],LstMachines[Status],PrévisionBoris[[#This Row],[Status]],LstMachines[MoisLivr],P$1)</f>
        <v>0</v>
      </c>
      <c r="Q198" s="222">
        <f>SUMIFS(LstMachines[Nbre],LstMachines[Model-Spec],PrévisionBoris[[#This Row],[Spec]],LstMachines[Status],PrévisionBoris[[#This Row],[Status]],LstMachines[MoisLivr],Q$1)</f>
        <v>0</v>
      </c>
      <c r="R198" s="220">
        <f>SUMIFS(LstMachines[Nbre],LstMachines[Model-Spec],PrévisionBoris[[#This Row],[Spec]],LstMachines[Status],PrévisionBoris[[#This Row],[Status]],LstMachines[MoisLivr],R$1)</f>
        <v>0</v>
      </c>
      <c r="S198" s="220">
        <f>SUMIFS(LstMachines[Nbre],LstMachines[Model-Spec],PrévisionBoris[[#This Row],[Spec]],LstMachines[Status],PrévisionBoris[[#This Row],[Status]],LstMachines[MoisLivr],S$1)</f>
        <v>0</v>
      </c>
      <c r="T198" s="219">
        <f>SUMIFS(LstMachines[Nbre],LstMachines[Model-Spec],PrévisionBoris[[#This Row],[Spec]],LstMachines[Status],PrévisionBoris[[#This Row],[Status]],LstMachines[MoisLivr],T$1)</f>
        <v>0</v>
      </c>
      <c r="U198" s="220">
        <f>SUMIFS(LstMachines[Nbre],LstMachines[Model-Spec],PrévisionBoris[[#This Row],[Spec]],LstMachines[Status],PrévisionBoris[[#This Row],[Status]],LstMachines[MoisLivr],U$1)</f>
        <v>0</v>
      </c>
      <c r="V198" s="220">
        <f>SUMIFS(LstMachines[Nbre],LstMachines[Model-Spec],PrévisionBoris[[#This Row],[Spec]],LstMachines[Status],PrévisionBoris[[#This Row],[Status]],LstMachines[MoisLivr],V$1)</f>
        <v>0</v>
      </c>
      <c r="W198" s="219">
        <f>SUMIFS(LstMachines[Nbre],LstMachines[Model-Spec],PrévisionBoris[[#This Row],[Spec]],LstMachines[Status],PrévisionBoris[[#This Row],[Status]],LstMachines[MoisLivr],W$1)</f>
        <v>0</v>
      </c>
      <c r="X198" s="220">
        <f>SUMIFS(LstMachines[Nbre],LstMachines[Model-Spec],PrévisionBoris[[#This Row],[Spec]],LstMachines[Status],PrévisionBoris[[#This Row],[Status]],LstMachines[MoisLivr],X$1)</f>
        <v>0</v>
      </c>
      <c r="Y198" s="220">
        <f>SUMIFS(LstMachines[Nbre],LstMachines[Model-Spec],PrévisionBoris[[#This Row],[Spec]],LstMachines[Status],PrévisionBoris[[#This Row],[Status]],LstMachines[MoisLivr],Y$1)</f>
        <v>0</v>
      </c>
      <c r="Z198" s="219">
        <f>SUMIFS(LstMachines[Nbre],LstMachines[Model-Spec],PrévisionBoris[[#This Row],[Spec]],LstMachines[Status],PrévisionBoris[[#This Row],[Status]],LstMachines[MoisLivr],Z$1)</f>
        <v>0</v>
      </c>
      <c r="AA198" s="220">
        <f>SUMIFS(LstMachines[Nbre],LstMachines[Model-Spec],PrévisionBoris[[#This Row],[Spec]],LstMachines[Status],PrévisionBoris[[#This Row],[Status]],LstMachines[MoisLivr],AA$1)</f>
        <v>0</v>
      </c>
      <c r="AB198" s="220">
        <f>SUMIFS(LstMachines[Nbre],LstMachines[Model-Spec],PrévisionBoris[[#This Row],[Spec]],LstMachines[Status],PrévisionBoris[[#This Row],[Status]],LstMachines[MoisLivr],AB$1)</f>
        <v>0</v>
      </c>
      <c r="AC198" s="219">
        <f>SUMIFS(LstMachines[Nbre],LstMachines[Model-Spec],PrévisionBoris[[#This Row],[Spec]],LstMachines[Status],PrévisionBoris[[#This Row],[Status]],LstMachines[MoisLivr],AC$1)</f>
        <v>0</v>
      </c>
      <c r="AD198" s="220">
        <f>SUMIFS(LstMachines[Nbre],LstMachines[Model-Spec],PrévisionBoris[[#This Row],[Spec]],LstMachines[Status],PrévisionBoris[[#This Row],[Status]],LstMachines[MoisLivr],AD$1)</f>
        <v>0</v>
      </c>
      <c r="AE198" s="220">
        <f>SUMIFS(LstMachines[Nbre],LstMachines[Model-Spec],PrévisionBoris[[#This Row],[Spec]],LstMachines[Status],PrévisionBoris[[#This Row],[Status]],LstMachines[MoisLivr],AE$1)</f>
        <v>0</v>
      </c>
      <c r="AF198" s="219">
        <f>SUMIFS(LstMachines[Nbre],LstMachines[Model-Spec],PrévisionBoris[[#This Row],[Spec]],LstMachines[Status],PrévisionBoris[[#This Row],[Status]],LstMachines[MoisLivr],AF$1)</f>
        <v>0</v>
      </c>
      <c r="AG198" s="220">
        <f>SUMIFS(LstMachines[Nbre],LstMachines[Model-Spec],PrévisionBoris[[#This Row],[Spec]],LstMachines[Status],PrévisionBoris[[#This Row],[Status]],LstMachines[MoisLivr],AG$1)</f>
        <v>0</v>
      </c>
      <c r="AH198" s="220">
        <f>SUMIFS(LstMachines[Nbre],LstMachines[Model-Spec],PrévisionBoris[[#This Row],[Spec]],LstMachines[Status],PrévisionBoris[[#This Row],[Status]],LstMachines[MoisLivr],AH$1)</f>
        <v>0</v>
      </c>
      <c r="AI198" s="219">
        <f>SUMIFS(LstMachines[Nbre],LstMachines[Model-Spec],PrévisionBoris[[#This Row],[Spec]],LstMachines[Status],PrévisionBoris[[#This Row],[Status]],LstMachines[MoisLivr],AI$1)</f>
        <v>0</v>
      </c>
      <c r="AJ198" s="220">
        <f>SUMIFS(LstMachines[Nbre],LstMachines[Model-Spec],PrévisionBoris[[#This Row],[Spec]],LstMachines[Status],PrévisionBoris[[#This Row],[Status]],LstMachines[MoisLivr],AJ$1)</f>
        <v>0</v>
      </c>
      <c r="AK198" s="220">
        <f>SUMIFS(LstMachines[Nbre],LstMachines[Model-Spec],PrévisionBoris[[#This Row],[Spec]],LstMachines[Status],PrévisionBoris[[#This Row],[Status]],LstMachines[MoisLivr],AK$1)</f>
        <v>0</v>
      </c>
      <c r="AL198" s="219">
        <f>SUMIFS(LstMachines[Nbre],LstMachines[Model-Spec],PrévisionBoris[[#This Row],[Spec]],LstMachines[Status],PrévisionBoris[[#This Row],[Status]],LstMachines[MoisLivr],AL$1)</f>
        <v>0</v>
      </c>
      <c r="AM198" s="220">
        <f>SUMIFS(LstMachines[Nbre],LstMachines[Model-Spec],PrévisionBoris[[#This Row],[Spec]],LstMachines[Status],PrévisionBoris[[#This Row],[Status]],LstMachines[MoisLivr],AM$1)</f>
        <v>0</v>
      </c>
      <c r="AN198" s="220">
        <f>SUMIFS(LstMachines[Nbre],LstMachines[Model-Spec],PrévisionBoris[[#This Row],[Spec]],LstMachines[Status],PrévisionBoris[[#This Row],[Status]],LstMachines[MoisLivr],AN$1)</f>
        <v>0</v>
      </c>
      <c r="AO198" s="219">
        <f>SUMIFS(LstMachines[Nbre],LstMachines[Model-Spec],PrévisionBoris[[#This Row],[Spec]],LstMachines[Status],PrévisionBoris[[#This Row],[Status]],LstMachines[MoisLivr],AO$1)</f>
        <v>0</v>
      </c>
      <c r="AP198" s="220">
        <f>SUMIFS(LstMachines[Nbre],LstMachines[Model-Spec],PrévisionBoris[[#This Row],[Spec]],LstMachines[Status],PrévisionBoris[[#This Row],[Status]],LstMachines[MoisLivr],AP$1)</f>
        <v>0</v>
      </c>
      <c r="AQ198" s="220">
        <f>SUMIFS(LstMachines[Nbre],LstMachines[Model-Spec],PrévisionBoris[[#This Row],[Spec]],LstMachines[Status],PrévisionBoris[[#This Row],[Status]],LstMachines[MoisLivr],AQ$1)</f>
        <v>0</v>
      </c>
      <c r="AR198" s="219">
        <f>SUMIFS(LstMachines[Nbre],LstMachines[Model-Spec],PrévisionBoris[[#This Row],[Spec]],LstMachines[Status],PrévisionBoris[[#This Row],[Status]],LstMachines[MoisLivr],AR$1)</f>
        <v>0</v>
      </c>
      <c r="AS198" s="220">
        <f>SUMIFS(LstMachines[Nbre],LstMachines[Model-Spec],PrévisionBoris[[#This Row],[Spec]],LstMachines[Status],PrévisionBoris[[#This Row],[Status]],LstMachines[MoisLivr],AS$1)</f>
        <v>0</v>
      </c>
      <c r="AT198" s="220">
        <f>SUMIFS(LstMachines[Nbre],LstMachines[Model-Spec],PrévisionBoris[[#This Row],[Spec]],LstMachines[Status],PrévisionBoris[[#This Row],[Status]],LstMachines[MoisLivr],AT$1)</f>
        <v>0</v>
      </c>
      <c r="AU198" s="219">
        <f>SUMIFS(LstMachines[Nbre],LstMachines[Model-Spec],PrévisionBoris[[#This Row],[Spec]],LstMachines[Status],PrévisionBoris[[#This Row],[Status]],LstMachines[MoisLivr],AU$1)</f>
        <v>0</v>
      </c>
      <c r="AV198" s="223">
        <f>SUMIFS(LstMachines[Nbre],LstMachines[Model-Spec],PrévisionBoris[[#This Row],[Spec]],LstMachines[Status],PrévisionBoris[[#This Row],[Status]],LstMachines[MoisLivr],AV$1)</f>
        <v>0</v>
      </c>
      <c r="AW198" s="224">
        <f>SUMIFS(LstMachines[Nbre],LstMachines[Model-Spec],PrévisionBoris[[#This Row],[Spec]],LstMachines[Status],PrévisionBoris[[#This Row],[Status]],LstMachines[MoisLivr],AW$1)</f>
        <v>0</v>
      </c>
      <c r="AX198" s="210"/>
      <c r="AY198" s="211">
        <f t="shared" si="35"/>
        <v>0</v>
      </c>
      <c r="AZ198" s="212">
        <f t="shared" si="36"/>
        <v>0</v>
      </c>
      <c r="BA198" s="212">
        <f t="shared" si="37"/>
        <v>0</v>
      </c>
      <c r="BB198" s="213">
        <f t="shared" si="38"/>
        <v>0</v>
      </c>
      <c r="BC198" s="225">
        <f t="shared" si="39"/>
        <v>0</v>
      </c>
      <c r="BD198" s="211">
        <f t="shared" si="40"/>
        <v>0</v>
      </c>
      <c r="BE198" s="212">
        <f t="shared" si="41"/>
        <v>0</v>
      </c>
      <c r="BF198" s="212">
        <f t="shared" si="42"/>
        <v>0</v>
      </c>
      <c r="BG198" s="213">
        <f t="shared" si="43"/>
        <v>0</v>
      </c>
      <c r="BH198" s="225">
        <f t="shared" si="44"/>
        <v>0</v>
      </c>
      <c r="BI198" s="214">
        <f t="shared" si="45"/>
        <v>0</v>
      </c>
      <c r="BJ198" s="215">
        <f t="shared" si="46"/>
        <v>0</v>
      </c>
      <c r="BK198" s="215">
        <f t="shared" si="47"/>
        <v>0</v>
      </c>
      <c r="BL198" s="216">
        <f t="shared" si="48"/>
        <v>0</v>
      </c>
      <c r="BM198" s="225">
        <f t="shared" si="49"/>
        <v>0</v>
      </c>
      <c r="BN198" s="225"/>
      <c r="BO198" s="217"/>
      <c r="BP198" s="218">
        <f t="shared" si="50"/>
        <v>0</v>
      </c>
    </row>
    <row r="199" spans="1:68">
      <c r="A199" s="171">
        <v>192</v>
      </c>
      <c r="B199" s="171" t="s">
        <v>75</v>
      </c>
      <c r="C199" s="201">
        <v>65</v>
      </c>
      <c r="D199" s="171" t="s">
        <v>84</v>
      </c>
      <c r="E199" s="171" t="s">
        <v>434</v>
      </c>
      <c r="F199" s="201">
        <f>VLOOKUP(PrévisionBoris[[#This Row],[Spec]],TabModelSpecs[[ModelSpec]:[Price]],2,FALSE)</f>
        <v>45</v>
      </c>
      <c r="G199" s="171" t="s">
        <v>463</v>
      </c>
      <c r="H199" s="226">
        <f>SUMIFS(LstMachines[Nbre],LstMachines[Model-Spec],PrévisionBoris[[#This Row],[Spec]],LstMachines[Status],PrévisionBoris[[#This Row],[Status]],LstMachines[MoisLivr],H$1)</f>
        <v>0</v>
      </c>
      <c r="I199" s="227">
        <f>SUMIFS(LstMachines[Nbre],LstMachines[Model-Spec],PrévisionBoris[[#This Row],[Spec]],LstMachines[Status],PrévisionBoris[[#This Row],[Status]],LstMachines[MoisLivr],I$1)</f>
        <v>0</v>
      </c>
      <c r="J199" s="228">
        <f>SUMIFS(LstMachines[Nbre],LstMachines[Model-Spec],PrévisionBoris[[#This Row],[Spec]],LstMachines[Status],PrévisionBoris[[#This Row],[Status]],LstMachines[MoisLivr],J$1)</f>
        <v>0</v>
      </c>
      <c r="K199" s="226">
        <f>SUMIFS(LstMachines[Nbre],LstMachines[Model-Spec],PrévisionBoris[[#This Row],[Spec]],LstMachines[Status],PrévisionBoris[[#This Row],[Status]],LstMachines[MoisLivr],K$1)</f>
        <v>0</v>
      </c>
      <c r="L199" s="227">
        <f>SUMIFS(LstMachines[Nbre],LstMachines[Model-Spec],PrévisionBoris[[#This Row],[Spec]],LstMachines[Status],PrévisionBoris[[#This Row],[Status]],LstMachines[MoisLivr],L$1)</f>
        <v>0</v>
      </c>
      <c r="M199" s="228">
        <f>SUMIFS(LstMachines[Nbre],LstMachines[Model-Spec],PrévisionBoris[[#This Row],[Spec]],LstMachines[Status],PrévisionBoris[[#This Row],[Status]],LstMachines[MoisLivr],M$1)</f>
        <v>0</v>
      </c>
      <c r="N199" s="226">
        <f>SUMIFS(LstMachines[Nbre],LstMachines[Model-Spec],PrévisionBoris[[#This Row],[Spec]],LstMachines[Status],PrévisionBoris[[#This Row],[Status]],LstMachines[MoisLivr],N$1)</f>
        <v>0</v>
      </c>
      <c r="O199" s="227">
        <f>SUMIFS(LstMachines[Nbre],LstMachines[Model-Spec],PrévisionBoris[[#This Row],[Spec]],LstMachines[Status],PrévisionBoris[[#This Row],[Status]],LstMachines[MoisLivr],O$1)</f>
        <v>0</v>
      </c>
      <c r="P199" s="228">
        <f>SUMIFS(LstMachines[Nbre],LstMachines[Model-Spec],PrévisionBoris[[#This Row],[Spec]],LstMachines[Status],PrévisionBoris[[#This Row],[Status]],LstMachines[MoisLivr],P$1)</f>
        <v>0</v>
      </c>
      <c r="Q199" s="229">
        <f>SUMIFS(LstMachines[Nbre],LstMachines[Model-Spec],PrévisionBoris[[#This Row],[Spec]],LstMachines[Status],PrévisionBoris[[#This Row],[Status]],LstMachines[MoisLivr],Q$1)</f>
        <v>0</v>
      </c>
      <c r="R199" s="227">
        <f>SUMIFS(LstMachines[Nbre],LstMachines[Model-Spec],PrévisionBoris[[#This Row],[Spec]],LstMachines[Status],PrévisionBoris[[#This Row],[Status]],LstMachines[MoisLivr],R$1)</f>
        <v>0</v>
      </c>
      <c r="S199" s="227">
        <f>SUMIFS(LstMachines[Nbre],LstMachines[Model-Spec],PrévisionBoris[[#This Row],[Spec]],LstMachines[Status],PrévisionBoris[[#This Row],[Status]],LstMachines[MoisLivr],S$1)</f>
        <v>0</v>
      </c>
      <c r="T199" s="226">
        <f>SUMIFS(LstMachines[Nbre],LstMachines[Model-Spec],PrévisionBoris[[#This Row],[Spec]],LstMachines[Status],PrévisionBoris[[#This Row],[Status]],LstMachines[MoisLivr],T$1)</f>
        <v>0</v>
      </c>
      <c r="U199" s="227">
        <f>SUMIFS(LstMachines[Nbre],LstMachines[Model-Spec],PrévisionBoris[[#This Row],[Spec]],LstMachines[Status],PrévisionBoris[[#This Row],[Status]],LstMachines[MoisLivr],U$1)</f>
        <v>0</v>
      </c>
      <c r="V199" s="227">
        <f>SUMIFS(LstMachines[Nbre],LstMachines[Model-Spec],PrévisionBoris[[#This Row],[Spec]],LstMachines[Status],PrévisionBoris[[#This Row],[Status]],LstMachines[MoisLivr],V$1)</f>
        <v>0</v>
      </c>
      <c r="W199" s="226">
        <f>SUMIFS(LstMachines[Nbre],LstMachines[Model-Spec],PrévisionBoris[[#This Row],[Spec]],LstMachines[Status],PrévisionBoris[[#This Row],[Status]],LstMachines[MoisLivr],W$1)</f>
        <v>0</v>
      </c>
      <c r="X199" s="227">
        <f>SUMIFS(LstMachines[Nbre],LstMachines[Model-Spec],PrévisionBoris[[#This Row],[Spec]],LstMachines[Status],PrévisionBoris[[#This Row],[Status]],LstMachines[MoisLivr],X$1)</f>
        <v>0</v>
      </c>
      <c r="Y199" s="227">
        <f>SUMIFS(LstMachines[Nbre],LstMachines[Model-Spec],PrévisionBoris[[#This Row],[Spec]],LstMachines[Status],PrévisionBoris[[#This Row],[Status]],LstMachines[MoisLivr],Y$1)</f>
        <v>0</v>
      </c>
      <c r="Z199" s="226">
        <f>SUMIFS(LstMachines[Nbre],LstMachines[Model-Spec],PrévisionBoris[[#This Row],[Spec]],LstMachines[Status],PrévisionBoris[[#This Row],[Status]],LstMachines[MoisLivr],Z$1)</f>
        <v>0</v>
      </c>
      <c r="AA199" s="227">
        <f>SUMIFS(LstMachines[Nbre],LstMachines[Model-Spec],PrévisionBoris[[#This Row],[Spec]],LstMachines[Status],PrévisionBoris[[#This Row],[Status]],LstMachines[MoisLivr],AA$1)</f>
        <v>0</v>
      </c>
      <c r="AB199" s="227">
        <f>SUMIFS(LstMachines[Nbre],LstMachines[Model-Spec],PrévisionBoris[[#This Row],[Spec]],LstMachines[Status],PrévisionBoris[[#This Row],[Status]],LstMachines[MoisLivr],AB$1)</f>
        <v>0</v>
      </c>
      <c r="AC199" s="226">
        <f>SUMIFS(LstMachines[Nbre],LstMachines[Model-Spec],PrévisionBoris[[#This Row],[Spec]],LstMachines[Status],PrévisionBoris[[#This Row],[Status]],LstMachines[MoisLivr],AC$1)</f>
        <v>0</v>
      </c>
      <c r="AD199" s="227">
        <f>SUMIFS(LstMachines[Nbre],LstMachines[Model-Spec],PrévisionBoris[[#This Row],[Spec]],LstMachines[Status],PrévisionBoris[[#This Row],[Status]],LstMachines[MoisLivr],AD$1)</f>
        <v>0</v>
      </c>
      <c r="AE199" s="227">
        <f>SUMIFS(LstMachines[Nbre],LstMachines[Model-Spec],PrévisionBoris[[#This Row],[Spec]],LstMachines[Status],PrévisionBoris[[#This Row],[Status]],LstMachines[MoisLivr],AE$1)</f>
        <v>0</v>
      </c>
      <c r="AF199" s="226">
        <f>SUMIFS(LstMachines[Nbre],LstMachines[Model-Spec],PrévisionBoris[[#This Row],[Spec]],LstMachines[Status],PrévisionBoris[[#This Row],[Status]],LstMachines[MoisLivr],AF$1)</f>
        <v>0</v>
      </c>
      <c r="AG199" s="227">
        <f>SUMIFS(LstMachines[Nbre],LstMachines[Model-Spec],PrévisionBoris[[#This Row],[Spec]],LstMachines[Status],PrévisionBoris[[#This Row],[Status]],LstMachines[MoisLivr],AG$1)</f>
        <v>0</v>
      </c>
      <c r="AH199" s="227">
        <f>SUMIFS(LstMachines[Nbre],LstMachines[Model-Spec],PrévisionBoris[[#This Row],[Spec]],LstMachines[Status],PrévisionBoris[[#This Row],[Status]],LstMachines[MoisLivr],AH$1)</f>
        <v>0</v>
      </c>
      <c r="AI199" s="226">
        <f>SUMIFS(LstMachines[Nbre],LstMachines[Model-Spec],PrévisionBoris[[#This Row],[Spec]],LstMachines[Status],PrévisionBoris[[#This Row],[Status]],LstMachines[MoisLivr],AI$1)</f>
        <v>0</v>
      </c>
      <c r="AJ199" s="227">
        <f>SUMIFS(LstMachines[Nbre],LstMachines[Model-Spec],PrévisionBoris[[#This Row],[Spec]],LstMachines[Status],PrévisionBoris[[#This Row],[Status]],LstMachines[MoisLivr],AJ$1)</f>
        <v>0</v>
      </c>
      <c r="AK199" s="227">
        <f>SUMIFS(LstMachines[Nbre],LstMachines[Model-Spec],PrévisionBoris[[#This Row],[Spec]],LstMachines[Status],PrévisionBoris[[#This Row],[Status]],LstMachines[MoisLivr],AK$1)</f>
        <v>0</v>
      </c>
      <c r="AL199" s="226">
        <f>SUMIFS(LstMachines[Nbre],LstMachines[Model-Spec],PrévisionBoris[[#This Row],[Spec]],LstMachines[Status],PrévisionBoris[[#This Row],[Status]],LstMachines[MoisLivr],AL$1)</f>
        <v>0</v>
      </c>
      <c r="AM199" s="227">
        <f>SUMIFS(LstMachines[Nbre],LstMachines[Model-Spec],PrévisionBoris[[#This Row],[Spec]],LstMachines[Status],PrévisionBoris[[#This Row],[Status]],LstMachines[MoisLivr],AM$1)</f>
        <v>0</v>
      </c>
      <c r="AN199" s="227">
        <f>SUMIFS(LstMachines[Nbre],LstMachines[Model-Spec],PrévisionBoris[[#This Row],[Spec]],LstMachines[Status],PrévisionBoris[[#This Row],[Status]],LstMachines[MoisLivr],AN$1)</f>
        <v>0</v>
      </c>
      <c r="AO199" s="226">
        <f>SUMIFS(LstMachines[Nbre],LstMachines[Model-Spec],PrévisionBoris[[#This Row],[Spec]],LstMachines[Status],PrévisionBoris[[#This Row],[Status]],LstMachines[MoisLivr],AO$1)</f>
        <v>0</v>
      </c>
      <c r="AP199" s="227">
        <f>SUMIFS(LstMachines[Nbre],LstMachines[Model-Spec],PrévisionBoris[[#This Row],[Spec]],LstMachines[Status],PrévisionBoris[[#This Row],[Status]],LstMachines[MoisLivr],AP$1)</f>
        <v>0</v>
      </c>
      <c r="AQ199" s="227">
        <f>SUMIFS(LstMachines[Nbre],LstMachines[Model-Spec],PrévisionBoris[[#This Row],[Spec]],LstMachines[Status],PrévisionBoris[[#This Row],[Status]],LstMachines[MoisLivr],AQ$1)</f>
        <v>0</v>
      </c>
      <c r="AR199" s="226">
        <f>SUMIFS(LstMachines[Nbre],LstMachines[Model-Spec],PrévisionBoris[[#This Row],[Spec]],LstMachines[Status],PrévisionBoris[[#This Row],[Status]],LstMachines[MoisLivr],AR$1)</f>
        <v>0</v>
      </c>
      <c r="AS199" s="227">
        <f>SUMIFS(LstMachines[Nbre],LstMachines[Model-Spec],PrévisionBoris[[#This Row],[Spec]],LstMachines[Status],PrévisionBoris[[#This Row],[Status]],LstMachines[MoisLivr],AS$1)</f>
        <v>0</v>
      </c>
      <c r="AT199" s="227">
        <f>SUMIFS(LstMachines[Nbre],LstMachines[Model-Spec],PrévisionBoris[[#This Row],[Spec]],LstMachines[Status],PrévisionBoris[[#This Row],[Status]],LstMachines[MoisLivr],AT$1)</f>
        <v>0</v>
      </c>
      <c r="AU199" s="226">
        <f>SUMIFS(LstMachines[Nbre],LstMachines[Model-Spec],PrévisionBoris[[#This Row],[Spec]],LstMachines[Status],PrévisionBoris[[#This Row],[Status]],LstMachines[MoisLivr],AU$1)</f>
        <v>0</v>
      </c>
      <c r="AV199" s="230">
        <f>SUMIFS(LstMachines[Nbre],LstMachines[Model-Spec],PrévisionBoris[[#This Row],[Spec]],LstMachines[Status],PrévisionBoris[[#This Row],[Status]],LstMachines[MoisLivr],AV$1)</f>
        <v>0</v>
      </c>
      <c r="AW199" s="231">
        <f>SUMIFS(LstMachines[Nbre],LstMachines[Model-Spec],PrévisionBoris[[#This Row],[Spec]],LstMachines[Status],PrévisionBoris[[#This Row],[Status]],LstMachines[MoisLivr],AW$1)</f>
        <v>0</v>
      </c>
      <c r="AX199" s="232"/>
      <c r="AY199" s="211">
        <f t="shared" si="35"/>
        <v>0</v>
      </c>
      <c r="AZ199" s="212">
        <f t="shared" si="36"/>
        <v>0</v>
      </c>
      <c r="BA199" s="212">
        <f t="shared" si="37"/>
        <v>0</v>
      </c>
      <c r="BB199" s="213">
        <f t="shared" si="38"/>
        <v>0</v>
      </c>
      <c r="BC199" s="225">
        <f t="shared" si="39"/>
        <v>0</v>
      </c>
      <c r="BD199" s="211">
        <f t="shared" si="40"/>
        <v>0</v>
      </c>
      <c r="BE199" s="212">
        <f t="shared" si="41"/>
        <v>0</v>
      </c>
      <c r="BF199" s="212">
        <f t="shared" si="42"/>
        <v>0</v>
      </c>
      <c r="BG199" s="213">
        <f t="shared" si="43"/>
        <v>0</v>
      </c>
      <c r="BH199" s="225">
        <f t="shared" si="44"/>
        <v>0</v>
      </c>
      <c r="BI199" s="214">
        <f t="shared" si="45"/>
        <v>0</v>
      </c>
      <c r="BJ199" s="215">
        <f t="shared" si="46"/>
        <v>0</v>
      </c>
      <c r="BK199" s="215">
        <f t="shared" si="47"/>
        <v>0</v>
      </c>
      <c r="BL199" s="216">
        <f t="shared" si="48"/>
        <v>0</v>
      </c>
      <c r="BM199" s="225">
        <f t="shared" si="49"/>
        <v>0</v>
      </c>
      <c r="BN199" s="225"/>
      <c r="BO199" s="217"/>
      <c r="BP199" s="218">
        <f t="shared" si="50"/>
        <v>0</v>
      </c>
    </row>
    <row r="200" spans="1:68">
      <c r="A200" s="172">
        <v>193</v>
      </c>
      <c r="B200" s="172" t="s">
        <v>75</v>
      </c>
      <c r="C200" s="202">
        <v>65</v>
      </c>
      <c r="D200" s="172" t="s">
        <v>84</v>
      </c>
      <c r="E200" s="172" t="s">
        <v>359</v>
      </c>
      <c r="F200" s="202">
        <f>VLOOKUP(PrévisionBoris[[#This Row],[Spec]],TabModelSpecs[[ModelSpec]:[Price]],2,FALSE)</f>
        <v>45</v>
      </c>
      <c r="G200" s="172" t="s">
        <v>461</v>
      </c>
      <c r="H200" s="206">
        <f>SUMIFS(LstMachines[Nbre],LstMachines[Model-Spec],PrévisionBoris[[#This Row],[Spec]],LstMachines[Status],PrévisionBoris[[#This Row],[Status]],LstMachines[MoisLivr],H$1)</f>
        <v>0</v>
      </c>
      <c r="I200" s="207">
        <f>SUMIFS(LstMachines[Nbre],LstMachines[Model-Spec],PrévisionBoris[[#This Row],[Spec]],LstMachines[Status],PrévisionBoris[[#This Row],[Status]],LstMachines[MoisLivr],I$1)</f>
        <v>0</v>
      </c>
      <c r="J200" s="208">
        <f>SUMIFS(LstMachines[Nbre],LstMachines[Model-Spec],PrévisionBoris[[#This Row],[Spec]],LstMachines[Status],PrévisionBoris[[#This Row],[Status]],LstMachines[MoisLivr],J$1)</f>
        <v>0</v>
      </c>
      <c r="K200" s="206">
        <f>SUMIFS(LstMachines[Nbre],LstMachines[Model-Spec],PrévisionBoris[[#This Row],[Spec]],LstMachines[Status],PrévisionBoris[[#This Row],[Status]],LstMachines[MoisLivr],K$1)</f>
        <v>0</v>
      </c>
      <c r="L200" s="207">
        <f>SUMIFS(LstMachines[Nbre],LstMachines[Model-Spec],PrévisionBoris[[#This Row],[Spec]],LstMachines[Status],PrévisionBoris[[#This Row],[Status]],LstMachines[MoisLivr],L$1)</f>
        <v>0</v>
      </c>
      <c r="M200" s="208">
        <f>SUMIFS(LstMachines[Nbre],LstMachines[Model-Spec],PrévisionBoris[[#This Row],[Spec]],LstMachines[Status],PrévisionBoris[[#This Row],[Status]],LstMachines[MoisLivr],M$1)</f>
        <v>1</v>
      </c>
      <c r="N200" s="206">
        <f>SUMIFS(LstMachines[Nbre],LstMachines[Model-Spec],PrévisionBoris[[#This Row],[Spec]],LstMachines[Status],PrévisionBoris[[#This Row],[Status]],LstMachines[MoisLivr],N$1)</f>
        <v>0</v>
      </c>
      <c r="O200" s="207">
        <f>SUMIFS(LstMachines[Nbre],LstMachines[Model-Spec],PrévisionBoris[[#This Row],[Spec]],LstMachines[Status],PrévisionBoris[[#This Row],[Status]],LstMachines[MoisLivr],O$1)</f>
        <v>2</v>
      </c>
      <c r="P200" s="208">
        <f>SUMIFS(LstMachines[Nbre],LstMachines[Model-Spec],PrévisionBoris[[#This Row],[Spec]],LstMachines[Status],PrévisionBoris[[#This Row],[Status]],LstMachines[MoisLivr],P$1)</f>
        <v>0</v>
      </c>
      <c r="Q200" s="209">
        <f>SUMIFS(LstMachines[Nbre],LstMachines[Model-Spec],PrévisionBoris[[#This Row],[Spec]],LstMachines[Status],PrévisionBoris[[#This Row],[Status]],LstMachines[MoisLivr],Q$1)</f>
        <v>0</v>
      </c>
      <c r="R200" s="207">
        <f>SUMIFS(LstMachines[Nbre],LstMachines[Model-Spec],PrévisionBoris[[#This Row],[Spec]],LstMachines[Status],PrévisionBoris[[#This Row],[Status]],LstMachines[MoisLivr],R$1)</f>
        <v>0</v>
      </c>
      <c r="S200" s="207">
        <f>SUMIFS(LstMachines[Nbre],LstMachines[Model-Spec],PrévisionBoris[[#This Row],[Spec]],LstMachines[Status],PrévisionBoris[[#This Row],[Status]],LstMachines[MoisLivr],S$1)</f>
        <v>1</v>
      </c>
      <c r="T200" s="206">
        <f>SUMIFS(LstMachines[Nbre],LstMachines[Model-Spec],PrévisionBoris[[#This Row],[Spec]],LstMachines[Status],PrévisionBoris[[#This Row],[Status]],LstMachines[MoisLivr],T$1)</f>
        <v>0</v>
      </c>
      <c r="U200" s="207">
        <f>SUMIFS(LstMachines[Nbre],LstMachines[Model-Spec],PrévisionBoris[[#This Row],[Spec]],LstMachines[Status],PrévisionBoris[[#This Row],[Status]],LstMachines[MoisLivr],U$1)</f>
        <v>0</v>
      </c>
      <c r="V200" s="207">
        <f>SUMIFS(LstMachines[Nbre],LstMachines[Model-Spec],PrévisionBoris[[#This Row],[Spec]],LstMachines[Status],PrévisionBoris[[#This Row],[Status]],LstMachines[MoisLivr],V$1)</f>
        <v>0</v>
      </c>
      <c r="W200" s="206">
        <f>SUMIFS(LstMachines[Nbre],LstMachines[Model-Spec],PrévisionBoris[[#This Row],[Spec]],LstMachines[Status],PrévisionBoris[[#This Row],[Status]],LstMachines[MoisLivr],W$1)</f>
        <v>0</v>
      </c>
      <c r="X200" s="207">
        <f>SUMIFS(LstMachines[Nbre],LstMachines[Model-Spec],PrévisionBoris[[#This Row],[Spec]],LstMachines[Status],PrévisionBoris[[#This Row],[Status]],LstMachines[MoisLivr],X$1)</f>
        <v>0</v>
      </c>
      <c r="Y200" s="207">
        <f>SUMIFS(LstMachines[Nbre],LstMachines[Model-Spec],PrévisionBoris[[#This Row],[Spec]],LstMachines[Status],PrévisionBoris[[#This Row],[Status]],LstMachines[MoisLivr],Y$1)</f>
        <v>0</v>
      </c>
      <c r="Z200" s="206">
        <f>SUMIFS(LstMachines[Nbre],LstMachines[Model-Spec],PrévisionBoris[[#This Row],[Spec]],LstMachines[Status],PrévisionBoris[[#This Row],[Status]],LstMachines[MoisLivr],Z$1)</f>
        <v>0</v>
      </c>
      <c r="AA200" s="207">
        <f>SUMIFS(LstMachines[Nbre],LstMachines[Model-Spec],PrévisionBoris[[#This Row],[Spec]],LstMachines[Status],PrévisionBoris[[#This Row],[Status]],LstMachines[MoisLivr],AA$1)</f>
        <v>1</v>
      </c>
      <c r="AB200" s="207">
        <f>SUMIFS(LstMachines[Nbre],LstMachines[Model-Spec],PrévisionBoris[[#This Row],[Spec]],LstMachines[Status],PrévisionBoris[[#This Row],[Status]],LstMachines[MoisLivr],AB$1)</f>
        <v>0</v>
      </c>
      <c r="AC200" s="206">
        <f>SUMIFS(LstMachines[Nbre],LstMachines[Model-Spec],PrévisionBoris[[#This Row],[Spec]],LstMachines[Status],PrévisionBoris[[#This Row],[Status]],LstMachines[MoisLivr],AC$1)</f>
        <v>0</v>
      </c>
      <c r="AD200" s="207">
        <f>SUMIFS(LstMachines[Nbre],LstMachines[Model-Spec],PrévisionBoris[[#This Row],[Spec]],LstMachines[Status],PrévisionBoris[[#This Row],[Status]],LstMachines[MoisLivr],AD$1)</f>
        <v>0</v>
      </c>
      <c r="AE200" s="207">
        <f>SUMIFS(LstMachines[Nbre],LstMachines[Model-Spec],PrévisionBoris[[#This Row],[Spec]],LstMachines[Status],PrévisionBoris[[#This Row],[Status]],LstMachines[MoisLivr],AE$1)</f>
        <v>1</v>
      </c>
      <c r="AF200" s="206">
        <f>SUMIFS(LstMachines[Nbre],LstMachines[Model-Spec],PrévisionBoris[[#This Row],[Spec]],LstMachines[Status],PrévisionBoris[[#This Row],[Status]],LstMachines[MoisLivr],AF$1)</f>
        <v>0</v>
      </c>
      <c r="AG200" s="207">
        <f>SUMIFS(LstMachines[Nbre],LstMachines[Model-Spec],PrévisionBoris[[#This Row],[Spec]],LstMachines[Status],PrévisionBoris[[#This Row],[Status]],LstMachines[MoisLivr],AG$1)</f>
        <v>0</v>
      </c>
      <c r="AH200" s="207">
        <f>SUMIFS(LstMachines[Nbre],LstMachines[Model-Spec],PrévisionBoris[[#This Row],[Spec]],LstMachines[Status],PrévisionBoris[[#This Row],[Status]],LstMachines[MoisLivr],AH$1)</f>
        <v>0</v>
      </c>
      <c r="AI200" s="206">
        <f>SUMIFS(LstMachines[Nbre],LstMachines[Model-Spec],PrévisionBoris[[#This Row],[Spec]],LstMachines[Status],PrévisionBoris[[#This Row],[Status]],LstMachines[MoisLivr],AI$1)</f>
        <v>0</v>
      </c>
      <c r="AJ200" s="207">
        <f>SUMIFS(LstMachines[Nbre],LstMachines[Model-Spec],PrévisionBoris[[#This Row],[Spec]],LstMachines[Status],PrévisionBoris[[#This Row],[Status]],LstMachines[MoisLivr],AJ$1)</f>
        <v>0</v>
      </c>
      <c r="AK200" s="207">
        <f>SUMIFS(LstMachines[Nbre],LstMachines[Model-Spec],PrévisionBoris[[#This Row],[Spec]],LstMachines[Status],PrévisionBoris[[#This Row],[Status]],LstMachines[MoisLivr],AK$1)</f>
        <v>0</v>
      </c>
      <c r="AL200" s="206">
        <f>SUMIFS(LstMachines[Nbre],LstMachines[Model-Spec],PrévisionBoris[[#This Row],[Spec]],LstMachines[Status],PrévisionBoris[[#This Row],[Status]],LstMachines[MoisLivr],AL$1)</f>
        <v>0</v>
      </c>
      <c r="AM200" s="207">
        <f>SUMIFS(LstMachines[Nbre],LstMachines[Model-Spec],PrévisionBoris[[#This Row],[Spec]],LstMachines[Status],PrévisionBoris[[#This Row],[Status]],LstMachines[MoisLivr],AM$1)</f>
        <v>1</v>
      </c>
      <c r="AN200" s="207">
        <f>SUMIFS(LstMachines[Nbre],LstMachines[Model-Spec],PrévisionBoris[[#This Row],[Spec]],LstMachines[Status],PrévisionBoris[[#This Row],[Status]],LstMachines[MoisLivr],AN$1)</f>
        <v>0</v>
      </c>
      <c r="AO200" s="206">
        <f>SUMIFS(LstMachines[Nbre],LstMachines[Model-Spec],PrévisionBoris[[#This Row],[Spec]],LstMachines[Status],PrévisionBoris[[#This Row],[Status]],LstMachines[MoisLivr],AO$1)</f>
        <v>0</v>
      </c>
      <c r="AP200" s="207">
        <f>SUMIFS(LstMachines[Nbre],LstMachines[Model-Spec],PrévisionBoris[[#This Row],[Spec]],LstMachines[Status],PrévisionBoris[[#This Row],[Status]],LstMachines[MoisLivr],AP$1)</f>
        <v>0</v>
      </c>
      <c r="AQ200" s="207">
        <f>SUMIFS(LstMachines[Nbre],LstMachines[Model-Spec],PrévisionBoris[[#This Row],[Spec]],LstMachines[Status],PrévisionBoris[[#This Row],[Status]],LstMachines[MoisLivr],AQ$1)</f>
        <v>1</v>
      </c>
      <c r="AR200" s="206">
        <f>SUMIFS(LstMachines[Nbre],LstMachines[Model-Spec],PrévisionBoris[[#This Row],[Spec]],LstMachines[Status],PrévisionBoris[[#This Row],[Status]],LstMachines[MoisLivr],AR$1)</f>
        <v>0</v>
      </c>
      <c r="AS200" s="207">
        <f>SUMIFS(LstMachines[Nbre],LstMachines[Model-Spec],PrévisionBoris[[#This Row],[Spec]],LstMachines[Status],PrévisionBoris[[#This Row],[Status]],LstMachines[MoisLivr],AS$1)</f>
        <v>0</v>
      </c>
      <c r="AT200" s="207">
        <f>SUMIFS(LstMachines[Nbre],LstMachines[Model-Spec],PrévisionBoris[[#This Row],[Spec]],LstMachines[Status],PrévisionBoris[[#This Row],[Status]],LstMachines[MoisLivr],AT$1)</f>
        <v>0</v>
      </c>
      <c r="AU200" s="206">
        <f>SUMIFS(LstMachines[Nbre],LstMachines[Model-Spec],PrévisionBoris[[#This Row],[Spec]],LstMachines[Status],PrévisionBoris[[#This Row],[Status]],LstMachines[MoisLivr],AU$1)</f>
        <v>0</v>
      </c>
      <c r="AV200" s="233">
        <f>SUMIFS(LstMachines[Nbre],LstMachines[Model-Spec],PrévisionBoris[[#This Row],[Spec]],LstMachines[Status],PrévisionBoris[[#This Row],[Status]],LstMachines[MoisLivr],AV$1)</f>
        <v>0</v>
      </c>
      <c r="AW200" s="208">
        <f>SUMIFS(LstMachines[Nbre],LstMachines[Model-Spec],PrévisionBoris[[#This Row],[Spec]],LstMachines[Status],PrévisionBoris[[#This Row],[Status]],LstMachines[MoisLivr],AW$1)</f>
        <v>0</v>
      </c>
      <c r="AX200" s="225"/>
      <c r="AY200" s="211">
        <f t="shared" ref="AY200:AY263" si="51">SUM(K200:M200)</f>
        <v>1</v>
      </c>
      <c r="AZ200" s="212">
        <f t="shared" ref="AZ200:AZ263" si="52">SUM(N200:P200)</f>
        <v>2</v>
      </c>
      <c r="BA200" s="212">
        <f t="shared" ref="BA200:BA263" si="53">SUM(Q200:S200)</f>
        <v>1</v>
      </c>
      <c r="BB200" s="213">
        <f t="shared" ref="BB200:BB263" si="54">SUM(T200:V200)</f>
        <v>0</v>
      </c>
      <c r="BC200" s="225">
        <f t="shared" ref="BC200:BC263" si="55">SUM(AY200:BB200)</f>
        <v>4</v>
      </c>
      <c r="BD200" s="211">
        <f t="shared" ref="BD200:BD263" si="56">SUM(W200:Y200)</f>
        <v>0</v>
      </c>
      <c r="BE200" s="212">
        <f t="shared" ref="BE200:BE263" si="57">SUM(Z200:AB200)</f>
        <v>1</v>
      </c>
      <c r="BF200" s="212">
        <f t="shared" ref="BF200:BF263" si="58">SUM(AC200:AE200)</f>
        <v>1</v>
      </c>
      <c r="BG200" s="213">
        <f t="shared" ref="BG200:BG263" si="59">SUM(AF200:AH200)</f>
        <v>0</v>
      </c>
      <c r="BH200" s="225">
        <f t="shared" ref="BH200:BH263" si="60">SUM(BD200:BG200)</f>
        <v>2</v>
      </c>
      <c r="BI200" s="214">
        <f t="shared" ref="BI200:BI263" si="61">SUM(AI200:AK200)</f>
        <v>0</v>
      </c>
      <c r="BJ200" s="215">
        <f t="shared" ref="BJ200:BJ263" si="62">SUM(AL200:AN200)</f>
        <v>1</v>
      </c>
      <c r="BK200" s="215">
        <f t="shared" ref="BK200:BK263" si="63">SUM(AO200:AQ200)</f>
        <v>1</v>
      </c>
      <c r="BL200" s="216">
        <f t="shared" ref="BL200:BL263" si="64">SUM(AR200:AT200)</f>
        <v>0</v>
      </c>
      <c r="BM200" s="225">
        <f t="shared" ref="BM200:BM263" si="65">SUM(BI200:BL200)</f>
        <v>2</v>
      </c>
      <c r="BN200" s="225"/>
      <c r="BO200" s="234"/>
      <c r="BP200" s="218">
        <f t="shared" ref="BP200:BP263" si="66">SUM(H200:AU200)</f>
        <v>8</v>
      </c>
    </row>
    <row r="201" spans="1:68">
      <c r="A201" s="170">
        <v>194</v>
      </c>
      <c r="B201" s="170" t="s">
        <v>75</v>
      </c>
      <c r="C201" s="200">
        <v>65</v>
      </c>
      <c r="D201" s="170" t="s">
        <v>84</v>
      </c>
      <c r="E201" s="170" t="s">
        <v>359</v>
      </c>
      <c r="F201" s="200">
        <f>VLOOKUP(PrévisionBoris[[#This Row],[Spec]],TabModelSpecs[[ModelSpec]:[Price]],2,FALSE)</f>
        <v>45</v>
      </c>
      <c r="G201" s="170" t="s">
        <v>462</v>
      </c>
      <c r="H201" s="219">
        <f>SUMIFS(LstMachines[Nbre],LstMachines[Model-Spec],PrévisionBoris[[#This Row],[Spec]],LstMachines[Status],PrévisionBoris[[#This Row],[Status]],LstMachines[MoisLivr],H$1)</f>
        <v>0</v>
      </c>
      <c r="I201" s="220">
        <f>SUMIFS(LstMachines[Nbre],LstMachines[Model-Spec],PrévisionBoris[[#This Row],[Spec]],LstMachines[Status],PrévisionBoris[[#This Row],[Status]],LstMachines[MoisLivr],I$1)</f>
        <v>0</v>
      </c>
      <c r="J201" s="221">
        <f>SUMIFS(LstMachines[Nbre],LstMachines[Model-Spec],PrévisionBoris[[#This Row],[Spec]],LstMachines[Status],PrévisionBoris[[#This Row],[Status]],LstMachines[MoisLivr],J$1)</f>
        <v>0</v>
      </c>
      <c r="K201" s="219">
        <f>SUMIFS(LstMachines[Nbre],LstMachines[Model-Spec],PrévisionBoris[[#This Row],[Spec]],LstMachines[Status],PrévisionBoris[[#This Row],[Status]],LstMachines[MoisLivr],K$1)</f>
        <v>0</v>
      </c>
      <c r="L201" s="220">
        <f>SUMIFS(LstMachines[Nbre],LstMachines[Model-Spec],PrévisionBoris[[#This Row],[Spec]],LstMachines[Status],PrévisionBoris[[#This Row],[Status]],LstMachines[MoisLivr],L$1)</f>
        <v>0</v>
      </c>
      <c r="M201" s="221">
        <f>SUMIFS(LstMachines[Nbre],LstMachines[Model-Spec],PrévisionBoris[[#This Row],[Spec]],LstMachines[Status],PrévisionBoris[[#This Row],[Status]],LstMachines[MoisLivr],M$1)</f>
        <v>0</v>
      </c>
      <c r="N201" s="219">
        <f>SUMIFS(LstMachines[Nbre],LstMachines[Model-Spec],PrévisionBoris[[#This Row],[Spec]],LstMachines[Status],PrévisionBoris[[#This Row],[Status]],LstMachines[MoisLivr],N$1)</f>
        <v>0</v>
      </c>
      <c r="O201" s="220">
        <f>SUMIFS(LstMachines[Nbre],LstMachines[Model-Spec],PrévisionBoris[[#This Row],[Spec]],LstMachines[Status],PrévisionBoris[[#This Row],[Status]],LstMachines[MoisLivr],O$1)</f>
        <v>0</v>
      </c>
      <c r="P201" s="221">
        <f>SUMIFS(LstMachines[Nbre],LstMachines[Model-Spec],PrévisionBoris[[#This Row],[Spec]],LstMachines[Status],PrévisionBoris[[#This Row],[Status]],LstMachines[MoisLivr],P$1)</f>
        <v>0</v>
      </c>
      <c r="Q201" s="222">
        <f>SUMIFS(LstMachines[Nbre],LstMachines[Model-Spec],PrévisionBoris[[#This Row],[Spec]],LstMachines[Status],PrévisionBoris[[#This Row],[Status]],LstMachines[MoisLivr],Q$1)</f>
        <v>0</v>
      </c>
      <c r="R201" s="220">
        <f>SUMIFS(LstMachines[Nbre],LstMachines[Model-Spec],PrévisionBoris[[#This Row],[Spec]],LstMachines[Status],PrévisionBoris[[#This Row],[Status]],LstMachines[MoisLivr],R$1)</f>
        <v>0</v>
      </c>
      <c r="S201" s="220">
        <f>SUMIFS(LstMachines[Nbre],LstMachines[Model-Spec],PrévisionBoris[[#This Row],[Spec]],LstMachines[Status],PrévisionBoris[[#This Row],[Status]],LstMachines[MoisLivr],S$1)</f>
        <v>0</v>
      </c>
      <c r="T201" s="219">
        <f>SUMIFS(LstMachines[Nbre],LstMachines[Model-Spec],PrévisionBoris[[#This Row],[Spec]],LstMachines[Status],PrévisionBoris[[#This Row],[Status]],LstMachines[MoisLivr],T$1)</f>
        <v>0</v>
      </c>
      <c r="U201" s="220">
        <f>SUMIFS(LstMachines[Nbre],LstMachines[Model-Spec],PrévisionBoris[[#This Row],[Spec]],LstMachines[Status],PrévisionBoris[[#This Row],[Status]],LstMachines[MoisLivr],U$1)</f>
        <v>0</v>
      </c>
      <c r="V201" s="220">
        <f>SUMIFS(LstMachines[Nbre],LstMachines[Model-Spec],PrévisionBoris[[#This Row],[Spec]],LstMachines[Status],PrévisionBoris[[#This Row],[Status]],LstMachines[MoisLivr],V$1)</f>
        <v>0</v>
      </c>
      <c r="W201" s="219">
        <f>SUMIFS(LstMachines[Nbre],LstMachines[Model-Spec],PrévisionBoris[[#This Row],[Spec]],LstMachines[Status],PrévisionBoris[[#This Row],[Status]],LstMachines[MoisLivr],W$1)</f>
        <v>0</v>
      </c>
      <c r="X201" s="220">
        <f>SUMIFS(LstMachines[Nbre],LstMachines[Model-Spec],PrévisionBoris[[#This Row],[Spec]],LstMachines[Status],PrévisionBoris[[#This Row],[Status]],LstMachines[MoisLivr],X$1)</f>
        <v>0</v>
      </c>
      <c r="Y201" s="220">
        <f>SUMIFS(LstMachines[Nbre],LstMachines[Model-Spec],PrévisionBoris[[#This Row],[Spec]],LstMachines[Status],PrévisionBoris[[#This Row],[Status]],LstMachines[MoisLivr],Y$1)</f>
        <v>0</v>
      </c>
      <c r="Z201" s="219">
        <f>SUMIFS(LstMachines[Nbre],LstMachines[Model-Spec],PrévisionBoris[[#This Row],[Spec]],LstMachines[Status],PrévisionBoris[[#This Row],[Status]],LstMachines[MoisLivr],Z$1)</f>
        <v>0</v>
      </c>
      <c r="AA201" s="220">
        <f>SUMIFS(LstMachines[Nbre],LstMachines[Model-Spec],PrévisionBoris[[#This Row],[Spec]],LstMachines[Status],PrévisionBoris[[#This Row],[Status]],LstMachines[MoisLivr],AA$1)</f>
        <v>0</v>
      </c>
      <c r="AB201" s="220">
        <f>SUMIFS(LstMachines[Nbre],LstMachines[Model-Spec],PrévisionBoris[[#This Row],[Spec]],LstMachines[Status],PrévisionBoris[[#This Row],[Status]],LstMachines[MoisLivr],AB$1)</f>
        <v>0</v>
      </c>
      <c r="AC201" s="219">
        <f>SUMIFS(LstMachines[Nbre],LstMachines[Model-Spec],PrévisionBoris[[#This Row],[Spec]],LstMachines[Status],PrévisionBoris[[#This Row],[Status]],LstMachines[MoisLivr],AC$1)</f>
        <v>0</v>
      </c>
      <c r="AD201" s="220">
        <f>SUMIFS(LstMachines[Nbre],LstMachines[Model-Spec],PrévisionBoris[[#This Row],[Spec]],LstMachines[Status],PrévisionBoris[[#This Row],[Status]],LstMachines[MoisLivr],AD$1)</f>
        <v>0</v>
      </c>
      <c r="AE201" s="220">
        <f>SUMIFS(LstMachines[Nbre],LstMachines[Model-Spec],PrévisionBoris[[#This Row],[Spec]],LstMachines[Status],PrévisionBoris[[#This Row],[Status]],LstMachines[MoisLivr],AE$1)</f>
        <v>0</v>
      </c>
      <c r="AF201" s="219">
        <f>SUMIFS(LstMachines[Nbre],LstMachines[Model-Spec],PrévisionBoris[[#This Row],[Spec]],LstMachines[Status],PrévisionBoris[[#This Row],[Status]],LstMachines[MoisLivr],AF$1)</f>
        <v>0</v>
      </c>
      <c r="AG201" s="220">
        <f>SUMIFS(LstMachines[Nbre],LstMachines[Model-Spec],PrévisionBoris[[#This Row],[Spec]],LstMachines[Status],PrévisionBoris[[#This Row],[Status]],LstMachines[MoisLivr],AG$1)</f>
        <v>0</v>
      </c>
      <c r="AH201" s="220">
        <f>SUMIFS(LstMachines[Nbre],LstMachines[Model-Spec],PrévisionBoris[[#This Row],[Spec]],LstMachines[Status],PrévisionBoris[[#This Row],[Status]],LstMachines[MoisLivr],AH$1)</f>
        <v>0</v>
      </c>
      <c r="AI201" s="219">
        <f>SUMIFS(LstMachines[Nbre],LstMachines[Model-Spec],PrévisionBoris[[#This Row],[Spec]],LstMachines[Status],PrévisionBoris[[#This Row],[Status]],LstMachines[MoisLivr],AI$1)</f>
        <v>0</v>
      </c>
      <c r="AJ201" s="220">
        <f>SUMIFS(LstMachines[Nbre],LstMachines[Model-Spec],PrévisionBoris[[#This Row],[Spec]],LstMachines[Status],PrévisionBoris[[#This Row],[Status]],LstMachines[MoisLivr],AJ$1)</f>
        <v>0</v>
      </c>
      <c r="AK201" s="220">
        <f>SUMIFS(LstMachines[Nbre],LstMachines[Model-Spec],PrévisionBoris[[#This Row],[Spec]],LstMachines[Status],PrévisionBoris[[#This Row],[Status]],LstMachines[MoisLivr],AK$1)</f>
        <v>0</v>
      </c>
      <c r="AL201" s="219">
        <f>SUMIFS(LstMachines[Nbre],LstMachines[Model-Spec],PrévisionBoris[[#This Row],[Spec]],LstMachines[Status],PrévisionBoris[[#This Row],[Status]],LstMachines[MoisLivr],AL$1)</f>
        <v>0</v>
      </c>
      <c r="AM201" s="220">
        <f>SUMIFS(LstMachines[Nbre],LstMachines[Model-Spec],PrévisionBoris[[#This Row],[Spec]],LstMachines[Status],PrévisionBoris[[#This Row],[Status]],LstMachines[MoisLivr],AM$1)</f>
        <v>0</v>
      </c>
      <c r="AN201" s="220">
        <f>SUMIFS(LstMachines[Nbre],LstMachines[Model-Spec],PrévisionBoris[[#This Row],[Spec]],LstMachines[Status],PrévisionBoris[[#This Row],[Status]],LstMachines[MoisLivr],AN$1)</f>
        <v>0</v>
      </c>
      <c r="AO201" s="219">
        <f>SUMIFS(LstMachines[Nbre],LstMachines[Model-Spec],PrévisionBoris[[#This Row],[Spec]],LstMachines[Status],PrévisionBoris[[#This Row],[Status]],LstMachines[MoisLivr],AO$1)</f>
        <v>0</v>
      </c>
      <c r="AP201" s="220">
        <f>SUMIFS(LstMachines[Nbre],LstMachines[Model-Spec],PrévisionBoris[[#This Row],[Spec]],LstMachines[Status],PrévisionBoris[[#This Row],[Status]],LstMachines[MoisLivr],AP$1)</f>
        <v>0</v>
      </c>
      <c r="AQ201" s="220">
        <f>SUMIFS(LstMachines[Nbre],LstMachines[Model-Spec],PrévisionBoris[[#This Row],[Spec]],LstMachines[Status],PrévisionBoris[[#This Row],[Status]],LstMachines[MoisLivr],AQ$1)</f>
        <v>0</v>
      </c>
      <c r="AR201" s="219">
        <f>SUMIFS(LstMachines[Nbre],LstMachines[Model-Spec],PrévisionBoris[[#This Row],[Spec]],LstMachines[Status],PrévisionBoris[[#This Row],[Status]],LstMachines[MoisLivr],AR$1)</f>
        <v>0</v>
      </c>
      <c r="AS201" s="220">
        <f>SUMIFS(LstMachines[Nbre],LstMachines[Model-Spec],PrévisionBoris[[#This Row],[Spec]],LstMachines[Status],PrévisionBoris[[#This Row],[Status]],LstMachines[MoisLivr],AS$1)</f>
        <v>0</v>
      </c>
      <c r="AT201" s="220">
        <f>SUMIFS(LstMachines[Nbre],LstMachines[Model-Spec],PrévisionBoris[[#This Row],[Spec]],LstMachines[Status],PrévisionBoris[[#This Row],[Status]],LstMachines[MoisLivr],AT$1)</f>
        <v>0</v>
      </c>
      <c r="AU201" s="219">
        <f>SUMIFS(LstMachines[Nbre],LstMachines[Model-Spec],PrévisionBoris[[#This Row],[Spec]],LstMachines[Status],PrévisionBoris[[#This Row],[Status]],LstMachines[MoisLivr],AU$1)</f>
        <v>0</v>
      </c>
      <c r="AV201" s="223">
        <f>SUMIFS(LstMachines[Nbre],LstMachines[Model-Spec],PrévisionBoris[[#This Row],[Spec]],LstMachines[Status],PrévisionBoris[[#This Row],[Status]],LstMachines[MoisLivr],AV$1)</f>
        <v>0</v>
      </c>
      <c r="AW201" s="224">
        <f>SUMIFS(LstMachines[Nbre],LstMachines[Model-Spec],PrévisionBoris[[#This Row],[Spec]],LstMachines[Status],PrévisionBoris[[#This Row],[Status]],LstMachines[MoisLivr],AW$1)</f>
        <v>0</v>
      </c>
      <c r="AX201" s="210"/>
      <c r="AY201" s="211">
        <f t="shared" si="51"/>
        <v>0</v>
      </c>
      <c r="AZ201" s="212">
        <f t="shared" si="52"/>
        <v>0</v>
      </c>
      <c r="BA201" s="212">
        <f t="shared" si="53"/>
        <v>0</v>
      </c>
      <c r="BB201" s="213">
        <f t="shared" si="54"/>
        <v>0</v>
      </c>
      <c r="BC201" s="225">
        <f t="shared" si="55"/>
        <v>0</v>
      </c>
      <c r="BD201" s="211">
        <f t="shared" si="56"/>
        <v>0</v>
      </c>
      <c r="BE201" s="212">
        <f t="shared" si="57"/>
        <v>0</v>
      </c>
      <c r="BF201" s="212">
        <f t="shared" si="58"/>
        <v>0</v>
      </c>
      <c r="BG201" s="213">
        <f t="shared" si="59"/>
        <v>0</v>
      </c>
      <c r="BH201" s="225">
        <f t="shared" si="60"/>
        <v>0</v>
      </c>
      <c r="BI201" s="214">
        <f t="shared" si="61"/>
        <v>0</v>
      </c>
      <c r="BJ201" s="215">
        <f t="shared" si="62"/>
        <v>0</v>
      </c>
      <c r="BK201" s="215">
        <f t="shared" si="63"/>
        <v>0</v>
      </c>
      <c r="BL201" s="216">
        <f t="shared" si="64"/>
        <v>0</v>
      </c>
      <c r="BM201" s="225">
        <f t="shared" si="65"/>
        <v>0</v>
      </c>
      <c r="BN201" s="225"/>
      <c r="BO201" s="217"/>
      <c r="BP201" s="218">
        <f t="shared" si="66"/>
        <v>0</v>
      </c>
    </row>
    <row r="202" spans="1:68">
      <c r="A202" s="171">
        <v>195</v>
      </c>
      <c r="B202" s="171" t="s">
        <v>75</v>
      </c>
      <c r="C202" s="201">
        <v>65</v>
      </c>
      <c r="D202" s="171" t="s">
        <v>84</v>
      </c>
      <c r="E202" s="171" t="s">
        <v>359</v>
      </c>
      <c r="F202" s="201">
        <f>VLOOKUP(PrévisionBoris[[#This Row],[Spec]],TabModelSpecs[[ModelSpec]:[Price]],2,FALSE)</f>
        <v>45</v>
      </c>
      <c r="G202" s="171" t="s">
        <v>463</v>
      </c>
      <c r="H202" s="226">
        <f>SUMIFS(LstMachines[Nbre],LstMachines[Model-Spec],PrévisionBoris[[#This Row],[Spec]],LstMachines[Status],PrévisionBoris[[#This Row],[Status]],LstMachines[MoisLivr],H$1)</f>
        <v>0</v>
      </c>
      <c r="I202" s="227">
        <f>SUMIFS(LstMachines[Nbre],LstMachines[Model-Spec],PrévisionBoris[[#This Row],[Spec]],LstMachines[Status],PrévisionBoris[[#This Row],[Status]],LstMachines[MoisLivr],I$1)</f>
        <v>3</v>
      </c>
      <c r="J202" s="228">
        <f>SUMIFS(LstMachines[Nbre],LstMachines[Model-Spec],PrévisionBoris[[#This Row],[Spec]],LstMachines[Status],PrévisionBoris[[#This Row],[Status]],LstMachines[MoisLivr],J$1)</f>
        <v>1</v>
      </c>
      <c r="K202" s="226">
        <f>SUMIFS(LstMachines[Nbre],LstMachines[Model-Spec],PrévisionBoris[[#This Row],[Spec]],LstMachines[Status],PrévisionBoris[[#This Row],[Status]],LstMachines[MoisLivr],K$1)</f>
        <v>0</v>
      </c>
      <c r="L202" s="227">
        <f>SUMIFS(LstMachines[Nbre],LstMachines[Model-Spec],PrévisionBoris[[#This Row],[Spec]],LstMachines[Status],PrévisionBoris[[#This Row],[Status]],LstMachines[MoisLivr],L$1)</f>
        <v>0</v>
      </c>
      <c r="M202" s="228">
        <f>SUMIFS(LstMachines[Nbre],LstMachines[Model-Spec],PrévisionBoris[[#This Row],[Spec]],LstMachines[Status],PrévisionBoris[[#This Row],[Status]],LstMachines[MoisLivr],M$1)</f>
        <v>0</v>
      </c>
      <c r="N202" s="226">
        <f>SUMIFS(LstMachines[Nbre],LstMachines[Model-Spec],PrévisionBoris[[#This Row],[Spec]],LstMachines[Status],PrévisionBoris[[#This Row],[Status]],LstMachines[MoisLivr],N$1)</f>
        <v>0</v>
      </c>
      <c r="O202" s="227">
        <f>SUMIFS(LstMachines[Nbre],LstMachines[Model-Spec],PrévisionBoris[[#This Row],[Spec]],LstMachines[Status],PrévisionBoris[[#This Row],[Status]],LstMachines[MoisLivr],O$1)</f>
        <v>0</v>
      </c>
      <c r="P202" s="228">
        <f>SUMIFS(LstMachines[Nbre],LstMachines[Model-Spec],PrévisionBoris[[#This Row],[Spec]],LstMachines[Status],PrévisionBoris[[#This Row],[Status]],LstMachines[MoisLivr],P$1)</f>
        <v>0</v>
      </c>
      <c r="Q202" s="229">
        <f>SUMIFS(LstMachines[Nbre],LstMachines[Model-Spec],PrévisionBoris[[#This Row],[Spec]],LstMachines[Status],PrévisionBoris[[#This Row],[Status]],LstMachines[MoisLivr],Q$1)</f>
        <v>0</v>
      </c>
      <c r="R202" s="227">
        <f>SUMIFS(LstMachines[Nbre],LstMachines[Model-Spec],PrévisionBoris[[#This Row],[Spec]],LstMachines[Status],PrévisionBoris[[#This Row],[Status]],LstMachines[MoisLivr],R$1)</f>
        <v>0</v>
      </c>
      <c r="S202" s="227">
        <f>SUMIFS(LstMachines[Nbre],LstMachines[Model-Spec],PrévisionBoris[[#This Row],[Spec]],LstMachines[Status],PrévisionBoris[[#This Row],[Status]],LstMachines[MoisLivr],S$1)</f>
        <v>0</v>
      </c>
      <c r="T202" s="226">
        <f>SUMIFS(LstMachines[Nbre],LstMachines[Model-Spec],PrévisionBoris[[#This Row],[Spec]],LstMachines[Status],PrévisionBoris[[#This Row],[Status]],LstMachines[MoisLivr],T$1)</f>
        <v>0</v>
      </c>
      <c r="U202" s="227">
        <f>SUMIFS(LstMachines[Nbre],LstMachines[Model-Spec],PrévisionBoris[[#This Row],[Spec]],LstMachines[Status],PrévisionBoris[[#This Row],[Status]],LstMachines[MoisLivr],U$1)</f>
        <v>0</v>
      </c>
      <c r="V202" s="227">
        <f>SUMIFS(LstMachines[Nbre],LstMachines[Model-Spec],PrévisionBoris[[#This Row],[Spec]],LstMachines[Status],PrévisionBoris[[#This Row],[Status]],LstMachines[MoisLivr],V$1)</f>
        <v>0</v>
      </c>
      <c r="W202" s="226">
        <f>SUMIFS(LstMachines[Nbre],LstMachines[Model-Spec],PrévisionBoris[[#This Row],[Spec]],LstMachines[Status],PrévisionBoris[[#This Row],[Status]],LstMachines[MoisLivr],W$1)</f>
        <v>0</v>
      </c>
      <c r="X202" s="227">
        <f>SUMIFS(LstMachines[Nbre],LstMachines[Model-Spec],PrévisionBoris[[#This Row],[Spec]],LstMachines[Status],PrévisionBoris[[#This Row],[Status]],LstMachines[MoisLivr],X$1)</f>
        <v>0</v>
      </c>
      <c r="Y202" s="227">
        <f>SUMIFS(LstMachines[Nbre],LstMachines[Model-Spec],PrévisionBoris[[#This Row],[Spec]],LstMachines[Status],PrévisionBoris[[#This Row],[Status]],LstMachines[MoisLivr],Y$1)</f>
        <v>0</v>
      </c>
      <c r="Z202" s="226">
        <f>SUMIFS(LstMachines[Nbre],LstMachines[Model-Spec],PrévisionBoris[[#This Row],[Spec]],LstMachines[Status],PrévisionBoris[[#This Row],[Status]],LstMachines[MoisLivr],Z$1)</f>
        <v>0</v>
      </c>
      <c r="AA202" s="227">
        <f>SUMIFS(LstMachines[Nbre],LstMachines[Model-Spec],PrévisionBoris[[#This Row],[Spec]],LstMachines[Status],PrévisionBoris[[#This Row],[Status]],LstMachines[MoisLivr],AA$1)</f>
        <v>0</v>
      </c>
      <c r="AB202" s="227">
        <f>SUMIFS(LstMachines[Nbre],LstMachines[Model-Spec],PrévisionBoris[[#This Row],[Spec]],LstMachines[Status],PrévisionBoris[[#This Row],[Status]],LstMachines[MoisLivr],AB$1)</f>
        <v>0</v>
      </c>
      <c r="AC202" s="226">
        <f>SUMIFS(LstMachines[Nbre],LstMachines[Model-Spec],PrévisionBoris[[#This Row],[Spec]],LstMachines[Status],PrévisionBoris[[#This Row],[Status]],LstMachines[MoisLivr],AC$1)</f>
        <v>0</v>
      </c>
      <c r="AD202" s="227">
        <f>SUMIFS(LstMachines[Nbre],LstMachines[Model-Spec],PrévisionBoris[[#This Row],[Spec]],LstMachines[Status],PrévisionBoris[[#This Row],[Status]],LstMachines[MoisLivr],AD$1)</f>
        <v>0</v>
      </c>
      <c r="AE202" s="227">
        <f>SUMIFS(LstMachines[Nbre],LstMachines[Model-Spec],PrévisionBoris[[#This Row],[Spec]],LstMachines[Status],PrévisionBoris[[#This Row],[Status]],LstMachines[MoisLivr],AE$1)</f>
        <v>0</v>
      </c>
      <c r="AF202" s="226">
        <f>SUMIFS(LstMachines[Nbre],LstMachines[Model-Spec],PrévisionBoris[[#This Row],[Spec]],LstMachines[Status],PrévisionBoris[[#This Row],[Status]],LstMachines[MoisLivr],AF$1)</f>
        <v>0</v>
      </c>
      <c r="AG202" s="227">
        <f>SUMIFS(LstMachines[Nbre],LstMachines[Model-Spec],PrévisionBoris[[#This Row],[Spec]],LstMachines[Status],PrévisionBoris[[#This Row],[Status]],LstMachines[MoisLivr],AG$1)</f>
        <v>0</v>
      </c>
      <c r="AH202" s="227">
        <f>SUMIFS(LstMachines[Nbre],LstMachines[Model-Spec],PrévisionBoris[[#This Row],[Spec]],LstMachines[Status],PrévisionBoris[[#This Row],[Status]],LstMachines[MoisLivr],AH$1)</f>
        <v>0</v>
      </c>
      <c r="AI202" s="226">
        <f>SUMIFS(LstMachines[Nbre],LstMachines[Model-Spec],PrévisionBoris[[#This Row],[Spec]],LstMachines[Status],PrévisionBoris[[#This Row],[Status]],LstMachines[MoisLivr],AI$1)</f>
        <v>0</v>
      </c>
      <c r="AJ202" s="227">
        <f>SUMIFS(LstMachines[Nbre],LstMachines[Model-Spec],PrévisionBoris[[#This Row],[Spec]],LstMachines[Status],PrévisionBoris[[#This Row],[Status]],LstMachines[MoisLivr],AJ$1)</f>
        <v>0</v>
      </c>
      <c r="AK202" s="227">
        <f>SUMIFS(LstMachines[Nbre],LstMachines[Model-Spec],PrévisionBoris[[#This Row],[Spec]],LstMachines[Status],PrévisionBoris[[#This Row],[Status]],LstMachines[MoisLivr],AK$1)</f>
        <v>0</v>
      </c>
      <c r="AL202" s="226">
        <f>SUMIFS(LstMachines[Nbre],LstMachines[Model-Spec],PrévisionBoris[[#This Row],[Spec]],LstMachines[Status],PrévisionBoris[[#This Row],[Status]],LstMachines[MoisLivr],AL$1)</f>
        <v>0</v>
      </c>
      <c r="AM202" s="227">
        <f>SUMIFS(LstMachines[Nbre],LstMachines[Model-Spec],PrévisionBoris[[#This Row],[Spec]],LstMachines[Status],PrévisionBoris[[#This Row],[Status]],LstMachines[MoisLivr],AM$1)</f>
        <v>0</v>
      </c>
      <c r="AN202" s="227">
        <f>SUMIFS(LstMachines[Nbre],LstMachines[Model-Spec],PrévisionBoris[[#This Row],[Spec]],LstMachines[Status],PrévisionBoris[[#This Row],[Status]],LstMachines[MoisLivr],AN$1)</f>
        <v>0</v>
      </c>
      <c r="AO202" s="226">
        <f>SUMIFS(LstMachines[Nbre],LstMachines[Model-Spec],PrévisionBoris[[#This Row],[Spec]],LstMachines[Status],PrévisionBoris[[#This Row],[Status]],LstMachines[MoisLivr],AO$1)</f>
        <v>0</v>
      </c>
      <c r="AP202" s="227">
        <f>SUMIFS(LstMachines[Nbre],LstMachines[Model-Spec],PrévisionBoris[[#This Row],[Spec]],LstMachines[Status],PrévisionBoris[[#This Row],[Status]],LstMachines[MoisLivr],AP$1)</f>
        <v>0</v>
      </c>
      <c r="AQ202" s="227">
        <f>SUMIFS(LstMachines[Nbre],LstMachines[Model-Spec],PrévisionBoris[[#This Row],[Spec]],LstMachines[Status],PrévisionBoris[[#This Row],[Status]],LstMachines[MoisLivr],AQ$1)</f>
        <v>0</v>
      </c>
      <c r="AR202" s="226">
        <f>SUMIFS(LstMachines[Nbre],LstMachines[Model-Spec],PrévisionBoris[[#This Row],[Spec]],LstMachines[Status],PrévisionBoris[[#This Row],[Status]],LstMachines[MoisLivr],AR$1)</f>
        <v>0</v>
      </c>
      <c r="AS202" s="227">
        <f>SUMIFS(LstMachines[Nbre],LstMachines[Model-Spec],PrévisionBoris[[#This Row],[Spec]],LstMachines[Status],PrévisionBoris[[#This Row],[Status]],LstMachines[MoisLivr],AS$1)</f>
        <v>0</v>
      </c>
      <c r="AT202" s="227">
        <f>SUMIFS(LstMachines[Nbre],LstMachines[Model-Spec],PrévisionBoris[[#This Row],[Spec]],LstMachines[Status],PrévisionBoris[[#This Row],[Status]],LstMachines[MoisLivr],AT$1)</f>
        <v>0</v>
      </c>
      <c r="AU202" s="226">
        <f>SUMIFS(LstMachines[Nbre],LstMachines[Model-Spec],PrévisionBoris[[#This Row],[Spec]],LstMachines[Status],PrévisionBoris[[#This Row],[Status]],LstMachines[MoisLivr],AU$1)</f>
        <v>0</v>
      </c>
      <c r="AV202" s="230">
        <f>SUMIFS(LstMachines[Nbre],LstMachines[Model-Spec],PrévisionBoris[[#This Row],[Spec]],LstMachines[Status],PrévisionBoris[[#This Row],[Status]],LstMachines[MoisLivr],AV$1)</f>
        <v>0</v>
      </c>
      <c r="AW202" s="231">
        <f>SUMIFS(LstMachines[Nbre],LstMachines[Model-Spec],PrévisionBoris[[#This Row],[Spec]],LstMachines[Status],PrévisionBoris[[#This Row],[Status]],LstMachines[MoisLivr],AW$1)</f>
        <v>0</v>
      </c>
      <c r="AX202" s="232"/>
      <c r="AY202" s="211">
        <f t="shared" si="51"/>
        <v>0</v>
      </c>
      <c r="AZ202" s="212">
        <f t="shared" si="52"/>
        <v>0</v>
      </c>
      <c r="BA202" s="212">
        <f t="shared" si="53"/>
        <v>0</v>
      </c>
      <c r="BB202" s="213">
        <f t="shared" si="54"/>
        <v>0</v>
      </c>
      <c r="BC202" s="225">
        <f t="shared" si="55"/>
        <v>0</v>
      </c>
      <c r="BD202" s="211">
        <f t="shared" si="56"/>
        <v>0</v>
      </c>
      <c r="BE202" s="212">
        <f t="shared" si="57"/>
        <v>0</v>
      </c>
      <c r="BF202" s="212">
        <f t="shared" si="58"/>
        <v>0</v>
      </c>
      <c r="BG202" s="213">
        <f t="shared" si="59"/>
        <v>0</v>
      </c>
      <c r="BH202" s="225">
        <f t="shared" si="60"/>
        <v>0</v>
      </c>
      <c r="BI202" s="214">
        <f t="shared" si="61"/>
        <v>0</v>
      </c>
      <c r="BJ202" s="215">
        <f t="shared" si="62"/>
        <v>0</v>
      </c>
      <c r="BK202" s="215">
        <f t="shared" si="63"/>
        <v>0</v>
      </c>
      <c r="BL202" s="216">
        <f t="shared" si="64"/>
        <v>0</v>
      </c>
      <c r="BM202" s="225">
        <f t="shared" si="65"/>
        <v>0</v>
      </c>
      <c r="BN202" s="225"/>
      <c r="BO202" s="217"/>
      <c r="BP202" s="218">
        <f t="shared" si="66"/>
        <v>4</v>
      </c>
    </row>
    <row r="203" spans="1:68">
      <c r="A203" s="172">
        <v>196</v>
      </c>
      <c r="B203" s="172" t="s">
        <v>75</v>
      </c>
      <c r="C203" s="202">
        <v>65</v>
      </c>
      <c r="D203" s="172" t="s">
        <v>84</v>
      </c>
      <c r="E203" s="172" t="s">
        <v>435</v>
      </c>
      <c r="F203" s="202">
        <f>VLOOKUP(PrévisionBoris[[#This Row],[Spec]],TabModelSpecs[[ModelSpec]:[Price]],2,FALSE)</f>
        <v>45</v>
      </c>
      <c r="G203" s="172" t="s">
        <v>461</v>
      </c>
      <c r="H203" s="206">
        <f>SUMIFS(LstMachines[Nbre],LstMachines[Model-Spec],PrévisionBoris[[#This Row],[Spec]],LstMachines[Status],PrévisionBoris[[#This Row],[Status]],LstMachines[MoisLivr],H$1)</f>
        <v>0</v>
      </c>
      <c r="I203" s="207">
        <f>SUMIFS(LstMachines[Nbre],LstMachines[Model-Spec],PrévisionBoris[[#This Row],[Spec]],LstMachines[Status],PrévisionBoris[[#This Row],[Status]],LstMachines[MoisLivr],I$1)</f>
        <v>0</v>
      </c>
      <c r="J203" s="208">
        <f>SUMIFS(LstMachines[Nbre],LstMachines[Model-Spec],PrévisionBoris[[#This Row],[Spec]],LstMachines[Status],PrévisionBoris[[#This Row],[Status]],LstMachines[MoisLivr],J$1)</f>
        <v>0</v>
      </c>
      <c r="K203" s="206">
        <f>SUMIFS(LstMachines[Nbre],LstMachines[Model-Spec],PrévisionBoris[[#This Row],[Spec]],LstMachines[Status],PrévisionBoris[[#This Row],[Status]],LstMachines[MoisLivr],K$1)</f>
        <v>0</v>
      </c>
      <c r="L203" s="207">
        <f>SUMIFS(LstMachines[Nbre],LstMachines[Model-Spec],PrévisionBoris[[#This Row],[Spec]],LstMachines[Status],PrévisionBoris[[#This Row],[Status]],LstMachines[MoisLivr],L$1)</f>
        <v>0</v>
      </c>
      <c r="M203" s="208">
        <f>SUMIFS(LstMachines[Nbre],LstMachines[Model-Spec],PrévisionBoris[[#This Row],[Spec]],LstMachines[Status],PrévisionBoris[[#This Row],[Status]],LstMachines[MoisLivr],M$1)</f>
        <v>0</v>
      </c>
      <c r="N203" s="206">
        <f>SUMIFS(LstMachines[Nbre],LstMachines[Model-Spec],PrévisionBoris[[#This Row],[Spec]],LstMachines[Status],PrévisionBoris[[#This Row],[Status]],LstMachines[MoisLivr],N$1)</f>
        <v>0</v>
      </c>
      <c r="O203" s="207">
        <f>SUMIFS(LstMachines[Nbre],LstMachines[Model-Spec],PrévisionBoris[[#This Row],[Spec]],LstMachines[Status],PrévisionBoris[[#This Row],[Status]],LstMachines[MoisLivr],O$1)</f>
        <v>0</v>
      </c>
      <c r="P203" s="208">
        <f>SUMIFS(LstMachines[Nbre],LstMachines[Model-Spec],PrévisionBoris[[#This Row],[Spec]],LstMachines[Status],PrévisionBoris[[#This Row],[Status]],LstMachines[MoisLivr],P$1)</f>
        <v>0</v>
      </c>
      <c r="Q203" s="209">
        <f>SUMIFS(LstMachines[Nbre],LstMachines[Model-Spec],PrévisionBoris[[#This Row],[Spec]],LstMachines[Status],PrévisionBoris[[#This Row],[Status]],LstMachines[MoisLivr],Q$1)</f>
        <v>0</v>
      </c>
      <c r="R203" s="207">
        <f>SUMIFS(LstMachines[Nbre],LstMachines[Model-Spec],PrévisionBoris[[#This Row],[Spec]],LstMachines[Status],PrévisionBoris[[#This Row],[Status]],LstMachines[MoisLivr],R$1)</f>
        <v>0</v>
      </c>
      <c r="S203" s="207">
        <f>SUMIFS(LstMachines[Nbre],LstMachines[Model-Spec],PrévisionBoris[[#This Row],[Spec]],LstMachines[Status],PrévisionBoris[[#This Row],[Status]],LstMachines[MoisLivr],S$1)</f>
        <v>0</v>
      </c>
      <c r="T203" s="206">
        <f>SUMIFS(LstMachines[Nbre],LstMachines[Model-Spec],PrévisionBoris[[#This Row],[Spec]],LstMachines[Status],PrévisionBoris[[#This Row],[Status]],LstMachines[MoisLivr],T$1)</f>
        <v>0</v>
      </c>
      <c r="U203" s="207">
        <f>SUMIFS(LstMachines[Nbre],LstMachines[Model-Spec],PrévisionBoris[[#This Row],[Spec]],LstMachines[Status],PrévisionBoris[[#This Row],[Status]],LstMachines[MoisLivr],U$1)</f>
        <v>0</v>
      </c>
      <c r="V203" s="207">
        <f>SUMIFS(LstMachines[Nbre],LstMachines[Model-Spec],PrévisionBoris[[#This Row],[Spec]],LstMachines[Status],PrévisionBoris[[#This Row],[Status]],LstMachines[MoisLivr],V$1)</f>
        <v>0</v>
      </c>
      <c r="W203" s="206">
        <f>SUMIFS(LstMachines[Nbre],LstMachines[Model-Spec],PrévisionBoris[[#This Row],[Spec]],LstMachines[Status],PrévisionBoris[[#This Row],[Status]],LstMachines[MoisLivr],W$1)</f>
        <v>0</v>
      </c>
      <c r="X203" s="207">
        <f>SUMIFS(LstMachines[Nbre],LstMachines[Model-Spec],PrévisionBoris[[#This Row],[Spec]],LstMachines[Status],PrévisionBoris[[#This Row],[Status]],LstMachines[MoisLivr],X$1)</f>
        <v>0</v>
      </c>
      <c r="Y203" s="207">
        <f>SUMIFS(LstMachines[Nbre],LstMachines[Model-Spec],PrévisionBoris[[#This Row],[Spec]],LstMachines[Status],PrévisionBoris[[#This Row],[Status]],LstMachines[MoisLivr],Y$1)</f>
        <v>0</v>
      </c>
      <c r="Z203" s="206">
        <f>SUMIFS(LstMachines[Nbre],LstMachines[Model-Spec],PrévisionBoris[[#This Row],[Spec]],LstMachines[Status],PrévisionBoris[[#This Row],[Status]],LstMachines[MoisLivr],Z$1)</f>
        <v>0</v>
      </c>
      <c r="AA203" s="207">
        <f>SUMIFS(LstMachines[Nbre],LstMachines[Model-Spec],PrévisionBoris[[#This Row],[Spec]],LstMachines[Status],PrévisionBoris[[#This Row],[Status]],LstMachines[MoisLivr],AA$1)</f>
        <v>0</v>
      </c>
      <c r="AB203" s="207">
        <f>SUMIFS(LstMachines[Nbre],LstMachines[Model-Spec],PrévisionBoris[[#This Row],[Spec]],LstMachines[Status],PrévisionBoris[[#This Row],[Status]],LstMachines[MoisLivr],AB$1)</f>
        <v>0</v>
      </c>
      <c r="AC203" s="206">
        <f>SUMIFS(LstMachines[Nbre],LstMachines[Model-Spec],PrévisionBoris[[#This Row],[Spec]],LstMachines[Status],PrévisionBoris[[#This Row],[Status]],LstMachines[MoisLivr],AC$1)</f>
        <v>0</v>
      </c>
      <c r="AD203" s="207">
        <f>SUMIFS(LstMachines[Nbre],LstMachines[Model-Spec],PrévisionBoris[[#This Row],[Spec]],LstMachines[Status],PrévisionBoris[[#This Row],[Status]],LstMachines[MoisLivr],AD$1)</f>
        <v>0</v>
      </c>
      <c r="AE203" s="207">
        <f>SUMIFS(LstMachines[Nbre],LstMachines[Model-Spec],PrévisionBoris[[#This Row],[Spec]],LstMachines[Status],PrévisionBoris[[#This Row],[Status]],LstMachines[MoisLivr],AE$1)</f>
        <v>0</v>
      </c>
      <c r="AF203" s="206">
        <f>SUMIFS(LstMachines[Nbre],LstMachines[Model-Spec],PrévisionBoris[[#This Row],[Spec]],LstMachines[Status],PrévisionBoris[[#This Row],[Status]],LstMachines[MoisLivr],AF$1)</f>
        <v>0</v>
      </c>
      <c r="AG203" s="207">
        <f>SUMIFS(LstMachines[Nbre],LstMachines[Model-Spec],PrévisionBoris[[#This Row],[Spec]],LstMachines[Status],PrévisionBoris[[#This Row],[Status]],LstMachines[MoisLivr],AG$1)</f>
        <v>0</v>
      </c>
      <c r="AH203" s="207">
        <f>SUMIFS(LstMachines[Nbre],LstMachines[Model-Spec],PrévisionBoris[[#This Row],[Spec]],LstMachines[Status],PrévisionBoris[[#This Row],[Status]],LstMachines[MoisLivr],AH$1)</f>
        <v>0</v>
      </c>
      <c r="AI203" s="206">
        <f>SUMIFS(LstMachines[Nbre],LstMachines[Model-Spec],PrévisionBoris[[#This Row],[Spec]],LstMachines[Status],PrévisionBoris[[#This Row],[Status]],LstMachines[MoisLivr],AI$1)</f>
        <v>0</v>
      </c>
      <c r="AJ203" s="207">
        <f>SUMIFS(LstMachines[Nbre],LstMachines[Model-Spec],PrévisionBoris[[#This Row],[Spec]],LstMachines[Status],PrévisionBoris[[#This Row],[Status]],LstMachines[MoisLivr],AJ$1)</f>
        <v>0</v>
      </c>
      <c r="AK203" s="207">
        <f>SUMIFS(LstMachines[Nbre],LstMachines[Model-Spec],PrévisionBoris[[#This Row],[Spec]],LstMachines[Status],PrévisionBoris[[#This Row],[Status]],LstMachines[MoisLivr],AK$1)</f>
        <v>0</v>
      </c>
      <c r="AL203" s="206">
        <f>SUMIFS(LstMachines[Nbre],LstMachines[Model-Spec],PrévisionBoris[[#This Row],[Spec]],LstMachines[Status],PrévisionBoris[[#This Row],[Status]],LstMachines[MoisLivr],AL$1)</f>
        <v>0</v>
      </c>
      <c r="AM203" s="207">
        <f>SUMIFS(LstMachines[Nbre],LstMachines[Model-Spec],PrévisionBoris[[#This Row],[Spec]],LstMachines[Status],PrévisionBoris[[#This Row],[Status]],LstMachines[MoisLivr],AM$1)</f>
        <v>0</v>
      </c>
      <c r="AN203" s="207">
        <f>SUMIFS(LstMachines[Nbre],LstMachines[Model-Spec],PrévisionBoris[[#This Row],[Spec]],LstMachines[Status],PrévisionBoris[[#This Row],[Status]],LstMachines[MoisLivr],AN$1)</f>
        <v>0</v>
      </c>
      <c r="AO203" s="206">
        <f>SUMIFS(LstMachines[Nbre],LstMachines[Model-Spec],PrévisionBoris[[#This Row],[Spec]],LstMachines[Status],PrévisionBoris[[#This Row],[Status]],LstMachines[MoisLivr],AO$1)</f>
        <v>0</v>
      </c>
      <c r="AP203" s="207">
        <f>SUMIFS(LstMachines[Nbre],LstMachines[Model-Spec],PrévisionBoris[[#This Row],[Spec]],LstMachines[Status],PrévisionBoris[[#This Row],[Status]],LstMachines[MoisLivr],AP$1)</f>
        <v>0</v>
      </c>
      <c r="AQ203" s="207">
        <f>SUMIFS(LstMachines[Nbre],LstMachines[Model-Spec],PrévisionBoris[[#This Row],[Spec]],LstMachines[Status],PrévisionBoris[[#This Row],[Status]],LstMachines[MoisLivr],AQ$1)</f>
        <v>0</v>
      </c>
      <c r="AR203" s="206">
        <f>SUMIFS(LstMachines[Nbre],LstMachines[Model-Spec],PrévisionBoris[[#This Row],[Spec]],LstMachines[Status],PrévisionBoris[[#This Row],[Status]],LstMachines[MoisLivr],AR$1)</f>
        <v>0</v>
      </c>
      <c r="AS203" s="207">
        <f>SUMIFS(LstMachines[Nbre],LstMachines[Model-Spec],PrévisionBoris[[#This Row],[Spec]],LstMachines[Status],PrévisionBoris[[#This Row],[Status]],LstMachines[MoisLivr],AS$1)</f>
        <v>0</v>
      </c>
      <c r="AT203" s="207">
        <f>SUMIFS(LstMachines[Nbre],LstMachines[Model-Spec],PrévisionBoris[[#This Row],[Spec]],LstMachines[Status],PrévisionBoris[[#This Row],[Status]],LstMachines[MoisLivr],AT$1)</f>
        <v>0</v>
      </c>
      <c r="AU203" s="206">
        <f>SUMIFS(LstMachines[Nbre],LstMachines[Model-Spec],PrévisionBoris[[#This Row],[Spec]],LstMachines[Status],PrévisionBoris[[#This Row],[Status]],LstMachines[MoisLivr],AU$1)</f>
        <v>0</v>
      </c>
      <c r="AV203" s="233">
        <f>SUMIFS(LstMachines[Nbre],LstMachines[Model-Spec],PrévisionBoris[[#This Row],[Spec]],LstMachines[Status],PrévisionBoris[[#This Row],[Status]],LstMachines[MoisLivr],AV$1)</f>
        <v>0</v>
      </c>
      <c r="AW203" s="208">
        <f>SUMIFS(LstMachines[Nbre],LstMachines[Model-Spec],PrévisionBoris[[#This Row],[Spec]],LstMachines[Status],PrévisionBoris[[#This Row],[Status]],LstMachines[MoisLivr],AW$1)</f>
        <v>0</v>
      </c>
      <c r="AX203" s="225"/>
      <c r="AY203" s="211">
        <f t="shared" si="51"/>
        <v>0</v>
      </c>
      <c r="AZ203" s="212">
        <f t="shared" si="52"/>
        <v>0</v>
      </c>
      <c r="BA203" s="212">
        <f t="shared" si="53"/>
        <v>0</v>
      </c>
      <c r="BB203" s="213">
        <f t="shared" si="54"/>
        <v>0</v>
      </c>
      <c r="BC203" s="225">
        <f t="shared" si="55"/>
        <v>0</v>
      </c>
      <c r="BD203" s="211">
        <f t="shared" si="56"/>
        <v>0</v>
      </c>
      <c r="BE203" s="212">
        <f t="shared" si="57"/>
        <v>0</v>
      </c>
      <c r="BF203" s="212">
        <f t="shared" si="58"/>
        <v>0</v>
      </c>
      <c r="BG203" s="213">
        <f t="shared" si="59"/>
        <v>0</v>
      </c>
      <c r="BH203" s="225">
        <f t="shared" si="60"/>
        <v>0</v>
      </c>
      <c r="BI203" s="214">
        <f t="shared" si="61"/>
        <v>0</v>
      </c>
      <c r="BJ203" s="215">
        <f t="shared" si="62"/>
        <v>0</v>
      </c>
      <c r="BK203" s="215">
        <f t="shared" si="63"/>
        <v>0</v>
      </c>
      <c r="BL203" s="216">
        <f t="shared" si="64"/>
        <v>0</v>
      </c>
      <c r="BM203" s="225">
        <f t="shared" si="65"/>
        <v>0</v>
      </c>
      <c r="BN203" s="225"/>
      <c r="BO203" s="234"/>
      <c r="BP203" s="218">
        <f t="shared" si="66"/>
        <v>0</v>
      </c>
    </row>
    <row r="204" spans="1:68">
      <c r="A204" s="170">
        <v>197</v>
      </c>
      <c r="B204" s="170" t="s">
        <v>75</v>
      </c>
      <c r="C204" s="200">
        <v>65</v>
      </c>
      <c r="D204" s="170" t="s">
        <v>84</v>
      </c>
      <c r="E204" s="170" t="s">
        <v>435</v>
      </c>
      <c r="F204" s="200">
        <f>VLOOKUP(PrévisionBoris[[#This Row],[Spec]],TabModelSpecs[[ModelSpec]:[Price]],2,FALSE)</f>
        <v>45</v>
      </c>
      <c r="G204" s="170" t="s">
        <v>462</v>
      </c>
      <c r="H204" s="219">
        <f>SUMIFS(LstMachines[Nbre],LstMachines[Model-Spec],PrévisionBoris[[#This Row],[Spec]],LstMachines[Status],PrévisionBoris[[#This Row],[Status]],LstMachines[MoisLivr],H$1)</f>
        <v>0</v>
      </c>
      <c r="I204" s="220">
        <f>SUMIFS(LstMachines[Nbre],LstMachines[Model-Spec],PrévisionBoris[[#This Row],[Spec]],LstMachines[Status],PrévisionBoris[[#This Row],[Status]],LstMachines[MoisLivr],I$1)</f>
        <v>0</v>
      </c>
      <c r="J204" s="221">
        <f>SUMIFS(LstMachines[Nbre],LstMachines[Model-Spec],PrévisionBoris[[#This Row],[Spec]],LstMachines[Status],PrévisionBoris[[#This Row],[Status]],LstMachines[MoisLivr],J$1)</f>
        <v>0</v>
      </c>
      <c r="K204" s="219">
        <f>SUMIFS(LstMachines[Nbre],LstMachines[Model-Spec],PrévisionBoris[[#This Row],[Spec]],LstMachines[Status],PrévisionBoris[[#This Row],[Status]],LstMachines[MoisLivr],K$1)</f>
        <v>0</v>
      </c>
      <c r="L204" s="220">
        <f>SUMIFS(LstMachines[Nbre],LstMachines[Model-Spec],PrévisionBoris[[#This Row],[Spec]],LstMachines[Status],PrévisionBoris[[#This Row],[Status]],LstMachines[MoisLivr],L$1)</f>
        <v>0</v>
      </c>
      <c r="M204" s="221">
        <f>SUMIFS(LstMachines[Nbre],LstMachines[Model-Spec],PrévisionBoris[[#This Row],[Spec]],LstMachines[Status],PrévisionBoris[[#This Row],[Status]],LstMachines[MoisLivr],M$1)</f>
        <v>0</v>
      </c>
      <c r="N204" s="219">
        <f>SUMIFS(LstMachines[Nbre],LstMachines[Model-Spec],PrévisionBoris[[#This Row],[Spec]],LstMachines[Status],PrévisionBoris[[#This Row],[Status]],LstMachines[MoisLivr],N$1)</f>
        <v>0</v>
      </c>
      <c r="O204" s="220">
        <f>SUMIFS(LstMachines[Nbre],LstMachines[Model-Spec],PrévisionBoris[[#This Row],[Spec]],LstMachines[Status],PrévisionBoris[[#This Row],[Status]],LstMachines[MoisLivr],O$1)</f>
        <v>0</v>
      </c>
      <c r="P204" s="221">
        <f>SUMIFS(LstMachines[Nbre],LstMachines[Model-Spec],PrévisionBoris[[#This Row],[Spec]],LstMachines[Status],PrévisionBoris[[#This Row],[Status]],LstMachines[MoisLivr],P$1)</f>
        <v>0</v>
      </c>
      <c r="Q204" s="222">
        <f>SUMIFS(LstMachines[Nbre],LstMachines[Model-Spec],PrévisionBoris[[#This Row],[Spec]],LstMachines[Status],PrévisionBoris[[#This Row],[Status]],LstMachines[MoisLivr],Q$1)</f>
        <v>0</v>
      </c>
      <c r="R204" s="220">
        <f>SUMIFS(LstMachines[Nbre],LstMachines[Model-Spec],PrévisionBoris[[#This Row],[Spec]],LstMachines[Status],PrévisionBoris[[#This Row],[Status]],LstMachines[MoisLivr],R$1)</f>
        <v>0</v>
      </c>
      <c r="S204" s="220">
        <f>SUMIFS(LstMachines[Nbre],LstMachines[Model-Spec],PrévisionBoris[[#This Row],[Spec]],LstMachines[Status],PrévisionBoris[[#This Row],[Status]],LstMachines[MoisLivr],S$1)</f>
        <v>0</v>
      </c>
      <c r="T204" s="219">
        <f>SUMIFS(LstMachines[Nbre],LstMachines[Model-Spec],PrévisionBoris[[#This Row],[Spec]],LstMachines[Status],PrévisionBoris[[#This Row],[Status]],LstMachines[MoisLivr],T$1)</f>
        <v>0</v>
      </c>
      <c r="U204" s="220">
        <f>SUMIFS(LstMachines[Nbre],LstMachines[Model-Spec],PrévisionBoris[[#This Row],[Spec]],LstMachines[Status],PrévisionBoris[[#This Row],[Status]],LstMachines[MoisLivr],U$1)</f>
        <v>0</v>
      </c>
      <c r="V204" s="220">
        <f>SUMIFS(LstMachines[Nbre],LstMachines[Model-Spec],PrévisionBoris[[#This Row],[Spec]],LstMachines[Status],PrévisionBoris[[#This Row],[Status]],LstMachines[MoisLivr],V$1)</f>
        <v>0</v>
      </c>
      <c r="W204" s="219">
        <f>SUMIFS(LstMachines[Nbre],LstMachines[Model-Spec],PrévisionBoris[[#This Row],[Spec]],LstMachines[Status],PrévisionBoris[[#This Row],[Status]],LstMachines[MoisLivr],W$1)</f>
        <v>0</v>
      </c>
      <c r="X204" s="220">
        <f>SUMIFS(LstMachines[Nbre],LstMachines[Model-Spec],PrévisionBoris[[#This Row],[Spec]],LstMachines[Status],PrévisionBoris[[#This Row],[Status]],LstMachines[MoisLivr],X$1)</f>
        <v>0</v>
      </c>
      <c r="Y204" s="220">
        <f>SUMIFS(LstMachines[Nbre],LstMachines[Model-Spec],PrévisionBoris[[#This Row],[Spec]],LstMachines[Status],PrévisionBoris[[#This Row],[Status]],LstMachines[MoisLivr],Y$1)</f>
        <v>0</v>
      </c>
      <c r="Z204" s="219">
        <f>SUMIFS(LstMachines[Nbre],LstMachines[Model-Spec],PrévisionBoris[[#This Row],[Spec]],LstMachines[Status],PrévisionBoris[[#This Row],[Status]],LstMachines[MoisLivr],Z$1)</f>
        <v>0</v>
      </c>
      <c r="AA204" s="220">
        <f>SUMIFS(LstMachines[Nbre],LstMachines[Model-Spec],PrévisionBoris[[#This Row],[Spec]],LstMachines[Status],PrévisionBoris[[#This Row],[Status]],LstMachines[MoisLivr],AA$1)</f>
        <v>0</v>
      </c>
      <c r="AB204" s="220">
        <f>SUMIFS(LstMachines[Nbre],LstMachines[Model-Spec],PrévisionBoris[[#This Row],[Spec]],LstMachines[Status],PrévisionBoris[[#This Row],[Status]],LstMachines[MoisLivr],AB$1)</f>
        <v>0</v>
      </c>
      <c r="AC204" s="219">
        <f>SUMIFS(LstMachines[Nbre],LstMachines[Model-Spec],PrévisionBoris[[#This Row],[Spec]],LstMachines[Status],PrévisionBoris[[#This Row],[Status]],LstMachines[MoisLivr],AC$1)</f>
        <v>0</v>
      </c>
      <c r="AD204" s="220">
        <f>SUMIFS(LstMachines[Nbre],LstMachines[Model-Spec],PrévisionBoris[[#This Row],[Spec]],LstMachines[Status],PrévisionBoris[[#This Row],[Status]],LstMachines[MoisLivr],AD$1)</f>
        <v>0</v>
      </c>
      <c r="AE204" s="220">
        <f>SUMIFS(LstMachines[Nbre],LstMachines[Model-Spec],PrévisionBoris[[#This Row],[Spec]],LstMachines[Status],PrévisionBoris[[#This Row],[Status]],LstMachines[MoisLivr],AE$1)</f>
        <v>0</v>
      </c>
      <c r="AF204" s="219">
        <f>SUMIFS(LstMachines[Nbre],LstMachines[Model-Spec],PrévisionBoris[[#This Row],[Spec]],LstMachines[Status],PrévisionBoris[[#This Row],[Status]],LstMachines[MoisLivr],AF$1)</f>
        <v>0</v>
      </c>
      <c r="AG204" s="220">
        <f>SUMIFS(LstMachines[Nbre],LstMachines[Model-Spec],PrévisionBoris[[#This Row],[Spec]],LstMachines[Status],PrévisionBoris[[#This Row],[Status]],LstMachines[MoisLivr],AG$1)</f>
        <v>0</v>
      </c>
      <c r="AH204" s="220">
        <f>SUMIFS(LstMachines[Nbre],LstMachines[Model-Spec],PrévisionBoris[[#This Row],[Spec]],LstMachines[Status],PrévisionBoris[[#This Row],[Status]],LstMachines[MoisLivr],AH$1)</f>
        <v>0</v>
      </c>
      <c r="AI204" s="219">
        <f>SUMIFS(LstMachines[Nbre],LstMachines[Model-Spec],PrévisionBoris[[#This Row],[Spec]],LstMachines[Status],PrévisionBoris[[#This Row],[Status]],LstMachines[MoisLivr],AI$1)</f>
        <v>0</v>
      </c>
      <c r="AJ204" s="220">
        <f>SUMIFS(LstMachines[Nbre],LstMachines[Model-Spec],PrévisionBoris[[#This Row],[Spec]],LstMachines[Status],PrévisionBoris[[#This Row],[Status]],LstMachines[MoisLivr],AJ$1)</f>
        <v>0</v>
      </c>
      <c r="AK204" s="220">
        <f>SUMIFS(LstMachines[Nbre],LstMachines[Model-Spec],PrévisionBoris[[#This Row],[Spec]],LstMachines[Status],PrévisionBoris[[#This Row],[Status]],LstMachines[MoisLivr],AK$1)</f>
        <v>0</v>
      </c>
      <c r="AL204" s="219">
        <f>SUMIFS(LstMachines[Nbre],LstMachines[Model-Spec],PrévisionBoris[[#This Row],[Spec]],LstMachines[Status],PrévisionBoris[[#This Row],[Status]],LstMachines[MoisLivr],AL$1)</f>
        <v>0</v>
      </c>
      <c r="AM204" s="220">
        <f>SUMIFS(LstMachines[Nbre],LstMachines[Model-Spec],PrévisionBoris[[#This Row],[Spec]],LstMachines[Status],PrévisionBoris[[#This Row],[Status]],LstMachines[MoisLivr],AM$1)</f>
        <v>0</v>
      </c>
      <c r="AN204" s="220">
        <f>SUMIFS(LstMachines[Nbre],LstMachines[Model-Spec],PrévisionBoris[[#This Row],[Spec]],LstMachines[Status],PrévisionBoris[[#This Row],[Status]],LstMachines[MoisLivr],AN$1)</f>
        <v>0</v>
      </c>
      <c r="AO204" s="219">
        <f>SUMIFS(LstMachines[Nbre],LstMachines[Model-Spec],PrévisionBoris[[#This Row],[Spec]],LstMachines[Status],PrévisionBoris[[#This Row],[Status]],LstMachines[MoisLivr],AO$1)</f>
        <v>0</v>
      </c>
      <c r="AP204" s="220">
        <f>SUMIFS(LstMachines[Nbre],LstMachines[Model-Spec],PrévisionBoris[[#This Row],[Spec]],LstMachines[Status],PrévisionBoris[[#This Row],[Status]],LstMachines[MoisLivr],AP$1)</f>
        <v>0</v>
      </c>
      <c r="AQ204" s="220">
        <f>SUMIFS(LstMachines[Nbre],LstMachines[Model-Spec],PrévisionBoris[[#This Row],[Spec]],LstMachines[Status],PrévisionBoris[[#This Row],[Status]],LstMachines[MoisLivr],AQ$1)</f>
        <v>0</v>
      </c>
      <c r="AR204" s="219">
        <f>SUMIFS(LstMachines[Nbre],LstMachines[Model-Spec],PrévisionBoris[[#This Row],[Spec]],LstMachines[Status],PrévisionBoris[[#This Row],[Status]],LstMachines[MoisLivr],AR$1)</f>
        <v>0</v>
      </c>
      <c r="AS204" s="220">
        <f>SUMIFS(LstMachines[Nbre],LstMachines[Model-Spec],PrévisionBoris[[#This Row],[Spec]],LstMachines[Status],PrévisionBoris[[#This Row],[Status]],LstMachines[MoisLivr],AS$1)</f>
        <v>0</v>
      </c>
      <c r="AT204" s="220">
        <f>SUMIFS(LstMachines[Nbre],LstMachines[Model-Spec],PrévisionBoris[[#This Row],[Spec]],LstMachines[Status],PrévisionBoris[[#This Row],[Status]],LstMachines[MoisLivr],AT$1)</f>
        <v>0</v>
      </c>
      <c r="AU204" s="219">
        <f>SUMIFS(LstMachines[Nbre],LstMachines[Model-Spec],PrévisionBoris[[#This Row],[Spec]],LstMachines[Status],PrévisionBoris[[#This Row],[Status]],LstMachines[MoisLivr],AU$1)</f>
        <v>0</v>
      </c>
      <c r="AV204" s="223">
        <f>SUMIFS(LstMachines[Nbre],LstMachines[Model-Spec],PrévisionBoris[[#This Row],[Spec]],LstMachines[Status],PrévisionBoris[[#This Row],[Status]],LstMachines[MoisLivr],AV$1)</f>
        <v>0</v>
      </c>
      <c r="AW204" s="224">
        <f>SUMIFS(LstMachines[Nbre],LstMachines[Model-Spec],PrévisionBoris[[#This Row],[Spec]],LstMachines[Status],PrévisionBoris[[#This Row],[Status]],LstMachines[MoisLivr],AW$1)</f>
        <v>0</v>
      </c>
      <c r="AX204" s="210"/>
      <c r="AY204" s="211">
        <f t="shared" si="51"/>
        <v>0</v>
      </c>
      <c r="AZ204" s="212">
        <f t="shared" si="52"/>
        <v>0</v>
      </c>
      <c r="BA204" s="212">
        <f t="shared" si="53"/>
        <v>0</v>
      </c>
      <c r="BB204" s="213">
        <f t="shared" si="54"/>
        <v>0</v>
      </c>
      <c r="BC204" s="225">
        <f t="shared" si="55"/>
        <v>0</v>
      </c>
      <c r="BD204" s="211">
        <f t="shared" si="56"/>
        <v>0</v>
      </c>
      <c r="BE204" s="212">
        <f t="shared" si="57"/>
        <v>0</v>
      </c>
      <c r="BF204" s="212">
        <f t="shared" si="58"/>
        <v>0</v>
      </c>
      <c r="BG204" s="213">
        <f t="shared" si="59"/>
        <v>0</v>
      </c>
      <c r="BH204" s="225">
        <f t="shared" si="60"/>
        <v>0</v>
      </c>
      <c r="BI204" s="214">
        <f t="shared" si="61"/>
        <v>0</v>
      </c>
      <c r="BJ204" s="215">
        <f t="shared" si="62"/>
        <v>0</v>
      </c>
      <c r="BK204" s="215">
        <f t="shared" si="63"/>
        <v>0</v>
      </c>
      <c r="BL204" s="216">
        <f t="shared" si="64"/>
        <v>0</v>
      </c>
      <c r="BM204" s="225">
        <f t="shared" si="65"/>
        <v>0</v>
      </c>
      <c r="BN204" s="225"/>
      <c r="BO204" s="217"/>
      <c r="BP204" s="218">
        <f t="shared" si="66"/>
        <v>0</v>
      </c>
    </row>
    <row r="205" spans="1:68">
      <c r="A205" s="171">
        <v>198</v>
      </c>
      <c r="B205" s="171" t="s">
        <v>75</v>
      </c>
      <c r="C205" s="201">
        <v>65</v>
      </c>
      <c r="D205" s="171" t="s">
        <v>84</v>
      </c>
      <c r="E205" s="171" t="s">
        <v>435</v>
      </c>
      <c r="F205" s="201">
        <f>VLOOKUP(PrévisionBoris[[#This Row],[Spec]],TabModelSpecs[[ModelSpec]:[Price]],2,FALSE)</f>
        <v>45</v>
      </c>
      <c r="G205" s="171" t="s">
        <v>463</v>
      </c>
      <c r="H205" s="226">
        <f>SUMIFS(LstMachines[Nbre],LstMachines[Model-Spec],PrévisionBoris[[#This Row],[Spec]],LstMachines[Status],PrévisionBoris[[#This Row],[Status]],LstMachines[MoisLivr],H$1)</f>
        <v>0</v>
      </c>
      <c r="I205" s="227">
        <f>SUMIFS(LstMachines[Nbre],LstMachines[Model-Spec],PrévisionBoris[[#This Row],[Spec]],LstMachines[Status],PrévisionBoris[[#This Row],[Status]],LstMachines[MoisLivr],I$1)</f>
        <v>0</v>
      </c>
      <c r="J205" s="228">
        <f>SUMIFS(LstMachines[Nbre],LstMachines[Model-Spec],PrévisionBoris[[#This Row],[Spec]],LstMachines[Status],PrévisionBoris[[#This Row],[Status]],LstMachines[MoisLivr],J$1)</f>
        <v>0</v>
      </c>
      <c r="K205" s="226">
        <f>SUMIFS(LstMachines[Nbre],LstMachines[Model-Spec],PrévisionBoris[[#This Row],[Spec]],LstMachines[Status],PrévisionBoris[[#This Row],[Status]],LstMachines[MoisLivr],K$1)</f>
        <v>0</v>
      </c>
      <c r="L205" s="227">
        <f>SUMIFS(LstMachines[Nbre],LstMachines[Model-Spec],PrévisionBoris[[#This Row],[Spec]],LstMachines[Status],PrévisionBoris[[#This Row],[Status]],LstMachines[MoisLivr],L$1)</f>
        <v>0</v>
      </c>
      <c r="M205" s="228">
        <f>SUMIFS(LstMachines[Nbre],LstMachines[Model-Spec],PrévisionBoris[[#This Row],[Spec]],LstMachines[Status],PrévisionBoris[[#This Row],[Status]],LstMachines[MoisLivr],M$1)</f>
        <v>0</v>
      </c>
      <c r="N205" s="226">
        <f>SUMIFS(LstMachines[Nbre],LstMachines[Model-Spec],PrévisionBoris[[#This Row],[Spec]],LstMachines[Status],PrévisionBoris[[#This Row],[Status]],LstMachines[MoisLivr],N$1)</f>
        <v>0</v>
      </c>
      <c r="O205" s="227">
        <f>SUMIFS(LstMachines[Nbre],LstMachines[Model-Spec],PrévisionBoris[[#This Row],[Spec]],LstMachines[Status],PrévisionBoris[[#This Row],[Status]],LstMachines[MoisLivr],O$1)</f>
        <v>0</v>
      </c>
      <c r="P205" s="228">
        <f>SUMIFS(LstMachines[Nbre],LstMachines[Model-Spec],PrévisionBoris[[#This Row],[Spec]],LstMachines[Status],PrévisionBoris[[#This Row],[Status]],LstMachines[MoisLivr],P$1)</f>
        <v>0</v>
      </c>
      <c r="Q205" s="229">
        <f>SUMIFS(LstMachines[Nbre],LstMachines[Model-Spec],PrévisionBoris[[#This Row],[Spec]],LstMachines[Status],PrévisionBoris[[#This Row],[Status]],LstMachines[MoisLivr],Q$1)</f>
        <v>0</v>
      </c>
      <c r="R205" s="227">
        <f>SUMIFS(LstMachines[Nbre],LstMachines[Model-Spec],PrévisionBoris[[#This Row],[Spec]],LstMachines[Status],PrévisionBoris[[#This Row],[Status]],LstMachines[MoisLivr],R$1)</f>
        <v>0</v>
      </c>
      <c r="S205" s="227">
        <f>SUMIFS(LstMachines[Nbre],LstMachines[Model-Spec],PrévisionBoris[[#This Row],[Spec]],LstMachines[Status],PrévisionBoris[[#This Row],[Status]],LstMachines[MoisLivr],S$1)</f>
        <v>0</v>
      </c>
      <c r="T205" s="226">
        <f>SUMIFS(LstMachines[Nbre],LstMachines[Model-Spec],PrévisionBoris[[#This Row],[Spec]],LstMachines[Status],PrévisionBoris[[#This Row],[Status]],LstMachines[MoisLivr],T$1)</f>
        <v>0</v>
      </c>
      <c r="U205" s="227">
        <f>SUMIFS(LstMachines[Nbre],LstMachines[Model-Spec],PrévisionBoris[[#This Row],[Spec]],LstMachines[Status],PrévisionBoris[[#This Row],[Status]],LstMachines[MoisLivr],U$1)</f>
        <v>0</v>
      </c>
      <c r="V205" s="227">
        <f>SUMIFS(LstMachines[Nbre],LstMachines[Model-Spec],PrévisionBoris[[#This Row],[Spec]],LstMachines[Status],PrévisionBoris[[#This Row],[Status]],LstMachines[MoisLivr],V$1)</f>
        <v>0</v>
      </c>
      <c r="W205" s="226">
        <f>SUMIFS(LstMachines[Nbre],LstMachines[Model-Spec],PrévisionBoris[[#This Row],[Spec]],LstMachines[Status],PrévisionBoris[[#This Row],[Status]],LstMachines[MoisLivr],W$1)</f>
        <v>0</v>
      </c>
      <c r="X205" s="227">
        <f>SUMIFS(LstMachines[Nbre],LstMachines[Model-Spec],PrévisionBoris[[#This Row],[Spec]],LstMachines[Status],PrévisionBoris[[#This Row],[Status]],LstMachines[MoisLivr],X$1)</f>
        <v>0</v>
      </c>
      <c r="Y205" s="227">
        <f>SUMIFS(LstMachines[Nbre],LstMachines[Model-Spec],PrévisionBoris[[#This Row],[Spec]],LstMachines[Status],PrévisionBoris[[#This Row],[Status]],LstMachines[MoisLivr],Y$1)</f>
        <v>0</v>
      </c>
      <c r="Z205" s="226">
        <f>SUMIFS(LstMachines[Nbre],LstMachines[Model-Spec],PrévisionBoris[[#This Row],[Spec]],LstMachines[Status],PrévisionBoris[[#This Row],[Status]],LstMachines[MoisLivr],Z$1)</f>
        <v>0</v>
      </c>
      <c r="AA205" s="227">
        <f>SUMIFS(LstMachines[Nbre],LstMachines[Model-Spec],PrévisionBoris[[#This Row],[Spec]],LstMachines[Status],PrévisionBoris[[#This Row],[Status]],LstMachines[MoisLivr],AA$1)</f>
        <v>0</v>
      </c>
      <c r="AB205" s="227">
        <f>SUMIFS(LstMachines[Nbre],LstMachines[Model-Spec],PrévisionBoris[[#This Row],[Spec]],LstMachines[Status],PrévisionBoris[[#This Row],[Status]],LstMachines[MoisLivr],AB$1)</f>
        <v>0</v>
      </c>
      <c r="AC205" s="226">
        <f>SUMIFS(LstMachines[Nbre],LstMachines[Model-Spec],PrévisionBoris[[#This Row],[Spec]],LstMachines[Status],PrévisionBoris[[#This Row],[Status]],LstMachines[MoisLivr],AC$1)</f>
        <v>0</v>
      </c>
      <c r="AD205" s="227">
        <f>SUMIFS(LstMachines[Nbre],LstMachines[Model-Spec],PrévisionBoris[[#This Row],[Spec]],LstMachines[Status],PrévisionBoris[[#This Row],[Status]],LstMachines[MoisLivr],AD$1)</f>
        <v>0</v>
      </c>
      <c r="AE205" s="227">
        <f>SUMIFS(LstMachines[Nbre],LstMachines[Model-Spec],PrévisionBoris[[#This Row],[Spec]],LstMachines[Status],PrévisionBoris[[#This Row],[Status]],LstMachines[MoisLivr],AE$1)</f>
        <v>0</v>
      </c>
      <c r="AF205" s="226">
        <f>SUMIFS(LstMachines[Nbre],LstMachines[Model-Spec],PrévisionBoris[[#This Row],[Spec]],LstMachines[Status],PrévisionBoris[[#This Row],[Status]],LstMachines[MoisLivr],AF$1)</f>
        <v>0</v>
      </c>
      <c r="AG205" s="227">
        <f>SUMIFS(LstMachines[Nbre],LstMachines[Model-Spec],PrévisionBoris[[#This Row],[Spec]],LstMachines[Status],PrévisionBoris[[#This Row],[Status]],LstMachines[MoisLivr],AG$1)</f>
        <v>0</v>
      </c>
      <c r="AH205" s="227">
        <f>SUMIFS(LstMachines[Nbre],LstMachines[Model-Spec],PrévisionBoris[[#This Row],[Spec]],LstMachines[Status],PrévisionBoris[[#This Row],[Status]],LstMachines[MoisLivr],AH$1)</f>
        <v>0</v>
      </c>
      <c r="AI205" s="226">
        <f>SUMIFS(LstMachines[Nbre],LstMachines[Model-Spec],PrévisionBoris[[#This Row],[Spec]],LstMachines[Status],PrévisionBoris[[#This Row],[Status]],LstMachines[MoisLivr],AI$1)</f>
        <v>0</v>
      </c>
      <c r="AJ205" s="227">
        <f>SUMIFS(LstMachines[Nbre],LstMachines[Model-Spec],PrévisionBoris[[#This Row],[Spec]],LstMachines[Status],PrévisionBoris[[#This Row],[Status]],LstMachines[MoisLivr],AJ$1)</f>
        <v>0</v>
      </c>
      <c r="AK205" s="227">
        <f>SUMIFS(LstMachines[Nbre],LstMachines[Model-Spec],PrévisionBoris[[#This Row],[Spec]],LstMachines[Status],PrévisionBoris[[#This Row],[Status]],LstMachines[MoisLivr],AK$1)</f>
        <v>0</v>
      </c>
      <c r="AL205" s="226">
        <f>SUMIFS(LstMachines[Nbre],LstMachines[Model-Spec],PrévisionBoris[[#This Row],[Spec]],LstMachines[Status],PrévisionBoris[[#This Row],[Status]],LstMachines[MoisLivr],AL$1)</f>
        <v>0</v>
      </c>
      <c r="AM205" s="227">
        <f>SUMIFS(LstMachines[Nbre],LstMachines[Model-Spec],PrévisionBoris[[#This Row],[Spec]],LstMachines[Status],PrévisionBoris[[#This Row],[Status]],LstMachines[MoisLivr],AM$1)</f>
        <v>0</v>
      </c>
      <c r="AN205" s="227">
        <f>SUMIFS(LstMachines[Nbre],LstMachines[Model-Spec],PrévisionBoris[[#This Row],[Spec]],LstMachines[Status],PrévisionBoris[[#This Row],[Status]],LstMachines[MoisLivr],AN$1)</f>
        <v>0</v>
      </c>
      <c r="AO205" s="226">
        <f>SUMIFS(LstMachines[Nbre],LstMachines[Model-Spec],PrévisionBoris[[#This Row],[Spec]],LstMachines[Status],PrévisionBoris[[#This Row],[Status]],LstMachines[MoisLivr],AO$1)</f>
        <v>0</v>
      </c>
      <c r="AP205" s="227">
        <f>SUMIFS(LstMachines[Nbre],LstMachines[Model-Spec],PrévisionBoris[[#This Row],[Spec]],LstMachines[Status],PrévisionBoris[[#This Row],[Status]],LstMachines[MoisLivr],AP$1)</f>
        <v>0</v>
      </c>
      <c r="AQ205" s="227">
        <f>SUMIFS(LstMachines[Nbre],LstMachines[Model-Spec],PrévisionBoris[[#This Row],[Spec]],LstMachines[Status],PrévisionBoris[[#This Row],[Status]],LstMachines[MoisLivr],AQ$1)</f>
        <v>0</v>
      </c>
      <c r="AR205" s="226">
        <f>SUMIFS(LstMachines[Nbre],LstMachines[Model-Spec],PrévisionBoris[[#This Row],[Spec]],LstMachines[Status],PrévisionBoris[[#This Row],[Status]],LstMachines[MoisLivr],AR$1)</f>
        <v>0</v>
      </c>
      <c r="AS205" s="227">
        <f>SUMIFS(LstMachines[Nbre],LstMachines[Model-Spec],PrévisionBoris[[#This Row],[Spec]],LstMachines[Status],PrévisionBoris[[#This Row],[Status]],LstMachines[MoisLivr],AS$1)</f>
        <v>0</v>
      </c>
      <c r="AT205" s="227">
        <f>SUMIFS(LstMachines[Nbre],LstMachines[Model-Spec],PrévisionBoris[[#This Row],[Spec]],LstMachines[Status],PrévisionBoris[[#This Row],[Status]],LstMachines[MoisLivr],AT$1)</f>
        <v>0</v>
      </c>
      <c r="AU205" s="226">
        <f>SUMIFS(LstMachines[Nbre],LstMachines[Model-Spec],PrévisionBoris[[#This Row],[Spec]],LstMachines[Status],PrévisionBoris[[#This Row],[Status]],LstMachines[MoisLivr],AU$1)</f>
        <v>0</v>
      </c>
      <c r="AV205" s="230">
        <f>SUMIFS(LstMachines[Nbre],LstMachines[Model-Spec],PrévisionBoris[[#This Row],[Spec]],LstMachines[Status],PrévisionBoris[[#This Row],[Status]],LstMachines[MoisLivr],AV$1)</f>
        <v>0</v>
      </c>
      <c r="AW205" s="231">
        <f>SUMIFS(LstMachines[Nbre],LstMachines[Model-Spec],PrévisionBoris[[#This Row],[Spec]],LstMachines[Status],PrévisionBoris[[#This Row],[Status]],LstMachines[MoisLivr],AW$1)</f>
        <v>0</v>
      </c>
      <c r="AX205" s="232"/>
      <c r="AY205" s="211">
        <f t="shared" si="51"/>
        <v>0</v>
      </c>
      <c r="AZ205" s="212">
        <f t="shared" si="52"/>
        <v>0</v>
      </c>
      <c r="BA205" s="212">
        <f t="shared" si="53"/>
        <v>0</v>
      </c>
      <c r="BB205" s="213">
        <f t="shared" si="54"/>
        <v>0</v>
      </c>
      <c r="BC205" s="225">
        <f t="shared" si="55"/>
        <v>0</v>
      </c>
      <c r="BD205" s="211">
        <f t="shared" si="56"/>
        <v>0</v>
      </c>
      <c r="BE205" s="212">
        <f t="shared" si="57"/>
        <v>0</v>
      </c>
      <c r="BF205" s="212">
        <f t="shared" si="58"/>
        <v>0</v>
      </c>
      <c r="BG205" s="213">
        <f t="shared" si="59"/>
        <v>0</v>
      </c>
      <c r="BH205" s="225">
        <f t="shared" si="60"/>
        <v>0</v>
      </c>
      <c r="BI205" s="214">
        <f t="shared" si="61"/>
        <v>0</v>
      </c>
      <c r="BJ205" s="215">
        <f t="shared" si="62"/>
        <v>0</v>
      </c>
      <c r="BK205" s="215">
        <f t="shared" si="63"/>
        <v>0</v>
      </c>
      <c r="BL205" s="216">
        <f t="shared" si="64"/>
        <v>0</v>
      </c>
      <c r="BM205" s="225">
        <f t="shared" si="65"/>
        <v>0</v>
      </c>
      <c r="BN205" s="225"/>
      <c r="BO205" s="217"/>
      <c r="BP205" s="218">
        <f t="shared" si="66"/>
        <v>0</v>
      </c>
    </row>
    <row r="206" spans="1:68">
      <c r="A206" s="172">
        <v>199</v>
      </c>
      <c r="B206" s="172" t="s">
        <v>75</v>
      </c>
      <c r="C206" s="202">
        <v>65</v>
      </c>
      <c r="D206" s="172" t="s">
        <v>84</v>
      </c>
      <c r="E206" s="172" t="s">
        <v>436</v>
      </c>
      <c r="F206" s="202">
        <f>VLOOKUP(PrévisionBoris[[#This Row],[Spec]],TabModelSpecs[[ModelSpec]:[Price]],2,FALSE)</f>
        <v>45</v>
      </c>
      <c r="G206" s="172" t="s">
        <v>461</v>
      </c>
      <c r="H206" s="206">
        <f>SUMIFS(LstMachines[Nbre],LstMachines[Model-Spec],PrévisionBoris[[#This Row],[Spec]],LstMachines[Status],PrévisionBoris[[#This Row],[Status]],LstMachines[MoisLivr],H$1)</f>
        <v>0</v>
      </c>
      <c r="I206" s="207">
        <f>SUMIFS(LstMachines[Nbre],LstMachines[Model-Spec],PrévisionBoris[[#This Row],[Spec]],LstMachines[Status],PrévisionBoris[[#This Row],[Status]],LstMachines[MoisLivr],I$1)</f>
        <v>0</v>
      </c>
      <c r="J206" s="208">
        <f>SUMIFS(LstMachines[Nbre],LstMachines[Model-Spec],PrévisionBoris[[#This Row],[Spec]],LstMachines[Status],PrévisionBoris[[#This Row],[Status]],LstMachines[MoisLivr],J$1)</f>
        <v>0</v>
      </c>
      <c r="K206" s="206">
        <f>SUMIFS(LstMachines[Nbre],LstMachines[Model-Spec],PrévisionBoris[[#This Row],[Spec]],LstMachines[Status],PrévisionBoris[[#This Row],[Status]],LstMachines[MoisLivr],K$1)</f>
        <v>0</v>
      </c>
      <c r="L206" s="207">
        <f>SUMIFS(LstMachines[Nbre],LstMachines[Model-Spec],PrévisionBoris[[#This Row],[Spec]],LstMachines[Status],PrévisionBoris[[#This Row],[Status]],LstMachines[MoisLivr],L$1)</f>
        <v>0</v>
      </c>
      <c r="M206" s="208">
        <f>SUMIFS(LstMachines[Nbre],LstMachines[Model-Spec],PrévisionBoris[[#This Row],[Spec]],LstMachines[Status],PrévisionBoris[[#This Row],[Status]],LstMachines[MoisLivr],M$1)</f>
        <v>0</v>
      </c>
      <c r="N206" s="206">
        <f>SUMIFS(LstMachines[Nbre],LstMachines[Model-Spec],PrévisionBoris[[#This Row],[Spec]],LstMachines[Status],PrévisionBoris[[#This Row],[Status]],LstMachines[MoisLivr],N$1)</f>
        <v>0</v>
      </c>
      <c r="O206" s="207">
        <f>SUMIFS(LstMachines[Nbre],LstMachines[Model-Spec],PrévisionBoris[[#This Row],[Spec]],LstMachines[Status],PrévisionBoris[[#This Row],[Status]],LstMachines[MoisLivr],O$1)</f>
        <v>0</v>
      </c>
      <c r="P206" s="208">
        <f>SUMIFS(LstMachines[Nbre],LstMachines[Model-Spec],PrévisionBoris[[#This Row],[Spec]],LstMachines[Status],PrévisionBoris[[#This Row],[Status]],LstMachines[MoisLivr],P$1)</f>
        <v>0</v>
      </c>
      <c r="Q206" s="209">
        <f>SUMIFS(LstMachines[Nbre],LstMachines[Model-Spec],PrévisionBoris[[#This Row],[Spec]],LstMachines[Status],PrévisionBoris[[#This Row],[Status]],LstMachines[MoisLivr],Q$1)</f>
        <v>0</v>
      </c>
      <c r="R206" s="207">
        <f>SUMIFS(LstMachines[Nbre],LstMachines[Model-Spec],PrévisionBoris[[#This Row],[Spec]],LstMachines[Status],PrévisionBoris[[#This Row],[Status]],LstMachines[MoisLivr],R$1)</f>
        <v>0</v>
      </c>
      <c r="S206" s="207">
        <f>SUMIFS(LstMachines[Nbre],LstMachines[Model-Spec],PrévisionBoris[[#This Row],[Spec]],LstMachines[Status],PrévisionBoris[[#This Row],[Status]],LstMachines[MoisLivr],S$1)</f>
        <v>0</v>
      </c>
      <c r="T206" s="206">
        <f>SUMIFS(LstMachines[Nbre],LstMachines[Model-Spec],PrévisionBoris[[#This Row],[Spec]],LstMachines[Status],PrévisionBoris[[#This Row],[Status]],LstMachines[MoisLivr],T$1)</f>
        <v>0</v>
      </c>
      <c r="U206" s="207">
        <f>SUMIFS(LstMachines[Nbre],LstMachines[Model-Spec],PrévisionBoris[[#This Row],[Spec]],LstMachines[Status],PrévisionBoris[[#This Row],[Status]],LstMachines[MoisLivr],U$1)</f>
        <v>0</v>
      </c>
      <c r="V206" s="207">
        <f>SUMIFS(LstMachines[Nbre],LstMachines[Model-Spec],PrévisionBoris[[#This Row],[Spec]],LstMachines[Status],PrévisionBoris[[#This Row],[Status]],LstMachines[MoisLivr],V$1)</f>
        <v>0</v>
      </c>
      <c r="W206" s="206">
        <f>SUMIFS(LstMachines[Nbre],LstMachines[Model-Spec],PrévisionBoris[[#This Row],[Spec]],LstMachines[Status],PrévisionBoris[[#This Row],[Status]],LstMachines[MoisLivr],W$1)</f>
        <v>0</v>
      </c>
      <c r="X206" s="207">
        <f>SUMIFS(LstMachines[Nbre],LstMachines[Model-Spec],PrévisionBoris[[#This Row],[Spec]],LstMachines[Status],PrévisionBoris[[#This Row],[Status]],LstMachines[MoisLivr],X$1)</f>
        <v>0</v>
      </c>
      <c r="Y206" s="207">
        <f>SUMIFS(LstMachines[Nbre],LstMachines[Model-Spec],PrévisionBoris[[#This Row],[Spec]],LstMachines[Status],PrévisionBoris[[#This Row],[Status]],LstMachines[MoisLivr],Y$1)</f>
        <v>0</v>
      </c>
      <c r="Z206" s="206">
        <f>SUMIFS(LstMachines[Nbre],LstMachines[Model-Spec],PrévisionBoris[[#This Row],[Spec]],LstMachines[Status],PrévisionBoris[[#This Row],[Status]],LstMachines[MoisLivr],Z$1)</f>
        <v>0</v>
      </c>
      <c r="AA206" s="207">
        <f>SUMIFS(LstMachines[Nbre],LstMachines[Model-Spec],PrévisionBoris[[#This Row],[Spec]],LstMachines[Status],PrévisionBoris[[#This Row],[Status]],LstMachines[MoisLivr],AA$1)</f>
        <v>0</v>
      </c>
      <c r="AB206" s="207">
        <f>SUMIFS(LstMachines[Nbre],LstMachines[Model-Spec],PrévisionBoris[[#This Row],[Spec]],LstMachines[Status],PrévisionBoris[[#This Row],[Status]],LstMachines[MoisLivr],AB$1)</f>
        <v>0</v>
      </c>
      <c r="AC206" s="206">
        <f>SUMIFS(LstMachines[Nbre],LstMachines[Model-Spec],PrévisionBoris[[#This Row],[Spec]],LstMachines[Status],PrévisionBoris[[#This Row],[Status]],LstMachines[MoisLivr],AC$1)</f>
        <v>0</v>
      </c>
      <c r="AD206" s="207">
        <f>SUMIFS(LstMachines[Nbre],LstMachines[Model-Spec],PrévisionBoris[[#This Row],[Spec]],LstMachines[Status],PrévisionBoris[[#This Row],[Status]],LstMachines[MoisLivr],AD$1)</f>
        <v>0</v>
      </c>
      <c r="AE206" s="207">
        <f>SUMIFS(LstMachines[Nbre],LstMachines[Model-Spec],PrévisionBoris[[#This Row],[Spec]],LstMachines[Status],PrévisionBoris[[#This Row],[Status]],LstMachines[MoisLivr],AE$1)</f>
        <v>0</v>
      </c>
      <c r="AF206" s="206">
        <f>SUMIFS(LstMachines[Nbre],LstMachines[Model-Spec],PrévisionBoris[[#This Row],[Spec]],LstMachines[Status],PrévisionBoris[[#This Row],[Status]],LstMachines[MoisLivr],AF$1)</f>
        <v>0</v>
      </c>
      <c r="AG206" s="207">
        <f>SUMIFS(LstMachines[Nbre],LstMachines[Model-Spec],PrévisionBoris[[#This Row],[Spec]],LstMachines[Status],PrévisionBoris[[#This Row],[Status]],LstMachines[MoisLivr],AG$1)</f>
        <v>0</v>
      </c>
      <c r="AH206" s="207">
        <f>SUMIFS(LstMachines[Nbre],LstMachines[Model-Spec],PrévisionBoris[[#This Row],[Spec]],LstMachines[Status],PrévisionBoris[[#This Row],[Status]],LstMachines[MoisLivr],AH$1)</f>
        <v>0</v>
      </c>
      <c r="AI206" s="206">
        <f>SUMIFS(LstMachines[Nbre],LstMachines[Model-Spec],PrévisionBoris[[#This Row],[Spec]],LstMachines[Status],PrévisionBoris[[#This Row],[Status]],LstMachines[MoisLivr],AI$1)</f>
        <v>0</v>
      </c>
      <c r="AJ206" s="207">
        <f>SUMIFS(LstMachines[Nbre],LstMachines[Model-Spec],PrévisionBoris[[#This Row],[Spec]],LstMachines[Status],PrévisionBoris[[#This Row],[Status]],LstMachines[MoisLivr],AJ$1)</f>
        <v>0</v>
      </c>
      <c r="AK206" s="207">
        <f>SUMIFS(LstMachines[Nbre],LstMachines[Model-Spec],PrévisionBoris[[#This Row],[Spec]],LstMachines[Status],PrévisionBoris[[#This Row],[Status]],LstMachines[MoisLivr],AK$1)</f>
        <v>0</v>
      </c>
      <c r="AL206" s="206">
        <f>SUMIFS(LstMachines[Nbre],LstMachines[Model-Spec],PrévisionBoris[[#This Row],[Spec]],LstMachines[Status],PrévisionBoris[[#This Row],[Status]],LstMachines[MoisLivr],AL$1)</f>
        <v>0</v>
      </c>
      <c r="AM206" s="207">
        <f>SUMIFS(LstMachines[Nbre],LstMachines[Model-Spec],PrévisionBoris[[#This Row],[Spec]],LstMachines[Status],PrévisionBoris[[#This Row],[Status]],LstMachines[MoisLivr],AM$1)</f>
        <v>0</v>
      </c>
      <c r="AN206" s="207">
        <f>SUMIFS(LstMachines[Nbre],LstMachines[Model-Spec],PrévisionBoris[[#This Row],[Spec]],LstMachines[Status],PrévisionBoris[[#This Row],[Status]],LstMachines[MoisLivr],AN$1)</f>
        <v>0</v>
      </c>
      <c r="AO206" s="206">
        <f>SUMIFS(LstMachines[Nbre],LstMachines[Model-Spec],PrévisionBoris[[#This Row],[Spec]],LstMachines[Status],PrévisionBoris[[#This Row],[Status]],LstMachines[MoisLivr],AO$1)</f>
        <v>0</v>
      </c>
      <c r="AP206" s="207">
        <f>SUMIFS(LstMachines[Nbre],LstMachines[Model-Spec],PrévisionBoris[[#This Row],[Spec]],LstMachines[Status],PrévisionBoris[[#This Row],[Status]],LstMachines[MoisLivr],AP$1)</f>
        <v>0</v>
      </c>
      <c r="AQ206" s="207">
        <f>SUMIFS(LstMachines[Nbre],LstMachines[Model-Spec],PrévisionBoris[[#This Row],[Spec]],LstMachines[Status],PrévisionBoris[[#This Row],[Status]],LstMachines[MoisLivr],AQ$1)</f>
        <v>0</v>
      </c>
      <c r="AR206" s="206">
        <f>SUMIFS(LstMachines[Nbre],LstMachines[Model-Spec],PrévisionBoris[[#This Row],[Spec]],LstMachines[Status],PrévisionBoris[[#This Row],[Status]],LstMachines[MoisLivr],AR$1)</f>
        <v>0</v>
      </c>
      <c r="AS206" s="207">
        <f>SUMIFS(LstMachines[Nbre],LstMachines[Model-Spec],PrévisionBoris[[#This Row],[Spec]],LstMachines[Status],PrévisionBoris[[#This Row],[Status]],LstMachines[MoisLivr],AS$1)</f>
        <v>0</v>
      </c>
      <c r="AT206" s="207">
        <f>SUMIFS(LstMachines[Nbre],LstMachines[Model-Spec],PrévisionBoris[[#This Row],[Spec]],LstMachines[Status],PrévisionBoris[[#This Row],[Status]],LstMachines[MoisLivr],AT$1)</f>
        <v>0</v>
      </c>
      <c r="AU206" s="206">
        <f>SUMIFS(LstMachines[Nbre],LstMachines[Model-Spec],PrévisionBoris[[#This Row],[Spec]],LstMachines[Status],PrévisionBoris[[#This Row],[Status]],LstMachines[MoisLivr],AU$1)</f>
        <v>0</v>
      </c>
      <c r="AV206" s="233">
        <f>SUMIFS(LstMachines[Nbre],LstMachines[Model-Spec],PrévisionBoris[[#This Row],[Spec]],LstMachines[Status],PrévisionBoris[[#This Row],[Status]],LstMachines[MoisLivr],AV$1)</f>
        <v>0</v>
      </c>
      <c r="AW206" s="208">
        <f>SUMIFS(LstMachines[Nbre],LstMachines[Model-Spec],PrévisionBoris[[#This Row],[Spec]],LstMachines[Status],PrévisionBoris[[#This Row],[Status]],LstMachines[MoisLivr],AW$1)</f>
        <v>0</v>
      </c>
      <c r="AX206" s="225"/>
      <c r="AY206" s="211">
        <f t="shared" si="51"/>
        <v>0</v>
      </c>
      <c r="AZ206" s="212">
        <f t="shared" si="52"/>
        <v>0</v>
      </c>
      <c r="BA206" s="212">
        <f t="shared" si="53"/>
        <v>0</v>
      </c>
      <c r="BB206" s="213">
        <f t="shared" si="54"/>
        <v>0</v>
      </c>
      <c r="BC206" s="225">
        <f t="shared" si="55"/>
        <v>0</v>
      </c>
      <c r="BD206" s="211">
        <f t="shared" si="56"/>
        <v>0</v>
      </c>
      <c r="BE206" s="212">
        <f t="shared" si="57"/>
        <v>0</v>
      </c>
      <c r="BF206" s="212">
        <f t="shared" si="58"/>
        <v>0</v>
      </c>
      <c r="BG206" s="213">
        <f t="shared" si="59"/>
        <v>0</v>
      </c>
      <c r="BH206" s="225">
        <f t="shared" si="60"/>
        <v>0</v>
      </c>
      <c r="BI206" s="214">
        <f t="shared" si="61"/>
        <v>0</v>
      </c>
      <c r="BJ206" s="215">
        <f t="shared" si="62"/>
        <v>0</v>
      </c>
      <c r="BK206" s="215">
        <f t="shared" si="63"/>
        <v>0</v>
      </c>
      <c r="BL206" s="216">
        <f t="shared" si="64"/>
        <v>0</v>
      </c>
      <c r="BM206" s="225">
        <f t="shared" si="65"/>
        <v>0</v>
      </c>
      <c r="BN206" s="225"/>
      <c r="BO206" s="234"/>
      <c r="BP206" s="218">
        <f t="shared" si="66"/>
        <v>0</v>
      </c>
    </row>
    <row r="207" spans="1:68">
      <c r="A207" s="170">
        <v>200</v>
      </c>
      <c r="B207" s="170" t="s">
        <v>75</v>
      </c>
      <c r="C207" s="200">
        <v>65</v>
      </c>
      <c r="D207" s="170" t="s">
        <v>84</v>
      </c>
      <c r="E207" s="170" t="s">
        <v>436</v>
      </c>
      <c r="F207" s="200">
        <f>VLOOKUP(PrévisionBoris[[#This Row],[Spec]],TabModelSpecs[[ModelSpec]:[Price]],2,FALSE)</f>
        <v>45</v>
      </c>
      <c r="G207" s="170" t="s">
        <v>462</v>
      </c>
      <c r="H207" s="219">
        <f>SUMIFS(LstMachines[Nbre],LstMachines[Model-Spec],PrévisionBoris[[#This Row],[Spec]],LstMachines[Status],PrévisionBoris[[#This Row],[Status]],LstMachines[MoisLivr],H$1)</f>
        <v>0</v>
      </c>
      <c r="I207" s="220">
        <f>SUMIFS(LstMachines[Nbre],LstMachines[Model-Spec],PrévisionBoris[[#This Row],[Spec]],LstMachines[Status],PrévisionBoris[[#This Row],[Status]],LstMachines[MoisLivr],I$1)</f>
        <v>0</v>
      </c>
      <c r="J207" s="221">
        <f>SUMIFS(LstMachines[Nbre],LstMachines[Model-Spec],PrévisionBoris[[#This Row],[Spec]],LstMachines[Status],PrévisionBoris[[#This Row],[Status]],LstMachines[MoisLivr],J$1)</f>
        <v>0</v>
      </c>
      <c r="K207" s="219">
        <f>SUMIFS(LstMachines[Nbre],LstMachines[Model-Spec],PrévisionBoris[[#This Row],[Spec]],LstMachines[Status],PrévisionBoris[[#This Row],[Status]],LstMachines[MoisLivr],K$1)</f>
        <v>0</v>
      </c>
      <c r="L207" s="220">
        <f>SUMIFS(LstMachines[Nbre],LstMachines[Model-Spec],PrévisionBoris[[#This Row],[Spec]],LstMachines[Status],PrévisionBoris[[#This Row],[Status]],LstMachines[MoisLivr],L$1)</f>
        <v>0</v>
      </c>
      <c r="M207" s="221">
        <f>SUMIFS(LstMachines[Nbre],LstMachines[Model-Spec],PrévisionBoris[[#This Row],[Spec]],LstMachines[Status],PrévisionBoris[[#This Row],[Status]],LstMachines[MoisLivr],M$1)</f>
        <v>0</v>
      </c>
      <c r="N207" s="219">
        <f>SUMIFS(LstMachines[Nbre],LstMachines[Model-Spec],PrévisionBoris[[#This Row],[Spec]],LstMachines[Status],PrévisionBoris[[#This Row],[Status]],LstMachines[MoisLivr],N$1)</f>
        <v>0</v>
      </c>
      <c r="O207" s="220">
        <f>SUMIFS(LstMachines[Nbre],LstMachines[Model-Spec],PrévisionBoris[[#This Row],[Spec]],LstMachines[Status],PrévisionBoris[[#This Row],[Status]],LstMachines[MoisLivr],O$1)</f>
        <v>0</v>
      </c>
      <c r="P207" s="221">
        <f>SUMIFS(LstMachines[Nbre],LstMachines[Model-Spec],PrévisionBoris[[#This Row],[Spec]],LstMachines[Status],PrévisionBoris[[#This Row],[Status]],LstMachines[MoisLivr],P$1)</f>
        <v>0</v>
      </c>
      <c r="Q207" s="222">
        <f>SUMIFS(LstMachines[Nbre],LstMachines[Model-Spec],PrévisionBoris[[#This Row],[Spec]],LstMachines[Status],PrévisionBoris[[#This Row],[Status]],LstMachines[MoisLivr],Q$1)</f>
        <v>0</v>
      </c>
      <c r="R207" s="220">
        <f>SUMIFS(LstMachines[Nbre],LstMachines[Model-Spec],PrévisionBoris[[#This Row],[Spec]],LstMachines[Status],PrévisionBoris[[#This Row],[Status]],LstMachines[MoisLivr],R$1)</f>
        <v>0</v>
      </c>
      <c r="S207" s="220">
        <f>SUMIFS(LstMachines[Nbre],LstMachines[Model-Spec],PrévisionBoris[[#This Row],[Spec]],LstMachines[Status],PrévisionBoris[[#This Row],[Status]],LstMachines[MoisLivr],S$1)</f>
        <v>0</v>
      </c>
      <c r="T207" s="219">
        <f>SUMIFS(LstMachines[Nbre],LstMachines[Model-Spec],PrévisionBoris[[#This Row],[Spec]],LstMachines[Status],PrévisionBoris[[#This Row],[Status]],LstMachines[MoisLivr],T$1)</f>
        <v>0</v>
      </c>
      <c r="U207" s="220">
        <f>SUMIFS(LstMachines[Nbre],LstMachines[Model-Spec],PrévisionBoris[[#This Row],[Spec]],LstMachines[Status],PrévisionBoris[[#This Row],[Status]],LstMachines[MoisLivr],U$1)</f>
        <v>0</v>
      </c>
      <c r="V207" s="220">
        <f>SUMIFS(LstMachines[Nbre],LstMachines[Model-Spec],PrévisionBoris[[#This Row],[Spec]],LstMachines[Status],PrévisionBoris[[#This Row],[Status]],LstMachines[MoisLivr],V$1)</f>
        <v>0</v>
      </c>
      <c r="W207" s="219">
        <f>SUMIFS(LstMachines[Nbre],LstMachines[Model-Spec],PrévisionBoris[[#This Row],[Spec]],LstMachines[Status],PrévisionBoris[[#This Row],[Status]],LstMachines[MoisLivr],W$1)</f>
        <v>0</v>
      </c>
      <c r="X207" s="220">
        <f>SUMIFS(LstMachines[Nbre],LstMachines[Model-Spec],PrévisionBoris[[#This Row],[Spec]],LstMachines[Status],PrévisionBoris[[#This Row],[Status]],LstMachines[MoisLivr],X$1)</f>
        <v>0</v>
      </c>
      <c r="Y207" s="220">
        <f>SUMIFS(LstMachines[Nbre],LstMachines[Model-Spec],PrévisionBoris[[#This Row],[Spec]],LstMachines[Status],PrévisionBoris[[#This Row],[Status]],LstMachines[MoisLivr],Y$1)</f>
        <v>0</v>
      </c>
      <c r="Z207" s="219">
        <f>SUMIFS(LstMachines[Nbre],LstMachines[Model-Spec],PrévisionBoris[[#This Row],[Spec]],LstMachines[Status],PrévisionBoris[[#This Row],[Status]],LstMachines[MoisLivr],Z$1)</f>
        <v>0</v>
      </c>
      <c r="AA207" s="220">
        <f>SUMIFS(LstMachines[Nbre],LstMachines[Model-Spec],PrévisionBoris[[#This Row],[Spec]],LstMachines[Status],PrévisionBoris[[#This Row],[Status]],LstMachines[MoisLivr],AA$1)</f>
        <v>0</v>
      </c>
      <c r="AB207" s="220">
        <f>SUMIFS(LstMachines[Nbre],LstMachines[Model-Spec],PrévisionBoris[[#This Row],[Spec]],LstMachines[Status],PrévisionBoris[[#This Row],[Status]],LstMachines[MoisLivr],AB$1)</f>
        <v>0</v>
      </c>
      <c r="AC207" s="219">
        <f>SUMIFS(LstMachines[Nbre],LstMachines[Model-Spec],PrévisionBoris[[#This Row],[Spec]],LstMachines[Status],PrévisionBoris[[#This Row],[Status]],LstMachines[MoisLivr],AC$1)</f>
        <v>0</v>
      </c>
      <c r="AD207" s="220">
        <f>SUMIFS(LstMachines[Nbre],LstMachines[Model-Spec],PrévisionBoris[[#This Row],[Spec]],LstMachines[Status],PrévisionBoris[[#This Row],[Status]],LstMachines[MoisLivr],AD$1)</f>
        <v>0</v>
      </c>
      <c r="AE207" s="220">
        <f>SUMIFS(LstMachines[Nbre],LstMachines[Model-Spec],PrévisionBoris[[#This Row],[Spec]],LstMachines[Status],PrévisionBoris[[#This Row],[Status]],LstMachines[MoisLivr],AE$1)</f>
        <v>0</v>
      </c>
      <c r="AF207" s="219">
        <f>SUMIFS(LstMachines[Nbre],LstMachines[Model-Spec],PrévisionBoris[[#This Row],[Spec]],LstMachines[Status],PrévisionBoris[[#This Row],[Status]],LstMachines[MoisLivr],AF$1)</f>
        <v>0</v>
      </c>
      <c r="AG207" s="220">
        <f>SUMIFS(LstMachines[Nbre],LstMachines[Model-Spec],PrévisionBoris[[#This Row],[Spec]],LstMachines[Status],PrévisionBoris[[#This Row],[Status]],LstMachines[MoisLivr],AG$1)</f>
        <v>0</v>
      </c>
      <c r="AH207" s="220">
        <f>SUMIFS(LstMachines[Nbre],LstMachines[Model-Spec],PrévisionBoris[[#This Row],[Spec]],LstMachines[Status],PrévisionBoris[[#This Row],[Status]],LstMachines[MoisLivr],AH$1)</f>
        <v>0</v>
      </c>
      <c r="AI207" s="219">
        <f>SUMIFS(LstMachines[Nbre],LstMachines[Model-Spec],PrévisionBoris[[#This Row],[Spec]],LstMachines[Status],PrévisionBoris[[#This Row],[Status]],LstMachines[MoisLivr],AI$1)</f>
        <v>0</v>
      </c>
      <c r="AJ207" s="220">
        <f>SUMIFS(LstMachines[Nbre],LstMachines[Model-Spec],PrévisionBoris[[#This Row],[Spec]],LstMachines[Status],PrévisionBoris[[#This Row],[Status]],LstMachines[MoisLivr],AJ$1)</f>
        <v>0</v>
      </c>
      <c r="AK207" s="220">
        <f>SUMIFS(LstMachines[Nbre],LstMachines[Model-Spec],PrévisionBoris[[#This Row],[Spec]],LstMachines[Status],PrévisionBoris[[#This Row],[Status]],LstMachines[MoisLivr],AK$1)</f>
        <v>0</v>
      </c>
      <c r="AL207" s="219">
        <f>SUMIFS(LstMachines[Nbre],LstMachines[Model-Spec],PrévisionBoris[[#This Row],[Spec]],LstMachines[Status],PrévisionBoris[[#This Row],[Status]],LstMachines[MoisLivr],AL$1)</f>
        <v>0</v>
      </c>
      <c r="AM207" s="220">
        <f>SUMIFS(LstMachines[Nbre],LstMachines[Model-Spec],PrévisionBoris[[#This Row],[Spec]],LstMachines[Status],PrévisionBoris[[#This Row],[Status]],LstMachines[MoisLivr],AM$1)</f>
        <v>0</v>
      </c>
      <c r="AN207" s="220">
        <f>SUMIFS(LstMachines[Nbre],LstMachines[Model-Spec],PrévisionBoris[[#This Row],[Spec]],LstMachines[Status],PrévisionBoris[[#This Row],[Status]],LstMachines[MoisLivr],AN$1)</f>
        <v>0</v>
      </c>
      <c r="AO207" s="219">
        <f>SUMIFS(LstMachines[Nbre],LstMachines[Model-Spec],PrévisionBoris[[#This Row],[Spec]],LstMachines[Status],PrévisionBoris[[#This Row],[Status]],LstMachines[MoisLivr],AO$1)</f>
        <v>0</v>
      </c>
      <c r="AP207" s="220">
        <f>SUMIFS(LstMachines[Nbre],LstMachines[Model-Spec],PrévisionBoris[[#This Row],[Spec]],LstMachines[Status],PrévisionBoris[[#This Row],[Status]],LstMachines[MoisLivr],AP$1)</f>
        <v>0</v>
      </c>
      <c r="AQ207" s="220">
        <f>SUMIFS(LstMachines[Nbre],LstMachines[Model-Spec],PrévisionBoris[[#This Row],[Spec]],LstMachines[Status],PrévisionBoris[[#This Row],[Status]],LstMachines[MoisLivr],AQ$1)</f>
        <v>0</v>
      </c>
      <c r="AR207" s="219">
        <f>SUMIFS(LstMachines[Nbre],LstMachines[Model-Spec],PrévisionBoris[[#This Row],[Spec]],LstMachines[Status],PrévisionBoris[[#This Row],[Status]],LstMachines[MoisLivr],AR$1)</f>
        <v>0</v>
      </c>
      <c r="AS207" s="220">
        <f>SUMIFS(LstMachines[Nbre],LstMachines[Model-Spec],PrévisionBoris[[#This Row],[Spec]],LstMachines[Status],PrévisionBoris[[#This Row],[Status]],LstMachines[MoisLivr],AS$1)</f>
        <v>0</v>
      </c>
      <c r="AT207" s="220">
        <f>SUMIFS(LstMachines[Nbre],LstMachines[Model-Spec],PrévisionBoris[[#This Row],[Spec]],LstMachines[Status],PrévisionBoris[[#This Row],[Status]],LstMachines[MoisLivr],AT$1)</f>
        <v>0</v>
      </c>
      <c r="AU207" s="219">
        <f>SUMIFS(LstMachines[Nbre],LstMachines[Model-Spec],PrévisionBoris[[#This Row],[Spec]],LstMachines[Status],PrévisionBoris[[#This Row],[Status]],LstMachines[MoisLivr],AU$1)</f>
        <v>0</v>
      </c>
      <c r="AV207" s="223">
        <f>SUMIFS(LstMachines[Nbre],LstMachines[Model-Spec],PrévisionBoris[[#This Row],[Spec]],LstMachines[Status],PrévisionBoris[[#This Row],[Status]],LstMachines[MoisLivr],AV$1)</f>
        <v>0</v>
      </c>
      <c r="AW207" s="224">
        <f>SUMIFS(LstMachines[Nbre],LstMachines[Model-Spec],PrévisionBoris[[#This Row],[Spec]],LstMachines[Status],PrévisionBoris[[#This Row],[Status]],LstMachines[MoisLivr],AW$1)</f>
        <v>0</v>
      </c>
      <c r="AX207" s="210"/>
      <c r="AY207" s="211">
        <f t="shared" si="51"/>
        <v>0</v>
      </c>
      <c r="AZ207" s="212">
        <f t="shared" si="52"/>
        <v>0</v>
      </c>
      <c r="BA207" s="212">
        <f t="shared" si="53"/>
        <v>0</v>
      </c>
      <c r="BB207" s="213">
        <f t="shared" si="54"/>
        <v>0</v>
      </c>
      <c r="BC207" s="225">
        <f t="shared" si="55"/>
        <v>0</v>
      </c>
      <c r="BD207" s="211">
        <f t="shared" si="56"/>
        <v>0</v>
      </c>
      <c r="BE207" s="212">
        <f t="shared" si="57"/>
        <v>0</v>
      </c>
      <c r="BF207" s="212">
        <f t="shared" si="58"/>
        <v>0</v>
      </c>
      <c r="BG207" s="213">
        <f t="shared" si="59"/>
        <v>0</v>
      </c>
      <c r="BH207" s="225">
        <f t="shared" si="60"/>
        <v>0</v>
      </c>
      <c r="BI207" s="214">
        <f t="shared" si="61"/>
        <v>0</v>
      </c>
      <c r="BJ207" s="215">
        <f t="shared" si="62"/>
        <v>0</v>
      </c>
      <c r="BK207" s="215">
        <f t="shared" si="63"/>
        <v>0</v>
      </c>
      <c r="BL207" s="216">
        <f t="shared" si="64"/>
        <v>0</v>
      </c>
      <c r="BM207" s="225">
        <f t="shared" si="65"/>
        <v>0</v>
      </c>
      <c r="BN207" s="225"/>
      <c r="BO207" s="217"/>
      <c r="BP207" s="218">
        <f t="shared" si="66"/>
        <v>0</v>
      </c>
    </row>
    <row r="208" spans="1:68">
      <c r="A208" s="171">
        <v>201</v>
      </c>
      <c r="B208" s="171" t="s">
        <v>75</v>
      </c>
      <c r="C208" s="201">
        <v>65</v>
      </c>
      <c r="D208" s="171" t="s">
        <v>84</v>
      </c>
      <c r="E208" s="171" t="s">
        <v>436</v>
      </c>
      <c r="F208" s="201">
        <f>VLOOKUP(PrévisionBoris[[#This Row],[Spec]],TabModelSpecs[[ModelSpec]:[Price]],2,FALSE)</f>
        <v>45</v>
      </c>
      <c r="G208" s="171" t="s">
        <v>463</v>
      </c>
      <c r="H208" s="226">
        <f>SUMIFS(LstMachines[Nbre],LstMachines[Model-Spec],PrévisionBoris[[#This Row],[Spec]],LstMachines[Status],PrévisionBoris[[#This Row],[Status]],LstMachines[MoisLivr],H$1)</f>
        <v>0</v>
      </c>
      <c r="I208" s="227">
        <f>SUMIFS(LstMachines[Nbre],LstMachines[Model-Spec],PrévisionBoris[[#This Row],[Spec]],LstMachines[Status],PrévisionBoris[[#This Row],[Status]],LstMachines[MoisLivr],I$1)</f>
        <v>0</v>
      </c>
      <c r="J208" s="228">
        <f>SUMIFS(LstMachines[Nbre],LstMachines[Model-Spec],PrévisionBoris[[#This Row],[Spec]],LstMachines[Status],PrévisionBoris[[#This Row],[Status]],LstMachines[MoisLivr],J$1)</f>
        <v>0</v>
      </c>
      <c r="K208" s="226">
        <f>SUMIFS(LstMachines[Nbre],LstMachines[Model-Spec],PrévisionBoris[[#This Row],[Spec]],LstMachines[Status],PrévisionBoris[[#This Row],[Status]],LstMachines[MoisLivr],K$1)</f>
        <v>0</v>
      </c>
      <c r="L208" s="227">
        <f>SUMIFS(LstMachines[Nbre],LstMachines[Model-Spec],PrévisionBoris[[#This Row],[Spec]],LstMachines[Status],PrévisionBoris[[#This Row],[Status]],LstMachines[MoisLivr],L$1)</f>
        <v>0</v>
      </c>
      <c r="M208" s="228">
        <f>SUMIFS(LstMachines[Nbre],LstMachines[Model-Spec],PrévisionBoris[[#This Row],[Spec]],LstMachines[Status],PrévisionBoris[[#This Row],[Status]],LstMachines[MoisLivr],M$1)</f>
        <v>0</v>
      </c>
      <c r="N208" s="226">
        <f>SUMIFS(LstMachines[Nbre],LstMachines[Model-Spec],PrévisionBoris[[#This Row],[Spec]],LstMachines[Status],PrévisionBoris[[#This Row],[Status]],LstMachines[MoisLivr],N$1)</f>
        <v>0</v>
      </c>
      <c r="O208" s="227">
        <f>SUMIFS(LstMachines[Nbre],LstMachines[Model-Spec],PrévisionBoris[[#This Row],[Spec]],LstMachines[Status],PrévisionBoris[[#This Row],[Status]],LstMachines[MoisLivr],O$1)</f>
        <v>0</v>
      </c>
      <c r="P208" s="228">
        <f>SUMIFS(LstMachines[Nbre],LstMachines[Model-Spec],PrévisionBoris[[#This Row],[Spec]],LstMachines[Status],PrévisionBoris[[#This Row],[Status]],LstMachines[MoisLivr],P$1)</f>
        <v>0</v>
      </c>
      <c r="Q208" s="229">
        <f>SUMIFS(LstMachines[Nbre],LstMachines[Model-Spec],PrévisionBoris[[#This Row],[Spec]],LstMachines[Status],PrévisionBoris[[#This Row],[Status]],LstMachines[MoisLivr],Q$1)</f>
        <v>0</v>
      </c>
      <c r="R208" s="227">
        <f>SUMIFS(LstMachines[Nbre],LstMachines[Model-Spec],PrévisionBoris[[#This Row],[Spec]],LstMachines[Status],PrévisionBoris[[#This Row],[Status]],LstMachines[MoisLivr],R$1)</f>
        <v>0</v>
      </c>
      <c r="S208" s="227">
        <f>SUMIFS(LstMachines[Nbre],LstMachines[Model-Spec],PrévisionBoris[[#This Row],[Spec]],LstMachines[Status],PrévisionBoris[[#This Row],[Status]],LstMachines[MoisLivr],S$1)</f>
        <v>0</v>
      </c>
      <c r="T208" s="226">
        <f>SUMIFS(LstMachines[Nbre],LstMachines[Model-Spec],PrévisionBoris[[#This Row],[Spec]],LstMachines[Status],PrévisionBoris[[#This Row],[Status]],LstMachines[MoisLivr],T$1)</f>
        <v>0</v>
      </c>
      <c r="U208" s="227">
        <f>SUMIFS(LstMachines[Nbre],LstMachines[Model-Spec],PrévisionBoris[[#This Row],[Spec]],LstMachines[Status],PrévisionBoris[[#This Row],[Status]],LstMachines[MoisLivr],U$1)</f>
        <v>0</v>
      </c>
      <c r="V208" s="227">
        <f>SUMIFS(LstMachines[Nbre],LstMachines[Model-Spec],PrévisionBoris[[#This Row],[Spec]],LstMachines[Status],PrévisionBoris[[#This Row],[Status]],LstMachines[MoisLivr],V$1)</f>
        <v>0</v>
      </c>
      <c r="W208" s="226">
        <f>SUMIFS(LstMachines[Nbre],LstMachines[Model-Spec],PrévisionBoris[[#This Row],[Spec]],LstMachines[Status],PrévisionBoris[[#This Row],[Status]],LstMachines[MoisLivr],W$1)</f>
        <v>0</v>
      </c>
      <c r="X208" s="227">
        <f>SUMIFS(LstMachines[Nbre],LstMachines[Model-Spec],PrévisionBoris[[#This Row],[Spec]],LstMachines[Status],PrévisionBoris[[#This Row],[Status]],LstMachines[MoisLivr],X$1)</f>
        <v>0</v>
      </c>
      <c r="Y208" s="227">
        <f>SUMIFS(LstMachines[Nbre],LstMachines[Model-Spec],PrévisionBoris[[#This Row],[Spec]],LstMachines[Status],PrévisionBoris[[#This Row],[Status]],LstMachines[MoisLivr],Y$1)</f>
        <v>0</v>
      </c>
      <c r="Z208" s="226">
        <f>SUMIFS(LstMachines[Nbre],LstMachines[Model-Spec],PrévisionBoris[[#This Row],[Spec]],LstMachines[Status],PrévisionBoris[[#This Row],[Status]],LstMachines[MoisLivr],Z$1)</f>
        <v>0</v>
      </c>
      <c r="AA208" s="227">
        <f>SUMIFS(LstMachines[Nbre],LstMachines[Model-Spec],PrévisionBoris[[#This Row],[Spec]],LstMachines[Status],PrévisionBoris[[#This Row],[Status]],LstMachines[MoisLivr],AA$1)</f>
        <v>0</v>
      </c>
      <c r="AB208" s="227">
        <f>SUMIFS(LstMachines[Nbre],LstMachines[Model-Spec],PrévisionBoris[[#This Row],[Spec]],LstMachines[Status],PrévisionBoris[[#This Row],[Status]],LstMachines[MoisLivr],AB$1)</f>
        <v>0</v>
      </c>
      <c r="AC208" s="226">
        <f>SUMIFS(LstMachines[Nbre],LstMachines[Model-Spec],PrévisionBoris[[#This Row],[Spec]],LstMachines[Status],PrévisionBoris[[#This Row],[Status]],LstMachines[MoisLivr],AC$1)</f>
        <v>0</v>
      </c>
      <c r="AD208" s="227">
        <f>SUMIFS(LstMachines[Nbre],LstMachines[Model-Spec],PrévisionBoris[[#This Row],[Spec]],LstMachines[Status],PrévisionBoris[[#This Row],[Status]],LstMachines[MoisLivr],AD$1)</f>
        <v>0</v>
      </c>
      <c r="AE208" s="227">
        <f>SUMIFS(LstMachines[Nbre],LstMachines[Model-Spec],PrévisionBoris[[#This Row],[Spec]],LstMachines[Status],PrévisionBoris[[#This Row],[Status]],LstMachines[MoisLivr],AE$1)</f>
        <v>0</v>
      </c>
      <c r="AF208" s="226">
        <f>SUMIFS(LstMachines[Nbre],LstMachines[Model-Spec],PrévisionBoris[[#This Row],[Spec]],LstMachines[Status],PrévisionBoris[[#This Row],[Status]],LstMachines[MoisLivr],AF$1)</f>
        <v>0</v>
      </c>
      <c r="AG208" s="227">
        <f>SUMIFS(LstMachines[Nbre],LstMachines[Model-Spec],PrévisionBoris[[#This Row],[Spec]],LstMachines[Status],PrévisionBoris[[#This Row],[Status]],LstMachines[MoisLivr],AG$1)</f>
        <v>0</v>
      </c>
      <c r="AH208" s="227">
        <f>SUMIFS(LstMachines[Nbre],LstMachines[Model-Spec],PrévisionBoris[[#This Row],[Spec]],LstMachines[Status],PrévisionBoris[[#This Row],[Status]],LstMachines[MoisLivr],AH$1)</f>
        <v>0</v>
      </c>
      <c r="AI208" s="226">
        <f>SUMIFS(LstMachines[Nbre],LstMachines[Model-Spec],PrévisionBoris[[#This Row],[Spec]],LstMachines[Status],PrévisionBoris[[#This Row],[Status]],LstMachines[MoisLivr],AI$1)</f>
        <v>0</v>
      </c>
      <c r="AJ208" s="227">
        <f>SUMIFS(LstMachines[Nbre],LstMachines[Model-Spec],PrévisionBoris[[#This Row],[Spec]],LstMachines[Status],PrévisionBoris[[#This Row],[Status]],LstMachines[MoisLivr],AJ$1)</f>
        <v>0</v>
      </c>
      <c r="AK208" s="227">
        <f>SUMIFS(LstMachines[Nbre],LstMachines[Model-Spec],PrévisionBoris[[#This Row],[Spec]],LstMachines[Status],PrévisionBoris[[#This Row],[Status]],LstMachines[MoisLivr],AK$1)</f>
        <v>0</v>
      </c>
      <c r="AL208" s="226">
        <f>SUMIFS(LstMachines[Nbre],LstMachines[Model-Spec],PrévisionBoris[[#This Row],[Spec]],LstMachines[Status],PrévisionBoris[[#This Row],[Status]],LstMachines[MoisLivr],AL$1)</f>
        <v>0</v>
      </c>
      <c r="AM208" s="227">
        <f>SUMIFS(LstMachines[Nbre],LstMachines[Model-Spec],PrévisionBoris[[#This Row],[Spec]],LstMachines[Status],PrévisionBoris[[#This Row],[Status]],LstMachines[MoisLivr],AM$1)</f>
        <v>0</v>
      </c>
      <c r="AN208" s="227">
        <f>SUMIFS(LstMachines[Nbre],LstMachines[Model-Spec],PrévisionBoris[[#This Row],[Spec]],LstMachines[Status],PrévisionBoris[[#This Row],[Status]],LstMachines[MoisLivr],AN$1)</f>
        <v>0</v>
      </c>
      <c r="AO208" s="226">
        <f>SUMIFS(LstMachines[Nbre],LstMachines[Model-Spec],PrévisionBoris[[#This Row],[Spec]],LstMachines[Status],PrévisionBoris[[#This Row],[Status]],LstMachines[MoisLivr],AO$1)</f>
        <v>0</v>
      </c>
      <c r="AP208" s="227">
        <f>SUMIFS(LstMachines[Nbre],LstMachines[Model-Spec],PrévisionBoris[[#This Row],[Spec]],LstMachines[Status],PrévisionBoris[[#This Row],[Status]],LstMachines[MoisLivr],AP$1)</f>
        <v>0</v>
      </c>
      <c r="AQ208" s="227">
        <f>SUMIFS(LstMachines[Nbre],LstMachines[Model-Spec],PrévisionBoris[[#This Row],[Spec]],LstMachines[Status],PrévisionBoris[[#This Row],[Status]],LstMachines[MoisLivr],AQ$1)</f>
        <v>0</v>
      </c>
      <c r="AR208" s="226">
        <f>SUMIFS(LstMachines[Nbre],LstMachines[Model-Spec],PrévisionBoris[[#This Row],[Spec]],LstMachines[Status],PrévisionBoris[[#This Row],[Status]],LstMachines[MoisLivr],AR$1)</f>
        <v>0</v>
      </c>
      <c r="AS208" s="227">
        <f>SUMIFS(LstMachines[Nbre],LstMachines[Model-Spec],PrévisionBoris[[#This Row],[Spec]],LstMachines[Status],PrévisionBoris[[#This Row],[Status]],LstMachines[MoisLivr],AS$1)</f>
        <v>0</v>
      </c>
      <c r="AT208" s="227">
        <f>SUMIFS(LstMachines[Nbre],LstMachines[Model-Spec],PrévisionBoris[[#This Row],[Spec]],LstMachines[Status],PrévisionBoris[[#This Row],[Status]],LstMachines[MoisLivr],AT$1)</f>
        <v>0</v>
      </c>
      <c r="AU208" s="226">
        <f>SUMIFS(LstMachines[Nbre],LstMachines[Model-Spec],PrévisionBoris[[#This Row],[Spec]],LstMachines[Status],PrévisionBoris[[#This Row],[Status]],LstMachines[MoisLivr],AU$1)</f>
        <v>0</v>
      </c>
      <c r="AV208" s="230">
        <f>SUMIFS(LstMachines[Nbre],LstMachines[Model-Spec],PrévisionBoris[[#This Row],[Spec]],LstMachines[Status],PrévisionBoris[[#This Row],[Status]],LstMachines[MoisLivr],AV$1)</f>
        <v>0</v>
      </c>
      <c r="AW208" s="231">
        <f>SUMIFS(LstMachines[Nbre],LstMachines[Model-Spec],PrévisionBoris[[#This Row],[Spec]],LstMachines[Status],PrévisionBoris[[#This Row],[Status]],LstMachines[MoisLivr],AW$1)</f>
        <v>0</v>
      </c>
      <c r="AX208" s="232"/>
      <c r="AY208" s="211">
        <f t="shared" si="51"/>
        <v>0</v>
      </c>
      <c r="AZ208" s="212">
        <f t="shared" si="52"/>
        <v>0</v>
      </c>
      <c r="BA208" s="212">
        <f t="shared" si="53"/>
        <v>0</v>
      </c>
      <c r="BB208" s="213">
        <f t="shared" si="54"/>
        <v>0</v>
      </c>
      <c r="BC208" s="225">
        <f t="shared" si="55"/>
        <v>0</v>
      </c>
      <c r="BD208" s="211">
        <f t="shared" si="56"/>
        <v>0</v>
      </c>
      <c r="BE208" s="212">
        <f t="shared" si="57"/>
        <v>0</v>
      </c>
      <c r="BF208" s="212">
        <f t="shared" si="58"/>
        <v>0</v>
      </c>
      <c r="BG208" s="213">
        <f t="shared" si="59"/>
        <v>0</v>
      </c>
      <c r="BH208" s="225">
        <f t="shared" si="60"/>
        <v>0</v>
      </c>
      <c r="BI208" s="214">
        <f t="shared" si="61"/>
        <v>0</v>
      </c>
      <c r="BJ208" s="215">
        <f t="shared" si="62"/>
        <v>0</v>
      </c>
      <c r="BK208" s="215">
        <f t="shared" si="63"/>
        <v>0</v>
      </c>
      <c r="BL208" s="216">
        <f t="shared" si="64"/>
        <v>0</v>
      </c>
      <c r="BM208" s="225">
        <f t="shared" si="65"/>
        <v>0</v>
      </c>
      <c r="BN208" s="225"/>
      <c r="BO208" s="217"/>
      <c r="BP208" s="218">
        <f t="shared" si="66"/>
        <v>0</v>
      </c>
    </row>
    <row r="209" spans="1:68">
      <c r="A209" s="172">
        <v>202</v>
      </c>
      <c r="B209" s="172" t="s">
        <v>75</v>
      </c>
      <c r="C209" s="202">
        <v>65</v>
      </c>
      <c r="D209" s="172" t="s">
        <v>84</v>
      </c>
      <c r="E209" s="172" t="s">
        <v>437</v>
      </c>
      <c r="F209" s="202">
        <f>VLOOKUP(PrévisionBoris[[#This Row],[Spec]],TabModelSpecs[[ModelSpec]:[Price]],2,FALSE)</f>
        <v>45</v>
      </c>
      <c r="G209" s="172" t="s">
        <v>461</v>
      </c>
      <c r="H209" s="206">
        <f>SUMIFS(LstMachines[Nbre],LstMachines[Model-Spec],PrévisionBoris[[#This Row],[Spec]],LstMachines[Status],PrévisionBoris[[#This Row],[Status]],LstMachines[MoisLivr],H$1)</f>
        <v>0</v>
      </c>
      <c r="I209" s="207">
        <f>SUMIFS(LstMachines[Nbre],LstMachines[Model-Spec],PrévisionBoris[[#This Row],[Spec]],LstMachines[Status],PrévisionBoris[[#This Row],[Status]],LstMachines[MoisLivr],I$1)</f>
        <v>0</v>
      </c>
      <c r="J209" s="208">
        <f>SUMIFS(LstMachines[Nbre],LstMachines[Model-Spec],PrévisionBoris[[#This Row],[Spec]],LstMachines[Status],PrévisionBoris[[#This Row],[Status]],LstMachines[MoisLivr],J$1)</f>
        <v>0</v>
      </c>
      <c r="K209" s="206">
        <f>SUMIFS(LstMachines[Nbre],LstMachines[Model-Spec],PrévisionBoris[[#This Row],[Spec]],LstMachines[Status],PrévisionBoris[[#This Row],[Status]],LstMachines[MoisLivr],K$1)</f>
        <v>0</v>
      </c>
      <c r="L209" s="207">
        <f>SUMIFS(LstMachines[Nbre],LstMachines[Model-Spec],PrévisionBoris[[#This Row],[Spec]],LstMachines[Status],PrévisionBoris[[#This Row],[Status]],LstMachines[MoisLivr],L$1)</f>
        <v>0</v>
      </c>
      <c r="M209" s="208">
        <f>SUMIFS(LstMachines[Nbre],LstMachines[Model-Spec],PrévisionBoris[[#This Row],[Spec]],LstMachines[Status],PrévisionBoris[[#This Row],[Status]],LstMachines[MoisLivr],M$1)</f>
        <v>0</v>
      </c>
      <c r="N209" s="206">
        <f>SUMIFS(LstMachines[Nbre],LstMachines[Model-Spec],PrévisionBoris[[#This Row],[Spec]],LstMachines[Status],PrévisionBoris[[#This Row],[Status]],LstMachines[MoisLivr],N$1)</f>
        <v>0</v>
      </c>
      <c r="O209" s="207">
        <f>SUMIFS(LstMachines[Nbre],LstMachines[Model-Spec],PrévisionBoris[[#This Row],[Spec]],LstMachines[Status],PrévisionBoris[[#This Row],[Status]],LstMachines[MoisLivr],O$1)</f>
        <v>0</v>
      </c>
      <c r="P209" s="208">
        <f>SUMIFS(LstMachines[Nbre],LstMachines[Model-Spec],PrévisionBoris[[#This Row],[Spec]],LstMachines[Status],PrévisionBoris[[#This Row],[Status]],LstMachines[MoisLivr],P$1)</f>
        <v>0</v>
      </c>
      <c r="Q209" s="209">
        <f>SUMIFS(LstMachines[Nbre],LstMachines[Model-Spec],PrévisionBoris[[#This Row],[Spec]],LstMachines[Status],PrévisionBoris[[#This Row],[Status]],LstMachines[MoisLivr],Q$1)</f>
        <v>0</v>
      </c>
      <c r="R209" s="207">
        <f>SUMIFS(LstMachines[Nbre],LstMachines[Model-Spec],PrévisionBoris[[#This Row],[Spec]],LstMachines[Status],PrévisionBoris[[#This Row],[Status]],LstMachines[MoisLivr],R$1)</f>
        <v>0</v>
      </c>
      <c r="S209" s="207">
        <f>SUMIFS(LstMachines[Nbre],LstMachines[Model-Spec],PrévisionBoris[[#This Row],[Spec]],LstMachines[Status],PrévisionBoris[[#This Row],[Status]],LstMachines[MoisLivr],S$1)</f>
        <v>0</v>
      </c>
      <c r="T209" s="206">
        <f>SUMIFS(LstMachines[Nbre],LstMachines[Model-Spec],PrévisionBoris[[#This Row],[Spec]],LstMachines[Status],PrévisionBoris[[#This Row],[Status]],LstMachines[MoisLivr],T$1)</f>
        <v>0</v>
      </c>
      <c r="U209" s="207">
        <f>SUMIFS(LstMachines[Nbre],LstMachines[Model-Spec],PrévisionBoris[[#This Row],[Spec]],LstMachines[Status],PrévisionBoris[[#This Row],[Status]],LstMachines[MoisLivr],U$1)</f>
        <v>0</v>
      </c>
      <c r="V209" s="207">
        <f>SUMIFS(LstMachines[Nbre],LstMachines[Model-Spec],PrévisionBoris[[#This Row],[Spec]],LstMachines[Status],PrévisionBoris[[#This Row],[Status]],LstMachines[MoisLivr],V$1)</f>
        <v>0</v>
      </c>
      <c r="W209" s="206">
        <f>SUMIFS(LstMachines[Nbre],LstMachines[Model-Spec],PrévisionBoris[[#This Row],[Spec]],LstMachines[Status],PrévisionBoris[[#This Row],[Status]],LstMachines[MoisLivr],W$1)</f>
        <v>0</v>
      </c>
      <c r="X209" s="207">
        <f>SUMIFS(LstMachines[Nbre],LstMachines[Model-Spec],PrévisionBoris[[#This Row],[Spec]],LstMachines[Status],PrévisionBoris[[#This Row],[Status]],LstMachines[MoisLivr],X$1)</f>
        <v>0</v>
      </c>
      <c r="Y209" s="207">
        <f>SUMIFS(LstMachines[Nbre],LstMachines[Model-Spec],PrévisionBoris[[#This Row],[Spec]],LstMachines[Status],PrévisionBoris[[#This Row],[Status]],LstMachines[MoisLivr],Y$1)</f>
        <v>0</v>
      </c>
      <c r="Z209" s="206">
        <f>SUMIFS(LstMachines[Nbre],LstMachines[Model-Spec],PrévisionBoris[[#This Row],[Spec]],LstMachines[Status],PrévisionBoris[[#This Row],[Status]],LstMachines[MoisLivr],Z$1)</f>
        <v>0</v>
      </c>
      <c r="AA209" s="207">
        <f>SUMIFS(LstMachines[Nbre],LstMachines[Model-Spec],PrévisionBoris[[#This Row],[Spec]],LstMachines[Status],PrévisionBoris[[#This Row],[Status]],LstMachines[MoisLivr],AA$1)</f>
        <v>0</v>
      </c>
      <c r="AB209" s="207">
        <f>SUMIFS(LstMachines[Nbre],LstMachines[Model-Spec],PrévisionBoris[[#This Row],[Spec]],LstMachines[Status],PrévisionBoris[[#This Row],[Status]],LstMachines[MoisLivr],AB$1)</f>
        <v>0</v>
      </c>
      <c r="AC209" s="206">
        <f>SUMIFS(LstMachines[Nbre],LstMachines[Model-Spec],PrévisionBoris[[#This Row],[Spec]],LstMachines[Status],PrévisionBoris[[#This Row],[Status]],LstMachines[MoisLivr],AC$1)</f>
        <v>0</v>
      </c>
      <c r="AD209" s="207">
        <f>SUMIFS(LstMachines[Nbre],LstMachines[Model-Spec],PrévisionBoris[[#This Row],[Spec]],LstMachines[Status],PrévisionBoris[[#This Row],[Status]],LstMachines[MoisLivr],AD$1)</f>
        <v>0</v>
      </c>
      <c r="AE209" s="207">
        <f>SUMIFS(LstMachines[Nbre],LstMachines[Model-Spec],PrévisionBoris[[#This Row],[Spec]],LstMachines[Status],PrévisionBoris[[#This Row],[Status]],LstMachines[MoisLivr],AE$1)</f>
        <v>0</v>
      </c>
      <c r="AF209" s="206">
        <f>SUMIFS(LstMachines[Nbre],LstMachines[Model-Spec],PrévisionBoris[[#This Row],[Spec]],LstMachines[Status],PrévisionBoris[[#This Row],[Status]],LstMachines[MoisLivr],AF$1)</f>
        <v>0</v>
      </c>
      <c r="AG209" s="207">
        <f>SUMIFS(LstMachines[Nbre],LstMachines[Model-Spec],PrévisionBoris[[#This Row],[Spec]],LstMachines[Status],PrévisionBoris[[#This Row],[Status]],LstMachines[MoisLivr],AG$1)</f>
        <v>0</v>
      </c>
      <c r="AH209" s="207">
        <f>SUMIFS(LstMachines[Nbre],LstMachines[Model-Spec],PrévisionBoris[[#This Row],[Spec]],LstMachines[Status],PrévisionBoris[[#This Row],[Status]],LstMachines[MoisLivr],AH$1)</f>
        <v>0</v>
      </c>
      <c r="AI209" s="206">
        <f>SUMIFS(LstMachines[Nbre],LstMachines[Model-Spec],PrévisionBoris[[#This Row],[Spec]],LstMachines[Status],PrévisionBoris[[#This Row],[Status]],LstMachines[MoisLivr],AI$1)</f>
        <v>0</v>
      </c>
      <c r="AJ209" s="207">
        <f>SUMIFS(LstMachines[Nbre],LstMachines[Model-Spec],PrévisionBoris[[#This Row],[Spec]],LstMachines[Status],PrévisionBoris[[#This Row],[Status]],LstMachines[MoisLivr],AJ$1)</f>
        <v>0</v>
      </c>
      <c r="AK209" s="207">
        <f>SUMIFS(LstMachines[Nbre],LstMachines[Model-Spec],PrévisionBoris[[#This Row],[Spec]],LstMachines[Status],PrévisionBoris[[#This Row],[Status]],LstMachines[MoisLivr],AK$1)</f>
        <v>0</v>
      </c>
      <c r="AL209" s="206">
        <f>SUMIFS(LstMachines[Nbre],LstMachines[Model-Spec],PrévisionBoris[[#This Row],[Spec]],LstMachines[Status],PrévisionBoris[[#This Row],[Status]],LstMachines[MoisLivr],AL$1)</f>
        <v>0</v>
      </c>
      <c r="AM209" s="207">
        <f>SUMIFS(LstMachines[Nbre],LstMachines[Model-Spec],PrévisionBoris[[#This Row],[Spec]],LstMachines[Status],PrévisionBoris[[#This Row],[Status]],LstMachines[MoisLivr],AM$1)</f>
        <v>0</v>
      </c>
      <c r="AN209" s="207">
        <f>SUMIFS(LstMachines[Nbre],LstMachines[Model-Spec],PrévisionBoris[[#This Row],[Spec]],LstMachines[Status],PrévisionBoris[[#This Row],[Status]],LstMachines[MoisLivr],AN$1)</f>
        <v>0</v>
      </c>
      <c r="AO209" s="206">
        <f>SUMIFS(LstMachines[Nbre],LstMachines[Model-Spec],PrévisionBoris[[#This Row],[Spec]],LstMachines[Status],PrévisionBoris[[#This Row],[Status]],LstMachines[MoisLivr],AO$1)</f>
        <v>0</v>
      </c>
      <c r="AP209" s="207">
        <f>SUMIFS(LstMachines[Nbre],LstMachines[Model-Spec],PrévisionBoris[[#This Row],[Spec]],LstMachines[Status],PrévisionBoris[[#This Row],[Status]],LstMachines[MoisLivr],AP$1)</f>
        <v>0</v>
      </c>
      <c r="AQ209" s="207">
        <f>SUMIFS(LstMachines[Nbre],LstMachines[Model-Spec],PrévisionBoris[[#This Row],[Spec]],LstMachines[Status],PrévisionBoris[[#This Row],[Status]],LstMachines[MoisLivr],AQ$1)</f>
        <v>0</v>
      </c>
      <c r="AR209" s="206">
        <f>SUMIFS(LstMachines[Nbre],LstMachines[Model-Spec],PrévisionBoris[[#This Row],[Spec]],LstMachines[Status],PrévisionBoris[[#This Row],[Status]],LstMachines[MoisLivr],AR$1)</f>
        <v>0</v>
      </c>
      <c r="AS209" s="207">
        <f>SUMIFS(LstMachines[Nbre],LstMachines[Model-Spec],PrévisionBoris[[#This Row],[Spec]],LstMachines[Status],PrévisionBoris[[#This Row],[Status]],LstMachines[MoisLivr],AS$1)</f>
        <v>0</v>
      </c>
      <c r="AT209" s="207">
        <f>SUMIFS(LstMachines[Nbre],LstMachines[Model-Spec],PrévisionBoris[[#This Row],[Spec]],LstMachines[Status],PrévisionBoris[[#This Row],[Status]],LstMachines[MoisLivr],AT$1)</f>
        <v>0</v>
      </c>
      <c r="AU209" s="206">
        <f>SUMIFS(LstMachines[Nbre],LstMachines[Model-Spec],PrévisionBoris[[#This Row],[Spec]],LstMachines[Status],PrévisionBoris[[#This Row],[Status]],LstMachines[MoisLivr],AU$1)</f>
        <v>0</v>
      </c>
      <c r="AV209" s="233">
        <f>SUMIFS(LstMachines[Nbre],LstMachines[Model-Spec],PrévisionBoris[[#This Row],[Spec]],LstMachines[Status],PrévisionBoris[[#This Row],[Status]],LstMachines[MoisLivr],AV$1)</f>
        <v>0</v>
      </c>
      <c r="AW209" s="208">
        <f>SUMIFS(LstMachines[Nbre],LstMachines[Model-Spec],PrévisionBoris[[#This Row],[Spec]],LstMachines[Status],PrévisionBoris[[#This Row],[Status]],LstMachines[MoisLivr],AW$1)</f>
        <v>0</v>
      </c>
      <c r="AX209" s="225"/>
      <c r="AY209" s="211">
        <f t="shared" si="51"/>
        <v>0</v>
      </c>
      <c r="AZ209" s="212">
        <f t="shared" si="52"/>
        <v>0</v>
      </c>
      <c r="BA209" s="212">
        <f t="shared" si="53"/>
        <v>0</v>
      </c>
      <c r="BB209" s="213">
        <f t="shared" si="54"/>
        <v>0</v>
      </c>
      <c r="BC209" s="225">
        <f t="shared" si="55"/>
        <v>0</v>
      </c>
      <c r="BD209" s="211">
        <f t="shared" si="56"/>
        <v>0</v>
      </c>
      <c r="BE209" s="212">
        <f t="shared" si="57"/>
        <v>0</v>
      </c>
      <c r="BF209" s="212">
        <f t="shared" si="58"/>
        <v>0</v>
      </c>
      <c r="BG209" s="213">
        <f t="shared" si="59"/>
        <v>0</v>
      </c>
      <c r="BH209" s="225">
        <f t="shared" si="60"/>
        <v>0</v>
      </c>
      <c r="BI209" s="214">
        <f t="shared" si="61"/>
        <v>0</v>
      </c>
      <c r="BJ209" s="215">
        <f t="shared" si="62"/>
        <v>0</v>
      </c>
      <c r="BK209" s="215">
        <f t="shared" si="63"/>
        <v>0</v>
      </c>
      <c r="BL209" s="216">
        <f t="shared" si="64"/>
        <v>0</v>
      </c>
      <c r="BM209" s="225">
        <f t="shared" si="65"/>
        <v>0</v>
      </c>
      <c r="BN209" s="225"/>
      <c r="BO209" s="234"/>
      <c r="BP209" s="218">
        <f t="shared" si="66"/>
        <v>0</v>
      </c>
    </row>
    <row r="210" spans="1:68">
      <c r="A210" s="170">
        <v>203</v>
      </c>
      <c r="B210" s="170" t="s">
        <v>75</v>
      </c>
      <c r="C210" s="200">
        <v>65</v>
      </c>
      <c r="D210" s="170" t="s">
        <v>84</v>
      </c>
      <c r="E210" s="170" t="s">
        <v>437</v>
      </c>
      <c r="F210" s="200">
        <f>VLOOKUP(PrévisionBoris[[#This Row],[Spec]],TabModelSpecs[[ModelSpec]:[Price]],2,FALSE)</f>
        <v>45</v>
      </c>
      <c r="G210" s="170" t="s">
        <v>462</v>
      </c>
      <c r="H210" s="219">
        <f>SUMIFS(LstMachines[Nbre],LstMachines[Model-Spec],PrévisionBoris[[#This Row],[Spec]],LstMachines[Status],PrévisionBoris[[#This Row],[Status]],LstMachines[MoisLivr],H$1)</f>
        <v>0</v>
      </c>
      <c r="I210" s="220">
        <f>SUMIFS(LstMachines[Nbre],LstMachines[Model-Spec],PrévisionBoris[[#This Row],[Spec]],LstMachines[Status],PrévisionBoris[[#This Row],[Status]],LstMachines[MoisLivr],I$1)</f>
        <v>0</v>
      </c>
      <c r="J210" s="221">
        <f>SUMIFS(LstMachines[Nbre],LstMachines[Model-Spec],PrévisionBoris[[#This Row],[Spec]],LstMachines[Status],PrévisionBoris[[#This Row],[Status]],LstMachines[MoisLivr],J$1)</f>
        <v>0</v>
      </c>
      <c r="K210" s="219">
        <f>SUMIFS(LstMachines[Nbre],LstMachines[Model-Spec],PrévisionBoris[[#This Row],[Spec]],LstMachines[Status],PrévisionBoris[[#This Row],[Status]],LstMachines[MoisLivr],K$1)</f>
        <v>0</v>
      </c>
      <c r="L210" s="220">
        <f>SUMIFS(LstMachines[Nbre],LstMachines[Model-Spec],PrévisionBoris[[#This Row],[Spec]],LstMachines[Status],PrévisionBoris[[#This Row],[Status]],LstMachines[MoisLivr],L$1)</f>
        <v>0</v>
      </c>
      <c r="M210" s="221">
        <f>SUMIFS(LstMachines[Nbre],LstMachines[Model-Spec],PrévisionBoris[[#This Row],[Spec]],LstMachines[Status],PrévisionBoris[[#This Row],[Status]],LstMachines[MoisLivr],M$1)</f>
        <v>0</v>
      </c>
      <c r="N210" s="219">
        <f>SUMIFS(LstMachines[Nbre],LstMachines[Model-Spec],PrévisionBoris[[#This Row],[Spec]],LstMachines[Status],PrévisionBoris[[#This Row],[Status]],LstMachines[MoisLivr],N$1)</f>
        <v>0</v>
      </c>
      <c r="O210" s="220">
        <f>SUMIFS(LstMachines[Nbre],LstMachines[Model-Spec],PrévisionBoris[[#This Row],[Spec]],LstMachines[Status],PrévisionBoris[[#This Row],[Status]],LstMachines[MoisLivr],O$1)</f>
        <v>0</v>
      </c>
      <c r="P210" s="221">
        <f>SUMIFS(LstMachines[Nbre],LstMachines[Model-Spec],PrévisionBoris[[#This Row],[Spec]],LstMachines[Status],PrévisionBoris[[#This Row],[Status]],LstMachines[MoisLivr],P$1)</f>
        <v>0</v>
      </c>
      <c r="Q210" s="222">
        <f>SUMIFS(LstMachines[Nbre],LstMachines[Model-Spec],PrévisionBoris[[#This Row],[Spec]],LstMachines[Status],PrévisionBoris[[#This Row],[Status]],LstMachines[MoisLivr],Q$1)</f>
        <v>0</v>
      </c>
      <c r="R210" s="220">
        <f>SUMIFS(LstMachines[Nbre],LstMachines[Model-Spec],PrévisionBoris[[#This Row],[Spec]],LstMachines[Status],PrévisionBoris[[#This Row],[Status]],LstMachines[MoisLivr],R$1)</f>
        <v>0</v>
      </c>
      <c r="S210" s="220">
        <f>SUMIFS(LstMachines[Nbre],LstMachines[Model-Spec],PrévisionBoris[[#This Row],[Spec]],LstMachines[Status],PrévisionBoris[[#This Row],[Status]],LstMachines[MoisLivr],S$1)</f>
        <v>0</v>
      </c>
      <c r="T210" s="219">
        <f>SUMIFS(LstMachines[Nbre],LstMachines[Model-Spec],PrévisionBoris[[#This Row],[Spec]],LstMachines[Status],PrévisionBoris[[#This Row],[Status]],LstMachines[MoisLivr],T$1)</f>
        <v>0</v>
      </c>
      <c r="U210" s="220">
        <f>SUMIFS(LstMachines[Nbre],LstMachines[Model-Spec],PrévisionBoris[[#This Row],[Spec]],LstMachines[Status],PrévisionBoris[[#This Row],[Status]],LstMachines[MoisLivr],U$1)</f>
        <v>0</v>
      </c>
      <c r="V210" s="220">
        <f>SUMIFS(LstMachines[Nbre],LstMachines[Model-Spec],PrévisionBoris[[#This Row],[Spec]],LstMachines[Status],PrévisionBoris[[#This Row],[Status]],LstMachines[MoisLivr],V$1)</f>
        <v>0</v>
      </c>
      <c r="W210" s="219">
        <f>SUMIFS(LstMachines[Nbre],LstMachines[Model-Spec],PrévisionBoris[[#This Row],[Spec]],LstMachines[Status],PrévisionBoris[[#This Row],[Status]],LstMachines[MoisLivr],W$1)</f>
        <v>0</v>
      </c>
      <c r="X210" s="220">
        <f>SUMIFS(LstMachines[Nbre],LstMachines[Model-Spec],PrévisionBoris[[#This Row],[Spec]],LstMachines[Status],PrévisionBoris[[#This Row],[Status]],LstMachines[MoisLivr],X$1)</f>
        <v>0</v>
      </c>
      <c r="Y210" s="220">
        <f>SUMIFS(LstMachines[Nbre],LstMachines[Model-Spec],PrévisionBoris[[#This Row],[Spec]],LstMachines[Status],PrévisionBoris[[#This Row],[Status]],LstMachines[MoisLivr],Y$1)</f>
        <v>0</v>
      </c>
      <c r="Z210" s="219">
        <f>SUMIFS(LstMachines[Nbre],LstMachines[Model-Spec],PrévisionBoris[[#This Row],[Spec]],LstMachines[Status],PrévisionBoris[[#This Row],[Status]],LstMachines[MoisLivr],Z$1)</f>
        <v>0</v>
      </c>
      <c r="AA210" s="220">
        <f>SUMIFS(LstMachines[Nbre],LstMachines[Model-Spec],PrévisionBoris[[#This Row],[Spec]],LstMachines[Status],PrévisionBoris[[#This Row],[Status]],LstMachines[MoisLivr],AA$1)</f>
        <v>0</v>
      </c>
      <c r="AB210" s="220">
        <f>SUMIFS(LstMachines[Nbre],LstMachines[Model-Spec],PrévisionBoris[[#This Row],[Spec]],LstMachines[Status],PrévisionBoris[[#This Row],[Status]],LstMachines[MoisLivr],AB$1)</f>
        <v>0</v>
      </c>
      <c r="AC210" s="219">
        <f>SUMIFS(LstMachines[Nbre],LstMachines[Model-Spec],PrévisionBoris[[#This Row],[Spec]],LstMachines[Status],PrévisionBoris[[#This Row],[Status]],LstMachines[MoisLivr],AC$1)</f>
        <v>0</v>
      </c>
      <c r="AD210" s="220">
        <f>SUMIFS(LstMachines[Nbre],LstMachines[Model-Spec],PrévisionBoris[[#This Row],[Spec]],LstMachines[Status],PrévisionBoris[[#This Row],[Status]],LstMachines[MoisLivr],AD$1)</f>
        <v>0</v>
      </c>
      <c r="AE210" s="220">
        <f>SUMIFS(LstMachines[Nbre],LstMachines[Model-Spec],PrévisionBoris[[#This Row],[Spec]],LstMachines[Status],PrévisionBoris[[#This Row],[Status]],LstMachines[MoisLivr],AE$1)</f>
        <v>0</v>
      </c>
      <c r="AF210" s="219">
        <f>SUMIFS(LstMachines[Nbre],LstMachines[Model-Spec],PrévisionBoris[[#This Row],[Spec]],LstMachines[Status],PrévisionBoris[[#This Row],[Status]],LstMachines[MoisLivr],AF$1)</f>
        <v>0</v>
      </c>
      <c r="AG210" s="220">
        <f>SUMIFS(LstMachines[Nbre],LstMachines[Model-Spec],PrévisionBoris[[#This Row],[Spec]],LstMachines[Status],PrévisionBoris[[#This Row],[Status]],LstMachines[MoisLivr],AG$1)</f>
        <v>0</v>
      </c>
      <c r="AH210" s="220">
        <f>SUMIFS(LstMachines[Nbre],LstMachines[Model-Spec],PrévisionBoris[[#This Row],[Spec]],LstMachines[Status],PrévisionBoris[[#This Row],[Status]],LstMachines[MoisLivr],AH$1)</f>
        <v>0</v>
      </c>
      <c r="AI210" s="219">
        <f>SUMIFS(LstMachines[Nbre],LstMachines[Model-Spec],PrévisionBoris[[#This Row],[Spec]],LstMachines[Status],PrévisionBoris[[#This Row],[Status]],LstMachines[MoisLivr],AI$1)</f>
        <v>0</v>
      </c>
      <c r="AJ210" s="220">
        <f>SUMIFS(LstMachines[Nbre],LstMachines[Model-Spec],PrévisionBoris[[#This Row],[Spec]],LstMachines[Status],PrévisionBoris[[#This Row],[Status]],LstMachines[MoisLivr],AJ$1)</f>
        <v>0</v>
      </c>
      <c r="AK210" s="220">
        <f>SUMIFS(LstMachines[Nbre],LstMachines[Model-Spec],PrévisionBoris[[#This Row],[Spec]],LstMachines[Status],PrévisionBoris[[#This Row],[Status]],LstMachines[MoisLivr],AK$1)</f>
        <v>0</v>
      </c>
      <c r="AL210" s="219">
        <f>SUMIFS(LstMachines[Nbre],LstMachines[Model-Spec],PrévisionBoris[[#This Row],[Spec]],LstMachines[Status],PrévisionBoris[[#This Row],[Status]],LstMachines[MoisLivr],AL$1)</f>
        <v>0</v>
      </c>
      <c r="AM210" s="220">
        <f>SUMIFS(LstMachines[Nbre],LstMachines[Model-Spec],PrévisionBoris[[#This Row],[Spec]],LstMachines[Status],PrévisionBoris[[#This Row],[Status]],LstMachines[MoisLivr],AM$1)</f>
        <v>0</v>
      </c>
      <c r="AN210" s="220">
        <f>SUMIFS(LstMachines[Nbre],LstMachines[Model-Spec],PrévisionBoris[[#This Row],[Spec]],LstMachines[Status],PrévisionBoris[[#This Row],[Status]],LstMachines[MoisLivr],AN$1)</f>
        <v>0</v>
      </c>
      <c r="AO210" s="219">
        <f>SUMIFS(LstMachines[Nbre],LstMachines[Model-Spec],PrévisionBoris[[#This Row],[Spec]],LstMachines[Status],PrévisionBoris[[#This Row],[Status]],LstMachines[MoisLivr],AO$1)</f>
        <v>0</v>
      </c>
      <c r="AP210" s="220">
        <f>SUMIFS(LstMachines[Nbre],LstMachines[Model-Spec],PrévisionBoris[[#This Row],[Spec]],LstMachines[Status],PrévisionBoris[[#This Row],[Status]],LstMachines[MoisLivr],AP$1)</f>
        <v>0</v>
      </c>
      <c r="AQ210" s="220">
        <f>SUMIFS(LstMachines[Nbre],LstMachines[Model-Spec],PrévisionBoris[[#This Row],[Spec]],LstMachines[Status],PrévisionBoris[[#This Row],[Status]],LstMachines[MoisLivr],AQ$1)</f>
        <v>0</v>
      </c>
      <c r="AR210" s="219">
        <f>SUMIFS(LstMachines[Nbre],LstMachines[Model-Spec],PrévisionBoris[[#This Row],[Spec]],LstMachines[Status],PrévisionBoris[[#This Row],[Status]],LstMachines[MoisLivr],AR$1)</f>
        <v>0</v>
      </c>
      <c r="AS210" s="220">
        <f>SUMIFS(LstMachines[Nbre],LstMachines[Model-Spec],PrévisionBoris[[#This Row],[Spec]],LstMachines[Status],PrévisionBoris[[#This Row],[Status]],LstMachines[MoisLivr],AS$1)</f>
        <v>0</v>
      </c>
      <c r="AT210" s="220">
        <f>SUMIFS(LstMachines[Nbre],LstMachines[Model-Spec],PrévisionBoris[[#This Row],[Spec]],LstMachines[Status],PrévisionBoris[[#This Row],[Status]],LstMachines[MoisLivr],AT$1)</f>
        <v>0</v>
      </c>
      <c r="AU210" s="219">
        <f>SUMIFS(LstMachines[Nbre],LstMachines[Model-Spec],PrévisionBoris[[#This Row],[Spec]],LstMachines[Status],PrévisionBoris[[#This Row],[Status]],LstMachines[MoisLivr],AU$1)</f>
        <v>0</v>
      </c>
      <c r="AV210" s="223">
        <f>SUMIFS(LstMachines[Nbre],LstMachines[Model-Spec],PrévisionBoris[[#This Row],[Spec]],LstMachines[Status],PrévisionBoris[[#This Row],[Status]],LstMachines[MoisLivr],AV$1)</f>
        <v>0</v>
      </c>
      <c r="AW210" s="224">
        <f>SUMIFS(LstMachines[Nbre],LstMachines[Model-Spec],PrévisionBoris[[#This Row],[Spec]],LstMachines[Status],PrévisionBoris[[#This Row],[Status]],LstMachines[MoisLivr],AW$1)</f>
        <v>0</v>
      </c>
      <c r="AX210" s="210"/>
      <c r="AY210" s="211">
        <f t="shared" si="51"/>
        <v>0</v>
      </c>
      <c r="AZ210" s="212">
        <f t="shared" si="52"/>
        <v>0</v>
      </c>
      <c r="BA210" s="212">
        <f t="shared" si="53"/>
        <v>0</v>
      </c>
      <c r="BB210" s="213">
        <f t="shared" si="54"/>
        <v>0</v>
      </c>
      <c r="BC210" s="225">
        <f t="shared" si="55"/>
        <v>0</v>
      </c>
      <c r="BD210" s="211">
        <f t="shared" si="56"/>
        <v>0</v>
      </c>
      <c r="BE210" s="212">
        <f t="shared" si="57"/>
        <v>0</v>
      </c>
      <c r="BF210" s="212">
        <f t="shared" si="58"/>
        <v>0</v>
      </c>
      <c r="BG210" s="213">
        <f t="shared" si="59"/>
        <v>0</v>
      </c>
      <c r="BH210" s="225">
        <f t="shared" si="60"/>
        <v>0</v>
      </c>
      <c r="BI210" s="214">
        <f t="shared" si="61"/>
        <v>0</v>
      </c>
      <c r="BJ210" s="215">
        <f t="shared" si="62"/>
        <v>0</v>
      </c>
      <c r="BK210" s="215">
        <f t="shared" si="63"/>
        <v>0</v>
      </c>
      <c r="BL210" s="216">
        <f t="shared" si="64"/>
        <v>0</v>
      </c>
      <c r="BM210" s="225">
        <f t="shared" si="65"/>
        <v>0</v>
      </c>
      <c r="BN210" s="225"/>
      <c r="BO210" s="217"/>
      <c r="BP210" s="218">
        <f t="shared" si="66"/>
        <v>0</v>
      </c>
    </row>
    <row r="211" spans="1:68">
      <c r="A211" s="171">
        <v>204</v>
      </c>
      <c r="B211" s="171" t="s">
        <v>75</v>
      </c>
      <c r="C211" s="201">
        <v>65</v>
      </c>
      <c r="D211" s="171" t="s">
        <v>84</v>
      </c>
      <c r="E211" s="171" t="s">
        <v>437</v>
      </c>
      <c r="F211" s="201">
        <f>VLOOKUP(PrévisionBoris[[#This Row],[Spec]],TabModelSpecs[[ModelSpec]:[Price]],2,FALSE)</f>
        <v>45</v>
      </c>
      <c r="G211" s="171" t="s">
        <v>463</v>
      </c>
      <c r="H211" s="226">
        <f>SUMIFS(LstMachines[Nbre],LstMachines[Model-Spec],PrévisionBoris[[#This Row],[Spec]],LstMachines[Status],PrévisionBoris[[#This Row],[Status]],LstMachines[MoisLivr],H$1)</f>
        <v>0</v>
      </c>
      <c r="I211" s="227">
        <f>SUMIFS(LstMachines[Nbre],LstMachines[Model-Spec],PrévisionBoris[[#This Row],[Spec]],LstMachines[Status],PrévisionBoris[[#This Row],[Status]],LstMachines[MoisLivr],I$1)</f>
        <v>0</v>
      </c>
      <c r="J211" s="228">
        <f>SUMIFS(LstMachines[Nbre],LstMachines[Model-Spec],PrévisionBoris[[#This Row],[Spec]],LstMachines[Status],PrévisionBoris[[#This Row],[Status]],LstMachines[MoisLivr],J$1)</f>
        <v>0</v>
      </c>
      <c r="K211" s="226">
        <f>SUMIFS(LstMachines[Nbre],LstMachines[Model-Spec],PrévisionBoris[[#This Row],[Spec]],LstMachines[Status],PrévisionBoris[[#This Row],[Status]],LstMachines[MoisLivr],K$1)</f>
        <v>0</v>
      </c>
      <c r="L211" s="227">
        <f>SUMIFS(LstMachines[Nbre],LstMachines[Model-Spec],PrévisionBoris[[#This Row],[Spec]],LstMachines[Status],PrévisionBoris[[#This Row],[Status]],LstMachines[MoisLivr],L$1)</f>
        <v>0</v>
      </c>
      <c r="M211" s="228">
        <f>SUMIFS(LstMachines[Nbre],LstMachines[Model-Spec],PrévisionBoris[[#This Row],[Spec]],LstMachines[Status],PrévisionBoris[[#This Row],[Status]],LstMachines[MoisLivr],M$1)</f>
        <v>0</v>
      </c>
      <c r="N211" s="226">
        <f>SUMIFS(LstMachines[Nbre],LstMachines[Model-Spec],PrévisionBoris[[#This Row],[Spec]],LstMachines[Status],PrévisionBoris[[#This Row],[Status]],LstMachines[MoisLivr],N$1)</f>
        <v>0</v>
      </c>
      <c r="O211" s="227">
        <f>SUMIFS(LstMachines[Nbre],LstMachines[Model-Spec],PrévisionBoris[[#This Row],[Spec]],LstMachines[Status],PrévisionBoris[[#This Row],[Status]],LstMachines[MoisLivr],O$1)</f>
        <v>0</v>
      </c>
      <c r="P211" s="228">
        <f>SUMIFS(LstMachines[Nbre],LstMachines[Model-Spec],PrévisionBoris[[#This Row],[Spec]],LstMachines[Status],PrévisionBoris[[#This Row],[Status]],LstMachines[MoisLivr],P$1)</f>
        <v>0</v>
      </c>
      <c r="Q211" s="229">
        <f>SUMIFS(LstMachines[Nbre],LstMachines[Model-Spec],PrévisionBoris[[#This Row],[Spec]],LstMachines[Status],PrévisionBoris[[#This Row],[Status]],LstMachines[MoisLivr],Q$1)</f>
        <v>0</v>
      </c>
      <c r="R211" s="227">
        <f>SUMIFS(LstMachines[Nbre],LstMachines[Model-Spec],PrévisionBoris[[#This Row],[Spec]],LstMachines[Status],PrévisionBoris[[#This Row],[Status]],LstMachines[MoisLivr],R$1)</f>
        <v>0</v>
      </c>
      <c r="S211" s="227">
        <f>SUMIFS(LstMachines[Nbre],LstMachines[Model-Spec],PrévisionBoris[[#This Row],[Spec]],LstMachines[Status],PrévisionBoris[[#This Row],[Status]],LstMachines[MoisLivr],S$1)</f>
        <v>0</v>
      </c>
      <c r="T211" s="226">
        <f>SUMIFS(LstMachines[Nbre],LstMachines[Model-Spec],PrévisionBoris[[#This Row],[Spec]],LstMachines[Status],PrévisionBoris[[#This Row],[Status]],LstMachines[MoisLivr],T$1)</f>
        <v>0</v>
      </c>
      <c r="U211" s="227">
        <f>SUMIFS(LstMachines[Nbre],LstMachines[Model-Spec],PrévisionBoris[[#This Row],[Spec]],LstMachines[Status],PrévisionBoris[[#This Row],[Status]],LstMachines[MoisLivr],U$1)</f>
        <v>0</v>
      </c>
      <c r="V211" s="227">
        <f>SUMIFS(LstMachines[Nbre],LstMachines[Model-Spec],PrévisionBoris[[#This Row],[Spec]],LstMachines[Status],PrévisionBoris[[#This Row],[Status]],LstMachines[MoisLivr],V$1)</f>
        <v>0</v>
      </c>
      <c r="W211" s="226">
        <f>SUMIFS(LstMachines[Nbre],LstMachines[Model-Spec],PrévisionBoris[[#This Row],[Spec]],LstMachines[Status],PrévisionBoris[[#This Row],[Status]],LstMachines[MoisLivr],W$1)</f>
        <v>0</v>
      </c>
      <c r="X211" s="227">
        <f>SUMIFS(LstMachines[Nbre],LstMachines[Model-Spec],PrévisionBoris[[#This Row],[Spec]],LstMachines[Status],PrévisionBoris[[#This Row],[Status]],LstMachines[MoisLivr],X$1)</f>
        <v>0</v>
      </c>
      <c r="Y211" s="227">
        <f>SUMIFS(LstMachines[Nbre],LstMachines[Model-Spec],PrévisionBoris[[#This Row],[Spec]],LstMachines[Status],PrévisionBoris[[#This Row],[Status]],LstMachines[MoisLivr],Y$1)</f>
        <v>0</v>
      </c>
      <c r="Z211" s="226">
        <f>SUMIFS(LstMachines[Nbre],LstMachines[Model-Spec],PrévisionBoris[[#This Row],[Spec]],LstMachines[Status],PrévisionBoris[[#This Row],[Status]],LstMachines[MoisLivr],Z$1)</f>
        <v>0</v>
      </c>
      <c r="AA211" s="227">
        <f>SUMIFS(LstMachines[Nbre],LstMachines[Model-Spec],PrévisionBoris[[#This Row],[Spec]],LstMachines[Status],PrévisionBoris[[#This Row],[Status]],LstMachines[MoisLivr],AA$1)</f>
        <v>0</v>
      </c>
      <c r="AB211" s="227">
        <f>SUMIFS(LstMachines[Nbre],LstMachines[Model-Spec],PrévisionBoris[[#This Row],[Spec]],LstMachines[Status],PrévisionBoris[[#This Row],[Status]],LstMachines[MoisLivr],AB$1)</f>
        <v>0</v>
      </c>
      <c r="AC211" s="226">
        <f>SUMIFS(LstMachines[Nbre],LstMachines[Model-Spec],PrévisionBoris[[#This Row],[Spec]],LstMachines[Status],PrévisionBoris[[#This Row],[Status]],LstMachines[MoisLivr],AC$1)</f>
        <v>0</v>
      </c>
      <c r="AD211" s="227">
        <f>SUMIFS(LstMachines[Nbre],LstMachines[Model-Spec],PrévisionBoris[[#This Row],[Spec]],LstMachines[Status],PrévisionBoris[[#This Row],[Status]],LstMachines[MoisLivr],AD$1)</f>
        <v>0</v>
      </c>
      <c r="AE211" s="227">
        <f>SUMIFS(LstMachines[Nbre],LstMachines[Model-Spec],PrévisionBoris[[#This Row],[Spec]],LstMachines[Status],PrévisionBoris[[#This Row],[Status]],LstMachines[MoisLivr],AE$1)</f>
        <v>0</v>
      </c>
      <c r="AF211" s="226">
        <f>SUMIFS(LstMachines[Nbre],LstMachines[Model-Spec],PrévisionBoris[[#This Row],[Spec]],LstMachines[Status],PrévisionBoris[[#This Row],[Status]],LstMachines[MoisLivr],AF$1)</f>
        <v>0</v>
      </c>
      <c r="AG211" s="227">
        <f>SUMIFS(LstMachines[Nbre],LstMachines[Model-Spec],PrévisionBoris[[#This Row],[Spec]],LstMachines[Status],PrévisionBoris[[#This Row],[Status]],LstMachines[MoisLivr],AG$1)</f>
        <v>0</v>
      </c>
      <c r="AH211" s="227">
        <f>SUMIFS(LstMachines[Nbre],LstMachines[Model-Spec],PrévisionBoris[[#This Row],[Spec]],LstMachines[Status],PrévisionBoris[[#This Row],[Status]],LstMachines[MoisLivr],AH$1)</f>
        <v>0</v>
      </c>
      <c r="AI211" s="226">
        <f>SUMIFS(LstMachines[Nbre],LstMachines[Model-Spec],PrévisionBoris[[#This Row],[Spec]],LstMachines[Status],PrévisionBoris[[#This Row],[Status]],LstMachines[MoisLivr],AI$1)</f>
        <v>0</v>
      </c>
      <c r="AJ211" s="227">
        <f>SUMIFS(LstMachines[Nbre],LstMachines[Model-Spec],PrévisionBoris[[#This Row],[Spec]],LstMachines[Status],PrévisionBoris[[#This Row],[Status]],LstMachines[MoisLivr],AJ$1)</f>
        <v>0</v>
      </c>
      <c r="AK211" s="227">
        <f>SUMIFS(LstMachines[Nbre],LstMachines[Model-Spec],PrévisionBoris[[#This Row],[Spec]],LstMachines[Status],PrévisionBoris[[#This Row],[Status]],LstMachines[MoisLivr],AK$1)</f>
        <v>0</v>
      </c>
      <c r="AL211" s="226">
        <f>SUMIFS(LstMachines[Nbre],LstMachines[Model-Spec],PrévisionBoris[[#This Row],[Spec]],LstMachines[Status],PrévisionBoris[[#This Row],[Status]],LstMachines[MoisLivr],AL$1)</f>
        <v>0</v>
      </c>
      <c r="AM211" s="227">
        <f>SUMIFS(LstMachines[Nbre],LstMachines[Model-Spec],PrévisionBoris[[#This Row],[Spec]],LstMachines[Status],PrévisionBoris[[#This Row],[Status]],LstMachines[MoisLivr],AM$1)</f>
        <v>0</v>
      </c>
      <c r="AN211" s="227">
        <f>SUMIFS(LstMachines[Nbre],LstMachines[Model-Spec],PrévisionBoris[[#This Row],[Spec]],LstMachines[Status],PrévisionBoris[[#This Row],[Status]],LstMachines[MoisLivr],AN$1)</f>
        <v>0</v>
      </c>
      <c r="AO211" s="226">
        <f>SUMIFS(LstMachines[Nbre],LstMachines[Model-Spec],PrévisionBoris[[#This Row],[Spec]],LstMachines[Status],PrévisionBoris[[#This Row],[Status]],LstMachines[MoisLivr],AO$1)</f>
        <v>0</v>
      </c>
      <c r="AP211" s="227">
        <f>SUMIFS(LstMachines[Nbre],LstMachines[Model-Spec],PrévisionBoris[[#This Row],[Spec]],LstMachines[Status],PrévisionBoris[[#This Row],[Status]],LstMachines[MoisLivr],AP$1)</f>
        <v>0</v>
      </c>
      <c r="AQ211" s="227">
        <f>SUMIFS(LstMachines[Nbre],LstMachines[Model-Spec],PrévisionBoris[[#This Row],[Spec]],LstMachines[Status],PrévisionBoris[[#This Row],[Status]],LstMachines[MoisLivr],AQ$1)</f>
        <v>0</v>
      </c>
      <c r="AR211" s="226">
        <f>SUMIFS(LstMachines[Nbre],LstMachines[Model-Spec],PrévisionBoris[[#This Row],[Spec]],LstMachines[Status],PrévisionBoris[[#This Row],[Status]],LstMachines[MoisLivr],AR$1)</f>
        <v>0</v>
      </c>
      <c r="AS211" s="227">
        <f>SUMIFS(LstMachines[Nbre],LstMachines[Model-Spec],PrévisionBoris[[#This Row],[Spec]],LstMachines[Status],PrévisionBoris[[#This Row],[Status]],LstMachines[MoisLivr],AS$1)</f>
        <v>0</v>
      </c>
      <c r="AT211" s="227">
        <f>SUMIFS(LstMachines[Nbre],LstMachines[Model-Spec],PrévisionBoris[[#This Row],[Spec]],LstMachines[Status],PrévisionBoris[[#This Row],[Status]],LstMachines[MoisLivr],AT$1)</f>
        <v>0</v>
      </c>
      <c r="AU211" s="226">
        <f>SUMIFS(LstMachines[Nbre],LstMachines[Model-Spec],PrévisionBoris[[#This Row],[Spec]],LstMachines[Status],PrévisionBoris[[#This Row],[Status]],LstMachines[MoisLivr],AU$1)</f>
        <v>0</v>
      </c>
      <c r="AV211" s="230">
        <f>SUMIFS(LstMachines[Nbre],LstMachines[Model-Spec],PrévisionBoris[[#This Row],[Spec]],LstMachines[Status],PrévisionBoris[[#This Row],[Status]],LstMachines[MoisLivr],AV$1)</f>
        <v>0</v>
      </c>
      <c r="AW211" s="231">
        <f>SUMIFS(LstMachines[Nbre],LstMachines[Model-Spec],PrévisionBoris[[#This Row],[Spec]],LstMachines[Status],PrévisionBoris[[#This Row],[Status]],LstMachines[MoisLivr],AW$1)</f>
        <v>0</v>
      </c>
      <c r="AX211" s="232"/>
      <c r="AY211" s="211">
        <f t="shared" si="51"/>
        <v>0</v>
      </c>
      <c r="AZ211" s="212">
        <f t="shared" si="52"/>
        <v>0</v>
      </c>
      <c r="BA211" s="212">
        <f t="shared" si="53"/>
        <v>0</v>
      </c>
      <c r="BB211" s="213">
        <f t="shared" si="54"/>
        <v>0</v>
      </c>
      <c r="BC211" s="225">
        <f t="shared" si="55"/>
        <v>0</v>
      </c>
      <c r="BD211" s="211">
        <f t="shared" si="56"/>
        <v>0</v>
      </c>
      <c r="BE211" s="212">
        <f t="shared" si="57"/>
        <v>0</v>
      </c>
      <c r="BF211" s="212">
        <f t="shared" si="58"/>
        <v>0</v>
      </c>
      <c r="BG211" s="213">
        <f t="shared" si="59"/>
        <v>0</v>
      </c>
      <c r="BH211" s="225">
        <f t="shared" si="60"/>
        <v>0</v>
      </c>
      <c r="BI211" s="214">
        <f t="shared" si="61"/>
        <v>0</v>
      </c>
      <c r="BJ211" s="215">
        <f t="shared" si="62"/>
        <v>0</v>
      </c>
      <c r="BK211" s="215">
        <f t="shared" si="63"/>
        <v>0</v>
      </c>
      <c r="BL211" s="216">
        <f t="shared" si="64"/>
        <v>0</v>
      </c>
      <c r="BM211" s="225">
        <f t="shared" si="65"/>
        <v>0</v>
      </c>
      <c r="BN211" s="225"/>
      <c r="BO211" s="217"/>
      <c r="BP211" s="218">
        <f t="shared" si="66"/>
        <v>0</v>
      </c>
    </row>
    <row r="212" spans="1:68">
      <c r="A212" s="172">
        <v>205</v>
      </c>
      <c r="B212" s="172" t="s">
        <v>75</v>
      </c>
      <c r="C212" s="202">
        <v>65</v>
      </c>
      <c r="D212" s="172" t="s">
        <v>84</v>
      </c>
      <c r="E212" s="172" t="s">
        <v>438</v>
      </c>
      <c r="F212" s="202">
        <f>VLOOKUP(PrévisionBoris[[#This Row],[Spec]],TabModelSpecs[[ModelSpec]:[Price]],2,FALSE)</f>
        <v>45</v>
      </c>
      <c r="G212" s="172" t="s">
        <v>461</v>
      </c>
      <c r="H212" s="206">
        <f>SUMIFS(LstMachines[Nbre],LstMachines[Model-Spec],PrévisionBoris[[#This Row],[Spec]],LstMachines[Status],PrévisionBoris[[#This Row],[Status]],LstMachines[MoisLivr],H$1)</f>
        <v>0</v>
      </c>
      <c r="I212" s="207">
        <f>SUMIFS(LstMachines[Nbre],LstMachines[Model-Spec],PrévisionBoris[[#This Row],[Spec]],LstMachines[Status],PrévisionBoris[[#This Row],[Status]],LstMachines[MoisLivr],I$1)</f>
        <v>0</v>
      </c>
      <c r="J212" s="208">
        <f>SUMIFS(LstMachines[Nbre],LstMachines[Model-Spec],PrévisionBoris[[#This Row],[Spec]],LstMachines[Status],PrévisionBoris[[#This Row],[Status]],LstMachines[MoisLivr],J$1)</f>
        <v>0</v>
      </c>
      <c r="K212" s="206">
        <f>SUMIFS(LstMachines[Nbre],LstMachines[Model-Spec],PrévisionBoris[[#This Row],[Spec]],LstMachines[Status],PrévisionBoris[[#This Row],[Status]],LstMachines[MoisLivr],K$1)</f>
        <v>0</v>
      </c>
      <c r="L212" s="207">
        <f>SUMIFS(LstMachines[Nbre],LstMachines[Model-Spec],PrévisionBoris[[#This Row],[Spec]],LstMachines[Status],PrévisionBoris[[#This Row],[Status]],LstMachines[MoisLivr],L$1)</f>
        <v>0</v>
      </c>
      <c r="M212" s="208">
        <f>SUMIFS(LstMachines[Nbre],LstMachines[Model-Spec],PrévisionBoris[[#This Row],[Spec]],LstMachines[Status],PrévisionBoris[[#This Row],[Status]],LstMachines[MoisLivr],M$1)</f>
        <v>0</v>
      </c>
      <c r="N212" s="206">
        <f>SUMIFS(LstMachines[Nbre],LstMachines[Model-Spec],PrévisionBoris[[#This Row],[Spec]],LstMachines[Status],PrévisionBoris[[#This Row],[Status]],LstMachines[MoisLivr],N$1)</f>
        <v>0</v>
      </c>
      <c r="O212" s="207">
        <f>SUMIFS(LstMachines[Nbre],LstMachines[Model-Spec],PrévisionBoris[[#This Row],[Spec]],LstMachines[Status],PrévisionBoris[[#This Row],[Status]],LstMachines[MoisLivr],O$1)</f>
        <v>0</v>
      </c>
      <c r="P212" s="208">
        <f>SUMIFS(LstMachines[Nbre],LstMachines[Model-Spec],PrévisionBoris[[#This Row],[Spec]],LstMachines[Status],PrévisionBoris[[#This Row],[Status]],LstMachines[MoisLivr],P$1)</f>
        <v>0</v>
      </c>
      <c r="Q212" s="209">
        <f>SUMIFS(LstMachines[Nbre],LstMachines[Model-Spec],PrévisionBoris[[#This Row],[Spec]],LstMachines[Status],PrévisionBoris[[#This Row],[Status]],LstMachines[MoisLivr],Q$1)</f>
        <v>0</v>
      </c>
      <c r="R212" s="207">
        <f>SUMIFS(LstMachines[Nbre],LstMachines[Model-Spec],PrévisionBoris[[#This Row],[Spec]],LstMachines[Status],PrévisionBoris[[#This Row],[Status]],LstMachines[MoisLivr],R$1)</f>
        <v>0</v>
      </c>
      <c r="S212" s="207">
        <f>SUMIFS(LstMachines[Nbre],LstMachines[Model-Spec],PrévisionBoris[[#This Row],[Spec]],LstMachines[Status],PrévisionBoris[[#This Row],[Status]],LstMachines[MoisLivr],S$1)</f>
        <v>0</v>
      </c>
      <c r="T212" s="206">
        <f>SUMIFS(LstMachines[Nbre],LstMachines[Model-Spec],PrévisionBoris[[#This Row],[Spec]],LstMachines[Status],PrévisionBoris[[#This Row],[Status]],LstMachines[MoisLivr],T$1)</f>
        <v>0</v>
      </c>
      <c r="U212" s="207">
        <f>SUMIFS(LstMachines[Nbre],LstMachines[Model-Spec],PrévisionBoris[[#This Row],[Spec]],LstMachines[Status],PrévisionBoris[[#This Row],[Status]],LstMachines[MoisLivr],U$1)</f>
        <v>0</v>
      </c>
      <c r="V212" s="207">
        <f>SUMIFS(LstMachines[Nbre],LstMachines[Model-Spec],PrévisionBoris[[#This Row],[Spec]],LstMachines[Status],PrévisionBoris[[#This Row],[Status]],LstMachines[MoisLivr],V$1)</f>
        <v>0</v>
      </c>
      <c r="W212" s="206">
        <f>SUMIFS(LstMachines[Nbre],LstMachines[Model-Spec],PrévisionBoris[[#This Row],[Spec]],LstMachines[Status],PrévisionBoris[[#This Row],[Status]],LstMachines[MoisLivr],W$1)</f>
        <v>0</v>
      </c>
      <c r="X212" s="207">
        <f>SUMIFS(LstMachines[Nbre],LstMachines[Model-Spec],PrévisionBoris[[#This Row],[Spec]],LstMachines[Status],PrévisionBoris[[#This Row],[Status]],LstMachines[MoisLivr],X$1)</f>
        <v>0</v>
      </c>
      <c r="Y212" s="207">
        <f>SUMIFS(LstMachines[Nbre],LstMachines[Model-Spec],PrévisionBoris[[#This Row],[Spec]],LstMachines[Status],PrévisionBoris[[#This Row],[Status]],LstMachines[MoisLivr],Y$1)</f>
        <v>0</v>
      </c>
      <c r="Z212" s="206">
        <f>SUMIFS(LstMachines[Nbre],LstMachines[Model-Spec],PrévisionBoris[[#This Row],[Spec]],LstMachines[Status],PrévisionBoris[[#This Row],[Status]],LstMachines[MoisLivr],Z$1)</f>
        <v>0</v>
      </c>
      <c r="AA212" s="207">
        <f>SUMIFS(LstMachines[Nbre],LstMachines[Model-Spec],PrévisionBoris[[#This Row],[Spec]],LstMachines[Status],PrévisionBoris[[#This Row],[Status]],LstMachines[MoisLivr],AA$1)</f>
        <v>0</v>
      </c>
      <c r="AB212" s="207">
        <f>SUMIFS(LstMachines[Nbre],LstMachines[Model-Spec],PrévisionBoris[[#This Row],[Spec]],LstMachines[Status],PrévisionBoris[[#This Row],[Status]],LstMachines[MoisLivr],AB$1)</f>
        <v>0</v>
      </c>
      <c r="AC212" s="206">
        <f>SUMIFS(LstMachines[Nbre],LstMachines[Model-Spec],PrévisionBoris[[#This Row],[Spec]],LstMachines[Status],PrévisionBoris[[#This Row],[Status]],LstMachines[MoisLivr],AC$1)</f>
        <v>0</v>
      </c>
      <c r="AD212" s="207">
        <f>SUMIFS(LstMachines[Nbre],LstMachines[Model-Spec],PrévisionBoris[[#This Row],[Spec]],LstMachines[Status],PrévisionBoris[[#This Row],[Status]],LstMachines[MoisLivr],AD$1)</f>
        <v>0</v>
      </c>
      <c r="AE212" s="207">
        <f>SUMIFS(LstMachines[Nbre],LstMachines[Model-Spec],PrévisionBoris[[#This Row],[Spec]],LstMachines[Status],PrévisionBoris[[#This Row],[Status]],LstMachines[MoisLivr],AE$1)</f>
        <v>0</v>
      </c>
      <c r="AF212" s="206">
        <f>SUMIFS(LstMachines[Nbre],LstMachines[Model-Spec],PrévisionBoris[[#This Row],[Spec]],LstMachines[Status],PrévisionBoris[[#This Row],[Status]],LstMachines[MoisLivr],AF$1)</f>
        <v>0</v>
      </c>
      <c r="AG212" s="207">
        <f>SUMIFS(LstMachines[Nbre],LstMachines[Model-Spec],PrévisionBoris[[#This Row],[Spec]],LstMachines[Status],PrévisionBoris[[#This Row],[Status]],LstMachines[MoisLivr],AG$1)</f>
        <v>0</v>
      </c>
      <c r="AH212" s="207">
        <f>SUMIFS(LstMachines[Nbre],LstMachines[Model-Spec],PrévisionBoris[[#This Row],[Spec]],LstMachines[Status],PrévisionBoris[[#This Row],[Status]],LstMachines[MoisLivr],AH$1)</f>
        <v>0</v>
      </c>
      <c r="AI212" s="206">
        <f>SUMIFS(LstMachines[Nbre],LstMachines[Model-Spec],PrévisionBoris[[#This Row],[Spec]],LstMachines[Status],PrévisionBoris[[#This Row],[Status]],LstMachines[MoisLivr],AI$1)</f>
        <v>0</v>
      </c>
      <c r="AJ212" s="207">
        <f>SUMIFS(LstMachines[Nbre],LstMachines[Model-Spec],PrévisionBoris[[#This Row],[Spec]],LstMachines[Status],PrévisionBoris[[#This Row],[Status]],LstMachines[MoisLivr],AJ$1)</f>
        <v>0</v>
      </c>
      <c r="AK212" s="207">
        <f>SUMIFS(LstMachines[Nbre],LstMachines[Model-Spec],PrévisionBoris[[#This Row],[Spec]],LstMachines[Status],PrévisionBoris[[#This Row],[Status]],LstMachines[MoisLivr],AK$1)</f>
        <v>0</v>
      </c>
      <c r="AL212" s="206">
        <f>SUMIFS(LstMachines[Nbre],LstMachines[Model-Spec],PrévisionBoris[[#This Row],[Spec]],LstMachines[Status],PrévisionBoris[[#This Row],[Status]],LstMachines[MoisLivr],AL$1)</f>
        <v>0</v>
      </c>
      <c r="AM212" s="207">
        <f>SUMIFS(LstMachines[Nbre],LstMachines[Model-Spec],PrévisionBoris[[#This Row],[Spec]],LstMachines[Status],PrévisionBoris[[#This Row],[Status]],LstMachines[MoisLivr],AM$1)</f>
        <v>0</v>
      </c>
      <c r="AN212" s="207">
        <f>SUMIFS(LstMachines[Nbre],LstMachines[Model-Spec],PrévisionBoris[[#This Row],[Spec]],LstMachines[Status],PrévisionBoris[[#This Row],[Status]],LstMachines[MoisLivr],AN$1)</f>
        <v>0</v>
      </c>
      <c r="AO212" s="206">
        <f>SUMIFS(LstMachines[Nbre],LstMachines[Model-Spec],PrévisionBoris[[#This Row],[Spec]],LstMachines[Status],PrévisionBoris[[#This Row],[Status]],LstMachines[MoisLivr],AO$1)</f>
        <v>0</v>
      </c>
      <c r="AP212" s="207">
        <f>SUMIFS(LstMachines[Nbre],LstMachines[Model-Spec],PrévisionBoris[[#This Row],[Spec]],LstMachines[Status],PrévisionBoris[[#This Row],[Status]],LstMachines[MoisLivr],AP$1)</f>
        <v>0</v>
      </c>
      <c r="AQ212" s="207">
        <f>SUMIFS(LstMachines[Nbre],LstMachines[Model-Spec],PrévisionBoris[[#This Row],[Spec]],LstMachines[Status],PrévisionBoris[[#This Row],[Status]],LstMachines[MoisLivr],AQ$1)</f>
        <v>0</v>
      </c>
      <c r="AR212" s="206">
        <f>SUMIFS(LstMachines[Nbre],LstMachines[Model-Spec],PrévisionBoris[[#This Row],[Spec]],LstMachines[Status],PrévisionBoris[[#This Row],[Status]],LstMachines[MoisLivr],AR$1)</f>
        <v>0</v>
      </c>
      <c r="AS212" s="207">
        <f>SUMIFS(LstMachines[Nbre],LstMachines[Model-Spec],PrévisionBoris[[#This Row],[Spec]],LstMachines[Status],PrévisionBoris[[#This Row],[Status]],LstMachines[MoisLivr],AS$1)</f>
        <v>0</v>
      </c>
      <c r="AT212" s="207">
        <f>SUMIFS(LstMachines[Nbre],LstMachines[Model-Spec],PrévisionBoris[[#This Row],[Spec]],LstMachines[Status],PrévisionBoris[[#This Row],[Status]],LstMachines[MoisLivr],AT$1)</f>
        <v>0</v>
      </c>
      <c r="AU212" s="206">
        <f>SUMIFS(LstMachines[Nbre],LstMachines[Model-Spec],PrévisionBoris[[#This Row],[Spec]],LstMachines[Status],PrévisionBoris[[#This Row],[Status]],LstMachines[MoisLivr],AU$1)</f>
        <v>0</v>
      </c>
      <c r="AV212" s="233">
        <f>SUMIFS(LstMachines[Nbre],LstMachines[Model-Spec],PrévisionBoris[[#This Row],[Spec]],LstMachines[Status],PrévisionBoris[[#This Row],[Status]],LstMachines[MoisLivr],AV$1)</f>
        <v>0</v>
      </c>
      <c r="AW212" s="208">
        <f>SUMIFS(LstMachines[Nbre],LstMachines[Model-Spec],PrévisionBoris[[#This Row],[Spec]],LstMachines[Status],PrévisionBoris[[#This Row],[Status]],LstMachines[MoisLivr],AW$1)</f>
        <v>0</v>
      </c>
      <c r="AX212" s="225"/>
      <c r="AY212" s="211">
        <f t="shared" si="51"/>
        <v>0</v>
      </c>
      <c r="AZ212" s="212">
        <f t="shared" si="52"/>
        <v>0</v>
      </c>
      <c r="BA212" s="212">
        <f t="shared" si="53"/>
        <v>0</v>
      </c>
      <c r="BB212" s="213">
        <f t="shared" si="54"/>
        <v>0</v>
      </c>
      <c r="BC212" s="225">
        <f t="shared" si="55"/>
        <v>0</v>
      </c>
      <c r="BD212" s="211">
        <f t="shared" si="56"/>
        <v>0</v>
      </c>
      <c r="BE212" s="212">
        <f t="shared" si="57"/>
        <v>0</v>
      </c>
      <c r="BF212" s="212">
        <f t="shared" si="58"/>
        <v>0</v>
      </c>
      <c r="BG212" s="213">
        <f t="shared" si="59"/>
        <v>0</v>
      </c>
      <c r="BH212" s="225">
        <f t="shared" si="60"/>
        <v>0</v>
      </c>
      <c r="BI212" s="214">
        <f t="shared" si="61"/>
        <v>0</v>
      </c>
      <c r="BJ212" s="215">
        <f t="shared" si="62"/>
        <v>0</v>
      </c>
      <c r="BK212" s="215">
        <f t="shared" si="63"/>
        <v>0</v>
      </c>
      <c r="BL212" s="216">
        <f t="shared" si="64"/>
        <v>0</v>
      </c>
      <c r="BM212" s="225">
        <f t="shared" si="65"/>
        <v>0</v>
      </c>
      <c r="BN212" s="225"/>
      <c r="BO212" s="234"/>
      <c r="BP212" s="218">
        <f t="shared" si="66"/>
        <v>0</v>
      </c>
    </row>
    <row r="213" spans="1:68">
      <c r="A213" s="170">
        <v>206</v>
      </c>
      <c r="B213" s="170" t="s">
        <v>75</v>
      </c>
      <c r="C213" s="200">
        <v>65</v>
      </c>
      <c r="D213" s="170" t="s">
        <v>84</v>
      </c>
      <c r="E213" s="170" t="s">
        <v>438</v>
      </c>
      <c r="F213" s="200">
        <f>VLOOKUP(PrévisionBoris[[#This Row],[Spec]],TabModelSpecs[[ModelSpec]:[Price]],2,FALSE)</f>
        <v>45</v>
      </c>
      <c r="G213" s="170" t="s">
        <v>462</v>
      </c>
      <c r="H213" s="219">
        <f>SUMIFS(LstMachines[Nbre],LstMachines[Model-Spec],PrévisionBoris[[#This Row],[Spec]],LstMachines[Status],PrévisionBoris[[#This Row],[Status]],LstMachines[MoisLivr],H$1)</f>
        <v>0</v>
      </c>
      <c r="I213" s="220">
        <f>SUMIFS(LstMachines[Nbre],LstMachines[Model-Spec],PrévisionBoris[[#This Row],[Spec]],LstMachines[Status],PrévisionBoris[[#This Row],[Status]],LstMachines[MoisLivr],I$1)</f>
        <v>0</v>
      </c>
      <c r="J213" s="221">
        <f>SUMIFS(LstMachines[Nbre],LstMachines[Model-Spec],PrévisionBoris[[#This Row],[Spec]],LstMachines[Status],PrévisionBoris[[#This Row],[Status]],LstMachines[MoisLivr],J$1)</f>
        <v>0</v>
      </c>
      <c r="K213" s="219">
        <f>SUMIFS(LstMachines[Nbre],LstMachines[Model-Spec],PrévisionBoris[[#This Row],[Spec]],LstMachines[Status],PrévisionBoris[[#This Row],[Status]],LstMachines[MoisLivr],K$1)</f>
        <v>0</v>
      </c>
      <c r="L213" s="220">
        <f>SUMIFS(LstMachines[Nbre],LstMachines[Model-Spec],PrévisionBoris[[#This Row],[Spec]],LstMachines[Status],PrévisionBoris[[#This Row],[Status]],LstMachines[MoisLivr],L$1)</f>
        <v>0</v>
      </c>
      <c r="M213" s="221">
        <f>SUMIFS(LstMachines[Nbre],LstMachines[Model-Spec],PrévisionBoris[[#This Row],[Spec]],LstMachines[Status],PrévisionBoris[[#This Row],[Status]],LstMachines[MoisLivr],M$1)</f>
        <v>0</v>
      </c>
      <c r="N213" s="219">
        <f>SUMIFS(LstMachines[Nbre],LstMachines[Model-Spec],PrévisionBoris[[#This Row],[Spec]],LstMachines[Status],PrévisionBoris[[#This Row],[Status]],LstMachines[MoisLivr],N$1)</f>
        <v>0</v>
      </c>
      <c r="O213" s="220">
        <f>SUMIFS(LstMachines[Nbre],LstMachines[Model-Spec],PrévisionBoris[[#This Row],[Spec]],LstMachines[Status],PrévisionBoris[[#This Row],[Status]],LstMachines[MoisLivr],O$1)</f>
        <v>0</v>
      </c>
      <c r="P213" s="221">
        <f>SUMIFS(LstMachines[Nbre],LstMachines[Model-Spec],PrévisionBoris[[#This Row],[Spec]],LstMachines[Status],PrévisionBoris[[#This Row],[Status]],LstMachines[MoisLivr],P$1)</f>
        <v>0</v>
      </c>
      <c r="Q213" s="222">
        <f>SUMIFS(LstMachines[Nbre],LstMachines[Model-Spec],PrévisionBoris[[#This Row],[Spec]],LstMachines[Status],PrévisionBoris[[#This Row],[Status]],LstMachines[MoisLivr],Q$1)</f>
        <v>0</v>
      </c>
      <c r="R213" s="220">
        <f>SUMIFS(LstMachines[Nbre],LstMachines[Model-Spec],PrévisionBoris[[#This Row],[Spec]],LstMachines[Status],PrévisionBoris[[#This Row],[Status]],LstMachines[MoisLivr],R$1)</f>
        <v>0</v>
      </c>
      <c r="S213" s="220">
        <f>SUMIFS(LstMachines[Nbre],LstMachines[Model-Spec],PrévisionBoris[[#This Row],[Spec]],LstMachines[Status],PrévisionBoris[[#This Row],[Status]],LstMachines[MoisLivr],S$1)</f>
        <v>0</v>
      </c>
      <c r="T213" s="219">
        <f>SUMIFS(LstMachines[Nbre],LstMachines[Model-Spec],PrévisionBoris[[#This Row],[Spec]],LstMachines[Status],PrévisionBoris[[#This Row],[Status]],LstMachines[MoisLivr],T$1)</f>
        <v>0</v>
      </c>
      <c r="U213" s="220">
        <f>SUMIFS(LstMachines[Nbre],LstMachines[Model-Spec],PrévisionBoris[[#This Row],[Spec]],LstMachines[Status],PrévisionBoris[[#This Row],[Status]],LstMachines[MoisLivr],U$1)</f>
        <v>0</v>
      </c>
      <c r="V213" s="220">
        <f>SUMIFS(LstMachines[Nbre],LstMachines[Model-Spec],PrévisionBoris[[#This Row],[Spec]],LstMachines[Status],PrévisionBoris[[#This Row],[Status]],LstMachines[MoisLivr],V$1)</f>
        <v>0</v>
      </c>
      <c r="W213" s="219">
        <f>SUMIFS(LstMachines[Nbre],LstMachines[Model-Spec],PrévisionBoris[[#This Row],[Spec]],LstMachines[Status],PrévisionBoris[[#This Row],[Status]],LstMachines[MoisLivr],W$1)</f>
        <v>0</v>
      </c>
      <c r="X213" s="220">
        <f>SUMIFS(LstMachines[Nbre],LstMachines[Model-Spec],PrévisionBoris[[#This Row],[Spec]],LstMachines[Status],PrévisionBoris[[#This Row],[Status]],LstMachines[MoisLivr],X$1)</f>
        <v>0</v>
      </c>
      <c r="Y213" s="220">
        <f>SUMIFS(LstMachines[Nbre],LstMachines[Model-Spec],PrévisionBoris[[#This Row],[Spec]],LstMachines[Status],PrévisionBoris[[#This Row],[Status]],LstMachines[MoisLivr],Y$1)</f>
        <v>0</v>
      </c>
      <c r="Z213" s="219">
        <f>SUMIFS(LstMachines[Nbre],LstMachines[Model-Spec],PrévisionBoris[[#This Row],[Spec]],LstMachines[Status],PrévisionBoris[[#This Row],[Status]],LstMachines[MoisLivr],Z$1)</f>
        <v>0</v>
      </c>
      <c r="AA213" s="220">
        <f>SUMIFS(LstMachines[Nbre],LstMachines[Model-Spec],PrévisionBoris[[#This Row],[Spec]],LstMachines[Status],PrévisionBoris[[#This Row],[Status]],LstMachines[MoisLivr],AA$1)</f>
        <v>0</v>
      </c>
      <c r="AB213" s="220">
        <f>SUMIFS(LstMachines[Nbre],LstMachines[Model-Spec],PrévisionBoris[[#This Row],[Spec]],LstMachines[Status],PrévisionBoris[[#This Row],[Status]],LstMachines[MoisLivr],AB$1)</f>
        <v>0</v>
      </c>
      <c r="AC213" s="219">
        <f>SUMIFS(LstMachines[Nbre],LstMachines[Model-Spec],PrévisionBoris[[#This Row],[Spec]],LstMachines[Status],PrévisionBoris[[#This Row],[Status]],LstMachines[MoisLivr],AC$1)</f>
        <v>0</v>
      </c>
      <c r="AD213" s="220">
        <f>SUMIFS(LstMachines[Nbre],LstMachines[Model-Spec],PrévisionBoris[[#This Row],[Spec]],LstMachines[Status],PrévisionBoris[[#This Row],[Status]],LstMachines[MoisLivr],AD$1)</f>
        <v>0</v>
      </c>
      <c r="AE213" s="220">
        <f>SUMIFS(LstMachines[Nbre],LstMachines[Model-Spec],PrévisionBoris[[#This Row],[Spec]],LstMachines[Status],PrévisionBoris[[#This Row],[Status]],LstMachines[MoisLivr],AE$1)</f>
        <v>0</v>
      </c>
      <c r="AF213" s="219">
        <f>SUMIFS(LstMachines[Nbre],LstMachines[Model-Spec],PrévisionBoris[[#This Row],[Spec]],LstMachines[Status],PrévisionBoris[[#This Row],[Status]],LstMachines[MoisLivr],AF$1)</f>
        <v>0</v>
      </c>
      <c r="AG213" s="220">
        <f>SUMIFS(LstMachines[Nbre],LstMachines[Model-Spec],PrévisionBoris[[#This Row],[Spec]],LstMachines[Status],PrévisionBoris[[#This Row],[Status]],LstMachines[MoisLivr],AG$1)</f>
        <v>0</v>
      </c>
      <c r="AH213" s="220">
        <f>SUMIFS(LstMachines[Nbre],LstMachines[Model-Spec],PrévisionBoris[[#This Row],[Spec]],LstMachines[Status],PrévisionBoris[[#This Row],[Status]],LstMachines[MoisLivr],AH$1)</f>
        <v>0</v>
      </c>
      <c r="AI213" s="219">
        <f>SUMIFS(LstMachines[Nbre],LstMachines[Model-Spec],PrévisionBoris[[#This Row],[Spec]],LstMachines[Status],PrévisionBoris[[#This Row],[Status]],LstMachines[MoisLivr],AI$1)</f>
        <v>0</v>
      </c>
      <c r="AJ213" s="220">
        <f>SUMIFS(LstMachines[Nbre],LstMachines[Model-Spec],PrévisionBoris[[#This Row],[Spec]],LstMachines[Status],PrévisionBoris[[#This Row],[Status]],LstMachines[MoisLivr],AJ$1)</f>
        <v>0</v>
      </c>
      <c r="AK213" s="220">
        <f>SUMIFS(LstMachines[Nbre],LstMachines[Model-Spec],PrévisionBoris[[#This Row],[Spec]],LstMachines[Status],PrévisionBoris[[#This Row],[Status]],LstMachines[MoisLivr],AK$1)</f>
        <v>0</v>
      </c>
      <c r="AL213" s="219">
        <f>SUMIFS(LstMachines[Nbre],LstMachines[Model-Spec],PrévisionBoris[[#This Row],[Spec]],LstMachines[Status],PrévisionBoris[[#This Row],[Status]],LstMachines[MoisLivr],AL$1)</f>
        <v>0</v>
      </c>
      <c r="AM213" s="220">
        <f>SUMIFS(LstMachines[Nbre],LstMachines[Model-Spec],PrévisionBoris[[#This Row],[Spec]],LstMachines[Status],PrévisionBoris[[#This Row],[Status]],LstMachines[MoisLivr],AM$1)</f>
        <v>0</v>
      </c>
      <c r="AN213" s="220">
        <f>SUMIFS(LstMachines[Nbre],LstMachines[Model-Spec],PrévisionBoris[[#This Row],[Spec]],LstMachines[Status],PrévisionBoris[[#This Row],[Status]],LstMachines[MoisLivr],AN$1)</f>
        <v>0</v>
      </c>
      <c r="AO213" s="219">
        <f>SUMIFS(LstMachines[Nbre],LstMachines[Model-Spec],PrévisionBoris[[#This Row],[Spec]],LstMachines[Status],PrévisionBoris[[#This Row],[Status]],LstMachines[MoisLivr],AO$1)</f>
        <v>0</v>
      </c>
      <c r="AP213" s="220">
        <f>SUMIFS(LstMachines[Nbre],LstMachines[Model-Spec],PrévisionBoris[[#This Row],[Spec]],LstMachines[Status],PrévisionBoris[[#This Row],[Status]],LstMachines[MoisLivr],AP$1)</f>
        <v>0</v>
      </c>
      <c r="AQ213" s="220">
        <f>SUMIFS(LstMachines[Nbre],LstMachines[Model-Spec],PrévisionBoris[[#This Row],[Spec]],LstMachines[Status],PrévisionBoris[[#This Row],[Status]],LstMachines[MoisLivr],AQ$1)</f>
        <v>0</v>
      </c>
      <c r="AR213" s="219">
        <f>SUMIFS(LstMachines[Nbre],LstMachines[Model-Spec],PrévisionBoris[[#This Row],[Spec]],LstMachines[Status],PrévisionBoris[[#This Row],[Status]],LstMachines[MoisLivr],AR$1)</f>
        <v>0</v>
      </c>
      <c r="AS213" s="220">
        <f>SUMIFS(LstMachines[Nbre],LstMachines[Model-Spec],PrévisionBoris[[#This Row],[Spec]],LstMachines[Status],PrévisionBoris[[#This Row],[Status]],LstMachines[MoisLivr],AS$1)</f>
        <v>0</v>
      </c>
      <c r="AT213" s="220">
        <f>SUMIFS(LstMachines[Nbre],LstMachines[Model-Spec],PrévisionBoris[[#This Row],[Spec]],LstMachines[Status],PrévisionBoris[[#This Row],[Status]],LstMachines[MoisLivr],AT$1)</f>
        <v>0</v>
      </c>
      <c r="AU213" s="219">
        <f>SUMIFS(LstMachines[Nbre],LstMachines[Model-Spec],PrévisionBoris[[#This Row],[Spec]],LstMachines[Status],PrévisionBoris[[#This Row],[Status]],LstMachines[MoisLivr],AU$1)</f>
        <v>0</v>
      </c>
      <c r="AV213" s="223">
        <f>SUMIFS(LstMachines[Nbre],LstMachines[Model-Spec],PrévisionBoris[[#This Row],[Spec]],LstMachines[Status],PrévisionBoris[[#This Row],[Status]],LstMachines[MoisLivr],AV$1)</f>
        <v>0</v>
      </c>
      <c r="AW213" s="224">
        <f>SUMIFS(LstMachines[Nbre],LstMachines[Model-Spec],PrévisionBoris[[#This Row],[Spec]],LstMachines[Status],PrévisionBoris[[#This Row],[Status]],LstMachines[MoisLivr],AW$1)</f>
        <v>0</v>
      </c>
      <c r="AX213" s="210"/>
      <c r="AY213" s="211">
        <f t="shared" si="51"/>
        <v>0</v>
      </c>
      <c r="AZ213" s="212">
        <f t="shared" si="52"/>
        <v>0</v>
      </c>
      <c r="BA213" s="212">
        <f t="shared" si="53"/>
        <v>0</v>
      </c>
      <c r="BB213" s="213">
        <f t="shared" si="54"/>
        <v>0</v>
      </c>
      <c r="BC213" s="225">
        <f t="shared" si="55"/>
        <v>0</v>
      </c>
      <c r="BD213" s="211">
        <f t="shared" si="56"/>
        <v>0</v>
      </c>
      <c r="BE213" s="212">
        <f t="shared" si="57"/>
        <v>0</v>
      </c>
      <c r="BF213" s="212">
        <f t="shared" si="58"/>
        <v>0</v>
      </c>
      <c r="BG213" s="213">
        <f t="shared" si="59"/>
        <v>0</v>
      </c>
      <c r="BH213" s="225">
        <f t="shared" si="60"/>
        <v>0</v>
      </c>
      <c r="BI213" s="214">
        <f t="shared" si="61"/>
        <v>0</v>
      </c>
      <c r="BJ213" s="215">
        <f t="shared" si="62"/>
        <v>0</v>
      </c>
      <c r="BK213" s="215">
        <f t="shared" si="63"/>
        <v>0</v>
      </c>
      <c r="BL213" s="216">
        <f t="shared" si="64"/>
        <v>0</v>
      </c>
      <c r="BM213" s="225">
        <f t="shared" si="65"/>
        <v>0</v>
      </c>
      <c r="BN213" s="225"/>
      <c r="BO213" s="217"/>
      <c r="BP213" s="218">
        <f t="shared" si="66"/>
        <v>0</v>
      </c>
    </row>
    <row r="214" spans="1:68">
      <c r="A214" s="171">
        <v>207</v>
      </c>
      <c r="B214" s="171" t="s">
        <v>75</v>
      </c>
      <c r="C214" s="201">
        <v>65</v>
      </c>
      <c r="D214" s="171" t="s">
        <v>84</v>
      </c>
      <c r="E214" s="171" t="s">
        <v>438</v>
      </c>
      <c r="F214" s="201">
        <f>VLOOKUP(PrévisionBoris[[#This Row],[Spec]],TabModelSpecs[[ModelSpec]:[Price]],2,FALSE)</f>
        <v>45</v>
      </c>
      <c r="G214" s="171" t="s">
        <v>463</v>
      </c>
      <c r="H214" s="226">
        <f>SUMIFS(LstMachines[Nbre],LstMachines[Model-Spec],PrévisionBoris[[#This Row],[Spec]],LstMachines[Status],PrévisionBoris[[#This Row],[Status]],LstMachines[MoisLivr],H$1)</f>
        <v>0</v>
      </c>
      <c r="I214" s="227">
        <f>SUMIFS(LstMachines[Nbre],LstMachines[Model-Spec],PrévisionBoris[[#This Row],[Spec]],LstMachines[Status],PrévisionBoris[[#This Row],[Status]],LstMachines[MoisLivr],I$1)</f>
        <v>0</v>
      </c>
      <c r="J214" s="228">
        <f>SUMIFS(LstMachines[Nbre],LstMachines[Model-Spec],PrévisionBoris[[#This Row],[Spec]],LstMachines[Status],PrévisionBoris[[#This Row],[Status]],LstMachines[MoisLivr],J$1)</f>
        <v>0</v>
      </c>
      <c r="K214" s="226">
        <f>SUMIFS(LstMachines[Nbre],LstMachines[Model-Spec],PrévisionBoris[[#This Row],[Spec]],LstMachines[Status],PrévisionBoris[[#This Row],[Status]],LstMachines[MoisLivr],K$1)</f>
        <v>0</v>
      </c>
      <c r="L214" s="227">
        <f>SUMIFS(LstMachines[Nbre],LstMachines[Model-Spec],PrévisionBoris[[#This Row],[Spec]],LstMachines[Status],PrévisionBoris[[#This Row],[Status]],LstMachines[MoisLivr],L$1)</f>
        <v>0</v>
      </c>
      <c r="M214" s="228">
        <f>SUMIFS(LstMachines[Nbre],LstMachines[Model-Spec],PrévisionBoris[[#This Row],[Spec]],LstMachines[Status],PrévisionBoris[[#This Row],[Status]],LstMachines[MoisLivr],M$1)</f>
        <v>0</v>
      </c>
      <c r="N214" s="226">
        <f>SUMIFS(LstMachines[Nbre],LstMachines[Model-Spec],PrévisionBoris[[#This Row],[Spec]],LstMachines[Status],PrévisionBoris[[#This Row],[Status]],LstMachines[MoisLivr],N$1)</f>
        <v>0</v>
      </c>
      <c r="O214" s="227">
        <f>SUMIFS(LstMachines[Nbre],LstMachines[Model-Spec],PrévisionBoris[[#This Row],[Spec]],LstMachines[Status],PrévisionBoris[[#This Row],[Status]],LstMachines[MoisLivr],O$1)</f>
        <v>0</v>
      </c>
      <c r="P214" s="228">
        <f>SUMIFS(LstMachines[Nbre],LstMachines[Model-Spec],PrévisionBoris[[#This Row],[Spec]],LstMachines[Status],PrévisionBoris[[#This Row],[Status]],LstMachines[MoisLivr],P$1)</f>
        <v>0</v>
      </c>
      <c r="Q214" s="229">
        <f>SUMIFS(LstMachines[Nbre],LstMachines[Model-Spec],PrévisionBoris[[#This Row],[Spec]],LstMachines[Status],PrévisionBoris[[#This Row],[Status]],LstMachines[MoisLivr],Q$1)</f>
        <v>0</v>
      </c>
      <c r="R214" s="227">
        <f>SUMIFS(LstMachines[Nbre],LstMachines[Model-Spec],PrévisionBoris[[#This Row],[Spec]],LstMachines[Status],PrévisionBoris[[#This Row],[Status]],LstMachines[MoisLivr],R$1)</f>
        <v>0</v>
      </c>
      <c r="S214" s="227">
        <f>SUMIFS(LstMachines[Nbre],LstMachines[Model-Spec],PrévisionBoris[[#This Row],[Spec]],LstMachines[Status],PrévisionBoris[[#This Row],[Status]],LstMachines[MoisLivr],S$1)</f>
        <v>0</v>
      </c>
      <c r="T214" s="226">
        <f>SUMIFS(LstMachines[Nbre],LstMachines[Model-Spec],PrévisionBoris[[#This Row],[Spec]],LstMachines[Status],PrévisionBoris[[#This Row],[Status]],LstMachines[MoisLivr],T$1)</f>
        <v>0</v>
      </c>
      <c r="U214" s="227">
        <f>SUMIFS(LstMachines[Nbre],LstMachines[Model-Spec],PrévisionBoris[[#This Row],[Spec]],LstMachines[Status],PrévisionBoris[[#This Row],[Status]],LstMachines[MoisLivr],U$1)</f>
        <v>0</v>
      </c>
      <c r="V214" s="227">
        <f>SUMIFS(LstMachines[Nbre],LstMachines[Model-Spec],PrévisionBoris[[#This Row],[Spec]],LstMachines[Status],PrévisionBoris[[#This Row],[Status]],LstMachines[MoisLivr],V$1)</f>
        <v>0</v>
      </c>
      <c r="W214" s="226">
        <f>SUMIFS(LstMachines[Nbre],LstMachines[Model-Spec],PrévisionBoris[[#This Row],[Spec]],LstMachines[Status],PrévisionBoris[[#This Row],[Status]],LstMachines[MoisLivr],W$1)</f>
        <v>0</v>
      </c>
      <c r="X214" s="227">
        <f>SUMIFS(LstMachines[Nbre],LstMachines[Model-Spec],PrévisionBoris[[#This Row],[Spec]],LstMachines[Status],PrévisionBoris[[#This Row],[Status]],LstMachines[MoisLivr],X$1)</f>
        <v>0</v>
      </c>
      <c r="Y214" s="227">
        <f>SUMIFS(LstMachines[Nbre],LstMachines[Model-Spec],PrévisionBoris[[#This Row],[Spec]],LstMachines[Status],PrévisionBoris[[#This Row],[Status]],LstMachines[MoisLivr],Y$1)</f>
        <v>0</v>
      </c>
      <c r="Z214" s="226">
        <f>SUMIFS(LstMachines[Nbre],LstMachines[Model-Spec],PrévisionBoris[[#This Row],[Spec]],LstMachines[Status],PrévisionBoris[[#This Row],[Status]],LstMachines[MoisLivr],Z$1)</f>
        <v>0</v>
      </c>
      <c r="AA214" s="227">
        <f>SUMIFS(LstMachines[Nbre],LstMachines[Model-Spec],PrévisionBoris[[#This Row],[Spec]],LstMachines[Status],PrévisionBoris[[#This Row],[Status]],LstMachines[MoisLivr],AA$1)</f>
        <v>0</v>
      </c>
      <c r="AB214" s="227">
        <f>SUMIFS(LstMachines[Nbre],LstMachines[Model-Spec],PrévisionBoris[[#This Row],[Spec]],LstMachines[Status],PrévisionBoris[[#This Row],[Status]],LstMachines[MoisLivr],AB$1)</f>
        <v>0</v>
      </c>
      <c r="AC214" s="226">
        <f>SUMIFS(LstMachines[Nbre],LstMachines[Model-Spec],PrévisionBoris[[#This Row],[Spec]],LstMachines[Status],PrévisionBoris[[#This Row],[Status]],LstMachines[MoisLivr],AC$1)</f>
        <v>0</v>
      </c>
      <c r="AD214" s="227">
        <f>SUMIFS(LstMachines[Nbre],LstMachines[Model-Spec],PrévisionBoris[[#This Row],[Spec]],LstMachines[Status],PrévisionBoris[[#This Row],[Status]],LstMachines[MoisLivr],AD$1)</f>
        <v>0</v>
      </c>
      <c r="AE214" s="227">
        <f>SUMIFS(LstMachines[Nbre],LstMachines[Model-Spec],PrévisionBoris[[#This Row],[Spec]],LstMachines[Status],PrévisionBoris[[#This Row],[Status]],LstMachines[MoisLivr],AE$1)</f>
        <v>0</v>
      </c>
      <c r="AF214" s="226">
        <f>SUMIFS(LstMachines[Nbre],LstMachines[Model-Spec],PrévisionBoris[[#This Row],[Spec]],LstMachines[Status],PrévisionBoris[[#This Row],[Status]],LstMachines[MoisLivr],AF$1)</f>
        <v>0</v>
      </c>
      <c r="AG214" s="227">
        <f>SUMIFS(LstMachines[Nbre],LstMachines[Model-Spec],PrévisionBoris[[#This Row],[Spec]],LstMachines[Status],PrévisionBoris[[#This Row],[Status]],LstMachines[MoisLivr],AG$1)</f>
        <v>0</v>
      </c>
      <c r="AH214" s="227">
        <f>SUMIFS(LstMachines[Nbre],LstMachines[Model-Spec],PrévisionBoris[[#This Row],[Spec]],LstMachines[Status],PrévisionBoris[[#This Row],[Status]],LstMachines[MoisLivr],AH$1)</f>
        <v>0</v>
      </c>
      <c r="AI214" s="226">
        <f>SUMIFS(LstMachines[Nbre],LstMachines[Model-Spec],PrévisionBoris[[#This Row],[Spec]],LstMachines[Status],PrévisionBoris[[#This Row],[Status]],LstMachines[MoisLivr],AI$1)</f>
        <v>0</v>
      </c>
      <c r="AJ214" s="227">
        <f>SUMIFS(LstMachines[Nbre],LstMachines[Model-Spec],PrévisionBoris[[#This Row],[Spec]],LstMachines[Status],PrévisionBoris[[#This Row],[Status]],LstMachines[MoisLivr],AJ$1)</f>
        <v>0</v>
      </c>
      <c r="AK214" s="227">
        <f>SUMIFS(LstMachines[Nbre],LstMachines[Model-Spec],PrévisionBoris[[#This Row],[Spec]],LstMachines[Status],PrévisionBoris[[#This Row],[Status]],LstMachines[MoisLivr],AK$1)</f>
        <v>0</v>
      </c>
      <c r="AL214" s="226">
        <f>SUMIFS(LstMachines[Nbre],LstMachines[Model-Spec],PrévisionBoris[[#This Row],[Spec]],LstMachines[Status],PrévisionBoris[[#This Row],[Status]],LstMachines[MoisLivr],AL$1)</f>
        <v>0</v>
      </c>
      <c r="AM214" s="227">
        <f>SUMIFS(LstMachines[Nbre],LstMachines[Model-Spec],PrévisionBoris[[#This Row],[Spec]],LstMachines[Status],PrévisionBoris[[#This Row],[Status]],LstMachines[MoisLivr],AM$1)</f>
        <v>0</v>
      </c>
      <c r="AN214" s="227">
        <f>SUMIFS(LstMachines[Nbre],LstMachines[Model-Spec],PrévisionBoris[[#This Row],[Spec]],LstMachines[Status],PrévisionBoris[[#This Row],[Status]],LstMachines[MoisLivr],AN$1)</f>
        <v>0</v>
      </c>
      <c r="AO214" s="226">
        <f>SUMIFS(LstMachines[Nbre],LstMachines[Model-Spec],PrévisionBoris[[#This Row],[Spec]],LstMachines[Status],PrévisionBoris[[#This Row],[Status]],LstMachines[MoisLivr],AO$1)</f>
        <v>0</v>
      </c>
      <c r="AP214" s="227">
        <f>SUMIFS(LstMachines[Nbre],LstMachines[Model-Spec],PrévisionBoris[[#This Row],[Spec]],LstMachines[Status],PrévisionBoris[[#This Row],[Status]],LstMachines[MoisLivr],AP$1)</f>
        <v>0</v>
      </c>
      <c r="AQ214" s="227">
        <f>SUMIFS(LstMachines[Nbre],LstMachines[Model-Spec],PrévisionBoris[[#This Row],[Spec]],LstMachines[Status],PrévisionBoris[[#This Row],[Status]],LstMachines[MoisLivr],AQ$1)</f>
        <v>0</v>
      </c>
      <c r="AR214" s="226">
        <f>SUMIFS(LstMachines[Nbre],LstMachines[Model-Spec],PrévisionBoris[[#This Row],[Spec]],LstMachines[Status],PrévisionBoris[[#This Row],[Status]],LstMachines[MoisLivr],AR$1)</f>
        <v>0</v>
      </c>
      <c r="AS214" s="227">
        <f>SUMIFS(LstMachines[Nbre],LstMachines[Model-Spec],PrévisionBoris[[#This Row],[Spec]],LstMachines[Status],PrévisionBoris[[#This Row],[Status]],LstMachines[MoisLivr],AS$1)</f>
        <v>0</v>
      </c>
      <c r="AT214" s="227">
        <f>SUMIFS(LstMachines[Nbre],LstMachines[Model-Spec],PrévisionBoris[[#This Row],[Spec]],LstMachines[Status],PrévisionBoris[[#This Row],[Status]],LstMachines[MoisLivr],AT$1)</f>
        <v>0</v>
      </c>
      <c r="AU214" s="226">
        <f>SUMIFS(LstMachines[Nbre],LstMachines[Model-Spec],PrévisionBoris[[#This Row],[Spec]],LstMachines[Status],PrévisionBoris[[#This Row],[Status]],LstMachines[MoisLivr],AU$1)</f>
        <v>0</v>
      </c>
      <c r="AV214" s="230">
        <f>SUMIFS(LstMachines[Nbre],LstMachines[Model-Spec],PrévisionBoris[[#This Row],[Spec]],LstMachines[Status],PrévisionBoris[[#This Row],[Status]],LstMachines[MoisLivr],AV$1)</f>
        <v>0</v>
      </c>
      <c r="AW214" s="231">
        <f>SUMIFS(LstMachines[Nbre],LstMachines[Model-Spec],PrévisionBoris[[#This Row],[Spec]],LstMachines[Status],PrévisionBoris[[#This Row],[Status]],LstMachines[MoisLivr],AW$1)</f>
        <v>0</v>
      </c>
      <c r="AX214" s="232"/>
      <c r="AY214" s="211">
        <f t="shared" si="51"/>
        <v>0</v>
      </c>
      <c r="AZ214" s="212">
        <f t="shared" si="52"/>
        <v>0</v>
      </c>
      <c r="BA214" s="212">
        <f t="shared" si="53"/>
        <v>0</v>
      </c>
      <c r="BB214" s="213">
        <f t="shared" si="54"/>
        <v>0</v>
      </c>
      <c r="BC214" s="225">
        <f t="shared" si="55"/>
        <v>0</v>
      </c>
      <c r="BD214" s="211">
        <f t="shared" si="56"/>
        <v>0</v>
      </c>
      <c r="BE214" s="212">
        <f t="shared" si="57"/>
        <v>0</v>
      </c>
      <c r="BF214" s="212">
        <f t="shared" si="58"/>
        <v>0</v>
      </c>
      <c r="BG214" s="213">
        <f t="shared" si="59"/>
        <v>0</v>
      </c>
      <c r="BH214" s="225">
        <f t="shared" si="60"/>
        <v>0</v>
      </c>
      <c r="BI214" s="214">
        <f t="shared" si="61"/>
        <v>0</v>
      </c>
      <c r="BJ214" s="215">
        <f t="shared" si="62"/>
        <v>0</v>
      </c>
      <c r="BK214" s="215">
        <f t="shared" si="63"/>
        <v>0</v>
      </c>
      <c r="BL214" s="216">
        <f t="shared" si="64"/>
        <v>0</v>
      </c>
      <c r="BM214" s="225">
        <f t="shared" si="65"/>
        <v>0</v>
      </c>
      <c r="BN214" s="225"/>
      <c r="BO214" s="217"/>
      <c r="BP214" s="218">
        <f t="shared" si="66"/>
        <v>0</v>
      </c>
    </row>
    <row r="215" spans="1:68">
      <c r="A215" s="172">
        <v>208</v>
      </c>
      <c r="B215" s="172" t="s">
        <v>85</v>
      </c>
      <c r="C215" s="202">
        <v>85</v>
      </c>
      <c r="D215" s="172" t="s">
        <v>94</v>
      </c>
      <c r="E215" s="172" t="s">
        <v>440</v>
      </c>
      <c r="F215" s="202">
        <f>VLOOKUP(PrévisionBoris[[#This Row],[Spec]],TabModelSpecs[[ModelSpec]:[Price]],2,FALSE)</f>
        <v>65</v>
      </c>
      <c r="G215" s="172" t="s">
        <v>461</v>
      </c>
      <c r="H215" s="206">
        <f>SUMIFS(LstMachines[Nbre],LstMachines[Model-Spec],PrévisionBoris[[#This Row],[Spec]],LstMachines[Status],PrévisionBoris[[#This Row],[Status]],LstMachines[MoisLivr],H$1)</f>
        <v>0</v>
      </c>
      <c r="I215" s="207">
        <f>SUMIFS(LstMachines[Nbre],LstMachines[Model-Spec],PrévisionBoris[[#This Row],[Spec]],LstMachines[Status],PrévisionBoris[[#This Row],[Status]],LstMachines[MoisLivr],I$1)</f>
        <v>0</v>
      </c>
      <c r="J215" s="208">
        <f>SUMIFS(LstMachines[Nbre],LstMachines[Model-Spec],PrévisionBoris[[#This Row],[Spec]],LstMachines[Status],PrévisionBoris[[#This Row],[Status]],LstMachines[MoisLivr],J$1)</f>
        <v>0</v>
      </c>
      <c r="K215" s="206">
        <f>SUMIFS(LstMachines[Nbre],LstMachines[Model-Spec],PrévisionBoris[[#This Row],[Spec]],LstMachines[Status],PrévisionBoris[[#This Row],[Status]],LstMachines[MoisLivr],K$1)</f>
        <v>0</v>
      </c>
      <c r="L215" s="207">
        <f>SUMIFS(LstMachines[Nbre],LstMachines[Model-Spec],PrévisionBoris[[#This Row],[Spec]],LstMachines[Status],PrévisionBoris[[#This Row],[Status]],LstMachines[MoisLivr],L$1)</f>
        <v>0</v>
      </c>
      <c r="M215" s="208">
        <f>SUMIFS(LstMachines[Nbre],LstMachines[Model-Spec],PrévisionBoris[[#This Row],[Spec]],LstMachines[Status],PrévisionBoris[[#This Row],[Status]],LstMachines[MoisLivr],M$1)</f>
        <v>0</v>
      </c>
      <c r="N215" s="206">
        <f>SUMIFS(LstMachines[Nbre],LstMachines[Model-Spec],PrévisionBoris[[#This Row],[Spec]],LstMachines[Status],PrévisionBoris[[#This Row],[Status]],LstMachines[MoisLivr],N$1)</f>
        <v>0</v>
      </c>
      <c r="O215" s="207">
        <f>SUMIFS(LstMachines[Nbre],LstMachines[Model-Spec],PrévisionBoris[[#This Row],[Spec]],LstMachines[Status],PrévisionBoris[[#This Row],[Status]],LstMachines[MoisLivr],O$1)</f>
        <v>0</v>
      </c>
      <c r="P215" s="208">
        <f>SUMIFS(LstMachines[Nbre],LstMachines[Model-Spec],PrévisionBoris[[#This Row],[Spec]],LstMachines[Status],PrévisionBoris[[#This Row],[Status]],LstMachines[MoisLivr],P$1)</f>
        <v>0</v>
      </c>
      <c r="Q215" s="209">
        <f>SUMIFS(LstMachines[Nbre],LstMachines[Model-Spec],PrévisionBoris[[#This Row],[Spec]],LstMachines[Status],PrévisionBoris[[#This Row],[Status]],LstMachines[MoisLivr],Q$1)</f>
        <v>0</v>
      </c>
      <c r="R215" s="207">
        <f>SUMIFS(LstMachines[Nbre],LstMachines[Model-Spec],PrévisionBoris[[#This Row],[Spec]],LstMachines[Status],PrévisionBoris[[#This Row],[Status]],LstMachines[MoisLivr],R$1)</f>
        <v>0</v>
      </c>
      <c r="S215" s="207">
        <f>SUMIFS(LstMachines[Nbre],LstMachines[Model-Spec],PrévisionBoris[[#This Row],[Spec]],LstMachines[Status],PrévisionBoris[[#This Row],[Status]],LstMachines[MoisLivr],S$1)</f>
        <v>0</v>
      </c>
      <c r="T215" s="206">
        <f>SUMIFS(LstMachines[Nbre],LstMachines[Model-Spec],PrévisionBoris[[#This Row],[Spec]],LstMachines[Status],PrévisionBoris[[#This Row],[Status]],LstMachines[MoisLivr],T$1)</f>
        <v>0</v>
      </c>
      <c r="U215" s="207">
        <f>SUMIFS(LstMachines[Nbre],LstMachines[Model-Spec],PrévisionBoris[[#This Row],[Spec]],LstMachines[Status],PrévisionBoris[[#This Row],[Status]],LstMachines[MoisLivr],U$1)</f>
        <v>0</v>
      </c>
      <c r="V215" s="207">
        <f>SUMIFS(LstMachines[Nbre],LstMachines[Model-Spec],PrévisionBoris[[#This Row],[Spec]],LstMachines[Status],PrévisionBoris[[#This Row],[Status]],LstMachines[MoisLivr],V$1)</f>
        <v>0</v>
      </c>
      <c r="W215" s="206">
        <f>SUMIFS(LstMachines[Nbre],LstMachines[Model-Spec],PrévisionBoris[[#This Row],[Spec]],LstMachines[Status],PrévisionBoris[[#This Row],[Status]],LstMachines[MoisLivr],W$1)</f>
        <v>0</v>
      </c>
      <c r="X215" s="207">
        <f>SUMIFS(LstMachines[Nbre],LstMachines[Model-Spec],PrévisionBoris[[#This Row],[Spec]],LstMachines[Status],PrévisionBoris[[#This Row],[Status]],LstMachines[MoisLivr],X$1)</f>
        <v>0</v>
      </c>
      <c r="Y215" s="207">
        <f>SUMIFS(LstMachines[Nbre],LstMachines[Model-Spec],PrévisionBoris[[#This Row],[Spec]],LstMachines[Status],PrévisionBoris[[#This Row],[Status]],LstMachines[MoisLivr],Y$1)</f>
        <v>0</v>
      </c>
      <c r="Z215" s="206">
        <f>SUMIFS(LstMachines[Nbre],LstMachines[Model-Spec],PrévisionBoris[[#This Row],[Spec]],LstMachines[Status],PrévisionBoris[[#This Row],[Status]],LstMachines[MoisLivr],Z$1)</f>
        <v>0</v>
      </c>
      <c r="AA215" s="207">
        <f>SUMIFS(LstMachines[Nbre],LstMachines[Model-Spec],PrévisionBoris[[#This Row],[Spec]],LstMachines[Status],PrévisionBoris[[#This Row],[Status]],LstMachines[MoisLivr],AA$1)</f>
        <v>0</v>
      </c>
      <c r="AB215" s="207">
        <f>SUMIFS(LstMachines[Nbre],LstMachines[Model-Spec],PrévisionBoris[[#This Row],[Spec]],LstMachines[Status],PrévisionBoris[[#This Row],[Status]],LstMachines[MoisLivr],AB$1)</f>
        <v>0</v>
      </c>
      <c r="AC215" s="206">
        <f>SUMIFS(LstMachines[Nbre],LstMachines[Model-Spec],PrévisionBoris[[#This Row],[Spec]],LstMachines[Status],PrévisionBoris[[#This Row],[Status]],LstMachines[MoisLivr],AC$1)</f>
        <v>0</v>
      </c>
      <c r="AD215" s="207">
        <f>SUMIFS(LstMachines[Nbre],LstMachines[Model-Spec],PrévisionBoris[[#This Row],[Spec]],LstMachines[Status],PrévisionBoris[[#This Row],[Status]],LstMachines[MoisLivr],AD$1)</f>
        <v>0</v>
      </c>
      <c r="AE215" s="207">
        <f>SUMIFS(LstMachines[Nbre],LstMachines[Model-Spec],PrévisionBoris[[#This Row],[Spec]],LstMachines[Status],PrévisionBoris[[#This Row],[Status]],LstMachines[MoisLivr],AE$1)</f>
        <v>0</v>
      </c>
      <c r="AF215" s="206">
        <f>SUMIFS(LstMachines[Nbre],LstMachines[Model-Spec],PrévisionBoris[[#This Row],[Spec]],LstMachines[Status],PrévisionBoris[[#This Row],[Status]],LstMachines[MoisLivr],AF$1)</f>
        <v>0</v>
      </c>
      <c r="AG215" s="207">
        <f>SUMIFS(LstMachines[Nbre],LstMachines[Model-Spec],PrévisionBoris[[#This Row],[Spec]],LstMachines[Status],PrévisionBoris[[#This Row],[Status]],LstMachines[MoisLivr],AG$1)</f>
        <v>0</v>
      </c>
      <c r="AH215" s="207">
        <f>SUMIFS(LstMachines[Nbre],LstMachines[Model-Spec],PrévisionBoris[[#This Row],[Spec]],LstMachines[Status],PrévisionBoris[[#This Row],[Status]],LstMachines[MoisLivr],AH$1)</f>
        <v>0</v>
      </c>
      <c r="AI215" s="206">
        <f>SUMIFS(LstMachines[Nbre],LstMachines[Model-Spec],PrévisionBoris[[#This Row],[Spec]],LstMachines[Status],PrévisionBoris[[#This Row],[Status]],LstMachines[MoisLivr],AI$1)</f>
        <v>0</v>
      </c>
      <c r="AJ215" s="207">
        <f>SUMIFS(LstMachines[Nbre],LstMachines[Model-Spec],PrévisionBoris[[#This Row],[Spec]],LstMachines[Status],PrévisionBoris[[#This Row],[Status]],LstMachines[MoisLivr],AJ$1)</f>
        <v>0</v>
      </c>
      <c r="AK215" s="207">
        <f>SUMIFS(LstMachines[Nbre],LstMachines[Model-Spec],PrévisionBoris[[#This Row],[Spec]],LstMachines[Status],PrévisionBoris[[#This Row],[Status]],LstMachines[MoisLivr],AK$1)</f>
        <v>0</v>
      </c>
      <c r="AL215" s="206">
        <f>SUMIFS(LstMachines[Nbre],LstMachines[Model-Spec],PrévisionBoris[[#This Row],[Spec]],LstMachines[Status],PrévisionBoris[[#This Row],[Status]],LstMachines[MoisLivr],AL$1)</f>
        <v>0</v>
      </c>
      <c r="AM215" s="207">
        <f>SUMIFS(LstMachines[Nbre],LstMachines[Model-Spec],PrévisionBoris[[#This Row],[Spec]],LstMachines[Status],PrévisionBoris[[#This Row],[Status]],LstMachines[MoisLivr],AM$1)</f>
        <v>0</v>
      </c>
      <c r="AN215" s="207">
        <f>SUMIFS(LstMachines[Nbre],LstMachines[Model-Spec],PrévisionBoris[[#This Row],[Spec]],LstMachines[Status],PrévisionBoris[[#This Row],[Status]],LstMachines[MoisLivr],AN$1)</f>
        <v>0</v>
      </c>
      <c r="AO215" s="206">
        <f>SUMIFS(LstMachines[Nbre],LstMachines[Model-Spec],PrévisionBoris[[#This Row],[Spec]],LstMachines[Status],PrévisionBoris[[#This Row],[Status]],LstMachines[MoisLivr],AO$1)</f>
        <v>0</v>
      </c>
      <c r="AP215" s="207">
        <f>SUMIFS(LstMachines[Nbre],LstMachines[Model-Spec],PrévisionBoris[[#This Row],[Spec]],LstMachines[Status],PrévisionBoris[[#This Row],[Status]],LstMachines[MoisLivr],AP$1)</f>
        <v>0</v>
      </c>
      <c r="AQ215" s="207">
        <f>SUMIFS(LstMachines[Nbre],LstMachines[Model-Spec],PrévisionBoris[[#This Row],[Spec]],LstMachines[Status],PrévisionBoris[[#This Row],[Status]],LstMachines[MoisLivr],AQ$1)</f>
        <v>0</v>
      </c>
      <c r="AR215" s="206">
        <f>SUMIFS(LstMachines[Nbre],LstMachines[Model-Spec],PrévisionBoris[[#This Row],[Spec]],LstMachines[Status],PrévisionBoris[[#This Row],[Status]],LstMachines[MoisLivr],AR$1)</f>
        <v>0</v>
      </c>
      <c r="AS215" s="207">
        <f>SUMIFS(LstMachines[Nbre],LstMachines[Model-Spec],PrévisionBoris[[#This Row],[Spec]],LstMachines[Status],PrévisionBoris[[#This Row],[Status]],LstMachines[MoisLivr],AS$1)</f>
        <v>0</v>
      </c>
      <c r="AT215" s="207">
        <f>SUMIFS(LstMachines[Nbre],LstMachines[Model-Spec],PrévisionBoris[[#This Row],[Spec]],LstMachines[Status],PrévisionBoris[[#This Row],[Status]],LstMachines[MoisLivr],AT$1)</f>
        <v>0</v>
      </c>
      <c r="AU215" s="206">
        <f>SUMIFS(LstMachines[Nbre],LstMachines[Model-Spec],PrévisionBoris[[#This Row],[Spec]],LstMachines[Status],PrévisionBoris[[#This Row],[Status]],LstMachines[MoisLivr],AU$1)</f>
        <v>0</v>
      </c>
      <c r="AV215" s="233">
        <f>SUMIFS(LstMachines[Nbre],LstMachines[Model-Spec],PrévisionBoris[[#This Row],[Spec]],LstMachines[Status],PrévisionBoris[[#This Row],[Status]],LstMachines[MoisLivr],AV$1)</f>
        <v>0</v>
      </c>
      <c r="AW215" s="208">
        <f>SUMIFS(LstMachines[Nbre],LstMachines[Model-Spec],PrévisionBoris[[#This Row],[Spec]],LstMachines[Status],PrévisionBoris[[#This Row],[Status]],LstMachines[MoisLivr],AW$1)</f>
        <v>0</v>
      </c>
      <c r="AX215" s="225"/>
      <c r="AY215" s="211">
        <f t="shared" si="51"/>
        <v>0</v>
      </c>
      <c r="AZ215" s="212">
        <f t="shared" si="52"/>
        <v>0</v>
      </c>
      <c r="BA215" s="212">
        <f t="shared" si="53"/>
        <v>0</v>
      </c>
      <c r="BB215" s="213">
        <f t="shared" si="54"/>
        <v>0</v>
      </c>
      <c r="BC215" s="225">
        <f t="shared" si="55"/>
        <v>0</v>
      </c>
      <c r="BD215" s="211">
        <f t="shared" si="56"/>
        <v>0</v>
      </c>
      <c r="BE215" s="212">
        <f t="shared" si="57"/>
        <v>0</v>
      </c>
      <c r="BF215" s="212">
        <f t="shared" si="58"/>
        <v>0</v>
      </c>
      <c r="BG215" s="213">
        <f t="shared" si="59"/>
        <v>0</v>
      </c>
      <c r="BH215" s="225">
        <f t="shared" si="60"/>
        <v>0</v>
      </c>
      <c r="BI215" s="214">
        <f t="shared" si="61"/>
        <v>0</v>
      </c>
      <c r="BJ215" s="215">
        <f t="shared" si="62"/>
        <v>0</v>
      </c>
      <c r="BK215" s="215">
        <f t="shared" si="63"/>
        <v>0</v>
      </c>
      <c r="BL215" s="216">
        <f t="shared" si="64"/>
        <v>0</v>
      </c>
      <c r="BM215" s="225">
        <f t="shared" si="65"/>
        <v>0</v>
      </c>
      <c r="BN215" s="225"/>
      <c r="BO215" s="234"/>
      <c r="BP215" s="218">
        <f t="shared" si="66"/>
        <v>0</v>
      </c>
    </row>
    <row r="216" spans="1:68">
      <c r="A216" s="170">
        <v>209</v>
      </c>
      <c r="B216" s="170" t="s">
        <v>85</v>
      </c>
      <c r="C216" s="200">
        <v>85</v>
      </c>
      <c r="D216" s="170" t="s">
        <v>94</v>
      </c>
      <c r="E216" s="170" t="s">
        <v>440</v>
      </c>
      <c r="F216" s="200">
        <f>VLOOKUP(PrévisionBoris[[#This Row],[Spec]],TabModelSpecs[[ModelSpec]:[Price]],2,FALSE)</f>
        <v>65</v>
      </c>
      <c r="G216" s="170" t="s">
        <v>462</v>
      </c>
      <c r="H216" s="219">
        <f>SUMIFS(LstMachines[Nbre],LstMachines[Model-Spec],PrévisionBoris[[#This Row],[Spec]],LstMachines[Status],PrévisionBoris[[#This Row],[Status]],LstMachines[MoisLivr],H$1)</f>
        <v>0</v>
      </c>
      <c r="I216" s="220">
        <f>SUMIFS(LstMachines[Nbre],LstMachines[Model-Spec],PrévisionBoris[[#This Row],[Spec]],LstMachines[Status],PrévisionBoris[[#This Row],[Status]],LstMachines[MoisLivr],I$1)</f>
        <v>0</v>
      </c>
      <c r="J216" s="221">
        <f>SUMIFS(LstMachines[Nbre],LstMachines[Model-Spec],PrévisionBoris[[#This Row],[Spec]],LstMachines[Status],PrévisionBoris[[#This Row],[Status]],LstMachines[MoisLivr],J$1)</f>
        <v>0</v>
      </c>
      <c r="K216" s="219">
        <f>SUMIFS(LstMachines[Nbre],LstMachines[Model-Spec],PrévisionBoris[[#This Row],[Spec]],LstMachines[Status],PrévisionBoris[[#This Row],[Status]],LstMachines[MoisLivr],K$1)</f>
        <v>0</v>
      </c>
      <c r="L216" s="220">
        <f>SUMIFS(LstMachines[Nbre],LstMachines[Model-Spec],PrévisionBoris[[#This Row],[Spec]],LstMachines[Status],PrévisionBoris[[#This Row],[Status]],LstMachines[MoisLivr],L$1)</f>
        <v>0</v>
      </c>
      <c r="M216" s="221">
        <f>SUMIFS(LstMachines[Nbre],LstMachines[Model-Spec],PrévisionBoris[[#This Row],[Spec]],LstMachines[Status],PrévisionBoris[[#This Row],[Status]],LstMachines[MoisLivr],M$1)</f>
        <v>0</v>
      </c>
      <c r="N216" s="219">
        <f>SUMIFS(LstMachines[Nbre],LstMachines[Model-Spec],PrévisionBoris[[#This Row],[Spec]],LstMachines[Status],PrévisionBoris[[#This Row],[Status]],LstMachines[MoisLivr],N$1)</f>
        <v>0</v>
      </c>
      <c r="O216" s="220">
        <f>SUMIFS(LstMachines[Nbre],LstMachines[Model-Spec],PrévisionBoris[[#This Row],[Spec]],LstMachines[Status],PrévisionBoris[[#This Row],[Status]],LstMachines[MoisLivr],O$1)</f>
        <v>0</v>
      </c>
      <c r="P216" s="221">
        <f>SUMIFS(LstMachines[Nbre],LstMachines[Model-Spec],PrévisionBoris[[#This Row],[Spec]],LstMachines[Status],PrévisionBoris[[#This Row],[Status]],LstMachines[MoisLivr],P$1)</f>
        <v>0</v>
      </c>
      <c r="Q216" s="222">
        <f>SUMIFS(LstMachines[Nbre],LstMachines[Model-Spec],PrévisionBoris[[#This Row],[Spec]],LstMachines[Status],PrévisionBoris[[#This Row],[Status]],LstMachines[MoisLivr],Q$1)</f>
        <v>0</v>
      </c>
      <c r="R216" s="220">
        <f>SUMIFS(LstMachines[Nbre],LstMachines[Model-Spec],PrévisionBoris[[#This Row],[Spec]],LstMachines[Status],PrévisionBoris[[#This Row],[Status]],LstMachines[MoisLivr],R$1)</f>
        <v>0</v>
      </c>
      <c r="S216" s="220">
        <f>SUMIFS(LstMachines[Nbre],LstMachines[Model-Spec],PrévisionBoris[[#This Row],[Spec]],LstMachines[Status],PrévisionBoris[[#This Row],[Status]],LstMachines[MoisLivr],S$1)</f>
        <v>0</v>
      </c>
      <c r="T216" s="219">
        <f>SUMIFS(LstMachines[Nbre],LstMachines[Model-Spec],PrévisionBoris[[#This Row],[Spec]],LstMachines[Status],PrévisionBoris[[#This Row],[Status]],LstMachines[MoisLivr],T$1)</f>
        <v>0</v>
      </c>
      <c r="U216" s="220">
        <f>SUMIFS(LstMachines[Nbre],LstMachines[Model-Spec],PrévisionBoris[[#This Row],[Spec]],LstMachines[Status],PrévisionBoris[[#This Row],[Status]],LstMachines[MoisLivr],U$1)</f>
        <v>0</v>
      </c>
      <c r="V216" s="220">
        <f>SUMIFS(LstMachines[Nbre],LstMachines[Model-Spec],PrévisionBoris[[#This Row],[Spec]],LstMachines[Status],PrévisionBoris[[#This Row],[Status]],LstMachines[MoisLivr],V$1)</f>
        <v>0</v>
      </c>
      <c r="W216" s="219">
        <f>SUMIFS(LstMachines[Nbre],LstMachines[Model-Spec],PrévisionBoris[[#This Row],[Spec]],LstMachines[Status],PrévisionBoris[[#This Row],[Status]],LstMachines[MoisLivr],W$1)</f>
        <v>0</v>
      </c>
      <c r="X216" s="220">
        <f>SUMIFS(LstMachines[Nbre],LstMachines[Model-Spec],PrévisionBoris[[#This Row],[Spec]],LstMachines[Status],PrévisionBoris[[#This Row],[Status]],LstMachines[MoisLivr],X$1)</f>
        <v>0</v>
      </c>
      <c r="Y216" s="220">
        <f>SUMIFS(LstMachines[Nbre],LstMachines[Model-Spec],PrévisionBoris[[#This Row],[Spec]],LstMachines[Status],PrévisionBoris[[#This Row],[Status]],LstMachines[MoisLivr],Y$1)</f>
        <v>0</v>
      </c>
      <c r="Z216" s="219">
        <f>SUMIFS(LstMachines[Nbre],LstMachines[Model-Spec],PrévisionBoris[[#This Row],[Spec]],LstMachines[Status],PrévisionBoris[[#This Row],[Status]],LstMachines[MoisLivr],Z$1)</f>
        <v>0</v>
      </c>
      <c r="AA216" s="220">
        <f>SUMIFS(LstMachines[Nbre],LstMachines[Model-Spec],PrévisionBoris[[#This Row],[Spec]],LstMachines[Status],PrévisionBoris[[#This Row],[Status]],LstMachines[MoisLivr],AA$1)</f>
        <v>0</v>
      </c>
      <c r="AB216" s="220">
        <f>SUMIFS(LstMachines[Nbre],LstMachines[Model-Spec],PrévisionBoris[[#This Row],[Spec]],LstMachines[Status],PrévisionBoris[[#This Row],[Status]],LstMachines[MoisLivr],AB$1)</f>
        <v>0</v>
      </c>
      <c r="AC216" s="219">
        <f>SUMIFS(LstMachines[Nbre],LstMachines[Model-Spec],PrévisionBoris[[#This Row],[Spec]],LstMachines[Status],PrévisionBoris[[#This Row],[Status]],LstMachines[MoisLivr],AC$1)</f>
        <v>0</v>
      </c>
      <c r="AD216" s="220">
        <f>SUMIFS(LstMachines[Nbre],LstMachines[Model-Spec],PrévisionBoris[[#This Row],[Spec]],LstMachines[Status],PrévisionBoris[[#This Row],[Status]],LstMachines[MoisLivr],AD$1)</f>
        <v>0</v>
      </c>
      <c r="AE216" s="220">
        <f>SUMIFS(LstMachines[Nbre],LstMachines[Model-Spec],PrévisionBoris[[#This Row],[Spec]],LstMachines[Status],PrévisionBoris[[#This Row],[Status]],LstMachines[MoisLivr],AE$1)</f>
        <v>0</v>
      </c>
      <c r="AF216" s="219">
        <f>SUMIFS(LstMachines[Nbre],LstMachines[Model-Spec],PrévisionBoris[[#This Row],[Spec]],LstMachines[Status],PrévisionBoris[[#This Row],[Status]],LstMachines[MoisLivr],AF$1)</f>
        <v>0</v>
      </c>
      <c r="AG216" s="220">
        <f>SUMIFS(LstMachines[Nbre],LstMachines[Model-Spec],PrévisionBoris[[#This Row],[Spec]],LstMachines[Status],PrévisionBoris[[#This Row],[Status]],LstMachines[MoisLivr],AG$1)</f>
        <v>0</v>
      </c>
      <c r="AH216" s="220">
        <f>SUMIFS(LstMachines[Nbre],LstMachines[Model-Spec],PrévisionBoris[[#This Row],[Spec]],LstMachines[Status],PrévisionBoris[[#This Row],[Status]],LstMachines[MoisLivr],AH$1)</f>
        <v>0</v>
      </c>
      <c r="AI216" s="219">
        <f>SUMIFS(LstMachines[Nbre],LstMachines[Model-Spec],PrévisionBoris[[#This Row],[Spec]],LstMachines[Status],PrévisionBoris[[#This Row],[Status]],LstMachines[MoisLivr],AI$1)</f>
        <v>0</v>
      </c>
      <c r="AJ216" s="220">
        <f>SUMIFS(LstMachines[Nbre],LstMachines[Model-Spec],PrévisionBoris[[#This Row],[Spec]],LstMachines[Status],PrévisionBoris[[#This Row],[Status]],LstMachines[MoisLivr],AJ$1)</f>
        <v>0</v>
      </c>
      <c r="AK216" s="220">
        <f>SUMIFS(LstMachines[Nbre],LstMachines[Model-Spec],PrévisionBoris[[#This Row],[Spec]],LstMachines[Status],PrévisionBoris[[#This Row],[Status]],LstMachines[MoisLivr],AK$1)</f>
        <v>0</v>
      </c>
      <c r="AL216" s="219">
        <f>SUMIFS(LstMachines[Nbre],LstMachines[Model-Spec],PrévisionBoris[[#This Row],[Spec]],LstMachines[Status],PrévisionBoris[[#This Row],[Status]],LstMachines[MoisLivr],AL$1)</f>
        <v>0</v>
      </c>
      <c r="AM216" s="220">
        <f>SUMIFS(LstMachines[Nbre],LstMachines[Model-Spec],PrévisionBoris[[#This Row],[Spec]],LstMachines[Status],PrévisionBoris[[#This Row],[Status]],LstMachines[MoisLivr],AM$1)</f>
        <v>0</v>
      </c>
      <c r="AN216" s="220">
        <f>SUMIFS(LstMachines[Nbre],LstMachines[Model-Spec],PrévisionBoris[[#This Row],[Spec]],LstMachines[Status],PrévisionBoris[[#This Row],[Status]],LstMachines[MoisLivr],AN$1)</f>
        <v>0</v>
      </c>
      <c r="AO216" s="219">
        <f>SUMIFS(LstMachines[Nbre],LstMachines[Model-Spec],PrévisionBoris[[#This Row],[Spec]],LstMachines[Status],PrévisionBoris[[#This Row],[Status]],LstMachines[MoisLivr],AO$1)</f>
        <v>0</v>
      </c>
      <c r="AP216" s="220">
        <f>SUMIFS(LstMachines[Nbre],LstMachines[Model-Spec],PrévisionBoris[[#This Row],[Spec]],LstMachines[Status],PrévisionBoris[[#This Row],[Status]],LstMachines[MoisLivr],AP$1)</f>
        <v>0</v>
      </c>
      <c r="AQ216" s="220">
        <f>SUMIFS(LstMachines[Nbre],LstMachines[Model-Spec],PrévisionBoris[[#This Row],[Spec]],LstMachines[Status],PrévisionBoris[[#This Row],[Status]],LstMachines[MoisLivr],AQ$1)</f>
        <v>0</v>
      </c>
      <c r="AR216" s="219">
        <f>SUMIFS(LstMachines[Nbre],LstMachines[Model-Spec],PrévisionBoris[[#This Row],[Spec]],LstMachines[Status],PrévisionBoris[[#This Row],[Status]],LstMachines[MoisLivr],AR$1)</f>
        <v>0</v>
      </c>
      <c r="AS216" s="220">
        <f>SUMIFS(LstMachines[Nbre],LstMachines[Model-Spec],PrévisionBoris[[#This Row],[Spec]],LstMachines[Status],PrévisionBoris[[#This Row],[Status]],LstMachines[MoisLivr],AS$1)</f>
        <v>0</v>
      </c>
      <c r="AT216" s="220">
        <f>SUMIFS(LstMachines[Nbre],LstMachines[Model-Spec],PrévisionBoris[[#This Row],[Spec]],LstMachines[Status],PrévisionBoris[[#This Row],[Status]],LstMachines[MoisLivr],AT$1)</f>
        <v>0</v>
      </c>
      <c r="AU216" s="219">
        <f>SUMIFS(LstMachines[Nbre],LstMachines[Model-Spec],PrévisionBoris[[#This Row],[Spec]],LstMachines[Status],PrévisionBoris[[#This Row],[Status]],LstMachines[MoisLivr],AU$1)</f>
        <v>0</v>
      </c>
      <c r="AV216" s="223">
        <f>SUMIFS(LstMachines[Nbre],LstMachines[Model-Spec],PrévisionBoris[[#This Row],[Spec]],LstMachines[Status],PrévisionBoris[[#This Row],[Status]],LstMachines[MoisLivr],AV$1)</f>
        <v>0</v>
      </c>
      <c r="AW216" s="224">
        <f>SUMIFS(LstMachines[Nbre],LstMachines[Model-Spec],PrévisionBoris[[#This Row],[Spec]],LstMachines[Status],PrévisionBoris[[#This Row],[Status]],LstMachines[MoisLivr],AW$1)</f>
        <v>0</v>
      </c>
      <c r="AX216" s="210"/>
      <c r="AY216" s="211">
        <f t="shared" si="51"/>
        <v>0</v>
      </c>
      <c r="AZ216" s="212">
        <f t="shared" si="52"/>
        <v>0</v>
      </c>
      <c r="BA216" s="212">
        <f t="shared" si="53"/>
        <v>0</v>
      </c>
      <c r="BB216" s="213">
        <f t="shared" si="54"/>
        <v>0</v>
      </c>
      <c r="BC216" s="225">
        <f t="shared" si="55"/>
        <v>0</v>
      </c>
      <c r="BD216" s="211">
        <f t="shared" si="56"/>
        <v>0</v>
      </c>
      <c r="BE216" s="212">
        <f t="shared" si="57"/>
        <v>0</v>
      </c>
      <c r="BF216" s="212">
        <f t="shared" si="58"/>
        <v>0</v>
      </c>
      <c r="BG216" s="213">
        <f t="shared" si="59"/>
        <v>0</v>
      </c>
      <c r="BH216" s="225">
        <f t="shared" si="60"/>
        <v>0</v>
      </c>
      <c r="BI216" s="214">
        <f t="shared" si="61"/>
        <v>0</v>
      </c>
      <c r="BJ216" s="215">
        <f t="shared" si="62"/>
        <v>0</v>
      </c>
      <c r="BK216" s="215">
        <f t="shared" si="63"/>
        <v>0</v>
      </c>
      <c r="BL216" s="216">
        <f t="shared" si="64"/>
        <v>0</v>
      </c>
      <c r="BM216" s="225">
        <f t="shared" si="65"/>
        <v>0</v>
      </c>
      <c r="BN216" s="225"/>
      <c r="BO216" s="217"/>
      <c r="BP216" s="218">
        <f t="shared" si="66"/>
        <v>0</v>
      </c>
    </row>
    <row r="217" spans="1:68">
      <c r="A217" s="171">
        <v>210</v>
      </c>
      <c r="B217" s="171" t="s">
        <v>85</v>
      </c>
      <c r="C217" s="201">
        <v>85</v>
      </c>
      <c r="D217" s="171" t="s">
        <v>94</v>
      </c>
      <c r="E217" s="171" t="s">
        <v>440</v>
      </c>
      <c r="F217" s="201">
        <f>VLOOKUP(PrévisionBoris[[#This Row],[Spec]],TabModelSpecs[[ModelSpec]:[Price]],2,FALSE)</f>
        <v>65</v>
      </c>
      <c r="G217" s="171" t="s">
        <v>463</v>
      </c>
      <c r="H217" s="226">
        <f>SUMIFS(LstMachines[Nbre],LstMachines[Model-Spec],PrévisionBoris[[#This Row],[Spec]],LstMachines[Status],PrévisionBoris[[#This Row],[Status]],LstMachines[MoisLivr],H$1)</f>
        <v>0</v>
      </c>
      <c r="I217" s="227">
        <f>SUMIFS(LstMachines[Nbre],LstMachines[Model-Spec],PrévisionBoris[[#This Row],[Spec]],LstMachines[Status],PrévisionBoris[[#This Row],[Status]],LstMachines[MoisLivr],I$1)</f>
        <v>0</v>
      </c>
      <c r="J217" s="228">
        <f>SUMIFS(LstMachines[Nbre],LstMachines[Model-Spec],PrévisionBoris[[#This Row],[Spec]],LstMachines[Status],PrévisionBoris[[#This Row],[Status]],LstMachines[MoisLivr],J$1)</f>
        <v>0</v>
      </c>
      <c r="K217" s="226">
        <f>SUMIFS(LstMachines[Nbre],LstMachines[Model-Spec],PrévisionBoris[[#This Row],[Spec]],LstMachines[Status],PrévisionBoris[[#This Row],[Status]],LstMachines[MoisLivr],K$1)</f>
        <v>0</v>
      </c>
      <c r="L217" s="227">
        <f>SUMIFS(LstMachines[Nbre],LstMachines[Model-Spec],PrévisionBoris[[#This Row],[Spec]],LstMachines[Status],PrévisionBoris[[#This Row],[Status]],LstMachines[MoisLivr],L$1)</f>
        <v>0</v>
      </c>
      <c r="M217" s="228">
        <f>SUMIFS(LstMachines[Nbre],LstMachines[Model-Spec],PrévisionBoris[[#This Row],[Spec]],LstMachines[Status],PrévisionBoris[[#This Row],[Status]],LstMachines[MoisLivr],M$1)</f>
        <v>0</v>
      </c>
      <c r="N217" s="226">
        <f>SUMIFS(LstMachines[Nbre],LstMachines[Model-Spec],PrévisionBoris[[#This Row],[Spec]],LstMachines[Status],PrévisionBoris[[#This Row],[Status]],LstMachines[MoisLivr],N$1)</f>
        <v>0</v>
      </c>
      <c r="O217" s="227">
        <f>SUMIFS(LstMachines[Nbre],LstMachines[Model-Spec],PrévisionBoris[[#This Row],[Spec]],LstMachines[Status],PrévisionBoris[[#This Row],[Status]],LstMachines[MoisLivr],O$1)</f>
        <v>0</v>
      </c>
      <c r="P217" s="228">
        <f>SUMIFS(LstMachines[Nbre],LstMachines[Model-Spec],PrévisionBoris[[#This Row],[Spec]],LstMachines[Status],PrévisionBoris[[#This Row],[Status]],LstMachines[MoisLivr],P$1)</f>
        <v>0</v>
      </c>
      <c r="Q217" s="229">
        <f>SUMIFS(LstMachines[Nbre],LstMachines[Model-Spec],PrévisionBoris[[#This Row],[Spec]],LstMachines[Status],PrévisionBoris[[#This Row],[Status]],LstMachines[MoisLivr],Q$1)</f>
        <v>0</v>
      </c>
      <c r="R217" s="227">
        <f>SUMIFS(LstMachines[Nbre],LstMachines[Model-Spec],PrévisionBoris[[#This Row],[Spec]],LstMachines[Status],PrévisionBoris[[#This Row],[Status]],LstMachines[MoisLivr],R$1)</f>
        <v>0</v>
      </c>
      <c r="S217" s="227">
        <f>SUMIFS(LstMachines[Nbre],LstMachines[Model-Spec],PrévisionBoris[[#This Row],[Spec]],LstMachines[Status],PrévisionBoris[[#This Row],[Status]],LstMachines[MoisLivr],S$1)</f>
        <v>0</v>
      </c>
      <c r="T217" s="226">
        <f>SUMIFS(LstMachines[Nbre],LstMachines[Model-Spec],PrévisionBoris[[#This Row],[Spec]],LstMachines[Status],PrévisionBoris[[#This Row],[Status]],LstMachines[MoisLivr],T$1)</f>
        <v>0</v>
      </c>
      <c r="U217" s="227">
        <f>SUMIFS(LstMachines[Nbre],LstMachines[Model-Spec],PrévisionBoris[[#This Row],[Spec]],LstMachines[Status],PrévisionBoris[[#This Row],[Status]],LstMachines[MoisLivr],U$1)</f>
        <v>0</v>
      </c>
      <c r="V217" s="227">
        <f>SUMIFS(LstMachines[Nbre],LstMachines[Model-Spec],PrévisionBoris[[#This Row],[Spec]],LstMachines[Status],PrévisionBoris[[#This Row],[Status]],LstMachines[MoisLivr],V$1)</f>
        <v>0</v>
      </c>
      <c r="W217" s="226">
        <f>SUMIFS(LstMachines[Nbre],LstMachines[Model-Spec],PrévisionBoris[[#This Row],[Spec]],LstMachines[Status],PrévisionBoris[[#This Row],[Status]],LstMachines[MoisLivr],W$1)</f>
        <v>0</v>
      </c>
      <c r="X217" s="227">
        <f>SUMIFS(LstMachines[Nbre],LstMachines[Model-Spec],PrévisionBoris[[#This Row],[Spec]],LstMachines[Status],PrévisionBoris[[#This Row],[Status]],LstMachines[MoisLivr],X$1)</f>
        <v>0</v>
      </c>
      <c r="Y217" s="227">
        <f>SUMIFS(LstMachines[Nbre],LstMachines[Model-Spec],PrévisionBoris[[#This Row],[Spec]],LstMachines[Status],PrévisionBoris[[#This Row],[Status]],LstMachines[MoisLivr],Y$1)</f>
        <v>0</v>
      </c>
      <c r="Z217" s="226">
        <f>SUMIFS(LstMachines[Nbre],LstMachines[Model-Spec],PrévisionBoris[[#This Row],[Spec]],LstMachines[Status],PrévisionBoris[[#This Row],[Status]],LstMachines[MoisLivr],Z$1)</f>
        <v>0</v>
      </c>
      <c r="AA217" s="227">
        <f>SUMIFS(LstMachines[Nbre],LstMachines[Model-Spec],PrévisionBoris[[#This Row],[Spec]],LstMachines[Status],PrévisionBoris[[#This Row],[Status]],LstMachines[MoisLivr],AA$1)</f>
        <v>0</v>
      </c>
      <c r="AB217" s="227">
        <f>SUMIFS(LstMachines[Nbre],LstMachines[Model-Spec],PrévisionBoris[[#This Row],[Spec]],LstMachines[Status],PrévisionBoris[[#This Row],[Status]],LstMachines[MoisLivr],AB$1)</f>
        <v>0</v>
      </c>
      <c r="AC217" s="226">
        <f>SUMIFS(LstMachines[Nbre],LstMachines[Model-Spec],PrévisionBoris[[#This Row],[Spec]],LstMachines[Status],PrévisionBoris[[#This Row],[Status]],LstMachines[MoisLivr],AC$1)</f>
        <v>0</v>
      </c>
      <c r="AD217" s="227">
        <f>SUMIFS(LstMachines[Nbre],LstMachines[Model-Spec],PrévisionBoris[[#This Row],[Spec]],LstMachines[Status],PrévisionBoris[[#This Row],[Status]],LstMachines[MoisLivr],AD$1)</f>
        <v>0</v>
      </c>
      <c r="AE217" s="227">
        <f>SUMIFS(LstMachines[Nbre],LstMachines[Model-Spec],PrévisionBoris[[#This Row],[Spec]],LstMachines[Status],PrévisionBoris[[#This Row],[Status]],LstMachines[MoisLivr],AE$1)</f>
        <v>0</v>
      </c>
      <c r="AF217" s="226">
        <f>SUMIFS(LstMachines[Nbre],LstMachines[Model-Spec],PrévisionBoris[[#This Row],[Spec]],LstMachines[Status],PrévisionBoris[[#This Row],[Status]],LstMachines[MoisLivr],AF$1)</f>
        <v>0</v>
      </c>
      <c r="AG217" s="227">
        <f>SUMIFS(LstMachines[Nbre],LstMachines[Model-Spec],PrévisionBoris[[#This Row],[Spec]],LstMachines[Status],PrévisionBoris[[#This Row],[Status]],LstMachines[MoisLivr],AG$1)</f>
        <v>0</v>
      </c>
      <c r="AH217" s="227">
        <f>SUMIFS(LstMachines[Nbre],LstMachines[Model-Spec],PrévisionBoris[[#This Row],[Spec]],LstMachines[Status],PrévisionBoris[[#This Row],[Status]],LstMachines[MoisLivr],AH$1)</f>
        <v>0</v>
      </c>
      <c r="AI217" s="226">
        <f>SUMIFS(LstMachines[Nbre],LstMachines[Model-Spec],PrévisionBoris[[#This Row],[Spec]],LstMachines[Status],PrévisionBoris[[#This Row],[Status]],LstMachines[MoisLivr],AI$1)</f>
        <v>0</v>
      </c>
      <c r="AJ217" s="227">
        <f>SUMIFS(LstMachines[Nbre],LstMachines[Model-Spec],PrévisionBoris[[#This Row],[Spec]],LstMachines[Status],PrévisionBoris[[#This Row],[Status]],LstMachines[MoisLivr],AJ$1)</f>
        <v>0</v>
      </c>
      <c r="AK217" s="227">
        <f>SUMIFS(LstMachines[Nbre],LstMachines[Model-Spec],PrévisionBoris[[#This Row],[Spec]],LstMachines[Status],PrévisionBoris[[#This Row],[Status]],LstMachines[MoisLivr],AK$1)</f>
        <v>0</v>
      </c>
      <c r="AL217" s="226">
        <f>SUMIFS(LstMachines[Nbre],LstMachines[Model-Spec],PrévisionBoris[[#This Row],[Spec]],LstMachines[Status],PrévisionBoris[[#This Row],[Status]],LstMachines[MoisLivr],AL$1)</f>
        <v>0</v>
      </c>
      <c r="AM217" s="227">
        <f>SUMIFS(LstMachines[Nbre],LstMachines[Model-Spec],PrévisionBoris[[#This Row],[Spec]],LstMachines[Status],PrévisionBoris[[#This Row],[Status]],LstMachines[MoisLivr],AM$1)</f>
        <v>0</v>
      </c>
      <c r="AN217" s="227">
        <f>SUMIFS(LstMachines[Nbre],LstMachines[Model-Spec],PrévisionBoris[[#This Row],[Spec]],LstMachines[Status],PrévisionBoris[[#This Row],[Status]],LstMachines[MoisLivr],AN$1)</f>
        <v>0</v>
      </c>
      <c r="AO217" s="226">
        <f>SUMIFS(LstMachines[Nbre],LstMachines[Model-Spec],PrévisionBoris[[#This Row],[Spec]],LstMachines[Status],PrévisionBoris[[#This Row],[Status]],LstMachines[MoisLivr],AO$1)</f>
        <v>0</v>
      </c>
      <c r="AP217" s="227">
        <f>SUMIFS(LstMachines[Nbre],LstMachines[Model-Spec],PrévisionBoris[[#This Row],[Spec]],LstMachines[Status],PrévisionBoris[[#This Row],[Status]],LstMachines[MoisLivr],AP$1)</f>
        <v>0</v>
      </c>
      <c r="AQ217" s="227">
        <f>SUMIFS(LstMachines[Nbre],LstMachines[Model-Spec],PrévisionBoris[[#This Row],[Spec]],LstMachines[Status],PrévisionBoris[[#This Row],[Status]],LstMachines[MoisLivr],AQ$1)</f>
        <v>0</v>
      </c>
      <c r="AR217" s="226">
        <f>SUMIFS(LstMachines[Nbre],LstMachines[Model-Spec],PrévisionBoris[[#This Row],[Spec]],LstMachines[Status],PrévisionBoris[[#This Row],[Status]],LstMachines[MoisLivr],AR$1)</f>
        <v>0</v>
      </c>
      <c r="AS217" s="227">
        <f>SUMIFS(LstMachines[Nbre],LstMachines[Model-Spec],PrévisionBoris[[#This Row],[Spec]],LstMachines[Status],PrévisionBoris[[#This Row],[Status]],LstMachines[MoisLivr],AS$1)</f>
        <v>0</v>
      </c>
      <c r="AT217" s="227">
        <f>SUMIFS(LstMachines[Nbre],LstMachines[Model-Spec],PrévisionBoris[[#This Row],[Spec]],LstMachines[Status],PrévisionBoris[[#This Row],[Status]],LstMachines[MoisLivr],AT$1)</f>
        <v>0</v>
      </c>
      <c r="AU217" s="226">
        <f>SUMIFS(LstMachines[Nbre],LstMachines[Model-Spec],PrévisionBoris[[#This Row],[Spec]],LstMachines[Status],PrévisionBoris[[#This Row],[Status]],LstMachines[MoisLivr],AU$1)</f>
        <v>0</v>
      </c>
      <c r="AV217" s="230">
        <f>SUMIFS(LstMachines[Nbre],LstMachines[Model-Spec],PrévisionBoris[[#This Row],[Spec]],LstMachines[Status],PrévisionBoris[[#This Row],[Status]],LstMachines[MoisLivr],AV$1)</f>
        <v>0</v>
      </c>
      <c r="AW217" s="231">
        <f>SUMIFS(LstMachines[Nbre],LstMachines[Model-Spec],PrévisionBoris[[#This Row],[Spec]],LstMachines[Status],PrévisionBoris[[#This Row],[Status]],LstMachines[MoisLivr],AW$1)</f>
        <v>0</v>
      </c>
      <c r="AX217" s="232"/>
      <c r="AY217" s="211">
        <f t="shared" si="51"/>
        <v>0</v>
      </c>
      <c r="AZ217" s="212">
        <f t="shared" si="52"/>
        <v>0</v>
      </c>
      <c r="BA217" s="212">
        <f t="shared" si="53"/>
        <v>0</v>
      </c>
      <c r="BB217" s="213">
        <f t="shared" si="54"/>
        <v>0</v>
      </c>
      <c r="BC217" s="225">
        <f t="shared" si="55"/>
        <v>0</v>
      </c>
      <c r="BD217" s="211">
        <f t="shared" si="56"/>
        <v>0</v>
      </c>
      <c r="BE217" s="212">
        <f t="shared" si="57"/>
        <v>0</v>
      </c>
      <c r="BF217" s="212">
        <f t="shared" si="58"/>
        <v>0</v>
      </c>
      <c r="BG217" s="213">
        <f t="shared" si="59"/>
        <v>0</v>
      </c>
      <c r="BH217" s="225">
        <f t="shared" si="60"/>
        <v>0</v>
      </c>
      <c r="BI217" s="214">
        <f t="shared" si="61"/>
        <v>0</v>
      </c>
      <c r="BJ217" s="215">
        <f t="shared" si="62"/>
        <v>0</v>
      </c>
      <c r="BK217" s="215">
        <f t="shared" si="63"/>
        <v>0</v>
      </c>
      <c r="BL217" s="216">
        <f t="shared" si="64"/>
        <v>0</v>
      </c>
      <c r="BM217" s="225">
        <f t="shared" si="65"/>
        <v>0</v>
      </c>
      <c r="BN217" s="225"/>
      <c r="BO217" s="217"/>
      <c r="BP217" s="218">
        <f t="shared" si="66"/>
        <v>0</v>
      </c>
    </row>
    <row r="218" spans="1:68">
      <c r="A218" s="172">
        <v>211</v>
      </c>
      <c r="B218" s="172" t="s">
        <v>85</v>
      </c>
      <c r="C218" s="202">
        <v>85</v>
      </c>
      <c r="D218" s="172" t="s">
        <v>94</v>
      </c>
      <c r="E218" s="172" t="s">
        <v>441</v>
      </c>
      <c r="F218" s="202">
        <f>VLOOKUP(PrévisionBoris[[#This Row],[Spec]],TabModelSpecs[[ModelSpec]:[Price]],2,FALSE)</f>
        <v>70</v>
      </c>
      <c r="G218" s="172" t="s">
        <v>461</v>
      </c>
      <c r="H218" s="206">
        <f>SUMIFS(LstMachines[Nbre],LstMachines[Model-Spec],PrévisionBoris[[#This Row],[Spec]],LstMachines[Status],PrévisionBoris[[#This Row],[Status]],LstMachines[MoisLivr],H$1)</f>
        <v>0</v>
      </c>
      <c r="I218" s="207">
        <f>SUMIFS(LstMachines[Nbre],LstMachines[Model-Spec],PrévisionBoris[[#This Row],[Spec]],LstMachines[Status],PrévisionBoris[[#This Row],[Status]],LstMachines[MoisLivr],I$1)</f>
        <v>0</v>
      </c>
      <c r="J218" s="208">
        <f>SUMIFS(LstMachines[Nbre],LstMachines[Model-Spec],PrévisionBoris[[#This Row],[Spec]],LstMachines[Status],PrévisionBoris[[#This Row],[Status]],LstMachines[MoisLivr],J$1)</f>
        <v>0</v>
      </c>
      <c r="K218" s="206">
        <f>SUMIFS(LstMachines[Nbre],LstMachines[Model-Spec],PrévisionBoris[[#This Row],[Spec]],LstMachines[Status],PrévisionBoris[[#This Row],[Status]],LstMachines[MoisLivr],K$1)</f>
        <v>0</v>
      </c>
      <c r="L218" s="207">
        <f>SUMIFS(LstMachines[Nbre],LstMachines[Model-Spec],PrévisionBoris[[#This Row],[Spec]],LstMachines[Status],PrévisionBoris[[#This Row],[Status]],LstMachines[MoisLivr],L$1)</f>
        <v>0</v>
      </c>
      <c r="M218" s="208">
        <f>SUMIFS(LstMachines[Nbre],LstMachines[Model-Spec],PrévisionBoris[[#This Row],[Spec]],LstMachines[Status],PrévisionBoris[[#This Row],[Status]],LstMachines[MoisLivr],M$1)</f>
        <v>0</v>
      </c>
      <c r="N218" s="206">
        <f>SUMIFS(LstMachines[Nbre],LstMachines[Model-Spec],PrévisionBoris[[#This Row],[Spec]],LstMachines[Status],PrévisionBoris[[#This Row],[Status]],LstMachines[MoisLivr],N$1)</f>
        <v>0</v>
      </c>
      <c r="O218" s="207">
        <f>SUMIFS(LstMachines[Nbre],LstMachines[Model-Spec],PrévisionBoris[[#This Row],[Spec]],LstMachines[Status],PrévisionBoris[[#This Row],[Status]],LstMachines[MoisLivr],O$1)</f>
        <v>0</v>
      </c>
      <c r="P218" s="208">
        <f>SUMIFS(LstMachines[Nbre],LstMachines[Model-Spec],PrévisionBoris[[#This Row],[Spec]],LstMachines[Status],PrévisionBoris[[#This Row],[Status]],LstMachines[MoisLivr],P$1)</f>
        <v>0</v>
      </c>
      <c r="Q218" s="209">
        <f>SUMIFS(LstMachines[Nbre],LstMachines[Model-Spec],PrévisionBoris[[#This Row],[Spec]],LstMachines[Status],PrévisionBoris[[#This Row],[Status]],LstMachines[MoisLivr],Q$1)</f>
        <v>0</v>
      </c>
      <c r="R218" s="207">
        <f>SUMIFS(LstMachines[Nbre],LstMachines[Model-Spec],PrévisionBoris[[#This Row],[Spec]],LstMachines[Status],PrévisionBoris[[#This Row],[Status]],LstMachines[MoisLivr],R$1)</f>
        <v>0</v>
      </c>
      <c r="S218" s="207">
        <f>SUMIFS(LstMachines[Nbre],LstMachines[Model-Spec],PrévisionBoris[[#This Row],[Spec]],LstMachines[Status],PrévisionBoris[[#This Row],[Status]],LstMachines[MoisLivr],S$1)</f>
        <v>0</v>
      </c>
      <c r="T218" s="206">
        <f>SUMIFS(LstMachines[Nbre],LstMachines[Model-Spec],PrévisionBoris[[#This Row],[Spec]],LstMachines[Status],PrévisionBoris[[#This Row],[Status]],LstMachines[MoisLivr],T$1)</f>
        <v>0</v>
      </c>
      <c r="U218" s="207">
        <f>SUMIFS(LstMachines[Nbre],LstMachines[Model-Spec],PrévisionBoris[[#This Row],[Spec]],LstMachines[Status],PrévisionBoris[[#This Row],[Status]],LstMachines[MoisLivr],U$1)</f>
        <v>0</v>
      </c>
      <c r="V218" s="207">
        <f>SUMIFS(LstMachines[Nbre],LstMachines[Model-Spec],PrévisionBoris[[#This Row],[Spec]],LstMachines[Status],PrévisionBoris[[#This Row],[Status]],LstMachines[MoisLivr],V$1)</f>
        <v>0</v>
      </c>
      <c r="W218" s="206">
        <f>SUMIFS(LstMachines[Nbre],LstMachines[Model-Spec],PrévisionBoris[[#This Row],[Spec]],LstMachines[Status],PrévisionBoris[[#This Row],[Status]],LstMachines[MoisLivr],W$1)</f>
        <v>0</v>
      </c>
      <c r="X218" s="207">
        <f>SUMIFS(LstMachines[Nbre],LstMachines[Model-Spec],PrévisionBoris[[#This Row],[Spec]],LstMachines[Status],PrévisionBoris[[#This Row],[Status]],LstMachines[MoisLivr],X$1)</f>
        <v>0</v>
      </c>
      <c r="Y218" s="207">
        <f>SUMIFS(LstMachines[Nbre],LstMachines[Model-Spec],PrévisionBoris[[#This Row],[Spec]],LstMachines[Status],PrévisionBoris[[#This Row],[Status]],LstMachines[MoisLivr],Y$1)</f>
        <v>0</v>
      </c>
      <c r="Z218" s="206">
        <f>SUMIFS(LstMachines[Nbre],LstMachines[Model-Spec],PrévisionBoris[[#This Row],[Spec]],LstMachines[Status],PrévisionBoris[[#This Row],[Status]],LstMachines[MoisLivr],Z$1)</f>
        <v>0</v>
      </c>
      <c r="AA218" s="207">
        <f>SUMIFS(LstMachines[Nbre],LstMachines[Model-Spec],PrévisionBoris[[#This Row],[Spec]],LstMachines[Status],PrévisionBoris[[#This Row],[Status]],LstMachines[MoisLivr],AA$1)</f>
        <v>0</v>
      </c>
      <c r="AB218" s="207">
        <f>SUMIFS(LstMachines[Nbre],LstMachines[Model-Spec],PrévisionBoris[[#This Row],[Spec]],LstMachines[Status],PrévisionBoris[[#This Row],[Status]],LstMachines[MoisLivr],AB$1)</f>
        <v>0</v>
      </c>
      <c r="AC218" s="206">
        <f>SUMIFS(LstMachines[Nbre],LstMachines[Model-Spec],PrévisionBoris[[#This Row],[Spec]],LstMachines[Status],PrévisionBoris[[#This Row],[Status]],LstMachines[MoisLivr],AC$1)</f>
        <v>0</v>
      </c>
      <c r="AD218" s="207">
        <f>SUMIFS(LstMachines[Nbre],LstMachines[Model-Spec],PrévisionBoris[[#This Row],[Spec]],LstMachines[Status],PrévisionBoris[[#This Row],[Status]],LstMachines[MoisLivr],AD$1)</f>
        <v>0</v>
      </c>
      <c r="AE218" s="207">
        <f>SUMIFS(LstMachines[Nbre],LstMachines[Model-Spec],PrévisionBoris[[#This Row],[Spec]],LstMachines[Status],PrévisionBoris[[#This Row],[Status]],LstMachines[MoisLivr],AE$1)</f>
        <v>0</v>
      </c>
      <c r="AF218" s="206">
        <f>SUMIFS(LstMachines[Nbre],LstMachines[Model-Spec],PrévisionBoris[[#This Row],[Spec]],LstMachines[Status],PrévisionBoris[[#This Row],[Status]],LstMachines[MoisLivr],AF$1)</f>
        <v>0</v>
      </c>
      <c r="AG218" s="207">
        <f>SUMIFS(LstMachines[Nbre],LstMachines[Model-Spec],PrévisionBoris[[#This Row],[Spec]],LstMachines[Status],PrévisionBoris[[#This Row],[Status]],LstMachines[MoisLivr],AG$1)</f>
        <v>0</v>
      </c>
      <c r="AH218" s="207">
        <f>SUMIFS(LstMachines[Nbre],LstMachines[Model-Spec],PrévisionBoris[[#This Row],[Spec]],LstMachines[Status],PrévisionBoris[[#This Row],[Status]],LstMachines[MoisLivr],AH$1)</f>
        <v>0</v>
      </c>
      <c r="AI218" s="206">
        <f>SUMIFS(LstMachines[Nbre],LstMachines[Model-Spec],PrévisionBoris[[#This Row],[Spec]],LstMachines[Status],PrévisionBoris[[#This Row],[Status]],LstMachines[MoisLivr],AI$1)</f>
        <v>0</v>
      </c>
      <c r="AJ218" s="207">
        <f>SUMIFS(LstMachines[Nbre],LstMachines[Model-Spec],PrévisionBoris[[#This Row],[Spec]],LstMachines[Status],PrévisionBoris[[#This Row],[Status]],LstMachines[MoisLivr],AJ$1)</f>
        <v>0</v>
      </c>
      <c r="AK218" s="207">
        <f>SUMIFS(LstMachines[Nbre],LstMachines[Model-Spec],PrévisionBoris[[#This Row],[Spec]],LstMachines[Status],PrévisionBoris[[#This Row],[Status]],LstMachines[MoisLivr],AK$1)</f>
        <v>0</v>
      </c>
      <c r="AL218" s="206">
        <f>SUMIFS(LstMachines[Nbre],LstMachines[Model-Spec],PrévisionBoris[[#This Row],[Spec]],LstMachines[Status],PrévisionBoris[[#This Row],[Status]],LstMachines[MoisLivr],AL$1)</f>
        <v>0</v>
      </c>
      <c r="AM218" s="207">
        <f>SUMIFS(LstMachines[Nbre],LstMachines[Model-Spec],PrévisionBoris[[#This Row],[Spec]],LstMachines[Status],PrévisionBoris[[#This Row],[Status]],LstMachines[MoisLivr],AM$1)</f>
        <v>0</v>
      </c>
      <c r="AN218" s="207">
        <f>SUMIFS(LstMachines[Nbre],LstMachines[Model-Spec],PrévisionBoris[[#This Row],[Spec]],LstMachines[Status],PrévisionBoris[[#This Row],[Status]],LstMachines[MoisLivr],AN$1)</f>
        <v>0</v>
      </c>
      <c r="AO218" s="206">
        <f>SUMIFS(LstMachines[Nbre],LstMachines[Model-Spec],PrévisionBoris[[#This Row],[Spec]],LstMachines[Status],PrévisionBoris[[#This Row],[Status]],LstMachines[MoisLivr],AO$1)</f>
        <v>0</v>
      </c>
      <c r="AP218" s="207">
        <f>SUMIFS(LstMachines[Nbre],LstMachines[Model-Spec],PrévisionBoris[[#This Row],[Spec]],LstMachines[Status],PrévisionBoris[[#This Row],[Status]],LstMachines[MoisLivr],AP$1)</f>
        <v>0</v>
      </c>
      <c r="AQ218" s="207">
        <f>SUMIFS(LstMachines[Nbre],LstMachines[Model-Spec],PrévisionBoris[[#This Row],[Spec]],LstMachines[Status],PrévisionBoris[[#This Row],[Status]],LstMachines[MoisLivr],AQ$1)</f>
        <v>0</v>
      </c>
      <c r="AR218" s="206">
        <f>SUMIFS(LstMachines[Nbre],LstMachines[Model-Spec],PrévisionBoris[[#This Row],[Spec]],LstMachines[Status],PrévisionBoris[[#This Row],[Status]],LstMachines[MoisLivr],AR$1)</f>
        <v>0</v>
      </c>
      <c r="AS218" s="207">
        <f>SUMIFS(LstMachines[Nbre],LstMachines[Model-Spec],PrévisionBoris[[#This Row],[Spec]],LstMachines[Status],PrévisionBoris[[#This Row],[Status]],LstMachines[MoisLivr],AS$1)</f>
        <v>0</v>
      </c>
      <c r="AT218" s="207">
        <f>SUMIFS(LstMachines[Nbre],LstMachines[Model-Spec],PrévisionBoris[[#This Row],[Spec]],LstMachines[Status],PrévisionBoris[[#This Row],[Status]],LstMachines[MoisLivr],AT$1)</f>
        <v>0</v>
      </c>
      <c r="AU218" s="206">
        <f>SUMIFS(LstMachines[Nbre],LstMachines[Model-Spec],PrévisionBoris[[#This Row],[Spec]],LstMachines[Status],PrévisionBoris[[#This Row],[Status]],LstMachines[MoisLivr],AU$1)</f>
        <v>0</v>
      </c>
      <c r="AV218" s="233">
        <f>SUMIFS(LstMachines[Nbre],LstMachines[Model-Spec],PrévisionBoris[[#This Row],[Spec]],LstMachines[Status],PrévisionBoris[[#This Row],[Status]],LstMachines[MoisLivr],AV$1)</f>
        <v>0</v>
      </c>
      <c r="AW218" s="208">
        <f>SUMIFS(LstMachines[Nbre],LstMachines[Model-Spec],PrévisionBoris[[#This Row],[Spec]],LstMachines[Status],PrévisionBoris[[#This Row],[Status]],LstMachines[MoisLivr],AW$1)</f>
        <v>0</v>
      </c>
      <c r="AX218" s="225"/>
      <c r="AY218" s="211">
        <f t="shared" si="51"/>
        <v>0</v>
      </c>
      <c r="AZ218" s="212">
        <f t="shared" si="52"/>
        <v>0</v>
      </c>
      <c r="BA218" s="212">
        <f t="shared" si="53"/>
        <v>0</v>
      </c>
      <c r="BB218" s="213">
        <f t="shared" si="54"/>
        <v>0</v>
      </c>
      <c r="BC218" s="225">
        <f t="shared" si="55"/>
        <v>0</v>
      </c>
      <c r="BD218" s="211">
        <f t="shared" si="56"/>
        <v>0</v>
      </c>
      <c r="BE218" s="212">
        <f t="shared" si="57"/>
        <v>0</v>
      </c>
      <c r="BF218" s="212">
        <f t="shared" si="58"/>
        <v>0</v>
      </c>
      <c r="BG218" s="213">
        <f t="shared" si="59"/>
        <v>0</v>
      </c>
      <c r="BH218" s="225">
        <f t="shared" si="60"/>
        <v>0</v>
      </c>
      <c r="BI218" s="214">
        <f t="shared" si="61"/>
        <v>0</v>
      </c>
      <c r="BJ218" s="215">
        <f t="shared" si="62"/>
        <v>0</v>
      </c>
      <c r="BK218" s="215">
        <f t="shared" si="63"/>
        <v>0</v>
      </c>
      <c r="BL218" s="216">
        <f t="shared" si="64"/>
        <v>0</v>
      </c>
      <c r="BM218" s="225">
        <f t="shared" si="65"/>
        <v>0</v>
      </c>
      <c r="BN218" s="225"/>
      <c r="BO218" s="234"/>
      <c r="BP218" s="218">
        <f t="shared" si="66"/>
        <v>0</v>
      </c>
    </row>
    <row r="219" spans="1:68">
      <c r="A219" s="170">
        <v>212</v>
      </c>
      <c r="B219" s="170" t="s">
        <v>85</v>
      </c>
      <c r="C219" s="200">
        <v>85</v>
      </c>
      <c r="D219" s="170" t="s">
        <v>94</v>
      </c>
      <c r="E219" s="170" t="s">
        <v>441</v>
      </c>
      <c r="F219" s="200">
        <f>VLOOKUP(PrévisionBoris[[#This Row],[Spec]],TabModelSpecs[[ModelSpec]:[Price]],2,FALSE)</f>
        <v>70</v>
      </c>
      <c r="G219" s="170" t="s">
        <v>462</v>
      </c>
      <c r="H219" s="219">
        <f>SUMIFS(LstMachines[Nbre],LstMachines[Model-Spec],PrévisionBoris[[#This Row],[Spec]],LstMachines[Status],PrévisionBoris[[#This Row],[Status]],LstMachines[MoisLivr],H$1)</f>
        <v>0</v>
      </c>
      <c r="I219" s="220">
        <f>SUMIFS(LstMachines[Nbre],LstMachines[Model-Spec],PrévisionBoris[[#This Row],[Spec]],LstMachines[Status],PrévisionBoris[[#This Row],[Status]],LstMachines[MoisLivr],I$1)</f>
        <v>0</v>
      </c>
      <c r="J219" s="221">
        <f>SUMIFS(LstMachines[Nbre],LstMachines[Model-Spec],PrévisionBoris[[#This Row],[Spec]],LstMachines[Status],PrévisionBoris[[#This Row],[Status]],LstMachines[MoisLivr],J$1)</f>
        <v>0</v>
      </c>
      <c r="K219" s="219">
        <f>SUMIFS(LstMachines[Nbre],LstMachines[Model-Spec],PrévisionBoris[[#This Row],[Spec]],LstMachines[Status],PrévisionBoris[[#This Row],[Status]],LstMachines[MoisLivr],K$1)</f>
        <v>0</v>
      </c>
      <c r="L219" s="220">
        <f>SUMIFS(LstMachines[Nbre],LstMachines[Model-Spec],PrévisionBoris[[#This Row],[Spec]],LstMachines[Status],PrévisionBoris[[#This Row],[Status]],LstMachines[MoisLivr],L$1)</f>
        <v>0</v>
      </c>
      <c r="M219" s="221">
        <f>SUMIFS(LstMachines[Nbre],LstMachines[Model-Spec],PrévisionBoris[[#This Row],[Spec]],LstMachines[Status],PrévisionBoris[[#This Row],[Status]],LstMachines[MoisLivr],M$1)</f>
        <v>0</v>
      </c>
      <c r="N219" s="219">
        <f>SUMIFS(LstMachines[Nbre],LstMachines[Model-Spec],PrévisionBoris[[#This Row],[Spec]],LstMachines[Status],PrévisionBoris[[#This Row],[Status]],LstMachines[MoisLivr],N$1)</f>
        <v>0</v>
      </c>
      <c r="O219" s="220">
        <f>SUMIFS(LstMachines[Nbre],LstMachines[Model-Spec],PrévisionBoris[[#This Row],[Spec]],LstMachines[Status],PrévisionBoris[[#This Row],[Status]],LstMachines[MoisLivr],O$1)</f>
        <v>0</v>
      </c>
      <c r="P219" s="221">
        <f>SUMIFS(LstMachines[Nbre],LstMachines[Model-Spec],PrévisionBoris[[#This Row],[Spec]],LstMachines[Status],PrévisionBoris[[#This Row],[Status]],LstMachines[MoisLivr],P$1)</f>
        <v>0</v>
      </c>
      <c r="Q219" s="222">
        <f>SUMIFS(LstMachines[Nbre],LstMachines[Model-Spec],PrévisionBoris[[#This Row],[Spec]],LstMachines[Status],PrévisionBoris[[#This Row],[Status]],LstMachines[MoisLivr],Q$1)</f>
        <v>0</v>
      </c>
      <c r="R219" s="220">
        <f>SUMIFS(LstMachines[Nbre],LstMachines[Model-Spec],PrévisionBoris[[#This Row],[Spec]],LstMachines[Status],PrévisionBoris[[#This Row],[Status]],LstMachines[MoisLivr],R$1)</f>
        <v>0</v>
      </c>
      <c r="S219" s="220">
        <f>SUMIFS(LstMachines[Nbre],LstMachines[Model-Spec],PrévisionBoris[[#This Row],[Spec]],LstMachines[Status],PrévisionBoris[[#This Row],[Status]],LstMachines[MoisLivr],S$1)</f>
        <v>0</v>
      </c>
      <c r="T219" s="219">
        <f>SUMIFS(LstMachines[Nbre],LstMachines[Model-Spec],PrévisionBoris[[#This Row],[Spec]],LstMachines[Status],PrévisionBoris[[#This Row],[Status]],LstMachines[MoisLivr],T$1)</f>
        <v>0</v>
      </c>
      <c r="U219" s="220">
        <f>SUMIFS(LstMachines[Nbre],LstMachines[Model-Spec],PrévisionBoris[[#This Row],[Spec]],LstMachines[Status],PrévisionBoris[[#This Row],[Status]],LstMachines[MoisLivr],U$1)</f>
        <v>0</v>
      </c>
      <c r="V219" s="220">
        <f>SUMIFS(LstMachines[Nbre],LstMachines[Model-Spec],PrévisionBoris[[#This Row],[Spec]],LstMachines[Status],PrévisionBoris[[#This Row],[Status]],LstMachines[MoisLivr],V$1)</f>
        <v>0</v>
      </c>
      <c r="W219" s="219">
        <f>SUMIFS(LstMachines[Nbre],LstMachines[Model-Spec],PrévisionBoris[[#This Row],[Spec]],LstMachines[Status],PrévisionBoris[[#This Row],[Status]],LstMachines[MoisLivr],W$1)</f>
        <v>0</v>
      </c>
      <c r="X219" s="220">
        <f>SUMIFS(LstMachines[Nbre],LstMachines[Model-Spec],PrévisionBoris[[#This Row],[Spec]],LstMachines[Status],PrévisionBoris[[#This Row],[Status]],LstMachines[MoisLivr],X$1)</f>
        <v>0</v>
      </c>
      <c r="Y219" s="220">
        <f>SUMIFS(LstMachines[Nbre],LstMachines[Model-Spec],PrévisionBoris[[#This Row],[Spec]],LstMachines[Status],PrévisionBoris[[#This Row],[Status]],LstMachines[MoisLivr],Y$1)</f>
        <v>0</v>
      </c>
      <c r="Z219" s="219">
        <f>SUMIFS(LstMachines[Nbre],LstMachines[Model-Spec],PrévisionBoris[[#This Row],[Spec]],LstMachines[Status],PrévisionBoris[[#This Row],[Status]],LstMachines[MoisLivr],Z$1)</f>
        <v>0</v>
      </c>
      <c r="AA219" s="220">
        <f>SUMIFS(LstMachines[Nbre],LstMachines[Model-Spec],PrévisionBoris[[#This Row],[Spec]],LstMachines[Status],PrévisionBoris[[#This Row],[Status]],LstMachines[MoisLivr],AA$1)</f>
        <v>0</v>
      </c>
      <c r="AB219" s="220">
        <f>SUMIFS(LstMachines[Nbre],LstMachines[Model-Spec],PrévisionBoris[[#This Row],[Spec]],LstMachines[Status],PrévisionBoris[[#This Row],[Status]],LstMachines[MoisLivr],AB$1)</f>
        <v>0</v>
      </c>
      <c r="AC219" s="219">
        <f>SUMIFS(LstMachines[Nbre],LstMachines[Model-Spec],PrévisionBoris[[#This Row],[Spec]],LstMachines[Status],PrévisionBoris[[#This Row],[Status]],LstMachines[MoisLivr],AC$1)</f>
        <v>0</v>
      </c>
      <c r="AD219" s="220">
        <f>SUMIFS(LstMachines[Nbre],LstMachines[Model-Spec],PrévisionBoris[[#This Row],[Spec]],LstMachines[Status],PrévisionBoris[[#This Row],[Status]],LstMachines[MoisLivr],AD$1)</f>
        <v>0</v>
      </c>
      <c r="AE219" s="220">
        <f>SUMIFS(LstMachines[Nbre],LstMachines[Model-Spec],PrévisionBoris[[#This Row],[Spec]],LstMachines[Status],PrévisionBoris[[#This Row],[Status]],LstMachines[MoisLivr],AE$1)</f>
        <v>0</v>
      </c>
      <c r="AF219" s="219">
        <f>SUMIFS(LstMachines[Nbre],LstMachines[Model-Spec],PrévisionBoris[[#This Row],[Spec]],LstMachines[Status],PrévisionBoris[[#This Row],[Status]],LstMachines[MoisLivr],AF$1)</f>
        <v>0</v>
      </c>
      <c r="AG219" s="220">
        <f>SUMIFS(LstMachines[Nbre],LstMachines[Model-Spec],PrévisionBoris[[#This Row],[Spec]],LstMachines[Status],PrévisionBoris[[#This Row],[Status]],LstMachines[MoisLivr],AG$1)</f>
        <v>0</v>
      </c>
      <c r="AH219" s="220">
        <f>SUMIFS(LstMachines[Nbre],LstMachines[Model-Spec],PrévisionBoris[[#This Row],[Spec]],LstMachines[Status],PrévisionBoris[[#This Row],[Status]],LstMachines[MoisLivr],AH$1)</f>
        <v>0</v>
      </c>
      <c r="AI219" s="219">
        <f>SUMIFS(LstMachines[Nbre],LstMachines[Model-Spec],PrévisionBoris[[#This Row],[Spec]],LstMachines[Status],PrévisionBoris[[#This Row],[Status]],LstMachines[MoisLivr],AI$1)</f>
        <v>0</v>
      </c>
      <c r="AJ219" s="220">
        <f>SUMIFS(LstMachines[Nbre],LstMachines[Model-Spec],PrévisionBoris[[#This Row],[Spec]],LstMachines[Status],PrévisionBoris[[#This Row],[Status]],LstMachines[MoisLivr],AJ$1)</f>
        <v>0</v>
      </c>
      <c r="AK219" s="220">
        <f>SUMIFS(LstMachines[Nbre],LstMachines[Model-Spec],PrévisionBoris[[#This Row],[Spec]],LstMachines[Status],PrévisionBoris[[#This Row],[Status]],LstMachines[MoisLivr],AK$1)</f>
        <v>0</v>
      </c>
      <c r="AL219" s="219">
        <f>SUMIFS(LstMachines[Nbre],LstMachines[Model-Spec],PrévisionBoris[[#This Row],[Spec]],LstMachines[Status],PrévisionBoris[[#This Row],[Status]],LstMachines[MoisLivr],AL$1)</f>
        <v>0</v>
      </c>
      <c r="AM219" s="220">
        <f>SUMIFS(LstMachines[Nbre],LstMachines[Model-Spec],PrévisionBoris[[#This Row],[Spec]],LstMachines[Status],PrévisionBoris[[#This Row],[Status]],LstMachines[MoisLivr],AM$1)</f>
        <v>0</v>
      </c>
      <c r="AN219" s="220">
        <f>SUMIFS(LstMachines[Nbre],LstMachines[Model-Spec],PrévisionBoris[[#This Row],[Spec]],LstMachines[Status],PrévisionBoris[[#This Row],[Status]],LstMachines[MoisLivr],AN$1)</f>
        <v>0</v>
      </c>
      <c r="AO219" s="219">
        <f>SUMIFS(LstMachines[Nbre],LstMachines[Model-Spec],PrévisionBoris[[#This Row],[Spec]],LstMachines[Status],PrévisionBoris[[#This Row],[Status]],LstMachines[MoisLivr],AO$1)</f>
        <v>0</v>
      </c>
      <c r="AP219" s="220">
        <f>SUMIFS(LstMachines[Nbre],LstMachines[Model-Spec],PrévisionBoris[[#This Row],[Spec]],LstMachines[Status],PrévisionBoris[[#This Row],[Status]],LstMachines[MoisLivr],AP$1)</f>
        <v>0</v>
      </c>
      <c r="AQ219" s="220">
        <f>SUMIFS(LstMachines[Nbre],LstMachines[Model-Spec],PrévisionBoris[[#This Row],[Spec]],LstMachines[Status],PrévisionBoris[[#This Row],[Status]],LstMachines[MoisLivr],AQ$1)</f>
        <v>0</v>
      </c>
      <c r="AR219" s="219">
        <f>SUMIFS(LstMachines[Nbre],LstMachines[Model-Spec],PrévisionBoris[[#This Row],[Spec]],LstMachines[Status],PrévisionBoris[[#This Row],[Status]],LstMachines[MoisLivr],AR$1)</f>
        <v>0</v>
      </c>
      <c r="AS219" s="220">
        <f>SUMIFS(LstMachines[Nbre],LstMachines[Model-Spec],PrévisionBoris[[#This Row],[Spec]],LstMachines[Status],PrévisionBoris[[#This Row],[Status]],LstMachines[MoisLivr],AS$1)</f>
        <v>0</v>
      </c>
      <c r="AT219" s="220">
        <f>SUMIFS(LstMachines[Nbre],LstMachines[Model-Spec],PrévisionBoris[[#This Row],[Spec]],LstMachines[Status],PrévisionBoris[[#This Row],[Status]],LstMachines[MoisLivr],AT$1)</f>
        <v>0</v>
      </c>
      <c r="AU219" s="219">
        <f>SUMIFS(LstMachines[Nbre],LstMachines[Model-Spec],PrévisionBoris[[#This Row],[Spec]],LstMachines[Status],PrévisionBoris[[#This Row],[Status]],LstMachines[MoisLivr],AU$1)</f>
        <v>0</v>
      </c>
      <c r="AV219" s="223">
        <f>SUMIFS(LstMachines[Nbre],LstMachines[Model-Spec],PrévisionBoris[[#This Row],[Spec]],LstMachines[Status],PrévisionBoris[[#This Row],[Status]],LstMachines[MoisLivr],AV$1)</f>
        <v>0</v>
      </c>
      <c r="AW219" s="224">
        <f>SUMIFS(LstMachines[Nbre],LstMachines[Model-Spec],PrévisionBoris[[#This Row],[Spec]],LstMachines[Status],PrévisionBoris[[#This Row],[Status]],LstMachines[MoisLivr],AW$1)</f>
        <v>0</v>
      </c>
      <c r="AX219" s="210"/>
      <c r="AY219" s="211">
        <f t="shared" si="51"/>
        <v>0</v>
      </c>
      <c r="AZ219" s="212">
        <f t="shared" si="52"/>
        <v>0</v>
      </c>
      <c r="BA219" s="212">
        <f t="shared" si="53"/>
        <v>0</v>
      </c>
      <c r="BB219" s="213">
        <f t="shared" si="54"/>
        <v>0</v>
      </c>
      <c r="BC219" s="225">
        <f t="shared" si="55"/>
        <v>0</v>
      </c>
      <c r="BD219" s="211">
        <f t="shared" si="56"/>
        <v>0</v>
      </c>
      <c r="BE219" s="212">
        <f t="shared" si="57"/>
        <v>0</v>
      </c>
      <c r="BF219" s="212">
        <f t="shared" si="58"/>
        <v>0</v>
      </c>
      <c r="BG219" s="213">
        <f t="shared" si="59"/>
        <v>0</v>
      </c>
      <c r="BH219" s="225">
        <f t="shared" si="60"/>
        <v>0</v>
      </c>
      <c r="BI219" s="214">
        <f t="shared" si="61"/>
        <v>0</v>
      </c>
      <c r="BJ219" s="215">
        <f t="shared" si="62"/>
        <v>0</v>
      </c>
      <c r="BK219" s="215">
        <f t="shared" si="63"/>
        <v>0</v>
      </c>
      <c r="BL219" s="216">
        <f t="shared" si="64"/>
        <v>0</v>
      </c>
      <c r="BM219" s="225">
        <f t="shared" si="65"/>
        <v>0</v>
      </c>
      <c r="BN219" s="225"/>
      <c r="BO219" s="217"/>
      <c r="BP219" s="218">
        <f t="shared" si="66"/>
        <v>0</v>
      </c>
    </row>
    <row r="220" spans="1:68">
      <c r="A220" s="171">
        <v>213</v>
      </c>
      <c r="B220" s="171" t="s">
        <v>85</v>
      </c>
      <c r="C220" s="201">
        <v>85</v>
      </c>
      <c r="D220" s="171" t="s">
        <v>94</v>
      </c>
      <c r="E220" s="171" t="s">
        <v>441</v>
      </c>
      <c r="F220" s="201">
        <f>VLOOKUP(PrévisionBoris[[#This Row],[Spec]],TabModelSpecs[[ModelSpec]:[Price]],2,FALSE)</f>
        <v>70</v>
      </c>
      <c r="G220" s="171" t="s">
        <v>463</v>
      </c>
      <c r="H220" s="226">
        <f>SUMIFS(LstMachines[Nbre],LstMachines[Model-Spec],PrévisionBoris[[#This Row],[Spec]],LstMachines[Status],PrévisionBoris[[#This Row],[Status]],LstMachines[MoisLivr],H$1)</f>
        <v>0</v>
      </c>
      <c r="I220" s="227">
        <f>SUMIFS(LstMachines[Nbre],LstMachines[Model-Spec],PrévisionBoris[[#This Row],[Spec]],LstMachines[Status],PrévisionBoris[[#This Row],[Status]],LstMachines[MoisLivr],I$1)</f>
        <v>0</v>
      </c>
      <c r="J220" s="228">
        <f>SUMIFS(LstMachines[Nbre],LstMachines[Model-Spec],PrévisionBoris[[#This Row],[Spec]],LstMachines[Status],PrévisionBoris[[#This Row],[Status]],LstMachines[MoisLivr],J$1)</f>
        <v>0</v>
      </c>
      <c r="K220" s="226">
        <f>SUMIFS(LstMachines[Nbre],LstMachines[Model-Spec],PrévisionBoris[[#This Row],[Spec]],LstMachines[Status],PrévisionBoris[[#This Row],[Status]],LstMachines[MoisLivr],K$1)</f>
        <v>0</v>
      </c>
      <c r="L220" s="227">
        <f>SUMIFS(LstMachines[Nbre],LstMachines[Model-Spec],PrévisionBoris[[#This Row],[Spec]],LstMachines[Status],PrévisionBoris[[#This Row],[Status]],LstMachines[MoisLivr],L$1)</f>
        <v>0</v>
      </c>
      <c r="M220" s="228">
        <f>SUMIFS(LstMachines[Nbre],LstMachines[Model-Spec],PrévisionBoris[[#This Row],[Spec]],LstMachines[Status],PrévisionBoris[[#This Row],[Status]],LstMachines[MoisLivr],M$1)</f>
        <v>0</v>
      </c>
      <c r="N220" s="226">
        <f>SUMIFS(LstMachines[Nbre],LstMachines[Model-Spec],PrévisionBoris[[#This Row],[Spec]],LstMachines[Status],PrévisionBoris[[#This Row],[Status]],LstMachines[MoisLivr],N$1)</f>
        <v>0</v>
      </c>
      <c r="O220" s="227">
        <f>SUMIFS(LstMachines[Nbre],LstMachines[Model-Spec],PrévisionBoris[[#This Row],[Spec]],LstMachines[Status],PrévisionBoris[[#This Row],[Status]],LstMachines[MoisLivr],O$1)</f>
        <v>0</v>
      </c>
      <c r="P220" s="228">
        <f>SUMIFS(LstMachines[Nbre],LstMachines[Model-Spec],PrévisionBoris[[#This Row],[Spec]],LstMachines[Status],PrévisionBoris[[#This Row],[Status]],LstMachines[MoisLivr],P$1)</f>
        <v>0</v>
      </c>
      <c r="Q220" s="229">
        <f>SUMIFS(LstMachines[Nbre],LstMachines[Model-Spec],PrévisionBoris[[#This Row],[Spec]],LstMachines[Status],PrévisionBoris[[#This Row],[Status]],LstMachines[MoisLivr],Q$1)</f>
        <v>0</v>
      </c>
      <c r="R220" s="227">
        <f>SUMIFS(LstMachines[Nbre],LstMachines[Model-Spec],PrévisionBoris[[#This Row],[Spec]],LstMachines[Status],PrévisionBoris[[#This Row],[Status]],LstMachines[MoisLivr],R$1)</f>
        <v>0</v>
      </c>
      <c r="S220" s="227">
        <f>SUMIFS(LstMachines[Nbre],LstMachines[Model-Spec],PrévisionBoris[[#This Row],[Spec]],LstMachines[Status],PrévisionBoris[[#This Row],[Status]],LstMachines[MoisLivr],S$1)</f>
        <v>0</v>
      </c>
      <c r="T220" s="226">
        <f>SUMIFS(LstMachines[Nbre],LstMachines[Model-Spec],PrévisionBoris[[#This Row],[Spec]],LstMachines[Status],PrévisionBoris[[#This Row],[Status]],LstMachines[MoisLivr],T$1)</f>
        <v>0</v>
      </c>
      <c r="U220" s="227">
        <f>SUMIFS(LstMachines[Nbre],LstMachines[Model-Spec],PrévisionBoris[[#This Row],[Spec]],LstMachines[Status],PrévisionBoris[[#This Row],[Status]],LstMachines[MoisLivr],U$1)</f>
        <v>0</v>
      </c>
      <c r="V220" s="227">
        <f>SUMIFS(LstMachines[Nbre],LstMachines[Model-Spec],PrévisionBoris[[#This Row],[Spec]],LstMachines[Status],PrévisionBoris[[#This Row],[Status]],LstMachines[MoisLivr],V$1)</f>
        <v>0</v>
      </c>
      <c r="W220" s="226">
        <f>SUMIFS(LstMachines[Nbre],LstMachines[Model-Spec],PrévisionBoris[[#This Row],[Spec]],LstMachines[Status],PrévisionBoris[[#This Row],[Status]],LstMachines[MoisLivr],W$1)</f>
        <v>0</v>
      </c>
      <c r="X220" s="227">
        <f>SUMIFS(LstMachines[Nbre],LstMachines[Model-Spec],PrévisionBoris[[#This Row],[Spec]],LstMachines[Status],PrévisionBoris[[#This Row],[Status]],LstMachines[MoisLivr],X$1)</f>
        <v>0</v>
      </c>
      <c r="Y220" s="227">
        <f>SUMIFS(LstMachines[Nbre],LstMachines[Model-Spec],PrévisionBoris[[#This Row],[Spec]],LstMachines[Status],PrévisionBoris[[#This Row],[Status]],LstMachines[MoisLivr],Y$1)</f>
        <v>0</v>
      </c>
      <c r="Z220" s="226">
        <f>SUMIFS(LstMachines[Nbre],LstMachines[Model-Spec],PrévisionBoris[[#This Row],[Spec]],LstMachines[Status],PrévisionBoris[[#This Row],[Status]],LstMachines[MoisLivr],Z$1)</f>
        <v>0</v>
      </c>
      <c r="AA220" s="227">
        <f>SUMIFS(LstMachines[Nbre],LstMachines[Model-Spec],PrévisionBoris[[#This Row],[Spec]],LstMachines[Status],PrévisionBoris[[#This Row],[Status]],LstMachines[MoisLivr],AA$1)</f>
        <v>0</v>
      </c>
      <c r="AB220" s="227">
        <f>SUMIFS(LstMachines[Nbre],LstMachines[Model-Spec],PrévisionBoris[[#This Row],[Spec]],LstMachines[Status],PrévisionBoris[[#This Row],[Status]],LstMachines[MoisLivr],AB$1)</f>
        <v>0</v>
      </c>
      <c r="AC220" s="226">
        <f>SUMIFS(LstMachines[Nbre],LstMachines[Model-Spec],PrévisionBoris[[#This Row],[Spec]],LstMachines[Status],PrévisionBoris[[#This Row],[Status]],LstMachines[MoisLivr],AC$1)</f>
        <v>0</v>
      </c>
      <c r="AD220" s="227">
        <f>SUMIFS(LstMachines[Nbre],LstMachines[Model-Spec],PrévisionBoris[[#This Row],[Spec]],LstMachines[Status],PrévisionBoris[[#This Row],[Status]],LstMachines[MoisLivr],AD$1)</f>
        <v>0</v>
      </c>
      <c r="AE220" s="227">
        <f>SUMIFS(LstMachines[Nbre],LstMachines[Model-Spec],PrévisionBoris[[#This Row],[Spec]],LstMachines[Status],PrévisionBoris[[#This Row],[Status]],LstMachines[MoisLivr],AE$1)</f>
        <v>0</v>
      </c>
      <c r="AF220" s="226">
        <f>SUMIFS(LstMachines[Nbre],LstMachines[Model-Spec],PrévisionBoris[[#This Row],[Spec]],LstMachines[Status],PrévisionBoris[[#This Row],[Status]],LstMachines[MoisLivr],AF$1)</f>
        <v>0</v>
      </c>
      <c r="AG220" s="227">
        <f>SUMIFS(LstMachines[Nbre],LstMachines[Model-Spec],PrévisionBoris[[#This Row],[Spec]],LstMachines[Status],PrévisionBoris[[#This Row],[Status]],LstMachines[MoisLivr],AG$1)</f>
        <v>0</v>
      </c>
      <c r="AH220" s="227">
        <f>SUMIFS(LstMachines[Nbre],LstMachines[Model-Spec],PrévisionBoris[[#This Row],[Spec]],LstMachines[Status],PrévisionBoris[[#This Row],[Status]],LstMachines[MoisLivr],AH$1)</f>
        <v>0</v>
      </c>
      <c r="AI220" s="226">
        <f>SUMIFS(LstMachines[Nbre],LstMachines[Model-Spec],PrévisionBoris[[#This Row],[Spec]],LstMachines[Status],PrévisionBoris[[#This Row],[Status]],LstMachines[MoisLivr],AI$1)</f>
        <v>0</v>
      </c>
      <c r="AJ220" s="227">
        <f>SUMIFS(LstMachines[Nbre],LstMachines[Model-Spec],PrévisionBoris[[#This Row],[Spec]],LstMachines[Status],PrévisionBoris[[#This Row],[Status]],LstMachines[MoisLivr],AJ$1)</f>
        <v>0</v>
      </c>
      <c r="AK220" s="227">
        <f>SUMIFS(LstMachines[Nbre],LstMachines[Model-Spec],PrévisionBoris[[#This Row],[Spec]],LstMachines[Status],PrévisionBoris[[#This Row],[Status]],LstMachines[MoisLivr],AK$1)</f>
        <v>0</v>
      </c>
      <c r="AL220" s="226">
        <f>SUMIFS(LstMachines[Nbre],LstMachines[Model-Spec],PrévisionBoris[[#This Row],[Spec]],LstMachines[Status],PrévisionBoris[[#This Row],[Status]],LstMachines[MoisLivr],AL$1)</f>
        <v>0</v>
      </c>
      <c r="AM220" s="227">
        <f>SUMIFS(LstMachines[Nbre],LstMachines[Model-Spec],PrévisionBoris[[#This Row],[Spec]],LstMachines[Status],PrévisionBoris[[#This Row],[Status]],LstMachines[MoisLivr],AM$1)</f>
        <v>0</v>
      </c>
      <c r="AN220" s="227">
        <f>SUMIFS(LstMachines[Nbre],LstMachines[Model-Spec],PrévisionBoris[[#This Row],[Spec]],LstMachines[Status],PrévisionBoris[[#This Row],[Status]],LstMachines[MoisLivr],AN$1)</f>
        <v>0</v>
      </c>
      <c r="AO220" s="226">
        <f>SUMIFS(LstMachines[Nbre],LstMachines[Model-Spec],PrévisionBoris[[#This Row],[Spec]],LstMachines[Status],PrévisionBoris[[#This Row],[Status]],LstMachines[MoisLivr],AO$1)</f>
        <v>0</v>
      </c>
      <c r="AP220" s="227">
        <f>SUMIFS(LstMachines[Nbre],LstMachines[Model-Spec],PrévisionBoris[[#This Row],[Spec]],LstMachines[Status],PrévisionBoris[[#This Row],[Status]],LstMachines[MoisLivr],AP$1)</f>
        <v>0</v>
      </c>
      <c r="AQ220" s="227">
        <f>SUMIFS(LstMachines[Nbre],LstMachines[Model-Spec],PrévisionBoris[[#This Row],[Spec]],LstMachines[Status],PrévisionBoris[[#This Row],[Status]],LstMachines[MoisLivr],AQ$1)</f>
        <v>0</v>
      </c>
      <c r="AR220" s="226">
        <f>SUMIFS(LstMachines[Nbre],LstMachines[Model-Spec],PrévisionBoris[[#This Row],[Spec]],LstMachines[Status],PrévisionBoris[[#This Row],[Status]],LstMachines[MoisLivr],AR$1)</f>
        <v>0</v>
      </c>
      <c r="AS220" s="227">
        <f>SUMIFS(LstMachines[Nbre],LstMachines[Model-Spec],PrévisionBoris[[#This Row],[Spec]],LstMachines[Status],PrévisionBoris[[#This Row],[Status]],LstMachines[MoisLivr],AS$1)</f>
        <v>0</v>
      </c>
      <c r="AT220" s="227">
        <f>SUMIFS(LstMachines[Nbre],LstMachines[Model-Spec],PrévisionBoris[[#This Row],[Spec]],LstMachines[Status],PrévisionBoris[[#This Row],[Status]],LstMachines[MoisLivr],AT$1)</f>
        <v>0</v>
      </c>
      <c r="AU220" s="226">
        <f>SUMIFS(LstMachines[Nbre],LstMachines[Model-Spec],PrévisionBoris[[#This Row],[Spec]],LstMachines[Status],PrévisionBoris[[#This Row],[Status]],LstMachines[MoisLivr],AU$1)</f>
        <v>0</v>
      </c>
      <c r="AV220" s="230">
        <f>SUMIFS(LstMachines[Nbre],LstMachines[Model-Spec],PrévisionBoris[[#This Row],[Spec]],LstMachines[Status],PrévisionBoris[[#This Row],[Status]],LstMachines[MoisLivr],AV$1)</f>
        <v>0</v>
      </c>
      <c r="AW220" s="231">
        <f>SUMIFS(LstMachines[Nbre],LstMachines[Model-Spec],PrévisionBoris[[#This Row],[Spec]],LstMachines[Status],PrévisionBoris[[#This Row],[Status]],LstMachines[MoisLivr],AW$1)</f>
        <v>0</v>
      </c>
      <c r="AX220" s="232"/>
      <c r="AY220" s="211">
        <f t="shared" si="51"/>
        <v>0</v>
      </c>
      <c r="AZ220" s="212">
        <f t="shared" si="52"/>
        <v>0</v>
      </c>
      <c r="BA220" s="212">
        <f t="shared" si="53"/>
        <v>0</v>
      </c>
      <c r="BB220" s="213">
        <f t="shared" si="54"/>
        <v>0</v>
      </c>
      <c r="BC220" s="225">
        <f t="shared" si="55"/>
        <v>0</v>
      </c>
      <c r="BD220" s="211">
        <f t="shared" si="56"/>
        <v>0</v>
      </c>
      <c r="BE220" s="212">
        <f t="shared" si="57"/>
        <v>0</v>
      </c>
      <c r="BF220" s="212">
        <f t="shared" si="58"/>
        <v>0</v>
      </c>
      <c r="BG220" s="213">
        <f t="shared" si="59"/>
        <v>0</v>
      </c>
      <c r="BH220" s="225">
        <f t="shared" si="60"/>
        <v>0</v>
      </c>
      <c r="BI220" s="214">
        <f t="shared" si="61"/>
        <v>0</v>
      </c>
      <c r="BJ220" s="215">
        <f t="shared" si="62"/>
        <v>0</v>
      </c>
      <c r="BK220" s="215">
        <f t="shared" si="63"/>
        <v>0</v>
      </c>
      <c r="BL220" s="216">
        <f t="shared" si="64"/>
        <v>0</v>
      </c>
      <c r="BM220" s="225">
        <f t="shared" si="65"/>
        <v>0</v>
      </c>
      <c r="BN220" s="225"/>
      <c r="BO220" s="217"/>
      <c r="BP220" s="218">
        <f t="shared" si="66"/>
        <v>0</v>
      </c>
    </row>
    <row r="221" spans="1:68">
      <c r="A221" s="172">
        <v>214</v>
      </c>
      <c r="B221" s="172" t="s">
        <v>85</v>
      </c>
      <c r="C221" s="202">
        <v>85</v>
      </c>
      <c r="D221" s="172" t="s">
        <v>96</v>
      </c>
      <c r="E221" s="172" t="s">
        <v>442</v>
      </c>
      <c r="F221" s="202">
        <f>VLOOKUP(PrévisionBoris[[#This Row],[Spec]],TabModelSpecs[[ModelSpec]:[Price]],2,FALSE)</f>
        <v>65</v>
      </c>
      <c r="G221" s="172" t="s">
        <v>461</v>
      </c>
      <c r="H221" s="206">
        <f>SUMIFS(LstMachines[Nbre],LstMachines[Model-Spec],PrévisionBoris[[#This Row],[Spec]],LstMachines[Status],PrévisionBoris[[#This Row],[Status]],LstMachines[MoisLivr],H$1)</f>
        <v>0</v>
      </c>
      <c r="I221" s="207">
        <f>SUMIFS(LstMachines[Nbre],LstMachines[Model-Spec],PrévisionBoris[[#This Row],[Spec]],LstMachines[Status],PrévisionBoris[[#This Row],[Status]],LstMachines[MoisLivr],I$1)</f>
        <v>0</v>
      </c>
      <c r="J221" s="208">
        <f>SUMIFS(LstMachines[Nbre],LstMachines[Model-Spec],PrévisionBoris[[#This Row],[Spec]],LstMachines[Status],PrévisionBoris[[#This Row],[Status]],LstMachines[MoisLivr],J$1)</f>
        <v>0</v>
      </c>
      <c r="K221" s="206">
        <f>SUMIFS(LstMachines[Nbre],LstMachines[Model-Spec],PrévisionBoris[[#This Row],[Spec]],LstMachines[Status],PrévisionBoris[[#This Row],[Status]],LstMachines[MoisLivr],K$1)</f>
        <v>0</v>
      </c>
      <c r="L221" s="207">
        <f>SUMIFS(LstMachines[Nbre],LstMachines[Model-Spec],PrévisionBoris[[#This Row],[Spec]],LstMachines[Status],PrévisionBoris[[#This Row],[Status]],LstMachines[MoisLivr],L$1)</f>
        <v>0</v>
      </c>
      <c r="M221" s="208">
        <f>SUMIFS(LstMachines[Nbre],LstMachines[Model-Spec],PrévisionBoris[[#This Row],[Spec]],LstMachines[Status],PrévisionBoris[[#This Row],[Status]],LstMachines[MoisLivr],M$1)</f>
        <v>0</v>
      </c>
      <c r="N221" s="206">
        <f>SUMIFS(LstMachines[Nbre],LstMachines[Model-Spec],PrévisionBoris[[#This Row],[Spec]],LstMachines[Status],PrévisionBoris[[#This Row],[Status]],LstMachines[MoisLivr],N$1)</f>
        <v>0</v>
      </c>
      <c r="O221" s="207">
        <f>SUMIFS(LstMachines[Nbre],LstMachines[Model-Spec],PrévisionBoris[[#This Row],[Spec]],LstMachines[Status],PrévisionBoris[[#This Row],[Status]],LstMachines[MoisLivr],O$1)</f>
        <v>0</v>
      </c>
      <c r="P221" s="208">
        <f>SUMIFS(LstMachines[Nbre],LstMachines[Model-Spec],PrévisionBoris[[#This Row],[Spec]],LstMachines[Status],PrévisionBoris[[#This Row],[Status]],LstMachines[MoisLivr],P$1)</f>
        <v>0</v>
      </c>
      <c r="Q221" s="209">
        <f>SUMIFS(LstMachines[Nbre],LstMachines[Model-Spec],PrévisionBoris[[#This Row],[Spec]],LstMachines[Status],PrévisionBoris[[#This Row],[Status]],LstMachines[MoisLivr],Q$1)</f>
        <v>0</v>
      </c>
      <c r="R221" s="207">
        <f>SUMIFS(LstMachines[Nbre],LstMachines[Model-Spec],PrévisionBoris[[#This Row],[Spec]],LstMachines[Status],PrévisionBoris[[#This Row],[Status]],LstMachines[MoisLivr],R$1)</f>
        <v>0</v>
      </c>
      <c r="S221" s="207">
        <f>SUMIFS(LstMachines[Nbre],LstMachines[Model-Spec],PrévisionBoris[[#This Row],[Spec]],LstMachines[Status],PrévisionBoris[[#This Row],[Status]],LstMachines[MoisLivr],S$1)</f>
        <v>0</v>
      </c>
      <c r="T221" s="206">
        <f>SUMIFS(LstMachines[Nbre],LstMachines[Model-Spec],PrévisionBoris[[#This Row],[Spec]],LstMachines[Status],PrévisionBoris[[#This Row],[Status]],LstMachines[MoisLivr],T$1)</f>
        <v>0</v>
      </c>
      <c r="U221" s="207">
        <f>SUMIFS(LstMachines[Nbre],LstMachines[Model-Spec],PrévisionBoris[[#This Row],[Spec]],LstMachines[Status],PrévisionBoris[[#This Row],[Status]],LstMachines[MoisLivr],U$1)</f>
        <v>0</v>
      </c>
      <c r="V221" s="207">
        <f>SUMIFS(LstMachines[Nbre],LstMachines[Model-Spec],PrévisionBoris[[#This Row],[Spec]],LstMachines[Status],PrévisionBoris[[#This Row],[Status]],LstMachines[MoisLivr],V$1)</f>
        <v>0</v>
      </c>
      <c r="W221" s="206">
        <f>SUMIFS(LstMachines[Nbre],LstMachines[Model-Spec],PrévisionBoris[[#This Row],[Spec]],LstMachines[Status],PrévisionBoris[[#This Row],[Status]],LstMachines[MoisLivr],W$1)</f>
        <v>0</v>
      </c>
      <c r="X221" s="207">
        <f>SUMIFS(LstMachines[Nbre],LstMachines[Model-Spec],PrévisionBoris[[#This Row],[Spec]],LstMachines[Status],PrévisionBoris[[#This Row],[Status]],LstMachines[MoisLivr],X$1)</f>
        <v>0</v>
      </c>
      <c r="Y221" s="207">
        <f>SUMIFS(LstMachines[Nbre],LstMachines[Model-Spec],PrévisionBoris[[#This Row],[Spec]],LstMachines[Status],PrévisionBoris[[#This Row],[Status]],LstMachines[MoisLivr],Y$1)</f>
        <v>0</v>
      </c>
      <c r="Z221" s="206">
        <f>SUMIFS(LstMachines[Nbre],LstMachines[Model-Spec],PrévisionBoris[[#This Row],[Spec]],LstMachines[Status],PrévisionBoris[[#This Row],[Status]],LstMachines[MoisLivr],Z$1)</f>
        <v>0</v>
      </c>
      <c r="AA221" s="207">
        <f>SUMIFS(LstMachines[Nbre],LstMachines[Model-Spec],PrévisionBoris[[#This Row],[Spec]],LstMachines[Status],PrévisionBoris[[#This Row],[Status]],LstMachines[MoisLivr],AA$1)</f>
        <v>0</v>
      </c>
      <c r="AB221" s="207">
        <f>SUMIFS(LstMachines[Nbre],LstMachines[Model-Spec],PrévisionBoris[[#This Row],[Spec]],LstMachines[Status],PrévisionBoris[[#This Row],[Status]],LstMachines[MoisLivr],AB$1)</f>
        <v>0</v>
      </c>
      <c r="AC221" s="206">
        <f>SUMIFS(LstMachines[Nbre],LstMachines[Model-Spec],PrévisionBoris[[#This Row],[Spec]],LstMachines[Status],PrévisionBoris[[#This Row],[Status]],LstMachines[MoisLivr],AC$1)</f>
        <v>0</v>
      </c>
      <c r="AD221" s="207">
        <f>SUMIFS(LstMachines[Nbre],LstMachines[Model-Spec],PrévisionBoris[[#This Row],[Spec]],LstMachines[Status],PrévisionBoris[[#This Row],[Status]],LstMachines[MoisLivr],AD$1)</f>
        <v>0</v>
      </c>
      <c r="AE221" s="207">
        <f>SUMIFS(LstMachines[Nbre],LstMachines[Model-Spec],PrévisionBoris[[#This Row],[Spec]],LstMachines[Status],PrévisionBoris[[#This Row],[Status]],LstMachines[MoisLivr],AE$1)</f>
        <v>0</v>
      </c>
      <c r="AF221" s="206">
        <f>SUMIFS(LstMachines[Nbre],LstMachines[Model-Spec],PrévisionBoris[[#This Row],[Spec]],LstMachines[Status],PrévisionBoris[[#This Row],[Status]],LstMachines[MoisLivr],AF$1)</f>
        <v>0</v>
      </c>
      <c r="AG221" s="207">
        <f>SUMIFS(LstMachines[Nbre],LstMachines[Model-Spec],PrévisionBoris[[#This Row],[Spec]],LstMachines[Status],PrévisionBoris[[#This Row],[Status]],LstMachines[MoisLivr],AG$1)</f>
        <v>0</v>
      </c>
      <c r="AH221" s="207">
        <f>SUMIFS(LstMachines[Nbre],LstMachines[Model-Spec],PrévisionBoris[[#This Row],[Spec]],LstMachines[Status],PrévisionBoris[[#This Row],[Status]],LstMachines[MoisLivr],AH$1)</f>
        <v>0</v>
      </c>
      <c r="AI221" s="206">
        <f>SUMIFS(LstMachines[Nbre],LstMachines[Model-Spec],PrévisionBoris[[#This Row],[Spec]],LstMachines[Status],PrévisionBoris[[#This Row],[Status]],LstMachines[MoisLivr],AI$1)</f>
        <v>0</v>
      </c>
      <c r="AJ221" s="207">
        <f>SUMIFS(LstMachines[Nbre],LstMachines[Model-Spec],PrévisionBoris[[#This Row],[Spec]],LstMachines[Status],PrévisionBoris[[#This Row],[Status]],LstMachines[MoisLivr],AJ$1)</f>
        <v>0</v>
      </c>
      <c r="AK221" s="207">
        <f>SUMIFS(LstMachines[Nbre],LstMachines[Model-Spec],PrévisionBoris[[#This Row],[Spec]],LstMachines[Status],PrévisionBoris[[#This Row],[Status]],LstMachines[MoisLivr],AK$1)</f>
        <v>0</v>
      </c>
      <c r="AL221" s="206">
        <f>SUMIFS(LstMachines[Nbre],LstMachines[Model-Spec],PrévisionBoris[[#This Row],[Spec]],LstMachines[Status],PrévisionBoris[[#This Row],[Status]],LstMachines[MoisLivr],AL$1)</f>
        <v>0</v>
      </c>
      <c r="AM221" s="207">
        <f>SUMIFS(LstMachines[Nbre],LstMachines[Model-Spec],PrévisionBoris[[#This Row],[Spec]],LstMachines[Status],PrévisionBoris[[#This Row],[Status]],LstMachines[MoisLivr],AM$1)</f>
        <v>0</v>
      </c>
      <c r="AN221" s="207">
        <f>SUMIFS(LstMachines[Nbre],LstMachines[Model-Spec],PrévisionBoris[[#This Row],[Spec]],LstMachines[Status],PrévisionBoris[[#This Row],[Status]],LstMachines[MoisLivr],AN$1)</f>
        <v>0</v>
      </c>
      <c r="AO221" s="206">
        <f>SUMIFS(LstMachines[Nbre],LstMachines[Model-Spec],PrévisionBoris[[#This Row],[Spec]],LstMachines[Status],PrévisionBoris[[#This Row],[Status]],LstMachines[MoisLivr],AO$1)</f>
        <v>0</v>
      </c>
      <c r="AP221" s="207">
        <f>SUMIFS(LstMachines[Nbre],LstMachines[Model-Spec],PrévisionBoris[[#This Row],[Spec]],LstMachines[Status],PrévisionBoris[[#This Row],[Status]],LstMachines[MoisLivr],AP$1)</f>
        <v>0</v>
      </c>
      <c r="AQ221" s="207">
        <f>SUMIFS(LstMachines[Nbre],LstMachines[Model-Spec],PrévisionBoris[[#This Row],[Spec]],LstMachines[Status],PrévisionBoris[[#This Row],[Status]],LstMachines[MoisLivr],AQ$1)</f>
        <v>0</v>
      </c>
      <c r="AR221" s="206">
        <f>SUMIFS(LstMachines[Nbre],LstMachines[Model-Spec],PrévisionBoris[[#This Row],[Spec]],LstMachines[Status],PrévisionBoris[[#This Row],[Status]],LstMachines[MoisLivr],AR$1)</f>
        <v>0</v>
      </c>
      <c r="AS221" s="207">
        <f>SUMIFS(LstMachines[Nbre],LstMachines[Model-Spec],PrévisionBoris[[#This Row],[Spec]],LstMachines[Status],PrévisionBoris[[#This Row],[Status]],LstMachines[MoisLivr],AS$1)</f>
        <v>0</v>
      </c>
      <c r="AT221" s="207">
        <f>SUMIFS(LstMachines[Nbre],LstMachines[Model-Spec],PrévisionBoris[[#This Row],[Spec]],LstMachines[Status],PrévisionBoris[[#This Row],[Status]],LstMachines[MoisLivr],AT$1)</f>
        <v>0</v>
      </c>
      <c r="AU221" s="206">
        <f>SUMIFS(LstMachines[Nbre],LstMachines[Model-Spec],PrévisionBoris[[#This Row],[Spec]],LstMachines[Status],PrévisionBoris[[#This Row],[Status]],LstMachines[MoisLivr],AU$1)</f>
        <v>0</v>
      </c>
      <c r="AV221" s="233">
        <f>SUMIFS(LstMachines[Nbre],LstMachines[Model-Spec],PrévisionBoris[[#This Row],[Spec]],LstMachines[Status],PrévisionBoris[[#This Row],[Status]],LstMachines[MoisLivr],AV$1)</f>
        <v>0</v>
      </c>
      <c r="AW221" s="208">
        <f>SUMIFS(LstMachines[Nbre],LstMachines[Model-Spec],PrévisionBoris[[#This Row],[Spec]],LstMachines[Status],PrévisionBoris[[#This Row],[Status]],LstMachines[MoisLivr],AW$1)</f>
        <v>0</v>
      </c>
      <c r="AX221" s="225"/>
      <c r="AY221" s="211">
        <f t="shared" si="51"/>
        <v>0</v>
      </c>
      <c r="AZ221" s="212">
        <f t="shared" si="52"/>
        <v>0</v>
      </c>
      <c r="BA221" s="212">
        <f t="shared" si="53"/>
        <v>0</v>
      </c>
      <c r="BB221" s="213">
        <f t="shared" si="54"/>
        <v>0</v>
      </c>
      <c r="BC221" s="225">
        <f t="shared" si="55"/>
        <v>0</v>
      </c>
      <c r="BD221" s="211">
        <f t="shared" si="56"/>
        <v>0</v>
      </c>
      <c r="BE221" s="212">
        <f t="shared" si="57"/>
        <v>0</v>
      </c>
      <c r="BF221" s="212">
        <f t="shared" si="58"/>
        <v>0</v>
      </c>
      <c r="BG221" s="213">
        <f t="shared" si="59"/>
        <v>0</v>
      </c>
      <c r="BH221" s="225">
        <f t="shared" si="60"/>
        <v>0</v>
      </c>
      <c r="BI221" s="214">
        <f t="shared" si="61"/>
        <v>0</v>
      </c>
      <c r="BJ221" s="215">
        <f t="shared" si="62"/>
        <v>0</v>
      </c>
      <c r="BK221" s="215">
        <f t="shared" si="63"/>
        <v>0</v>
      </c>
      <c r="BL221" s="216">
        <f t="shared" si="64"/>
        <v>0</v>
      </c>
      <c r="BM221" s="225">
        <f t="shared" si="65"/>
        <v>0</v>
      </c>
      <c r="BN221" s="225"/>
      <c r="BO221" s="234"/>
      <c r="BP221" s="218">
        <f t="shared" si="66"/>
        <v>0</v>
      </c>
    </row>
    <row r="222" spans="1:68">
      <c r="A222" s="170">
        <v>215</v>
      </c>
      <c r="B222" s="170" t="s">
        <v>85</v>
      </c>
      <c r="C222" s="200">
        <v>85</v>
      </c>
      <c r="D222" s="170" t="s">
        <v>96</v>
      </c>
      <c r="E222" s="170" t="s">
        <v>442</v>
      </c>
      <c r="F222" s="200">
        <f>VLOOKUP(PrévisionBoris[[#This Row],[Spec]],TabModelSpecs[[ModelSpec]:[Price]],2,FALSE)</f>
        <v>65</v>
      </c>
      <c r="G222" s="170" t="s">
        <v>462</v>
      </c>
      <c r="H222" s="219">
        <f>SUMIFS(LstMachines[Nbre],LstMachines[Model-Spec],PrévisionBoris[[#This Row],[Spec]],LstMachines[Status],PrévisionBoris[[#This Row],[Status]],LstMachines[MoisLivr],H$1)</f>
        <v>0</v>
      </c>
      <c r="I222" s="220">
        <f>SUMIFS(LstMachines[Nbre],LstMachines[Model-Spec],PrévisionBoris[[#This Row],[Spec]],LstMachines[Status],PrévisionBoris[[#This Row],[Status]],LstMachines[MoisLivr],I$1)</f>
        <v>0</v>
      </c>
      <c r="J222" s="221">
        <f>SUMIFS(LstMachines[Nbre],LstMachines[Model-Spec],PrévisionBoris[[#This Row],[Spec]],LstMachines[Status],PrévisionBoris[[#This Row],[Status]],LstMachines[MoisLivr],J$1)</f>
        <v>0</v>
      </c>
      <c r="K222" s="219">
        <f>SUMIFS(LstMachines[Nbre],LstMachines[Model-Spec],PrévisionBoris[[#This Row],[Spec]],LstMachines[Status],PrévisionBoris[[#This Row],[Status]],LstMachines[MoisLivr],K$1)</f>
        <v>0</v>
      </c>
      <c r="L222" s="220">
        <f>SUMIFS(LstMachines[Nbre],LstMachines[Model-Spec],PrévisionBoris[[#This Row],[Spec]],LstMachines[Status],PrévisionBoris[[#This Row],[Status]],LstMachines[MoisLivr],L$1)</f>
        <v>0</v>
      </c>
      <c r="M222" s="221">
        <f>SUMIFS(LstMachines[Nbre],LstMachines[Model-Spec],PrévisionBoris[[#This Row],[Spec]],LstMachines[Status],PrévisionBoris[[#This Row],[Status]],LstMachines[MoisLivr],M$1)</f>
        <v>0</v>
      </c>
      <c r="N222" s="219">
        <f>SUMIFS(LstMachines[Nbre],LstMachines[Model-Spec],PrévisionBoris[[#This Row],[Spec]],LstMachines[Status],PrévisionBoris[[#This Row],[Status]],LstMachines[MoisLivr],N$1)</f>
        <v>0</v>
      </c>
      <c r="O222" s="220">
        <f>SUMIFS(LstMachines[Nbre],LstMachines[Model-Spec],PrévisionBoris[[#This Row],[Spec]],LstMachines[Status],PrévisionBoris[[#This Row],[Status]],LstMachines[MoisLivr],O$1)</f>
        <v>0</v>
      </c>
      <c r="P222" s="221">
        <f>SUMIFS(LstMachines[Nbre],LstMachines[Model-Spec],PrévisionBoris[[#This Row],[Spec]],LstMachines[Status],PrévisionBoris[[#This Row],[Status]],LstMachines[MoisLivr],P$1)</f>
        <v>0</v>
      </c>
      <c r="Q222" s="222">
        <f>SUMIFS(LstMachines[Nbre],LstMachines[Model-Spec],PrévisionBoris[[#This Row],[Spec]],LstMachines[Status],PrévisionBoris[[#This Row],[Status]],LstMachines[MoisLivr],Q$1)</f>
        <v>0</v>
      </c>
      <c r="R222" s="220">
        <f>SUMIFS(LstMachines[Nbre],LstMachines[Model-Spec],PrévisionBoris[[#This Row],[Spec]],LstMachines[Status],PrévisionBoris[[#This Row],[Status]],LstMachines[MoisLivr],R$1)</f>
        <v>0</v>
      </c>
      <c r="S222" s="220">
        <f>SUMIFS(LstMachines[Nbre],LstMachines[Model-Spec],PrévisionBoris[[#This Row],[Spec]],LstMachines[Status],PrévisionBoris[[#This Row],[Status]],LstMachines[MoisLivr],S$1)</f>
        <v>0</v>
      </c>
      <c r="T222" s="219">
        <f>SUMIFS(LstMachines[Nbre],LstMachines[Model-Spec],PrévisionBoris[[#This Row],[Spec]],LstMachines[Status],PrévisionBoris[[#This Row],[Status]],LstMachines[MoisLivr],T$1)</f>
        <v>0</v>
      </c>
      <c r="U222" s="220">
        <f>SUMIFS(LstMachines[Nbre],LstMachines[Model-Spec],PrévisionBoris[[#This Row],[Spec]],LstMachines[Status],PrévisionBoris[[#This Row],[Status]],LstMachines[MoisLivr],U$1)</f>
        <v>0</v>
      </c>
      <c r="V222" s="220">
        <f>SUMIFS(LstMachines[Nbre],LstMachines[Model-Spec],PrévisionBoris[[#This Row],[Spec]],LstMachines[Status],PrévisionBoris[[#This Row],[Status]],LstMachines[MoisLivr],V$1)</f>
        <v>0</v>
      </c>
      <c r="W222" s="219">
        <f>SUMIFS(LstMachines[Nbre],LstMachines[Model-Spec],PrévisionBoris[[#This Row],[Spec]],LstMachines[Status],PrévisionBoris[[#This Row],[Status]],LstMachines[MoisLivr],W$1)</f>
        <v>0</v>
      </c>
      <c r="X222" s="220">
        <f>SUMIFS(LstMachines[Nbre],LstMachines[Model-Spec],PrévisionBoris[[#This Row],[Spec]],LstMachines[Status],PrévisionBoris[[#This Row],[Status]],LstMachines[MoisLivr],X$1)</f>
        <v>0</v>
      </c>
      <c r="Y222" s="220">
        <f>SUMIFS(LstMachines[Nbre],LstMachines[Model-Spec],PrévisionBoris[[#This Row],[Spec]],LstMachines[Status],PrévisionBoris[[#This Row],[Status]],LstMachines[MoisLivr],Y$1)</f>
        <v>0</v>
      </c>
      <c r="Z222" s="219">
        <f>SUMIFS(LstMachines[Nbre],LstMachines[Model-Spec],PrévisionBoris[[#This Row],[Spec]],LstMachines[Status],PrévisionBoris[[#This Row],[Status]],LstMachines[MoisLivr],Z$1)</f>
        <v>0</v>
      </c>
      <c r="AA222" s="220">
        <f>SUMIFS(LstMachines[Nbre],LstMachines[Model-Spec],PrévisionBoris[[#This Row],[Spec]],LstMachines[Status],PrévisionBoris[[#This Row],[Status]],LstMachines[MoisLivr],AA$1)</f>
        <v>0</v>
      </c>
      <c r="AB222" s="220">
        <f>SUMIFS(LstMachines[Nbre],LstMachines[Model-Spec],PrévisionBoris[[#This Row],[Spec]],LstMachines[Status],PrévisionBoris[[#This Row],[Status]],LstMachines[MoisLivr],AB$1)</f>
        <v>0</v>
      </c>
      <c r="AC222" s="219">
        <f>SUMIFS(LstMachines[Nbre],LstMachines[Model-Spec],PrévisionBoris[[#This Row],[Spec]],LstMachines[Status],PrévisionBoris[[#This Row],[Status]],LstMachines[MoisLivr],AC$1)</f>
        <v>0</v>
      </c>
      <c r="AD222" s="220">
        <f>SUMIFS(LstMachines[Nbre],LstMachines[Model-Spec],PrévisionBoris[[#This Row],[Spec]],LstMachines[Status],PrévisionBoris[[#This Row],[Status]],LstMachines[MoisLivr],AD$1)</f>
        <v>0</v>
      </c>
      <c r="AE222" s="220">
        <f>SUMIFS(LstMachines[Nbre],LstMachines[Model-Spec],PrévisionBoris[[#This Row],[Spec]],LstMachines[Status],PrévisionBoris[[#This Row],[Status]],LstMachines[MoisLivr],AE$1)</f>
        <v>0</v>
      </c>
      <c r="AF222" s="219">
        <f>SUMIFS(LstMachines[Nbre],LstMachines[Model-Spec],PrévisionBoris[[#This Row],[Spec]],LstMachines[Status],PrévisionBoris[[#This Row],[Status]],LstMachines[MoisLivr],AF$1)</f>
        <v>0</v>
      </c>
      <c r="AG222" s="220">
        <f>SUMIFS(LstMachines[Nbre],LstMachines[Model-Spec],PrévisionBoris[[#This Row],[Spec]],LstMachines[Status],PrévisionBoris[[#This Row],[Status]],LstMachines[MoisLivr],AG$1)</f>
        <v>0</v>
      </c>
      <c r="AH222" s="220">
        <f>SUMIFS(LstMachines[Nbre],LstMachines[Model-Spec],PrévisionBoris[[#This Row],[Spec]],LstMachines[Status],PrévisionBoris[[#This Row],[Status]],LstMachines[MoisLivr],AH$1)</f>
        <v>0</v>
      </c>
      <c r="AI222" s="219">
        <f>SUMIFS(LstMachines[Nbre],LstMachines[Model-Spec],PrévisionBoris[[#This Row],[Spec]],LstMachines[Status],PrévisionBoris[[#This Row],[Status]],LstMachines[MoisLivr],AI$1)</f>
        <v>0</v>
      </c>
      <c r="AJ222" s="220">
        <f>SUMIFS(LstMachines[Nbre],LstMachines[Model-Spec],PrévisionBoris[[#This Row],[Spec]],LstMachines[Status],PrévisionBoris[[#This Row],[Status]],LstMachines[MoisLivr],AJ$1)</f>
        <v>0</v>
      </c>
      <c r="AK222" s="220">
        <f>SUMIFS(LstMachines[Nbre],LstMachines[Model-Spec],PrévisionBoris[[#This Row],[Spec]],LstMachines[Status],PrévisionBoris[[#This Row],[Status]],LstMachines[MoisLivr],AK$1)</f>
        <v>0</v>
      </c>
      <c r="AL222" s="219">
        <f>SUMIFS(LstMachines[Nbre],LstMachines[Model-Spec],PrévisionBoris[[#This Row],[Spec]],LstMachines[Status],PrévisionBoris[[#This Row],[Status]],LstMachines[MoisLivr],AL$1)</f>
        <v>0</v>
      </c>
      <c r="AM222" s="220">
        <f>SUMIFS(LstMachines[Nbre],LstMachines[Model-Spec],PrévisionBoris[[#This Row],[Spec]],LstMachines[Status],PrévisionBoris[[#This Row],[Status]],LstMachines[MoisLivr],AM$1)</f>
        <v>0</v>
      </c>
      <c r="AN222" s="220">
        <f>SUMIFS(LstMachines[Nbre],LstMachines[Model-Spec],PrévisionBoris[[#This Row],[Spec]],LstMachines[Status],PrévisionBoris[[#This Row],[Status]],LstMachines[MoisLivr],AN$1)</f>
        <v>0</v>
      </c>
      <c r="AO222" s="219">
        <f>SUMIFS(LstMachines[Nbre],LstMachines[Model-Spec],PrévisionBoris[[#This Row],[Spec]],LstMachines[Status],PrévisionBoris[[#This Row],[Status]],LstMachines[MoisLivr],AO$1)</f>
        <v>0</v>
      </c>
      <c r="AP222" s="220">
        <f>SUMIFS(LstMachines[Nbre],LstMachines[Model-Spec],PrévisionBoris[[#This Row],[Spec]],LstMachines[Status],PrévisionBoris[[#This Row],[Status]],LstMachines[MoisLivr],AP$1)</f>
        <v>0</v>
      </c>
      <c r="AQ222" s="220">
        <f>SUMIFS(LstMachines[Nbre],LstMachines[Model-Spec],PrévisionBoris[[#This Row],[Spec]],LstMachines[Status],PrévisionBoris[[#This Row],[Status]],LstMachines[MoisLivr],AQ$1)</f>
        <v>0</v>
      </c>
      <c r="AR222" s="219">
        <f>SUMIFS(LstMachines[Nbre],LstMachines[Model-Spec],PrévisionBoris[[#This Row],[Spec]],LstMachines[Status],PrévisionBoris[[#This Row],[Status]],LstMachines[MoisLivr],AR$1)</f>
        <v>0</v>
      </c>
      <c r="AS222" s="220">
        <f>SUMIFS(LstMachines[Nbre],LstMachines[Model-Spec],PrévisionBoris[[#This Row],[Spec]],LstMachines[Status],PrévisionBoris[[#This Row],[Status]],LstMachines[MoisLivr],AS$1)</f>
        <v>0</v>
      </c>
      <c r="AT222" s="220">
        <f>SUMIFS(LstMachines[Nbre],LstMachines[Model-Spec],PrévisionBoris[[#This Row],[Spec]],LstMachines[Status],PrévisionBoris[[#This Row],[Status]],LstMachines[MoisLivr],AT$1)</f>
        <v>0</v>
      </c>
      <c r="AU222" s="219">
        <f>SUMIFS(LstMachines[Nbre],LstMachines[Model-Spec],PrévisionBoris[[#This Row],[Spec]],LstMachines[Status],PrévisionBoris[[#This Row],[Status]],LstMachines[MoisLivr],AU$1)</f>
        <v>0</v>
      </c>
      <c r="AV222" s="223">
        <f>SUMIFS(LstMachines[Nbre],LstMachines[Model-Spec],PrévisionBoris[[#This Row],[Spec]],LstMachines[Status],PrévisionBoris[[#This Row],[Status]],LstMachines[MoisLivr],AV$1)</f>
        <v>0</v>
      </c>
      <c r="AW222" s="224">
        <f>SUMIFS(LstMachines[Nbre],LstMachines[Model-Spec],PrévisionBoris[[#This Row],[Spec]],LstMachines[Status],PrévisionBoris[[#This Row],[Status]],LstMachines[MoisLivr],AW$1)</f>
        <v>0</v>
      </c>
      <c r="AX222" s="210"/>
      <c r="AY222" s="211">
        <f t="shared" si="51"/>
        <v>0</v>
      </c>
      <c r="AZ222" s="212">
        <f t="shared" si="52"/>
        <v>0</v>
      </c>
      <c r="BA222" s="212">
        <f t="shared" si="53"/>
        <v>0</v>
      </c>
      <c r="BB222" s="213">
        <f t="shared" si="54"/>
        <v>0</v>
      </c>
      <c r="BC222" s="225">
        <f t="shared" si="55"/>
        <v>0</v>
      </c>
      <c r="BD222" s="211">
        <f t="shared" si="56"/>
        <v>0</v>
      </c>
      <c r="BE222" s="212">
        <f t="shared" si="57"/>
        <v>0</v>
      </c>
      <c r="BF222" s="212">
        <f t="shared" si="58"/>
        <v>0</v>
      </c>
      <c r="BG222" s="213">
        <f t="shared" si="59"/>
        <v>0</v>
      </c>
      <c r="BH222" s="225">
        <f t="shared" si="60"/>
        <v>0</v>
      </c>
      <c r="BI222" s="214">
        <f t="shared" si="61"/>
        <v>0</v>
      </c>
      <c r="BJ222" s="215">
        <f t="shared" si="62"/>
        <v>0</v>
      </c>
      <c r="BK222" s="215">
        <f t="shared" si="63"/>
        <v>0</v>
      </c>
      <c r="BL222" s="216">
        <f t="shared" si="64"/>
        <v>0</v>
      </c>
      <c r="BM222" s="225">
        <f t="shared" si="65"/>
        <v>0</v>
      </c>
      <c r="BN222" s="225"/>
      <c r="BO222" s="217"/>
      <c r="BP222" s="218">
        <f t="shared" si="66"/>
        <v>0</v>
      </c>
    </row>
    <row r="223" spans="1:68">
      <c r="A223" s="171">
        <v>216</v>
      </c>
      <c r="B223" s="171" t="s">
        <v>85</v>
      </c>
      <c r="C223" s="201">
        <v>85</v>
      </c>
      <c r="D223" s="171" t="s">
        <v>96</v>
      </c>
      <c r="E223" s="171" t="s">
        <v>442</v>
      </c>
      <c r="F223" s="201">
        <f>VLOOKUP(PrévisionBoris[[#This Row],[Spec]],TabModelSpecs[[ModelSpec]:[Price]],2,FALSE)</f>
        <v>65</v>
      </c>
      <c r="G223" s="171" t="s">
        <v>463</v>
      </c>
      <c r="H223" s="226">
        <f>SUMIFS(LstMachines[Nbre],LstMachines[Model-Spec],PrévisionBoris[[#This Row],[Spec]],LstMachines[Status],PrévisionBoris[[#This Row],[Status]],LstMachines[MoisLivr],H$1)</f>
        <v>0</v>
      </c>
      <c r="I223" s="227">
        <f>SUMIFS(LstMachines[Nbre],LstMachines[Model-Spec],PrévisionBoris[[#This Row],[Spec]],LstMachines[Status],PrévisionBoris[[#This Row],[Status]],LstMachines[MoisLivr],I$1)</f>
        <v>0</v>
      </c>
      <c r="J223" s="228">
        <f>SUMIFS(LstMachines[Nbre],LstMachines[Model-Spec],PrévisionBoris[[#This Row],[Spec]],LstMachines[Status],PrévisionBoris[[#This Row],[Status]],LstMachines[MoisLivr],J$1)</f>
        <v>0</v>
      </c>
      <c r="K223" s="226">
        <f>SUMIFS(LstMachines[Nbre],LstMachines[Model-Spec],PrévisionBoris[[#This Row],[Spec]],LstMachines[Status],PrévisionBoris[[#This Row],[Status]],LstMachines[MoisLivr],K$1)</f>
        <v>0</v>
      </c>
      <c r="L223" s="227">
        <f>SUMIFS(LstMachines[Nbre],LstMachines[Model-Spec],PrévisionBoris[[#This Row],[Spec]],LstMachines[Status],PrévisionBoris[[#This Row],[Status]],LstMachines[MoisLivr],L$1)</f>
        <v>0</v>
      </c>
      <c r="M223" s="228">
        <f>SUMIFS(LstMachines[Nbre],LstMachines[Model-Spec],PrévisionBoris[[#This Row],[Spec]],LstMachines[Status],PrévisionBoris[[#This Row],[Status]],LstMachines[MoisLivr],M$1)</f>
        <v>0</v>
      </c>
      <c r="N223" s="226">
        <f>SUMIFS(LstMachines[Nbre],LstMachines[Model-Spec],PrévisionBoris[[#This Row],[Spec]],LstMachines[Status],PrévisionBoris[[#This Row],[Status]],LstMachines[MoisLivr],N$1)</f>
        <v>0</v>
      </c>
      <c r="O223" s="227">
        <f>SUMIFS(LstMachines[Nbre],LstMachines[Model-Spec],PrévisionBoris[[#This Row],[Spec]],LstMachines[Status],PrévisionBoris[[#This Row],[Status]],LstMachines[MoisLivr],O$1)</f>
        <v>0</v>
      </c>
      <c r="P223" s="228">
        <f>SUMIFS(LstMachines[Nbre],LstMachines[Model-Spec],PrévisionBoris[[#This Row],[Spec]],LstMachines[Status],PrévisionBoris[[#This Row],[Status]],LstMachines[MoisLivr],P$1)</f>
        <v>0</v>
      </c>
      <c r="Q223" s="229">
        <f>SUMIFS(LstMachines[Nbre],LstMachines[Model-Spec],PrévisionBoris[[#This Row],[Spec]],LstMachines[Status],PrévisionBoris[[#This Row],[Status]],LstMachines[MoisLivr],Q$1)</f>
        <v>0</v>
      </c>
      <c r="R223" s="227">
        <f>SUMIFS(LstMachines[Nbre],LstMachines[Model-Spec],PrévisionBoris[[#This Row],[Spec]],LstMachines[Status],PrévisionBoris[[#This Row],[Status]],LstMachines[MoisLivr],R$1)</f>
        <v>0</v>
      </c>
      <c r="S223" s="227">
        <f>SUMIFS(LstMachines[Nbre],LstMachines[Model-Spec],PrévisionBoris[[#This Row],[Spec]],LstMachines[Status],PrévisionBoris[[#This Row],[Status]],LstMachines[MoisLivr],S$1)</f>
        <v>0</v>
      </c>
      <c r="T223" s="226">
        <f>SUMIFS(LstMachines[Nbre],LstMachines[Model-Spec],PrévisionBoris[[#This Row],[Spec]],LstMachines[Status],PrévisionBoris[[#This Row],[Status]],LstMachines[MoisLivr],T$1)</f>
        <v>0</v>
      </c>
      <c r="U223" s="227">
        <f>SUMIFS(LstMachines[Nbre],LstMachines[Model-Spec],PrévisionBoris[[#This Row],[Spec]],LstMachines[Status],PrévisionBoris[[#This Row],[Status]],LstMachines[MoisLivr],U$1)</f>
        <v>0</v>
      </c>
      <c r="V223" s="227">
        <f>SUMIFS(LstMachines[Nbre],LstMachines[Model-Spec],PrévisionBoris[[#This Row],[Spec]],LstMachines[Status],PrévisionBoris[[#This Row],[Status]],LstMachines[MoisLivr],V$1)</f>
        <v>0</v>
      </c>
      <c r="W223" s="226">
        <f>SUMIFS(LstMachines[Nbre],LstMachines[Model-Spec],PrévisionBoris[[#This Row],[Spec]],LstMachines[Status],PrévisionBoris[[#This Row],[Status]],LstMachines[MoisLivr],W$1)</f>
        <v>0</v>
      </c>
      <c r="X223" s="227">
        <f>SUMIFS(LstMachines[Nbre],LstMachines[Model-Spec],PrévisionBoris[[#This Row],[Spec]],LstMachines[Status],PrévisionBoris[[#This Row],[Status]],LstMachines[MoisLivr],X$1)</f>
        <v>0</v>
      </c>
      <c r="Y223" s="227">
        <f>SUMIFS(LstMachines[Nbre],LstMachines[Model-Spec],PrévisionBoris[[#This Row],[Spec]],LstMachines[Status],PrévisionBoris[[#This Row],[Status]],LstMachines[MoisLivr],Y$1)</f>
        <v>0</v>
      </c>
      <c r="Z223" s="226">
        <f>SUMIFS(LstMachines[Nbre],LstMachines[Model-Spec],PrévisionBoris[[#This Row],[Spec]],LstMachines[Status],PrévisionBoris[[#This Row],[Status]],LstMachines[MoisLivr],Z$1)</f>
        <v>0</v>
      </c>
      <c r="AA223" s="227">
        <f>SUMIFS(LstMachines[Nbre],LstMachines[Model-Spec],PrévisionBoris[[#This Row],[Spec]],LstMachines[Status],PrévisionBoris[[#This Row],[Status]],LstMachines[MoisLivr],AA$1)</f>
        <v>0</v>
      </c>
      <c r="AB223" s="227">
        <f>SUMIFS(LstMachines[Nbre],LstMachines[Model-Spec],PrévisionBoris[[#This Row],[Spec]],LstMachines[Status],PrévisionBoris[[#This Row],[Status]],LstMachines[MoisLivr],AB$1)</f>
        <v>0</v>
      </c>
      <c r="AC223" s="226">
        <f>SUMIFS(LstMachines[Nbre],LstMachines[Model-Spec],PrévisionBoris[[#This Row],[Spec]],LstMachines[Status],PrévisionBoris[[#This Row],[Status]],LstMachines[MoisLivr],AC$1)</f>
        <v>0</v>
      </c>
      <c r="AD223" s="227">
        <f>SUMIFS(LstMachines[Nbre],LstMachines[Model-Spec],PrévisionBoris[[#This Row],[Spec]],LstMachines[Status],PrévisionBoris[[#This Row],[Status]],LstMachines[MoisLivr],AD$1)</f>
        <v>0</v>
      </c>
      <c r="AE223" s="227">
        <f>SUMIFS(LstMachines[Nbre],LstMachines[Model-Spec],PrévisionBoris[[#This Row],[Spec]],LstMachines[Status],PrévisionBoris[[#This Row],[Status]],LstMachines[MoisLivr],AE$1)</f>
        <v>0</v>
      </c>
      <c r="AF223" s="226">
        <f>SUMIFS(LstMachines[Nbre],LstMachines[Model-Spec],PrévisionBoris[[#This Row],[Spec]],LstMachines[Status],PrévisionBoris[[#This Row],[Status]],LstMachines[MoisLivr],AF$1)</f>
        <v>0</v>
      </c>
      <c r="AG223" s="227">
        <f>SUMIFS(LstMachines[Nbre],LstMachines[Model-Spec],PrévisionBoris[[#This Row],[Spec]],LstMachines[Status],PrévisionBoris[[#This Row],[Status]],LstMachines[MoisLivr],AG$1)</f>
        <v>0</v>
      </c>
      <c r="AH223" s="227">
        <f>SUMIFS(LstMachines[Nbre],LstMachines[Model-Spec],PrévisionBoris[[#This Row],[Spec]],LstMachines[Status],PrévisionBoris[[#This Row],[Status]],LstMachines[MoisLivr],AH$1)</f>
        <v>0</v>
      </c>
      <c r="AI223" s="226">
        <f>SUMIFS(LstMachines[Nbre],LstMachines[Model-Spec],PrévisionBoris[[#This Row],[Spec]],LstMachines[Status],PrévisionBoris[[#This Row],[Status]],LstMachines[MoisLivr],AI$1)</f>
        <v>0</v>
      </c>
      <c r="AJ223" s="227">
        <f>SUMIFS(LstMachines[Nbre],LstMachines[Model-Spec],PrévisionBoris[[#This Row],[Spec]],LstMachines[Status],PrévisionBoris[[#This Row],[Status]],LstMachines[MoisLivr],AJ$1)</f>
        <v>0</v>
      </c>
      <c r="AK223" s="227">
        <f>SUMIFS(LstMachines[Nbre],LstMachines[Model-Spec],PrévisionBoris[[#This Row],[Spec]],LstMachines[Status],PrévisionBoris[[#This Row],[Status]],LstMachines[MoisLivr],AK$1)</f>
        <v>0</v>
      </c>
      <c r="AL223" s="226">
        <f>SUMIFS(LstMachines[Nbre],LstMachines[Model-Spec],PrévisionBoris[[#This Row],[Spec]],LstMachines[Status],PrévisionBoris[[#This Row],[Status]],LstMachines[MoisLivr],AL$1)</f>
        <v>0</v>
      </c>
      <c r="AM223" s="227">
        <f>SUMIFS(LstMachines[Nbre],LstMachines[Model-Spec],PrévisionBoris[[#This Row],[Spec]],LstMachines[Status],PrévisionBoris[[#This Row],[Status]],LstMachines[MoisLivr],AM$1)</f>
        <v>0</v>
      </c>
      <c r="AN223" s="227">
        <f>SUMIFS(LstMachines[Nbre],LstMachines[Model-Spec],PrévisionBoris[[#This Row],[Spec]],LstMachines[Status],PrévisionBoris[[#This Row],[Status]],LstMachines[MoisLivr],AN$1)</f>
        <v>0</v>
      </c>
      <c r="AO223" s="226">
        <f>SUMIFS(LstMachines[Nbre],LstMachines[Model-Spec],PrévisionBoris[[#This Row],[Spec]],LstMachines[Status],PrévisionBoris[[#This Row],[Status]],LstMachines[MoisLivr],AO$1)</f>
        <v>0</v>
      </c>
      <c r="AP223" s="227">
        <f>SUMIFS(LstMachines[Nbre],LstMachines[Model-Spec],PrévisionBoris[[#This Row],[Spec]],LstMachines[Status],PrévisionBoris[[#This Row],[Status]],LstMachines[MoisLivr],AP$1)</f>
        <v>0</v>
      </c>
      <c r="AQ223" s="227">
        <f>SUMIFS(LstMachines[Nbre],LstMachines[Model-Spec],PrévisionBoris[[#This Row],[Spec]],LstMachines[Status],PrévisionBoris[[#This Row],[Status]],LstMachines[MoisLivr],AQ$1)</f>
        <v>0</v>
      </c>
      <c r="AR223" s="226">
        <f>SUMIFS(LstMachines[Nbre],LstMachines[Model-Spec],PrévisionBoris[[#This Row],[Spec]],LstMachines[Status],PrévisionBoris[[#This Row],[Status]],LstMachines[MoisLivr],AR$1)</f>
        <v>0</v>
      </c>
      <c r="AS223" s="227">
        <f>SUMIFS(LstMachines[Nbre],LstMachines[Model-Spec],PrévisionBoris[[#This Row],[Spec]],LstMachines[Status],PrévisionBoris[[#This Row],[Status]],LstMachines[MoisLivr],AS$1)</f>
        <v>0</v>
      </c>
      <c r="AT223" s="227">
        <f>SUMIFS(LstMachines[Nbre],LstMachines[Model-Spec],PrévisionBoris[[#This Row],[Spec]],LstMachines[Status],PrévisionBoris[[#This Row],[Status]],LstMachines[MoisLivr],AT$1)</f>
        <v>0</v>
      </c>
      <c r="AU223" s="226">
        <f>SUMIFS(LstMachines[Nbre],LstMachines[Model-Spec],PrévisionBoris[[#This Row],[Spec]],LstMachines[Status],PrévisionBoris[[#This Row],[Status]],LstMachines[MoisLivr],AU$1)</f>
        <v>0</v>
      </c>
      <c r="AV223" s="230">
        <f>SUMIFS(LstMachines[Nbre],LstMachines[Model-Spec],PrévisionBoris[[#This Row],[Spec]],LstMachines[Status],PrévisionBoris[[#This Row],[Status]],LstMachines[MoisLivr],AV$1)</f>
        <v>0</v>
      </c>
      <c r="AW223" s="231">
        <f>SUMIFS(LstMachines[Nbre],LstMachines[Model-Spec],PrévisionBoris[[#This Row],[Spec]],LstMachines[Status],PrévisionBoris[[#This Row],[Status]],LstMachines[MoisLivr],AW$1)</f>
        <v>0</v>
      </c>
      <c r="AX223" s="232"/>
      <c r="AY223" s="211">
        <f t="shared" si="51"/>
        <v>0</v>
      </c>
      <c r="AZ223" s="212">
        <f t="shared" si="52"/>
        <v>0</v>
      </c>
      <c r="BA223" s="212">
        <f t="shared" si="53"/>
        <v>0</v>
      </c>
      <c r="BB223" s="213">
        <f t="shared" si="54"/>
        <v>0</v>
      </c>
      <c r="BC223" s="225">
        <f t="shared" si="55"/>
        <v>0</v>
      </c>
      <c r="BD223" s="211">
        <f t="shared" si="56"/>
        <v>0</v>
      </c>
      <c r="BE223" s="212">
        <f t="shared" si="57"/>
        <v>0</v>
      </c>
      <c r="BF223" s="212">
        <f t="shared" si="58"/>
        <v>0</v>
      </c>
      <c r="BG223" s="213">
        <f t="shared" si="59"/>
        <v>0</v>
      </c>
      <c r="BH223" s="225">
        <f t="shared" si="60"/>
        <v>0</v>
      </c>
      <c r="BI223" s="214">
        <f t="shared" si="61"/>
        <v>0</v>
      </c>
      <c r="BJ223" s="215">
        <f t="shared" si="62"/>
        <v>0</v>
      </c>
      <c r="BK223" s="215">
        <f t="shared" si="63"/>
        <v>0</v>
      </c>
      <c r="BL223" s="216">
        <f t="shared" si="64"/>
        <v>0</v>
      </c>
      <c r="BM223" s="225">
        <f t="shared" si="65"/>
        <v>0</v>
      </c>
      <c r="BN223" s="225"/>
      <c r="BO223" s="217"/>
      <c r="BP223" s="218">
        <f t="shared" si="66"/>
        <v>0</v>
      </c>
    </row>
    <row r="224" spans="1:68">
      <c r="A224" s="172">
        <v>217</v>
      </c>
      <c r="B224" s="172" t="s">
        <v>85</v>
      </c>
      <c r="C224" s="202">
        <v>85</v>
      </c>
      <c r="D224" s="172" t="s">
        <v>96</v>
      </c>
      <c r="E224" s="172" t="s">
        <v>356</v>
      </c>
      <c r="F224" s="202">
        <f>VLOOKUP(PrévisionBoris[[#This Row],[Spec]],TabModelSpecs[[ModelSpec]:[Price]],2,FALSE)</f>
        <v>55</v>
      </c>
      <c r="G224" s="172" t="s">
        <v>461</v>
      </c>
      <c r="H224" s="206">
        <f>SUMIFS(LstMachines[Nbre],LstMachines[Model-Spec],PrévisionBoris[[#This Row],[Spec]],LstMachines[Status],PrévisionBoris[[#This Row],[Status]],LstMachines[MoisLivr],H$1)</f>
        <v>0</v>
      </c>
      <c r="I224" s="207">
        <f>SUMIFS(LstMachines[Nbre],LstMachines[Model-Spec],PrévisionBoris[[#This Row],[Spec]],LstMachines[Status],PrévisionBoris[[#This Row],[Status]],LstMachines[MoisLivr],I$1)</f>
        <v>0</v>
      </c>
      <c r="J224" s="208">
        <f>SUMIFS(LstMachines[Nbre],LstMachines[Model-Spec],PrévisionBoris[[#This Row],[Spec]],LstMachines[Status],PrévisionBoris[[#This Row],[Status]],LstMachines[MoisLivr],J$1)</f>
        <v>0</v>
      </c>
      <c r="K224" s="206">
        <f>SUMIFS(LstMachines[Nbre],LstMachines[Model-Spec],PrévisionBoris[[#This Row],[Spec]],LstMachines[Status],PrévisionBoris[[#This Row],[Status]],LstMachines[MoisLivr],K$1)</f>
        <v>0</v>
      </c>
      <c r="L224" s="207">
        <f>SUMIFS(LstMachines[Nbre],LstMachines[Model-Spec],PrévisionBoris[[#This Row],[Spec]],LstMachines[Status],PrévisionBoris[[#This Row],[Status]],LstMachines[MoisLivr],L$1)</f>
        <v>0</v>
      </c>
      <c r="M224" s="208">
        <f>SUMIFS(LstMachines[Nbre],LstMachines[Model-Spec],PrévisionBoris[[#This Row],[Spec]],LstMachines[Status],PrévisionBoris[[#This Row],[Status]],LstMachines[MoisLivr],M$1)</f>
        <v>1</v>
      </c>
      <c r="N224" s="206">
        <f>SUMIFS(LstMachines[Nbre],LstMachines[Model-Spec],PrévisionBoris[[#This Row],[Spec]],LstMachines[Status],PrévisionBoris[[#This Row],[Status]],LstMachines[MoisLivr],N$1)</f>
        <v>0</v>
      </c>
      <c r="O224" s="207">
        <f>SUMIFS(LstMachines[Nbre],LstMachines[Model-Spec],PrévisionBoris[[#This Row],[Spec]],LstMachines[Status],PrévisionBoris[[#This Row],[Status]],LstMachines[MoisLivr],O$1)</f>
        <v>0</v>
      </c>
      <c r="P224" s="208">
        <f>SUMIFS(LstMachines[Nbre],LstMachines[Model-Spec],PrévisionBoris[[#This Row],[Spec]],LstMachines[Status],PrévisionBoris[[#This Row],[Status]],LstMachines[MoisLivr],P$1)</f>
        <v>0</v>
      </c>
      <c r="Q224" s="209">
        <f>SUMIFS(LstMachines[Nbre],LstMachines[Model-Spec],PrévisionBoris[[#This Row],[Spec]],LstMachines[Status],PrévisionBoris[[#This Row],[Status]],LstMachines[MoisLivr],Q$1)</f>
        <v>2</v>
      </c>
      <c r="R224" s="207">
        <f>SUMIFS(LstMachines[Nbre],LstMachines[Model-Spec],PrévisionBoris[[#This Row],[Spec]],LstMachines[Status],PrévisionBoris[[#This Row],[Status]],LstMachines[MoisLivr],R$1)</f>
        <v>1</v>
      </c>
      <c r="S224" s="207">
        <f>SUMIFS(LstMachines[Nbre],LstMachines[Model-Spec],PrévisionBoris[[#This Row],[Spec]],LstMachines[Status],PrévisionBoris[[#This Row],[Status]],LstMachines[MoisLivr],S$1)</f>
        <v>1</v>
      </c>
      <c r="T224" s="206">
        <f>SUMIFS(LstMachines[Nbre],LstMachines[Model-Spec],PrévisionBoris[[#This Row],[Spec]],LstMachines[Status],PrévisionBoris[[#This Row],[Status]],LstMachines[MoisLivr],T$1)</f>
        <v>6</v>
      </c>
      <c r="U224" s="207">
        <f>SUMIFS(LstMachines[Nbre],LstMachines[Model-Spec],PrévisionBoris[[#This Row],[Spec]],LstMachines[Status],PrévisionBoris[[#This Row],[Status]],LstMachines[MoisLivr],U$1)</f>
        <v>1</v>
      </c>
      <c r="V224" s="207">
        <f>SUMIFS(LstMachines[Nbre],LstMachines[Model-Spec],PrévisionBoris[[#This Row],[Spec]],LstMachines[Status],PrévisionBoris[[#This Row],[Status]],LstMachines[MoisLivr],V$1)</f>
        <v>2</v>
      </c>
      <c r="W224" s="206">
        <f>SUMIFS(LstMachines[Nbre],LstMachines[Model-Spec],PrévisionBoris[[#This Row],[Spec]],LstMachines[Status],PrévisionBoris[[#This Row],[Status]],LstMachines[MoisLivr],W$1)</f>
        <v>0</v>
      </c>
      <c r="X224" s="207">
        <f>SUMIFS(LstMachines[Nbre],LstMachines[Model-Spec],PrévisionBoris[[#This Row],[Spec]],LstMachines[Status],PrévisionBoris[[#This Row],[Status]],LstMachines[MoisLivr],X$1)</f>
        <v>0</v>
      </c>
      <c r="Y224" s="207">
        <f>SUMIFS(LstMachines[Nbre],LstMachines[Model-Spec],PrévisionBoris[[#This Row],[Spec]],LstMachines[Status],PrévisionBoris[[#This Row],[Status]],LstMachines[MoisLivr],Y$1)</f>
        <v>0</v>
      </c>
      <c r="Z224" s="206">
        <f>SUMIFS(LstMachines[Nbre],LstMachines[Model-Spec],PrévisionBoris[[#This Row],[Spec]],LstMachines[Status],PrévisionBoris[[#This Row],[Status]],LstMachines[MoisLivr],Z$1)</f>
        <v>0</v>
      </c>
      <c r="AA224" s="207">
        <f>SUMIFS(LstMachines[Nbre],LstMachines[Model-Spec],PrévisionBoris[[#This Row],[Spec]],LstMachines[Status],PrévisionBoris[[#This Row],[Status]],LstMachines[MoisLivr],AA$1)</f>
        <v>0</v>
      </c>
      <c r="AB224" s="207">
        <f>SUMIFS(LstMachines[Nbre],LstMachines[Model-Spec],PrévisionBoris[[#This Row],[Spec]],LstMachines[Status],PrévisionBoris[[#This Row],[Status]],LstMachines[MoisLivr],AB$1)</f>
        <v>17</v>
      </c>
      <c r="AC224" s="206">
        <f>SUMIFS(LstMachines[Nbre],LstMachines[Model-Spec],PrévisionBoris[[#This Row],[Spec]],LstMachines[Status],PrévisionBoris[[#This Row],[Status]],LstMachines[MoisLivr],AC$1)</f>
        <v>2</v>
      </c>
      <c r="AD224" s="207">
        <f>SUMIFS(LstMachines[Nbre],LstMachines[Model-Spec],PrévisionBoris[[#This Row],[Spec]],LstMachines[Status],PrévisionBoris[[#This Row],[Status]],LstMachines[MoisLivr],AD$1)</f>
        <v>1</v>
      </c>
      <c r="AE224" s="207">
        <f>SUMIFS(LstMachines[Nbre],LstMachines[Model-Spec],PrévisionBoris[[#This Row],[Spec]],LstMachines[Status],PrévisionBoris[[#This Row],[Status]],LstMachines[MoisLivr],AE$1)</f>
        <v>1</v>
      </c>
      <c r="AF224" s="206">
        <f>SUMIFS(LstMachines[Nbre],LstMachines[Model-Spec],PrévisionBoris[[#This Row],[Spec]],LstMachines[Status],PrévisionBoris[[#This Row],[Status]],LstMachines[MoisLivr],AF$1)</f>
        <v>1</v>
      </c>
      <c r="AG224" s="207">
        <f>SUMIFS(LstMachines[Nbre],LstMachines[Model-Spec],PrévisionBoris[[#This Row],[Spec]],LstMachines[Status],PrévisionBoris[[#This Row],[Status]],LstMachines[MoisLivr],AG$1)</f>
        <v>1</v>
      </c>
      <c r="AH224" s="207">
        <f>SUMIFS(LstMachines[Nbre],LstMachines[Model-Spec],PrévisionBoris[[#This Row],[Spec]],LstMachines[Status],PrévisionBoris[[#This Row],[Status]],LstMachines[MoisLivr],AH$1)</f>
        <v>2</v>
      </c>
      <c r="AI224" s="206">
        <f>SUMIFS(LstMachines[Nbre],LstMachines[Model-Spec],PrévisionBoris[[#This Row],[Spec]],LstMachines[Status],PrévisionBoris[[#This Row],[Status]],LstMachines[MoisLivr],AI$1)</f>
        <v>0</v>
      </c>
      <c r="AJ224" s="207">
        <f>SUMIFS(LstMachines[Nbre],LstMachines[Model-Spec],PrévisionBoris[[#This Row],[Spec]],LstMachines[Status],PrévisionBoris[[#This Row],[Status]],LstMachines[MoisLivr],AJ$1)</f>
        <v>0</v>
      </c>
      <c r="AK224" s="207">
        <f>SUMIFS(LstMachines[Nbre],LstMachines[Model-Spec],PrévisionBoris[[#This Row],[Spec]],LstMachines[Status],PrévisionBoris[[#This Row],[Status]],LstMachines[MoisLivr],AK$1)</f>
        <v>0</v>
      </c>
      <c r="AL224" s="206">
        <f>SUMIFS(LstMachines[Nbre],LstMachines[Model-Spec],PrévisionBoris[[#This Row],[Spec]],LstMachines[Status],PrévisionBoris[[#This Row],[Status]],LstMachines[MoisLivr],AL$1)</f>
        <v>0</v>
      </c>
      <c r="AM224" s="207">
        <f>SUMIFS(LstMachines[Nbre],LstMachines[Model-Spec],PrévisionBoris[[#This Row],[Spec]],LstMachines[Status],PrévisionBoris[[#This Row],[Status]],LstMachines[MoisLivr],AM$1)</f>
        <v>0</v>
      </c>
      <c r="AN224" s="207">
        <f>SUMIFS(LstMachines[Nbre],LstMachines[Model-Spec],PrévisionBoris[[#This Row],[Spec]],LstMachines[Status],PrévisionBoris[[#This Row],[Status]],LstMachines[MoisLivr],AN$1)</f>
        <v>16</v>
      </c>
      <c r="AO224" s="206">
        <f>SUMIFS(LstMachines[Nbre],LstMachines[Model-Spec],PrévisionBoris[[#This Row],[Spec]],LstMachines[Status],PrévisionBoris[[#This Row],[Status]],LstMachines[MoisLivr],AO$1)</f>
        <v>2</v>
      </c>
      <c r="AP224" s="207">
        <f>SUMIFS(LstMachines[Nbre],LstMachines[Model-Spec],PrévisionBoris[[#This Row],[Spec]],LstMachines[Status],PrévisionBoris[[#This Row],[Status]],LstMachines[MoisLivr],AP$1)</f>
        <v>1</v>
      </c>
      <c r="AQ224" s="207">
        <f>SUMIFS(LstMachines[Nbre],LstMachines[Model-Spec],PrévisionBoris[[#This Row],[Spec]],LstMachines[Status],PrévisionBoris[[#This Row],[Status]],LstMachines[MoisLivr],AQ$1)</f>
        <v>1</v>
      </c>
      <c r="AR224" s="206">
        <f>SUMIFS(LstMachines[Nbre],LstMachines[Model-Spec],PrévisionBoris[[#This Row],[Spec]],LstMachines[Status],PrévisionBoris[[#This Row],[Status]],LstMachines[MoisLivr],AR$1)</f>
        <v>1</v>
      </c>
      <c r="AS224" s="207">
        <f>SUMIFS(LstMachines[Nbre],LstMachines[Model-Spec],PrévisionBoris[[#This Row],[Spec]],LstMachines[Status],PrévisionBoris[[#This Row],[Status]],LstMachines[MoisLivr],AS$1)</f>
        <v>1</v>
      </c>
      <c r="AT224" s="207">
        <f>SUMIFS(LstMachines[Nbre],LstMachines[Model-Spec],PrévisionBoris[[#This Row],[Spec]],LstMachines[Status],PrévisionBoris[[#This Row],[Status]],LstMachines[MoisLivr],AT$1)</f>
        <v>2</v>
      </c>
      <c r="AU224" s="206">
        <f>SUMIFS(LstMachines[Nbre],LstMachines[Model-Spec],PrévisionBoris[[#This Row],[Spec]],LstMachines[Status],PrévisionBoris[[#This Row],[Status]],LstMachines[MoisLivr],AU$1)</f>
        <v>0</v>
      </c>
      <c r="AV224" s="233">
        <f>SUMIFS(LstMachines[Nbre],LstMachines[Model-Spec],PrévisionBoris[[#This Row],[Spec]],LstMachines[Status],PrévisionBoris[[#This Row],[Status]],LstMachines[MoisLivr],AV$1)</f>
        <v>0</v>
      </c>
      <c r="AW224" s="208">
        <f>SUMIFS(LstMachines[Nbre],LstMachines[Model-Spec],PrévisionBoris[[#This Row],[Spec]],LstMachines[Status],PrévisionBoris[[#This Row],[Status]],LstMachines[MoisLivr],AW$1)</f>
        <v>0</v>
      </c>
      <c r="AX224" s="225"/>
      <c r="AY224" s="211">
        <f t="shared" si="51"/>
        <v>1</v>
      </c>
      <c r="AZ224" s="212">
        <f t="shared" si="52"/>
        <v>0</v>
      </c>
      <c r="BA224" s="212">
        <f t="shared" si="53"/>
        <v>4</v>
      </c>
      <c r="BB224" s="213">
        <f t="shared" si="54"/>
        <v>9</v>
      </c>
      <c r="BC224" s="225">
        <f t="shared" si="55"/>
        <v>14</v>
      </c>
      <c r="BD224" s="211">
        <f t="shared" si="56"/>
        <v>0</v>
      </c>
      <c r="BE224" s="212">
        <f t="shared" si="57"/>
        <v>17</v>
      </c>
      <c r="BF224" s="212">
        <f t="shared" si="58"/>
        <v>4</v>
      </c>
      <c r="BG224" s="213">
        <f t="shared" si="59"/>
        <v>4</v>
      </c>
      <c r="BH224" s="225">
        <f t="shared" si="60"/>
        <v>25</v>
      </c>
      <c r="BI224" s="214">
        <f t="shared" si="61"/>
        <v>0</v>
      </c>
      <c r="BJ224" s="215">
        <f t="shared" si="62"/>
        <v>16</v>
      </c>
      <c r="BK224" s="215">
        <f t="shared" si="63"/>
        <v>4</v>
      </c>
      <c r="BL224" s="216">
        <f t="shared" si="64"/>
        <v>4</v>
      </c>
      <c r="BM224" s="225">
        <f t="shared" si="65"/>
        <v>24</v>
      </c>
      <c r="BN224" s="225"/>
      <c r="BO224" s="234"/>
      <c r="BP224" s="218">
        <f t="shared" si="66"/>
        <v>63</v>
      </c>
    </row>
    <row r="225" spans="1:68">
      <c r="A225" s="170">
        <v>218</v>
      </c>
      <c r="B225" s="170" t="s">
        <v>85</v>
      </c>
      <c r="C225" s="200">
        <v>85</v>
      </c>
      <c r="D225" s="170" t="s">
        <v>96</v>
      </c>
      <c r="E225" s="170" t="s">
        <v>356</v>
      </c>
      <c r="F225" s="200">
        <f>VLOOKUP(PrévisionBoris[[#This Row],[Spec]],TabModelSpecs[[ModelSpec]:[Price]],2,FALSE)</f>
        <v>55</v>
      </c>
      <c r="G225" s="170" t="s">
        <v>462</v>
      </c>
      <c r="H225" s="219">
        <f>SUMIFS(LstMachines[Nbre],LstMachines[Model-Spec],PrévisionBoris[[#This Row],[Spec]],LstMachines[Status],PrévisionBoris[[#This Row],[Status]],LstMachines[MoisLivr],H$1)</f>
        <v>0</v>
      </c>
      <c r="I225" s="220">
        <f>SUMIFS(LstMachines[Nbre],LstMachines[Model-Spec],PrévisionBoris[[#This Row],[Spec]],LstMachines[Status],PrévisionBoris[[#This Row],[Status]],LstMachines[MoisLivr],I$1)</f>
        <v>0</v>
      </c>
      <c r="J225" s="221">
        <f>SUMIFS(LstMachines[Nbre],LstMachines[Model-Spec],PrévisionBoris[[#This Row],[Spec]],LstMachines[Status],PrévisionBoris[[#This Row],[Status]],LstMachines[MoisLivr],J$1)</f>
        <v>0</v>
      </c>
      <c r="K225" s="219">
        <f>SUMIFS(LstMachines[Nbre],LstMachines[Model-Spec],PrévisionBoris[[#This Row],[Spec]],LstMachines[Status],PrévisionBoris[[#This Row],[Status]],LstMachines[MoisLivr],K$1)</f>
        <v>0</v>
      </c>
      <c r="L225" s="220">
        <f>SUMIFS(LstMachines[Nbre],LstMachines[Model-Spec],PrévisionBoris[[#This Row],[Spec]],LstMachines[Status],PrévisionBoris[[#This Row],[Status]],LstMachines[MoisLivr],L$1)</f>
        <v>0</v>
      </c>
      <c r="M225" s="221">
        <f>SUMIFS(LstMachines[Nbre],LstMachines[Model-Spec],PrévisionBoris[[#This Row],[Spec]],LstMachines[Status],PrévisionBoris[[#This Row],[Status]],LstMachines[MoisLivr],M$1)</f>
        <v>0</v>
      </c>
      <c r="N225" s="219">
        <f>SUMIFS(LstMachines[Nbre],LstMachines[Model-Spec],PrévisionBoris[[#This Row],[Spec]],LstMachines[Status],PrévisionBoris[[#This Row],[Status]],LstMachines[MoisLivr],N$1)</f>
        <v>0</v>
      </c>
      <c r="O225" s="220">
        <f>SUMIFS(LstMachines[Nbre],LstMachines[Model-Spec],PrévisionBoris[[#This Row],[Spec]],LstMachines[Status],PrévisionBoris[[#This Row],[Status]],LstMachines[MoisLivr],O$1)</f>
        <v>0</v>
      </c>
      <c r="P225" s="221">
        <f>SUMIFS(LstMachines[Nbre],LstMachines[Model-Spec],PrévisionBoris[[#This Row],[Spec]],LstMachines[Status],PrévisionBoris[[#This Row],[Status]],LstMachines[MoisLivr],P$1)</f>
        <v>0</v>
      </c>
      <c r="Q225" s="222">
        <f>SUMIFS(LstMachines[Nbre],LstMachines[Model-Spec],PrévisionBoris[[#This Row],[Spec]],LstMachines[Status],PrévisionBoris[[#This Row],[Status]],LstMachines[MoisLivr],Q$1)</f>
        <v>0</v>
      </c>
      <c r="R225" s="220">
        <f>SUMIFS(LstMachines[Nbre],LstMachines[Model-Spec],PrévisionBoris[[#This Row],[Spec]],LstMachines[Status],PrévisionBoris[[#This Row],[Status]],LstMachines[MoisLivr],R$1)</f>
        <v>0</v>
      </c>
      <c r="S225" s="220">
        <f>SUMIFS(LstMachines[Nbre],LstMachines[Model-Spec],PrévisionBoris[[#This Row],[Spec]],LstMachines[Status],PrévisionBoris[[#This Row],[Status]],LstMachines[MoisLivr],S$1)</f>
        <v>0</v>
      </c>
      <c r="T225" s="219">
        <f>SUMIFS(LstMachines[Nbre],LstMachines[Model-Spec],PrévisionBoris[[#This Row],[Spec]],LstMachines[Status],PrévisionBoris[[#This Row],[Status]],LstMachines[MoisLivr],T$1)</f>
        <v>0</v>
      </c>
      <c r="U225" s="220">
        <f>SUMIFS(LstMachines[Nbre],LstMachines[Model-Spec],PrévisionBoris[[#This Row],[Spec]],LstMachines[Status],PrévisionBoris[[#This Row],[Status]],LstMachines[MoisLivr],U$1)</f>
        <v>0</v>
      </c>
      <c r="V225" s="220">
        <f>SUMIFS(LstMachines[Nbre],LstMachines[Model-Spec],PrévisionBoris[[#This Row],[Spec]],LstMachines[Status],PrévisionBoris[[#This Row],[Status]],LstMachines[MoisLivr],V$1)</f>
        <v>0</v>
      </c>
      <c r="W225" s="219">
        <f>SUMIFS(LstMachines[Nbre],LstMachines[Model-Spec],PrévisionBoris[[#This Row],[Spec]],LstMachines[Status],PrévisionBoris[[#This Row],[Status]],LstMachines[MoisLivr],W$1)</f>
        <v>0</v>
      </c>
      <c r="X225" s="220">
        <f>SUMIFS(LstMachines[Nbre],LstMachines[Model-Spec],PrévisionBoris[[#This Row],[Spec]],LstMachines[Status],PrévisionBoris[[#This Row],[Status]],LstMachines[MoisLivr],X$1)</f>
        <v>0</v>
      </c>
      <c r="Y225" s="220">
        <f>SUMIFS(LstMachines[Nbre],LstMachines[Model-Spec],PrévisionBoris[[#This Row],[Spec]],LstMachines[Status],PrévisionBoris[[#This Row],[Status]],LstMachines[MoisLivr],Y$1)</f>
        <v>0</v>
      </c>
      <c r="Z225" s="219">
        <f>SUMIFS(LstMachines[Nbre],LstMachines[Model-Spec],PrévisionBoris[[#This Row],[Spec]],LstMachines[Status],PrévisionBoris[[#This Row],[Status]],LstMachines[MoisLivr],Z$1)</f>
        <v>0</v>
      </c>
      <c r="AA225" s="220">
        <f>SUMIFS(LstMachines[Nbre],LstMachines[Model-Spec],PrévisionBoris[[#This Row],[Spec]],LstMachines[Status],PrévisionBoris[[#This Row],[Status]],LstMachines[MoisLivr],AA$1)</f>
        <v>0</v>
      </c>
      <c r="AB225" s="220">
        <f>SUMIFS(LstMachines[Nbre],LstMachines[Model-Spec],PrévisionBoris[[#This Row],[Spec]],LstMachines[Status],PrévisionBoris[[#This Row],[Status]],LstMachines[MoisLivr],AB$1)</f>
        <v>0</v>
      </c>
      <c r="AC225" s="219">
        <f>SUMIFS(LstMachines[Nbre],LstMachines[Model-Spec],PrévisionBoris[[#This Row],[Spec]],LstMachines[Status],PrévisionBoris[[#This Row],[Status]],LstMachines[MoisLivr],AC$1)</f>
        <v>0</v>
      </c>
      <c r="AD225" s="220">
        <f>SUMIFS(LstMachines[Nbre],LstMachines[Model-Spec],PrévisionBoris[[#This Row],[Spec]],LstMachines[Status],PrévisionBoris[[#This Row],[Status]],LstMachines[MoisLivr],AD$1)</f>
        <v>0</v>
      </c>
      <c r="AE225" s="220">
        <f>SUMIFS(LstMachines[Nbre],LstMachines[Model-Spec],PrévisionBoris[[#This Row],[Spec]],LstMachines[Status],PrévisionBoris[[#This Row],[Status]],LstMachines[MoisLivr],AE$1)</f>
        <v>0</v>
      </c>
      <c r="AF225" s="219">
        <f>SUMIFS(LstMachines[Nbre],LstMachines[Model-Spec],PrévisionBoris[[#This Row],[Spec]],LstMachines[Status],PrévisionBoris[[#This Row],[Status]],LstMachines[MoisLivr],AF$1)</f>
        <v>0</v>
      </c>
      <c r="AG225" s="220">
        <f>SUMIFS(LstMachines[Nbre],LstMachines[Model-Spec],PrévisionBoris[[#This Row],[Spec]],LstMachines[Status],PrévisionBoris[[#This Row],[Status]],LstMachines[MoisLivr],AG$1)</f>
        <v>0</v>
      </c>
      <c r="AH225" s="220">
        <f>SUMIFS(LstMachines[Nbre],LstMachines[Model-Spec],PrévisionBoris[[#This Row],[Spec]],LstMachines[Status],PrévisionBoris[[#This Row],[Status]],LstMachines[MoisLivr],AH$1)</f>
        <v>0</v>
      </c>
      <c r="AI225" s="219">
        <f>SUMIFS(LstMachines[Nbre],LstMachines[Model-Spec],PrévisionBoris[[#This Row],[Spec]],LstMachines[Status],PrévisionBoris[[#This Row],[Status]],LstMachines[MoisLivr],AI$1)</f>
        <v>0</v>
      </c>
      <c r="AJ225" s="220">
        <f>SUMIFS(LstMachines[Nbre],LstMachines[Model-Spec],PrévisionBoris[[#This Row],[Spec]],LstMachines[Status],PrévisionBoris[[#This Row],[Status]],LstMachines[MoisLivr],AJ$1)</f>
        <v>0</v>
      </c>
      <c r="AK225" s="220">
        <f>SUMIFS(LstMachines[Nbre],LstMachines[Model-Spec],PrévisionBoris[[#This Row],[Spec]],LstMachines[Status],PrévisionBoris[[#This Row],[Status]],LstMachines[MoisLivr],AK$1)</f>
        <v>0</v>
      </c>
      <c r="AL225" s="219">
        <f>SUMIFS(LstMachines[Nbre],LstMachines[Model-Spec],PrévisionBoris[[#This Row],[Spec]],LstMachines[Status],PrévisionBoris[[#This Row],[Status]],LstMachines[MoisLivr],AL$1)</f>
        <v>0</v>
      </c>
      <c r="AM225" s="220">
        <f>SUMIFS(LstMachines[Nbre],LstMachines[Model-Spec],PrévisionBoris[[#This Row],[Spec]],LstMachines[Status],PrévisionBoris[[#This Row],[Status]],LstMachines[MoisLivr],AM$1)</f>
        <v>0</v>
      </c>
      <c r="AN225" s="220">
        <f>SUMIFS(LstMachines[Nbre],LstMachines[Model-Spec],PrévisionBoris[[#This Row],[Spec]],LstMachines[Status],PrévisionBoris[[#This Row],[Status]],LstMachines[MoisLivr],AN$1)</f>
        <v>0</v>
      </c>
      <c r="AO225" s="219">
        <f>SUMIFS(LstMachines[Nbre],LstMachines[Model-Spec],PrévisionBoris[[#This Row],[Spec]],LstMachines[Status],PrévisionBoris[[#This Row],[Status]],LstMachines[MoisLivr],AO$1)</f>
        <v>0</v>
      </c>
      <c r="AP225" s="220">
        <f>SUMIFS(LstMachines[Nbre],LstMachines[Model-Spec],PrévisionBoris[[#This Row],[Spec]],LstMachines[Status],PrévisionBoris[[#This Row],[Status]],LstMachines[MoisLivr],AP$1)</f>
        <v>0</v>
      </c>
      <c r="AQ225" s="220">
        <f>SUMIFS(LstMachines[Nbre],LstMachines[Model-Spec],PrévisionBoris[[#This Row],[Spec]],LstMachines[Status],PrévisionBoris[[#This Row],[Status]],LstMachines[MoisLivr],AQ$1)</f>
        <v>0</v>
      </c>
      <c r="AR225" s="219">
        <f>SUMIFS(LstMachines[Nbre],LstMachines[Model-Spec],PrévisionBoris[[#This Row],[Spec]],LstMachines[Status],PrévisionBoris[[#This Row],[Status]],LstMachines[MoisLivr],AR$1)</f>
        <v>0</v>
      </c>
      <c r="AS225" s="220">
        <f>SUMIFS(LstMachines[Nbre],LstMachines[Model-Spec],PrévisionBoris[[#This Row],[Spec]],LstMachines[Status],PrévisionBoris[[#This Row],[Status]],LstMachines[MoisLivr],AS$1)</f>
        <v>0</v>
      </c>
      <c r="AT225" s="220">
        <f>SUMIFS(LstMachines[Nbre],LstMachines[Model-Spec],PrévisionBoris[[#This Row],[Spec]],LstMachines[Status],PrévisionBoris[[#This Row],[Status]],LstMachines[MoisLivr],AT$1)</f>
        <v>0</v>
      </c>
      <c r="AU225" s="219">
        <f>SUMIFS(LstMachines[Nbre],LstMachines[Model-Spec],PrévisionBoris[[#This Row],[Spec]],LstMachines[Status],PrévisionBoris[[#This Row],[Status]],LstMachines[MoisLivr],AU$1)</f>
        <v>0</v>
      </c>
      <c r="AV225" s="223">
        <f>SUMIFS(LstMachines[Nbre],LstMachines[Model-Spec],PrévisionBoris[[#This Row],[Spec]],LstMachines[Status],PrévisionBoris[[#This Row],[Status]],LstMachines[MoisLivr],AV$1)</f>
        <v>0</v>
      </c>
      <c r="AW225" s="224">
        <f>SUMIFS(LstMachines[Nbre],LstMachines[Model-Spec],PrévisionBoris[[#This Row],[Spec]],LstMachines[Status],PrévisionBoris[[#This Row],[Status]],LstMachines[MoisLivr],AW$1)</f>
        <v>0</v>
      </c>
      <c r="AX225" s="210"/>
      <c r="AY225" s="211">
        <f t="shared" si="51"/>
        <v>0</v>
      </c>
      <c r="AZ225" s="212">
        <f t="shared" si="52"/>
        <v>0</v>
      </c>
      <c r="BA225" s="212">
        <f t="shared" si="53"/>
        <v>0</v>
      </c>
      <c r="BB225" s="213">
        <f t="shared" si="54"/>
        <v>0</v>
      </c>
      <c r="BC225" s="225">
        <f t="shared" si="55"/>
        <v>0</v>
      </c>
      <c r="BD225" s="211">
        <f t="shared" si="56"/>
        <v>0</v>
      </c>
      <c r="BE225" s="212">
        <f t="shared" si="57"/>
        <v>0</v>
      </c>
      <c r="BF225" s="212">
        <f t="shared" si="58"/>
        <v>0</v>
      </c>
      <c r="BG225" s="213">
        <f t="shared" si="59"/>
        <v>0</v>
      </c>
      <c r="BH225" s="225">
        <f t="shared" si="60"/>
        <v>0</v>
      </c>
      <c r="BI225" s="214">
        <f t="shared" si="61"/>
        <v>0</v>
      </c>
      <c r="BJ225" s="215">
        <f t="shared" si="62"/>
        <v>0</v>
      </c>
      <c r="BK225" s="215">
        <f t="shared" si="63"/>
        <v>0</v>
      </c>
      <c r="BL225" s="216">
        <f t="shared" si="64"/>
        <v>0</v>
      </c>
      <c r="BM225" s="225">
        <f t="shared" si="65"/>
        <v>0</v>
      </c>
      <c r="BN225" s="225"/>
      <c r="BO225" s="217"/>
      <c r="BP225" s="218">
        <f t="shared" si="66"/>
        <v>0</v>
      </c>
    </row>
    <row r="226" spans="1:68">
      <c r="A226" s="171">
        <v>219</v>
      </c>
      <c r="B226" s="171" t="s">
        <v>85</v>
      </c>
      <c r="C226" s="201">
        <v>85</v>
      </c>
      <c r="D226" s="171" t="s">
        <v>96</v>
      </c>
      <c r="E226" s="171" t="s">
        <v>356</v>
      </c>
      <c r="F226" s="201">
        <f>VLOOKUP(PrévisionBoris[[#This Row],[Spec]],TabModelSpecs[[ModelSpec]:[Price]],2,FALSE)</f>
        <v>55</v>
      </c>
      <c r="G226" s="171" t="s">
        <v>463</v>
      </c>
      <c r="H226" s="226">
        <f>SUMIFS(LstMachines[Nbre],LstMachines[Model-Spec],PrévisionBoris[[#This Row],[Spec]],LstMachines[Status],PrévisionBoris[[#This Row],[Status]],LstMachines[MoisLivr],H$1)</f>
        <v>0</v>
      </c>
      <c r="I226" s="227">
        <f>SUMIFS(LstMachines[Nbre],LstMachines[Model-Spec],PrévisionBoris[[#This Row],[Spec]],LstMachines[Status],PrévisionBoris[[#This Row],[Status]],LstMachines[MoisLivr],I$1)</f>
        <v>1</v>
      </c>
      <c r="J226" s="228">
        <f>SUMIFS(LstMachines[Nbre],LstMachines[Model-Spec],PrévisionBoris[[#This Row],[Spec]],LstMachines[Status],PrévisionBoris[[#This Row],[Status]],LstMachines[MoisLivr],J$1)</f>
        <v>3</v>
      </c>
      <c r="K226" s="226">
        <f>SUMIFS(LstMachines[Nbre],LstMachines[Model-Spec],PrévisionBoris[[#This Row],[Spec]],LstMachines[Status],PrévisionBoris[[#This Row],[Status]],LstMachines[MoisLivr],K$1)</f>
        <v>2</v>
      </c>
      <c r="L226" s="227">
        <f>SUMIFS(LstMachines[Nbre],LstMachines[Model-Spec],PrévisionBoris[[#This Row],[Spec]],LstMachines[Status],PrévisionBoris[[#This Row],[Status]],LstMachines[MoisLivr],L$1)</f>
        <v>2</v>
      </c>
      <c r="M226" s="228">
        <f>SUMIFS(LstMachines[Nbre],LstMachines[Model-Spec],PrévisionBoris[[#This Row],[Spec]],LstMachines[Status],PrévisionBoris[[#This Row],[Status]],LstMachines[MoisLivr],M$1)</f>
        <v>2</v>
      </c>
      <c r="N226" s="226">
        <f>SUMIFS(LstMachines[Nbre],LstMachines[Model-Spec],PrévisionBoris[[#This Row],[Spec]],LstMachines[Status],PrévisionBoris[[#This Row],[Status]],LstMachines[MoisLivr],N$1)</f>
        <v>2</v>
      </c>
      <c r="O226" s="227">
        <f>SUMIFS(LstMachines[Nbre],LstMachines[Model-Spec],PrévisionBoris[[#This Row],[Spec]],LstMachines[Status],PrévisionBoris[[#This Row],[Status]],LstMachines[MoisLivr],O$1)</f>
        <v>0</v>
      </c>
      <c r="P226" s="228">
        <f>SUMIFS(LstMachines[Nbre],LstMachines[Model-Spec],PrévisionBoris[[#This Row],[Spec]],LstMachines[Status],PrévisionBoris[[#This Row],[Status]],LstMachines[MoisLivr],P$1)</f>
        <v>4</v>
      </c>
      <c r="Q226" s="229">
        <f>SUMIFS(LstMachines[Nbre],LstMachines[Model-Spec],PrévisionBoris[[#This Row],[Spec]],LstMachines[Status],PrévisionBoris[[#This Row],[Status]],LstMachines[MoisLivr],Q$1)</f>
        <v>2</v>
      </c>
      <c r="R226" s="227">
        <f>SUMIFS(LstMachines[Nbre],LstMachines[Model-Spec],PrévisionBoris[[#This Row],[Spec]],LstMachines[Status],PrévisionBoris[[#This Row],[Status]],LstMachines[MoisLivr],R$1)</f>
        <v>0</v>
      </c>
      <c r="S226" s="227">
        <f>SUMIFS(LstMachines[Nbre],LstMachines[Model-Spec],PrévisionBoris[[#This Row],[Spec]],LstMachines[Status],PrévisionBoris[[#This Row],[Status]],LstMachines[MoisLivr],S$1)</f>
        <v>0</v>
      </c>
      <c r="T226" s="226">
        <f>SUMIFS(LstMachines[Nbre],LstMachines[Model-Spec],PrévisionBoris[[#This Row],[Spec]],LstMachines[Status],PrévisionBoris[[#This Row],[Status]],LstMachines[MoisLivr],T$1)</f>
        <v>0</v>
      </c>
      <c r="U226" s="227">
        <f>SUMIFS(LstMachines[Nbre],LstMachines[Model-Spec],PrévisionBoris[[#This Row],[Spec]],LstMachines[Status],PrévisionBoris[[#This Row],[Status]],LstMachines[MoisLivr],U$1)</f>
        <v>0</v>
      </c>
      <c r="V226" s="227">
        <f>SUMIFS(LstMachines[Nbre],LstMachines[Model-Spec],PrévisionBoris[[#This Row],[Spec]],LstMachines[Status],PrévisionBoris[[#This Row],[Status]],LstMachines[MoisLivr],V$1)</f>
        <v>1</v>
      </c>
      <c r="W226" s="226">
        <f>SUMIFS(LstMachines[Nbre],LstMachines[Model-Spec],PrévisionBoris[[#This Row],[Spec]],LstMachines[Status],PrévisionBoris[[#This Row],[Status]],LstMachines[MoisLivr],W$1)</f>
        <v>2</v>
      </c>
      <c r="X226" s="227">
        <f>SUMIFS(LstMachines[Nbre],LstMachines[Model-Spec],PrévisionBoris[[#This Row],[Spec]],LstMachines[Status],PrévisionBoris[[#This Row],[Status]],LstMachines[MoisLivr],X$1)</f>
        <v>2</v>
      </c>
      <c r="Y226" s="227">
        <f>SUMIFS(LstMachines[Nbre],LstMachines[Model-Spec],PrévisionBoris[[#This Row],[Spec]],LstMachines[Status],PrévisionBoris[[#This Row],[Status]],LstMachines[MoisLivr],Y$1)</f>
        <v>1</v>
      </c>
      <c r="Z226" s="226">
        <f>SUMIFS(LstMachines[Nbre],LstMachines[Model-Spec],PrévisionBoris[[#This Row],[Spec]],LstMachines[Status],PrévisionBoris[[#This Row],[Status]],LstMachines[MoisLivr],Z$1)</f>
        <v>0</v>
      </c>
      <c r="AA226" s="227">
        <f>SUMIFS(LstMachines[Nbre],LstMachines[Model-Spec],PrévisionBoris[[#This Row],[Spec]],LstMachines[Status],PrévisionBoris[[#This Row],[Status]],LstMachines[MoisLivr],AA$1)</f>
        <v>0</v>
      </c>
      <c r="AB226" s="227">
        <f>SUMIFS(LstMachines[Nbre],LstMachines[Model-Spec],PrévisionBoris[[#This Row],[Spec]],LstMachines[Status],PrévisionBoris[[#This Row],[Status]],LstMachines[MoisLivr],AB$1)</f>
        <v>0</v>
      </c>
      <c r="AC226" s="226">
        <f>SUMIFS(LstMachines[Nbre],LstMachines[Model-Spec],PrévisionBoris[[#This Row],[Spec]],LstMachines[Status],PrévisionBoris[[#This Row],[Status]],LstMachines[MoisLivr],AC$1)</f>
        <v>0</v>
      </c>
      <c r="AD226" s="227">
        <f>SUMIFS(LstMachines[Nbre],LstMachines[Model-Spec],PrévisionBoris[[#This Row],[Spec]],LstMachines[Status],PrévisionBoris[[#This Row],[Status]],LstMachines[MoisLivr],AD$1)</f>
        <v>0</v>
      </c>
      <c r="AE226" s="227">
        <f>SUMIFS(LstMachines[Nbre],LstMachines[Model-Spec],PrévisionBoris[[#This Row],[Spec]],LstMachines[Status],PrévisionBoris[[#This Row],[Status]],LstMachines[MoisLivr],AE$1)</f>
        <v>0</v>
      </c>
      <c r="AF226" s="226">
        <f>SUMIFS(LstMachines[Nbre],LstMachines[Model-Spec],PrévisionBoris[[#This Row],[Spec]],LstMachines[Status],PrévisionBoris[[#This Row],[Status]],LstMachines[MoisLivr],AF$1)</f>
        <v>0</v>
      </c>
      <c r="AG226" s="227">
        <f>SUMIFS(LstMachines[Nbre],LstMachines[Model-Spec],PrévisionBoris[[#This Row],[Spec]],LstMachines[Status],PrévisionBoris[[#This Row],[Status]],LstMachines[MoisLivr],AG$1)</f>
        <v>0</v>
      </c>
      <c r="AH226" s="227">
        <f>SUMIFS(LstMachines[Nbre],LstMachines[Model-Spec],PrévisionBoris[[#This Row],[Spec]],LstMachines[Status],PrévisionBoris[[#This Row],[Status]],LstMachines[MoisLivr],AH$1)</f>
        <v>0</v>
      </c>
      <c r="AI226" s="226">
        <f>SUMIFS(LstMachines[Nbre],LstMachines[Model-Spec],PrévisionBoris[[#This Row],[Spec]],LstMachines[Status],PrévisionBoris[[#This Row],[Status]],LstMachines[MoisLivr],AI$1)</f>
        <v>0</v>
      </c>
      <c r="AJ226" s="227">
        <f>SUMIFS(LstMachines[Nbre],LstMachines[Model-Spec],PrévisionBoris[[#This Row],[Spec]],LstMachines[Status],PrévisionBoris[[#This Row],[Status]],LstMachines[MoisLivr],AJ$1)</f>
        <v>0</v>
      </c>
      <c r="AK226" s="227">
        <f>SUMIFS(LstMachines[Nbre],LstMachines[Model-Spec],PrévisionBoris[[#This Row],[Spec]],LstMachines[Status],PrévisionBoris[[#This Row],[Status]],LstMachines[MoisLivr],AK$1)</f>
        <v>0</v>
      </c>
      <c r="AL226" s="226">
        <f>SUMIFS(LstMachines[Nbre],LstMachines[Model-Spec],PrévisionBoris[[#This Row],[Spec]],LstMachines[Status],PrévisionBoris[[#This Row],[Status]],LstMachines[MoisLivr],AL$1)</f>
        <v>0</v>
      </c>
      <c r="AM226" s="227">
        <f>SUMIFS(LstMachines[Nbre],LstMachines[Model-Spec],PrévisionBoris[[#This Row],[Spec]],LstMachines[Status],PrévisionBoris[[#This Row],[Status]],LstMachines[MoisLivr],AM$1)</f>
        <v>0</v>
      </c>
      <c r="AN226" s="227">
        <f>SUMIFS(LstMachines[Nbre],LstMachines[Model-Spec],PrévisionBoris[[#This Row],[Spec]],LstMachines[Status],PrévisionBoris[[#This Row],[Status]],LstMachines[MoisLivr],AN$1)</f>
        <v>0</v>
      </c>
      <c r="AO226" s="226">
        <f>SUMIFS(LstMachines[Nbre],LstMachines[Model-Spec],PrévisionBoris[[#This Row],[Spec]],LstMachines[Status],PrévisionBoris[[#This Row],[Status]],LstMachines[MoisLivr],AO$1)</f>
        <v>0</v>
      </c>
      <c r="AP226" s="227">
        <f>SUMIFS(LstMachines[Nbre],LstMachines[Model-Spec],PrévisionBoris[[#This Row],[Spec]],LstMachines[Status],PrévisionBoris[[#This Row],[Status]],LstMachines[MoisLivr],AP$1)</f>
        <v>0</v>
      </c>
      <c r="AQ226" s="227">
        <f>SUMIFS(LstMachines[Nbre],LstMachines[Model-Spec],PrévisionBoris[[#This Row],[Spec]],LstMachines[Status],PrévisionBoris[[#This Row],[Status]],LstMachines[MoisLivr],AQ$1)</f>
        <v>0</v>
      </c>
      <c r="AR226" s="226">
        <f>SUMIFS(LstMachines[Nbre],LstMachines[Model-Spec],PrévisionBoris[[#This Row],[Spec]],LstMachines[Status],PrévisionBoris[[#This Row],[Status]],LstMachines[MoisLivr],AR$1)</f>
        <v>0</v>
      </c>
      <c r="AS226" s="227">
        <f>SUMIFS(LstMachines[Nbre],LstMachines[Model-Spec],PrévisionBoris[[#This Row],[Spec]],LstMachines[Status],PrévisionBoris[[#This Row],[Status]],LstMachines[MoisLivr],AS$1)</f>
        <v>0</v>
      </c>
      <c r="AT226" s="227">
        <f>SUMIFS(LstMachines[Nbre],LstMachines[Model-Spec],PrévisionBoris[[#This Row],[Spec]],LstMachines[Status],PrévisionBoris[[#This Row],[Status]],LstMachines[MoisLivr],AT$1)</f>
        <v>0</v>
      </c>
      <c r="AU226" s="226">
        <f>SUMIFS(LstMachines[Nbre],LstMachines[Model-Spec],PrévisionBoris[[#This Row],[Spec]],LstMachines[Status],PrévisionBoris[[#This Row],[Status]],LstMachines[MoisLivr],AU$1)</f>
        <v>0</v>
      </c>
      <c r="AV226" s="230">
        <f>SUMIFS(LstMachines[Nbre],LstMachines[Model-Spec],PrévisionBoris[[#This Row],[Spec]],LstMachines[Status],PrévisionBoris[[#This Row],[Status]],LstMachines[MoisLivr],AV$1)</f>
        <v>0</v>
      </c>
      <c r="AW226" s="231">
        <f>SUMIFS(LstMachines[Nbre],LstMachines[Model-Spec],PrévisionBoris[[#This Row],[Spec]],LstMachines[Status],PrévisionBoris[[#This Row],[Status]],LstMachines[MoisLivr],AW$1)</f>
        <v>0</v>
      </c>
      <c r="AX226" s="232"/>
      <c r="AY226" s="211">
        <f t="shared" si="51"/>
        <v>6</v>
      </c>
      <c r="AZ226" s="212">
        <f t="shared" si="52"/>
        <v>6</v>
      </c>
      <c r="BA226" s="212">
        <f t="shared" si="53"/>
        <v>2</v>
      </c>
      <c r="BB226" s="213">
        <f t="shared" si="54"/>
        <v>1</v>
      </c>
      <c r="BC226" s="225">
        <f t="shared" si="55"/>
        <v>15</v>
      </c>
      <c r="BD226" s="211">
        <f t="shared" si="56"/>
        <v>5</v>
      </c>
      <c r="BE226" s="212">
        <f t="shared" si="57"/>
        <v>0</v>
      </c>
      <c r="BF226" s="212">
        <f t="shared" si="58"/>
        <v>0</v>
      </c>
      <c r="BG226" s="213">
        <f t="shared" si="59"/>
        <v>0</v>
      </c>
      <c r="BH226" s="225">
        <f t="shared" si="60"/>
        <v>5</v>
      </c>
      <c r="BI226" s="214">
        <f t="shared" si="61"/>
        <v>0</v>
      </c>
      <c r="BJ226" s="215">
        <f t="shared" si="62"/>
        <v>0</v>
      </c>
      <c r="BK226" s="215">
        <f t="shared" si="63"/>
        <v>0</v>
      </c>
      <c r="BL226" s="216">
        <f t="shared" si="64"/>
        <v>0</v>
      </c>
      <c r="BM226" s="225">
        <f t="shared" si="65"/>
        <v>0</v>
      </c>
      <c r="BN226" s="225"/>
      <c r="BO226" s="217"/>
      <c r="BP226" s="218">
        <f t="shared" si="66"/>
        <v>24</v>
      </c>
    </row>
    <row r="227" spans="1:68">
      <c r="A227" s="172">
        <v>220</v>
      </c>
      <c r="B227" s="172" t="s">
        <v>85</v>
      </c>
      <c r="C227" s="202">
        <v>130</v>
      </c>
      <c r="D227" s="172" t="s">
        <v>189</v>
      </c>
      <c r="E227" s="172" t="s">
        <v>190</v>
      </c>
      <c r="F227" s="202">
        <f>VLOOKUP(PrévisionBoris[[#This Row],[Spec]],TabModelSpecs[[ModelSpec]:[Price]],2,FALSE)</f>
        <v>105</v>
      </c>
      <c r="G227" s="172" t="s">
        <v>461</v>
      </c>
      <c r="H227" s="206">
        <f>SUMIFS(LstMachines[Nbre],LstMachines[Model-Spec],PrévisionBoris[[#This Row],[Spec]],LstMachines[Status],PrévisionBoris[[#This Row],[Status]],LstMachines[MoisLivr],H$1)</f>
        <v>0</v>
      </c>
      <c r="I227" s="207">
        <f>SUMIFS(LstMachines[Nbre],LstMachines[Model-Spec],PrévisionBoris[[#This Row],[Spec]],LstMachines[Status],PrévisionBoris[[#This Row],[Status]],LstMachines[MoisLivr],I$1)</f>
        <v>0</v>
      </c>
      <c r="J227" s="208">
        <f>SUMIFS(LstMachines[Nbre],LstMachines[Model-Spec],PrévisionBoris[[#This Row],[Spec]],LstMachines[Status],PrévisionBoris[[#This Row],[Status]],LstMachines[MoisLivr],J$1)</f>
        <v>0</v>
      </c>
      <c r="K227" s="206">
        <f>SUMIFS(LstMachines[Nbre],LstMachines[Model-Spec],PrévisionBoris[[#This Row],[Spec]],LstMachines[Status],PrévisionBoris[[#This Row],[Status]],LstMachines[MoisLivr],K$1)</f>
        <v>0</v>
      </c>
      <c r="L227" s="207">
        <f>SUMIFS(LstMachines[Nbre],LstMachines[Model-Spec],PrévisionBoris[[#This Row],[Spec]],LstMachines[Status],PrévisionBoris[[#This Row],[Status]],LstMachines[MoisLivr],L$1)</f>
        <v>0</v>
      </c>
      <c r="M227" s="208">
        <f>SUMIFS(LstMachines[Nbre],LstMachines[Model-Spec],PrévisionBoris[[#This Row],[Spec]],LstMachines[Status],PrévisionBoris[[#This Row],[Status]],LstMachines[MoisLivr],M$1)</f>
        <v>0</v>
      </c>
      <c r="N227" s="206">
        <f>SUMIFS(LstMachines[Nbre],LstMachines[Model-Spec],PrévisionBoris[[#This Row],[Spec]],LstMachines[Status],PrévisionBoris[[#This Row],[Status]],LstMachines[MoisLivr],N$1)</f>
        <v>0</v>
      </c>
      <c r="O227" s="207">
        <f>SUMIFS(LstMachines[Nbre],LstMachines[Model-Spec],PrévisionBoris[[#This Row],[Spec]],LstMachines[Status],PrévisionBoris[[#This Row],[Status]],LstMachines[MoisLivr],O$1)</f>
        <v>0</v>
      </c>
      <c r="P227" s="208">
        <f>SUMIFS(LstMachines[Nbre],LstMachines[Model-Spec],PrévisionBoris[[#This Row],[Spec]],LstMachines[Status],PrévisionBoris[[#This Row],[Status]],LstMachines[MoisLivr],P$1)</f>
        <v>0</v>
      </c>
      <c r="Q227" s="209">
        <f>SUMIFS(LstMachines[Nbre],LstMachines[Model-Spec],PrévisionBoris[[#This Row],[Spec]],LstMachines[Status],PrévisionBoris[[#This Row],[Status]],LstMachines[MoisLivr],Q$1)</f>
        <v>0</v>
      </c>
      <c r="R227" s="207">
        <f>SUMIFS(LstMachines[Nbre],LstMachines[Model-Spec],PrévisionBoris[[#This Row],[Spec]],LstMachines[Status],PrévisionBoris[[#This Row],[Status]],LstMachines[MoisLivr],R$1)</f>
        <v>0</v>
      </c>
      <c r="S227" s="207">
        <f>SUMIFS(LstMachines[Nbre],LstMachines[Model-Spec],PrévisionBoris[[#This Row],[Spec]],LstMachines[Status],PrévisionBoris[[#This Row],[Status]],LstMachines[MoisLivr],S$1)</f>
        <v>0</v>
      </c>
      <c r="T227" s="206">
        <f>SUMIFS(LstMachines[Nbre],LstMachines[Model-Spec],PrévisionBoris[[#This Row],[Spec]],LstMachines[Status],PrévisionBoris[[#This Row],[Status]],LstMachines[MoisLivr],T$1)</f>
        <v>0</v>
      </c>
      <c r="U227" s="207">
        <f>SUMIFS(LstMachines[Nbre],LstMachines[Model-Spec],PrévisionBoris[[#This Row],[Spec]],LstMachines[Status],PrévisionBoris[[#This Row],[Status]],LstMachines[MoisLivr],U$1)</f>
        <v>0</v>
      </c>
      <c r="V227" s="207">
        <f>SUMIFS(LstMachines[Nbre],LstMachines[Model-Spec],PrévisionBoris[[#This Row],[Spec]],LstMachines[Status],PrévisionBoris[[#This Row],[Status]],LstMachines[MoisLivr],V$1)</f>
        <v>0</v>
      </c>
      <c r="W227" s="206">
        <f>SUMIFS(LstMachines[Nbre],LstMachines[Model-Spec],PrévisionBoris[[#This Row],[Spec]],LstMachines[Status],PrévisionBoris[[#This Row],[Status]],LstMachines[MoisLivr],W$1)</f>
        <v>0</v>
      </c>
      <c r="X227" s="207">
        <f>SUMIFS(LstMachines[Nbre],LstMachines[Model-Spec],PrévisionBoris[[#This Row],[Spec]],LstMachines[Status],PrévisionBoris[[#This Row],[Status]],LstMachines[MoisLivr],X$1)</f>
        <v>0</v>
      </c>
      <c r="Y227" s="207">
        <f>SUMIFS(LstMachines[Nbre],LstMachines[Model-Spec],PrévisionBoris[[#This Row],[Spec]],LstMachines[Status],PrévisionBoris[[#This Row],[Status]],LstMachines[MoisLivr],Y$1)</f>
        <v>0</v>
      </c>
      <c r="Z227" s="206">
        <f>SUMIFS(LstMachines[Nbre],LstMachines[Model-Spec],PrévisionBoris[[#This Row],[Spec]],LstMachines[Status],PrévisionBoris[[#This Row],[Status]],LstMachines[MoisLivr],Z$1)</f>
        <v>0</v>
      </c>
      <c r="AA227" s="207">
        <f>SUMIFS(LstMachines[Nbre],LstMachines[Model-Spec],PrévisionBoris[[#This Row],[Spec]],LstMachines[Status],PrévisionBoris[[#This Row],[Status]],LstMachines[MoisLivr],AA$1)</f>
        <v>0</v>
      </c>
      <c r="AB227" s="207">
        <f>SUMIFS(LstMachines[Nbre],LstMachines[Model-Spec],PrévisionBoris[[#This Row],[Spec]],LstMachines[Status],PrévisionBoris[[#This Row],[Status]],LstMachines[MoisLivr],AB$1)</f>
        <v>0</v>
      </c>
      <c r="AC227" s="206">
        <f>SUMIFS(LstMachines[Nbre],LstMachines[Model-Spec],PrévisionBoris[[#This Row],[Spec]],LstMachines[Status],PrévisionBoris[[#This Row],[Status]],LstMachines[MoisLivr],AC$1)</f>
        <v>0</v>
      </c>
      <c r="AD227" s="207">
        <f>SUMIFS(LstMachines[Nbre],LstMachines[Model-Spec],PrévisionBoris[[#This Row],[Spec]],LstMachines[Status],PrévisionBoris[[#This Row],[Status]],LstMachines[MoisLivr],AD$1)</f>
        <v>0</v>
      </c>
      <c r="AE227" s="207">
        <f>SUMIFS(LstMachines[Nbre],LstMachines[Model-Spec],PrévisionBoris[[#This Row],[Spec]],LstMachines[Status],PrévisionBoris[[#This Row],[Status]],LstMachines[MoisLivr],AE$1)</f>
        <v>0</v>
      </c>
      <c r="AF227" s="206">
        <f>SUMIFS(LstMachines[Nbre],LstMachines[Model-Spec],PrévisionBoris[[#This Row],[Spec]],LstMachines[Status],PrévisionBoris[[#This Row],[Status]],LstMachines[MoisLivr],AF$1)</f>
        <v>0</v>
      </c>
      <c r="AG227" s="207">
        <f>SUMIFS(LstMachines[Nbre],LstMachines[Model-Spec],PrévisionBoris[[#This Row],[Spec]],LstMachines[Status],PrévisionBoris[[#This Row],[Status]],LstMachines[MoisLivr],AG$1)</f>
        <v>0</v>
      </c>
      <c r="AH227" s="207">
        <f>SUMIFS(LstMachines[Nbre],LstMachines[Model-Spec],PrévisionBoris[[#This Row],[Spec]],LstMachines[Status],PrévisionBoris[[#This Row],[Status]],LstMachines[MoisLivr],AH$1)</f>
        <v>0</v>
      </c>
      <c r="AI227" s="206">
        <f>SUMIFS(LstMachines[Nbre],LstMachines[Model-Spec],PrévisionBoris[[#This Row],[Spec]],LstMachines[Status],PrévisionBoris[[#This Row],[Status]],LstMachines[MoisLivr],AI$1)</f>
        <v>0</v>
      </c>
      <c r="AJ227" s="207">
        <f>SUMIFS(LstMachines[Nbre],LstMachines[Model-Spec],PrévisionBoris[[#This Row],[Spec]],LstMachines[Status],PrévisionBoris[[#This Row],[Status]],LstMachines[MoisLivr],AJ$1)</f>
        <v>0</v>
      </c>
      <c r="AK227" s="207">
        <f>SUMIFS(LstMachines[Nbre],LstMachines[Model-Spec],PrévisionBoris[[#This Row],[Spec]],LstMachines[Status],PrévisionBoris[[#This Row],[Status]],LstMachines[MoisLivr],AK$1)</f>
        <v>0</v>
      </c>
      <c r="AL227" s="206">
        <f>SUMIFS(LstMachines[Nbre],LstMachines[Model-Spec],PrévisionBoris[[#This Row],[Spec]],LstMachines[Status],PrévisionBoris[[#This Row],[Status]],LstMachines[MoisLivr],AL$1)</f>
        <v>0</v>
      </c>
      <c r="AM227" s="207">
        <f>SUMIFS(LstMachines[Nbre],LstMachines[Model-Spec],PrévisionBoris[[#This Row],[Spec]],LstMachines[Status],PrévisionBoris[[#This Row],[Status]],LstMachines[MoisLivr],AM$1)</f>
        <v>0</v>
      </c>
      <c r="AN227" s="207">
        <f>SUMIFS(LstMachines[Nbre],LstMachines[Model-Spec],PrévisionBoris[[#This Row],[Spec]],LstMachines[Status],PrévisionBoris[[#This Row],[Status]],LstMachines[MoisLivr],AN$1)</f>
        <v>0</v>
      </c>
      <c r="AO227" s="206">
        <f>SUMIFS(LstMachines[Nbre],LstMachines[Model-Spec],PrévisionBoris[[#This Row],[Spec]],LstMachines[Status],PrévisionBoris[[#This Row],[Status]],LstMachines[MoisLivr],AO$1)</f>
        <v>0</v>
      </c>
      <c r="AP227" s="207">
        <f>SUMIFS(LstMachines[Nbre],LstMachines[Model-Spec],PrévisionBoris[[#This Row],[Spec]],LstMachines[Status],PrévisionBoris[[#This Row],[Status]],LstMachines[MoisLivr],AP$1)</f>
        <v>0</v>
      </c>
      <c r="AQ227" s="207">
        <f>SUMIFS(LstMachines[Nbre],LstMachines[Model-Spec],PrévisionBoris[[#This Row],[Spec]],LstMachines[Status],PrévisionBoris[[#This Row],[Status]],LstMachines[MoisLivr],AQ$1)</f>
        <v>0</v>
      </c>
      <c r="AR227" s="206">
        <f>SUMIFS(LstMachines[Nbre],LstMachines[Model-Spec],PrévisionBoris[[#This Row],[Spec]],LstMachines[Status],PrévisionBoris[[#This Row],[Status]],LstMachines[MoisLivr],AR$1)</f>
        <v>0</v>
      </c>
      <c r="AS227" s="207">
        <f>SUMIFS(LstMachines[Nbre],LstMachines[Model-Spec],PrévisionBoris[[#This Row],[Spec]],LstMachines[Status],PrévisionBoris[[#This Row],[Status]],LstMachines[MoisLivr],AS$1)</f>
        <v>0</v>
      </c>
      <c r="AT227" s="207">
        <f>SUMIFS(LstMachines[Nbre],LstMachines[Model-Spec],PrévisionBoris[[#This Row],[Spec]],LstMachines[Status],PrévisionBoris[[#This Row],[Status]],LstMachines[MoisLivr],AT$1)</f>
        <v>0</v>
      </c>
      <c r="AU227" s="206">
        <f>SUMIFS(LstMachines[Nbre],LstMachines[Model-Spec],PrévisionBoris[[#This Row],[Spec]],LstMachines[Status],PrévisionBoris[[#This Row],[Status]],LstMachines[MoisLivr],AU$1)</f>
        <v>0</v>
      </c>
      <c r="AV227" s="233">
        <f>SUMIFS(LstMachines[Nbre],LstMachines[Model-Spec],PrévisionBoris[[#This Row],[Spec]],LstMachines[Status],PrévisionBoris[[#This Row],[Status]],LstMachines[MoisLivr],AV$1)</f>
        <v>0</v>
      </c>
      <c r="AW227" s="208">
        <f>SUMIFS(LstMachines[Nbre],LstMachines[Model-Spec],PrévisionBoris[[#This Row],[Spec]],LstMachines[Status],PrévisionBoris[[#This Row],[Status]],LstMachines[MoisLivr],AW$1)</f>
        <v>0</v>
      </c>
      <c r="AX227" s="225"/>
      <c r="AY227" s="211">
        <f t="shared" si="51"/>
        <v>0</v>
      </c>
      <c r="AZ227" s="212">
        <f t="shared" si="52"/>
        <v>0</v>
      </c>
      <c r="BA227" s="212">
        <f t="shared" si="53"/>
        <v>0</v>
      </c>
      <c r="BB227" s="213">
        <f t="shared" si="54"/>
        <v>0</v>
      </c>
      <c r="BC227" s="225">
        <f t="shared" si="55"/>
        <v>0</v>
      </c>
      <c r="BD227" s="211">
        <f t="shared" si="56"/>
        <v>0</v>
      </c>
      <c r="BE227" s="212">
        <f t="shared" si="57"/>
        <v>0</v>
      </c>
      <c r="BF227" s="212">
        <f t="shared" si="58"/>
        <v>0</v>
      </c>
      <c r="BG227" s="213">
        <f t="shared" si="59"/>
        <v>0</v>
      </c>
      <c r="BH227" s="225">
        <f t="shared" si="60"/>
        <v>0</v>
      </c>
      <c r="BI227" s="214">
        <f t="shared" si="61"/>
        <v>0</v>
      </c>
      <c r="BJ227" s="215">
        <f t="shared" si="62"/>
        <v>0</v>
      </c>
      <c r="BK227" s="215">
        <f t="shared" si="63"/>
        <v>0</v>
      </c>
      <c r="BL227" s="216">
        <f t="shared" si="64"/>
        <v>0</v>
      </c>
      <c r="BM227" s="225">
        <f t="shared" si="65"/>
        <v>0</v>
      </c>
      <c r="BN227" s="225"/>
      <c r="BO227" s="234"/>
      <c r="BP227" s="218">
        <f t="shared" si="66"/>
        <v>0</v>
      </c>
    </row>
    <row r="228" spans="1:68">
      <c r="A228" s="170">
        <v>221</v>
      </c>
      <c r="B228" s="170" t="s">
        <v>85</v>
      </c>
      <c r="C228" s="200">
        <v>130</v>
      </c>
      <c r="D228" s="170" t="s">
        <v>189</v>
      </c>
      <c r="E228" s="170" t="s">
        <v>190</v>
      </c>
      <c r="F228" s="200">
        <f>VLOOKUP(PrévisionBoris[[#This Row],[Spec]],TabModelSpecs[[ModelSpec]:[Price]],2,FALSE)</f>
        <v>105</v>
      </c>
      <c r="G228" s="170" t="s">
        <v>462</v>
      </c>
      <c r="H228" s="219">
        <f>SUMIFS(LstMachines[Nbre],LstMachines[Model-Spec],PrévisionBoris[[#This Row],[Spec]],LstMachines[Status],PrévisionBoris[[#This Row],[Status]],LstMachines[MoisLivr],H$1)</f>
        <v>0</v>
      </c>
      <c r="I228" s="220">
        <f>SUMIFS(LstMachines[Nbre],LstMachines[Model-Spec],PrévisionBoris[[#This Row],[Spec]],LstMachines[Status],PrévisionBoris[[#This Row],[Status]],LstMachines[MoisLivr],I$1)</f>
        <v>0</v>
      </c>
      <c r="J228" s="221">
        <f>SUMIFS(LstMachines[Nbre],LstMachines[Model-Spec],PrévisionBoris[[#This Row],[Spec]],LstMachines[Status],PrévisionBoris[[#This Row],[Status]],LstMachines[MoisLivr],J$1)</f>
        <v>0</v>
      </c>
      <c r="K228" s="219">
        <f>SUMIFS(LstMachines[Nbre],LstMachines[Model-Spec],PrévisionBoris[[#This Row],[Spec]],LstMachines[Status],PrévisionBoris[[#This Row],[Status]],LstMachines[MoisLivr],K$1)</f>
        <v>0</v>
      </c>
      <c r="L228" s="220">
        <f>SUMIFS(LstMachines[Nbre],LstMachines[Model-Spec],PrévisionBoris[[#This Row],[Spec]],LstMachines[Status],PrévisionBoris[[#This Row],[Status]],LstMachines[MoisLivr],L$1)</f>
        <v>0</v>
      </c>
      <c r="M228" s="221">
        <f>SUMIFS(LstMachines[Nbre],LstMachines[Model-Spec],PrévisionBoris[[#This Row],[Spec]],LstMachines[Status],PrévisionBoris[[#This Row],[Status]],LstMachines[MoisLivr],M$1)</f>
        <v>0</v>
      </c>
      <c r="N228" s="219">
        <f>SUMIFS(LstMachines[Nbre],LstMachines[Model-Spec],PrévisionBoris[[#This Row],[Spec]],LstMachines[Status],PrévisionBoris[[#This Row],[Status]],LstMachines[MoisLivr],N$1)</f>
        <v>0</v>
      </c>
      <c r="O228" s="220">
        <f>SUMIFS(LstMachines[Nbre],LstMachines[Model-Spec],PrévisionBoris[[#This Row],[Spec]],LstMachines[Status],PrévisionBoris[[#This Row],[Status]],LstMachines[MoisLivr],O$1)</f>
        <v>0</v>
      </c>
      <c r="P228" s="221">
        <f>SUMIFS(LstMachines[Nbre],LstMachines[Model-Spec],PrévisionBoris[[#This Row],[Spec]],LstMachines[Status],PrévisionBoris[[#This Row],[Status]],LstMachines[MoisLivr],P$1)</f>
        <v>0</v>
      </c>
      <c r="Q228" s="222">
        <f>SUMIFS(LstMachines[Nbre],LstMachines[Model-Spec],PrévisionBoris[[#This Row],[Spec]],LstMachines[Status],PrévisionBoris[[#This Row],[Status]],LstMachines[MoisLivr],Q$1)</f>
        <v>0</v>
      </c>
      <c r="R228" s="220">
        <f>SUMIFS(LstMachines[Nbre],LstMachines[Model-Spec],PrévisionBoris[[#This Row],[Spec]],LstMachines[Status],PrévisionBoris[[#This Row],[Status]],LstMachines[MoisLivr],R$1)</f>
        <v>0</v>
      </c>
      <c r="S228" s="220">
        <f>SUMIFS(LstMachines[Nbre],LstMachines[Model-Spec],PrévisionBoris[[#This Row],[Spec]],LstMachines[Status],PrévisionBoris[[#This Row],[Status]],LstMachines[MoisLivr],S$1)</f>
        <v>0</v>
      </c>
      <c r="T228" s="219">
        <f>SUMIFS(LstMachines[Nbre],LstMachines[Model-Spec],PrévisionBoris[[#This Row],[Spec]],LstMachines[Status],PrévisionBoris[[#This Row],[Status]],LstMachines[MoisLivr],T$1)</f>
        <v>0</v>
      </c>
      <c r="U228" s="220">
        <f>SUMIFS(LstMachines[Nbre],LstMachines[Model-Spec],PrévisionBoris[[#This Row],[Spec]],LstMachines[Status],PrévisionBoris[[#This Row],[Status]],LstMachines[MoisLivr],U$1)</f>
        <v>0</v>
      </c>
      <c r="V228" s="220">
        <f>SUMIFS(LstMachines[Nbre],LstMachines[Model-Spec],PrévisionBoris[[#This Row],[Spec]],LstMachines[Status],PrévisionBoris[[#This Row],[Status]],LstMachines[MoisLivr],V$1)</f>
        <v>0</v>
      </c>
      <c r="W228" s="219">
        <f>SUMIFS(LstMachines[Nbre],LstMachines[Model-Spec],PrévisionBoris[[#This Row],[Spec]],LstMachines[Status],PrévisionBoris[[#This Row],[Status]],LstMachines[MoisLivr],W$1)</f>
        <v>0</v>
      </c>
      <c r="X228" s="220">
        <f>SUMIFS(LstMachines[Nbre],LstMachines[Model-Spec],PrévisionBoris[[#This Row],[Spec]],LstMachines[Status],PrévisionBoris[[#This Row],[Status]],LstMachines[MoisLivr],X$1)</f>
        <v>0</v>
      </c>
      <c r="Y228" s="220">
        <f>SUMIFS(LstMachines[Nbre],LstMachines[Model-Spec],PrévisionBoris[[#This Row],[Spec]],LstMachines[Status],PrévisionBoris[[#This Row],[Status]],LstMachines[MoisLivr],Y$1)</f>
        <v>0</v>
      </c>
      <c r="Z228" s="219">
        <f>SUMIFS(LstMachines[Nbre],LstMachines[Model-Spec],PrévisionBoris[[#This Row],[Spec]],LstMachines[Status],PrévisionBoris[[#This Row],[Status]],LstMachines[MoisLivr],Z$1)</f>
        <v>0</v>
      </c>
      <c r="AA228" s="220">
        <f>SUMIFS(LstMachines[Nbre],LstMachines[Model-Spec],PrévisionBoris[[#This Row],[Spec]],LstMachines[Status],PrévisionBoris[[#This Row],[Status]],LstMachines[MoisLivr],AA$1)</f>
        <v>0</v>
      </c>
      <c r="AB228" s="220">
        <f>SUMIFS(LstMachines[Nbre],LstMachines[Model-Spec],PrévisionBoris[[#This Row],[Spec]],LstMachines[Status],PrévisionBoris[[#This Row],[Status]],LstMachines[MoisLivr],AB$1)</f>
        <v>0</v>
      </c>
      <c r="AC228" s="219">
        <f>SUMIFS(LstMachines[Nbre],LstMachines[Model-Spec],PrévisionBoris[[#This Row],[Spec]],LstMachines[Status],PrévisionBoris[[#This Row],[Status]],LstMachines[MoisLivr],AC$1)</f>
        <v>0</v>
      </c>
      <c r="AD228" s="220">
        <f>SUMIFS(LstMachines[Nbre],LstMachines[Model-Spec],PrévisionBoris[[#This Row],[Spec]],LstMachines[Status],PrévisionBoris[[#This Row],[Status]],LstMachines[MoisLivr],AD$1)</f>
        <v>0</v>
      </c>
      <c r="AE228" s="220">
        <f>SUMIFS(LstMachines[Nbre],LstMachines[Model-Spec],PrévisionBoris[[#This Row],[Spec]],LstMachines[Status],PrévisionBoris[[#This Row],[Status]],LstMachines[MoisLivr],AE$1)</f>
        <v>0</v>
      </c>
      <c r="AF228" s="219">
        <f>SUMIFS(LstMachines[Nbre],LstMachines[Model-Spec],PrévisionBoris[[#This Row],[Spec]],LstMachines[Status],PrévisionBoris[[#This Row],[Status]],LstMachines[MoisLivr],AF$1)</f>
        <v>0</v>
      </c>
      <c r="AG228" s="220">
        <f>SUMIFS(LstMachines[Nbre],LstMachines[Model-Spec],PrévisionBoris[[#This Row],[Spec]],LstMachines[Status],PrévisionBoris[[#This Row],[Status]],LstMachines[MoisLivr],AG$1)</f>
        <v>0</v>
      </c>
      <c r="AH228" s="220">
        <f>SUMIFS(LstMachines[Nbre],LstMachines[Model-Spec],PrévisionBoris[[#This Row],[Spec]],LstMachines[Status],PrévisionBoris[[#This Row],[Status]],LstMachines[MoisLivr],AH$1)</f>
        <v>0</v>
      </c>
      <c r="AI228" s="219">
        <f>SUMIFS(LstMachines[Nbre],LstMachines[Model-Spec],PrévisionBoris[[#This Row],[Spec]],LstMachines[Status],PrévisionBoris[[#This Row],[Status]],LstMachines[MoisLivr],AI$1)</f>
        <v>0</v>
      </c>
      <c r="AJ228" s="220">
        <f>SUMIFS(LstMachines[Nbre],LstMachines[Model-Spec],PrévisionBoris[[#This Row],[Spec]],LstMachines[Status],PrévisionBoris[[#This Row],[Status]],LstMachines[MoisLivr],AJ$1)</f>
        <v>0</v>
      </c>
      <c r="AK228" s="220">
        <f>SUMIFS(LstMachines[Nbre],LstMachines[Model-Spec],PrévisionBoris[[#This Row],[Spec]],LstMachines[Status],PrévisionBoris[[#This Row],[Status]],LstMachines[MoisLivr],AK$1)</f>
        <v>0</v>
      </c>
      <c r="AL228" s="219">
        <f>SUMIFS(LstMachines[Nbre],LstMachines[Model-Spec],PrévisionBoris[[#This Row],[Spec]],LstMachines[Status],PrévisionBoris[[#This Row],[Status]],LstMachines[MoisLivr],AL$1)</f>
        <v>0</v>
      </c>
      <c r="AM228" s="220">
        <f>SUMIFS(LstMachines[Nbre],LstMachines[Model-Spec],PrévisionBoris[[#This Row],[Spec]],LstMachines[Status],PrévisionBoris[[#This Row],[Status]],LstMachines[MoisLivr],AM$1)</f>
        <v>0</v>
      </c>
      <c r="AN228" s="220">
        <f>SUMIFS(LstMachines[Nbre],LstMachines[Model-Spec],PrévisionBoris[[#This Row],[Spec]],LstMachines[Status],PrévisionBoris[[#This Row],[Status]],LstMachines[MoisLivr],AN$1)</f>
        <v>0</v>
      </c>
      <c r="AO228" s="219">
        <f>SUMIFS(LstMachines[Nbre],LstMachines[Model-Spec],PrévisionBoris[[#This Row],[Spec]],LstMachines[Status],PrévisionBoris[[#This Row],[Status]],LstMachines[MoisLivr],AO$1)</f>
        <v>0</v>
      </c>
      <c r="AP228" s="220">
        <f>SUMIFS(LstMachines[Nbre],LstMachines[Model-Spec],PrévisionBoris[[#This Row],[Spec]],LstMachines[Status],PrévisionBoris[[#This Row],[Status]],LstMachines[MoisLivr],AP$1)</f>
        <v>0</v>
      </c>
      <c r="AQ228" s="220">
        <f>SUMIFS(LstMachines[Nbre],LstMachines[Model-Spec],PrévisionBoris[[#This Row],[Spec]],LstMachines[Status],PrévisionBoris[[#This Row],[Status]],LstMachines[MoisLivr],AQ$1)</f>
        <v>0</v>
      </c>
      <c r="AR228" s="219">
        <f>SUMIFS(LstMachines[Nbre],LstMachines[Model-Spec],PrévisionBoris[[#This Row],[Spec]],LstMachines[Status],PrévisionBoris[[#This Row],[Status]],LstMachines[MoisLivr],AR$1)</f>
        <v>0</v>
      </c>
      <c r="AS228" s="220">
        <f>SUMIFS(LstMachines[Nbre],LstMachines[Model-Spec],PrévisionBoris[[#This Row],[Spec]],LstMachines[Status],PrévisionBoris[[#This Row],[Status]],LstMachines[MoisLivr],AS$1)</f>
        <v>0</v>
      </c>
      <c r="AT228" s="220">
        <f>SUMIFS(LstMachines[Nbre],LstMachines[Model-Spec],PrévisionBoris[[#This Row],[Spec]],LstMachines[Status],PrévisionBoris[[#This Row],[Status]],LstMachines[MoisLivr],AT$1)</f>
        <v>0</v>
      </c>
      <c r="AU228" s="219">
        <f>SUMIFS(LstMachines[Nbre],LstMachines[Model-Spec],PrévisionBoris[[#This Row],[Spec]],LstMachines[Status],PrévisionBoris[[#This Row],[Status]],LstMachines[MoisLivr],AU$1)</f>
        <v>0</v>
      </c>
      <c r="AV228" s="223">
        <f>SUMIFS(LstMachines[Nbre],LstMachines[Model-Spec],PrévisionBoris[[#This Row],[Spec]],LstMachines[Status],PrévisionBoris[[#This Row],[Status]],LstMachines[MoisLivr],AV$1)</f>
        <v>0</v>
      </c>
      <c r="AW228" s="224">
        <f>SUMIFS(LstMachines[Nbre],LstMachines[Model-Spec],PrévisionBoris[[#This Row],[Spec]],LstMachines[Status],PrévisionBoris[[#This Row],[Status]],LstMachines[MoisLivr],AW$1)</f>
        <v>0</v>
      </c>
      <c r="AX228" s="210"/>
      <c r="AY228" s="211">
        <f t="shared" si="51"/>
        <v>0</v>
      </c>
      <c r="AZ228" s="212">
        <f t="shared" si="52"/>
        <v>0</v>
      </c>
      <c r="BA228" s="212">
        <f t="shared" si="53"/>
        <v>0</v>
      </c>
      <c r="BB228" s="213">
        <f t="shared" si="54"/>
        <v>0</v>
      </c>
      <c r="BC228" s="225">
        <f t="shared" si="55"/>
        <v>0</v>
      </c>
      <c r="BD228" s="211">
        <f t="shared" si="56"/>
        <v>0</v>
      </c>
      <c r="BE228" s="212">
        <f t="shared" si="57"/>
        <v>0</v>
      </c>
      <c r="BF228" s="212">
        <f t="shared" si="58"/>
        <v>0</v>
      </c>
      <c r="BG228" s="213">
        <f t="shared" si="59"/>
        <v>0</v>
      </c>
      <c r="BH228" s="225">
        <f t="shared" si="60"/>
        <v>0</v>
      </c>
      <c r="BI228" s="214">
        <f t="shared" si="61"/>
        <v>0</v>
      </c>
      <c r="BJ228" s="215">
        <f t="shared" si="62"/>
        <v>0</v>
      </c>
      <c r="BK228" s="215">
        <f t="shared" si="63"/>
        <v>0</v>
      </c>
      <c r="BL228" s="216">
        <f t="shared" si="64"/>
        <v>0</v>
      </c>
      <c r="BM228" s="225">
        <f t="shared" si="65"/>
        <v>0</v>
      </c>
      <c r="BN228" s="225"/>
      <c r="BO228" s="217"/>
      <c r="BP228" s="218">
        <f t="shared" si="66"/>
        <v>0</v>
      </c>
    </row>
    <row r="229" spans="1:68">
      <c r="A229" s="171">
        <v>222</v>
      </c>
      <c r="B229" s="171" t="s">
        <v>85</v>
      </c>
      <c r="C229" s="201">
        <v>130</v>
      </c>
      <c r="D229" s="171" t="s">
        <v>189</v>
      </c>
      <c r="E229" s="171" t="s">
        <v>190</v>
      </c>
      <c r="F229" s="201">
        <f>VLOOKUP(PrévisionBoris[[#This Row],[Spec]],TabModelSpecs[[ModelSpec]:[Price]],2,FALSE)</f>
        <v>105</v>
      </c>
      <c r="G229" s="171" t="s">
        <v>463</v>
      </c>
      <c r="H229" s="226">
        <f>SUMIFS(LstMachines[Nbre],LstMachines[Model-Spec],PrévisionBoris[[#This Row],[Spec]],LstMachines[Status],PrévisionBoris[[#This Row],[Status]],LstMachines[MoisLivr],H$1)</f>
        <v>0</v>
      </c>
      <c r="I229" s="227">
        <f>SUMIFS(LstMachines[Nbre],LstMachines[Model-Spec],PrévisionBoris[[#This Row],[Spec]],LstMachines[Status],PrévisionBoris[[#This Row],[Status]],LstMachines[MoisLivr],I$1)</f>
        <v>0</v>
      </c>
      <c r="J229" s="228">
        <f>SUMIFS(LstMachines[Nbre],LstMachines[Model-Spec],PrévisionBoris[[#This Row],[Spec]],LstMachines[Status],PrévisionBoris[[#This Row],[Status]],LstMachines[MoisLivr],J$1)</f>
        <v>0</v>
      </c>
      <c r="K229" s="226">
        <f>SUMIFS(LstMachines[Nbre],LstMachines[Model-Spec],PrévisionBoris[[#This Row],[Spec]],LstMachines[Status],PrévisionBoris[[#This Row],[Status]],LstMachines[MoisLivr],K$1)</f>
        <v>0</v>
      </c>
      <c r="L229" s="227">
        <f>SUMIFS(LstMachines[Nbre],LstMachines[Model-Spec],PrévisionBoris[[#This Row],[Spec]],LstMachines[Status],PrévisionBoris[[#This Row],[Status]],LstMachines[MoisLivr],L$1)</f>
        <v>0</v>
      </c>
      <c r="M229" s="228">
        <f>SUMIFS(LstMachines[Nbre],LstMachines[Model-Spec],PrévisionBoris[[#This Row],[Spec]],LstMachines[Status],PrévisionBoris[[#This Row],[Status]],LstMachines[MoisLivr],M$1)</f>
        <v>0</v>
      </c>
      <c r="N229" s="226">
        <f>SUMIFS(LstMachines[Nbre],LstMachines[Model-Spec],PrévisionBoris[[#This Row],[Spec]],LstMachines[Status],PrévisionBoris[[#This Row],[Status]],LstMachines[MoisLivr],N$1)</f>
        <v>0</v>
      </c>
      <c r="O229" s="227">
        <f>SUMIFS(LstMachines[Nbre],LstMachines[Model-Spec],PrévisionBoris[[#This Row],[Spec]],LstMachines[Status],PrévisionBoris[[#This Row],[Status]],LstMachines[MoisLivr],O$1)</f>
        <v>0</v>
      </c>
      <c r="P229" s="228">
        <f>SUMIFS(LstMachines[Nbre],LstMachines[Model-Spec],PrévisionBoris[[#This Row],[Spec]],LstMachines[Status],PrévisionBoris[[#This Row],[Status]],LstMachines[MoisLivr],P$1)</f>
        <v>0</v>
      </c>
      <c r="Q229" s="229">
        <f>SUMIFS(LstMachines[Nbre],LstMachines[Model-Spec],PrévisionBoris[[#This Row],[Spec]],LstMachines[Status],PrévisionBoris[[#This Row],[Status]],LstMachines[MoisLivr],Q$1)</f>
        <v>0</v>
      </c>
      <c r="R229" s="227">
        <f>SUMIFS(LstMachines[Nbre],LstMachines[Model-Spec],PrévisionBoris[[#This Row],[Spec]],LstMachines[Status],PrévisionBoris[[#This Row],[Status]],LstMachines[MoisLivr],R$1)</f>
        <v>0</v>
      </c>
      <c r="S229" s="227">
        <f>SUMIFS(LstMachines[Nbre],LstMachines[Model-Spec],PrévisionBoris[[#This Row],[Spec]],LstMachines[Status],PrévisionBoris[[#This Row],[Status]],LstMachines[MoisLivr],S$1)</f>
        <v>0</v>
      </c>
      <c r="T229" s="226">
        <f>SUMIFS(LstMachines[Nbre],LstMachines[Model-Spec],PrévisionBoris[[#This Row],[Spec]],LstMachines[Status],PrévisionBoris[[#This Row],[Status]],LstMachines[MoisLivr],T$1)</f>
        <v>0</v>
      </c>
      <c r="U229" s="227">
        <f>SUMIFS(LstMachines[Nbre],LstMachines[Model-Spec],PrévisionBoris[[#This Row],[Spec]],LstMachines[Status],PrévisionBoris[[#This Row],[Status]],LstMachines[MoisLivr],U$1)</f>
        <v>0</v>
      </c>
      <c r="V229" s="227">
        <f>SUMIFS(LstMachines[Nbre],LstMachines[Model-Spec],PrévisionBoris[[#This Row],[Spec]],LstMachines[Status],PrévisionBoris[[#This Row],[Status]],LstMachines[MoisLivr],V$1)</f>
        <v>0</v>
      </c>
      <c r="W229" s="226">
        <f>SUMIFS(LstMachines[Nbre],LstMachines[Model-Spec],PrévisionBoris[[#This Row],[Spec]],LstMachines[Status],PrévisionBoris[[#This Row],[Status]],LstMachines[MoisLivr],W$1)</f>
        <v>0</v>
      </c>
      <c r="X229" s="227">
        <f>SUMIFS(LstMachines[Nbre],LstMachines[Model-Spec],PrévisionBoris[[#This Row],[Spec]],LstMachines[Status],PrévisionBoris[[#This Row],[Status]],LstMachines[MoisLivr],X$1)</f>
        <v>0</v>
      </c>
      <c r="Y229" s="227">
        <f>SUMIFS(LstMachines[Nbre],LstMachines[Model-Spec],PrévisionBoris[[#This Row],[Spec]],LstMachines[Status],PrévisionBoris[[#This Row],[Status]],LstMachines[MoisLivr],Y$1)</f>
        <v>0</v>
      </c>
      <c r="Z229" s="226">
        <f>SUMIFS(LstMachines[Nbre],LstMachines[Model-Spec],PrévisionBoris[[#This Row],[Spec]],LstMachines[Status],PrévisionBoris[[#This Row],[Status]],LstMachines[MoisLivr],Z$1)</f>
        <v>0</v>
      </c>
      <c r="AA229" s="227">
        <f>SUMIFS(LstMachines[Nbre],LstMachines[Model-Spec],PrévisionBoris[[#This Row],[Spec]],LstMachines[Status],PrévisionBoris[[#This Row],[Status]],LstMachines[MoisLivr],AA$1)</f>
        <v>0</v>
      </c>
      <c r="AB229" s="227">
        <f>SUMIFS(LstMachines[Nbre],LstMachines[Model-Spec],PrévisionBoris[[#This Row],[Spec]],LstMachines[Status],PrévisionBoris[[#This Row],[Status]],LstMachines[MoisLivr],AB$1)</f>
        <v>0</v>
      </c>
      <c r="AC229" s="226">
        <f>SUMIFS(LstMachines[Nbre],LstMachines[Model-Spec],PrévisionBoris[[#This Row],[Spec]],LstMachines[Status],PrévisionBoris[[#This Row],[Status]],LstMachines[MoisLivr],AC$1)</f>
        <v>0</v>
      </c>
      <c r="AD229" s="227">
        <f>SUMIFS(LstMachines[Nbre],LstMachines[Model-Spec],PrévisionBoris[[#This Row],[Spec]],LstMachines[Status],PrévisionBoris[[#This Row],[Status]],LstMachines[MoisLivr],AD$1)</f>
        <v>0</v>
      </c>
      <c r="AE229" s="227">
        <f>SUMIFS(LstMachines[Nbre],LstMachines[Model-Spec],PrévisionBoris[[#This Row],[Spec]],LstMachines[Status],PrévisionBoris[[#This Row],[Status]],LstMachines[MoisLivr],AE$1)</f>
        <v>0</v>
      </c>
      <c r="AF229" s="226">
        <f>SUMIFS(LstMachines[Nbre],LstMachines[Model-Spec],PrévisionBoris[[#This Row],[Spec]],LstMachines[Status],PrévisionBoris[[#This Row],[Status]],LstMachines[MoisLivr],AF$1)</f>
        <v>0</v>
      </c>
      <c r="AG229" s="227">
        <f>SUMIFS(LstMachines[Nbre],LstMachines[Model-Spec],PrévisionBoris[[#This Row],[Spec]],LstMachines[Status],PrévisionBoris[[#This Row],[Status]],LstMachines[MoisLivr],AG$1)</f>
        <v>0</v>
      </c>
      <c r="AH229" s="227">
        <f>SUMIFS(LstMachines[Nbre],LstMachines[Model-Spec],PrévisionBoris[[#This Row],[Spec]],LstMachines[Status],PrévisionBoris[[#This Row],[Status]],LstMachines[MoisLivr],AH$1)</f>
        <v>0</v>
      </c>
      <c r="AI229" s="226">
        <f>SUMIFS(LstMachines[Nbre],LstMachines[Model-Spec],PrévisionBoris[[#This Row],[Spec]],LstMachines[Status],PrévisionBoris[[#This Row],[Status]],LstMachines[MoisLivr],AI$1)</f>
        <v>0</v>
      </c>
      <c r="AJ229" s="227">
        <f>SUMIFS(LstMachines[Nbre],LstMachines[Model-Spec],PrévisionBoris[[#This Row],[Spec]],LstMachines[Status],PrévisionBoris[[#This Row],[Status]],LstMachines[MoisLivr],AJ$1)</f>
        <v>0</v>
      </c>
      <c r="AK229" s="227">
        <f>SUMIFS(LstMachines[Nbre],LstMachines[Model-Spec],PrévisionBoris[[#This Row],[Spec]],LstMachines[Status],PrévisionBoris[[#This Row],[Status]],LstMachines[MoisLivr],AK$1)</f>
        <v>0</v>
      </c>
      <c r="AL229" s="226">
        <f>SUMIFS(LstMachines[Nbre],LstMachines[Model-Spec],PrévisionBoris[[#This Row],[Spec]],LstMachines[Status],PrévisionBoris[[#This Row],[Status]],LstMachines[MoisLivr],AL$1)</f>
        <v>0</v>
      </c>
      <c r="AM229" s="227">
        <f>SUMIFS(LstMachines[Nbre],LstMachines[Model-Spec],PrévisionBoris[[#This Row],[Spec]],LstMachines[Status],PrévisionBoris[[#This Row],[Status]],LstMachines[MoisLivr],AM$1)</f>
        <v>0</v>
      </c>
      <c r="AN229" s="227">
        <f>SUMIFS(LstMachines[Nbre],LstMachines[Model-Spec],PrévisionBoris[[#This Row],[Spec]],LstMachines[Status],PrévisionBoris[[#This Row],[Status]],LstMachines[MoisLivr],AN$1)</f>
        <v>0</v>
      </c>
      <c r="AO229" s="226">
        <f>SUMIFS(LstMachines[Nbre],LstMachines[Model-Spec],PrévisionBoris[[#This Row],[Spec]],LstMachines[Status],PrévisionBoris[[#This Row],[Status]],LstMachines[MoisLivr],AO$1)</f>
        <v>0</v>
      </c>
      <c r="AP229" s="227">
        <f>SUMIFS(LstMachines[Nbre],LstMachines[Model-Spec],PrévisionBoris[[#This Row],[Spec]],LstMachines[Status],PrévisionBoris[[#This Row],[Status]],LstMachines[MoisLivr],AP$1)</f>
        <v>0</v>
      </c>
      <c r="AQ229" s="227">
        <f>SUMIFS(LstMachines[Nbre],LstMachines[Model-Spec],PrévisionBoris[[#This Row],[Spec]],LstMachines[Status],PrévisionBoris[[#This Row],[Status]],LstMachines[MoisLivr],AQ$1)</f>
        <v>0</v>
      </c>
      <c r="AR229" s="226">
        <f>SUMIFS(LstMachines[Nbre],LstMachines[Model-Spec],PrévisionBoris[[#This Row],[Spec]],LstMachines[Status],PrévisionBoris[[#This Row],[Status]],LstMachines[MoisLivr],AR$1)</f>
        <v>0</v>
      </c>
      <c r="AS229" s="227">
        <f>SUMIFS(LstMachines[Nbre],LstMachines[Model-Spec],PrévisionBoris[[#This Row],[Spec]],LstMachines[Status],PrévisionBoris[[#This Row],[Status]],LstMachines[MoisLivr],AS$1)</f>
        <v>0</v>
      </c>
      <c r="AT229" s="227">
        <f>SUMIFS(LstMachines[Nbre],LstMachines[Model-Spec],PrévisionBoris[[#This Row],[Spec]],LstMachines[Status],PrévisionBoris[[#This Row],[Status]],LstMachines[MoisLivr],AT$1)</f>
        <v>0</v>
      </c>
      <c r="AU229" s="226">
        <f>SUMIFS(LstMachines[Nbre],LstMachines[Model-Spec],PrévisionBoris[[#This Row],[Spec]],LstMachines[Status],PrévisionBoris[[#This Row],[Status]],LstMachines[MoisLivr],AU$1)</f>
        <v>0</v>
      </c>
      <c r="AV229" s="230">
        <f>SUMIFS(LstMachines[Nbre],LstMachines[Model-Spec],PrévisionBoris[[#This Row],[Spec]],LstMachines[Status],PrévisionBoris[[#This Row],[Status]],LstMachines[MoisLivr],AV$1)</f>
        <v>0</v>
      </c>
      <c r="AW229" s="231">
        <f>SUMIFS(LstMachines[Nbre],LstMachines[Model-Spec],PrévisionBoris[[#This Row],[Spec]],LstMachines[Status],PrévisionBoris[[#This Row],[Status]],LstMachines[MoisLivr],AW$1)</f>
        <v>0</v>
      </c>
      <c r="AX229" s="232"/>
      <c r="AY229" s="211">
        <f t="shared" si="51"/>
        <v>0</v>
      </c>
      <c r="AZ229" s="212">
        <f t="shared" si="52"/>
        <v>0</v>
      </c>
      <c r="BA229" s="212">
        <f t="shared" si="53"/>
        <v>0</v>
      </c>
      <c r="BB229" s="213">
        <f t="shared" si="54"/>
        <v>0</v>
      </c>
      <c r="BC229" s="225">
        <f t="shared" si="55"/>
        <v>0</v>
      </c>
      <c r="BD229" s="211">
        <f t="shared" si="56"/>
        <v>0</v>
      </c>
      <c r="BE229" s="212">
        <f t="shared" si="57"/>
        <v>0</v>
      </c>
      <c r="BF229" s="212">
        <f t="shared" si="58"/>
        <v>0</v>
      </c>
      <c r="BG229" s="213">
        <f t="shared" si="59"/>
        <v>0</v>
      </c>
      <c r="BH229" s="225">
        <f t="shared" si="60"/>
        <v>0</v>
      </c>
      <c r="BI229" s="214">
        <f t="shared" si="61"/>
        <v>0</v>
      </c>
      <c r="BJ229" s="215">
        <f t="shared" si="62"/>
        <v>0</v>
      </c>
      <c r="BK229" s="215">
        <f t="shared" si="63"/>
        <v>0</v>
      </c>
      <c r="BL229" s="216">
        <f t="shared" si="64"/>
        <v>0</v>
      </c>
      <c r="BM229" s="225">
        <f t="shared" si="65"/>
        <v>0</v>
      </c>
      <c r="BN229" s="225"/>
      <c r="BO229" s="217"/>
      <c r="BP229" s="218">
        <f t="shared" si="66"/>
        <v>0</v>
      </c>
    </row>
    <row r="230" spans="1:68">
      <c r="A230" s="172">
        <v>223</v>
      </c>
      <c r="B230" s="172" t="s">
        <v>85</v>
      </c>
      <c r="C230" s="202">
        <v>130</v>
      </c>
      <c r="D230" s="172" t="s">
        <v>189</v>
      </c>
      <c r="E230" s="172" t="s">
        <v>191</v>
      </c>
      <c r="F230" s="202">
        <f>VLOOKUP(PrévisionBoris[[#This Row],[Spec]],TabModelSpecs[[ModelSpec]:[Price]],2,FALSE)</f>
        <v>105</v>
      </c>
      <c r="G230" s="172" t="s">
        <v>461</v>
      </c>
      <c r="H230" s="206">
        <f>SUMIFS(LstMachines[Nbre],LstMachines[Model-Spec],PrévisionBoris[[#This Row],[Spec]],LstMachines[Status],PrévisionBoris[[#This Row],[Status]],LstMachines[MoisLivr],H$1)</f>
        <v>0</v>
      </c>
      <c r="I230" s="207">
        <f>SUMIFS(LstMachines[Nbre],LstMachines[Model-Spec],PrévisionBoris[[#This Row],[Spec]],LstMachines[Status],PrévisionBoris[[#This Row],[Status]],LstMachines[MoisLivr],I$1)</f>
        <v>0</v>
      </c>
      <c r="J230" s="208">
        <f>SUMIFS(LstMachines[Nbre],LstMachines[Model-Spec],PrévisionBoris[[#This Row],[Spec]],LstMachines[Status],PrévisionBoris[[#This Row],[Status]],LstMachines[MoisLivr],J$1)</f>
        <v>0</v>
      </c>
      <c r="K230" s="206">
        <f>SUMIFS(LstMachines[Nbre],LstMachines[Model-Spec],PrévisionBoris[[#This Row],[Spec]],LstMachines[Status],PrévisionBoris[[#This Row],[Status]],LstMachines[MoisLivr],K$1)</f>
        <v>0</v>
      </c>
      <c r="L230" s="207">
        <f>SUMIFS(LstMachines[Nbre],LstMachines[Model-Spec],PrévisionBoris[[#This Row],[Spec]],LstMachines[Status],PrévisionBoris[[#This Row],[Status]],LstMachines[MoisLivr],L$1)</f>
        <v>0</v>
      </c>
      <c r="M230" s="208">
        <f>SUMIFS(LstMachines[Nbre],LstMachines[Model-Spec],PrévisionBoris[[#This Row],[Spec]],LstMachines[Status],PrévisionBoris[[#This Row],[Status]],LstMachines[MoisLivr],M$1)</f>
        <v>0</v>
      </c>
      <c r="N230" s="206">
        <f>SUMIFS(LstMachines[Nbre],LstMachines[Model-Spec],PrévisionBoris[[#This Row],[Spec]],LstMachines[Status],PrévisionBoris[[#This Row],[Status]],LstMachines[MoisLivr],N$1)</f>
        <v>0</v>
      </c>
      <c r="O230" s="207">
        <f>SUMIFS(LstMachines[Nbre],LstMachines[Model-Spec],PrévisionBoris[[#This Row],[Spec]],LstMachines[Status],PrévisionBoris[[#This Row],[Status]],LstMachines[MoisLivr],O$1)</f>
        <v>0</v>
      </c>
      <c r="P230" s="208">
        <f>SUMIFS(LstMachines[Nbre],LstMachines[Model-Spec],PrévisionBoris[[#This Row],[Spec]],LstMachines[Status],PrévisionBoris[[#This Row],[Status]],LstMachines[MoisLivr],P$1)</f>
        <v>0</v>
      </c>
      <c r="Q230" s="209">
        <f>SUMIFS(LstMachines[Nbre],LstMachines[Model-Spec],PrévisionBoris[[#This Row],[Spec]],LstMachines[Status],PrévisionBoris[[#This Row],[Status]],LstMachines[MoisLivr],Q$1)</f>
        <v>0</v>
      </c>
      <c r="R230" s="207">
        <f>SUMIFS(LstMachines[Nbre],LstMachines[Model-Spec],PrévisionBoris[[#This Row],[Spec]],LstMachines[Status],PrévisionBoris[[#This Row],[Status]],LstMachines[MoisLivr],R$1)</f>
        <v>0</v>
      </c>
      <c r="S230" s="207">
        <f>SUMIFS(LstMachines[Nbre],LstMachines[Model-Spec],PrévisionBoris[[#This Row],[Spec]],LstMachines[Status],PrévisionBoris[[#This Row],[Status]],LstMachines[MoisLivr],S$1)</f>
        <v>0</v>
      </c>
      <c r="T230" s="206">
        <f>SUMIFS(LstMachines[Nbre],LstMachines[Model-Spec],PrévisionBoris[[#This Row],[Spec]],LstMachines[Status],PrévisionBoris[[#This Row],[Status]],LstMachines[MoisLivr],T$1)</f>
        <v>0</v>
      </c>
      <c r="U230" s="207">
        <f>SUMIFS(LstMachines[Nbre],LstMachines[Model-Spec],PrévisionBoris[[#This Row],[Spec]],LstMachines[Status],PrévisionBoris[[#This Row],[Status]],LstMachines[MoisLivr],U$1)</f>
        <v>0</v>
      </c>
      <c r="V230" s="207">
        <f>SUMIFS(LstMachines[Nbre],LstMachines[Model-Spec],PrévisionBoris[[#This Row],[Spec]],LstMachines[Status],PrévisionBoris[[#This Row],[Status]],LstMachines[MoisLivr],V$1)</f>
        <v>0</v>
      </c>
      <c r="W230" s="206">
        <f>SUMIFS(LstMachines[Nbre],LstMachines[Model-Spec],PrévisionBoris[[#This Row],[Spec]],LstMachines[Status],PrévisionBoris[[#This Row],[Status]],LstMachines[MoisLivr],W$1)</f>
        <v>0</v>
      </c>
      <c r="X230" s="207">
        <f>SUMIFS(LstMachines[Nbre],LstMachines[Model-Spec],PrévisionBoris[[#This Row],[Spec]],LstMachines[Status],PrévisionBoris[[#This Row],[Status]],LstMachines[MoisLivr],X$1)</f>
        <v>0</v>
      </c>
      <c r="Y230" s="207">
        <f>SUMIFS(LstMachines[Nbre],LstMachines[Model-Spec],PrévisionBoris[[#This Row],[Spec]],LstMachines[Status],PrévisionBoris[[#This Row],[Status]],LstMachines[MoisLivr],Y$1)</f>
        <v>0</v>
      </c>
      <c r="Z230" s="206">
        <f>SUMIFS(LstMachines[Nbre],LstMachines[Model-Spec],PrévisionBoris[[#This Row],[Spec]],LstMachines[Status],PrévisionBoris[[#This Row],[Status]],LstMachines[MoisLivr],Z$1)</f>
        <v>0</v>
      </c>
      <c r="AA230" s="207">
        <f>SUMIFS(LstMachines[Nbre],LstMachines[Model-Spec],PrévisionBoris[[#This Row],[Spec]],LstMachines[Status],PrévisionBoris[[#This Row],[Status]],LstMachines[MoisLivr],AA$1)</f>
        <v>0</v>
      </c>
      <c r="AB230" s="207">
        <f>SUMIFS(LstMachines[Nbre],LstMachines[Model-Spec],PrévisionBoris[[#This Row],[Spec]],LstMachines[Status],PrévisionBoris[[#This Row],[Status]],LstMachines[MoisLivr],AB$1)</f>
        <v>0</v>
      </c>
      <c r="AC230" s="206">
        <f>SUMIFS(LstMachines[Nbre],LstMachines[Model-Spec],PrévisionBoris[[#This Row],[Spec]],LstMachines[Status],PrévisionBoris[[#This Row],[Status]],LstMachines[MoisLivr],AC$1)</f>
        <v>0</v>
      </c>
      <c r="AD230" s="207">
        <f>SUMIFS(LstMachines[Nbre],LstMachines[Model-Spec],PrévisionBoris[[#This Row],[Spec]],LstMachines[Status],PrévisionBoris[[#This Row],[Status]],LstMachines[MoisLivr],AD$1)</f>
        <v>0</v>
      </c>
      <c r="AE230" s="207">
        <f>SUMIFS(LstMachines[Nbre],LstMachines[Model-Spec],PrévisionBoris[[#This Row],[Spec]],LstMachines[Status],PrévisionBoris[[#This Row],[Status]],LstMachines[MoisLivr],AE$1)</f>
        <v>0</v>
      </c>
      <c r="AF230" s="206">
        <f>SUMIFS(LstMachines[Nbre],LstMachines[Model-Spec],PrévisionBoris[[#This Row],[Spec]],LstMachines[Status],PrévisionBoris[[#This Row],[Status]],LstMachines[MoisLivr],AF$1)</f>
        <v>0</v>
      </c>
      <c r="AG230" s="207">
        <f>SUMIFS(LstMachines[Nbre],LstMachines[Model-Spec],PrévisionBoris[[#This Row],[Spec]],LstMachines[Status],PrévisionBoris[[#This Row],[Status]],LstMachines[MoisLivr],AG$1)</f>
        <v>0</v>
      </c>
      <c r="AH230" s="207">
        <f>SUMIFS(LstMachines[Nbre],LstMachines[Model-Spec],PrévisionBoris[[#This Row],[Spec]],LstMachines[Status],PrévisionBoris[[#This Row],[Status]],LstMachines[MoisLivr],AH$1)</f>
        <v>0</v>
      </c>
      <c r="AI230" s="206">
        <f>SUMIFS(LstMachines[Nbre],LstMachines[Model-Spec],PrévisionBoris[[#This Row],[Spec]],LstMachines[Status],PrévisionBoris[[#This Row],[Status]],LstMachines[MoisLivr],AI$1)</f>
        <v>0</v>
      </c>
      <c r="AJ230" s="207">
        <f>SUMIFS(LstMachines[Nbre],LstMachines[Model-Spec],PrévisionBoris[[#This Row],[Spec]],LstMachines[Status],PrévisionBoris[[#This Row],[Status]],LstMachines[MoisLivr],AJ$1)</f>
        <v>0</v>
      </c>
      <c r="AK230" s="207">
        <f>SUMIFS(LstMachines[Nbre],LstMachines[Model-Spec],PrévisionBoris[[#This Row],[Spec]],LstMachines[Status],PrévisionBoris[[#This Row],[Status]],LstMachines[MoisLivr],AK$1)</f>
        <v>0</v>
      </c>
      <c r="AL230" s="206">
        <f>SUMIFS(LstMachines[Nbre],LstMachines[Model-Spec],PrévisionBoris[[#This Row],[Spec]],LstMachines[Status],PrévisionBoris[[#This Row],[Status]],LstMachines[MoisLivr],AL$1)</f>
        <v>0</v>
      </c>
      <c r="AM230" s="207">
        <f>SUMIFS(LstMachines[Nbre],LstMachines[Model-Spec],PrévisionBoris[[#This Row],[Spec]],LstMachines[Status],PrévisionBoris[[#This Row],[Status]],LstMachines[MoisLivr],AM$1)</f>
        <v>0</v>
      </c>
      <c r="AN230" s="207">
        <f>SUMIFS(LstMachines[Nbre],LstMachines[Model-Spec],PrévisionBoris[[#This Row],[Spec]],LstMachines[Status],PrévisionBoris[[#This Row],[Status]],LstMachines[MoisLivr],AN$1)</f>
        <v>0</v>
      </c>
      <c r="AO230" s="206">
        <f>SUMIFS(LstMachines[Nbre],LstMachines[Model-Spec],PrévisionBoris[[#This Row],[Spec]],LstMachines[Status],PrévisionBoris[[#This Row],[Status]],LstMachines[MoisLivr],AO$1)</f>
        <v>0</v>
      </c>
      <c r="AP230" s="207">
        <f>SUMIFS(LstMachines[Nbre],LstMachines[Model-Spec],PrévisionBoris[[#This Row],[Spec]],LstMachines[Status],PrévisionBoris[[#This Row],[Status]],LstMachines[MoisLivr],AP$1)</f>
        <v>0</v>
      </c>
      <c r="AQ230" s="207">
        <f>SUMIFS(LstMachines[Nbre],LstMachines[Model-Spec],PrévisionBoris[[#This Row],[Spec]],LstMachines[Status],PrévisionBoris[[#This Row],[Status]],LstMachines[MoisLivr],AQ$1)</f>
        <v>0</v>
      </c>
      <c r="AR230" s="206">
        <f>SUMIFS(LstMachines[Nbre],LstMachines[Model-Spec],PrévisionBoris[[#This Row],[Spec]],LstMachines[Status],PrévisionBoris[[#This Row],[Status]],LstMachines[MoisLivr],AR$1)</f>
        <v>0</v>
      </c>
      <c r="AS230" s="207">
        <f>SUMIFS(LstMachines[Nbre],LstMachines[Model-Spec],PrévisionBoris[[#This Row],[Spec]],LstMachines[Status],PrévisionBoris[[#This Row],[Status]],LstMachines[MoisLivr],AS$1)</f>
        <v>0</v>
      </c>
      <c r="AT230" s="207">
        <f>SUMIFS(LstMachines[Nbre],LstMachines[Model-Spec],PrévisionBoris[[#This Row],[Spec]],LstMachines[Status],PrévisionBoris[[#This Row],[Status]],LstMachines[MoisLivr],AT$1)</f>
        <v>0</v>
      </c>
      <c r="AU230" s="206">
        <f>SUMIFS(LstMachines[Nbre],LstMachines[Model-Spec],PrévisionBoris[[#This Row],[Spec]],LstMachines[Status],PrévisionBoris[[#This Row],[Status]],LstMachines[MoisLivr],AU$1)</f>
        <v>0</v>
      </c>
      <c r="AV230" s="233">
        <f>SUMIFS(LstMachines[Nbre],LstMachines[Model-Spec],PrévisionBoris[[#This Row],[Spec]],LstMachines[Status],PrévisionBoris[[#This Row],[Status]],LstMachines[MoisLivr],AV$1)</f>
        <v>0</v>
      </c>
      <c r="AW230" s="208">
        <f>SUMIFS(LstMachines[Nbre],LstMachines[Model-Spec],PrévisionBoris[[#This Row],[Spec]],LstMachines[Status],PrévisionBoris[[#This Row],[Status]],LstMachines[MoisLivr],AW$1)</f>
        <v>0</v>
      </c>
      <c r="AX230" s="225"/>
      <c r="AY230" s="211">
        <f t="shared" si="51"/>
        <v>0</v>
      </c>
      <c r="AZ230" s="212">
        <f t="shared" si="52"/>
        <v>0</v>
      </c>
      <c r="BA230" s="212">
        <f t="shared" si="53"/>
        <v>0</v>
      </c>
      <c r="BB230" s="213">
        <f t="shared" si="54"/>
        <v>0</v>
      </c>
      <c r="BC230" s="225">
        <f t="shared" si="55"/>
        <v>0</v>
      </c>
      <c r="BD230" s="211">
        <f t="shared" si="56"/>
        <v>0</v>
      </c>
      <c r="BE230" s="212">
        <f t="shared" si="57"/>
        <v>0</v>
      </c>
      <c r="BF230" s="212">
        <f t="shared" si="58"/>
        <v>0</v>
      </c>
      <c r="BG230" s="213">
        <f t="shared" si="59"/>
        <v>0</v>
      </c>
      <c r="BH230" s="225">
        <f t="shared" si="60"/>
        <v>0</v>
      </c>
      <c r="BI230" s="214">
        <f t="shared" si="61"/>
        <v>0</v>
      </c>
      <c r="BJ230" s="215">
        <f t="shared" si="62"/>
        <v>0</v>
      </c>
      <c r="BK230" s="215">
        <f t="shared" si="63"/>
        <v>0</v>
      </c>
      <c r="BL230" s="216">
        <f t="shared" si="64"/>
        <v>0</v>
      </c>
      <c r="BM230" s="225">
        <f t="shared" si="65"/>
        <v>0</v>
      </c>
      <c r="BN230" s="225"/>
      <c r="BO230" s="234"/>
      <c r="BP230" s="218">
        <f t="shared" si="66"/>
        <v>0</v>
      </c>
    </row>
    <row r="231" spans="1:68">
      <c r="A231" s="170">
        <v>224</v>
      </c>
      <c r="B231" s="170" t="s">
        <v>85</v>
      </c>
      <c r="C231" s="200">
        <v>130</v>
      </c>
      <c r="D231" s="170" t="s">
        <v>189</v>
      </c>
      <c r="E231" s="170" t="s">
        <v>191</v>
      </c>
      <c r="F231" s="200">
        <f>VLOOKUP(PrévisionBoris[[#This Row],[Spec]],TabModelSpecs[[ModelSpec]:[Price]],2,FALSE)</f>
        <v>105</v>
      </c>
      <c r="G231" s="170" t="s">
        <v>462</v>
      </c>
      <c r="H231" s="219">
        <f>SUMIFS(LstMachines[Nbre],LstMachines[Model-Spec],PrévisionBoris[[#This Row],[Spec]],LstMachines[Status],PrévisionBoris[[#This Row],[Status]],LstMachines[MoisLivr],H$1)</f>
        <v>0</v>
      </c>
      <c r="I231" s="220">
        <f>SUMIFS(LstMachines[Nbre],LstMachines[Model-Spec],PrévisionBoris[[#This Row],[Spec]],LstMachines[Status],PrévisionBoris[[#This Row],[Status]],LstMachines[MoisLivr],I$1)</f>
        <v>0</v>
      </c>
      <c r="J231" s="221">
        <f>SUMIFS(LstMachines[Nbre],LstMachines[Model-Spec],PrévisionBoris[[#This Row],[Spec]],LstMachines[Status],PrévisionBoris[[#This Row],[Status]],LstMachines[MoisLivr],J$1)</f>
        <v>0</v>
      </c>
      <c r="K231" s="219">
        <f>SUMIFS(LstMachines[Nbre],LstMachines[Model-Spec],PrévisionBoris[[#This Row],[Spec]],LstMachines[Status],PrévisionBoris[[#This Row],[Status]],LstMachines[MoisLivr],K$1)</f>
        <v>0</v>
      </c>
      <c r="L231" s="220">
        <f>SUMIFS(LstMachines[Nbre],LstMachines[Model-Spec],PrévisionBoris[[#This Row],[Spec]],LstMachines[Status],PrévisionBoris[[#This Row],[Status]],LstMachines[MoisLivr],L$1)</f>
        <v>0</v>
      </c>
      <c r="M231" s="221">
        <f>SUMIFS(LstMachines[Nbre],LstMachines[Model-Spec],PrévisionBoris[[#This Row],[Spec]],LstMachines[Status],PrévisionBoris[[#This Row],[Status]],LstMachines[MoisLivr],M$1)</f>
        <v>0</v>
      </c>
      <c r="N231" s="219">
        <f>SUMIFS(LstMachines[Nbre],LstMachines[Model-Spec],PrévisionBoris[[#This Row],[Spec]],LstMachines[Status],PrévisionBoris[[#This Row],[Status]],LstMachines[MoisLivr],N$1)</f>
        <v>0</v>
      </c>
      <c r="O231" s="220">
        <f>SUMIFS(LstMachines[Nbre],LstMachines[Model-Spec],PrévisionBoris[[#This Row],[Spec]],LstMachines[Status],PrévisionBoris[[#This Row],[Status]],LstMachines[MoisLivr],O$1)</f>
        <v>0</v>
      </c>
      <c r="P231" s="221">
        <f>SUMIFS(LstMachines[Nbre],LstMachines[Model-Spec],PrévisionBoris[[#This Row],[Spec]],LstMachines[Status],PrévisionBoris[[#This Row],[Status]],LstMachines[MoisLivr],P$1)</f>
        <v>0</v>
      </c>
      <c r="Q231" s="222">
        <f>SUMIFS(LstMachines[Nbre],LstMachines[Model-Spec],PrévisionBoris[[#This Row],[Spec]],LstMachines[Status],PrévisionBoris[[#This Row],[Status]],LstMachines[MoisLivr],Q$1)</f>
        <v>0</v>
      </c>
      <c r="R231" s="220">
        <f>SUMIFS(LstMachines[Nbre],LstMachines[Model-Spec],PrévisionBoris[[#This Row],[Spec]],LstMachines[Status],PrévisionBoris[[#This Row],[Status]],LstMachines[MoisLivr],R$1)</f>
        <v>0</v>
      </c>
      <c r="S231" s="220">
        <f>SUMIFS(LstMachines[Nbre],LstMachines[Model-Spec],PrévisionBoris[[#This Row],[Spec]],LstMachines[Status],PrévisionBoris[[#This Row],[Status]],LstMachines[MoisLivr],S$1)</f>
        <v>0</v>
      </c>
      <c r="T231" s="219">
        <f>SUMIFS(LstMachines[Nbre],LstMachines[Model-Spec],PrévisionBoris[[#This Row],[Spec]],LstMachines[Status],PrévisionBoris[[#This Row],[Status]],LstMachines[MoisLivr],T$1)</f>
        <v>0</v>
      </c>
      <c r="U231" s="220">
        <f>SUMIFS(LstMachines[Nbre],LstMachines[Model-Spec],PrévisionBoris[[#This Row],[Spec]],LstMachines[Status],PrévisionBoris[[#This Row],[Status]],LstMachines[MoisLivr],U$1)</f>
        <v>0</v>
      </c>
      <c r="V231" s="220">
        <f>SUMIFS(LstMachines[Nbre],LstMachines[Model-Spec],PrévisionBoris[[#This Row],[Spec]],LstMachines[Status],PrévisionBoris[[#This Row],[Status]],LstMachines[MoisLivr],V$1)</f>
        <v>0</v>
      </c>
      <c r="W231" s="219">
        <f>SUMIFS(LstMachines[Nbre],LstMachines[Model-Spec],PrévisionBoris[[#This Row],[Spec]],LstMachines[Status],PrévisionBoris[[#This Row],[Status]],LstMachines[MoisLivr],W$1)</f>
        <v>0</v>
      </c>
      <c r="X231" s="220">
        <f>SUMIFS(LstMachines[Nbre],LstMachines[Model-Spec],PrévisionBoris[[#This Row],[Spec]],LstMachines[Status],PrévisionBoris[[#This Row],[Status]],LstMachines[MoisLivr],X$1)</f>
        <v>0</v>
      </c>
      <c r="Y231" s="220">
        <f>SUMIFS(LstMachines[Nbre],LstMachines[Model-Spec],PrévisionBoris[[#This Row],[Spec]],LstMachines[Status],PrévisionBoris[[#This Row],[Status]],LstMachines[MoisLivr],Y$1)</f>
        <v>0</v>
      </c>
      <c r="Z231" s="219">
        <f>SUMIFS(LstMachines[Nbre],LstMachines[Model-Spec],PrévisionBoris[[#This Row],[Spec]],LstMachines[Status],PrévisionBoris[[#This Row],[Status]],LstMachines[MoisLivr],Z$1)</f>
        <v>0</v>
      </c>
      <c r="AA231" s="220">
        <f>SUMIFS(LstMachines[Nbre],LstMachines[Model-Spec],PrévisionBoris[[#This Row],[Spec]],LstMachines[Status],PrévisionBoris[[#This Row],[Status]],LstMachines[MoisLivr],AA$1)</f>
        <v>0</v>
      </c>
      <c r="AB231" s="220">
        <f>SUMIFS(LstMachines[Nbre],LstMachines[Model-Spec],PrévisionBoris[[#This Row],[Spec]],LstMachines[Status],PrévisionBoris[[#This Row],[Status]],LstMachines[MoisLivr],AB$1)</f>
        <v>0</v>
      </c>
      <c r="AC231" s="219">
        <f>SUMIFS(LstMachines[Nbre],LstMachines[Model-Spec],PrévisionBoris[[#This Row],[Spec]],LstMachines[Status],PrévisionBoris[[#This Row],[Status]],LstMachines[MoisLivr],AC$1)</f>
        <v>0</v>
      </c>
      <c r="AD231" s="220">
        <f>SUMIFS(LstMachines[Nbre],LstMachines[Model-Spec],PrévisionBoris[[#This Row],[Spec]],LstMachines[Status],PrévisionBoris[[#This Row],[Status]],LstMachines[MoisLivr],AD$1)</f>
        <v>0</v>
      </c>
      <c r="AE231" s="220">
        <f>SUMIFS(LstMachines[Nbre],LstMachines[Model-Spec],PrévisionBoris[[#This Row],[Spec]],LstMachines[Status],PrévisionBoris[[#This Row],[Status]],LstMachines[MoisLivr],AE$1)</f>
        <v>0</v>
      </c>
      <c r="AF231" s="219">
        <f>SUMIFS(LstMachines[Nbre],LstMachines[Model-Spec],PrévisionBoris[[#This Row],[Spec]],LstMachines[Status],PrévisionBoris[[#This Row],[Status]],LstMachines[MoisLivr],AF$1)</f>
        <v>0</v>
      </c>
      <c r="AG231" s="220">
        <f>SUMIFS(LstMachines[Nbre],LstMachines[Model-Spec],PrévisionBoris[[#This Row],[Spec]],LstMachines[Status],PrévisionBoris[[#This Row],[Status]],LstMachines[MoisLivr],AG$1)</f>
        <v>0</v>
      </c>
      <c r="AH231" s="220">
        <f>SUMIFS(LstMachines[Nbre],LstMachines[Model-Spec],PrévisionBoris[[#This Row],[Spec]],LstMachines[Status],PrévisionBoris[[#This Row],[Status]],LstMachines[MoisLivr],AH$1)</f>
        <v>0</v>
      </c>
      <c r="AI231" s="219">
        <f>SUMIFS(LstMachines[Nbre],LstMachines[Model-Spec],PrévisionBoris[[#This Row],[Spec]],LstMachines[Status],PrévisionBoris[[#This Row],[Status]],LstMachines[MoisLivr],AI$1)</f>
        <v>0</v>
      </c>
      <c r="AJ231" s="220">
        <f>SUMIFS(LstMachines[Nbre],LstMachines[Model-Spec],PrévisionBoris[[#This Row],[Spec]],LstMachines[Status],PrévisionBoris[[#This Row],[Status]],LstMachines[MoisLivr],AJ$1)</f>
        <v>0</v>
      </c>
      <c r="AK231" s="220">
        <f>SUMIFS(LstMachines[Nbre],LstMachines[Model-Spec],PrévisionBoris[[#This Row],[Spec]],LstMachines[Status],PrévisionBoris[[#This Row],[Status]],LstMachines[MoisLivr],AK$1)</f>
        <v>0</v>
      </c>
      <c r="AL231" s="219">
        <f>SUMIFS(LstMachines[Nbre],LstMachines[Model-Spec],PrévisionBoris[[#This Row],[Spec]],LstMachines[Status],PrévisionBoris[[#This Row],[Status]],LstMachines[MoisLivr],AL$1)</f>
        <v>0</v>
      </c>
      <c r="AM231" s="220">
        <f>SUMIFS(LstMachines[Nbre],LstMachines[Model-Spec],PrévisionBoris[[#This Row],[Spec]],LstMachines[Status],PrévisionBoris[[#This Row],[Status]],LstMachines[MoisLivr],AM$1)</f>
        <v>0</v>
      </c>
      <c r="AN231" s="220">
        <f>SUMIFS(LstMachines[Nbre],LstMachines[Model-Spec],PrévisionBoris[[#This Row],[Spec]],LstMachines[Status],PrévisionBoris[[#This Row],[Status]],LstMachines[MoisLivr],AN$1)</f>
        <v>0</v>
      </c>
      <c r="AO231" s="219">
        <f>SUMIFS(LstMachines[Nbre],LstMachines[Model-Spec],PrévisionBoris[[#This Row],[Spec]],LstMachines[Status],PrévisionBoris[[#This Row],[Status]],LstMachines[MoisLivr],AO$1)</f>
        <v>0</v>
      </c>
      <c r="AP231" s="220">
        <f>SUMIFS(LstMachines[Nbre],LstMachines[Model-Spec],PrévisionBoris[[#This Row],[Spec]],LstMachines[Status],PrévisionBoris[[#This Row],[Status]],LstMachines[MoisLivr],AP$1)</f>
        <v>0</v>
      </c>
      <c r="AQ231" s="220">
        <f>SUMIFS(LstMachines[Nbre],LstMachines[Model-Spec],PrévisionBoris[[#This Row],[Spec]],LstMachines[Status],PrévisionBoris[[#This Row],[Status]],LstMachines[MoisLivr],AQ$1)</f>
        <v>0</v>
      </c>
      <c r="AR231" s="219">
        <f>SUMIFS(LstMachines[Nbre],LstMachines[Model-Spec],PrévisionBoris[[#This Row],[Spec]],LstMachines[Status],PrévisionBoris[[#This Row],[Status]],LstMachines[MoisLivr],AR$1)</f>
        <v>0</v>
      </c>
      <c r="AS231" s="220">
        <f>SUMIFS(LstMachines[Nbre],LstMachines[Model-Spec],PrévisionBoris[[#This Row],[Spec]],LstMachines[Status],PrévisionBoris[[#This Row],[Status]],LstMachines[MoisLivr],AS$1)</f>
        <v>0</v>
      </c>
      <c r="AT231" s="220">
        <f>SUMIFS(LstMachines[Nbre],LstMachines[Model-Spec],PrévisionBoris[[#This Row],[Spec]],LstMachines[Status],PrévisionBoris[[#This Row],[Status]],LstMachines[MoisLivr],AT$1)</f>
        <v>0</v>
      </c>
      <c r="AU231" s="219">
        <f>SUMIFS(LstMachines[Nbre],LstMachines[Model-Spec],PrévisionBoris[[#This Row],[Spec]],LstMachines[Status],PrévisionBoris[[#This Row],[Status]],LstMachines[MoisLivr],AU$1)</f>
        <v>0</v>
      </c>
      <c r="AV231" s="223">
        <f>SUMIFS(LstMachines[Nbre],LstMachines[Model-Spec],PrévisionBoris[[#This Row],[Spec]],LstMachines[Status],PrévisionBoris[[#This Row],[Status]],LstMachines[MoisLivr],AV$1)</f>
        <v>0</v>
      </c>
      <c r="AW231" s="224">
        <f>SUMIFS(LstMachines[Nbre],LstMachines[Model-Spec],PrévisionBoris[[#This Row],[Spec]],LstMachines[Status],PrévisionBoris[[#This Row],[Status]],LstMachines[MoisLivr],AW$1)</f>
        <v>0</v>
      </c>
      <c r="AX231" s="210"/>
      <c r="AY231" s="211">
        <f t="shared" si="51"/>
        <v>0</v>
      </c>
      <c r="AZ231" s="212">
        <f t="shared" si="52"/>
        <v>0</v>
      </c>
      <c r="BA231" s="212">
        <f t="shared" si="53"/>
        <v>0</v>
      </c>
      <c r="BB231" s="213">
        <f t="shared" si="54"/>
        <v>0</v>
      </c>
      <c r="BC231" s="225">
        <f t="shared" si="55"/>
        <v>0</v>
      </c>
      <c r="BD231" s="211">
        <f t="shared" si="56"/>
        <v>0</v>
      </c>
      <c r="BE231" s="212">
        <f t="shared" si="57"/>
        <v>0</v>
      </c>
      <c r="BF231" s="212">
        <f t="shared" si="58"/>
        <v>0</v>
      </c>
      <c r="BG231" s="213">
        <f t="shared" si="59"/>
        <v>0</v>
      </c>
      <c r="BH231" s="225">
        <f t="shared" si="60"/>
        <v>0</v>
      </c>
      <c r="BI231" s="214">
        <f t="shared" si="61"/>
        <v>0</v>
      </c>
      <c r="BJ231" s="215">
        <f t="shared" si="62"/>
        <v>0</v>
      </c>
      <c r="BK231" s="215">
        <f t="shared" si="63"/>
        <v>0</v>
      </c>
      <c r="BL231" s="216">
        <f t="shared" si="64"/>
        <v>0</v>
      </c>
      <c r="BM231" s="225">
        <f t="shared" si="65"/>
        <v>0</v>
      </c>
      <c r="BN231" s="225"/>
      <c r="BO231" s="217"/>
      <c r="BP231" s="218">
        <f t="shared" si="66"/>
        <v>0</v>
      </c>
    </row>
    <row r="232" spans="1:68">
      <c r="A232" s="171">
        <v>225</v>
      </c>
      <c r="B232" s="171" t="s">
        <v>85</v>
      </c>
      <c r="C232" s="201">
        <v>130</v>
      </c>
      <c r="D232" s="171" t="s">
        <v>189</v>
      </c>
      <c r="E232" s="171" t="s">
        <v>191</v>
      </c>
      <c r="F232" s="201">
        <f>VLOOKUP(PrévisionBoris[[#This Row],[Spec]],TabModelSpecs[[ModelSpec]:[Price]],2,FALSE)</f>
        <v>105</v>
      </c>
      <c r="G232" s="171" t="s">
        <v>463</v>
      </c>
      <c r="H232" s="226">
        <f>SUMIFS(LstMachines[Nbre],LstMachines[Model-Spec],PrévisionBoris[[#This Row],[Spec]],LstMachines[Status],PrévisionBoris[[#This Row],[Status]],LstMachines[MoisLivr],H$1)</f>
        <v>0</v>
      </c>
      <c r="I232" s="227">
        <f>SUMIFS(LstMachines[Nbre],LstMachines[Model-Spec],PrévisionBoris[[#This Row],[Spec]],LstMachines[Status],PrévisionBoris[[#This Row],[Status]],LstMachines[MoisLivr],I$1)</f>
        <v>0</v>
      </c>
      <c r="J232" s="228">
        <f>SUMIFS(LstMachines[Nbre],LstMachines[Model-Spec],PrévisionBoris[[#This Row],[Spec]],LstMachines[Status],PrévisionBoris[[#This Row],[Status]],LstMachines[MoisLivr],J$1)</f>
        <v>0</v>
      </c>
      <c r="K232" s="226">
        <f>SUMIFS(LstMachines[Nbre],LstMachines[Model-Spec],PrévisionBoris[[#This Row],[Spec]],LstMachines[Status],PrévisionBoris[[#This Row],[Status]],LstMachines[MoisLivr],K$1)</f>
        <v>0</v>
      </c>
      <c r="L232" s="227">
        <f>SUMIFS(LstMachines[Nbre],LstMachines[Model-Spec],PrévisionBoris[[#This Row],[Spec]],LstMachines[Status],PrévisionBoris[[#This Row],[Status]],LstMachines[MoisLivr],L$1)</f>
        <v>0</v>
      </c>
      <c r="M232" s="228">
        <f>SUMIFS(LstMachines[Nbre],LstMachines[Model-Spec],PrévisionBoris[[#This Row],[Spec]],LstMachines[Status],PrévisionBoris[[#This Row],[Status]],LstMachines[MoisLivr],M$1)</f>
        <v>0</v>
      </c>
      <c r="N232" s="226">
        <f>SUMIFS(LstMachines[Nbre],LstMachines[Model-Spec],PrévisionBoris[[#This Row],[Spec]],LstMachines[Status],PrévisionBoris[[#This Row],[Status]],LstMachines[MoisLivr],N$1)</f>
        <v>0</v>
      </c>
      <c r="O232" s="227">
        <f>SUMIFS(LstMachines[Nbre],LstMachines[Model-Spec],PrévisionBoris[[#This Row],[Spec]],LstMachines[Status],PrévisionBoris[[#This Row],[Status]],LstMachines[MoisLivr],O$1)</f>
        <v>0</v>
      </c>
      <c r="P232" s="228">
        <f>SUMIFS(LstMachines[Nbre],LstMachines[Model-Spec],PrévisionBoris[[#This Row],[Spec]],LstMachines[Status],PrévisionBoris[[#This Row],[Status]],LstMachines[MoisLivr],P$1)</f>
        <v>0</v>
      </c>
      <c r="Q232" s="229">
        <f>SUMIFS(LstMachines[Nbre],LstMachines[Model-Spec],PrévisionBoris[[#This Row],[Spec]],LstMachines[Status],PrévisionBoris[[#This Row],[Status]],LstMachines[MoisLivr],Q$1)</f>
        <v>0</v>
      </c>
      <c r="R232" s="227">
        <f>SUMIFS(LstMachines[Nbre],LstMachines[Model-Spec],PrévisionBoris[[#This Row],[Spec]],LstMachines[Status],PrévisionBoris[[#This Row],[Status]],LstMachines[MoisLivr],R$1)</f>
        <v>0</v>
      </c>
      <c r="S232" s="227">
        <f>SUMIFS(LstMachines[Nbre],LstMachines[Model-Spec],PrévisionBoris[[#This Row],[Spec]],LstMachines[Status],PrévisionBoris[[#This Row],[Status]],LstMachines[MoisLivr],S$1)</f>
        <v>0</v>
      </c>
      <c r="T232" s="226">
        <f>SUMIFS(LstMachines[Nbre],LstMachines[Model-Spec],PrévisionBoris[[#This Row],[Spec]],LstMachines[Status],PrévisionBoris[[#This Row],[Status]],LstMachines[MoisLivr],T$1)</f>
        <v>0</v>
      </c>
      <c r="U232" s="227">
        <f>SUMIFS(LstMachines[Nbre],LstMachines[Model-Spec],PrévisionBoris[[#This Row],[Spec]],LstMachines[Status],PrévisionBoris[[#This Row],[Status]],LstMachines[MoisLivr],U$1)</f>
        <v>0</v>
      </c>
      <c r="V232" s="227">
        <f>SUMIFS(LstMachines[Nbre],LstMachines[Model-Spec],PrévisionBoris[[#This Row],[Spec]],LstMachines[Status],PrévisionBoris[[#This Row],[Status]],LstMachines[MoisLivr],V$1)</f>
        <v>0</v>
      </c>
      <c r="W232" s="226">
        <f>SUMIFS(LstMachines[Nbre],LstMachines[Model-Spec],PrévisionBoris[[#This Row],[Spec]],LstMachines[Status],PrévisionBoris[[#This Row],[Status]],LstMachines[MoisLivr],W$1)</f>
        <v>0</v>
      </c>
      <c r="X232" s="227">
        <f>SUMIFS(LstMachines[Nbre],LstMachines[Model-Spec],PrévisionBoris[[#This Row],[Spec]],LstMachines[Status],PrévisionBoris[[#This Row],[Status]],LstMachines[MoisLivr],X$1)</f>
        <v>0</v>
      </c>
      <c r="Y232" s="227">
        <f>SUMIFS(LstMachines[Nbre],LstMachines[Model-Spec],PrévisionBoris[[#This Row],[Spec]],LstMachines[Status],PrévisionBoris[[#This Row],[Status]],LstMachines[MoisLivr],Y$1)</f>
        <v>0</v>
      </c>
      <c r="Z232" s="226">
        <f>SUMIFS(LstMachines[Nbre],LstMachines[Model-Spec],PrévisionBoris[[#This Row],[Spec]],LstMachines[Status],PrévisionBoris[[#This Row],[Status]],LstMachines[MoisLivr],Z$1)</f>
        <v>0</v>
      </c>
      <c r="AA232" s="227">
        <f>SUMIFS(LstMachines[Nbre],LstMachines[Model-Spec],PrévisionBoris[[#This Row],[Spec]],LstMachines[Status],PrévisionBoris[[#This Row],[Status]],LstMachines[MoisLivr],AA$1)</f>
        <v>0</v>
      </c>
      <c r="AB232" s="227">
        <f>SUMIFS(LstMachines[Nbre],LstMachines[Model-Spec],PrévisionBoris[[#This Row],[Spec]],LstMachines[Status],PrévisionBoris[[#This Row],[Status]],LstMachines[MoisLivr],AB$1)</f>
        <v>0</v>
      </c>
      <c r="AC232" s="226">
        <f>SUMIFS(LstMachines[Nbre],LstMachines[Model-Spec],PrévisionBoris[[#This Row],[Spec]],LstMachines[Status],PrévisionBoris[[#This Row],[Status]],LstMachines[MoisLivr],AC$1)</f>
        <v>0</v>
      </c>
      <c r="AD232" s="227">
        <f>SUMIFS(LstMachines[Nbre],LstMachines[Model-Spec],PrévisionBoris[[#This Row],[Spec]],LstMachines[Status],PrévisionBoris[[#This Row],[Status]],LstMachines[MoisLivr],AD$1)</f>
        <v>0</v>
      </c>
      <c r="AE232" s="227">
        <f>SUMIFS(LstMachines[Nbre],LstMachines[Model-Spec],PrévisionBoris[[#This Row],[Spec]],LstMachines[Status],PrévisionBoris[[#This Row],[Status]],LstMachines[MoisLivr],AE$1)</f>
        <v>0</v>
      </c>
      <c r="AF232" s="226">
        <f>SUMIFS(LstMachines[Nbre],LstMachines[Model-Spec],PrévisionBoris[[#This Row],[Spec]],LstMachines[Status],PrévisionBoris[[#This Row],[Status]],LstMachines[MoisLivr],AF$1)</f>
        <v>0</v>
      </c>
      <c r="AG232" s="227">
        <f>SUMIFS(LstMachines[Nbre],LstMachines[Model-Spec],PrévisionBoris[[#This Row],[Spec]],LstMachines[Status],PrévisionBoris[[#This Row],[Status]],LstMachines[MoisLivr],AG$1)</f>
        <v>0</v>
      </c>
      <c r="AH232" s="227">
        <f>SUMIFS(LstMachines[Nbre],LstMachines[Model-Spec],PrévisionBoris[[#This Row],[Spec]],LstMachines[Status],PrévisionBoris[[#This Row],[Status]],LstMachines[MoisLivr],AH$1)</f>
        <v>0</v>
      </c>
      <c r="AI232" s="226">
        <f>SUMIFS(LstMachines[Nbre],LstMachines[Model-Spec],PrévisionBoris[[#This Row],[Spec]],LstMachines[Status],PrévisionBoris[[#This Row],[Status]],LstMachines[MoisLivr],AI$1)</f>
        <v>0</v>
      </c>
      <c r="AJ232" s="227">
        <f>SUMIFS(LstMachines[Nbre],LstMachines[Model-Spec],PrévisionBoris[[#This Row],[Spec]],LstMachines[Status],PrévisionBoris[[#This Row],[Status]],LstMachines[MoisLivr],AJ$1)</f>
        <v>0</v>
      </c>
      <c r="AK232" s="227">
        <f>SUMIFS(LstMachines[Nbre],LstMachines[Model-Spec],PrévisionBoris[[#This Row],[Spec]],LstMachines[Status],PrévisionBoris[[#This Row],[Status]],LstMachines[MoisLivr],AK$1)</f>
        <v>0</v>
      </c>
      <c r="AL232" s="226">
        <f>SUMIFS(LstMachines[Nbre],LstMachines[Model-Spec],PrévisionBoris[[#This Row],[Spec]],LstMachines[Status],PrévisionBoris[[#This Row],[Status]],LstMachines[MoisLivr],AL$1)</f>
        <v>0</v>
      </c>
      <c r="AM232" s="227">
        <f>SUMIFS(LstMachines[Nbre],LstMachines[Model-Spec],PrévisionBoris[[#This Row],[Spec]],LstMachines[Status],PrévisionBoris[[#This Row],[Status]],LstMachines[MoisLivr],AM$1)</f>
        <v>0</v>
      </c>
      <c r="AN232" s="227">
        <f>SUMIFS(LstMachines[Nbre],LstMachines[Model-Spec],PrévisionBoris[[#This Row],[Spec]],LstMachines[Status],PrévisionBoris[[#This Row],[Status]],LstMachines[MoisLivr],AN$1)</f>
        <v>0</v>
      </c>
      <c r="AO232" s="226">
        <f>SUMIFS(LstMachines[Nbre],LstMachines[Model-Spec],PrévisionBoris[[#This Row],[Spec]],LstMachines[Status],PrévisionBoris[[#This Row],[Status]],LstMachines[MoisLivr],AO$1)</f>
        <v>0</v>
      </c>
      <c r="AP232" s="227">
        <f>SUMIFS(LstMachines[Nbre],LstMachines[Model-Spec],PrévisionBoris[[#This Row],[Spec]],LstMachines[Status],PrévisionBoris[[#This Row],[Status]],LstMachines[MoisLivr],AP$1)</f>
        <v>0</v>
      </c>
      <c r="AQ232" s="227">
        <f>SUMIFS(LstMachines[Nbre],LstMachines[Model-Spec],PrévisionBoris[[#This Row],[Spec]],LstMachines[Status],PrévisionBoris[[#This Row],[Status]],LstMachines[MoisLivr],AQ$1)</f>
        <v>0</v>
      </c>
      <c r="AR232" s="226">
        <f>SUMIFS(LstMachines[Nbre],LstMachines[Model-Spec],PrévisionBoris[[#This Row],[Spec]],LstMachines[Status],PrévisionBoris[[#This Row],[Status]],LstMachines[MoisLivr],AR$1)</f>
        <v>0</v>
      </c>
      <c r="AS232" s="227">
        <f>SUMIFS(LstMachines[Nbre],LstMachines[Model-Spec],PrévisionBoris[[#This Row],[Spec]],LstMachines[Status],PrévisionBoris[[#This Row],[Status]],LstMachines[MoisLivr],AS$1)</f>
        <v>0</v>
      </c>
      <c r="AT232" s="227">
        <f>SUMIFS(LstMachines[Nbre],LstMachines[Model-Spec],PrévisionBoris[[#This Row],[Spec]],LstMachines[Status],PrévisionBoris[[#This Row],[Status]],LstMachines[MoisLivr],AT$1)</f>
        <v>0</v>
      </c>
      <c r="AU232" s="226">
        <f>SUMIFS(LstMachines[Nbre],LstMachines[Model-Spec],PrévisionBoris[[#This Row],[Spec]],LstMachines[Status],PrévisionBoris[[#This Row],[Status]],LstMachines[MoisLivr],AU$1)</f>
        <v>0</v>
      </c>
      <c r="AV232" s="230">
        <f>SUMIFS(LstMachines[Nbre],LstMachines[Model-Spec],PrévisionBoris[[#This Row],[Spec]],LstMachines[Status],PrévisionBoris[[#This Row],[Status]],LstMachines[MoisLivr],AV$1)</f>
        <v>0</v>
      </c>
      <c r="AW232" s="231">
        <f>SUMIFS(LstMachines[Nbre],LstMachines[Model-Spec],PrévisionBoris[[#This Row],[Spec]],LstMachines[Status],PrévisionBoris[[#This Row],[Status]],LstMachines[MoisLivr],AW$1)</f>
        <v>0</v>
      </c>
      <c r="AX232" s="232"/>
      <c r="AY232" s="211">
        <f t="shared" si="51"/>
        <v>0</v>
      </c>
      <c r="AZ232" s="212">
        <f t="shared" si="52"/>
        <v>0</v>
      </c>
      <c r="BA232" s="212">
        <f t="shared" si="53"/>
        <v>0</v>
      </c>
      <c r="BB232" s="213">
        <f t="shared" si="54"/>
        <v>0</v>
      </c>
      <c r="BC232" s="225">
        <f t="shared" si="55"/>
        <v>0</v>
      </c>
      <c r="BD232" s="211">
        <f t="shared" si="56"/>
        <v>0</v>
      </c>
      <c r="BE232" s="212">
        <f t="shared" si="57"/>
        <v>0</v>
      </c>
      <c r="BF232" s="212">
        <f t="shared" si="58"/>
        <v>0</v>
      </c>
      <c r="BG232" s="213">
        <f t="shared" si="59"/>
        <v>0</v>
      </c>
      <c r="BH232" s="225">
        <f t="shared" si="60"/>
        <v>0</v>
      </c>
      <c r="BI232" s="214">
        <f t="shared" si="61"/>
        <v>0</v>
      </c>
      <c r="BJ232" s="215">
        <f t="shared" si="62"/>
        <v>0</v>
      </c>
      <c r="BK232" s="215">
        <f t="shared" si="63"/>
        <v>0</v>
      </c>
      <c r="BL232" s="216">
        <f t="shared" si="64"/>
        <v>0</v>
      </c>
      <c r="BM232" s="225">
        <f t="shared" si="65"/>
        <v>0</v>
      </c>
      <c r="BN232" s="225"/>
      <c r="BO232" s="217"/>
      <c r="BP232" s="218">
        <f t="shared" si="66"/>
        <v>0</v>
      </c>
    </row>
    <row r="233" spans="1:68">
      <c r="A233" s="172">
        <v>226</v>
      </c>
      <c r="B233" s="172" t="s">
        <v>85</v>
      </c>
      <c r="C233" s="202">
        <v>130</v>
      </c>
      <c r="D233" s="172" t="s">
        <v>189</v>
      </c>
      <c r="E233" s="172" t="s">
        <v>192</v>
      </c>
      <c r="F233" s="202">
        <f>VLOOKUP(PrévisionBoris[[#This Row],[Spec]],TabModelSpecs[[ModelSpec]:[Price]],2,FALSE)</f>
        <v>90</v>
      </c>
      <c r="G233" s="172" t="s">
        <v>461</v>
      </c>
      <c r="H233" s="206">
        <f>SUMIFS(LstMachines[Nbre],LstMachines[Model-Spec],PrévisionBoris[[#This Row],[Spec]],LstMachines[Status],PrévisionBoris[[#This Row],[Status]],LstMachines[MoisLivr],H$1)</f>
        <v>0</v>
      </c>
      <c r="I233" s="207">
        <f>SUMIFS(LstMachines[Nbre],LstMachines[Model-Spec],PrévisionBoris[[#This Row],[Spec]],LstMachines[Status],PrévisionBoris[[#This Row],[Status]],LstMachines[MoisLivr],I$1)</f>
        <v>0</v>
      </c>
      <c r="J233" s="208">
        <f>SUMIFS(LstMachines[Nbre],LstMachines[Model-Spec],PrévisionBoris[[#This Row],[Spec]],LstMachines[Status],PrévisionBoris[[#This Row],[Status]],LstMachines[MoisLivr],J$1)</f>
        <v>0</v>
      </c>
      <c r="K233" s="206">
        <f>SUMIFS(LstMachines[Nbre],LstMachines[Model-Spec],PrévisionBoris[[#This Row],[Spec]],LstMachines[Status],PrévisionBoris[[#This Row],[Status]],LstMachines[MoisLivr],K$1)</f>
        <v>0</v>
      </c>
      <c r="L233" s="207">
        <f>SUMIFS(LstMachines[Nbre],LstMachines[Model-Spec],PrévisionBoris[[#This Row],[Spec]],LstMachines[Status],PrévisionBoris[[#This Row],[Status]],LstMachines[MoisLivr],L$1)</f>
        <v>0</v>
      </c>
      <c r="M233" s="208">
        <f>SUMIFS(LstMachines[Nbre],LstMachines[Model-Spec],PrévisionBoris[[#This Row],[Spec]],LstMachines[Status],PrévisionBoris[[#This Row],[Status]],LstMachines[MoisLivr],M$1)</f>
        <v>0</v>
      </c>
      <c r="N233" s="206">
        <f>SUMIFS(LstMachines[Nbre],LstMachines[Model-Spec],PrévisionBoris[[#This Row],[Spec]],LstMachines[Status],PrévisionBoris[[#This Row],[Status]],LstMachines[MoisLivr],N$1)</f>
        <v>0</v>
      </c>
      <c r="O233" s="207">
        <f>SUMIFS(LstMachines[Nbre],LstMachines[Model-Spec],PrévisionBoris[[#This Row],[Spec]],LstMachines[Status],PrévisionBoris[[#This Row],[Status]],LstMachines[MoisLivr],O$1)</f>
        <v>0</v>
      </c>
      <c r="P233" s="208">
        <f>SUMIFS(LstMachines[Nbre],LstMachines[Model-Spec],PrévisionBoris[[#This Row],[Spec]],LstMachines[Status],PrévisionBoris[[#This Row],[Status]],LstMachines[MoisLivr],P$1)</f>
        <v>0</v>
      </c>
      <c r="Q233" s="209">
        <f>SUMIFS(LstMachines[Nbre],LstMachines[Model-Spec],PrévisionBoris[[#This Row],[Spec]],LstMachines[Status],PrévisionBoris[[#This Row],[Status]],LstMachines[MoisLivr],Q$1)</f>
        <v>0</v>
      </c>
      <c r="R233" s="207">
        <f>SUMIFS(LstMachines[Nbre],LstMachines[Model-Spec],PrévisionBoris[[#This Row],[Spec]],LstMachines[Status],PrévisionBoris[[#This Row],[Status]],LstMachines[MoisLivr],R$1)</f>
        <v>0</v>
      </c>
      <c r="S233" s="207">
        <f>SUMIFS(LstMachines[Nbre],LstMachines[Model-Spec],PrévisionBoris[[#This Row],[Spec]],LstMachines[Status],PrévisionBoris[[#This Row],[Status]],LstMachines[MoisLivr],S$1)</f>
        <v>0</v>
      </c>
      <c r="T233" s="206">
        <f>SUMIFS(LstMachines[Nbre],LstMachines[Model-Spec],PrévisionBoris[[#This Row],[Spec]],LstMachines[Status],PrévisionBoris[[#This Row],[Status]],LstMachines[MoisLivr],T$1)</f>
        <v>0</v>
      </c>
      <c r="U233" s="207">
        <f>SUMIFS(LstMachines[Nbre],LstMachines[Model-Spec],PrévisionBoris[[#This Row],[Spec]],LstMachines[Status],PrévisionBoris[[#This Row],[Status]],LstMachines[MoisLivr],U$1)</f>
        <v>0</v>
      </c>
      <c r="V233" s="207">
        <f>SUMIFS(LstMachines[Nbre],LstMachines[Model-Spec],PrévisionBoris[[#This Row],[Spec]],LstMachines[Status],PrévisionBoris[[#This Row],[Status]],LstMachines[MoisLivr],V$1)</f>
        <v>0</v>
      </c>
      <c r="W233" s="206">
        <f>SUMIFS(LstMachines[Nbre],LstMachines[Model-Spec],PrévisionBoris[[#This Row],[Spec]],LstMachines[Status],PrévisionBoris[[#This Row],[Status]],LstMachines[MoisLivr],W$1)</f>
        <v>0</v>
      </c>
      <c r="X233" s="207">
        <f>SUMIFS(LstMachines[Nbre],LstMachines[Model-Spec],PrévisionBoris[[#This Row],[Spec]],LstMachines[Status],PrévisionBoris[[#This Row],[Status]],LstMachines[MoisLivr],X$1)</f>
        <v>0</v>
      </c>
      <c r="Y233" s="207">
        <f>SUMIFS(LstMachines[Nbre],LstMachines[Model-Spec],PrévisionBoris[[#This Row],[Spec]],LstMachines[Status],PrévisionBoris[[#This Row],[Status]],LstMachines[MoisLivr],Y$1)</f>
        <v>0</v>
      </c>
      <c r="Z233" s="206">
        <f>SUMIFS(LstMachines[Nbre],LstMachines[Model-Spec],PrévisionBoris[[#This Row],[Spec]],LstMachines[Status],PrévisionBoris[[#This Row],[Status]],LstMachines[MoisLivr],Z$1)</f>
        <v>0</v>
      </c>
      <c r="AA233" s="207">
        <f>SUMIFS(LstMachines[Nbre],LstMachines[Model-Spec],PrévisionBoris[[#This Row],[Spec]],LstMachines[Status],PrévisionBoris[[#This Row],[Status]],LstMachines[MoisLivr],AA$1)</f>
        <v>0</v>
      </c>
      <c r="AB233" s="207">
        <f>SUMIFS(LstMachines[Nbre],LstMachines[Model-Spec],PrévisionBoris[[#This Row],[Spec]],LstMachines[Status],PrévisionBoris[[#This Row],[Status]],LstMachines[MoisLivr],AB$1)</f>
        <v>0</v>
      </c>
      <c r="AC233" s="206">
        <f>SUMIFS(LstMachines[Nbre],LstMachines[Model-Spec],PrévisionBoris[[#This Row],[Spec]],LstMachines[Status],PrévisionBoris[[#This Row],[Status]],LstMachines[MoisLivr],AC$1)</f>
        <v>0</v>
      </c>
      <c r="AD233" s="207">
        <f>SUMIFS(LstMachines[Nbre],LstMachines[Model-Spec],PrévisionBoris[[#This Row],[Spec]],LstMachines[Status],PrévisionBoris[[#This Row],[Status]],LstMachines[MoisLivr],AD$1)</f>
        <v>0</v>
      </c>
      <c r="AE233" s="207">
        <f>SUMIFS(LstMachines[Nbre],LstMachines[Model-Spec],PrévisionBoris[[#This Row],[Spec]],LstMachines[Status],PrévisionBoris[[#This Row],[Status]],LstMachines[MoisLivr],AE$1)</f>
        <v>0</v>
      </c>
      <c r="AF233" s="206">
        <f>SUMIFS(LstMachines[Nbre],LstMachines[Model-Spec],PrévisionBoris[[#This Row],[Spec]],LstMachines[Status],PrévisionBoris[[#This Row],[Status]],LstMachines[MoisLivr],AF$1)</f>
        <v>0</v>
      </c>
      <c r="AG233" s="207">
        <f>SUMIFS(LstMachines[Nbre],LstMachines[Model-Spec],PrévisionBoris[[#This Row],[Spec]],LstMachines[Status],PrévisionBoris[[#This Row],[Status]],LstMachines[MoisLivr],AG$1)</f>
        <v>0</v>
      </c>
      <c r="AH233" s="207">
        <f>SUMIFS(LstMachines[Nbre],LstMachines[Model-Spec],PrévisionBoris[[#This Row],[Spec]],LstMachines[Status],PrévisionBoris[[#This Row],[Status]],LstMachines[MoisLivr],AH$1)</f>
        <v>0</v>
      </c>
      <c r="AI233" s="206">
        <f>SUMIFS(LstMachines[Nbre],LstMachines[Model-Spec],PrévisionBoris[[#This Row],[Spec]],LstMachines[Status],PrévisionBoris[[#This Row],[Status]],LstMachines[MoisLivr],AI$1)</f>
        <v>0</v>
      </c>
      <c r="AJ233" s="207">
        <f>SUMIFS(LstMachines[Nbre],LstMachines[Model-Spec],PrévisionBoris[[#This Row],[Spec]],LstMachines[Status],PrévisionBoris[[#This Row],[Status]],LstMachines[MoisLivr],AJ$1)</f>
        <v>0</v>
      </c>
      <c r="AK233" s="207">
        <f>SUMIFS(LstMachines[Nbre],LstMachines[Model-Spec],PrévisionBoris[[#This Row],[Spec]],LstMachines[Status],PrévisionBoris[[#This Row],[Status]],LstMachines[MoisLivr],AK$1)</f>
        <v>0</v>
      </c>
      <c r="AL233" s="206">
        <f>SUMIFS(LstMachines[Nbre],LstMachines[Model-Spec],PrévisionBoris[[#This Row],[Spec]],LstMachines[Status],PrévisionBoris[[#This Row],[Status]],LstMachines[MoisLivr],AL$1)</f>
        <v>0</v>
      </c>
      <c r="AM233" s="207">
        <f>SUMIFS(LstMachines[Nbre],LstMachines[Model-Spec],PrévisionBoris[[#This Row],[Spec]],LstMachines[Status],PrévisionBoris[[#This Row],[Status]],LstMachines[MoisLivr],AM$1)</f>
        <v>0</v>
      </c>
      <c r="AN233" s="207">
        <f>SUMIFS(LstMachines[Nbre],LstMachines[Model-Spec],PrévisionBoris[[#This Row],[Spec]],LstMachines[Status],PrévisionBoris[[#This Row],[Status]],LstMachines[MoisLivr],AN$1)</f>
        <v>0</v>
      </c>
      <c r="AO233" s="206">
        <f>SUMIFS(LstMachines[Nbre],LstMachines[Model-Spec],PrévisionBoris[[#This Row],[Spec]],LstMachines[Status],PrévisionBoris[[#This Row],[Status]],LstMachines[MoisLivr],AO$1)</f>
        <v>0</v>
      </c>
      <c r="AP233" s="207">
        <f>SUMIFS(LstMachines[Nbre],LstMachines[Model-Spec],PrévisionBoris[[#This Row],[Spec]],LstMachines[Status],PrévisionBoris[[#This Row],[Status]],LstMachines[MoisLivr],AP$1)</f>
        <v>0</v>
      </c>
      <c r="AQ233" s="207">
        <f>SUMIFS(LstMachines[Nbre],LstMachines[Model-Spec],PrévisionBoris[[#This Row],[Spec]],LstMachines[Status],PrévisionBoris[[#This Row],[Status]],LstMachines[MoisLivr],AQ$1)</f>
        <v>0</v>
      </c>
      <c r="AR233" s="206">
        <f>SUMIFS(LstMachines[Nbre],LstMachines[Model-Spec],PrévisionBoris[[#This Row],[Spec]],LstMachines[Status],PrévisionBoris[[#This Row],[Status]],LstMachines[MoisLivr],AR$1)</f>
        <v>0</v>
      </c>
      <c r="AS233" s="207">
        <f>SUMIFS(LstMachines[Nbre],LstMachines[Model-Spec],PrévisionBoris[[#This Row],[Spec]],LstMachines[Status],PrévisionBoris[[#This Row],[Status]],LstMachines[MoisLivr],AS$1)</f>
        <v>0</v>
      </c>
      <c r="AT233" s="207">
        <f>SUMIFS(LstMachines[Nbre],LstMachines[Model-Spec],PrévisionBoris[[#This Row],[Spec]],LstMachines[Status],PrévisionBoris[[#This Row],[Status]],LstMachines[MoisLivr],AT$1)</f>
        <v>0</v>
      </c>
      <c r="AU233" s="206">
        <f>SUMIFS(LstMachines[Nbre],LstMachines[Model-Spec],PrévisionBoris[[#This Row],[Spec]],LstMachines[Status],PrévisionBoris[[#This Row],[Status]],LstMachines[MoisLivr],AU$1)</f>
        <v>0</v>
      </c>
      <c r="AV233" s="233">
        <f>SUMIFS(LstMachines[Nbre],LstMachines[Model-Spec],PrévisionBoris[[#This Row],[Spec]],LstMachines[Status],PrévisionBoris[[#This Row],[Status]],LstMachines[MoisLivr],AV$1)</f>
        <v>0</v>
      </c>
      <c r="AW233" s="208">
        <f>SUMIFS(LstMachines[Nbre],LstMachines[Model-Spec],PrévisionBoris[[#This Row],[Spec]],LstMachines[Status],PrévisionBoris[[#This Row],[Status]],LstMachines[MoisLivr],AW$1)</f>
        <v>0</v>
      </c>
      <c r="AX233" s="225"/>
      <c r="AY233" s="211">
        <f t="shared" si="51"/>
        <v>0</v>
      </c>
      <c r="AZ233" s="212">
        <f t="shared" si="52"/>
        <v>0</v>
      </c>
      <c r="BA233" s="212">
        <f t="shared" si="53"/>
        <v>0</v>
      </c>
      <c r="BB233" s="213">
        <f t="shared" si="54"/>
        <v>0</v>
      </c>
      <c r="BC233" s="225">
        <f t="shared" si="55"/>
        <v>0</v>
      </c>
      <c r="BD233" s="211">
        <f t="shared" si="56"/>
        <v>0</v>
      </c>
      <c r="BE233" s="212">
        <f t="shared" si="57"/>
        <v>0</v>
      </c>
      <c r="BF233" s="212">
        <f t="shared" si="58"/>
        <v>0</v>
      </c>
      <c r="BG233" s="213">
        <f t="shared" si="59"/>
        <v>0</v>
      </c>
      <c r="BH233" s="225">
        <f t="shared" si="60"/>
        <v>0</v>
      </c>
      <c r="BI233" s="214">
        <f t="shared" si="61"/>
        <v>0</v>
      </c>
      <c r="BJ233" s="215">
        <f t="shared" si="62"/>
        <v>0</v>
      </c>
      <c r="BK233" s="215">
        <f t="shared" si="63"/>
        <v>0</v>
      </c>
      <c r="BL233" s="216">
        <f t="shared" si="64"/>
        <v>0</v>
      </c>
      <c r="BM233" s="225">
        <f t="shared" si="65"/>
        <v>0</v>
      </c>
      <c r="BN233" s="225"/>
      <c r="BO233" s="234"/>
      <c r="BP233" s="218">
        <f t="shared" si="66"/>
        <v>0</v>
      </c>
    </row>
    <row r="234" spans="1:68">
      <c r="A234" s="170">
        <v>227</v>
      </c>
      <c r="B234" s="170" t="s">
        <v>85</v>
      </c>
      <c r="C234" s="200">
        <v>130</v>
      </c>
      <c r="D234" s="170" t="s">
        <v>189</v>
      </c>
      <c r="E234" s="170" t="s">
        <v>192</v>
      </c>
      <c r="F234" s="200">
        <f>VLOOKUP(PrévisionBoris[[#This Row],[Spec]],TabModelSpecs[[ModelSpec]:[Price]],2,FALSE)</f>
        <v>90</v>
      </c>
      <c r="G234" s="170" t="s">
        <v>462</v>
      </c>
      <c r="H234" s="219">
        <f>SUMIFS(LstMachines[Nbre],LstMachines[Model-Spec],PrévisionBoris[[#This Row],[Spec]],LstMachines[Status],PrévisionBoris[[#This Row],[Status]],LstMachines[MoisLivr],H$1)</f>
        <v>0</v>
      </c>
      <c r="I234" s="220">
        <f>SUMIFS(LstMachines[Nbre],LstMachines[Model-Spec],PrévisionBoris[[#This Row],[Spec]],LstMachines[Status],PrévisionBoris[[#This Row],[Status]],LstMachines[MoisLivr],I$1)</f>
        <v>0</v>
      </c>
      <c r="J234" s="221">
        <f>SUMIFS(LstMachines[Nbre],LstMachines[Model-Spec],PrévisionBoris[[#This Row],[Spec]],LstMachines[Status],PrévisionBoris[[#This Row],[Status]],LstMachines[MoisLivr],J$1)</f>
        <v>0</v>
      </c>
      <c r="K234" s="219">
        <f>SUMIFS(LstMachines[Nbre],LstMachines[Model-Spec],PrévisionBoris[[#This Row],[Spec]],LstMachines[Status],PrévisionBoris[[#This Row],[Status]],LstMachines[MoisLivr],K$1)</f>
        <v>0</v>
      </c>
      <c r="L234" s="220">
        <f>SUMIFS(LstMachines[Nbre],LstMachines[Model-Spec],PrévisionBoris[[#This Row],[Spec]],LstMachines[Status],PrévisionBoris[[#This Row],[Status]],LstMachines[MoisLivr],L$1)</f>
        <v>0</v>
      </c>
      <c r="M234" s="221">
        <f>SUMIFS(LstMachines[Nbre],LstMachines[Model-Spec],PrévisionBoris[[#This Row],[Spec]],LstMachines[Status],PrévisionBoris[[#This Row],[Status]],LstMachines[MoisLivr],M$1)</f>
        <v>0</v>
      </c>
      <c r="N234" s="219">
        <f>SUMIFS(LstMachines[Nbre],LstMachines[Model-Spec],PrévisionBoris[[#This Row],[Spec]],LstMachines[Status],PrévisionBoris[[#This Row],[Status]],LstMachines[MoisLivr],N$1)</f>
        <v>0</v>
      </c>
      <c r="O234" s="220">
        <f>SUMIFS(LstMachines[Nbre],LstMachines[Model-Spec],PrévisionBoris[[#This Row],[Spec]],LstMachines[Status],PrévisionBoris[[#This Row],[Status]],LstMachines[MoisLivr],O$1)</f>
        <v>0</v>
      </c>
      <c r="P234" s="221">
        <f>SUMIFS(LstMachines[Nbre],LstMachines[Model-Spec],PrévisionBoris[[#This Row],[Spec]],LstMachines[Status],PrévisionBoris[[#This Row],[Status]],LstMachines[MoisLivr],P$1)</f>
        <v>0</v>
      </c>
      <c r="Q234" s="222">
        <f>SUMIFS(LstMachines[Nbre],LstMachines[Model-Spec],PrévisionBoris[[#This Row],[Spec]],LstMachines[Status],PrévisionBoris[[#This Row],[Status]],LstMachines[MoisLivr],Q$1)</f>
        <v>0</v>
      </c>
      <c r="R234" s="220">
        <f>SUMIFS(LstMachines[Nbre],LstMachines[Model-Spec],PrévisionBoris[[#This Row],[Spec]],LstMachines[Status],PrévisionBoris[[#This Row],[Status]],LstMachines[MoisLivr],R$1)</f>
        <v>0</v>
      </c>
      <c r="S234" s="220">
        <f>SUMIFS(LstMachines[Nbre],LstMachines[Model-Spec],PrévisionBoris[[#This Row],[Spec]],LstMachines[Status],PrévisionBoris[[#This Row],[Status]],LstMachines[MoisLivr],S$1)</f>
        <v>0</v>
      </c>
      <c r="T234" s="219">
        <f>SUMIFS(LstMachines[Nbre],LstMachines[Model-Spec],PrévisionBoris[[#This Row],[Spec]],LstMachines[Status],PrévisionBoris[[#This Row],[Status]],LstMachines[MoisLivr],T$1)</f>
        <v>0</v>
      </c>
      <c r="U234" s="220">
        <f>SUMIFS(LstMachines[Nbre],LstMachines[Model-Spec],PrévisionBoris[[#This Row],[Spec]],LstMachines[Status],PrévisionBoris[[#This Row],[Status]],LstMachines[MoisLivr],U$1)</f>
        <v>0</v>
      </c>
      <c r="V234" s="220">
        <f>SUMIFS(LstMachines[Nbre],LstMachines[Model-Spec],PrévisionBoris[[#This Row],[Spec]],LstMachines[Status],PrévisionBoris[[#This Row],[Status]],LstMachines[MoisLivr],V$1)</f>
        <v>0</v>
      </c>
      <c r="W234" s="219">
        <f>SUMIFS(LstMachines[Nbre],LstMachines[Model-Spec],PrévisionBoris[[#This Row],[Spec]],LstMachines[Status],PrévisionBoris[[#This Row],[Status]],LstMachines[MoisLivr],W$1)</f>
        <v>0</v>
      </c>
      <c r="X234" s="220">
        <f>SUMIFS(LstMachines[Nbre],LstMachines[Model-Spec],PrévisionBoris[[#This Row],[Spec]],LstMachines[Status],PrévisionBoris[[#This Row],[Status]],LstMachines[MoisLivr],X$1)</f>
        <v>0</v>
      </c>
      <c r="Y234" s="220">
        <f>SUMIFS(LstMachines[Nbre],LstMachines[Model-Spec],PrévisionBoris[[#This Row],[Spec]],LstMachines[Status],PrévisionBoris[[#This Row],[Status]],LstMachines[MoisLivr],Y$1)</f>
        <v>0</v>
      </c>
      <c r="Z234" s="219">
        <f>SUMIFS(LstMachines[Nbre],LstMachines[Model-Spec],PrévisionBoris[[#This Row],[Spec]],LstMachines[Status],PrévisionBoris[[#This Row],[Status]],LstMachines[MoisLivr],Z$1)</f>
        <v>0</v>
      </c>
      <c r="AA234" s="220">
        <f>SUMIFS(LstMachines[Nbre],LstMachines[Model-Spec],PrévisionBoris[[#This Row],[Spec]],LstMachines[Status],PrévisionBoris[[#This Row],[Status]],LstMachines[MoisLivr],AA$1)</f>
        <v>0</v>
      </c>
      <c r="AB234" s="220">
        <f>SUMIFS(LstMachines[Nbre],LstMachines[Model-Spec],PrévisionBoris[[#This Row],[Spec]],LstMachines[Status],PrévisionBoris[[#This Row],[Status]],LstMachines[MoisLivr],AB$1)</f>
        <v>0</v>
      </c>
      <c r="AC234" s="219">
        <f>SUMIFS(LstMachines[Nbre],LstMachines[Model-Spec],PrévisionBoris[[#This Row],[Spec]],LstMachines[Status],PrévisionBoris[[#This Row],[Status]],LstMachines[MoisLivr],AC$1)</f>
        <v>0</v>
      </c>
      <c r="AD234" s="220">
        <f>SUMIFS(LstMachines[Nbre],LstMachines[Model-Spec],PrévisionBoris[[#This Row],[Spec]],LstMachines[Status],PrévisionBoris[[#This Row],[Status]],LstMachines[MoisLivr],AD$1)</f>
        <v>0</v>
      </c>
      <c r="AE234" s="220">
        <f>SUMIFS(LstMachines[Nbre],LstMachines[Model-Spec],PrévisionBoris[[#This Row],[Spec]],LstMachines[Status],PrévisionBoris[[#This Row],[Status]],LstMachines[MoisLivr],AE$1)</f>
        <v>0</v>
      </c>
      <c r="AF234" s="219">
        <f>SUMIFS(LstMachines[Nbre],LstMachines[Model-Spec],PrévisionBoris[[#This Row],[Spec]],LstMachines[Status],PrévisionBoris[[#This Row],[Status]],LstMachines[MoisLivr],AF$1)</f>
        <v>0</v>
      </c>
      <c r="AG234" s="220">
        <f>SUMIFS(LstMachines[Nbre],LstMachines[Model-Spec],PrévisionBoris[[#This Row],[Spec]],LstMachines[Status],PrévisionBoris[[#This Row],[Status]],LstMachines[MoisLivr],AG$1)</f>
        <v>0</v>
      </c>
      <c r="AH234" s="220">
        <f>SUMIFS(LstMachines[Nbre],LstMachines[Model-Spec],PrévisionBoris[[#This Row],[Spec]],LstMachines[Status],PrévisionBoris[[#This Row],[Status]],LstMachines[MoisLivr],AH$1)</f>
        <v>0</v>
      </c>
      <c r="AI234" s="219">
        <f>SUMIFS(LstMachines[Nbre],LstMachines[Model-Spec],PrévisionBoris[[#This Row],[Spec]],LstMachines[Status],PrévisionBoris[[#This Row],[Status]],LstMachines[MoisLivr],AI$1)</f>
        <v>0</v>
      </c>
      <c r="AJ234" s="220">
        <f>SUMIFS(LstMachines[Nbre],LstMachines[Model-Spec],PrévisionBoris[[#This Row],[Spec]],LstMachines[Status],PrévisionBoris[[#This Row],[Status]],LstMachines[MoisLivr],AJ$1)</f>
        <v>0</v>
      </c>
      <c r="AK234" s="220">
        <f>SUMIFS(LstMachines[Nbre],LstMachines[Model-Spec],PrévisionBoris[[#This Row],[Spec]],LstMachines[Status],PrévisionBoris[[#This Row],[Status]],LstMachines[MoisLivr],AK$1)</f>
        <v>0</v>
      </c>
      <c r="AL234" s="219">
        <f>SUMIFS(LstMachines[Nbre],LstMachines[Model-Spec],PrévisionBoris[[#This Row],[Spec]],LstMachines[Status],PrévisionBoris[[#This Row],[Status]],LstMachines[MoisLivr],AL$1)</f>
        <v>0</v>
      </c>
      <c r="AM234" s="220">
        <f>SUMIFS(LstMachines[Nbre],LstMachines[Model-Spec],PrévisionBoris[[#This Row],[Spec]],LstMachines[Status],PrévisionBoris[[#This Row],[Status]],LstMachines[MoisLivr],AM$1)</f>
        <v>0</v>
      </c>
      <c r="AN234" s="220">
        <f>SUMIFS(LstMachines[Nbre],LstMachines[Model-Spec],PrévisionBoris[[#This Row],[Spec]],LstMachines[Status],PrévisionBoris[[#This Row],[Status]],LstMachines[MoisLivr],AN$1)</f>
        <v>0</v>
      </c>
      <c r="AO234" s="219">
        <f>SUMIFS(LstMachines[Nbre],LstMachines[Model-Spec],PrévisionBoris[[#This Row],[Spec]],LstMachines[Status],PrévisionBoris[[#This Row],[Status]],LstMachines[MoisLivr],AO$1)</f>
        <v>0</v>
      </c>
      <c r="AP234" s="220">
        <f>SUMIFS(LstMachines[Nbre],LstMachines[Model-Spec],PrévisionBoris[[#This Row],[Spec]],LstMachines[Status],PrévisionBoris[[#This Row],[Status]],LstMachines[MoisLivr],AP$1)</f>
        <v>0</v>
      </c>
      <c r="AQ234" s="220">
        <f>SUMIFS(LstMachines[Nbre],LstMachines[Model-Spec],PrévisionBoris[[#This Row],[Spec]],LstMachines[Status],PrévisionBoris[[#This Row],[Status]],LstMachines[MoisLivr],AQ$1)</f>
        <v>0</v>
      </c>
      <c r="AR234" s="219">
        <f>SUMIFS(LstMachines[Nbre],LstMachines[Model-Spec],PrévisionBoris[[#This Row],[Spec]],LstMachines[Status],PrévisionBoris[[#This Row],[Status]],LstMachines[MoisLivr],AR$1)</f>
        <v>0</v>
      </c>
      <c r="AS234" s="220">
        <f>SUMIFS(LstMachines[Nbre],LstMachines[Model-Spec],PrévisionBoris[[#This Row],[Spec]],LstMachines[Status],PrévisionBoris[[#This Row],[Status]],LstMachines[MoisLivr],AS$1)</f>
        <v>0</v>
      </c>
      <c r="AT234" s="220">
        <f>SUMIFS(LstMachines[Nbre],LstMachines[Model-Spec],PrévisionBoris[[#This Row],[Spec]],LstMachines[Status],PrévisionBoris[[#This Row],[Status]],LstMachines[MoisLivr],AT$1)</f>
        <v>0</v>
      </c>
      <c r="AU234" s="219">
        <f>SUMIFS(LstMachines[Nbre],LstMachines[Model-Spec],PrévisionBoris[[#This Row],[Spec]],LstMachines[Status],PrévisionBoris[[#This Row],[Status]],LstMachines[MoisLivr],AU$1)</f>
        <v>0</v>
      </c>
      <c r="AV234" s="223">
        <f>SUMIFS(LstMachines[Nbre],LstMachines[Model-Spec],PrévisionBoris[[#This Row],[Spec]],LstMachines[Status],PrévisionBoris[[#This Row],[Status]],LstMachines[MoisLivr],AV$1)</f>
        <v>0</v>
      </c>
      <c r="AW234" s="224">
        <f>SUMIFS(LstMachines[Nbre],LstMachines[Model-Spec],PrévisionBoris[[#This Row],[Spec]],LstMachines[Status],PrévisionBoris[[#This Row],[Status]],LstMachines[MoisLivr],AW$1)</f>
        <v>0</v>
      </c>
      <c r="AX234" s="210"/>
      <c r="AY234" s="211">
        <f t="shared" si="51"/>
        <v>0</v>
      </c>
      <c r="AZ234" s="212">
        <f t="shared" si="52"/>
        <v>0</v>
      </c>
      <c r="BA234" s="212">
        <f t="shared" si="53"/>
        <v>0</v>
      </c>
      <c r="BB234" s="213">
        <f t="shared" si="54"/>
        <v>0</v>
      </c>
      <c r="BC234" s="225">
        <f t="shared" si="55"/>
        <v>0</v>
      </c>
      <c r="BD234" s="211">
        <f t="shared" si="56"/>
        <v>0</v>
      </c>
      <c r="BE234" s="212">
        <f t="shared" si="57"/>
        <v>0</v>
      </c>
      <c r="BF234" s="212">
        <f t="shared" si="58"/>
        <v>0</v>
      </c>
      <c r="BG234" s="213">
        <f t="shared" si="59"/>
        <v>0</v>
      </c>
      <c r="BH234" s="225">
        <f t="shared" si="60"/>
        <v>0</v>
      </c>
      <c r="BI234" s="214">
        <f t="shared" si="61"/>
        <v>0</v>
      </c>
      <c r="BJ234" s="215">
        <f t="shared" si="62"/>
        <v>0</v>
      </c>
      <c r="BK234" s="215">
        <f t="shared" si="63"/>
        <v>0</v>
      </c>
      <c r="BL234" s="216">
        <f t="shared" si="64"/>
        <v>0</v>
      </c>
      <c r="BM234" s="225">
        <f t="shared" si="65"/>
        <v>0</v>
      </c>
      <c r="BN234" s="225"/>
      <c r="BO234" s="217"/>
      <c r="BP234" s="218">
        <f t="shared" si="66"/>
        <v>0</v>
      </c>
    </row>
    <row r="235" spans="1:68">
      <c r="A235" s="171">
        <v>228</v>
      </c>
      <c r="B235" s="171" t="s">
        <v>85</v>
      </c>
      <c r="C235" s="201">
        <v>130</v>
      </c>
      <c r="D235" s="171" t="s">
        <v>189</v>
      </c>
      <c r="E235" s="171" t="s">
        <v>192</v>
      </c>
      <c r="F235" s="201">
        <f>VLOOKUP(PrévisionBoris[[#This Row],[Spec]],TabModelSpecs[[ModelSpec]:[Price]],2,FALSE)</f>
        <v>90</v>
      </c>
      <c r="G235" s="171" t="s">
        <v>463</v>
      </c>
      <c r="H235" s="226">
        <f>SUMIFS(LstMachines[Nbre],LstMachines[Model-Spec],PrévisionBoris[[#This Row],[Spec]],LstMachines[Status],PrévisionBoris[[#This Row],[Status]],LstMachines[MoisLivr],H$1)</f>
        <v>0</v>
      </c>
      <c r="I235" s="227">
        <f>SUMIFS(LstMachines[Nbre],LstMachines[Model-Spec],PrévisionBoris[[#This Row],[Spec]],LstMachines[Status],PrévisionBoris[[#This Row],[Status]],LstMachines[MoisLivr],I$1)</f>
        <v>0</v>
      </c>
      <c r="J235" s="228">
        <f>SUMIFS(LstMachines[Nbre],LstMachines[Model-Spec],PrévisionBoris[[#This Row],[Spec]],LstMachines[Status],PrévisionBoris[[#This Row],[Status]],LstMachines[MoisLivr],J$1)</f>
        <v>0</v>
      </c>
      <c r="K235" s="226">
        <f>SUMIFS(LstMachines[Nbre],LstMachines[Model-Spec],PrévisionBoris[[#This Row],[Spec]],LstMachines[Status],PrévisionBoris[[#This Row],[Status]],LstMachines[MoisLivr],K$1)</f>
        <v>0</v>
      </c>
      <c r="L235" s="227">
        <f>SUMIFS(LstMachines[Nbre],LstMachines[Model-Spec],PrévisionBoris[[#This Row],[Spec]],LstMachines[Status],PrévisionBoris[[#This Row],[Status]],LstMachines[MoisLivr],L$1)</f>
        <v>0</v>
      </c>
      <c r="M235" s="228">
        <f>SUMIFS(LstMachines[Nbre],LstMachines[Model-Spec],PrévisionBoris[[#This Row],[Spec]],LstMachines[Status],PrévisionBoris[[#This Row],[Status]],LstMachines[MoisLivr],M$1)</f>
        <v>0</v>
      </c>
      <c r="N235" s="226">
        <f>SUMIFS(LstMachines[Nbre],LstMachines[Model-Spec],PrévisionBoris[[#This Row],[Spec]],LstMachines[Status],PrévisionBoris[[#This Row],[Status]],LstMachines[MoisLivr],N$1)</f>
        <v>0</v>
      </c>
      <c r="O235" s="227">
        <f>SUMIFS(LstMachines[Nbre],LstMachines[Model-Spec],PrévisionBoris[[#This Row],[Spec]],LstMachines[Status],PrévisionBoris[[#This Row],[Status]],LstMachines[MoisLivr],O$1)</f>
        <v>0</v>
      </c>
      <c r="P235" s="228">
        <f>SUMIFS(LstMachines[Nbre],LstMachines[Model-Spec],PrévisionBoris[[#This Row],[Spec]],LstMachines[Status],PrévisionBoris[[#This Row],[Status]],LstMachines[MoisLivr],P$1)</f>
        <v>0</v>
      </c>
      <c r="Q235" s="229">
        <f>SUMIFS(LstMachines[Nbre],LstMachines[Model-Spec],PrévisionBoris[[#This Row],[Spec]],LstMachines[Status],PrévisionBoris[[#This Row],[Status]],LstMachines[MoisLivr],Q$1)</f>
        <v>0</v>
      </c>
      <c r="R235" s="227">
        <f>SUMIFS(LstMachines[Nbre],LstMachines[Model-Spec],PrévisionBoris[[#This Row],[Spec]],LstMachines[Status],PrévisionBoris[[#This Row],[Status]],LstMachines[MoisLivr],R$1)</f>
        <v>0</v>
      </c>
      <c r="S235" s="227">
        <f>SUMIFS(LstMachines[Nbre],LstMachines[Model-Spec],PrévisionBoris[[#This Row],[Spec]],LstMachines[Status],PrévisionBoris[[#This Row],[Status]],LstMachines[MoisLivr],S$1)</f>
        <v>0</v>
      </c>
      <c r="T235" s="226">
        <f>SUMIFS(LstMachines[Nbre],LstMachines[Model-Spec],PrévisionBoris[[#This Row],[Spec]],LstMachines[Status],PrévisionBoris[[#This Row],[Status]],LstMachines[MoisLivr],T$1)</f>
        <v>0</v>
      </c>
      <c r="U235" s="227">
        <f>SUMIFS(LstMachines[Nbre],LstMachines[Model-Spec],PrévisionBoris[[#This Row],[Spec]],LstMachines[Status],PrévisionBoris[[#This Row],[Status]],LstMachines[MoisLivr],U$1)</f>
        <v>0</v>
      </c>
      <c r="V235" s="227">
        <f>SUMIFS(LstMachines[Nbre],LstMachines[Model-Spec],PrévisionBoris[[#This Row],[Spec]],LstMachines[Status],PrévisionBoris[[#This Row],[Status]],LstMachines[MoisLivr],V$1)</f>
        <v>0</v>
      </c>
      <c r="W235" s="226">
        <f>SUMIFS(LstMachines[Nbre],LstMachines[Model-Spec],PrévisionBoris[[#This Row],[Spec]],LstMachines[Status],PrévisionBoris[[#This Row],[Status]],LstMachines[MoisLivr],W$1)</f>
        <v>0</v>
      </c>
      <c r="X235" s="227">
        <f>SUMIFS(LstMachines[Nbre],LstMachines[Model-Spec],PrévisionBoris[[#This Row],[Spec]],LstMachines[Status],PrévisionBoris[[#This Row],[Status]],LstMachines[MoisLivr],X$1)</f>
        <v>0</v>
      </c>
      <c r="Y235" s="227">
        <f>SUMIFS(LstMachines[Nbre],LstMachines[Model-Spec],PrévisionBoris[[#This Row],[Spec]],LstMachines[Status],PrévisionBoris[[#This Row],[Status]],LstMachines[MoisLivr],Y$1)</f>
        <v>0</v>
      </c>
      <c r="Z235" s="226">
        <f>SUMIFS(LstMachines[Nbre],LstMachines[Model-Spec],PrévisionBoris[[#This Row],[Spec]],LstMachines[Status],PrévisionBoris[[#This Row],[Status]],LstMachines[MoisLivr],Z$1)</f>
        <v>0</v>
      </c>
      <c r="AA235" s="227">
        <f>SUMIFS(LstMachines[Nbre],LstMachines[Model-Spec],PrévisionBoris[[#This Row],[Spec]],LstMachines[Status],PrévisionBoris[[#This Row],[Status]],LstMachines[MoisLivr],AA$1)</f>
        <v>0</v>
      </c>
      <c r="AB235" s="227">
        <f>SUMIFS(LstMachines[Nbre],LstMachines[Model-Spec],PrévisionBoris[[#This Row],[Spec]],LstMachines[Status],PrévisionBoris[[#This Row],[Status]],LstMachines[MoisLivr],AB$1)</f>
        <v>0</v>
      </c>
      <c r="AC235" s="226">
        <f>SUMIFS(LstMachines[Nbre],LstMachines[Model-Spec],PrévisionBoris[[#This Row],[Spec]],LstMachines[Status],PrévisionBoris[[#This Row],[Status]],LstMachines[MoisLivr],AC$1)</f>
        <v>0</v>
      </c>
      <c r="AD235" s="227">
        <f>SUMIFS(LstMachines[Nbre],LstMachines[Model-Spec],PrévisionBoris[[#This Row],[Spec]],LstMachines[Status],PrévisionBoris[[#This Row],[Status]],LstMachines[MoisLivr],AD$1)</f>
        <v>0</v>
      </c>
      <c r="AE235" s="227">
        <f>SUMIFS(LstMachines[Nbre],LstMachines[Model-Spec],PrévisionBoris[[#This Row],[Spec]],LstMachines[Status],PrévisionBoris[[#This Row],[Status]],LstMachines[MoisLivr],AE$1)</f>
        <v>0</v>
      </c>
      <c r="AF235" s="226">
        <f>SUMIFS(LstMachines[Nbre],LstMachines[Model-Spec],PrévisionBoris[[#This Row],[Spec]],LstMachines[Status],PrévisionBoris[[#This Row],[Status]],LstMachines[MoisLivr],AF$1)</f>
        <v>0</v>
      </c>
      <c r="AG235" s="227">
        <f>SUMIFS(LstMachines[Nbre],LstMachines[Model-Spec],PrévisionBoris[[#This Row],[Spec]],LstMachines[Status],PrévisionBoris[[#This Row],[Status]],LstMachines[MoisLivr],AG$1)</f>
        <v>0</v>
      </c>
      <c r="AH235" s="227">
        <f>SUMIFS(LstMachines[Nbre],LstMachines[Model-Spec],PrévisionBoris[[#This Row],[Spec]],LstMachines[Status],PrévisionBoris[[#This Row],[Status]],LstMachines[MoisLivr],AH$1)</f>
        <v>0</v>
      </c>
      <c r="AI235" s="226">
        <f>SUMIFS(LstMachines[Nbre],LstMachines[Model-Spec],PrévisionBoris[[#This Row],[Spec]],LstMachines[Status],PrévisionBoris[[#This Row],[Status]],LstMachines[MoisLivr],AI$1)</f>
        <v>0</v>
      </c>
      <c r="AJ235" s="227">
        <f>SUMIFS(LstMachines[Nbre],LstMachines[Model-Spec],PrévisionBoris[[#This Row],[Spec]],LstMachines[Status],PrévisionBoris[[#This Row],[Status]],LstMachines[MoisLivr],AJ$1)</f>
        <v>0</v>
      </c>
      <c r="AK235" s="227">
        <f>SUMIFS(LstMachines[Nbre],LstMachines[Model-Spec],PrévisionBoris[[#This Row],[Spec]],LstMachines[Status],PrévisionBoris[[#This Row],[Status]],LstMachines[MoisLivr],AK$1)</f>
        <v>0</v>
      </c>
      <c r="AL235" s="226">
        <f>SUMIFS(LstMachines[Nbre],LstMachines[Model-Spec],PrévisionBoris[[#This Row],[Spec]],LstMachines[Status],PrévisionBoris[[#This Row],[Status]],LstMachines[MoisLivr],AL$1)</f>
        <v>0</v>
      </c>
      <c r="AM235" s="227">
        <f>SUMIFS(LstMachines[Nbre],LstMachines[Model-Spec],PrévisionBoris[[#This Row],[Spec]],LstMachines[Status],PrévisionBoris[[#This Row],[Status]],LstMachines[MoisLivr],AM$1)</f>
        <v>0</v>
      </c>
      <c r="AN235" s="227">
        <f>SUMIFS(LstMachines[Nbre],LstMachines[Model-Spec],PrévisionBoris[[#This Row],[Spec]],LstMachines[Status],PrévisionBoris[[#This Row],[Status]],LstMachines[MoisLivr],AN$1)</f>
        <v>0</v>
      </c>
      <c r="AO235" s="226">
        <f>SUMIFS(LstMachines[Nbre],LstMachines[Model-Spec],PrévisionBoris[[#This Row],[Spec]],LstMachines[Status],PrévisionBoris[[#This Row],[Status]],LstMachines[MoisLivr],AO$1)</f>
        <v>0</v>
      </c>
      <c r="AP235" s="227">
        <f>SUMIFS(LstMachines[Nbre],LstMachines[Model-Spec],PrévisionBoris[[#This Row],[Spec]],LstMachines[Status],PrévisionBoris[[#This Row],[Status]],LstMachines[MoisLivr],AP$1)</f>
        <v>0</v>
      </c>
      <c r="AQ235" s="227">
        <f>SUMIFS(LstMachines[Nbre],LstMachines[Model-Spec],PrévisionBoris[[#This Row],[Spec]],LstMachines[Status],PrévisionBoris[[#This Row],[Status]],LstMachines[MoisLivr],AQ$1)</f>
        <v>0</v>
      </c>
      <c r="AR235" s="226">
        <f>SUMIFS(LstMachines[Nbre],LstMachines[Model-Spec],PrévisionBoris[[#This Row],[Spec]],LstMachines[Status],PrévisionBoris[[#This Row],[Status]],LstMachines[MoisLivr],AR$1)</f>
        <v>0</v>
      </c>
      <c r="AS235" s="227">
        <f>SUMIFS(LstMachines[Nbre],LstMachines[Model-Spec],PrévisionBoris[[#This Row],[Spec]],LstMachines[Status],PrévisionBoris[[#This Row],[Status]],LstMachines[MoisLivr],AS$1)</f>
        <v>0</v>
      </c>
      <c r="AT235" s="227">
        <f>SUMIFS(LstMachines[Nbre],LstMachines[Model-Spec],PrévisionBoris[[#This Row],[Spec]],LstMachines[Status],PrévisionBoris[[#This Row],[Status]],LstMachines[MoisLivr],AT$1)</f>
        <v>0</v>
      </c>
      <c r="AU235" s="226">
        <f>SUMIFS(LstMachines[Nbre],LstMachines[Model-Spec],PrévisionBoris[[#This Row],[Spec]],LstMachines[Status],PrévisionBoris[[#This Row],[Status]],LstMachines[MoisLivr],AU$1)</f>
        <v>0</v>
      </c>
      <c r="AV235" s="230">
        <f>SUMIFS(LstMachines[Nbre],LstMachines[Model-Spec],PrévisionBoris[[#This Row],[Spec]],LstMachines[Status],PrévisionBoris[[#This Row],[Status]],LstMachines[MoisLivr],AV$1)</f>
        <v>0</v>
      </c>
      <c r="AW235" s="231">
        <f>SUMIFS(LstMachines[Nbre],LstMachines[Model-Spec],PrévisionBoris[[#This Row],[Spec]],LstMachines[Status],PrévisionBoris[[#This Row],[Status]],LstMachines[MoisLivr],AW$1)</f>
        <v>0</v>
      </c>
      <c r="AX235" s="232"/>
      <c r="AY235" s="211">
        <f t="shared" si="51"/>
        <v>0</v>
      </c>
      <c r="AZ235" s="212">
        <f t="shared" si="52"/>
        <v>0</v>
      </c>
      <c r="BA235" s="212">
        <f t="shared" si="53"/>
        <v>0</v>
      </c>
      <c r="BB235" s="213">
        <f t="shared" si="54"/>
        <v>0</v>
      </c>
      <c r="BC235" s="225">
        <f t="shared" si="55"/>
        <v>0</v>
      </c>
      <c r="BD235" s="211">
        <f t="shared" si="56"/>
        <v>0</v>
      </c>
      <c r="BE235" s="212">
        <f t="shared" si="57"/>
        <v>0</v>
      </c>
      <c r="BF235" s="212">
        <f t="shared" si="58"/>
        <v>0</v>
      </c>
      <c r="BG235" s="213">
        <f t="shared" si="59"/>
        <v>0</v>
      </c>
      <c r="BH235" s="225">
        <f t="shared" si="60"/>
        <v>0</v>
      </c>
      <c r="BI235" s="214">
        <f t="shared" si="61"/>
        <v>0</v>
      </c>
      <c r="BJ235" s="215">
        <f t="shared" si="62"/>
        <v>0</v>
      </c>
      <c r="BK235" s="215">
        <f t="shared" si="63"/>
        <v>0</v>
      </c>
      <c r="BL235" s="216">
        <f t="shared" si="64"/>
        <v>0</v>
      </c>
      <c r="BM235" s="225">
        <f t="shared" si="65"/>
        <v>0</v>
      </c>
      <c r="BN235" s="225"/>
      <c r="BO235" s="217"/>
      <c r="BP235" s="218">
        <f t="shared" si="66"/>
        <v>0</v>
      </c>
    </row>
    <row r="236" spans="1:68">
      <c r="A236" s="172">
        <v>229</v>
      </c>
      <c r="B236" s="172" t="s">
        <v>85</v>
      </c>
      <c r="C236" s="202">
        <v>130</v>
      </c>
      <c r="D236" s="172" t="s">
        <v>189</v>
      </c>
      <c r="E236" s="172" t="s">
        <v>193</v>
      </c>
      <c r="F236" s="202">
        <f>VLOOKUP(PrévisionBoris[[#This Row],[Spec]],TabModelSpecs[[ModelSpec]:[Price]],2,FALSE)</f>
        <v>95</v>
      </c>
      <c r="G236" s="172" t="s">
        <v>461</v>
      </c>
      <c r="H236" s="206">
        <f>SUMIFS(LstMachines[Nbre],LstMachines[Model-Spec],PrévisionBoris[[#This Row],[Spec]],LstMachines[Status],PrévisionBoris[[#This Row],[Status]],LstMachines[MoisLivr],H$1)</f>
        <v>0</v>
      </c>
      <c r="I236" s="207">
        <f>SUMIFS(LstMachines[Nbre],LstMachines[Model-Spec],PrévisionBoris[[#This Row],[Spec]],LstMachines[Status],PrévisionBoris[[#This Row],[Status]],LstMachines[MoisLivr],I$1)</f>
        <v>0</v>
      </c>
      <c r="J236" s="208">
        <f>SUMIFS(LstMachines[Nbre],LstMachines[Model-Spec],PrévisionBoris[[#This Row],[Spec]],LstMachines[Status],PrévisionBoris[[#This Row],[Status]],LstMachines[MoisLivr],J$1)</f>
        <v>0</v>
      </c>
      <c r="K236" s="206">
        <f>SUMIFS(LstMachines[Nbre],LstMachines[Model-Spec],PrévisionBoris[[#This Row],[Spec]],LstMachines[Status],PrévisionBoris[[#This Row],[Status]],LstMachines[MoisLivr],K$1)</f>
        <v>0</v>
      </c>
      <c r="L236" s="207">
        <f>SUMIFS(LstMachines[Nbre],LstMachines[Model-Spec],PrévisionBoris[[#This Row],[Spec]],LstMachines[Status],PrévisionBoris[[#This Row],[Status]],LstMachines[MoisLivr],L$1)</f>
        <v>0</v>
      </c>
      <c r="M236" s="208">
        <f>SUMIFS(LstMachines[Nbre],LstMachines[Model-Spec],PrévisionBoris[[#This Row],[Spec]],LstMachines[Status],PrévisionBoris[[#This Row],[Status]],LstMachines[MoisLivr],M$1)</f>
        <v>0</v>
      </c>
      <c r="N236" s="206">
        <f>SUMIFS(LstMachines[Nbre],LstMachines[Model-Spec],PrévisionBoris[[#This Row],[Spec]],LstMachines[Status],PrévisionBoris[[#This Row],[Status]],LstMachines[MoisLivr],N$1)</f>
        <v>0</v>
      </c>
      <c r="O236" s="207">
        <f>SUMIFS(LstMachines[Nbre],LstMachines[Model-Spec],PrévisionBoris[[#This Row],[Spec]],LstMachines[Status],PrévisionBoris[[#This Row],[Status]],LstMachines[MoisLivr],O$1)</f>
        <v>0</v>
      </c>
      <c r="P236" s="208">
        <f>SUMIFS(LstMachines[Nbre],LstMachines[Model-Spec],PrévisionBoris[[#This Row],[Spec]],LstMachines[Status],PrévisionBoris[[#This Row],[Status]],LstMachines[MoisLivr],P$1)</f>
        <v>0</v>
      </c>
      <c r="Q236" s="209">
        <f>SUMIFS(LstMachines[Nbre],LstMachines[Model-Spec],PrévisionBoris[[#This Row],[Spec]],LstMachines[Status],PrévisionBoris[[#This Row],[Status]],LstMachines[MoisLivr],Q$1)</f>
        <v>0</v>
      </c>
      <c r="R236" s="207">
        <f>SUMIFS(LstMachines[Nbre],LstMachines[Model-Spec],PrévisionBoris[[#This Row],[Spec]],LstMachines[Status],PrévisionBoris[[#This Row],[Status]],LstMachines[MoisLivr],R$1)</f>
        <v>0</v>
      </c>
      <c r="S236" s="207">
        <f>SUMIFS(LstMachines[Nbre],LstMachines[Model-Spec],PrévisionBoris[[#This Row],[Spec]],LstMachines[Status],PrévisionBoris[[#This Row],[Status]],LstMachines[MoisLivr],S$1)</f>
        <v>0</v>
      </c>
      <c r="T236" s="206">
        <f>SUMIFS(LstMachines[Nbre],LstMachines[Model-Spec],PrévisionBoris[[#This Row],[Spec]],LstMachines[Status],PrévisionBoris[[#This Row],[Status]],LstMachines[MoisLivr],T$1)</f>
        <v>0</v>
      </c>
      <c r="U236" s="207">
        <f>SUMIFS(LstMachines[Nbre],LstMachines[Model-Spec],PrévisionBoris[[#This Row],[Spec]],LstMachines[Status],PrévisionBoris[[#This Row],[Status]],LstMachines[MoisLivr],U$1)</f>
        <v>0</v>
      </c>
      <c r="V236" s="207">
        <f>SUMIFS(LstMachines[Nbre],LstMachines[Model-Spec],PrévisionBoris[[#This Row],[Spec]],LstMachines[Status],PrévisionBoris[[#This Row],[Status]],LstMachines[MoisLivr],V$1)</f>
        <v>0</v>
      </c>
      <c r="W236" s="206">
        <f>SUMIFS(LstMachines[Nbre],LstMachines[Model-Spec],PrévisionBoris[[#This Row],[Spec]],LstMachines[Status],PrévisionBoris[[#This Row],[Status]],LstMachines[MoisLivr],W$1)</f>
        <v>0</v>
      </c>
      <c r="X236" s="207">
        <f>SUMIFS(LstMachines[Nbre],LstMachines[Model-Spec],PrévisionBoris[[#This Row],[Spec]],LstMachines[Status],PrévisionBoris[[#This Row],[Status]],LstMachines[MoisLivr],X$1)</f>
        <v>0</v>
      </c>
      <c r="Y236" s="207">
        <f>SUMIFS(LstMachines[Nbre],LstMachines[Model-Spec],PrévisionBoris[[#This Row],[Spec]],LstMachines[Status],PrévisionBoris[[#This Row],[Status]],LstMachines[MoisLivr],Y$1)</f>
        <v>0</v>
      </c>
      <c r="Z236" s="206">
        <f>SUMIFS(LstMachines[Nbre],LstMachines[Model-Spec],PrévisionBoris[[#This Row],[Spec]],LstMachines[Status],PrévisionBoris[[#This Row],[Status]],LstMachines[MoisLivr],Z$1)</f>
        <v>0</v>
      </c>
      <c r="AA236" s="207">
        <f>SUMIFS(LstMachines[Nbre],LstMachines[Model-Spec],PrévisionBoris[[#This Row],[Spec]],LstMachines[Status],PrévisionBoris[[#This Row],[Status]],LstMachines[MoisLivr],AA$1)</f>
        <v>0</v>
      </c>
      <c r="AB236" s="207">
        <f>SUMIFS(LstMachines[Nbre],LstMachines[Model-Spec],PrévisionBoris[[#This Row],[Spec]],LstMachines[Status],PrévisionBoris[[#This Row],[Status]],LstMachines[MoisLivr],AB$1)</f>
        <v>0</v>
      </c>
      <c r="AC236" s="206">
        <f>SUMIFS(LstMachines[Nbre],LstMachines[Model-Spec],PrévisionBoris[[#This Row],[Spec]],LstMachines[Status],PrévisionBoris[[#This Row],[Status]],LstMachines[MoisLivr],AC$1)</f>
        <v>0</v>
      </c>
      <c r="AD236" s="207">
        <f>SUMIFS(LstMachines[Nbre],LstMachines[Model-Spec],PrévisionBoris[[#This Row],[Spec]],LstMachines[Status],PrévisionBoris[[#This Row],[Status]],LstMachines[MoisLivr],AD$1)</f>
        <v>0</v>
      </c>
      <c r="AE236" s="207">
        <f>SUMIFS(LstMachines[Nbre],LstMachines[Model-Spec],PrévisionBoris[[#This Row],[Spec]],LstMachines[Status],PrévisionBoris[[#This Row],[Status]],LstMachines[MoisLivr],AE$1)</f>
        <v>0</v>
      </c>
      <c r="AF236" s="206">
        <f>SUMIFS(LstMachines[Nbre],LstMachines[Model-Spec],PrévisionBoris[[#This Row],[Spec]],LstMachines[Status],PrévisionBoris[[#This Row],[Status]],LstMachines[MoisLivr],AF$1)</f>
        <v>0</v>
      </c>
      <c r="AG236" s="207">
        <f>SUMIFS(LstMachines[Nbre],LstMachines[Model-Spec],PrévisionBoris[[#This Row],[Spec]],LstMachines[Status],PrévisionBoris[[#This Row],[Status]],LstMachines[MoisLivr],AG$1)</f>
        <v>0</v>
      </c>
      <c r="AH236" s="207">
        <f>SUMIFS(LstMachines[Nbre],LstMachines[Model-Spec],PrévisionBoris[[#This Row],[Spec]],LstMachines[Status],PrévisionBoris[[#This Row],[Status]],LstMachines[MoisLivr],AH$1)</f>
        <v>0</v>
      </c>
      <c r="AI236" s="206">
        <f>SUMIFS(LstMachines[Nbre],LstMachines[Model-Spec],PrévisionBoris[[#This Row],[Spec]],LstMachines[Status],PrévisionBoris[[#This Row],[Status]],LstMachines[MoisLivr],AI$1)</f>
        <v>0</v>
      </c>
      <c r="AJ236" s="207">
        <f>SUMIFS(LstMachines[Nbre],LstMachines[Model-Spec],PrévisionBoris[[#This Row],[Spec]],LstMachines[Status],PrévisionBoris[[#This Row],[Status]],LstMachines[MoisLivr],AJ$1)</f>
        <v>0</v>
      </c>
      <c r="AK236" s="207">
        <f>SUMIFS(LstMachines[Nbre],LstMachines[Model-Spec],PrévisionBoris[[#This Row],[Spec]],LstMachines[Status],PrévisionBoris[[#This Row],[Status]],LstMachines[MoisLivr],AK$1)</f>
        <v>0</v>
      </c>
      <c r="AL236" s="206">
        <f>SUMIFS(LstMachines[Nbre],LstMachines[Model-Spec],PrévisionBoris[[#This Row],[Spec]],LstMachines[Status],PrévisionBoris[[#This Row],[Status]],LstMachines[MoisLivr],AL$1)</f>
        <v>0</v>
      </c>
      <c r="AM236" s="207">
        <f>SUMIFS(LstMachines[Nbre],LstMachines[Model-Spec],PrévisionBoris[[#This Row],[Spec]],LstMachines[Status],PrévisionBoris[[#This Row],[Status]],LstMachines[MoisLivr],AM$1)</f>
        <v>0</v>
      </c>
      <c r="AN236" s="207">
        <f>SUMIFS(LstMachines[Nbre],LstMachines[Model-Spec],PrévisionBoris[[#This Row],[Spec]],LstMachines[Status],PrévisionBoris[[#This Row],[Status]],LstMachines[MoisLivr],AN$1)</f>
        <v>0</v>
      </c>
      <c r="AO236" s="206">
        <f>SUMIFS(LstMachines[Nbre],LstMachines[Model-Spec],PrévisionBoris[[#This Row],[Spec]],LstMachines[Status],PrévisionBoris[[#This Row],[Status]],LstMachines[MoisLivr],AO$1)</f>
        <v>0</v>
      </c>
      <c r="AP236" s="207">
        <f>SUMIFS(LstMachines[Nbre],LstMachines[Model-Spec],PrévisionBoris[[#This Row],[Spec]],LstMachines[Status],PrévisionBoris[[#This Row],[Status]],LstMachines[MoisLivr],AP$1)</f>
        <v>0</v>
      </c>
      <c r="AQ236" s="207">
        <f>SUMIFS(LstMachines[Nbre],LstMachines[Model-Spec],PrévisionBoris[[#This Row],[Spec]],LstMachines[Status],PrévisionBoris[[#This Row],[Status]],LstMachines[MoisLivr],AQ$1)</f>
        <v>0</v>
      </c>
      <c r="AR236" s="206">
        <f>SUMIFS(LstMachines[Nbre],LstMachines[Model-Spec],PrévisionBoris[[#This Row],[Spec]],LstMachines[Status],PrévisionBoris[[#This Row],[Status]],LstMachines[MoisLivr],AR$1)</f>
        <v>0</v>
      </c>
      <c r="AS236" s="207">
        <f>SUMIFS(LstMachines[Nbre],LstMachines[Model-Spec],PrévisionBoris[[#This Row],[Spec]],LstMachines[Status],PrévisionBoris[[#This Row],[Status]],LstMachines[MoisLivr],AS$1)</f>
        <v>0</v>
      </c>
      <c r="AT236" s="207">
        <f>SUMIFS(LstMachines[Nbre],LstMachines[Model-Spec],PrévisionBoris[[#This Row],[Spec]],LstMachines[Status],PrévisionBoris[[#This Row],[Status]],LstMachines[MoisLivr],AT$1)</f>
        <v>0</v>
      </c>
      <c r="AU236" s="206">
        <f>SUMIFS(LstMachines[Nbre],LstMachines[Model-Spec],PrévisionBoris[[#This Row],[Spec]],LstMachines[Status],PrévisionBoris[[#This Row],[Status]],LstMachines[MoisLivr],AU$1)</f>
        <v>0</v>
      </c>
      <c r="AV236" s="233">
        <f>SUMIFS(LstMachines[Nbre],LstMachines[Model-Spec],PrévisionBoris[[#This Row],[Spec]],LstMachines[Status],PrévisionBoris[[#This Row],[Status]],LstMachines[MoisLivr],AV$1)</f>
        <v>0</v>
      </c>
      <c r="AW236" s="208">
        <f>SUMIFS(LstMachines[Nbre],LstMachines[Model-Spec],PrévisionBoris[[#This Row],[Spec]],LstMachines[Status],PrévisionBoris[[#This Row],[Status]],LstMachines[MoisLivr],AW$1)</f>
        <v>0</v>
      </c>
      <c r="AX236" s="225"/>
      <c r="AY236" s="211">
        <f t="shared" si="51"/>
        <v>0</v>
      </c>
      <c r="AZ236" s="212">
        <f t="shared" si="52"/>
        <v>0</v>
      </c>
      <c r="BA236" s="212">
        <f t="shared" si="53"/>
        <v>0</v>
      </c>
      <c r="BB236" s="213">
        <f t="shared" si="54"/>
        <v>0</v>
      </c>
      <c r="BC236" s="225">
        <f t="shared" si="55"/>
        <v>0</v>
      </c>
      <c r="BD236" s="211">
        <f t="shared" si="56"/>
        <v>0</v>
      </c>
      <c r="BE236" s="212">
        <f t="shared" si="57"/>
        <v>0</v>
      </c>
      <c r="BF236" s="212">
        <f t="shared" si="58"/>
        <v>0</v>
      </c>
      <c r="BG236" s="213">
        <f t="shared" si="59"/>
        <v>0</v>
      </c>
      <c r="BH236" s="225">
        <f t="shared" si="60"/>
        <v>0</v>
      </c>
      <c r="BI236" s="214">
        <f t="shared" si="61"/>
        <v>0</v>
      </c>
      <c r="BJ236" s="215">
        <f t="shared" si="62"/>
        <v>0</v>
      </c>
      <c r="BK236" s="215">
        <f t="shared" si="63"/>
        <v>0</v>
      </c>
      <c r="BL236" s="216">
        <f t="shared" si="64"/>
        <v>0</v>
      </c>
      <c r="BM236" s="225">
        <f t="shared" si="65"/>
        <v>0</v>
      </c>
      <c r="BN236" s="225"/>
      <c r="BO236" s="234"/>
      <c r="BP236" s="218">
        <f t="shared" si="66"/>
        <v>0</v>
      </c>
    </row>
    <row r="237" spans="1:68">
      <c r="A237" s="170">
        <v>230</v>
      </c>
      <c r="B237" s="170" t="s">
        <v>85</v>
      </c>
      <c r="C237" s="200">
        <v>130</v>
      </c>
      <c r="D237" s="170" t="s">
        <v>189</v>
      </c>
      <c r="E237" s="170" t="s">
        <v>193</v>
      </c>
      <c r="F237" s="200">
        <f>VLOOKUP(PrévisionBoris[[#This Row],[Spec]],TabModelSpecs[[ModelSpec]:[Price]],2,FALSE)</f>
        <v>95</v>
      </c>
      <c r="G237" s="170" t="s">
        <v>462</v>
      </c>
      <c r="H237" s="219">
        <f>SUMIFS(LstMachines[Nbre],LstMachines[Model-Spec],PrévisionBoris[[#This Row],[Spec]],LstMachines[Status],PrévisionBoris[[#This Row],[Status]],LstMachines[MoisLivr],H$1)</f>
        <v>0</v>
      </c>
      <c r="I237" s="220">
        <f>SUMIFS(LstMachines[Nbre],LstMachines[Model-Spec],PrévisionBoris[[#This Row],[Spec]],LstMachines[Status],PrévisionBoris[[#This Row],[Status]],LstMachines[MoisLivr],I$1)</f>
        <v>0</v>
      </c>
      <c r="J237" s="221">
        <f>SUMIFS(LstMachines[Nbre],LstMachines[Model-Spec],PrévisionBoris[[#This Row],[Spec]],LstMachines[Status],PrévisionBoris[[#This Row],[Status]],LstMachines[MoisLivr],J$1)</f>
        <v>0</v>
      </c>
      <c r="K237" s="219">
        <f>SUMIFS(LstMachines[Nbre],LstMachines[Model-Spec],PrévisionBoris[[#This Row],[Spec]],LstMachines[Status],PrévisionBoris[[#This Row],[Status]],LstMachines[MoisLivr],K$1)</f>
        <v>0</v>
      </c>
      <c r="L237" s="220">
        <f>SUMIFS(LstMachines[Nbre],LstMachines[Model-Spec],PrévisionBoris[[#This Row],[Spec]],LstMachines[Status],PrévisionBoris[[#This Row],[Status]],LstMachines[MoisLivr],L$1)</f>
        <v>0</v>
      </c>
      <c r="M237" s="221">
        <f>SUMIFS(LstMachines[Nbre],LstMachines[Model-Spec],PrévisionBoris[[#This Row],[Spec]],LstMachines[Status],PrévisionBoris[[#This Row],[Status]],LstMachines[MoisLivr],M$1)</f>
        <v>0</v>
      </c>
      <c r="N237" s="219">
        <f>SUMIFS(LstMachines[Nbre],LstMachines[Model-Spec],PrévisionBoris[[#This Row],[Spec]],LstMachines[Status],PrévisionBoris[[#This Row],[Status]],LstMachines[MoisLivr],N$1)</f>
        <v>0</v>
      </c>
      <c r="O237" s="220">
        <f>SUMIFS(LstMachines[Nbre],LstMachines[Model-Spec],PrévisionBoris[[#This Row],[Spec]],LstMachines[Status],PrévisionBoris[[#This Row],[Status]],LstMachines[MoisLivr],O$1)</f>
        <v>0</v>
      </c>
      <c r="P237" s="221">
        <f>SUMIFS(LstMachines[Nbre],LstMachines[Model-Spec],PrévisionBoris[[#This Row],[Spec]],LstMachines[Status],PrévisionBoris[[#This Row],[Status]],LstMachines[MoisLivr],P$1)</f>
        <v>0</v>
      </c>
      <c r="Q237" s="222">
        <f>SUMIFS(LstMachines[Nbre],LstMachines[Model-Spec],PrévisionBoris[[#This Row],[Spec]],LstMachines[Status],PrévisionBoris[[#This Row],[Status]],LstMachines[MoisLivr],Q$1)</f>
        <v>0</v>
      </c>
      <c r="R237" s="220">
        <f>SUMIFS(LstMachines[Nbre],LstMachines[Model-Spec],PrévisionBoris[[#This Row],[Spec]],LstMachines[Status],PrévisionBoris[[#This Row],[Status]],LstMachines[MoisLivr],R$1)</f>
        <v>0</v>
      </c>
      <c r="S237" s="220">
        <f>SUMIFS(LstMachines[Nbre],LstMachines[Model-Spec],PrévisionBoris[[#This Row],[Spec]],LstMachines[Status],PrévisionBoris[[#This Row],[Status]],LstMachines[MoisLivr],S$1)</f>
        <v>0</v>
      </c>
      <c r="T237" s="219">
        <f>SUMIFS(LstMachines[Nbre],LstMachines[Model-Spec],PrévisionBoris[[#This Row],[Spec]],LstMachines[Status],PrévisionBoris[[#This Row],[Status]],LstMachines[MoisLivr],T$1)</f>
        <v>0</v>
      </c>
      <c r="U237" s="220">
        <f>SUMIFS(LstMachines[Nbre],LstMachines[Model-Spec],PrévisionBoris[[#This Row],[Spec]],LstMachines[Status],PrévisionBoris[[#This Row],[Status]],LstMachines[MoisLivr],U$1)</f>
        <v>0</v>
      </c>
      <c r="V237" s="220">
        <f>SUMIFS(LstMachines[Nbre],LstMachines[Model-Spec],PrévisionBoris[[#This Row],[Spec]],LstMachines[Status],PrévisionBoris[[#This Row],[Status]],LstMachines[MoisLivr],V$1)</f>
        <v>0</v>
      </c>
      <c r="W237" s="219">
        <f>SUMIFS(LstMachines[Nbre],LstMachines[Model-Spec],PrévisionBoris[[#This Row],[Spec]],LstMachines[Status],PrévisionBoris[[#This Row],[Status]],LstMachines[MoisLivr],W$1)</f>
        <v>0</v>
      </c>
      <c r="X237" s="220">
        <f>SUMIFS(LstMachines[Nbre],LstMachines[Model-Spec],PrévisionBoris[[#This Row],[Spec]],LstMachines[Status],PrévisionBoris[[#This Row],[Status]],LstMachines[MoisLivr],X$1)</f>
        <v>0</v>
      </c>
      <c r="Y237" s="220">
        <f>SUMIFS(LstMachines[Nbre],LstMachines[Model-Spec],PrévisionBoris[[#This Row],[Spec]],LstMachines[Status],PrévisionBoris[[#This Row],[Status]],LstMachines[MoisLivr],Y$1)</f>
        <v>0</v>
      </c>
      <c r="Z237" s="219">
        <f>SUMIFS(LstMachines[Nbre],LstMachines[Model-Spec],PrévisionBoris[[#This Row],[Spec]],LstMachines[Status],PrévisionBoris[[#This Row],[Status]],LstMachines[MoisLivr],Z$1)</f>
        <v>0</v>
      </c>
      <c r="AA237" s="220">
        <f>SUMIFS(LstMachines[Nbre],LstMachines[Model-Spec],PrévisionBoris[[#This Row],[Spec]],LstMachines[Status],PrévisionBoris[[#This Row],[Status]],LstMachines[MoisLivr],AA$1)</f>
        <v>0</v>
      </c>
      <c r="AB237" s="220">
        <f>SUMIFS(LstMachines[Nbre],LstMachines[Model-Spec],PrévisionBoris[[#This Row],[Spec]],LstMachines[Status],PrévisionBoris[[#This Row],[Status]],LstMachines[MoisLivr],AB$1)</f>
        <v>0</v>
      </c>
      <c r="AC237" s="219">
        <f>SUMIFS(LstMachines[Nbre],LstMachines[Model-Spec],PrévisionBoris[[#This Row],[Spec]],LstMachines[Status],PrévisionBoris[[#This Row],[Status]],LstMachines[MoisLivr],AC$1)</f>
        <v>0</v>
      </c>
      <c r="AD237" s="220">
        <f>SUMIFS(LstMachines[Nbre],LstMachines[Model-Spec],PrévisionBoris[[#This Row],[Spec]],LstMachines[Status],PrévisionBoris[[#This Row],[Status]],LstMachines[MoisLivr],AD$1)</f>
        <v>0</v>
      </c>
      <c r="AE237" s="220">
        <f>SUMIFS(LstMachines[Nbre],LstMachines[Model-Spec],PrévisionBoris[[#This Row],[Spec]],LstMachines[Status],PrévisionBoris[[#This Row],[Status]],LstMachines[MoisLivr],AE$1)</f>
        <v>0</v>
      </c>
      <c r="AF237" s="219">
        <f>SUMIFS(LstMachines[Nbre],LstMachines[Model-Spec],PrévisionBoris[[#This Row],[Spec]],LstMachines[Status],PrévisionBoris[[#This Row],[Status]],LstMachines[MoisLivr],AF$1)</f>
        <v>0</v>
      </c>
      <c r="AG237" s="220">
        <f>SUMIFS(LstMachines[Nbre],LstMachines[Model-Spec],PrévisionBoris[[#This Row],[Spec]],LstMachines[Status],PrévisionBoris[[#This Row],[Status]],LstMachines[MoisLivr],AG$1)</f>
        <v>0</v>
      </c>
      <c r="AH237" s="220">
        <f>SUMIFS(LstMachines[Nbre],LstMachines[Model-Spec],PrévisionBoris[[#This Row],[Spec]],LstMachines[Status],PrévisionBoris[[#This Row],[Status]],LstMachines[MoisLivr],AH$1)</f>
        <v>0</v>
      </c>
      <c r="AI237" s="219">
        <f>SUMIFS(LstMachines[Nbre],LstMachines[Model-Spec],PrévisionBoris[[#This Row],[Spec]],LstMachines[Status],PrévisionBoris[[#This Row],[Status]],LstMachines[MoisLivr],AI$1)</f>
        <v>0</v>
      </c>
      <c r="AJ237" s="220">
        <f>SUMIFS(LstMachines[Nbre],LstMachines[Model-Spec],PrévisionBoris[[#This Row],[Spec]],LstMachines[Status],PrévisionBoris[[#This Row],[Status]],LstMachines[MoisLivr],AJ$1)</f>
        <v>0</v>
      </c>
      <c r="AK237" s="220">
        <f>SUMIFS(LstMachines[Nbre],LstMachines[Model-Spec],PrévisionBoris[[#This Row],[Spec]],LstMachines[Status],PrévisionBoris[[#This Row],[Status]],LstMachines[MoisLivr],AK$1)</f>
        <v>0</v>
      </c>
      <c r="AL237" s="219">
        <f>SUMIFS(LstMachines[Nbre],LstMachines[Model-Spec],PrévisionBoris[[#This Row],[Spec]],LstMachines[Status],PrévisionBoris[[#This Row],[Status]],LstMachines[MoisLivr],AL$1)</f>
        <v>0</v>
      </c>
      <c r="AM237" s="220">
        <f>SUMIFS(LstMachines[Nbre],LstMachines[Model-Spec],PrévisionBoris[[#This Row],[Spec]],LstMachines[Status],PrévisionBoris[[#This Row],[Status]],LstMachines[MoisLivr],AM$1)</f>
        <v>0</v>
      </c>
      <c r="AN237" s="220">
        <f>SUMIFS(LstMachines[Nbre],LstMachines[Model-Spec],PrévisionBoris[[#This Row],[Spec]],LstMachines[Status],PrévisionBoris[[#This Row],[Status]],LstMachines[MoisLivr],AN$1)</f>
        <v>0</v>
      </c>
      <c r="AO237" s="219">
        <f>SUMIFS(LstMachines[Nbre],LstMachines[Model-Spec],PrévisionBoris[[#This Row],[Spec]],LstMachines[Status],PrévisionBoris[[#This Row],[Status]],LstMachines[MoisLivr],AO$1)</f>
        <v>0</v>
      </c>
      <c r="AP237" s="220">
        <f>SUMIFS(LstMachines[Nbre],LstMachines[Model-Spec],PrévisionBoris[[#This Row],[Spec]],LstMachines[Status],PrévisionBoris[[#This Row],[Status]],LstMachines[MoisLivr],AP$1)</f>
        <v>0</v>
      </c>
      <c r="AQ237" s="220">
        <f>SUMIFS(LstMachines[Nbre],LstMachines[Model-Spec],PrévisionBoris[[#This Row],[Spec]],LstMachines[Status],PrévisionBoris[[#This Row],[Status]],LstMachines[MoisLivr],AQ$1)</f>
        <v>0</v>
      </c>
      <c r="AR237" s="219">
        <f>SUMIFS(LstMachines[Nbre],LstMachines[Model-Spec],PrévisionBoris[[#This Row],[Spec]],LstMachines[Status],PrévisionBoris[[#This Row],[Status]],LstMachines[MoisLivr],AR$1)</f>
        <v>0</v>
      </c>
      <c r="AS237" s="220">
        <f>SUMIFS(LstMachines[Nbre],LstMachines[Model-Spec],PrévisionBoris[[#This Row],[Spec]],LstMachines[Status],PrévisionBoris[[#This Row],[Status]],LstMachines[MoisLivr],AS$1)</f>
        <v>0</v>
      </c>
      <c r="AT237" s="220">
        <f>SUMIFS(LstMachines[Nbre],LstMachines[Model-Spec],PrévisionBoris[[#This Row],[Spec]],LstMachines[Status],PrévisionBoris[[#This Row],[Status]],LstMachines[MoisLivr],AT$1)</f>
        <v>0</v>
      </c>
      <c r="AU237" s="219">
        <f>SUMIFS(LstMachines[Nbre],LstMachines[Model-Spec],PrévisionBoris[[#This Row],[Spec]],LstMachines[Status],PrévisionBoris[[#This Row],[Status]],LstMachines[MoisLivr],AU$1)</f>
        <v>0</v>
      </c>
      <c r="AV237" s="223">
        <f>SUMIFS(LstMachines[Nbre],LstMachines[Model-Spec],PrévisionBoris[[#This Row],[Spec]],LstMachines[Status],PrévisionBoris[[#This Row],[Status]],LstMachines[MoisLivr],AV$1)</f>
        <v>0</v>
      </c>
      <c r="AW237" s="224">
        <f>SUMIFS(LstMachines[Nbre],LstMachines[Model-Spec],PrévisionBoris[[#This Row],[Spec]],LstMachines[Status],PrévisionBoris[[#This Row],[Status]],LstMachines[MoisLivr],AW$1)</f>
        <v>0</v>
      </c>
      <c r="AX237" s="210"/>
      <c r="AY237" s="211">
        <f t="shared" si="51"/>
        <v>0</v>
      </c>
      <c r="AZ237" s="212">
        <f t="shared" si="52"/>
        <v>0</v>
      </c>
      <c r="BA237" s="212">
        <f t="shared" si="53"/>
        <v>0</v>
      </c>
      <c r="BB237" s="213">
        <f t="shared" si="54"/>
        <v>0</v>
      </c>
      <c r="BC237" s="225">
        <f t="shared" si="55"/>
        <v>0</v>
      </c>
      <c r="BD237" s="211">
        <f t="shared" si="56"/>
        <v>0</v>
      </c>
      <c r="BE237" s="212">
        <f t="shared" si="57"/>
        <v>0</v>
      </c>
      <c r="BF237" s="212">
        <f t="shared" si="58"/>
        <v>0</v>
      </c>
      <c r="BG237" s="213">
        <f t="shared" si="59"/>
        <v>0</v>
      </c>
      <c r="BH237" s="225">
        <f t="shared" si="60"/>
        <v>0</v>
      </c>
      <c r="BI237" s="214">
        <f t="shared" si="61"/>
        <v>0</v>
      </c>
      <c r="BJ237" s="215">
        <f t="shared" si="62"/>
        <v>0</v>
      </c>
      <c r="BK237" s="215">
        <f t="shared" si="63"/>
        <v>0</v>
      </c>
      <c r="BL237" s="216">
        <f t="shared" si="64"/>
        <v>0</v>
      </c>
      <c r="BM237" s="225">
        <f t="shared" si="65"/>
        <v>0</v>
      </c>
      <c r="BN237" s="225"/>
      <c r="BO237" s="217"/>
      <c r="BP237" s="218">
        <f t="shared" si="66"/>
        <v>0</v>
      </c>
    </row>
    <row r="238" spans="1:68">
      <c r="A238" s="171">
        <v>231</v>
      </c>
      <c r="B238" s="171" t="s">
        <v>85</v>
      </c>
      <c r="C238" s="201">
        <v>130</v>
      </c>
      <c r="D238" s="171" t="s">
        <v>189</v>
      </c>
      <c r="E238" s="171" t="s">
        <v>193</v>
      </c>
      <c r="F238" s="201">
        <f>VLOOKUP(PrévisionBoris[[#This Row],[Spec]],TabModelSpecs[[ModelSpec]:[Price]],2,FALSE)</f>
        <v>95</v>
      </c>
      <c r="G238" s="171" t="s">
        <v>463</v>
      </c>
      <c r="H238" s="226">
        <f>SUMIFS(LstMachines[Nbre],LstMachines[Model-Spec],PrévisionBoris[[#This Row],[Spec]],LstMachines[Status],PrévisionBoris[[#This Row],[Status]],LstMachines[MoisLivr],H$1)</f>
        <v>0</v>
      </c>
      <c r="I238" s="227">
        <f>SUMIFS(LstMachines[Nbre],LstMachines[Model-Spec],PrévisionBoris[[#This Row],[Spec]],LstMachines[Status],PrévisionBoris[[#This Row],[Status]],LstMachines[MoisLivr],I$1)</f>
        <v>0</v>
      </c>
      <c r="J238" s="228">
        <f>SUMIFS(LstMachines[Nbre],LstMachines[Model-Spec],PrévisionBoris[[#This Row],[Spec]],LstMachines[Status],PrévisionBoris[[#This Row],[Status]],LstMachines[MoisLivr],J$1)</f>
        <v>0</v>
      </c>
      <c r="K238" s="226">
        <f>SUMIFS(LstMachines[Nbre],LstMachines[Model-Spec],PrévisionBoris[[#This Row],[Spec]],LstMachines[Status],PrévisionBoris[[#This Row],[Status]],LstMachines[MoisLivr],K$1)</f>
        <v>0</v>
      </c>
      <c r="L238" s="227">
        <f>SUMIFS(LstMachines[Nbre],LstMachines[Model-Spec],PrévisionBoris[[#This Row],[Spec]],LstMachines[Status],PrévisionBoris[[#This Row],[Status]],LstMachines[MoisLivr],L$1)</f>
        <v>0</v>
      </c>
      <c r="M238" s="228">
        <f>SUMIFS(LstMachines[Nbre],LstMachines[Model-Spec],PrévisionBoris[[#This Row],[Spec]],LstMachines[Status],PrévisionBoris[[#This Row],[Status]],LstMachines[MoisLivr],M$1)</f>
        <v>0</v>
      </c>
      <c r="N238" s="226">
        <f>SUMIFS(LstMachines[Nbre],LstMachines[Model-Spec],PrévisionBoris[[#This Row],[Spec]],LstMachines[Status],PrévisionBoris[[#This Row],[Status]],LstMachines[MoisLivr],N$1)</f>
        <v>0</v>
      </c>
      <c r="O238" s="227">
        <f>SUMIFS(LstMachines[Nbre],LstMachines[Model-Spec],PrévisionBoris[[#This Row],[Spec]],LstMachines[Status],PrévisionBoris[[#This Row],[Status]],LstMachines[MoisLivr],O$1)</f>
        <v>0</v>
      </c>
      <c r="P238" s="228">
        <f>SUMIFS(LstMachines[Nbre],LstMachines[Model-Spec],PrévisionBoris[[#This Row],[Spec]],LstMachines[Status],PrévisionBoris[[#This Row],[Status]],LstMachines[MoisLivr],P$1)</f>
        <v>0</v>
      </c>
      <c r="Q238" s="229">
        <f>SUMIFS(LstMachines[Nbre],LstMachines[Model-Spec],PrévisionBoris[[#This Row],[Spec]],LstMachines[Status],PrévisionBoris[[#This Row],[Status]],LstMachines[MoisLivr],Q$1)</f>
        <v>0</v>
      </c>
      <c r="R238" s="227">
        <f>SUMIFS(LstMachines[Nbre],LstMachines[Model-Spec],PrévisionBoris[[#This Row],[Spec]],LstMachines[Status],PrévisionBoris[[#This Row],[Status]],LstMachines[MoisLivr],R$1)</f>
        <v>0</v>
      </c>
      <c r="S238" s="227">
        <f>SUMIFS(LstMachines[Nbre],LstMachines[Model-Spec],PrévisionBoris[[#This Row],[Spec]],LstMachines[Status],PrévisionBoris[[#This Row],[Status]],LstMachines[MoisLivr],S$1)</f>
        <v>0</v>
      </c>
      <c r="T238" s="226">
        <f>SUMIFS(LstMachines[Nbre],LstMachines[Model-Spec],PrévisionBoris[[#This Row],[Spec]],LstMachines[Status],PrévisionBoris[[#This Row],[Status]],LstMachines[MoisLivr],T$1)</f>
        <v>0</v>
      </c>
      <c r="U238" s="227">
        <f>SUMIFS(LstMachines[Nbre],LstMachines[Model-Spec],PrévisionBoris[[#This Row],[Spec]],LstMachines[Status],PrévisionBoris[[#This Row],[Status]],LstMachines[MoisLivr],U$1)</f>
        <v>0</v>
      </c>
      <c r="V238" s="227">
        <f>SUMIFS(LstMachines[Nbre],LstMachines[Model-Spec],PrévisionBoris[[#This Row],[Spec]],LstMachines[Status],PrévisionBoris[[#This Row],[Status]],LstMachines[MoisLivr],V$1)</f>
        <v>0</v>
      </c>
      <c r="W238" s="226">
        <f>SUMIFS(LstMachines[Nbre],LstMachines[Model-Spec],PrévisionBoris[[#This Row],[Spec]],LstMachines[Status],PrévisionBoris[[#This Row],[Status]],LstMachines[MoisLivr],W$1)</f>
        <v>0</v>
      </c>
      <c r="X238" s="227">
        <f>SUMIFS(LstMachines[Nbre],LstMachines[Model-Spec],PrévisionBoris[[#This Row],[Spec]],LstMachines[Status],PrévisionBoris[[#This Row],[Status]],LstMachines[MoisLivr],X$1)</f>
        <v>0</v>
      </c>
      <c r="Y238" s="227">
        <f>SUMIFS(LstMachines[Nbre],LstMachines[Model-Spec],PrévisionBoris[[#This Row],[Spec]],LstMachines[Status],PrévisionBoris[[#This Row],[Status]],LstMachines[MoisLivr],Y$1)</f>
        <v>0</v>
      </c>
      <c r="Z238" s="226">
        <f>SUMIFS(LstMachines[Nbre],LstMachines[Model-Spec],PrévisionBoris[[#This Row],[Spec]],LstMachines[Status],PrévisionBoris[[#This Row],[Status]],LstMachines[MoisLivr],Z$1)</f>
        <v>0</v>
      </c>
      <c r="AA238" s="227">
        <f>SUMIFS(LstMachines[Nbre],LstMachines[Model-Spec],PrévisionBoris[[#This Row],[Spec]],LstMachines[Status],PrévisionBoris[[#This Row],[Status]],LstMachines[MoisLivr],AA$1)</f>
        <v>0</v>
      </c>
      <c r="AB238" s="227">
        <f>SUMIFS(LstMachines[Nbre],LstMachines[Model-Spec],PrévisionBoris[[#This Row],[Spec]],LstMachines[Status],PrévisionBoris[[#This Row],[Status]],LstMachines[MoisLivr],AB$1)</f>
        <v>0</v>
      </c>
      <c r="AC238" s="226">
        <f>SUMIFS(LstMachines[Nbre],LstMachines[Model-Spec],PrévisionBoris[[#This Row],[Spec]],LstMachines[Status],PrévisionBoris[[#This Row],[Status]],LstMachines[MoisLivr],AC$1)</f>
        <v>0</v>
      </c>
      <c r="AD238" s="227">
        <f>SUMIFS(LstMachines[Nbre],LstMachines[Model-Spec],PrévisionBoris[[#This Row],[Spec]],LstMachines[Status],PrévisionBoris[[#This Row],[Status]],LstMachines[MoisLivr],AD$1)</f>
        <v>0</v>
      </c>
      <c r="AE238" s="227">
        <f>SUMIFS(LstMachines[Nbre],LstMachines[Model-Spec],PrévisionBoris[[#This Row],[Spec]],LstMachines[Status],PrévisionBoris[[#This Row],[Status]],LstMachines[MoisLivr],AE$1)</f>
        <v>0</v>
      </c>
      <c r="AF238" s="226">
        <f>SUMIFS(LstMachines[Nbre],LstMachines[Model-Spec],PrévisionBoris[[#This Row],[Spec]],LstMachines[Status],PrévisionBoris[[#This Row],[Status]],LstMachines[MoisLivr],AF$1)</f>
        <v>0</v>
      </c>
      <c r="AG238" s="227">
        <f>SUMIFS(LstMachines[Nbre],LstMachines[Model-Spec],PrévisionBoris[[#This Row],[Spec]],LstMachines[Status],PrévisionBoris[[#This Row],[Status]],LstMachines[MoisLivr],AG$1)</f>
        <v>0</v>
      </c>
      <c r="AH238" s="227">
        <f>SUMIFS(LstMachines[Nbre],LstMachines[Model-Spec],PrévisionBoris[[#This Row],[Spec]],LstMachines[Status],PrévisionBoris[[#This Row],[Status]],LstMachines[MoisLivr],AH$1)</f>
        <v>0</v>
      </c>
      <c r="AI238" s="226">
        <f>SUMIFS(LstMachines[Nbre],LstMachines[Model-Spec],PrévisionBoris[[#This Row],[Spec]],LstMachines[Status],PrévisionBoris[[#This Row],[Status]],LstMachines[MoisLivr],AI$1)</f>
        <v>0</v>
      </c>
      <c r="AJ238" s="227">
        <f>SUMIFS(LstMachines[Nbre],LstMachines[Model-Spec],PrévisionBoris[[#This Row],[Spec]],LstMachines[Status],PrévisionBoris[[#This Row],[Status]],LstMachines[MoisLivr],AJ$1)</f>
        <v>0</v>
      </c>
      <c r="AK238" s="227">
        <f>SUMIFS(LstMachines[Nbre],LstMachines[Model-Spec],PrévisionBoris[[#This Row],[Spec]],LstMachines[Status],PrévisionBoris[[#This Row],[Status]],LstMachines[MoisLivr],AK$1)</f>
        <v>0</v>
      </c>
      <c r="AL238" s="226">
        <f>SUMIFS(LstMachines[Nbre],LstMachines[Model-Spec],PrévisionBoris[[#This Row],[Spec]],LstMachines[Status],PrévisionBoris[[#This Row],[Status]],LstMachines[MoisLivr],AL$1)</f>
        <v>0</v>
      </c>
      <c r="AM238" s="227">
        <f>SUMIFS(LstMachines[Nbre],LstMachines[Model-Spec],PrévisionBoris[[#This Row],[Spec]],LstMachines[Status],PrévisionBoris[[#This Row],[Status]],LstMachines[MoisLivr],AM$1)</f>
        <v>0</v>
      </c>
      <c r="AN238" s="227">
        <f>SUMIFS(LstMachines[Nbre],LstMachines[Model-Spec],PrévisionBoris[[#This Row],[Spec]],LstMachines[Status],PrévisionBoris[[#This Row],[Status]],LstMachines[MoisLivr],AN$1)</f>
        <v>0</v>
      </c>
      <c r="AO238" s="226">
        <f>SUMIFS(LstMachines[Nbre],LstMachines[Model-Spec],PrévisionBoris[[#This Row],[Spec]],LstMachines[Status],PrévisionBoris[[#This Row],[Status]],LstMachines[MoisLivr],AO$1)</f>
        <v>0</v>
      </c>
      <c r="AP238" s="227">
        <f>SUMIFS(LstMachines[Nbre],LstMachines[Model-Spec],PrévisionBoris[[#This Row],[Spec]],LstMachines[Status],PrévisionBoris[[#This Row],[Status]],LstMachines[MoisLivr],AP$1)</f>
        <v>0</v>
      </c>
      <c r="AQ238" s="227">
        <f>SUMIFS(LstMachines[Nbre],LstMachines[Model-Spec],PrévisionBoris[[#This Row],[Spec]],LstMachines[Status],PrévisionBoris[[#This Row],[Status]],LstMachines[MoisLivr],AQ$1)</f>
        <v>0</v>
      </c>
      <c r="AR238" s="226">
        <f>SUMIFS(LstMachines[Nbre],LstMachines[Model-Spec],PrévisionBoris[[#This Row],[Spec]],LstMachines[Status],PrévisionBoris[[#This Row],[Status]],LstMachines[MoisLivr],AR$1)</f>
        <v>0</v>
      </c>
      <c r="AS238" s="227">
        <f>SUMIFS(LstMachines[Nbre],LstMachines[Model-Spec],PrévisionBoris[[#This Row],[Spec]],LstMachines[Status],PrévisionBoris[[#This Row],[Status]],LstMachines[MoisLivr],AS$1)</f>
        <v>0</v>
      </c>
      <c r="AT238" s="227">
        <f>SUMIFS(LstMachines[Nbre],LstMachines[Model-Spec],PrévisionBoris[[#This Row],[Spec]],LstMachines[Status],PrévisionBoris[[#This Row],[Status]],LstMachines[MoisLivr],AT$1)</f>
        <v>0</v>
      </c>
      <c r="AU238" s="226">
        <f>SUMIFS(LstMachines[Nbre],LstMachines[Model-Spec],PrévisionBoris[[#This Row],[Spec]],LstMachines[Status],PrévisionBoris[[#This Row],[Status]],LstMachines[MoisLivr],AU$1)</f>
        <v>0</v>
      </c>
      <c r="AV238" s="230">
        <f>SUMIFS(LstMachines[Nbre],LstMachines[Model-Spec],PrévisionBoris[[#This Row],[Spec]],LstMachines[Status],PrévisionBoris[[#This Row],[Status]],LstMachines[MoisLivr],AV$1)</f>
        <v>0</v>
      </c>
      <c r="AW238" s="231">
        <f>SUMIFS(LstMachines[Nbre],LstMachines[Model-Spec],PrévisionBoris[[#This Row],[Spec]],LstMachines[Status],PrévisionBoris[[#This Row],[Status]],LstMachines[MoisLivr],AW$1)</f>
        <v>0</v>
      </c>
      <c r="AX238" s="232"/>
      <c r="AY238" s="211">
        <f t="shared" si="51"/>
        <v>0</v>
      </c>
      <c r="AZ238" s="212">
        <f t="shared" si="52"/>
        <v>0</v>
      </c>
      <c r="BA238" s="212">
        <f t="shared" si="53"/>
        <v>0</v>
      </c>
      <c r="BB238" s="213">
        <f t="shared" si="54"/>
        <v>0</v>
      </c>
      <c r="BC238" s="225">
        <f t="shared" si="55"/>
        <v>0</v>
      </c>
      <c r="BD238" s="211">
        <f t="shared" si="56"/>
        <v>0</v>
      </c>
      <c r="BE238" s="212">
        <f t="shared" si="57"/>
        <v>0</v>
      </c>
      <c r="BF238" s="212">
        <f t="shared" si="58"/>
        <v>0</v>
      </c>
      <c r="BG238" s="213">
        <f t="shared" si="59"/>
        <v>0</v>
      </c>
      <c r="BH238" s="225">
        <f t="shared" si="60"/>
        <v>0</v>
      </c>
      <c r="BI238" s="214">
        <f t="shared" si="61"/>
        <v>0</v>
      </c>
      <c r="BJ238" s="215">
        <f t="shared" si="62"/>
        <v>0</v>
      </c>
      <c r="BK238" s="215">
        <f t="shared" si="63"/>
        <v>0</v>
      </c>
      <c r="BL238" s="216">
        <f t="shared" si="64"/>
        <v>0</v>
      </c>
      <c r="BM238" s="225">
        <f t="shared" si="65"/>
        <v>0</v>
      </c>
      <c r="BN238" s="225"/>
      <c r="BO238" s="217"/>
      <c r="BP238" s="218">
        <f t="shared" si="66"/>
        <v>0</v>
      </c>
    </row>
    <row r="239" spans="1:68">
      <c r="A239" s="172">
        <v>232</v>
      </c>
      <c r="B239" s="172" t="s">
        <v>85</v>
      </c>
      <c r="C239" s="202">
        <v>135</v>
      </c>
      <c r="D239" s="172" t="s">
        <v>86</v>
      </c>
      <c r="E239" s="172" t="s">
        <v>194</v>
      </c>
      <c r="F239" s="202">
        <f>VLOOKUP(PrévisionBoris[[#This Row],[Spec]],TabModelSpecs[[ModelSpec]:[Price]],2,FALSE)</f>
        <v>110</v>
      </c>
      <c r="G239" s="172" t="s">
        <v>461</v>
      </c>
      <c r="H239" s="206">
        <f>SUMIFS(LstMachines[Nbre],LstMachines[Model-Spec],PrévisionBoris[[#This Row],[Spec]],LstMachines[Status],PrévisionBoris[[#This Row],[Status]],LstMachines[MoisLivr],H$1)</f>
        <v>0</v>
      </c>
      <c r="I239" s="207">
        <f>SUMIFS(LstMachines[Nbre],LstMachines[Model-Spec],PrévisionBoris[[#This Row],[Spec]],LstMachines[Status],PrévisionBoris[[#This Row],[Status]],LstMachines[MoisLivr],I$1)</f>
        <v>0</v>
      </c>
      <c r="J239" s="208">
        <f>SUMIFS(LstMachines[Nbre],LstMachines[Model-Spec],PrévisionBoris[[#This Row],[Spec]],LstMachines[Status],PrévisionBoris[[#This Row],[Status]],LstMachines[MoisLivr],J$1)</f>
        <v>0</v>
      </c>
      <c r="K239" s="206">
        <f>SUMIFS(LstMachines[Nbre],LstMachines[Model-Spec],PrévisionBoris[[#This Row],[Spec]],LstMachines[Status],PrévisionBoris[[#This Row],[Status]],LstMachines[MoisLivr],K$1)</f>
        <v>0</v>
      </c>
      <c r="L239" s="207">
        <f>SUMIFS(LstMachines[Nbre],LstMachines[Model-Spec],PrévisionBoris[[#This Row],[Spec]],LstMachines[Status],PrévisionBoris[[#This Row],[Status]],LstMachines[MoisLivr],L$1)</f>
        <v>0</v>
      </c>
      <c r="M239" s="208">
        <f>SUMIFS(LstMachines[Nbre],LstMachines[Model-Spec],PrévisionBoris[[#This Row],[Spec]],LstMachines[Status],PrévisionBoris[[#This Row],[Status]],LstMachines[MoisLivr],M$1)</f>
        <v>0</v>
      </c>
      <c r="N239" s="206">
        <f>SUMIFS(LstMachines[Nbre],LstMachines[Model-Spec],PrévisionBoris[[#This Row],[Spec]],LstMachines[Status],PrévisionBoris[[#This Row],[Status]],LstMachines[MoisLivr],N$1)</f>
        <v>0</v>
      </c>
      <c r="O239" s="207">
        <f>SUMIFS(LstMachines[Nbre],LstMachines[Model-Spec],PrévisionBoris[[#This Row],[Spec]],LstMachines[Status],PrévisionBoris[[#This Row],[Status]],LstMachines[MoisLivr],O$1)</f>
        <v>0</v>
      </c>
      <c r="P239" s="208">
        <f>SUMIFS(LstMachines[Nbre],LstMachines[Model-Spec],PrévisionBoris[[#This Row],[Spec]],LstMachines[Status],PrévisionBoris[[#This Row],[Status]],LstMachines[MoisLivr],P$1)</f>
        <v>2</v>
      </c>
      <c r="Q239" s="209">
        <f>SUMIFS(LstMachines[Nbre],LstMachines[Model-Spec],PrévisionBoris[[#This Row],[Spec]],LstMachines[Status],PrévisionBoris[[#This Row],[Status]],LstMachines[MoisLivr],Q$1)</f>
        <v>0</v>
      </c>
      <c r="R239" s="207">
        <f>SUMIFS(LstMachines[Nbre],LstMachines[Model-Spec],PrévisionBoris[[#This Row],[Spec]],LstMachines[Status],PrévisionBoris[[#This Row],[Status]],LstMachines[MoisLivr],R$1)</f>
        <v>0</v>
      </c>
      <c r="S239" s="207">
        <f>SUMIFS(LstMachines[Nbre],LstMachines[Model-Spec],PrévisionBoris[[#This Row],[Spec]],LstMachines[Status],PrévisionBoris[[#This Row],[Status]],LstMachines[MoisLivr],S$1)</f>
        <v>0</v>
      </c>
      <c r="T239" s="206">
        <f>SUMIFS(LstMachines[Nbre],LstMachines[Model-Spec],PrévisionBoris[[#This Row],[Spec]],LstMachines[Status],PrévisionBoris[[#This Row],[Status]],LstMachines[MoisLivr],T$1)</f>
        <v>1</v>
      </c>
      <c r="U239" s="207">
        <f>SUMIFS(LstMachines[Nbre],LstMachines[Model-Spec],PrévisionBoris[[#This Row],[Spec]],LstMachines[Status],PrévisionBoris[[#This Row],[Status]],LstMachines[MoisLivr],U$1)</f>
        <v>0</v>
      </c>
      <c r="V239" s="207">
        <f>SUMIFS(LstMachines[Nbre],LstMachines[Model-Spec],PrévisionBoris[[#This Row],[Spec]],LstMachines[Status],PrévisionBoris[[#This Row],[Status]],LstMachines[MoisLivr],V$1)</f>
        <v>0</v>
      </c>
      <c r="W239" s="206">
        <f>SUMIFS(LstMachines[Nbre],LstMachines[Model-Spec],PrévisionBoris[[#This Row],[Spec]],LstMachines[Status],PrévisionBoris[[#This Row],[Status]],LstMachines[MoisLivr],W$1)</f>
        <v>0</v>
      </c>
      <c r="X239" s="207">
        <f>SUMIFS(LstMachines[Nbre],LstMachines[Model-Spec],PrévisionBoris[[#This Row],[Spec]],LstMachines[Status],PrévisionBoris[[#This Row],[Status]],LstMachines[MoisLivr],X$1)</f>
        <v>0</v>
      </c>
      <c r="Y239" s="207">
        <f>SUMIFS(LstMachines[Nbre],LstMachines[Model-Spec],PrévisionBoris[[#This Row],[Spec]],LstMachines[Status],PrévisionBoris[[#This Row],[Status]],LstMachines[MoisLivr],Y$1)</f>
        <v>1</v>
      </c>
      <c r="Z239" s="206">
        <f>SUMIFS(LstMachines[Nbre],LstMachines[Model-Spec],PrévisionBoris[[#This Row],[Spec]],LstMachines[Status],PrévisionBoris[[#This Row],[Status]],LstMachines[MoisLivr],Z$1)</f>
        <v>0</v>
      </c>
      <c r="AA239" s="207">
        <f>SUMIFS(LstMachines[Nbre],LstMachines[Model-Spec],PrévisionBoris[[#This Row],[Spec]],LstMachines[Status],PrévisionBoris[[#This Row],[Status]],LstMachines[MoisLivr],AA$1)</f>
        <v>0</v>
      </c>
      <c r="AB239" s="207">
        <f>SUMIFS(LstMachines[Nbre],LstMachines[Model-Spec],PrévisionBoris[[#This Row],[Spec]],LstMachines[Status],PrévisionBoris[[#This Row],[Status]],LstMachines[MoisLivr],AB$1)</f>
        <v>7</v>
      </c>
      <c r="AC239" s="206">
        <f>SUMIFS(LstMachines[Nbre],LstMachines[Model-Spec],PrévisionBoris[[#This Row],[Spec]],LstMachines[Status],PrévisionBoris[[#This Row],[Status]],LstMachines[MoisLivr],AC$1)</f>
        <v>0</v>
      </c>
      <c r="AD239" s="207">
        <f>SUMIFS(LstMachines[Nbre],LstMachines[Model-Spec],PrévisionBoris[[#This Row],[Spec]],LstMachines[Status],PrévisionBoris[[#This Row],[Status]],LstMachines[MoisLivr],AD$1)</f>
        <v>0</v>
      </c>
      <c r="AE239" s="207">
        <f>SUMIFS(LstMachines[Nbre],LstMachines[Model-Spec],PrévisionBoris[[#This Row],[Spec]],LstMachines[Status],PrévisionBoris[[#This Row],[Status]],LstMachines[MoisLivr],AE$1)</f>
        <v>0</v>
      </c>
      <c r="AF239" s="206">
        <f>SUMIFS(LstMachines[Nbre],LstMachines[Model-Spec],PrévisionBoris[[#This Row],[Spec]],LstMachines[Status],PrévisionBoris[[#This Row],[Status]],LstMachines[MoisLivr],AF$1)</f>
        <v>1</v>
      </c>
      <c r="AG239" s="207">
        <f>SUMIFS(LstMachines[Nbre],LstMachines[Model-Spec],PrévisionBoris[[#This Row],[Spec]],LstMachines[Status],PrévisionBoris[[#This Row],[Status]],LstMachines[MoisLivr],AG$1)</f>
        <v>0</v>
      </c>
      <c r="AH239" s="207">
        <f>SUMIFS(LstMachines[Nbre],LstMachines[Model-Spec],PrévisionBoris[[#This Row],[Spec]],LstMachines[Status],PrévisionBoris[[#This Row],[Status]],LstMachines[MoisLivr],AH$1)</f>
        <v>0</v>
      </c>
      <c r="AI239" s="206">
        <f>SUMIFS(LstMachines[Nbre],LstMachines[Model-Spec],PrévisionBoris[[#This Row],[Spec]],LstMachines[Status],PrévisionBoris[[#This Row],[Status]],LstMachines[MoisLivr],AI$1)</f>
        <v>0</v>
      </c>
      <c r="AJ239" s="207">
        <f>SUMIFS(LstMachines[Nbre],LstMachines[Model-Spec],PrévisionBoris[[#This Row],[Spec]],LstMachines[Status],PrévisionBoris[[#This Row],[Status]],LstMachines[MoisLivr],AJ$1)</f>
        <v>0</v>
      </c>
      <c r="AK239" s="207">
        <f>SUMIFS(LstMachines[Nbre],LstMachines[Model-Spec],PrévisionBoris[[#This Row],[Spec]],LstMachines[Status],PrévisionBoris[[#This Row],[Status]],LstMachines[MoisLivr],AK$1)</f>
        <v>0</v>
      </c>
      <c r="AL239" s="206">
        <f>SUMIFS(LstMachines[Nbre],LstMachines[Model-Spec],PrévisionBoris[[#This Row],[Spec]],LstMachines[Status],PrévisionBoris[[#This Row],[Status]],LstMachines[MoisLivr],AL$1)</f>
        <v>0</v>
      </c>
      <c r="AM239" s="207">
        <f>SUMIFS(LstMachines[Nbre],LstMachines[Model-Spec],PrévisionBoris[[#This Row],[Spec]],LstMachines[Status],PrévisionBoris[[#This Row],[Status]],LstMachines[MoisLivr],AM$1)</f>
        <v>0</v>
      </c>
      <c r="AN239" s="207">
        <f>SUMIFS(LstMachines[Nbre],LstMachines[Model-Spec],PrévisionBoris[[#This Row],[Spec]],LstMachines[Status],PrévisionBoris[[#This Row],[Status]],LstMachines[MoisLivr],AN$1)</f>
        <v>5</v>
      </c>
      <c r="AO239" s="206">
        <f>SUMIFS(LstMachines[Nbre],LstMachines[Model-Spec],PrévisionBoris[[#This Row],[Spec]],LstMachines[Status],PrévisionBoris[[#This Row],[Status]],LstMachines[MoisLivr],AO$1)</f>
        <v>0</v>
      </c>
      <c r="AP239" s="207">
        <f>SUMIFS(LstMachines[Nbre],LstMachines[Model-Spec],PrévisionBoris[[#This Row],[Spec]],LstMachines[Status],PrévisionBoris[[#This Row],[Status]],LstMachines[MoisLivr],AP$1)</f>
        <v>0</v>
      </c>
      <c r="AQ239" s="207">
        <f>SUMIFS(LstMachines[Nbre],LstMachines[Model-Spec],PrévisionBoris[[#This Row],[Spec]],LstMachines[Status],PrévisionBoris[[#This Row],[Status]],LstMachines[MoisLivr],AQ$1)</f>
        <v>0</v>
      </c>
      <c r="AR239" s="206">
        <f>SUMIFS(LstMachines[Nbre],LstMachines[Model-Spec],PrévisionBoris[[#This Row],[Spec]],LstMachines[Status],PrévisionBoris[[#This Row],[Status]],LstMachines[MoisLivr],AR$1)</f>
        <v>1</v>
      </c>
      <c r="AS239" s="207">
        <f>SUMIFS(LstMachines[Nbre],LstMachines[Model-Spec],PrévisionBoris[[#This Row],[Spec]],LstMachines[Status],PrévisionBoris[[#This Row],[Status]],LstMachines[MoisLivr],AS$1)</f>
        <v>0</v>
      </c>
      <c r="AT239" s="207">
        <f>SUMIFS(LstMachines[Nbre],LstMachines[Model-Spec],PrévisionBoris[[#This Row],[Spec]],LstMachines[Status],PrévisionBoris[[#This Row],[Status]],LstMachines[MoisLivr],AT$1)</f>
        <v>0</v>
      </c>
      <c r="AU239" s="206">
        <f>SUMIFS(LstMachines[Nbre],LstMachines[Model-Spec],PrévisionBoris[[#This Row],[Spec]],LstMachines[Status],PrévisionBoris[[#This Row],[Status]],LstMachines[MoisLivr],AU$1)</f>
        <v>0</v>
      </c>
      <c r="AV239" s="233">
        <f>SUMIFS(LstMachines[Nbre],LstMachines[Model-Spec],PrévisionBoris[[#This Row],[Spec]],LstMachines[Status],PrévisionBoris[[#This Row],[Status]],LstMachines[MoisLivr],AV$1)</f>
        <v>0</v>
      </c>
      <c r="AW239" s="208">
        <f>SUMIFS(LstMachines[Nbre],LstMachines[Model-Spec],PrévisionBoris[[#This Row],[Spec]],LstMachines[Status],PrévisionBoris[[#This Row],[Status]],LstMachines[MoisLivr],AW$1)</f>
        <v>0</v>
      </c>
      <c r="AX239" s="225"/>
      <c r="AY239" s="211">
        <f t="shared" si="51"/>
        <v>0</v>
      </c>
      <c r="AZ239" s="212">
        <f t="shared" si="52"/>
        <v>2</v>
      </c>
      <c r="BA239" s="212">
        <f t="shared" si="53"/>
        <v>0</v>
      </c>
      <c r="BB239" s="213">
        <f t="shared" si="54"/>
        <v>1</v>
      </c>
      <c r="BC239" s="225">
        <f t="shared" si="55"/>
        <v>3</v>
      </c>
      <c r="BD239" s="211">
        <f t="shared" si="56"/>
        <v>1</v>
      </c>
      <c r="BE239" s="212">
        <f t="shared" si="57"/>
        <v>7</v>
      </c>
      <c r="BF239" s="212">
        <f t="shared" si="58"/>
        <v>0</v>
      </c>
      <c r="BG239" s="213">
        <f t="shared" si="59"/>
        <v>1</v>
      </c>
      <c r="BH239" s="225">
        <f t="shared" si="60"/>
        <v>9</v>
      </c>
      <c r="BI239" s="214">
        <f t="shared" si="61"/>
        <v>0</v>
      </c>
      <c r="BJ239" s="215">
        <f t="shared" si="62"/>
        <v>5</v>
      </c>
      <c r="BK239" s="215">
        <f t="shared" si="63"/>
        <v>0</v>
      </c>
      <c r="BL239" s="216">
        <f t="shared" si="64"/>
        <v>1</v>
      </c>
      <c r="BM239" s="225">
        <f t="shared" si="65"/>
        <v>6</v>
      </c>
      <c r="BN239" s="225"/>
      <c r="BO239" s="234"/>
      <c r="BP239" s="218">
        <f t="shared" si="66"/>
        <v>18</v>
      </c>
    </row>
    <row r="240" spans="1:68">
      <c r="A240" s="170">
        <v>233</v>
      </c>
      <c r="B240" s="170" t="s">
        <v>85</v>
      </c>
      <c r="C240" s="200">
        <v>135</v>
      </c>
      <c r="D240" s="170" t="s">
        <v>86</v>
      </c>
      <c r="E240" s="170" t="s">
        <v>194</v>
      </c>
      <c r="F240" s="200">
        <f>VLOOKUP(PrévisionBoris[[#This Row],[Spec]],TabModelSpecs[[ModelSpec]:[Price]],2,FALSE)</f>
        <v>110</v>
      </c>
      <c r="G240" s="170" t="s">
        <v>462</v>
      </c>
      <c r="H240" s="219">
        <f>SUMIFS(LstMachines[Nbre],LstMachines[Model-Spec],PrévisionBoris[[#This Row],[Spec]],LstMachines[Status],PrévisionBoris[[#This Row],[Status]],LstMachines[MoisLivr],H$1)</f>
        <v>0</v>
      </c>
      <c r="I240" s="220">
        <f>SUMIFS(LstMachines[Nbre],LstMachines[Model-Spec],PrévisionBoris[[#This Row],[Spec]],LstMachines[Status],PrévisionBoris[[#This Row],[Status]],LstMachines[MoisLivr],I$1)</f>
        <v>0</v>
      </c>
      <c r="J240" s="221">
        <f>SUMIFS(LstMachines[Nbre],LstMachines[Model-Spec],PrévisionBoris[[#This Row],[Spec]],LstMachines[Status],PrévisionBoris[[#This Row],[Status]],LstMachines[MoisLivr],J$1)</f>
        <v>0</v>
      </c>
      <c r="K240" s="219">
        <f>SUMIFS(LstMachines[Nbre],LstMachines[Model-Spec],PrévisionBoris[[#This Row],[Spec]],LstMachines[Status],PrévisionBoris[[#This Row],[Status]],LstMachines[MoisLivr],K$1)</f>
        <v>0</v>
      </c>
      <c r="L240" s="220">
        <f>SUMIFS(LstMachines[Nbre],LstMachines[Model-Spec],PrévisionBoris[[#This Row],[Spec]],LstMachines[Status],PrévisionBoris[[#This Row],[Status]],LstMachines[MoisLivr],L$1)</f>
        <v>0</v>
      </c>
      <c r="M240" s="221">
        <f>SUMIFS(LstMachines[Nbre],LstMachines[Model-Spec],PrévisionBoris[[#This Row],[Spec]],LstMachines[Status],PrévisionBoris[[#This Row],[Status]],LstMachines[MoisLivr],M$1)</f>
        <v>0</v>
      </c>
      <c r="N240" s="219">
        <f>SUMIFS(LstMachines[Nbre],LstMachines[Model-Spec],PrévisionBoris[[#This Row],[Spec]],LstMachines[Status],PrévisionBoris[[#This Row],[Status]],LstMachines[MoisLivr],N$1)</f>
        <v>0</v>
      </c>
      <c r="O240" s="220">
        <f>SUMIFS(LstMachines[Nbre],LstMachines[Model-Spec],PrévisionBoris[[#This Row],[Spec]],LstMachines[Status],PrévisionBoris[[#This Row],[Status]],LstMachines[MoisLivr],O$1)</f>
        <v>0</v>
      </c>
      <c r="P240" s="221">
        <f>SUMIFS(LstMachines[Nbre],LstMachines[Model-Spec],PrévisionBoris[[#This Row],[Spec]],LstMachines[Status],PrévisionBoris[[#This Row],[Status]],LstMachines[MoisLivr],P$1)</f>
        <v>0</v>
      </c>
      <c r="Q240" s="222">
        <f>SUMIFS(LstMachines[Nbre],LstMachines[Model-Spec],PrévisionBoris[[#This Row],[Spec]],LstMachines[Status],PrévisionBoris[[#This Row],[Status]],LstMachines[MoisLivr],Q$1)</f>
        <v>0</v>
      </c>
      <c r="R240" s="220">
        <f>SUMIFS(LstMachines[Nbre],LstMachines[Model-Spec],PrévisionBoris[[#This Row],[Spec]],LstMachines[Status],PrévisionBoris[[#This Row],[Status]],LstMachines[MoisLivr],R$1)</f>
        <v>0</v>
      </c>
      <c r="S240" s="220">
        <f>SUMIFS(LstMachines[Nbre],LstMachines[Model-Spec],PrévisionBoris[[#This Row],[Spec]],LstMachines[Status],PrévisionBoris[[#This Row],[Status]],LstMachines[MoisLivr],S$1)</f>
        <v>0</v>
      </c>
      <c r="T240" s="219">
        <f>SUMIFS(LstMachines[Nbre],LstMachines[Model-Spec],PrévisionBoris[[#This Row],[Spec]],LstMachines[Status],PrévisionBoris[[#This Row],[Status]],LstMachines[MoisLivr],T$1)</f>
        <v>0</v>
      </c>
      <c r="U240" s="220">
        <f>SUMIFS(LstMachines[Nbre],LstMachines[Model-Spec],PrévisionBoris[[#This Row],[Spec]],LstMachines[Status],PrévisionBoris[[#This Row],[Status]],LstMachines[MoisLivr],U$1)</f>
        <v>0</v>
      </c>
      <c r="V240" s="220">
        <f>SUMIFS(LstMachines[Nbre],LstMachines[Model-Spec],PrévisionBoris[[#This Row],[Spec]],LstMachines[Status],PrévisionBoris[[#This Row],[Status]],LstMachines[MoisLivr],V$1)</f>
        <v>0</v>
      </c>
      <c r="W240" s="219">
        <f>SUMIFS(LstMachines[Nbre],LstMachines[Model-Spec],PrévisionBoris[[#This Row],[Spec]],LstMachines[Status],PrévisionBoris[[#This Row],[Status]],LstMachines[MoisLivr],W$1)</f>
        <v>0</v>
      </c>
      <c r="X240" s="220">
        <f>SUMIFS(LstMachines[Nbre],LstMachines[Model-Spec],PrévisionBoris[[#This Row],[Spec]],LstMachines[Status],PrévisionBoris[[#This Row],[Status]],LstMachines[MoisLivr],X$1)</f>
        <v>0</v>
      </c>
      <c r="Y240" s="220">
        <f>SUMIFS(LstMachines[Nbre],LstMachines[Model-Spec],PrévisionBoris[[#This Row],[Spec]],LstMachines[Status],PrévisionBoris[[#This Row],[Status]],LstMachines[MoisLivr],Y$1)</f>
        <v>0</v>
      </c>
      <c r="Z240" s="219">
        <f>SUMIFS(LstMachines[Nbre],LstMachines[Model-Spec],PrévisionBoris[[#This Row],[Spec]],LstMachines[Status],PrévisionBoris[[#This Row],[Status]],LstMachines[MoisLivr],Z$1)</f>
        <v>0</v>
      </c>
      <c r="AA240" s="220">
        <f>SUMIFS(LstMachines[Nbre],LstMachines[Model-Spec],PrévisionBoris[[#This Row],[Spec]],LstMachines[Status],PrévisionBoris[[#This Row],[Status]],LstMachines[MoisLivr],AA$1)</f>
        <v>0</v>
      </c>
      <c r="AB240" s="220">
        <f>SUMIFS(LstMachines[Nbre],LstMachines[Model-Spec],PrévisionBoris[[#This Row],[Spec]],LstMachines[Status],PrévisionBoris[[#This Row],[Status]],LstMachines[MoisLivr],AB$1)</f>
        <v>0</v>
      </c>
      <c r="AC240" s="219">
        <f>SUMIFS(LstMachines[Nbre],LstMachines[Model-Spec],PrévisionBoris[[#This Row],[Spec]],LstMachines[Status],PrévisionBoris[[#This Row],[Status]],LstMachines[MoisLivr],AC$1)</f>
        <v>0</v>
      </c>
      <c r="AD240" s="220">
        <f>SUMIFS(LstMachines[Nbre],LstMachines[Model-Spec],PrévisionBoris[[#This Row],[Spec]],LstMachines[Status],PrévisionBoris[[#This Row],[Status]],LstMachines[MoisLivr],AD$1)</f>
        <v>0</v>
      </c>
      <c r="AE240" s="220">
        <f>SUMIFS(LstMachines[Nbre],LstMachines[Model-Spec],PrévisionBoris[[#This Row],[Spec]],LstMachines[Status],PrévisionBoris[[#This Row],[Status]],LstMachines[MoisLivr],AE$1)</f>
        <v>0</v>
      </c>
      <c r="AF240" s="219">
        <f>SUMIFS(LstMachines[Nbre],LstMachines[Model-Spec],PrévisionBoris[[#This Row],[Spec]],LstMachines[Status],PrévisionBoris[[#This Row],[Status]],LstMachines[MoisLivr],AF$1)</f>
        <v>0</v>
      </c>
      <c r="AG240" s="220">
        <f>SUMIFS(LstMachines[Nbre],LstMachines[Model-Spec],PrévisionBoris[[#This Row],[Spec]],LstMachines[Status],PrévisionBoris[[#This Row],[Status]],LstMachines[MoisLivr],AG$1)</f>
        <v>0</v>
      </c>
      <c r="AH240" s="220">
        <f>SUMIFS(LstMachines[Nbre],LstMachines[Model-Spec],PrévisionBoris[[#This Row],[Spec]],LstMachines[Status],PrévisionBoris[[#This Row],[Status]],LstMachines[MoisLivr],AH$1)</f>
        <v>0</v>
      </c>
      <c r="AI240" s="219">
        <f>SUMIFS(LstMachines[Nbre],LstMachines[Model-Spec],PrévisionBoris[[#This Row],[Spec]],LstMachines[Status],PrévisionBoris[[#This Row],[Status]],LstMachines[MoisLivr],AI$1)</f>
        <v>0</v>
      </c>
      <c r="AJ240" s="220">
        <f>SUMIFS(LstMachines[Nbre],LstMachines[Model-Spec],PrévisionBoris[[#This Row],[Spec]],LstMachines[Status],PrévisionBoris[[#This Row],[Status]],LstMachines[MoisLivr],AJ$1)</f>
        <v>0</v>
      </c>
      <c r="AK240" s="220">
        <f>SUMIFS(LstMachines[Nbre],LstMachines[Model-Spec],PrévisionBoris[[#This Row],[Spec]],LstMachines[Status],PrévisionBoris[[#This Row],[Status]],LstMachines[MoisLivr],AK$1)</f>
        <v>0</v>
      </c>
      <c r="AL240" s="219">
        <f>SUMIFS(LstMachines[Nbre],LstMachines[Model-Spec],PrévisionBoris[[#This Row],[Spec]],LstMachines[Status],PrévisionBoris[[#This Row],[Status]],LstMachines[MoisLivr],AL$1)</f>
        <v>0</v>
      </c>
      <c r="AM240" s="220">
        <f>SUMIFS(LstMachines[Nbre],LstMachines[Model-Spec],PrévisionBoris[[#This Row],[Spec]],LstMachines[Status],PrévisionBoris[[#This Row],[Status]],LstMachines[MoisLivr],AM$1)</f>
        <v>0</v>
      </c>
      <c r="AN240" s="220">
        <f>SUMIFS(LstMachines[Nbre],LstMachines[Model-Spec],PrévisionBoris[[#This Row],[Spec]],LstMachines[Status],PrévisionBoris[[#This Row],[Status]],LstMachines[MoisLivr],AN$1)</f>
        <v>0</v>
      </c>
      <c r="AO240" s="219">
        <f>SUMIFS(LstMachines[Nbre],LstMachines[Model-Spec],PrévisionBoris[[#This Row],[Spec]],LstMachines[Status],PrévisionBoris[[#This Row],[Status]],LstMachines[MoisLivr],AO$1)</f>
        <v>0</v>
      </c>
      <c r="AP240" s="220">
        <f>SUMIFS(LstMachines[Nbre],LstMachines[Model-Spec],PrévisionBoris[[#This Row],[Spec]],LstMachines[Status],PrévisionBoris[[#This Row],[Status]],LstMachines[MoisLivr],AP$1)</f>
        <v>0</v>
      </c>
      <c r="AQ240" s="220">
        <f>SUMIFS(LstMachines[Nbre],LstMachines[Model-Spec],PrévisionBoris[[#This Row],[Spec]],LstMachines[Status],PrévisionBoris[[#This Row],[Status]],LstMachines[MoisLivr],AQ$1)</f>
        <v>0</v>
      </c>
      <c r="AR240" s="219">
        <f>SUMIFS(LstMachines[Nbre],LstMachines[Model-Spec],PrévisionBoris[[#This Row],[Spec]],LstMachines[Status],PrévisionBoris[[#This Row],[Status]],LstMachines[MoisLivr],AR$1)</f>
        <v>0</v>
      </c>
      <c r="AS240" s="220">
        <f>SUMIFS(LstMachines[Nbre],LstMachines[Model-Spec],PrévisionBoris[[#This Row],[Spec]],LstMachines[Status],PrévisionBoris[[#This Row],[Status]],LstMachines[MoisLivr],AS$1)</f>
        <v>0</v>
      </c>
      <c r="AT240" s="220">
        <f>SUMIFS(LstMachines[Nbre],LstMachines[Model-Spec],PrévisionBoris[[#This Row],[Spec]],LstMachines[Status],PrévisionBoris[[#This Row],[Status]],LstMachines[MoisLivr],AT$1)</f>
        <v>0</v>
      </c>
      <c r="AU240" s="219">
        <f>SUMIFS(LstMachines[Nbre],LstMachines[Model-Spec],PrévisionBoris[[#This Row],[Spec]],LstMachines[Status],PrévisionBoris[[#This Row],[Status]],LstMachines[MoisLivr],AU$1)</f>
        <v>0</v>
      </c>
      <c r="AV240" s="223">
        <f>SUMIFS(LstMachines[Nbre],LstMachines[Model-Spec],PrévisionBoris[[#This Row],[Spec]],LstMachines[Status],PrévisionBoris[[#This Row],[Status]],LstMachines[MoisLivr],AV$1)</f>
        <v>0</v>
      </c>
      <c r="AW240" s="224">
        <f>SUMIFS(LstMachines[Nbre],LstMachines[Model-Spec],PrévisionBoris[[#This Row],[Spec]],LstMachines[Status],PrévisionBoris[[#This Row],[Status]],LstMachines[MoisLivr],AW$1)</f>
        <v>0</v>
      </c>
      <c r="AX240" s="210"/>
      <c r="AY240" s="211">
        <f t="shared" si="51"/>
        <v>0</v>
      </c>
      <c r="AZ240" s="212">
        <f t="shared" si="52"/>
        <v>0</v>
      </c>
      <c r="BA240" s="212">
        <f t="shared" si="53"/>
        <v>0</v>
      </c>
      <c r="BB240" s="213">
        <f t="shared" si="54"/>
        <v>0</v>
      </c>
      <c r="BC240" s="225">
        <f t="shared" si="55"/>
        <v>0</v>
      </c>
      <c r="BD240" s="211">
        <f t="shared" si="56"/>
        <v>0</v>
      </c>
      <c r="BE240" s="212">
        <f t="shared" si="57"/>
        <v>0</v>
      </c>
      <c r="BF240" s="212">
        <f t="shared" si="58"/>
        <v>0</v>
      </c>
      <c r="BG240" s="213">
        <f t="shared" si="59"/>
        <v>0</v>
      </c>
      <c r="BH240" s="225">
        <f t="shared" si="60"/>
        <v>0</v>
      </c>
      <c r="BI240" s="214">
        <f t="shared" si="61"/>
        <v>0</v>
      </c>
      <c r="BJ240" s="215">
        <f t="shared" si="62"/>
        <v>0</v>
      </c>
      <c r="BK240" s="215">
        <f t="shared" si="63"/>
        <v>0</v>
      </c>
      <c r="BL240" s="216">
        <f t="shared" si="64"/>
        <v>0</v>
      </c>
      <c r="BM240" s="225">
        <f t="shared" si="65"/>
        <v>0</v>
      </c>
      <c r="BN240" s="225"/>
      <c r="BO240" s="217"/>
      <c r="BP240" s="218">
        <f t="shared" si="66"/>
        <v>0</v>
      </c>
    </row>
    <row r="241" spans="1:68">
      <c r="A241" s="171">
        <v>234</v>
      </c>
      <c r="B241" s="171" t="s">
        <v>85</v>
      </c>
      <c r="C241" s="201">
        <v>135</v>
      </c>
      <c r="D241" s="171" t="s">
        <v>86</v>
      </c>
      <c r="E241" s="171" t="s">
        <v>194</v>
      </c>
      <c r="F241" s="201">
        <f>VLOOKUP(PrévisionBoris[[#This Row],[Spec]],TabModelSpecs[[ModelSpec]:[Price]],2,FALSE)</f>
        <v>110</v>
      </c>
      <c r="G241" s="171" t="s">
        <v>463</v>
      </c>
      <c r="H241" s="226">
        <f>SUMIFS(LstMachines[Nbre],LstMachines[Model-Spec],PrévisionBoris[[#This Row],[Spec]],LstMachines[Status],PrévisionBoris[[#This Row],[Status]],LstMachines[MoisLivr],H$1)</f>
        <v>0</v>
      </c>
      <c r="I241" s="227">
        <f>SUMIFS(LstMachines[Nbre],LstMachines[Model-Spec],PrévisionBoris[[#This Row],[Spec]],LstMachines[Status],PrévisionBoris[[#This Row],[Status]],LstMachines[MoisLivr],I$1)</f>
        <v>0</v>
      </c>
      <c r="J241" s="228">
        <f>SUMIFS(LstMachines[Nbre],LstMachines[Model-Spec],PrévisionBoris[[#This Row],[Spec]],LstMachines[Status],PrévisionBoris[[#This Row],[Status]],LstMachines[MoisLivr],J$1)</f>
        <v>0</v>
      </c>
      <c r="K241" s="226">
        <f>SUMIFS(LstMachines[Nbre],LstMachines[Model-Spec],PrévisionBoris[[#This Row],[Spec]],LstMachines[Status],PrévisionBoris[[#This Row],[Status]],LstMachines[MoisLivr],K$1)</f>
        <v>1</v>
      </c>
      <c r="L241" s="227">
        <f>SUMIFS(LstMachines[Nbre],LstMachines[Model-Spec],PrévisionBoris[[#This Row],[Spec]],LstMachines[Status],PrévisionBoris[[#This Row],[Status]],LstMachines[MoisLivr],L$1)</f>
        <v>0</v>
      </c>
      <c r="M241" s="228">
        <f>SUMIFS(LstMachines[Nbre],LstMachines[Model-Spec],PrévisionBoris[[#This Row],[Spec]],LstMachines[Status],PrévisionBoris[[#This Row],[Status]],LstMachines[MoisLivr],M$1)</f>
        <v>0</v>
      </c>
      <c r="N241" s="226">
        <f>SUMIFS(LstMachines[Nbre],LstMachines[Model-Spec],PrévisionBoris[[#This Row],[Spec]],LstMachines[Status],PrévisionBoris[[#This Row],[Status]],LstMachines[MoisLivr],N$1)</f>
        <v>0</v>
      </c>
      <c r="O241" s="227">
        <f>SUMIFS(LstMachines[Nbre],LstMachines[Model-Spec],PrévisionBoris[[#This Row],[Spec]],LstMachines[Status],PrévisionBoris[[#This Row],[Status]],LstMachines[MoisLivr],O$1)</f>
        <v>0</v>
      </c>
      <c r="P241" s="228">
        <f>SUMIFS(LstMachines[Nbre],LstMachines[Model-Spec],PrévisionBoris[[#This Row],[Spec]],LstMachines[Status],PrévisionBoris[[#This Row],[Status]],LstMachines[MoisLivr],P$1)</f>
        <v>0</v>
      </c>
      <c r="Q241" s="229">
        <f>SUMIFS(LstMachines[Nbre],LstMachines[Model-Spec],PrévisionBoris[[#This Row],[Spec]],LstMachines[Status],PrévisionBoris[[#This Row],[Status]],LstMachines[MoisLivr],Q$1)</f>
        <v>0</v>
      </c>
      <c r="R241" s="227">
        <f>SUMIFS(LstMachines[Nbre],LstMachines[Model-Spec],PrévisionBoris[[#This Row],[Spec]],LstMachines[Status],PrévisionBoris[[#This Row],[Status]],LstMachines[MoisLivr],R$1)</f>
        <v>0</v>
      </c>
      <c r="S241" s="227">
        <f>SUMIFS(LstMachines[Nbre],LstMachines[Model-Spec],PrévisionBoris[[#This Row],[Spec]],LstMachines[Status],PrévisionBoris[[#This Row],[Status]],LstMachines[MoisLivr],S$1)</f>
        <v>1</v>
      </c>
      <c r="T241" s="226">
        <f>SUMIFS(LstMachines[Nbre],LstMachines[Model-Spec],PrévisionBoris[[#This Row],[Spec]],LstMachines[Status],PrévisionBoris[[#This Row],[Status]],LstMachines[MoisLivr],T$1)</f>
        <v>0</v>
      </c>
      <c r="U241" s="227">
        <f>SUMIFS(LstMachines[Nbre],LstMachines[Model-Spec],PrévisionBoris[[#This Row],[Spec]],LstMachines[Status],PrévisionBoris[[#This Row],[Status]],LstMachines[MoisLivr],U$1)</f>
        <v>0</v>
      </c>
      <c r="V241" s="227">
        <f>SUMIFS(LstMachines[Nbre],LstMachines[Model-Spec],PrévisionBoris[[#This Row],[Spec]],LstMachines[Status],PrévisionBoris[[#This Row],[Status]],LstMachines[MoisLivr],V$1)</f>
        <v>0</v>
      </c>
      <c r="W241" s="226">
        <f>SUMIFS(LstMachines[Nbre],LstMachines[Model-Spec],PrévisionBoris[[#This Row],[Spec]],LstMachines[Status],PrévisionBoris[[#This Row],[Status]],LstMachines[MoisLivr],W$1)</f>
        <v>0</v>
      </c>
      <c r="X241" s="227">
        <f>SUMIFS(LstMachines[Nbre],LstMachines[Model-Spec],PrévisionBoris[[#This Row],[Spec]],LstMachines[Status],PrévisionBoris[[#This Row],[Status]],LstMachines[MoisLivr],X$1)</f>
        <v>0</v>
      </c>
      <c r="Y241" s="227">
        <f>SUMIFS(LstMachines[Nbre],LstMachines[Model-Spec],PrévisionBoris[[#This Row],[Spec]],LstMachines[Status],PrévisionBoris[[#This Row],[Status]],LstMachines[MoisLivr],Y$1)</f>
        <v>0</v>
      </c>
      <c r="Z241" s="226">
        <f>SUMIFS(LstMachines[Nbre],LstMachines[Model-Spec],PrévisionBoris[[#This Row],[Spec]],LstMachines[Status],PrévisionBoris[[#This Row],[Status]],LstMachines[MoisLivr],Z$1)</f>
        <v>0</v>
      </c>
      <c r="AA241" s="227">
        <f>SUMIFS(LstMachines[Nbre],LstMachines[Model-Spec],PrévisionBoris[[#This Row],[Spec]],LstMachines[Status],PrévisionBoris[[#This Row],[Status]],LstMachines[MoisLivr],AA$1)</f>
        <v>0</v>
      </c>
      <c r="AB241" s="227">
        <f>SUMIFS(LstMachines[Nbre],LstMachines[Model-Spec],PrévisionBoris[[#This Row],[Spec]],LstMachines[Status],PrévisionBoris[[#This Row],[Status]],LstMachines[MoisLivr],AB$1)</f>
        <v>0</v>
      </c>
      <c r="AC241" s="226">
        <f>SUMIFS(LstMachines[Nbre],LstMachines[Model-Spec],PrévisionBoris[[#This Row],[Spec]],LstMachines[Status],PrévisionBoris[[#This Row],[Status]],LstMachines[MoisLivr],AC$1)</f>
        <v>0</v>
      </c>
      <c r="AD241" s="227">
        <f>SUMIFS(LstMachines[Nbre],LstMachines[Model-Spec],PrévisionBoris[[#This Row],[Spec]],LstMachines[Status],PrévisionBoris[[#This Row],[Status]],LstMachines[MoisLivr],AD$1)</f>
        <v>0</v>
      </c>
      <c r="AE241" s="227">
        <f>SUMIFS(LstMachines[Nbre],LstMachines[Model-Spec],PrévisionBoris[[#This Row],[Spec]],LstMachines[Status],PrévisionBoris[[#This Row],[Status]],LstMachines[MoisLivr],AE$1)</f>
        <v>0</v>
      </c>
      <c r="AF241" s="226">
        <f>SUMIFS(LstMachines[Nbre],LstMachines[Model-Spec],PrévisionBoris[[#This Row],[Spec]],LstMachines[Status],PrévisionBoris[[#This Row],[Status]],LstMachines[MoisLivr],AF$1)</f>
        <v>0</v>
      </c>
      <c r="AG241" s="227">
        <f>SUMIFS(LstMachines[Nbre],LstMachines[Model-Spec],PrévisionBoris[[#This Row],[Spec]],LstMachines[Status],PrévisionBoris[[#This Row],[Status]],LstMachines[MoisLivr],AG$1)</f>
        <v>0</v>
      </c>
      <c r="AH241" s="227">
        <f>SUMIFS(LstMachines[Nbre],LstMachines[Model-Spec],PrévisionBoris[[#This Row],[Spec]],LstMachines[Status],PrévisionBoris[[#This Row],[Status]],LstMachines[MoisLivr],AH$1)</f>
        <v>0</v>
      </c>
      <c r="AI241" s="226">
        <f>SUMIFS(LstMachines[Nbre],LstMachines[Model-Spec],PrévisionBoris[[#This Row],[Spec]],LstMachines[Status],PrévisionBoris[[#This Row],[Status]],LstMachines[MoisLivr],AI$1)</f>
        <v>0</v>
      </c>
      <c r="AJ241" s="227">
        <f>SUMIFS(LstMachines[Nbre],LstMachines[Model-Spec],PrévisionBoris[[#This Row],[Spec]],LstMachines[Status],PrévisionBoris[[#This Row],[Status]],LstMachines[MoisLivr],AJ$1)</f>
        <v>0</v>
      </c>
      <c r="AK241" s="227">
        <f>SUMIFS(LstMachines[Nbre],LstMachines[Model-Spec],PrévisionBoris[[#This Row],[Spec]],LstMachines[Status],PrévisionBoris[[#This Row],[Status]],LstMachines[MoisLivr],AK$1)</f>
        <v>0</v>
      </c>
      <c r="AL241" s="226">
        <f>SUMIFS(LstMachines[Nbre],LstMachines[Model-Spec],PrévisionBoris[[#This Row],[Spec]],LstMachines[Status],PrévisionBoris[[#This Row],[Status]],LstMachines[MoisLivr],AL$1)</f>
        <v>0</v>
      </c>
      <c r="AM241" s="227">
        <f>SUMIFS(LstMachines[Nbre],LstMachines[Model-Spec],PrévisionBoris[[#This Row],[Spec]],LstMachines[Status],PrévisionBoris[[#This Row],[Status]],LstMachines[MoisLivr],AM$1)</f>
        <v>0</v>
      </c>
      <c r="AN241" s="227">
        <f>SUMIFS(LstMachines[Nbre],LstMachines[Model-Spec],PrévisionBoris[[#This Row],[Spec]],LstMachines[Status],PrévisionBoris[[#This Row],[Status]],LstMachines[MoisLivr],AN$1)</f>
        <v>0</v>
      </c>
      <c r="AO241" s="226">
        <f>SUMIFS(LstMachines[Nbre],LstMachines[Model-Spec],PrévisionBoris[[#This Row],[Spec]],LstMachines[Status],PrévisionBoris[[#This Row],[Status]],LstMachines[MoisLivr],AO$1)</f>
        <v>0</v>
      </c>
      <c r="AP241" s="227">
        <f>SUMIFS(LstMachines[Nbre],LstMachines[Model-Spec],PrévisionBoris[[#This Row],[Spec]],LstMachines[Status],PrévisionBoris[[#This Row],[Status]],LstMachines[MoisLivr],AP$1)</f>
        <v>0</v>
      </c>
      <c r="AQ241" s="227">
        <f>SUMIFS(LstMachines[Nbre],LstMachines[Model-Spec],PrévisionBoris[[#This Row],[Spec]],LstMachines[Status],PrévisionBoris[[#This Row],[Status]],LstMachines[MoisLivr],AQ$1)</f>
        <v>0</v>
      </c>
      <c r="AR241" s="226">
        <f>SUMIFS(LstMachines[Nbre],LstMachines[Model-Spec],PrévisionBoris[[#This Row],[Spec]],LstMachines[Status],PrévisionBoris[[#This Row],[Status]],LstMachines[MoisLivr],AR$1)</f>
        <v>0</v>
      </c>
      <c r="AS241" s="227">
        <f>SUMIFS(LstMachines[Nbre],LstMachines[Model-Spec],PrévisionBoris[[#This Row],[Spec]],LstMachines[Status],PrévisionBoris[[#This Row],[Status]],LstMachines[MoisLivr],AS$1)</f>
        <v>0</v>
      </c>
      <c r="AT241" s="227">
        <f>SUMIFS(LstMachines[Nbre],LstMachines[Model-Spec],PrévisionBoris[[#This Row],[Spec]],LstMachines[Status],PrévisionBoris[[#This Row],[Status]],LstMachines[MoisLivr],AT$1)</f>
        <v>0</v>
      </c>
      <c r="AU241" s="226">
        <f>SUMIFS(LstMachines[Nbre],LstMachines[Model-Spec],PrévisionBoris[[#This Row],[Spec]],LstMachines[Status],PrévisionBoris[[#This Row],[Status]],LstMachines[MoisLivr],AU$1)</f>
        <v>0</v>
      </c>
      <c r="AV241" s="230">
        <f>SUMIFS(LstMachines[Nbre],LstMachines[Model-Spec],PrévisionBoris[[#This Row],[Spec]],LstMachines[Status],PrévisionBoris[[#This Row],[Status]],LstMachines[MoisLivr],AV$1)</f>
        <v>0</v>
      </c>
      <c r="AW241" s="231">
        <f>SUMIFS(LstMachines[Nbre],LstMachines[Model-Spec],PrévisionBoris[[#This Row],[Spec]],LstMachines[Status],PrévisionBoris[[#This Row],[Status]],LstMachines[MoisLivr],AW$1)</f>
        <v>0</v>
      </c>
      <c r="AX241" s="232"/>
      <c r="AY241" s="211">
        <f t="shared" si="51"/>
        <v>1</v>
      </c>
      <c r="AZ241" s="212">
        <f t="shared" si="52"/>
        <v>0</v>
      </c>
      <c r="BA241" s="212">
        <f t="shared" si="53"/>
        <v>1</v>
      </c>
      <c r="BB241" s="213">
        <f t="shared" si="54"/>
        <v>0</v>
      </c>
      <c r="BC241" s="225">
        <f t="shared" si="55"/>
        <v>2</v>
      </c>
      <c r="BD241" s="211">
        <f t="shared" si="56"/>
        <v>0</v>
      </c>
      <c r="BE241" s="212">
        <f t="shared" si="57"/>
        <v>0</v>
      </c>
      <c r="BF241" s="212">
        <f t="shared" si="58"/>
        <v>0</v>
      </c>
      <c r="BG241" s="213">
        <f t="shared" si="59"/>
        <v>0</v>
      </c>
      <c r="BH241" s="225">
        <f t="shared" si="60"/>
        <v>0</v>
      </c>
      <c r="BI241" s="214">
        <f t="shared" si="61"/>
        <v>0</v>
      </c>
      <c r="BJ241" s="215">
        <f t="shared" si="62"/>
        <v>0</v>
      </c>
      <c r="BK241" s="215">
        <f t="shared" si="63"/>
        <v>0</v>
      </c>
      <c r="BL241" s="216">
        <f t="shared" si="64"/>
        <v>0</v>
      </c>
      <c r="BM241" s="225">
        <f t="shared" si="65"/>
        <v>0</v>
      </c>
      <c r="BN241" s="225"/>
      <c r="BO241" s="217"/>
      <c r="BP241" s="218">
        <f t="shared" si="66"/>
        <v>2</v>
      </c>
    </row>
    <row r="242" spans="1:68">
      <c r="A242" s="172">
        <v>235</v>
      </c>
      <c r="B242" s="172" t="s">
        <v>85</v>
      </c>
      <c r="C242" s="202">
        <v>135</v>
      </c>
      <c r="D242" s="172" t="s">
        <v>86</v>
      </c>
      <c r="E242" s="172" t="s">
        <v>87</v>
      </c>
      <c r="F242" s="202">
        <f>VLOOKUP(PrévisionBoris[[#This Row],[Spec]],TabModelSpecs[[ModelSpec]:[Price]],2,FALSE)</f>
        <v>100</v>
      </c>
      <c r="G242" s="172" t="s">
        <v>461</v>
      </c>
      <c r="H242" s="206">
        <f>SUMIFS(LstMachines[Nbre],LstMachines[Model-Spec],PrévisionBoris[[#This Row],[Spec]],LstMachines[Status],PrévisionBoris[[#This Row],[Status]],LstMachines[MoisLivr],H$1)</f>
        <v>0</v>
      </c>
      <c r="I242" s="207">
        <f>SUMIFS(LstMachines[Nbre],LstMachines[Model-Spec],PrévisionBoris[[#This Row],[Spec]],LstMachines[Status],PrévisionBoris[[#This Row],[Status]],LstMachines[MoisLivr],I$1)</f>
        <v>0</v>
      </c>
      <c r="J242" s="208">
        <f>SUMIFS(LstMachines[Nbre],LstMachines[Model-Spec],PrévisionBoris[[#This Row],[Spec]],LstMachines[Status],PrévisionBoris[[#This Row],[Status]],LstMachines[MoisLivr],J$1)</f>
        <v>0</v>
      </c>
      <c r="K242" s="206">
        <f>SUMIFS(LstMachines[Nbre],LstMachines[Model-Spec],PrévisionBoris[[#This Row],[Spec]],LstMachines[Status],PrévisionBoris[[#This Row],[Status]],LstMachines[MoisLivr],K$1)</f>
        <v>0</v>
      </c>
      <c r="L242" s="207">
        <f>SUMIFS(LstMachines[Nbre],LstMachines[Model-Spec],PrévisionBoris[[#This Row],[Spec]],LstMachines[Status],PrévisionBoris[[#This Row],[Status]],LstMachines[MoisLivr],L$1)</f>
        <v>0</v>
      </c>
      <c r="M242" s="208">
        <f>SUMIFS(LstMachines[Nbre],LstMachines[Model-Spec],PrévisionBoris[[#This Row],[Spec]],LstMachines[Status],PrévisionBoris[[#This Row],[Status]],LstMachines[MoisLivr],M$1)</f>
        <v>0</v>
      </c>
      <c r="N242" s="206">
        <f>SUMIFS(LstMachines[Nbre],LstMachines[Model-Spec],PrévisionBoris[[#This Row],[Spec]],LstMachines[Status],PrévisionBoris[[#This Row],[Status]],LstMachines[MoisLivr],N$1)</f>
        <v>1</v>
      </c>
      <c r="O242" s="207">
        <f>SUMIFS(LstMachines[Nbre],LstMachines[Model-Spec],PrévisionBoris[[#This Row],[Spec]],LstMachines[Status],PrévisionBoris[[#This Row],[Status]],LstMachines[MoisLivr],O$1)</f>
        <v>0</v>
      </c>
      <c r="P242" s="208">
        <f>SUMIFS(LstMachines[Nbre],LstMachines[Model-Spec],PrévisionBoris[[#This Row],[Spec]],LstMachines[Status],PrévisionBoris[[#This Row],[Status]],LstMachines[MoisLivr],P$1)</f>
        <v>0</v>
      </c>
      <c r="Q242" s="209">
        <f>SUMIFS(LstMachines[Nbre],LstMachines[Model-Spec],PrévisionBoris[[#This Row],[Spec]],LstMachines[Status],PrévisionBoris[[#This Row],[Status]],LstMachines[MoisLivr],Q$1)</f>
        <v>1</v>
      </c>
      <c r="R242" s="207">
        <f>SUMIFS(LstMachines[Nbre],LstMachines[Model-Spec],PrévisionBoris[[#This Row],[Spec]],LstMachines[Status],PrévisionBoris[[#This Row],[Status]],LstMachines[MoisLivr],R$1)</f>
        <v>1</v>
      </c>
      <c r="S242" s="207">
        <f>SUMIFS(LstMachines[Nbre],LstMachines[Model-Spec],PrévisionBoris[[#This Row],[Spec]],LstMachines[Status],PrévisionBoris[[#This Row],[Status]],LstMachines[MoisLivr],S$1)</f>
        <v>0</v>
      </c>
      <c r="T242" s="206">
        <f>SUMIFS(LstMachines[Nbre],LstMachines[Model-Spec],PrévisionBoris[[#This Row],[Spec]],LstMachines[Status],PrévisionBoris[[#This Row],[Status]],LstMachines[MoisLivr],T$1)</f>
        <v>0</v>
      </c>
      <c r="U242" s="207">
        <f>SUMIFS(LstMachines[Nbre],LstMachines[Model-Spec],PrévisionBoris[[#This Row],[Spec]],LstMachines[Status],PrévisionBoris[[#This Row],[Status]],LstMachines[MoisLivr],U$1)</f>
        <v>0</v>
      </c>
      <c r="V242" s="207">
        <f>SUMIFS(LstMachines[Nbre],LstMachines[Model-Spec],PrévisionBoris[[#This Row],[Spec]],LstMachines[Status],PrévisionBoris[[#This Row],[Status]],LstMachines[MoisLivr],V$1)</f>
        <v>1</v>
      </c>
      <c r="W242" s="206">
        <f>SUMIFS(LstMachines[Nbre],LstMachines[Model-Spec],PrévisionBoris[[#This Row],[Spec]],LstMachines[Status],PrévisionBoris[[#This Row],[Status]],LstMachines[MoisLivr],W$1)</f>
        <v>0</v>
      </c>
      <c r="X242" s="207">
        <f>SUMIFS(LstMachines[Nbre],LstMachines[Model-Spec],PrévisionBoris[[#This Row],[Spec]],LstMachines[Status],PrévisionBoris[[#This Row],[Status]],LstMachines[MoisLivr],X$1)</f>
        <v>1</v>
      </c>
      <c r="Y242" s="207">
        <f>SUMIFS(LstMachines[Nbre],LstMachines[Model-Spec],PrévisionBoris[[#This Row],[Spec]],LstMachines[Status],PrévisionBoris[[#This Row],[Status]],LstMachines[MoisLivr],Y$1)</f>
        <v>0</v>
      </c>
      <c r="Z242" s="206">
        <f>SUMIFS(LstMachines[Nbre],LstMachines[Model-Spec],PrévisionBoris[[#This Row],[Spec]],LstMachines[Status],PrévisionBoris[[#This Row],[Status]],LstMachines[MoisLivr],Z$1)</f>
        <v>1</v>
      </c>
      <c r="AA242" s="207">
        <f>SUMIFS(LstMachines[Nbre],LstMachines[Model-Spec],PrévisionBoris[[#This Row],[Spec]],LstMachines[Status],PrévisionBoris[[#This Row],[Status]],LstMachines[MoisLivr],AA$1)</f>
        <v>0</v>
      </c>
      <c r="AB242" s="207">
        <f>SUMIFS(LstMachines[Nbre],LstMachines[Model-Spec],PrévisionBoris[[#This Row],[Spec]],LstMachines[Status],PrévisionBoris[[#This Row],[Status]],LstMachines[MoisLivr],AB$1)</f>
        <v>4</v>
      </c>
      <c r="AC242" s="206">
        <f>SUMIFS(LstMachines[Nbre],LstMachines[Model-Spec],PrévisionBoris[[#This Row],[Spec]],LstMachines[Status],PrévisionBoris[[#This Row],[Status]],LstMachines[MoisLivr],AC$1)</f>
        <v>0</v>
      </c>
      <c r="AD242" s="207">
        <f>SUMIFS(LstMachines[Nbre],LstMachines[Model-Spec],PrévisionBoris[[#This Row],[Spec]],LstMachines[Status],PrévisionBoris[[#This Row],[Status]],LstMachines[MoisLivr],AD$1)</f>
        <v>1</v>
      </c>
      <c r="AE242" s="207">
        <f>SUMIFS(LstMachines[Nbre],LstMachines[Model-Spec],PrévisionBoris[[#This Row],[Spec]],LstMachines[Status],PrévisionBoris[[#This Row],[Status]],LstMachines[MoisLivr],AE$1)</f>
        <v>1</v>
      </c>
      <c r="AF242" s="206">
        <f>SUMIFS(LstMachines[Nbre],LstMachines[Model-Spec],PrévisionBoris[[#This Row],[Spec]],LstMachines[Status],PrévisionBoris[[#This Row],[Status]],LstMachines[MoisLivr],AF$1)</f>
        <v>0</v>
      </c>
      <c r="AG242" s="207">
        <f>SUMIFS(LstMachines[Nbre],LstMachines[Model-Spec],PrévisionBoris[[#This Row],[Spec]],LstMachines[Status],PrévisionBoris[[#This Row],[Status]],LstMachines[MoisLivr],AG$1)</f>
        <v>0</v>
      </c>
      <c r="AH242" s="207">
        <f>SUMIFS(LstMachines[Nbre],LstMachines[Model-Spec],PrévisionBoris[[#This Row],[Spec]],LstMachines[Status],PrévisionBoris[[#This Row],[Status]],LstMachines[MoisLivr],AH$1)</f>
        <v>1</v>
      </c>
      <c r="AI242" s="206">
        <f>SUMIFS(LstMachines[Nbre],LstMachines[Model-Spec],PrévisionBoris[[#This Row],[Spec]],LstMachines[Status],PrévisionBoris[[#This Row],[Status]],LstMachines[MoisLivr],AI$1)</f>
        <v>0</v>
      </c>
      <c r="AJ242" s="207">
        <f>SUMIFS(LstMachines[Nbre],LstMachines[Model-Spec],PrévisionBoris[[#This Row],[Spec]],LstMachines[Status],PrévisionBoris[[#This Row],[Status]],LstMachines[MoisLivr],AJ$1)</f>
        <v>0</v>
      </c>
      <c r="AK242" s="207">
        <f>SUMIFS(LstMachines[Nbre],LstMachines[Model-Spec],PrévisionBoris[[#This Row],[Spec]],LstMachines[Status],PrévisionBoris[[#This Row],[Status]],LstMachines[MoisLivr],AK$1)</f>
        <v>0</v>
      </c>
      <c r="AL242" s="206">
        <f>SUMIFS(LstMachines[Nbre],LstMachines[Model-Spec],PrévisionBoris[[#This Row],[Spec]],LstMachines[Status],PrévisionBoris[[#This Row],[Status]],LstMachines[MoisLivr],AL$1)</f>
        <v>1</v>
      </c>
      <c r="AM242" s="207">
        <f>SUMIFS(LstMachines[Nbre],LstMachines[Model-Spec],PrévisionBoris[[#This Row],[Spec]],LstMachines[Status],PrévisionBoris[[#This Row],[Status]],LstMachines[MoisLivr],AM$1)</f>
        <v>0</v>
      </c>
      <c r="AN242" s="207">
        <f>SUMIFS(LstMachines[Nbre],LstMachines[Model-Spec],PrévisionBoris[[#This Row],[Spec]],LstMachines[Status],PrévisionBoris[[#This Row],[Status]],LstMachines[MoisLivr],AN$1)</f>
        <v>4</v>
      </c>
      <c r="AO242" s="206">
        <f>SUMIFS(LstMachines[Nbre],LstMachines[Model-Spec],PrévisionBoris[[#This Row],[Spec]],LstMachines[Status],PrévisionBoris[[#This Row],[Status]],LstMachines[MoisLivr],AO$1)</f>
        <v>0</v>
      </c>
      <c r="AP242" s="207">
        <f>SUMIFS(LstMachines[Nbre],LstMachines[Model-Spec],PrévisionBoris[[#This Row],[Spec]],LstMachines[Status],PrévisionBoris[[#This Row],[Status]],LstMachines[MoisLivr],AP$1)</f>
        <v>1</v>
      </c>
      <c r="AQ242" s="207">
        <f>SUMIFS(LstMachines[Nbre],LstMachines[Model-Spec],PrévisionBoris[[#This Row],[Spec]],LstMachines[Status],PrévisionBoris[[#This Row],[Status]],LstMachines[MoisLivr],AQ$1)</f>
        <v>0</v>
      </c>
      <c r="AR242" s="206">
        <f>SUMIFS(LstMachines[Nbre],LstMachines[Model-Spec],PrévisionBoris[[#This Row],[Spec]],LstMachines[Status],PrévisionBoris[[#This Row],[Status]],LstMachines[MoisLivr],AR$1)</f>
        <v>0</v>
      </c>
      <c r="AS242" s="207">
        <f>SUMIFS(LstMachines[Nbre],LstMachines[Model-Spec],PrévisionBoris[[#This Row],[Spec]],LstMachines[Status],PrévisionBoris[[#This Row],[Status]],LstMachines[MoisLivr],AS$1)</f>
        <v>0</v>
      </c>
      <c r="AT242" s="207">
        <f>SUMIFS(LstMachines[Nbre],LstMachines[Model-Spec],PrévisionBoris[[#This Row],[Spec]],LstMachines[Status],PrévisionBoris[[#This Row],[Status]],LstMachines[MoisLivr],AT$1)</f>
        <v>1</v>
      </c>
      <c r="AU242" s="206">
        <f>SUMIFS(LstMachines[Nbre],LstMachines[Model-Spec],PrévisionBoris[[#This Row],[Spec]],LstMachines[Status],PrévisionBoris[[#This Row],[Status]],LstMachines[MoisLivr],AU$1)</f>
        <v>0</v>
      </c>
      <c r="AV242" s="233">
        <f>SUMIFS(LstMachines[Nbre],LstMachines[Model-Spec],PrévisionBoris[[#This Row],[Spec]],LstMachines[Status],PrévisionBoris[[#This Row],[Status]],LstMachines[MoisLivr],AV$1)</f>
        <v>0</v>
      </c>
      <c r="AW242" s="208">
        <f>SUMIFS(LstMachines[Nbre],LstMachines[Model-Spec],PrévisionBoris[[#This Row],[Spec]],LstMachines[Status],PrévisionBoris[[#This Row],[Status]],LstMachines[MoisLivr],AW$1)</f>
        <v>0</v>
      </c>
      <c r="AX242" s="225"/>
      <c r="AY242" s="211">
        <f t="shared" si="51"/>
        <v>0</v>
      </c>
      <c r="AZ242" s="212">
        <f t="shared" si="52"/>
        <v>1</v>
      </c>
      <c r="BA242" s="212">
        <f t="shared" si="53"/>
        <v>2</v>
      </c>
      <c r="BB242" s="213">
        <f t="shared" si="54"/>
        <v>1</v>
      </c>
      <c r="BC242" s="225">
        <f t="shared" si="55"/>
        <v>4</v>
      </c>
      <c r="BD242" s="211">
        <f t="shared" si="56"/>
        <v>1</v>
      </c>
      <c r="BE242" s="212">
        <f t="shared" si="57"/>
        <v>5</v>
      </c>
      <c r="BF242" s="212">
        <f t="shared" si="58"/>
        <v>2</v>
      </c>
      <c r="BG242" s="213">
        <f t="shared" si="59"/>
        <v>1</v>
      </c>
      <c r="BH242" s="225">
        <f t="shared" si="60"/>
        <v>9</v>
      </c>
      <c r="BI242" s="214">
        <f t="shared" si="61"/>
        <v>0</v>
      </c>
      <c r="BJ242" s="215">
        <f t="shared" si="62"/>
        <v>5</v>
      </c>
      <c r="BK242" s="215">
        <f t="shared" si="63"/>
        <v>1</v>
      </c>
      <c r="BL242" s="216">
        <f t="shared" si="64"/>
        <v>1</v>
      </c>
      <c r="BM242" s="225">
        <f t="shared" si="65"/>
        <v>7</v>
      </c>
      <c r="BN242" s="225"/>
      <c r="BO242" s="234"/>
      <c r="BP242" s="218">
        <f t="shared" si="66"/>
        <v>20</v>
      </c>
    </row>
    <row r="243" spans="1:68">
      <c r="A243" s="170">
        <v>236</v>
      </c>
      <c r="B243" s="170" t="s">
        <v>85</v>
      </c>
      <c r="C243" s="200">
        <v>135</v>
      </c>
      <c r="D243" s="170" t="s">
        <v>86</v>
      </c>
      <c r="E243" s="170" t="s">
        <v>87</v>
      </c>
      <c r="F243" s="200">
        <f>VLOOKUP(PrévisionBoris[[#This Row],[Spec]],TabModelSpecs[[ModelSpec]:[Price]],2,FALSE)</f>
        <v>100</v>
      </c>
      <c r="G243" s="170" t="s">
        <v>462</v>
      </c>
      <c r="H243" s="219">
        <f>SUMIFS(LstMachines[Nbre],LstMachines[Model-Spec],PrévisionBoris[[#This Row],[Spec]],LstMachines[Status],PrévisionBoris[[#This Row],[Status]],LstMachines[MoisLivr],H$1)</f>
        <v>0</v>
      </c>
      <c r="I243" s="220">
        <f>SUMIFS(LstMachines[Nbre],LstMachines[Model-Spec],PrévisionBoris[[#This Row],[Spec]],LstMachines[Status],PrévisionBoris[[#This Row],[Status]],LstMachines[MoisLivr],I$1)</f>
        <v>0</v>
      </c>
      <c r="J243" s="221">
        <f>SUMIFS(LstMachines[Nbre],LstMachines[Model-Spec],PrévisionBoris[[#This Row],[Spec]],LstMachines[Status],PrévisionBoris[[#This Row],[Status]],LstMachines[MoisLivr],J$1)</f>
        <v>0</v>
      </c>
      <c r="K243" s="219">
        <f>SUMIFS(LstMachines[Nbre],LstMachines[Model-Spec],PrévisionBoris[[#This Row],[Spec]],LstMachines[Status],PrévisionBoris[[#This Row],[Status]],LstMachines[MoisLivr],K$1)</f>
        <v>0</v>
      </c>
      <c r="L243" s="220">
        <f>SUMIFS(LstMachines[Nbre],LstMachines[Model-Spec],PrévisionBoris[[#This Row],[Spec]],LstMachines[Status],PrévisionBoris[[#This Row],[Status]],LstMachines[MoisLivr],L$1)</f>
        <v>0</v>
      </c>
      <c r="M243" s="221">
        <f>SUMIFS(LstMachines[Nbre],LstMachines[Model-Spec],PrévisionBoris[[#This Row],[Spec]],LstMachines[Status],PrévisionBoris[[#This Row],[Status]],LstMachines[MoisLivr],M$1)</f>
        <v>0</v>
      </c>
      <c r="N243" s="219">
        <f>SUMIFS(LstMachines[Nbre],LstMachines[Model-Spec],PrévisionBoris[[#This Row],[Spec]],LstMachines[Status],PrévisionBoris[[#This Row],[Status]],LstMachines[MoisLivr],N$1)</f>
        <v>0</v>
      </c>
      <c r="O243" s="220">
        <f>SUMIFS(LstMachines[Nbre],LstMachines[Model-Spec],PrévisionBoris[[#This Row],[Spec]],LstMachines[Status],PrévisionBoris[[#This Row],[Status]],LstMachines[MoisLivr],O$1)</f>
        <v>0</v>
      </c>
      <c r="P243" s="221">
        <f>SUMIFS(LstMachines[Nbre],LstMachines[Model-Spec],PrévisionBoris[[#This Row],[Spec]],LstMachines[Status],PrévisionBoris[[#This Row],[Status]],LstMachines[MoisLivr],P$1)</f>
        <v>0</v>
      </c>
      <c r="Q243" s="222">
        <f>SUMIFS(LstMachines[Nbre],LstMachines[Model-Spec],PrévisionBoris[[#This Row],[Spec]],LstMachines[Status],PrévisionBoris[[#This Row],[Status]],LstMachines[MoisLivr],Q$1)</f>
        <v>0</v>
      </c>
      <c r="R243" s="220">
        <f>SUMIFS(LstMachines[Nbre],LstMachines[Model-Spec],PrévisionBoris[[#This Row],[Spec]],LstMachines[Status],PrévisionBoris[[#This Row],[Status]],LstMachines[MoisLivr],R$1)</f>
        <v>0</v>
      </c>
      <c r="S243" s="220">
        <f>SUMIFS(LstMachines[Nbre],LstMachines[Model-Spec],PrévisionBoris[[#This Row],[Spec]],LstMachines[Status],PrévisionBoris[[#This Row],[Status]],LstMachines[MoisLivr],S$1)</f>
        <v>0</v>
      </c>
      <c r="T243" s="219">
        <f>SUMIFS(LstMachines[Nbre],LstMachines[Model-Spec],PrévisionBoris[[#This Row],[Spec]],LstMachines[Status],PrévisionBoris[[#This Row],[Status]],LstMachines[MoisLivr],T$1)</f>
        <v>0</v>
      </c>
      <c r="U243" s="220">
        <f>SUMIFS(LstMachines[Nbre],LstMachines[Model-Spec],PrévisionBoris[[#This Row],[Spec]],LstMachines[Status],PrévisionBoris[[#This Row],[Status]],LstMachines[MoisLivr],U$1)</f>
        <v>0</v>
      </c>
      <c r="V243" s="220">
        <f>SUMIFS(LstMachines[Nbre],LstMachines[Model-Spec],PrévisionBoris[[#This Row],[Spec]],LstMachines[Status],PrévisionBoris[[#This Row],[Status]],LstMachines[MoisLivr],V$1)</f>
        <v>0</v>
      </c>
      <c r="W243" s="219">
        <f>SUMIFS(LstMachines[Nbre],LstMachines[Model-Spec],PrévisionBoris[[#This Row],[Spec]],LstMachines[Status],PrévisionBoris[[#This Row],[Status]],LstMachines[MoisLivr],W$1)</f>
        <v>0</v>
      </c>
      <c r="X243" s="220">
        <f>SUMIFS(LstMachines[Nbre],LstMachines[Model-Spec],PrévisionBoris[[#This Row],[Spec]],LstMachines[Status],PrévisionBoris[[#This Row],[Status]],LstMachines[MoisLivr],X$1)</f>
        <v>0</v>
      </c>
      <c r="Y243" s="220">
        <f>SUMIFS(LstMachines[Nbre],LstMachines[Model-Spec],PrévisionBoris[[#This Row],[Spec]],LstMachines[Status],PrévisionBoris[[#This Row],[Status]],LstMachines[MoisLivr],Y$1)</f>
        <v>0</v>
      </c>
      <c r="Z243" s="219">
        <f>SUMIFS(LstMachines[Nbre],LstMachines[Model-Spec],PrévisionBoris[[#This Row],[Spec]],LstMachines[Status],PrévisionBoris[[#This Row],[Status]],LstMachines[MoisLivr],Z$1)</f>
        <v>0</v>
      </c>
      <c r="AA243" s="220">
        <f>SUMIFS(LstMachines[Nbre],LstMachines[Model-Spec],PrévisionBoris[[#This Row],[Spec]],LstMachines[Status],PrévisionBoris[[#This Row],[Status]],LstMachines[MoisLivr],AA$1)</f>
        <v>0</v>
      </c>
      <c r="AB243" s="220">
        <f>SUMIFS(LstMachines[Nbre],LstMachines[Model-Spec],PrévisionBoris[[#This Row],[Spec]],LstMachines[Status],PrévisionBoris[[#This Row],[Status]],LstMachines[MoisLivr],AB$1)</f>
        <v>0</v>
      </c>
      <c r="AC243" s="219">
        <f>SUMIFS(LstMachines[Nbre],LstMachines[Model-Spec],PrévisionBoris[[#This Row],[Spec]],LstMachines[Status],PrévisionBoris[[#This Row],[Status]],LstMachines[MoisLivr],AC$1)</f>
        <v>0</v>
      </c>
      <c r="AD243" s="220">
        <f>SUMIFS(LstMachines[Nbre],LstMachines[Model-Spec],PrévisionBoris[[#This Row],[Spec]],LstMachines[Status],PrévisionBoris[[#This Row],[Status]],LstMachines[MoisLivr],AD$1)</f>
        <v>0</v>
      </c>
      <c r="AE243" s="220">
        <f>SUMIFS(LstMachines[Nbre],LstMachines[Model-Spec],PrévisionBoris[[#This Row],[Spec]],LstMachines[Status],PrévisionBoris[[#This Row],[Status]],LstMachines[MoisLivr],AE$1)</f>
        <v>0</v>
      </c>
      <c r="AF243" s="219">
        <f>SUMIFS(LstMachines[Nbre],LstMachines[Model-Spec],PrévisionBoris[[#This Row],[Spec]],LstMachines[Status],PrévisionBoris[[#This Row],[Status]],LstMachines[MoisLivr],AF$1)</f>
        <v>0</v>
      </c>
      <c r="AG243" s="220">
        <f>SUMIFS(LstMachines[Nbre],LstMachines[Model-Spec],PrévisionBoris[[#This Row],[Spec]],LstMachines[Status],PrévisionBoris[[#This Row],[Status]],LstMachines[MoisLivr],AG$1)</f>
        <v>0</v>
      </c>
      <c r="AH243" s="220">
        <f>SUMIFS(LstMachines[Nbre],LstMachines[Model-Spec],PrévisionBoris[[#This Row],[Spec]],LstMachines[Status],PrévisionBoris[[#This Row],[Status]],LstMachines[MoisLivr],AH$1)</f>
        <v>0</v>
      </c>
      <c r="AI243" s="219">
        <f>SUMIFS(LstMachines[Nbre],LstMachines[Model-Spec],PrévisionBoris[[#This Row],[Spec]],LstMachines[Status],PrévisionBoris[[#This Row],[Status]],LstMachines[MoisLivr],AI$1)</f>
        <v>0</v>
      </c>
      <c r="AJ243" s="220">
        <f>SUMIFS(LstMachines[Nbre],LstMachines[Model-Spec],PrévisionBoris[[#This Row],[Spec]],LstMachines[Status],PrévisionBoris[[#This Row],[Status]],LstMachines[MoisLivr],AJ$1)</f>
        <v>0</v>
      </c>
      <c r="AK243" s="220">
        <f>SUMIFS(LstMachines[Nbre],LstMachines[Model-Spec],PrévisionBoris[[#This Row],[Spec]],LstMachines[Status],PrévisionBoris[[#This Row],[Status]],LstMachines[MoisLivr],AK$1)</f>
        <v>0</v>
      </c>
      <c r="AL243" s="219">
        <f>SUMIFS(LstMachines[Nbre],LstMachines[Model-Spec],PrévisionBoris[[#This Row],[Spec]],LstMachines[Status],PrévisionBoris[[#This Row],[Status]],LstMachines[MoisLivr],AL$1)</f>
        <v>0</v>
      </c>
      <c r="AM243" s="220">
        <f>SUMIFS(LstMachines[Nbre],LstMachines[Model-Spec],PrévisionBoris[[#This Row],[Spec]],LstMachines[Status],PrévisionBoris[[#This Row],[Status]],LstMachines[MoisLivr],AM$1)</f>
        <v>0</v>
      </c>
      <c r="AN243" s="220">
        <f>SUMIFS(LstMachines[Nbre],LstMachines[Model-Spec],PrévisionBoris[[#This Row],[Spec]],LstMachines[Status],PrévisionBoris[[#This Row],[Status]],LstMachines[MoisLivr],AN$1)</f>
        <v>0</v>
      </c>
      <c r="AO243" s="219">
        <f>SUMIFS(LstMachines[Nbre],LstMachines[Model-Spec],PrévisionBoris[[#This Row],[Spec]],LstMachines[Status],PrévisionBoris[[#This Row],[Status]],LstMachines[MoisLivr],AO$1)</f>
        <v>0</v>
      </c>
      <c r="AP243" s="220">
        <f>SUMIFS(LstMachines[Nbre],LstMachines[Model-Spec],PrévisionBoris[[#This Row],[Spec]],LstMachines[Status],PrévisionBoris[[#This Row],[Status]],LstMachines[MoisLivr],AP$1)</f>
        <v>0</v>
      </c>
      <c r="AQ243" s="220">
        <f>SUMIFS(LstMachines[Nbre],LstMachines[Model-Spec],PrévisionBoris[[#This Row],[Spec]],LstMachines[Status],PrévisionBoris[[#This Row],[Status]],LstMachines[MoisLivr],AQ$1)</f>
        <v>0</v>
      </c>
      <c r="AR243" s="219">
        <f>SUMIFS(LstMachines[Nbre],LstMachines[Model-Spec],PrévisionBoris[[#This Row],[Spec]],LstMachines[Status],PrévisionBoris[[#This Row],[Status]],LstMachines[MoisLivr],AR$1)</f>
        <v>0</v>
      </c>
      <c r="AS243" s="220">
        <f>SUMIFS(LstMachines[Nbre],LstMachines[Model-Spec],PrévisionBoris[[#This Row],[Spec]],LstMachines[Status],PrévisionBoris[[#This Row],[Status]],LstMachines[MoisLivr],AS$1)</f>
        <v>0</v>
      </c>
      <c r="AT243" s="220">
        <f>SUMIFS(LstMachines[Nbre],LstMachines[Model-Spec],PrévisionBoris[[#This Row],[Spec]],LstMachines[Status],PrévisionBoris[[#This Row],[Status]],LstMachines[MoisLivr],AT$1)</f>
        <v>0</v>
      </c>
      <c r="AU243" s="219">
        <f>SUMIFS(LstMachines[Nbre],LstMachines[Model-Spec],PrévisionBoris[[#This Row],[Spec]],LstMachines[Status],PrévisionBoris[[#This Row],[Status]],LstMachines[MoisLivr],AU$1)</f>
        <v>0</v>
      </c>
      <c r="AV243" s="223">
        <f>SUMIFS(LstMachines[Nbre],LstMachines[Model-Spec],PrévisionBoris[[#This Row],[Spec]],LstMachines[Status],PrévisionBoris[[#This Row],[Status]],LstMachines[MoisLivr],AV$1)</f>
        <v>0</v>
      </c>
      <c r="AW243" s="224">
        <f>SUMIFS(LstMachines[Nbre],LstMachines[Model-Spec],PrévisionBoris[[#This Row],[Spec]],LstMachines[Status],PrévisionBoris[[#This Row],[Status]],LstMachines[MoisLivr],AW$1)</f>
        <v>0</v>
      </c>
      <c r="AX243" s="210"/>
      <c r="AY243" s="211">
        <f t="shared" si="51"/>
        <v>0</v>
      </c>
      <c r="AZ243" s="212">
        <f t="shared" si="52"/>
        <v>0</v>
      </c>
      <c r="BA243" s="212">
        <f t="shared" si="53"/>
        <v>0</v>
      </c>
      <c r="BB243" s="213">
        <f t="shared" si="54"/>
        <v>0</v>
      </c>
      <c r="BC243" s="225">
        <f t="shared" si="55"/>
        <v>0</v>
      </c>
      <c r="BD243" s="211">
        <f t="shared" si="56"/>
        <v>0</v>
      </c>
      <c r="BE243" s="212">
        <f t="shared" si="57"/>
        <v>0</v>
      </c>
      <c r="BF243" s="212">
        <f t="shared" si="58"/>
        <v>0</v>
      </c>
      <c r="BG243" s="213">
        <f t="shared" si="59"/>
        <v>0</v>
      </c>
      <c r="BH243" s="225">
        <f t="shared" si="60"/>
        <v>0</v>
      </c>
      <c r="BI243" s="214">
        <f t="shared" si="61"/>
        <v>0</v>
      </c>
      <c r="BJ243" s="215">
        <f t="shared" si="62"/>
        <v>0</v>
      </c>
      <c r="BK243" s="215">
        <f t="shared" si="63"/>
        <v>0</v>
      </c>
      <c r="BL243" s="216">
        <f t="shared" si="64"/>
        <v>0</v>
      </c>
      <c r="BM243" s="225">
        <f t="shared" si="65"/>
        <v>0</v>
      </c>
      <c r="BN243" s="225"/>
      <c r="BO243" s="217"/>
      <c r="BP243" s="218">
        <f t="shared" si="66"/>
        <v>0</v>
      </c>
    </row>
    <row r="244" spans="1:68">
      <c r="A244" s="171">
        <v>237</v>
      </c>
      <c r="B244" s="171" t="s">
        <v>85</v>
      </c>
      <c r="C244" s="201">
        <v>135</v>
      </c>
      <c r="D244" s="171" t="s">
        <v>86</v>
      </c>
      <c r="E244" s="171" t="s">
        <v>87</v>
      </c>
      <c r="F244" s="201">
        <f>VLOOKUP(PrévisionBoris[[#This Row],[Spec]],TabModelSpecs[[ModelSpec]:[Price]],2,FALSE)</f>
        <v>100</v>
      </c>
      <c r="G244" s="171" t="s">
        <v>463</v>
      </c>
      <c r="H244" s="226">
        <f>SUMIFS(LstMachines[Nbre],LstMachines[Model-Spec],PrévisionBoris[[#This Row],[Spec]],LstMachines[Status],PrévisionBoris[[#This Row],[Status]],LstMachines[MoisLivr],H$1)</f>
        <v>0</v>
      </c>
      <c r="I244" s="227">
        <f>SUMIFS(LstMachines[Nbre],LstMachines[Model-Spec],PrévisionBoris[[#This Row],[Spec]],LstMachines[Status],PrévisionBoris[[#This Row],[Status]],LstMachines[MoisLivr],I$1)</f>
        <v>0</v>
      </c>
      <c r="J244" s="228">
        <f>SUMIFS(LstMachines[Nbre],LstMachines[Model-Spec],PrévisionBoris[[#This Row],[Spec]],LstMachines[Status],PrévisionBoris[[#This Row],[Status]],LstMachines[MoisLivr],J$1)</f>
        <v>0</v>
      </c>
      <c r="K244" s="226">
        <f>SUMIFS(LstMachines[Nbre],LstMachines[Model-Spec],PrévisionBoris[[#This Row],[Spec]],LstMachines[Status],PrévisionBoris[[#This Row],[Status]],LstMachines[MoisLivr],K$1)</f>
        <v>0</v>
      </c>
      <c r="L244" s="227">
        <f>SUMIFS(LstMachines[Nbre],LstMachines[Model-Spec],PrévisionBoris[[#This Row],[Spec]],LstMachines[Status],PrévisionBoris[[#This Row],[Status]],LstMachines[MoisLivr],L$1)</f>
        <v>1</v>
      </c>
      <c r="M244" s="228">
        <f>SUMIFS(LstMachines[Nbre],LstMachines[Model-Spec],PrévisionBoris[[#This Row],[Spec]],LstMachines[Status],PrévisionBoris[[#This Row],[Status]],LstMachines[MoisLivr],M$1)</f>
        <v>0</v>
      </c>
      <c r="N244" s="226">
        <f>SUMIFS(LstMachines[Nbre],LstMachines[Model-Spec],PrévisionBoris[[#This Row],[Spec]],LstMachines[Status],PrévisionBoris[[#This Row],[Status]],LstMachines[MoisLivr],N$1)</f>
        <v>3</v>
      </c>
      <c r="O244" s="227">
        <f>SUMIFS(LstMachines[Nbre],LstMachines[Model-Spec],PrévisionBoris[[#This Row],[Spec]],LstMachines[Status],PrévisionBoris[[#This Row],[Status]],LstMachines[MoisLivr],O$1)</f>
        <v>1</v>
      </c>
      <c r="P244" s="228">
        <f>SUMIFS(LstMachines[Nbre],LstMachines[Model-Spec],PrévisionBoris[[#This Row],[Spec]],LstMachines[Status],PrévisionBoris[[#This Row],[Status]],LstMachines[MoisLivr],P$1)</f>
        <v>1</v>
      </c>
      <c r="Q244" s="229">
        <f>SUMIFS(LstMachines[Nbre],LstMachines[Model-Spec],PrévisionBoris[[#This Row],[Spec]],LstMachines[Status],PrévisionBoris[[#This Row],[Status]],LstMachines[MoisLivr],Q$1)</f>
        <v>0</v>
      </c>
      <c r="R244" s="227">
        <f>SUMIFS(LstMachines[Nbre],LstMachines[Model-Spec],PrévisionBoris[[#This Row],[Spec]],LstMachines[Status],PrévisionBoris[[#This Row],[Status]],LstMachines[MoisLivr],R$1)</f>
        <v>0</v>
      </c>
      <c r="S244" s="227">
        <f>SUMIFS(LstMachines[Nbre],LstMachines[Model-Spec],PrévisionBoris[[#This Row],[Spec]],LstMachines[Status],PrévisionBoris[[#This Row],[Status]],LstMachines[MoisLivr],S$1)</f>
        <v>1</v>
      </c>
      <c r="T244" s="226">
        <f>SUMIFS(LstMachines[Nbre],LstMachines[Model-Spec],PrévisionBoris[[#This Row],[Spec]],LstMachines[Status],PrévisionBoris[[#This Row],[Status]],LstMachines[MoisLivr],T$1)</f>
        <v>1</v>
      </c>
      <c r="U244" s="227">
        <f>SUMIFS(LstMachines[Nbre],LstMachines[Model-Spec],PrévisionBoris[[#This Row],[Spec]],LstMachines[Status],PrévisionBoris[[#This Row],[Status]],LstMachines[MoisLivr],U$1)</f>
        <v>0</v>
      </c>
      <c r="V244" s="227">
        <f>SUMIFS(LstMachines[Nbre],LstMachines[Model-Spec],PrévisionBoris[[#This Row],[Spec]],LstMachines[Status],PrévisionBoris[[#This Row],[Status]],LstMachines[MoisLivr],V$1)</f>
        <v>0</v>
      </c>
      <c r="W244" s="226">
        <f>SUMIFS(LstMachines[Nbre],LstMachines[Model-Spec],PrévisionBoris[[#This Row],[Spec]],LstMachines[Status],PrévisionBoris[[#This Row],[Status]],LstMachines[MoisLivr],W$1)</f>
        <v>0</v>
      </c>
      <c r="X244" s="227">
        <f>SUMIFS(LstMachines[Nbre],LstMachines[Model-Spec],PrévisionBoris[[#This Row],[Spec]],LstMachines[Status],PrévisionBoris[[#This Row],[Status]],LstMachines[MoisLivr],X$1)</f>
        <v>0</v>
      </c>
      <c r="Y244" s="227">
        <f>SUMIFS(LstMachines[Nbre],LstMachines[Model-Spec],PrévisionBoris[[#This Row],[Spec]],LstMachines[Status],PrévisionBoris[[#This Row],[Status]],LstMachines[MoisLivr],Y$1)</f>
        <v>0</v>
      </c>
      <c r="Z244" s="226">
        <f>SUMIFS(LstMachines[Nbre],LstMachines[Model-Spec],PrévisionBoris[[#This Row],[Spec]],LstMachines[Status],PrévisionBoris[[#This Row],[Status]],LstMachines[MoisLivr],Z$1)</f>
        <v>0</v>
      </c>
      <c r="AA244" s="227">
        <f>SUMIFS(LstMachines[Nbre],LstMachines[Model-Spec],PrévisionBoris[[#This Row],[Spec]],LstMachines[Status],PrévisionBoris[[#This Row],[Status]],LstMachines[MoisLivr],AA$1)</f>
        <v>0</v>
      </c>
      <c r="AB244" s="227">
        <f>SUMIFS(LstMachines[Nbre],LstMachines[Model-Spec],PrévisionBoris[[#This Row],[Spec]],LstMachines[Status],PrévisionBoris[[#This Row],[Status]],LstMachines[MoisLivr],AB$1)</f>
        <v>0</v>
      </c>
      <c r="AC244" s="226">
        <f>SUMIFS(LstMachines[Nbre],LstMachines[Model-Spec],PrévisionBoris[[#This Row],[Spec]],LstMachines[Status],PrévisionBoris[[#This Row],[Status]],LstMachines[MoisLivr],AC$1)</f>
        <v>0</v>
      </c>
      <c r="AD244" s="227">
        <f>SUMIFS(LstMachines[Nbre],LstMachines[Model-Spec],PrévisionBoris[[#This Row],[Spec]],LstMachines[Status],PrévisionBoris[[#This Row],[Status]],LstMachines[MoisLivr],AD$1)</f>
        <v>0</v>
      </c>
      <c r="AE244" s="227">
        <f>SUMIFS(LstMachines[Nbre],LstMachines[Model-Spec],PrévisionBoris[[#This Row],[Spec]],LstMachines[Status],PrévisionBoris[[#This Row],[Status]],LstMachines[MoisLivr],AE$1)</f>
        <v>0</v>
      </c>
      <c r="AF244" s="226">
        <f>SUMIFS(LstMachines[Nbre],LstMachines[Model-Spec],PrévisionBoris[[#This Row],[Spec]],LstMachines[Status],PrévisionBoris[[#This Row],[Status]],LstMachines[MoisLivr],AF$1)</f>
        <v>0</v>
      </c>
      <c r="AG244" s="227">
        <f>SUMIFS(LstMachines[Nbre],LstMachines[Model-Spec],PrévisionBoris[[#This Row],[Spec]],LstMachines[Status],PrévisionBoris[[#This Row],[Status]],LstMachines[MoisLivr],AG$1)</f>
        <v>0</v>
      </c>
      <c r="AH244" s="227">
        <f>SUMIFS(LstMachines[Nbre],LstMachines[Model-Spec],PrévisionBoris[[#This Row],[Spec]],LstMachines[Status],PrévisionBoris[[#This Row],[Status]],LstMachines[MoisLivr],AH$1)</f>
        <v>0</v>
      </c>
      <c r="AI244" s="226">
        <f>SUMIFS(LstMachines[Nbre],LstMachines[Model-Spec],PrévisionBoris[[#This Row],[Spec]],LstMachines[Status],PrévisionBoris[[#This Row],[Status]],LstMachines[MoisLivr],AI$1)</f>
        <v>0</v>
      </c>
      <c r="AJ244" s="227">
        <f>SUMIFS(LstMachines[Nbre],LstMachines[Model-Spec],PrévisionBoris[[#This Row],[Spec]],LstMachines[Status],PrévisionBoris[[#This Row],[Status]],LstMachines[MoisLivr],AJ$1)</f>
        <v>0</v>
      </c>
      <c r="AK244" s="227">
        <f>SUMIFS(LstMachines[Nbre],LstMachines[Model-Spec],PrévisionBoris[[#This Row],[Spec]],LstMachines[Status],PrévisionBoris[[#This Row],[Status]],LstMachines[MoisLivr],AK$1)</f>
        <v>0</v>
      </c>
      <c r="AL244" s="226">
        <f>SUMIFS(LstMachines[Nbre],LstMachines[Model-Spec],PrévisionBoris[[#This Row],[Spec]],LstMachines[Status],PrévisionBoris[[#This Row],[Status]],LstMachines[MoisLivr],AL$1)</f>
        <v>0</v>
      </c>
      <c r="AM244" s="227">
        <f>SUMIFS(LstMachines[Nbre],LstMachines[Model-Spec],PrévisionBoris[[#This Row],[Spec]],LstMachines[Status],PrévisionBoris[[#This Row],[Status]],LstMachines[MoisLivr],AM$1)</f>
        <v>0</v>
      </c>
      <c r="AN244" s="227">
        <f>SUMIFS(LstMachines[Nbre],LstMachines[Model-Spec],PrévisionBoris[[#This Row],[Spec]],LstMachines[Status],PrévisionBoris[[#This Row],[Status]],LstMachines[MoisLivr],AN$1)</f>
        <v>0</v>
      </c>
      <c r="AO244" s="226">
        <f>SUMIFS(LstMachines[Nbre],LstMachines[Model-Spec],PrévisionBoris[[#This Row],[Spec]],LstMachines[Status],PrévisionBoris[[#This Row],[Status]],LstMachines[MoisLivr],AO$1)</f>
        <v>0</v>
      </c>
      <c r="AP244" s="227">
        <f>SUMIFS(LstMachines[Nbre],LstMachines[Model-Spec],PrévisionBoris[[#This Row],[Spec]],LstMachines[Status],PrévisionBoris[[#This Row],[Status]],LstMachines[MoisLivr],AP$1)</f>
        <v>0</v>
      </c>
      <c r="AQ244" s="227">
        <f>SUMIFS(LstMachines[Nbre],LstMachines[Model-Spec],PrévisionBoris[[#This Row],[Spec]],LstMachines[Status],PrévisionBoris[[#This Row],[Status]],LstMachines[MoisLivr],AQ$1)</f>
        <v>0</v>
      </c>
      <c r="AR244" s="226">
        <f>SUMIFS(LstMachines[Nbre],LstMachines[Model-Spec],PrévisionBoris[[#This Row],[Spec]],LstMachines[Status],PrévisionBoris[[#This Row],[Status]],LstMachines[MoisLivr],AR$1)</f>
        <v>0</v>
      </c>
      <c r="AS244" s="227">
        <f>SUMIFS(LstMachines[Nbre],LstMachines[Model-Spec],PrévisionBoris[[#This Row],[Spec]],LstMachines[Status],PrévisionBoris[[#This Row],[Status]],LstMachines[MoisLivr],AS$1)</f>
        <v>0</v>
      </c>
      <c r="AT244" s="227">
        <f>SUMIFS(LstMachines[Nbre],LstMachines[Model-Spec],PrévisionBoris[[#This Row],[Spec]],LstMachines[Status],PrévisionBoris[[#This Row],[Status]],LstMachines[MoisLivr],AT$1)</f>
        <v>0</v>
      </c>
      <c r="AU244" s="226">
        <f>SUMIFS(LstMachines[Nbre],LstMachines[Model-Spec],PrévisionBoris[[#This Row],[Spec]],LstMachines[Status],PrévisionBoris[[#This Row],[Status]],LstMachines[MoisLivr],AU$1)</f>
        <v>0</v>
      </c>
      <c r="AV244" s="230">
        <f>SUMIFS(LstMachines[Nbre],LstMachines[Model-Spec],PrévisionBoris[[#This Row],[Spec]],LstMachines[Status],PrévisionBoris[[#This Row],[Status]],LstMachines[MoisLivr],AV$1)</f>
        <v>0</v>
      </c>
      <c r="AW244" s="231">
        <f>SUMIFS(LstMachines[Nbre],LstMachines[Model-Spec],PrévisionBoris[[#This Row],[Spec]],LstMachines[Status],PrévisionBoris[[#This Row],[Status]],LstMachines[MoisLivr],AW$1)</f>
        <v>0</v>
      </c>
      <c r="AX244" s="232"/>
      <c r="AY244" s="211">
        <f t="shared" si="51"/>
        <v>1</v>
      </c>
      <c r="AZ244" s="212">
        <f t="shared" si="52"/>
        <v>5</v>
      </c>
      <c r="BA244" s="212">
        <f t="shared" si="53"/>
        <v>1</v>
      </c>
      <c r="BB244" s="213">
        <f t="shared" si="54"/>
        <v>1</v>
      </c>
      <c r="BC244" s="225">
        <f t="shared" si="55"/>
        <v>8</v>
      </c>
      <c r="BD244" s="211">
        <f t="shared" si="56"/>
        <v>0</v>
      </c>
      <c r="BE244" s="212">
        <f t="shared" si="57"/>
        <v>0</v>
      </c>
      <c r="BF244" s="212">
        <f t="shared" si="58"/>
        <v>0</v>
      </c>
      <c r="BG244" s="213">
        <f t="shared" si="59"/>
        <v>0</v>
      </c>
      <c r="BH244" s="225">
        <f t="shared" si="60"/>
        <v>0</v>
      </c>
      <c r="BI244" s="214">
        <f t="shared" si="61"/>
        <v>0</v>
      </c>
      <c r="BJ244" s="215">
        <f t="shared" si="62"/>
        <v>0</v>
      </c>
      <c r="BK244" s="215">
        <f t="shared" si="63"/>
        <v>0</v>
      </c>
      <c r="BL244" s="216">
        <f t="shared" si="64"/>
        <v>0</v>
      </c>
      <c r="BM244" s="225">
        <f t="shared" si="65"/>
        <v>0</v>
      </c>
      <c r="BN244" s="225"/>
      <c r="BO244" s="217"/>
      <c r="BP244" s="218">
        <f t="shared" si="66"/>
        <v>8</v>
      </c>
    </row>
    <row r="245" spans="1:68">
      <c r="A245" s="172">
        <v>238</v>
      </c>
      <c r="B245" s="172" t="s">
        <v>85</v>
      </c>
      <c r="C245" s="202">
        <v>160</v>
      </c>
      <c r="D245" s="172" t="s">
        <v>195</v>
      </c>
      <c r="E245" s="172" t="s">
        <v>196</v>
      </c>
      <c r="F245" s="202">
        <f>VLOOKUP(PrévisionBoris[[#This Row],[Spec]],TabModelSpecs[[ModelSpec]:[Price]],2,FALSE)</f>
        <v>115</v>
      </c>
      <c r="G245" s="172" t="s">
        <v>461</v>
      </c>
      <c r="H245" s="206">
        <f>SUMIFS(LstMachines[Nbre],LstMachines[Model-Spec],PrévisionBoris[[#This Row],[Spec]],LstMachines[Status],PrévisionBoris[[#This Row],[Status]],LstMachines[MoisLivr],H$1)</f>
        <v>0</v>
      </c>
      <c r="I245" s="207">
        <f>SUMIFS(LstMachines[Nbre],LstMachines[Model-Spec],PrévisionBoris[[#This Row],[Spec]],LstMachines[Status],PrévisionBoris[[#This Row],[Status]],LstMachines[MoisLivr],I$1)</f>
        <v>0</v>
      </c>
      <c r="J245" s="208">
        <f>SUMIFS(LstMachines[Nbre],LstMachines[Model-Spec],PrévisionBoris[[#This Row],[Spec]],LstMachines[Status],PrévisionBoris[[#This Row],[Status]],LstMachines[MoisLivr],J$1)</f>
        <v>0</v>
      </c>
      <c r="K245" s="206">
        <f>SUMIFS(LstMachines[Nbre],LstMachines[Model-Spec],PrévisionBoris[[#This Row],[Spec]],LstMachines[Status],PrévisionBoris[[#This Row],[Status]],LstMachines[MoisLivr],K$1)</f>
        <v>0</v>
      </c>
      <c r="L245" s="207">
        <f>SUMIFS(LstMachines[Nbre],LstMachines[Model-Spec],PrévisionBoris[[#This Row],[Spec]],LstMachines[Status],PrévisionBoris[[#This Row],[Status]],LstMachines[MoisLivr],L$1)</f>
        <v>0</v>
      </c>
      <c r="M245" s="208">
        <f>SUMIFS(LstMachines[Nbre],LstMachines[Model-Spec],PrévisionBoris[[#This Row],[Spec]],LstMachines[Status],PrévisionBoris[[#This Row],[Status]],LstMachines[MoisLivr],M$1)</f>
        <v>0</v>
      </c>
      <c r="N245" s="206">
        <f>SUMIFS(LstMachines[Nbre],LstMachines[Model-Spec],PrévisionBoris[[#This Row],[Spec]],LstMachines[Status],PrévisionBoris[[#This Row],[Status]],LstMachines[MoisLivr],N$1)</f>
        <v>0</v>
      </c>
      <c r="O245" s="207">
        <f>SUMIFS(LstMachines[Nbre],LstMachines[Model-Spec],PrévisionBoris[[#This Row],[Spec]],LstMachines[Status],PrévisionBoris[[#This Row],[Status]],LstMachines[MoisLivr],O$1)</f>
        <v>0</v>
      </c>
      <c r="P245" s="208">
        <f>SUMIFS(LstMachines[Nbre],LstMachines[Model-Spec],PrévisionBoris[[#This Row],[Spec]],LstMachines[Status],PrévisionBoris[[#This Row],[Status]],LstMachines[MoisLivr],P$1)</f>
        <v>0</v>
      </c>
      <c r="Q245" s="209">
        <f>SUMIFS(LstMachines[Nbre],LstMachines[Model-Spec],PrévisionBoris[[#This Row],[Spec]],LstMachines[Status],PrévisionBoris[[#This Row],[Status]],LstMachines[MoisLivr],Q$1)</f>
        <v>0</v>
      </c>
      <c r="R245" s="207">
        <f>SUMIFS(LstMachines[Nbre],LstMachines[Model-Spec],PrévisionBoris[[#This Row],[Spec]],LstMachines[Status],PrévisionBoris[[#This Row],[Status]],LstMachines[MoisLivr],R$1)</f>
        <v>0</v>
      </c>
      <c r="S245" s="207">
        <f>SUMIFS(LstMachines[Nbre],LstMachines[Model-Spec],PrévisionBoris[[#This Row],[Spec]],LstMachines[Status],PrévisionBoris[[#This Row],[Status]],LstMachines[MoisLivr],S$1)</f>
        <v>0</v>
      </c>
      <c r="T245" s="206">
        <f>SUMIFS(LstMachines[Nbre],LstMachines[Model-Spec],PrévisionBoris[[#This Row],[Spec]],LstMachines[Status],PrévisionBoris[[#This Row],[Status]],LstMachines[MoisLivr],T$1)</f>
        <v>0</v>
      </c>
      <c r="U245" s="207">
        <f>SUMIFS(LstMachines[Nbre],LstMachines[Model-Spec],PrévisionBoris[[#This Row],[Spec]],LstMachines[Status],PrévisionBoris[[#This Row],[Status]],LstMachines[MoisLivr],U$1)</f>
        <v>0</v>
      </c>
      <c r="V245" s="207">
        <f>SUMIFS(LstMachines[Nbre],LstMachines[Model-Spec],PrévisionBoris[[#This Row],[Spec]],LstMachines[Status],PrévisionBoris[[#This Row],[Status]],LstMachines[MoisLivr],V$1)</f>
        <v>0</v>
      </c>
      <c r="W245" s="206">
        <f>SUMIFS(LstMachines[Nbre],LstMachines[Model-Spec],PrévisionBoris[[#This Row],[Spec]],LstMachines[Status],PrévisionBoris[[#This Row],[Status]],LstMachines[MoisLivr],W$1)</f>
        <v>0</v>
      </c>
      <c r="X245" s="207">
        <f>SUMIFS(LstMachines[Nbre],LstMachines[Model-Spec],PrévisionBoris[[#This Row],[Spec]],LstMachines[Status],PrévisionBoris[[#This Row],[Status]],LstMachines[MoisLivr],X$1)</f>
        <v>0</v>
      </c>
      <c r="Y245" s="207">
        <f>SUMIFS(LstMachines[Nbre],LstMachines[Model-Spec],PrévisionBoris[[#This Row],[Spec]],LstMachines[Status],PrévisionBoris[[#This Row],[Status]],LstMachines[MoisLivr],Y$1)</f>
        <v>0</v>
      </c>
      <c r="Z245" s="206">
        <f>SUMIFS(LstMachines[Nbre],LstMachines[Model-Spec],PrévisionBoris[[#This Row],[Spec]],LstMachines[Status],PrévisionBoris[[#This Row],[Status]],LstMachines[MoisLivr],Z$1)</f>
        <v>0</v>
      </c>
      <c r="AA245" s="207">
        <f>SUMIFS(LstMachines[Nbre],LstMachines[Model-Spec],PrévisionBoris[[#This Row],[Spec]],LstMachines[Status],PrévisionBoris[[#This Row],[Status]],LstMachines[MoisLivr],AA$1)</f>
        <v>0</v>
      </c>
      <c r="AB245" s="207">
        <f>SUMIFS(LstMachines[Nbre],LstMachines[Model-Spec],PrévisionBoris[[#This Row],[Spec]],LstMachines[Status],PrévisionBoris[[#This Row],[Status]],LstMachines[MoisLivr],AB$1)</f>
        <v>0</v>
      </c>
      <c r="AC245" s="206">
        <f>SUMIFS(LstMachines[Nbre],LstMachines[Model-Spec],PrévisionBoris[[#This Row],[Spec]],LstMachines[Status],PrévisionBoris[[#This Row],[Status]],LstMachines[MoisLivr],AC$1)</f>
        <v>0</v>
      </c>
      <c r="AD245" s="207">
        <f>SUMIFS(LstMachines[Nbre],LstMachines[Model-Spec],PrévisionBoris[[#This Row],[Spec]],LstMachines[Status],PrévisionBoris[[#This Row],[Status]],LstMachines[MoisLivr],AD$1)</f>
        <v>0</v>
      </c>
      <c r="AE245" s="207">
        <f>SUMIFS(LstMachines[Nbre],LstMachines[Model-Spec],PrévisionBoris[[#This Row],[Spec]],LstMachines[Status],PrévisionBoris[[#This Row],[Status]],LstMachines[MoisLivr],AE$1)</f>
        <v>0</v>
      </c>
      <c r="AF245" s="206">
        <f>SUMIFS(LstMachines[Nbre],LstMachines[Model-Spec],PrévisionBoris[[#This Row],[Spec]],LstMachines[Status],PrévisionBoris[[#This Row],[Status]],LstMachines[MoisLivr],AF$1)</f>
        <v>0</v>
      </c>
      <c r="AG245" s="207">
        <f>SUMIFS(LstMachines[Nbre],LstMachines[Model-Spec],PrévisionBoris[[#This Row],[Spec]],LstMachines[Status],PrévisionBoris[[#This Row],[Status]],LstMachines[MoisLivr],AG$1)</f>
        <v>0</v>
      </c>
      <c r="AH245" s="207">
        <f>SUMIFS(LstMachines[Nbre],LstMachines[Model-Spec],PrévisionBoris[[#This Row],[Spec]],LstMachines[Status],PrévisionBoris[[#This Row],[Status]],LstMachines[MoisLivr],AH$1)</f>
        <v>0</v>
      </c>
      <c r="AI245" s="206">
        <f>SUMIFS(LstMachines[Nbre],LstMachines[Model-Spec],PrévisionBoris[[#This Row],[Spec]],LstMachines[Status],PrévisionBoris[[#This Row],[Status]],LstMachines[MoisLivr],AI$1)</f>
        <v>0</v>
      </c>
      <c r="AJ245" s="207">
        <f>SUMIFS(LstMachines[Nbre],LstMachines[Model-Spec],PrévisionBoris[[#This Row],[Spec]],LstMachines[Status],PrévisionBoris[[#This Row],[Status]],LstMachines[MoisLivr],AJ$1)</f>
        <v>0</v>
      </c>
      <c r="AK245" s="207">
        <f>SUMIFS(LstMachines[Nbre],LstMachines[Model-Spec],PrévisionBoris[[#This Row],[Spec]],LstMachines[Status],PrévisionBoris[[#This Row],[Status]],LstMachines[MoisLivr],AK$1)</f>
        <v>0</v>
      </c>
      <c r="AL245" s="206">
        <f>SUMIFS(LstMachines[Nbre],LstMachines[Model-Spec],PrévisionBoris[[#This Row],[Spec]],LstMachines[Status],PrévisionBoris[[#This Row],[Status]],LstMachines[MoisLivr],AL$1)</f>
        <v>0</v>
      </c>
      <c r="AM245" s="207">
        <f>SUMIFS(LstMachines[Nbre],LstMachines[Model-Spec],PrévisionBoris[[#This Row],[Spec]],LstMachines[Status],PrévisionBoris[[#This Row],[Status]],LstMachines[MoisLivr],AM$1)</f>
        <v>0</v>
      </c>
      <c r="AN245" s="207">
        <f>SUMIFS(LstMachines[Nbre],LstMachines[Model-Spec],PrévisionBoris[[#This Row],[Spec]],LstMachines[Status],PrévisionBoris[[#This Row],[Status]],LstMachines[MoisLivr],AN$1)</f>
        <v>0</v>
      </c>
      <c r="AO245" s="206">
        <f>SUMIFS(LstMachines[Nbre],LstMachines[Model-Spec],PrévisionBoris[[#This Row],[Spec]],LstMachines[Status],PrévisionBoris[[#This Row],[Status]],LstMachines[MoisLivr],AO$1)</f>
        <v>0</v>
      </c>
      <c r="AP245" s="207">
        <f>SUMIFS(LstMachines[Nbre],LstMachines[Model-Spec],PrévisionBoris[[#This Row],[Spec]],LstMachines[Status],PrévisionBoris[[#This Row],[Status]],LstMachines[MoisLivr],AP$1)</f>
        <v>0</v>
      </c>
      <c r="AQ245" s="207">
        <f>SUMIFS(LstMachines[Nbre],LstMachines[Model-Spec],PrévisionBoris[[#This Row],[Spec]],LstMachines[Status],PrévisionBoris[[#This Row],[Status]],LstMachines[MoisLivr],AQ$1)</f>
        <v>0</v>
      </c>
      <c r="AR245" s="206">
        <f>SUMIFS(LstMachines[Nbre],LstMachines[Model-Spec],PrévisionBoris[[#This Row],[Spec]],LstMachines[Status],PrévisionBoris[[#This Row],[Status]],LstMachines[MoisLivr],AR$1)</f>
        <v>0</v>
      </c>
      <c r="AS245" s="207">
        <f>SUMIFS(LstMachines[Nbre],LstMachines[Model-Spec],PrévisionBoris[[#This Row],[Spec]],LstMachines[Status],PrévisionBoris[[#This Row],[Status]],LstMachines[MoisLivr],AS$1)</f>
        <v>0</v>
      </c>
      <c r="AT245" s="207">
        <f>SUMIFS(LstMachines[Nbre],LstMachines[Model-Spec],PrévisionBoris[[#This Row],[Spec]],LstMachines[Status],PrévisionBoris[[#This Row],[Status]],LstMachines[MoisLivr],AT$1)</f>
        <v>0</v>
      </c>
      <c r="AU245" s="206">
        <f>SUMIFS(LstMachines[Nbre],LstMachines[Model-Spec],PrévisionBoris[[#This Row],[Spec]],LstMachines[Status],PrévisionBoris[[#This Row],[Status]],LstMachines[MoisLivr],AU$1)</f>
        <v>0</v>
      </c>
      <c r="AV245" s="233">
        <f>SUMIFS(LstMachines[Nbre],LstMachines[Model-Spec],PrévisionBoris[[#This Row],[Spec]],LstMachines[Status],PrévisionBoris[[#This Row],[Status]],LstMachines[MoisLivr],AV$1)</f>
        <v>0</v>
      </c>
      <c r="AW245" s="208">
        <f>SUMIFS(LstMachines[Nbre],LstMachines[Model-Spec],PrévisionBoris[[#This Row],[Spec]],LstMachines[Status],PrévisionBoris[[#This Row],[Status]],LstMachines[MoisLivr],AW$1)</f>
        <v>0</v>
      </c>
      <c r="AX245" s="225"/>
      <c r="AY245" s="211">
        <f t="shared" si="51"/>
        <v>0</v>
      </c>
      <c r="AZ245" s="212">
        <f t="shared" si="52"/>
        <v>0</v>
      </c>
      <c r="BA245" s="212">
        <f t="shared" si="53"/>
        <v>0</v>
      </c>
      <c r="BB245" s="213">
        <f t="shared" si="54"/>
        <v>0</v>
      </c>
      <c r="BC245" s="225">
        <f t="shared" si="55"/>
        <v>0</v>
      </c>
      <c r="BD245" s="211">
        <f t="shared" si="56"/>
        <v>0</v>
      </c>
      <c r="BE245" s="212">
        <f t="shared" si="57"/>
        <v>0</v>
      </c>
      <c r="BF245" s="212">
        <f t="shared" si="58"/>
        <v>0</v>
      </c>
      <c r="BG245" s="213">
        <f t="shared" si="59"/>
        <v>0</v>
      </c>
      <c r="BH245" s="225">
        <f t="shared" si="60"/>
        <v>0</v>
      </c>
      <c r="BI245" s="214">
        <f t="shared" si="61"/>
        <v>0</v>
      </c>
      <c r="BJ245" s="215">
        <f t="shared" si="62"/>
        <v>0</v>
      </c>
      <c r="BK245" s="215">
        <f t="shared" si="63"/>
        <v>0</v>
      </c>
      <c r="BL245" s="216">
        <f t="shared" si="64"/>
        <v>0</v>
      </c>
      <c r="BM245" s="225">
        <f t="shared" si="65"/>
        <v>0</v>
      </c>
      <c r="BN245" s="225"/>
      <c r="BO245" s="234"/>
      <c r="BP245" s="218">
        <f t="shared" si="66"/>
        <v>0</v>
      </c>
    </row>
    <row r="246" spans="1:68">
      <c r="A246" s="170">
        <v>239</v>
      </c>
      <c r="B246" s="170" t="s">
        <v>85</v>
      </c>
      <c r="C246" s="200">
        <v>160</v>
      </c>
      <c r="D246" s="170" t="s">
        <v>195</v>
      </c>
      <c r="E246" s="170" t="s">
        <v>196</v>
      </c>
      <c r="F246" s="200">
        <f>VLOOKUP(PrévisionBoris[[#This Row],[Spec]],TabModelSpecs[[ModelSpec]:[Price]],2,FALSE)</f>
        <v>115</v>
      </c>
      <c r="G246" s="170" t="s">
        <v>462</v>
      </c>
      <c r="H246" s="219">
        <f>SUMIFS(LstMachines[Nbre],LstMachines[Model-Spec],PrévisionBoris[[#This Row],[Spec]],LstMachines[Status],PrévisionBoris[[#This Row],[Status]],LstMachines[MoisLivr],H$1)</f>
        <v>0</v>
      </c>
      <c r="I246" s="220">
        <f>SUMIFS(LstMachines[Nbre],LstMachines[Model-Spec],PrévisionBoris[[#This Row],[Spec]],LstMachines[Status],PrévisionBoris[[#This Row],[Status]],LstMachines[MoisLivr],I$1)</f>
        <v>0</v>
      </c>
      <c r="J246" s="221">
        <f>SUMIFS(LstMachines[Nbre],LstMachines[Model-Spec],PrévisionBoris[[#This Row],[Spec]],LstMachines[Status],PrévisionBoris[[#This Row],[Status]],LstMachines[MoisLivr],J$1)</f>
        <v>0</v>
      </c>
      <c r="K246" s="219">
        <f>SUMIFS(LstMachines[Nbre],LstMachines[Model-Spec],PrévisionBoris[[#This Row],[Spec]],LstMachines[Status],PrévisionBoris[[#This Row],[Status]],LstMachines[MoisLivr],K$1)</f>
        <v>0</v>
      </c>
      <c r="L246" s="220">
        <f>SUMIFS(LstMachines[Nbre],LstMachines[Model-Spec],PrévisionBoris[[#This Row],[Spec]],LstMachines[Status],PrévisionBoris[[#This Row],[Status]],LstMachines[MoisLivr],L$1)</f>
        <v>0</v>
      </c>
      <c r="M246" s="221">
        <f>SUMIFS(LstMachines[Nbre],LstMachines[Model-Spec],PrévisionBoris[[#This Row],[Spec]],LstMachines[Status],PrévisionBoris[[#This Row],[Status]],LstMachines[MoisLivr],M$1)</f>
        <v>0</v>
      </c>
      <c r="N246" s="219">
        <f>SUMIFS(LstMachines[Nbre],LstMachines[Model-Spec],PrévisionBoris[[#This Row],[Spec]],LstMachines[Status],PrévisionBoris[[#This Row],[Status]],LstMachines[MoisLivr],N$1)</f>
        <v>0</v>
      </c>
      <c r="O246" s="220">
        <f>SUMIFS(LstMachines[Nbre],LstMachines[Model-Spec],PrévisionBoris[[#This Row],[Spec]],LstMachines[Status],PrévisionBoris[[#This Row],[Status]],LstMachines[MoisLivr],O$1)</f>
        <v>0</v>
      </c>
      <c r="P246" s="221">
        <f>SUMIFS(LstMachines[Nbre],LstMachines[Model-Spec],PrévisionBoris[[#This Row],[Spec]],LstMachines[Status],PrévisionBoris[[#This Row],[Status]],LstMachines[MoisLivr],P$1)</f>
        <v>0</v>
      </c>
      <c r="Q246" s="222">
        <f>SUMIFS(LstMachines[Nbre],LstMachines[Model-Spec],PrévisionBoris[[#This Row],[Spec]],LstMachines[Status],PrévisionBoris[[#This Row],[Status]],LstMachines[MoisLivr],Q$1)</f>
        <v>0</v>
      </c>
      <c r="R246" s="220">
        <f>SUMIFS(LstMachines[Nbre],LstMachines[Model-Spec],PrévisionBoris[[#This Row],[Spec]],LstMachines[Status],PrévisionBoris[[#This Row],[Status]],LstMachines[MoisLivr],R$1)</f>
        <v>0</v>
      </c>
      <c r="S246" s="220">
        <f>SUMIFS(LstMachines[Nbre],LstMachines[Model-Spec],PrévisionBoris[[#This Row],[Spec]],LstMachines[Status],PrévisionBoris[[#This Row],[Status]],LstMachines[MoisLivr],S$1)</f>
        <v>0</v>
      </c>
      <c r="T246" s="219">
        <f>SUMIFS(LstMachines[Nbre],LstMachines[Model-Spec],PrévisionBoris[[#This Row],[Spec]],LstMachines[Status],PrévisionBoris[[#This Row],[Status]],LstMachines[MoisLivr],T$1)</f>
        <v>0</v>
      </c>
      <c r="U246" s="220">
        <f>SUMIFS(LstMachines[Nbre],LstMachines[Model-Spec],PrévisionBoris[[#This Row],[Spec]],LstMachines[Status],PrévisionBoris[[#This Row],[Status]],LstMachines[MoisLivr],U$1)</f>
        <v>0</v>
      </c>
      <c r="V246" s="220">
        <f>SUMIFS(LstMachines[Nbre],LstMachines[Model-Spec],PrévisionBoris[[#This Row],[Spec]],LstMachines[Status],PrévisionBoris[[#This Row],[Status]],LstMachines[MoisLivr],V$1)</f>
        <v>0</v>
      </c>
      <c r="W246" s="219">
        <f>SUMIFS(LstMachines[Nbre],LstMachines[Model-Spec],PrévisionBoris[[#This Row],[Spec]],LstMachines[Status],PrévisionBoris[[#This Row],[Status]],LstMachines[MoisLivr],W$1)</f>
        <v>0</v>
      </c>
      <c r="X246" s="220">
        <f>SUMIFS(LstMachines[Nbre],LstMachines[Model-Spec],PrévisionBoris[[#This Row],[Spec]],LstMachines[Status],PrévisionBoris[[#This Row],[Status]],LstMachines[MoisLivr],X$1)</f>
        <v>0</v>
      </c>
      <c r="Y246" s="220">
        <f>SUMIFS(LstMachines[Nbre],LstMachines[Model-Spec],PrévisionBoris[[#This Row],[Spec]],LstMachines[Status],PrévisionBoris[[#This Row],[Status]],LstMachines[MoisLivr],Y$1)</f>
        <v>0</v>
      </c>
      <c r="Z246" s="219">
        <f>SUMIFS(LstMachines[Nbre],LstMachines[Model-Spec],PrévisionBoris[[#This Row],[Spec]],LstMachines[Status],PrévisionBoris[[#This Row],[Status]],LstMachines[MoisLivr],Z$1)</f>
        <v>0</v>
      </c>
      <c r="AA246" s="220">
        <f>SUMIFS(LstMachines[Nbre],LstMachines[Model-Spec],PrévisionBoris[[#This Row],[Spec]],LstMachines[Status],PrévisionBoris[[#This Row],[Status]],LstMachines[MoisLivr],AA$1)</f>
        <v>0</v>
      </c>
      <c r="AB246" s="220">
        <f>SUMIFS(LstMachines[Nbre],LstMachines[Model-Spec],PrévisionBoris[[#This Row],[Spec]],LstMachines[Status],PrévisionBoris[[#This Row],[Status]],LstMachines[MoisLivr],AB$1)</f>
        <v>0</v>
      </c>
      <c r="AC246" s="219">
        <f>SUMIFS(LstMachines[Nbre],LstMachines[Model-Spec],PrévisionBoris[[#This Row],[Spec]],LstMachines[Status],PrévisionBoris[[#This Row],[Status]],LstMachines[MoisLivr],AC$1)</f>
        <v>0</v>
      </c>
      <c r="AD246" s="220">
        <f>SUMIFS(LstMachines[Nbre],LstMachines[Model-Spec],PrévisionBoris[[#This Row],[Spec]],LstMachines[Status],PrévisionBoris[[#This Row],[Status]],LstMachines[MoisLivr],AD$1)</f>
        <v>0</v>
      </c>
      <c r="AE246" s="220">
        <f>SUMIFS(LstMachines[Nbre],LstMachines[Model-Spec],PrévisionBoris[[#This Row],[Spec]],LstMachines[Status],PrévisionBoris[[#This Row],[Status]],LstMachines[MoisLivr],AE$1)</f>
        <v>0</v>
      </c>
      <c r="AF246" s="219">
        <f>SUMIFS(LstMachines[Nbre],LstMachines[Model-Spec],PrévisionBoris[[#This Row],[Spec]],LstMachines[Status],PrévisionBoris[[#This Row],[Status]],LstMachines[MoisLivr],AF$1)</f>
        <v>0</v>
      </c>
      <c r="AG246" s="220">
        <f>SUMIFS(LstMachines[Nbre],LstMachines[Model-Spec],PrévisionBoris[[#This Row],[Spec]],LstMachines[Status],PrévisionBoris[[#This Row],[Status]],LstMachines[MoisLivr],AG$1)</f>
        <v>0</v>
      </c>
      <c r="AH246" s="220">
        <f>SUMIFS(LstMachines[Nbre],LstMachines[Model-Spec],PrévisionBoris[[#This Row],[Spec]],LstMachines[Status],PrévisionBoris[[#This Row],[Status]],LstMachines[MoisLivr],AH$1)</f>
        <v>0</v>
      </c>
      <c r="AI246" s="219">
        <f>SUMIFS(LstMachines[Nbre],LstMachines[Model-Spec],PrévisionBoris[[#This Row],[Spec]],LstMachines[Status],PrévisionBoris[[#This Row],[Status]],LstMachines[MoisLivr],AI$1)</f>
        <v>0</v>
      </c>
      <c r="AJ246" s="220">
        <f>SUMIFS(LstMachines[Nbre],LstMachines[Model-Spec],PrévisionBoris[[#This Row],[Spec]],LstMachines[Status],PrévisionBoris[[#This Row],[Status]],LstMachines[MoisLivr],AJ$1)</f>
        <v>0</v>
      </c>
      <c r="AK246" s="220">
        <f>SUMIFS(LstMachines[Nbre],LstMachines[Model-Spec],PrévisionBoris[[#This Row],[Spec]],LstMachines[Status],PrévisionBoris[[#This Row],[Status]],LstMachines[MoisLivr],AK$1)</f>
        <v>0</v>
      </c>
      <c r="AL246" s="219">
        <f>SUMIFS(LstMachines[Nbre],LstMachines[Model-Spec],PrévisionBoris[[#This Row],[Spec]],LstMachines[Status],PrévisionBoris[[#This Row],[Status]],LstMachines[MoisLivr],AL$1)</f>
        <v>0</v>
      </c>
      <c r="AM246" s="220">
        <f>SUMIFS(LstMachines[Nbre],LstMachines[Model-Spec],PrévisionBoris[[#This Row],[Spec]],LstMachines[Status],PrévisionBoris[[#This Row],[Status]],LstMachines[MoisLivr],AM$1)</f>
        <v>0</v>
      </c>
      <c r="AN246" s="220">
        <f>SUMIFS(LstMachines[Nbre],LstMachines[Model-Spec],PrévisionBoris[[#This Row],[Spec]],LstMachines[Status],PrévisionBoris[[#This Row],[Status]],LstMachines[MoisLivr],AN$1)</f>
        <v>0</v>
      </c>
      <c r="AO246" s="219">
        <f>SUMIFS(LstMachines[Nbre],LstMachines[Model-Spec],PrévisionBoris[[#This Row],[Spec]],LstMachines[Status],PrévisionBoris[[#This Row],[Status]],LstMachines[MoisLivr],AO$1)</f>
        <v>0</v>
      </c>
      <c r="AP246" s="220">
        <f>SUMIFS(LstMachines[Nbre],LstMachines[Model-Spec],PrévisionBoris[[#This Row],[Spec]],LstMachines[Status],PrévisionBoris[[#This Row],[Status]],LstMachines[MoisLivr],AP$1)</f>
        <v>0</v>
      </c>
      <c r="AQ246" s="220">
        <f>SUMIFS(LstMachines[Nbre],LstMachines[Model-Spec],PrévisionBoris[[#This Row],[Spec]],LstMachines[Status],PrévisionBoris[[#This Row],[Status]],LstMachines[MoisLivr],AQ$1)</f>
        <v>0</v>
      </c>
      <c r="AR246" s="219">
        <f>SUMIFS(LstMachines[Nbre],LstMachines[Model-Spec],PrévisionBoris[[#This Row],[Spec]],LstMachines[Status],PrévisionBoris[[#This Row],[Status]],LstMachines[MoisLivr],AR$1)</f>
        <v>0</v>
      </c>
      <c r="AS246" s="220">
        <f>SUMIFS(LstMachines[Nbre],LstMachines[Model-Spec],PrévisionBoris[[#This Row],[Spec]],LstMachines[Status],PrévisionBoris[[#This Row],[Status]],LstMachines[MoisLivr],AS$1)</f>
        <v>0</v>
      </c>
      <c r="AT246" s="220">
        <f>SUMIFS(LstMachines[Nbre],LstMachines[Model-Spec],PrévisionBoris[[#This Row],[Spec]],LstMachines[Status],PrévisionBoris[[#This Row],[Status]],LstMachines[MoisLivr],AT$1)</f>
        <v>0</v>
      </c>
      <c r="AU246" s="219">
        <f>SUMIFS(LstMachines[Nbre],LstMachines[Model-Spec],PrévisionBoris[[#This Row],[Spec]],LstMachines[Status],PrévisionBoris[[#This Row],[Status]],LstMachines[MoisLivr],AU$1)</f>
        <v>0</v>
      </c>
      <c r="AV246" s="223">
        <f>SUMIFS(LstMachines[Nbre],LstMachines[Model-Spec],PrévisionBoris[[#This Row],[Spec]],LstMachines[Status],PrévisionBoris[[#This Row],[Status]],LstMachines[MoisLivr],AV$1)</f>
        <v>0</v>
      </c>
      <c r="AW246" s="224">
        <f>SUMIFS(LstMachines[Nbre],LstMachines[Model-Spec],PrévisionBoris[[#This Row],[Spec]],LstMachines[Status],PrévisionBoris[[#This Row],[Status]],LstMachines[MoisLivr],AW$1)</f>
        <v>0</v>
      </c>
      <c r="AX246" s="210"/>
      <c r="AY246" s="211">
        <f t="shared" si="51"/>
        <v>0</v>
      </c>
      <c r="AZ246" s="212">
        <f t="shared" si="52"/>
        <v>0</v>
      </c>
      <c r="BA246" s="212">
        <f t="shared" si="53"/>
        <v>0</v>
      </c>
      <c r="BB246" s="213">
        <f t="shared" si="54"/>
        <v>0</v>
      </c>
      <c r="BC246" s="225">
        <f t="shared" si="55"/>
        <v>0</v>
      </c>
      <c r="BD246" s="211">
        <f t="shared" si="56"/>
        <v>0</v>
      </c>
      <c r="BE246" s="212">
        <f t="shared" si="57"/>
        <v>0</v>
      </c>
      <c r="BF246" s="212">
        <f t="shared" si="58"/>
        <v>0</v>
      </c>
      <c r="BG246" s="213">
        <f t="shared" si="59"/>
        <v>0</v>
      </c>
      <c r="BH246" s="225">
        <f t="shared" si="60"/>
        <v>0</v>
      </c>
      <c r="BI246" s="214">
        <f t="shared" si="61"/>
        <v>0</v>
      </c>
      <c r="BJ246" s="215">
        <f t="shared" si="62"/>
        <v>0</v>
      </c>
      <c r="BK246" s="215">
        <f t="shared" si="63"/>
        <v>0</v>
      </c>
      <c r="BL246" s="216">
        <f t="shared" si="64"/>
        <v>0</v>
      </c>
      <c r="BM246" s="225">
        <f t="shared" si="65"/>
        <v>0</v>
      </c>
      <c r="BN246" s="225"/>
      <c r="BO246" s="217"/>
      <c r="BP246" s="218">
        <f t="shared" si="66"/>
        <v>0</v>
      </c>
    </row>
    <row r="247" spans="1:68">
      <c r="A247" s="171">
        <v>240</v>
      </c>
      <c r="B247" s="171" t="s">
        <v>85</v>
      </c>
      <c r="C247" s="201">
        <v>160</v>
      </c>
      <c r="D247" s="171" t="s">
        <v>195</v>
      </c>
      <c r="E247" s="171" t="s">
        <v>196</v>
      </c>
      <c r="F247" s="201">
        <f>VLOOKUP(PrévisionBoris[[#This Row],[Spec]],TabModelSpecs[[ModelSpec]:[Price]],2,FALSE)</f>
        <v>115</v>
      </c>
      <c r="G247" s="171" t="s">
        <v>463</v>
      </c>
      <c r="H247" s="226">
        <f>SUMIFS(LstMachines[Nbre],LstMachines[Model-Spec],PrévisionBoris[[#This Row],[Spec]],LstMachines[Status],PrévisionBoris[[#This Row],[Status]],LstMachines[MoisLivr],H$1)</f>
        <v>0</v>
      </c>
      <c r="I247" s="227">
        <f>SUMIFS(LstMachines[Nbre],LstMachines[Model-Spec],PrévisionBoris[[#This Row],[Spec]],LstMachines[Status],PrévisionBoris[[#This Row],[Status]],LstMachines[MoisLivr],I$1)</f>
        <v>0</v>
      </c>
      <c r="J247" s="228">
        <f>SUMIFS(LstMachines[Nbre],LstMachines[Model-Spec],PrévisionBoris[[#This Row],[Spec]],LstMachines[Status],PrévisionBoris[[#This Row],[Status]],LstMachines[MoisLivr],J$1)</f>
        <v>0</v>
      </c>
      <c r="K247" s="226">
        <f>SUMIFS(LstMachines[Nbre],LstMachines[Model-Spec],PrévisionBoris[[#This Row],[Spec]],LstMachines[Status],PrévisionBoris[[#This Row],[Status]],LstMachines[MoisLivr],K$1)</f>
        <v>0</v>
      </c>
      <c r="L247" s="227">
        <f>SUMIFS(LstMachines[Nbre],LstMachines[Model-Spec],PrévisionBoris[[#This Row],[Spec]],LstMachines[Status],PrévisionBoris[[#This Row],[Status]],LstMachines[MoisLivr],L$1)</f>
        <v>0</v>
      </c>
      <c r="M247" s="228">
        <f>SUMIFS(LstMachines[Nbre],LstMachines[Model-Spec],PrévisionBoris[[#This Row],[Spec]],LstMachines[Status],PrévisionBoris[[#This Row],[Status]],LstMachines[MoisLivr],M$1)</f>
        <v>0</v>
      </c>
      <c r="N247" s="226">
        <f>SUMIFS(LstMachines[Nbre],LstMachines[Model-Spec],PrévisionBoris[[#This Row],[Spec]],LstMachines[Status],PrévisionBoris[[#This Row],[Status]],LstMachines[MoisLivr],N$1)</f>
        <v>1</v>
      </c>
      <c r="O247" s="227">
        <f>SUMIFS(LstMachines[Nbre],LstMachines[Model-Spec],PrévisionBoris[[#This Row],[Spec]],LstMachines[Status],PrévisionBoris[[#This Row],[Status]],LstMachines[MoisLivr],O$1)</f>
        <v>0</v>
      </c>
      <c r="P247" s="228">
        <f>SUMIFS(LstMachines[Nbre],LstMachines[Model-Spec],PrévisionBoris[[#This Row],[Spec]],LstMachines[Status],PrévisionBoris[[#This Row],[Status]],LstMachines[MoisLivr],P$1)</f>
        <v>0</v>
      </c>
      <c r="Q247" s="229">
        <f>SUMIFS(LstMachines[Nbre],LstMachines[Model-Spec],PrévisionBoris[[#This Row],[Spec]],LstMachines[Status],PrévisionBoris[[#This Row],[Status]],LstMachines[MoisLivr],Q$1)</f>
        <v>0</v>
      </c>
      <c r="R247" s="227">
        <f>SUMIFS(LstMachines[Nbre],LstMachines[Model-Spec],PrévisionBoris[[#This Row],[Spec]],LstMachines[Status],PrévisionBoris[[#This Row],[Status]],LstMachines[MoisLivr],R$1)</f>
        <v>0</v>
      </c>
      <c r="S247" s="227">
        <f>SUMIFS(LstMachines[Nbre],LstMachines[Model-Spec],PrévisionBoris[[#This Row],[Spec]],LstMachines[Status],PrévisionBoris[[#This Row],[Status]],LstMachines[MoisLivr],S$1)</f>
        <v>0</v>
      </c>
      <c r="T247" s="226">
        <f>SUMIFS(LstMachines[Nbre],LstMachines[Model-Spec],PrévisionBoris[[#This Row],[Spec]],LstMachines[Status],PrévisionBoris[[#This Row],[Status]],LstMachines[MoisLivr],T$1)</f>
        <v>0</v>
      </c>
      <c r="U247" s="227">
        <f>SUMIFS(LstMachines[Nbre],LstMachines[Model-Spec],PrévisionBoris[[#This Row],[Spec]],LstMachines[Status],PrévisionBoris[[#This Row],[Status]],LstMachines[MoisLivr],U$1)</f>
        <v>0</v>
      </c>
      <c r="V247" s="227">
        <f>SUMIFS(LstMachines[Nbre],LstMachines[Model-Spec],PrévisionBoris[[#This Row],[Spec]],LstMachines[Status],PrévisionBoris[[#This Row],[Status]],LstMachines[MoisLivr],V$1)</f>
        <v>0</v>
      </c>
      <c r="W247" s="226">
        <f>SUMIFS(LstMachines[Nbre],LstMachines[Model-Spec],PrévisionBoris[[#This Row],[Spec]],LstMachines[Status],PrévisionBoris[[#This Row],[Status]],LstMachines[MoisLivr],W$1)</f>
        <v>0</v>
      </c>
      <c r="X247" s="227">
        <f>SUMIFS(LstMachines[Nbre],LstMachines[Model-Spec],PrévisionBoris[[#This Row],[Spec]],LstMachines[Status],PrévisionBoris[[#This Row],[Status]],LstMachines[MoisLivr],X$1)</f>
        <v>0</v>
      </c>
      <c r="Y247" s="227">
        <f>SUMIFS(LstMachines[Nbre],LstMachines[Model-Spec],PrévisionBoris[[#This Row],[Spec]],LstMachines[Status],PrévisionBoris[[#This Row],[Status]],LstMachines[MoisLivr],Y$1)</f>
        <v>0</v>
      </c>
      <c r="Z247" s="226">
        <f>SUMIFS(LstMachines[Nbre],LstMachines[Model-Spec],PrévisionBoris[[#This Row],[Spec]],LstMachines[Status],PrévisionBoris[[#This Row],[Status]],LstMachines[MoisLivr],Z$1)</f>
        <v>0</v>
      </c>
      <c r="AA247" s="227">
        <f>SUMIFS(LstMachines[Nbre],LstMachines[Model-Spec],PrévisionBoris[[#This Row],[Spec]],LstMachines[Status],PrévisionBoris[[#This Row],[Status]],LstMachines[MoisLivr],AA$1)</f>
        <v>0</v>
      </c>
      <c r="AB247" s="227">
        <f>SUMIFS(LstMachines[Nbre],LstMachines[Model-Spec],PrévisionBoris[[#This Row],[Spec]],LstMachines[Status],PrévisionBoris[[#This Row],[Status]],LstMachines[MoisLivr],AB$1)</f>
        <v>0</v>
      </c>
      <c r="AC247" s="226">
        <f>SUMIFS(LstMachines[Nbre],LstMachines[Model-Spec],PrévisionBoris[[#This Row],[Spec]],LstMachines[Status],PrévisionBoris[[#This Row],[Status]],LstMachines[MoisLivr],AC$1)</f>
        <v>0</v>
      </c>
      <c r="AD247" s="227">
        <f>SUMIFS(LstMachines[Nbre],LstMachines[Model-Spec],PrévisionBoris[[#This Row],[Spec]],LstMachines[Status],PrévisionBoris[[#This Row],[Status]],LstMachines[MoisLivr],AD$1)</f>
        <v>0</v>
      </c>
      <c r="AE247" s="227">
        <f>SUMIFS(LstMachines[Nbre],LstMachines[Model-Spec],PrévisionBoris[[#This Row],[Spec]],LstMachines[Status],PrévisionBoris[[#This Row],[Status]],LstMachines[MoisLivr],AE$1)</f>
        <v>0</v>
      </c>
      <c r="AF247" s="226">
        <f>SUMIFS(LstMachines[Nbre],LstMachines[Model-Spec],PrévisionBoris[[#This Row],[Spec]],LstMachines[Status],PrévisionBoris[[#This Row],[Status]],LstMachines[MoisLivr],AF$1)</f>
        <v>0</v>
      </c>
      <c r="AG247" s="227">
        <f>SUMIFS(LstMachines[Nbre],LstMachines[Model-Spec],PrévisionBoris[[#This Row],[Spec]],LstMachines[Status],PrévisionBoris[[#This Row],[Status]],LstMachines[MoisLivr],AG$1)</f>
        <v>0</v>
      </c>
      <c r="AH247" s="227">
        <f>SUMIFS(LstMachines[Nbre],LstMachines[Model-Spec],PrévisionBoris[[#This Row],[Spec]],LstMachines[Status],PrévisionBoris[[#This Row],[Status]],LstMachines[MoisLivr],AH$1)</f>
        <v>0</v>
      </c>
      <c r="AI247" s="226">
        <f>SUMIFS(LstMachines[Nbre],LstMachines[Model-Spec],PrévisionBoris[[#This Row],[Spec]],LstMachines[Status],PrévisionBoris[[#This Row],[Status]],LstMachines[MoisLivr],AI$1)</f>
        <v>0</v>
      </c>
      <c r="AJ247" s="227">
        <f>SUMIFS(LstMachines[Nbre],LstMachines[Model-Spec],PrévisionBoris[[#This Row],[Spec]],LstMachines[Status],PrévisionBoris[[#This Row],[Status]],LstMachines[MoisLivr],AJ$1)</f>
        <v>0</v>
      </c>
      <c r="AK247" s="227">
        <f>SUMIFS(LstMachines[Nbre],LstMachines[Model-Spec],PrévisionBoris[[#This Row],[Spec]],LstMachines[Status],PrévisionBoris[[#This Row],[Status]],LstMachines[MoisLivr],AK$1)</f>
        <v>0</v>
      </c>
      <c r="AL247" s="226">
        <f>SUMIFS(LstMachines[Nbre],LstMachines[Model-Spec],PrévisionBoris[[#This Row],[Spec]],LstMachines[Status],PrévisionBoris[[#This Row],[Status]],LstMachines[MoisLivr],AL$1)</f>
        <v>0</v>
      </c>
      <c r="AM247" s="227">
        <f>SUMIFS(LstMachines[Nbre],LstMachines[Model-Spec],PrévisionBoris[[#This Row],[Spec]],LstMachines[Status],PrévisionBoris[[#This Row],[Status]],LstMachines[MoisLivr],AM$1)</f>
        <v>0</v>
      </c>
      <c r="AN247" s="227">
        <f>SUMIFS(LstMachines[Nbre],LstMachines[Model-Spec],PrévisionBoris[[#This Row],[Spec]],LstMachines[Status],PrévisionBoris[[#This Row],[Status]],LstMachines[MoisLivr],AN$1)</f>
        <v>0</v>
      </c>
      <c r="AO247" s="226">
        <f>SUMIFS(LstMachines[Nbre],LstMachines[Model-Spec],PrévisionBoris[[#This Row],[Spec]],LstMachines[Status],PrévisionBoris[[#This Row],[Status]],LstMachines[MoisLivr],AO$1)</f>
        <v>0</v>
      </c>
      <c r="AP247" s="227">
        <f>SUMIFS(LstMachines[Nbre],LstMachines[Model-Spec],PrévisionBoris[[#This Row],[Spec]],LstMachines[Status],PrévisionBoris[[#This Row],[Status]],LstMachines[MoisLivr],AP$1)</f>
        <v>0</v>
      </c>
      <c r="AQ247" s="227">
        <f>SUMIFS(LstMachines[Nbre],LstMachines[Model-Spec],PrévisionBoris[[#This Row],[Spec]],LstMachines[Status],PrévisionBoris[[#This Row],[Status]],LstMachines[MoisLivr],AQ$1)</f>
        <v>0</v>
      </c>
      <c r="AR247" s="226">
        <f>SUMIFS(LstMachines[Nbre],LstMachines[Model-Spec],PrévisionBoris[[#This Row],[Spec]],LstMachines[Status],PrévisionBoris[[#This Row],[Status]],LstMachines[MoisLivr],AR$1)</f>
        <v>0</v>
      </c>
      <c r="AS247" s="227">
        <f>SUMIFS(LstMachines[Nbre],LstMachines[Model-Spec],PrévisionBoris[[#This Row],[Spec]],LstMachines[Status],PrévisionBoris[[#This Row],[Status]],LstMachines[MoisLivr],AS$1)</f>
        <v>0</v>
      </c>
      <c r="AT247" s="227">
        <f>SUMIFS(LstMachines[Nbre],LstMachines[Model-Spec],PrévisionBoris[[#This Row],[Spec]],LstMachines[Status],PrévisionBoris[[#This Row],[Status]],LstMachines[MoisLivr],AT$1)</f>
        <v>0</v>
      </c>
      <c r="AU247" s="226">
        <f>SUMIFS(LstMachines[Nbre],LstMachines[Model-Spec],PrévisionBoris[[#This Row],[Spec]],LstMachines[Status],PrévisionBoris[[#This Row],[Status]],LstMachines[MoisLivr],AU$1)</f>
        <v>0</v>
      </c>
      <c r="AV247" s="230">
        <f>SUMIFS(LstMachines[Nbre],LstMachines[Model-Spec],PrévisionBoris[[#This Row],[Spec]],LstMachines[Status],PrévisionBoris[[#This Row],[Status]],LstMachines[MoisLivr],AV$1)</f>
        <v>0</v>
      </c>
      <c r="AW247" s="231">
        <f>SUMIFS(LstMachines[Nbre],LstMachines[Model-Spec],PrévisionBoris[[#This Row],[Spec]],LstMachines[Status],PrévisionBoris[[#This Row],[Status]],LstMachines[MoisLivr],AW$1)</f>
        <v>0</v>
      </c>
      <c r="AX247" s="232"/>
      <c r="AY247" s="211">
        <f t="shared" si="51"/>
        <v>0</v>
      </c>
      <c r="AZ247" s="212">
        <f t="shared" si="52"/>
        <v>1</v>
      </c>
      <c r="BA247" s="212">
        <f t="shared" si="53"/>
        <v>0</v>
      </c>
      <c r="BB247" s="213">
        <f t="shared" si="54"/>
        <v>0</v>
      </c>
      <c r="BC247" s="225">
        <f t="shared" si="55"/>
        <v>1</v>
      </c>
      <c r="BD247" s="211">
        <f t="shared" si="56"/>
        <v>0</v>
      </c>
      <c r="BE247" s="212">
        <f t="shared" si="57"/>
        <v>0</v>
      </c>
      <c r="BF247" s="212">
        <f t="shared" si="58"/>
        <v>0</v>
      </c>
      <c r="BG247" s="213">
        <f t="shared" si="59"/>
        <v>0</v>
      </c>
      <c r="BH247" s="225">
        <f t="shared" si="60"/>
        <v>0</v>
      </c>
      <c r="BI247" s="214">
        <f t="shared" si="61"/>
        <v>0</v>
      </c>
      <c r="BJ247" s="215">
        <f t="shared" si="62"/>
        <v>0</v>
      </c>
      <c r="BK247" s="215">
        <f t="shared" si="63"/>
        <v>0</v>
      </c>
      <c r="BL247" s="216">
        <f t="shared" si="64"/>
        <v>0</v>
      </c>
      <c r="BM247" s="225">
        <f t="shared" si="65"/>
        <v>0</v>
      </c>
      <c r="BN247" s="225"/>
      <c r="BO247" s="217"/>
      <c r="BP247" s="218">
        <f t="shared" si="66"/>
        <v>1</v>
      </c>
    </row>
    <row r="248" spans="1:68">
      <c r="A248" s="172">
        <v>241</v>
      </c>
      <c r="B248" s="172" t="s">
        <v>85</v>
      </c>
      <c r="C248" s="202">
        <v>160</v>
      </c>
      <c r="D248" s="172" t="s">
        <v>195</v>
      </c>
      <c r="E248" s="172" t="s">
        <v>197</v>
      </c>
      <c r="F248" s="202">
        <f>VLOOKUP(PrévisionBoris[[#This Row],[Spec]],TabModelSpecs[[ModelSpec]:[Price]],2,FALSE)</f>
        <v>105</v>
      </c>
      <c r="G248" s="172" t="s">
        <v>461</v>
      </c>
      <c r="H248" s="206">
        <f>SUMIFS(LstMachines[Nbre],LstMachines[Model-Spec],PrévisionBoris[[#This Row],[Spec]],LstMachines[Status],PrévisionBoris[[#This Row],[Status]],LstMachines[MoisLivr],H$1)</f>
        <v>0</v>
      </c>
      <c r="I248" s="207">
        <f>SUMIFS(LstMachines[Nbre],LstMachines[Model-Spec],PrévisionBoris[[#This Row],[Spec]],LstMachines[Status],PrévisionBoris[[#This Row],[Status]],LstMachines[MoisLivr],I$1)</f>
        <v>0</v>
      </c>
      <c r="J248" s="208">
        <f>SUMIFS(LstMachines[Nbre],LstMachines[Model-Spec],PrévisionBoris[[#This Row],[Spec]],LstMachines[Status],PrévisionBoris[[#This Row],[Status]],LstMachines[MoisLivr],J$1)</f>
        <v>0</v>
      </c>
      <c r="K248" s="206">
        <f>SUMIFS(LstMachines[Nbre],LstMachines[Model-Spec],PrévisionBoris[[#This Row],[Spec]],LstMachines[Status],PrévisionBoris[[#This Row],[Status]],LstMachines[MoisLivr],K$1)</f>
        <v>0</v>
      </c>
      <c r="L248" s="207">
        <f>SUMIFS(LstMachines[Nbre],LstMachines[Model-Spec],PrévisionBoris[[#This Row],[Spec]],LstMachines[Status],PrévisionBoris[[#This Row],[Status]],LstMachines[MoisLivr],L$1)</f>
        <v>0</v>
      </c>
      <c r="M248" s="208">
        <f>SUMIFS(LstMachines[Nbre],LstMachines[Model-Spec],PrévisionBoris[[#This Row],[Spec]],LstMachines[Status],PrévisionBoris[[#This Row],[Status]],LstMachines[MoisLivr],M$1)</f>
        <v>0</v>
      </c>
      <c r="N248" s="206">
        <f>SUMIFS(LstMachines[Nbre],LstMachines[Model-Spec],PrévisionBoris[[#This Row],[Spec]],LstMachines[Status],PrévisionBoris[[#This Row],[Status]],LstMachines[MoisLivr],N$1)</f>
        <v>0</v>
      </c>
      <c r="O248" s="207">
        <f>SUMIFS(LstMachines[Nbre],LstMachines[Model-Spec],PrévisionBoris[[#This Row],[Spec]],LstMachines[Status],PrévisionBoris[[#This Row],[Status]],LstMachines[MoisLivr],O$1)</f>
        <v>0</v>
      </c>
      <c r="P248" s="208">
        <f>SUMIFS(LstMachines[Nbre],LstMachines[Model-Spec],PrévisionBoris[[#This Row],[Spec]],LstMachines[Status],PrévisionBoris[[#This Row],[Status]],LstMachines[MoisLivr],P$1)</f>
        <v>0</v>
      </c>
      <c r="Q248" s="209">
        <f>SUMIFS(LstMachines[Nbre],LstMachines[Model-Spec],PrévisionBoris[[#This Row],[Spec]],LstMachines[Status],PrévisionBoris[[#This Row],[Status]],LstMachines[MoisLivr],Q$1)</f>
        <v>1</v>
      </c>
      <c r="R248" s="207">
        <f>SUMIFS(LstMachines[Nbre],LstMachines[Model-Spec],PrévisionBoris[[#This Row],[Spec]],LstMachines[Status],PrévisionBoris[[#This Row],[Status]],LstMachines[MoisLivr],R$1)</f>
        <v>0</v>
      </c>
      <c r="S248" s="207">
        <f>SUMIFS(LstMachines[Nbre],LstMachines[Model-Spec],PrévisionBoris[[#This Row],[Spec]],LstMachines[Status],PrévisionBoris[[#This Row],[Status]],LstMachines[MoisLivr],S$1)</f>
        <v>0</v>
      </c>
      <c r="T248" s="206">
        <f>SUMIFS(LstMachines[Nbre],LstMachines[Model-Spec],PrévisionBoris[[#This Row],[Spec]],LstMachines[Status],PrévisionBoris[[#This Row],[Status]],LstMachines[MoisLivr],T$1)</f>
        <v>0</v>
      </c>
      <c r="U248" s="207">
        <f>SUMIFS(LstMachines[Nbre],LstMachines[Model-Spec],PrévisionBoris[[#This Row],[Spec]],LstMachines[Status],PrévisionBoris[[#This Row],[Status]],LstMachines[MoisLivr],U$1)</f>
        <v>0</v>
      </c>
      <c r="V248" s="207">
        <f>SUMIFS(LstMachines[Nbre],LstMachines[Model-Spec],PrévisionBoris[[#This Row],[Spec]],LstMachines[Status],PrévisionBoris[[#This Row],[Status]],LstMachines[MoisLivr],V$1)</f>
        <v>0</v>
      </c>
      <c r="W248" s="206">
        <f>SUMIFS(LstMachines[Nbre],LstMachines[Model-Spec],PrévisionBoris[[#This Row],[Spec]],LstMachines[Status],PrévisionBoris[[#This Row],[Status]],LstMachines[MoisLivr],W$1)</f>
        <v>0</v>
      </c>
      <c r="X248" s="207">
        <f>SUMIFS(LstMachines[Nbre],LstMachines[Model-Spec],PrévisionBoris[[#This Row],[Spec]],LstMachines[Status],PrévisionBoris[[#This Row],[Status]],LstMachines[MoisLivr],X$1)</f>
        <v>0</v>
      </c>
      <c r="Y248" s="207">
        <f>SUMIFS(LstMachines[Nbre],LstMachines[Model-Spec],PrévisionBoris[[#This Row],[Spec]],LstMachines[Status],PrévisionBoris[[#This Row],[Status]],LstMachines[MoisLivr],Y$1)</f>
        <v>0</v>
      </c>
      <c r="Z248" s="206">
        <f>SUMIFS(LstMachines[Nbre],LstMachines[Model-Spec],PrévisionBoris[[#This Row],[Spec]],LstMachines[Status],PrévisionBoris[[#This Row],[Status]],LstMachines[MoisLivr],Z$1)</f>
        <v>0</v>
      </c>
      <c r="AA248" s="207">
        <f>SUMIFS(LstMachines[Nbre],LstMachines[Model-Spec],PrévisionBoris[[#This Row],[Spec]],LstMachines[Status],PrévisionBoris[[#This Row],[Status]],LstMachines[MoisLivr],AA$1)</f>
        <v>0</v>
      </c>
      <c r="AB248" s="207">
        <f>SUMIFS(LstMachines[Nbre],LstMachines[Model-Spec],PrévisionBoris[[#This Row],[Spec]],LstMachines[Status],PrévisionBoris[[#This Row],[Status]],LstMachines[MoisLivr],AB$1)</f>
        <v>2</v>
      </c>
      <c r="AC248" s="206">
        <f>SUMIFS(LstMachines[Nbre],LstMachines[Model-Spec],PrévisionBoris[[#This Row],[Spec]],LstMachines[Status],PrévisionBoris[[#This Row],[Status]],LstMachines[MoisLivr],AC$1)</f>
        <v>0</v>
      </c>
      <c r="AD248" s="207">
        <f>SUMIFS(LstMachines[Nbre],LstMachines[Model-Spec],PrévisionBoris[[#This Row],[Spec]],LstMachines[Status],PrévisionBoris[[#This Row],[Status]],LstMachines[MoisLivr],AD$1)</f>
        <v>0</v>
      </c>
      <c r="AE248" s="207">
        <f>SUMIFS(LstMachines[Nbre],LstMachines[Model-Spec],PrévisionBoris[[#This Row],[Spec]],LstMachines[Status],PrévisionBoris[[#This Row],[Status]],LstMachines[MoisLivr],AE$1)</f>
        <v>0</v>
      </c>
      <c r="AF248" s="206">
        <f>SUMIFS(LstMachines[Nbre],LstMachines[Model-Spec],PrévisionBoris[[#This Row],[Spec]],LstMachines[Status],PrévisionBoris[[#This Row],[Status]],LstMachines[MoisLivr],AF$1)</f>
        <v>0</v>
      </c>
      <c r="AG248" s="207">
        <f>SUMIFS(LstMachines[Nbre],LstMachines[Model-Spec],PrévisionBoris[[#This Row],[Spec]],LstMachines[Status],PrévisionBoris[[#This Row],[Status]],LstMachines[MoisLivr],AG$1)</f>
        <v>0</v>
      </c>
      <c r="AH248" s="207">
        <f>SUMIFS(LstMachines[Nbre],LstMachines[Model-Spec],PrévisionBoris[[#This Row],[Spec]],LstMachines[Status],PrévisionBoris[[#This Row],[Status]],LstMachines[MoisLivr],AH$1)</f>
        <v>0</v>
      </c>
      <c r="AI248" s="206">
        <f>SUMIFS(LstMachines[Nbre],LstMachines[Model-Spec],PrévisionBoris[[#This Row],[Spec]],LstMachines[Status],PrévisionBoris[[#This Row],[Status]],LstMachines[MoisLivr],AI$1)</f>
        <v>0</v>
      </c>
      <c r="AJ248" s="207">
        <f>SUMIFS(LstMachines[Nbre],LstMachines[Model-Spec],PrévisionBoris[[#This Row],[Spec]],LstMachines[Status],PrévisionBoris[[#This Row],[Status]],LstMachines[MoisLivr],AJ$1)</f>
        <v>0</v>
      </c>
      <c r="AK248" s="207">
        <f>SUMIFS(LstMachines[Nbre],LstMachines[Model-Spec],PrévisionBoris[[#This Row],[Spec]],LstMachines[Status],PrévisionBoris[[#This Row],[Status]],LstMachines[MoisLivr],AK$1)</f>
        <v>0</v>
      </c>
      <c r="AL248" s="206">
        <f>SUMIFS(LstMachines[Nbre],LstMachines[Model-Spec],PrévisionBoris[[#This Row],[Spec]],LstMachines[Status],PrévisionBoris[[#This Row],[Status]],LstMachines[MoisLivr],AL$1)</f>
        <v>0</v>
      </c>
      <c r="AM248" s="207">
        <f>SUMIFS(LstMachines[Nbre],LstMachines[Model-Spec],PrévisionBoris[[#This Row],[Spec]],LstMachines[Status],PrévisionBoris[[#This Row],[Status]],LstMachines[MoisLivr],AM$1)</f>
        <v>0</v>
      </c>
      <c r="AN248" s="207">
        <f>SUMIFS(LstMachines[Nbre],LstMachines[Model-Spec],PrévisionBoris[[#This Row],[Spec]],LstMachines[Status],PrévisionBoris[[#This Row],[Status]],LstMachines[MoisLivr],AN$1)</f>
        <v>3</v>
      </c>
      <c r="AO248" s="206">
        <f>SUMIFS(LstMachines[Nbre],LstMachines[Model-Spec],PrévisionBoris[[#This Row],[Spec]],LstMachines[Status],PrévisionBoris[[#This Row],[Status]],LstMachines[MoisLivr],AO$1)</f>
        <v>0</v>
      </c>
      <c r="AP248" s="207">
        <f>SUMIFS(LstMachines[Nbre],LstMachines[Model-Spec],PrévisionBoris[[#This Row],[Spec]],LstMachines[Status],PrévisionBoris[[#This Row],[Status]],LstMachines[MoisLivr],AP$1)</f>
        <v>0</v>
      </c>
      <c r="AQ248" s="207">
        <f>SUMIFS(LstMachines[Nbre],LstMachines[Model-Spec],PrévisionBoris[[#This Row],[Spec]],LstMachines[Status],PrévisionBoris[[#This Row],[Status]],LstMachines[MoisLivr],AQ$1)</f>
        <v>0</v>
      </c>
      <c r="AR248" s="206">
        <f>SUMIFS(LstMachines[Nbre],LstMachines[Model-Spec],PrévisionBoris[[#This Row],[Spec]],LstMachines[Status],PrévisionBoris[[#This Row],[Status]],LstMachines[MoisLivr],AR$1)</f>
        <v>0</v>
      </c>
      <c r="AS248" s="207">
        <f>SUMIFS(LstMachines[Nbre],LstMachines[Model-Spec],PrévisionBoris[[#This Row],[Spec]],LstMachines[Status],PrévisionBoris[[#This Row],[Status]],LstMachines[MoisLivr],AS$1)</f>
        <v>0</v>
      </c>
      <c r="AT248" s="207">
        <f>SUMIFS(LstMachines[Nbre],LstMachines[Model-Spec],PrévisionBoris[[#This Row],[Spec]],LstMachines[Status],PrévisionBoris[[#This Row],[Status]],LstMachines[MoisLivr],AT$1)</f>
        <v>0</v>
      </c>
      <c r="AU248" s="206">
        <f>SUMIFS(LstMachines[Nbre],LstMachines[Model-Spec],PrévisionBoris[[#This Row],[Spec]],LstMachines[Status],PrévisionBoris[[#This Row],[Status]],LstMachines[MoisLivr],AU$1)</f>
        <v>0</v>
      </c>
      <c r="AV248" s="233">
        <f>SUMIFS(LstMachines[Nbre],LstMachines[Model-Spec],PrévisionBoris[[#This Row],[Spec]],LstMachines[Status],PrévisionBoris[[#This Row],[Status]],LstMachines[MoisLivr],AV$1)</f>
        <v>0</v>
      </c>
      <c r="AW248" s="208">
        <f>SUMIFS(LstMachines[Nbre],LstMachines[Model-Spec],PrévisionBoris[[#This Row],[Spec]],LstMachines[Status],PrévisionBoris[[#This Row],[Status]],LstMachines[MoisLivr],AW$1)</f>
        <v>0</v>
      </c>
      <c r="AX248" s="225"/>
      <c r="AY248" s="211">
        <f t="shared" si="51"/>
        <v>0</v>
      </c>
      <c r="AZ248" s="212">
        <f t="shared" si="52"/>
        <v>0</v>
      </c>
      <c r="BA248" s="212">
        <f t="shared" si="53"/>
        <v>1</v>
      </c>
      <c r="BB248" s="213">
        <f t="shared" si="54"/>
        <v>0</v>
      </c>
      <c r="BC248" s="225">
        <f t="shared" si="55"/>
        <v>1</v>
      </c>
      <c r="BD248" s="211">
        <f t="shared" si="56"/>
        <v>0</v>
      </c>
      <c r="BE248" s="212">
        <f t="shared" si="57"/>
        <v>2</v>
      </c>
      <c r="BF248" s="212">
        <f t="shared" si="58"/>
        <v>0</v>
      </c>
      <c r="BG248" s="213">
        <f t="shared" si="59"/>
        <v>0</v>
      </c>
      <c r="BH248" s="225">
        <f t="shared" si="60"/>
        <v>2</v>
      </c>
      <c r="BI248" s="214">
        <f t="shared" si="61"/>
        <v>0</v>
      </c>
      <c r="BJ248" s="215">
        <f t="shared" si="62"/>
        <v>3</v>
      </c>
      <c r="BK248" s="215">
        <f t="shared" si="63"/>
        <v>0</v>
      </c>
      <c r="BL248" s="216">
        <f t="shared" si="64"/>
        <v>0</v>
      </c>
      <c r="BM248" s="225">
        <f t="shared" si="65"/>
        <v>3</v>
      </c>
      <c r="BN248" s="225"/>
      <c r="BO248" s="234"/>
      <c r="BP248" s="218">
        <f t="shared" si="66"/>
        <v>6</v>
      </c>
    </row>
    <row r="249" spans="1:68">
      <c r="A249" s="170">
        <v>242</v>
      </c>
      <c r="B249" s="170" t="s">
        <v>85</v>
      </c>
      <c r="C249" s="200">
        <v>160</v>
      </c>
      <c r="D249" s="170" t="s">
        <v>195</v>
      </c>
      <c r="E249" s="170" t="s">
        <v>197</v>
      </c>
      <c r="F249" s="200">
        <f>VLOOKUP(PrévisionBoris[[#This Row],[Spec]],TabModelSpecs[[ModelSpec]:[Price]],2,FALSE)</f>
        <v>105</v>
      </c>
      <c r="G249" s="170" t="s">
        <v>462</v>
      </c>
      <c r="H249" s="219">
        <f>SUMIFS(LstMachines[Nbre],LstMachines[Model-Spec],PrévisionBoris[[#This Row],[Spec]],LstMachines[Status],PrévisionBoris[[#This Row],[Status]],LstMachines[MoisLivr],H$1)</f>
        <v>0</v>
      </c>
      <c r="I249" s="220">
        <f>SUMIFS(LstMachines[Nbre],LstMachines[Model-Spec],PrévisionBoris[[#This Row],[Spec]],LstMachines[Status],PrévisionBoris[[#This Row],[Status]],LstMachines[MoisLivr],I$1)</f>
        <v>0</v>
      </c>
      <c r="J249" s="221">
        <f>SUMIFS(LstMachines[Nbre],LstMachines[Model-Spec],PrévisionBoris[[#This Row],[Spec]],LstMachines[Status],PrévisionBoris[[#This Row],[Status]],LstMachines[MoisLivr],J$1)</f>
        <v>0</v>
      </c>
      <c r="K249" s="219">
        <f>SUMIFS(LstMachines[Nbre],LstMachines[Model-Spec],PrévisionBoris[[#This Row],[Spec]],LstMachines[Status],PrévisionBoris[[#This Row],[Status]],LstMachines[MoisLivr],K$1)</f>
        <v>0</v>
      </c>
      <c r="L249" s="220">
        <f>SUMIFS(LstMachines[Nbre],LstMachines[Model-Spec],PrévisionBoris[[#This Row],[Spec]],LstMachines[Status],PrévisionBoris[[#This Row],[Status]],LstMachines[MoisLivr],L$1)</f>
        <v>0</v>
      </c>
      <c r="M249" s="221">
        <f>SUMIFS(LstMachines[Nbre],LstMachines[Model-Spec],PrévisionBoris[[#This Row],[Spec]],LstMachines[Status],PrévisionBoris[[#This Row],[Status]],LstMachines[MoisLivr],M$1)</f>
        <v>0</v>
      </c>
      <c r="N249" s="219">
        <f>SUMIFS(LstMachines[Nbre],LstMachines[Model-Spec],PrévisionBoris[[#This Row],[Spec]],LstMachines[Status],PrévisionBoris[[#This Row],[Status]],LstMachines[MoisLivr],N$1)</f>
        <v>0</v>
      </c>
      <c r="O249" s="220">
        <f>SUMIFS(LstMachines[Nbre],LstMachines[Model-Spec],PrévisionBoris[[#This Row],[Spec]],LstMachines[Status],PrévisionBoris[[#This Row],[Status]],LstMachines[MoisLivr],O$1)</f>
        <v>0</v>
      </c>
      <c r="P249" s="221">
        <f>SUMIFS(LstMachines[Nbre],LstMachines[Model-Spec],PrévisionBoris[[#This Row],[Spec]],LstMachines[Status],PrévisionBoris[[#This Row],[Status]],LstMachines[MoisLivr],P$1)</f>
        <v>0</v>
      </c>
      <c r="Q249" s="222">
        <f>SUMIFS(LstMachines[Nbre],LstMachines[Model-Spec],PrévisionBoris[[#This Row],[Spec]],LstMachines[Status],PrévisionBoris[[#This Row],[Status]],LstMachines[MoisLivr],Q$1)</f>
        <v>0</v>
      </c>
      <c r="R249" s="220">
        <f>SUMIFS(LstMachines[Nbre],LstMachines[Model-Spec],PrévisionBoris[[#This Row],[Spec]],LstMachines[Status],PrévisionBoris[[#This Row],[Status]],LstMachines[MoisLivr],R$1)</f>
        <v>0</v>
      </c>
      <c r="S249" s="220">
        <f>SUMIFS(LstMachines[Nbre],LstMachines[Model-Spec],PrévisionBoris[[#This Row],[Spec]],LstMachines[Status],PrévisionBoris[[#This Row],[Status]],LstMachines[MoisLivr],S$1)</f>
        <v>0</v>
      </c>
      <c r="T249" s="219">
        <f>SUMIFS(LstMachines[Nbre],LstMachines[Model-Spec],PrévisionBoris[[#This Row],[Spec]],LstMachines[Status],PrévisionBoris[[#This Row],[Status]],LstMachines[MoisLivr],T$1)</f>
        <v>0</v>
      </c>
      <c r="U249" s="220">
        <f>SUMIFS(LstMachines[Nbre],LstMachines[Model-Spec],PrévisionBoris[[#This Row],[Spec]],LstMachines[Status],PrévisionBoris[[#This Row],[Status]],LstMachines[MoisLivr],U$1)</f>
        <v>0</v>
      </c>
      <c r="V249" s="220">
        <f>SUMIFS(LstMachines[Nbre],LstMachines[Model-Spec],PrévisionBoris[[#This Row],[Spec]],LstMachines[Status],PrévisionBoris[[#This Row],[Status]],LstMachines[MoisLivr],V$1)</f>
        <v>0</v>
      </c>
      <c r="W249" s="219">
        <f>SUMIFS(LstMachines[Nbre],LstMachines[Model-Spec],PrévisionBoris[[#This Row],[Spec]],LstMachines[Status],PrévisionBoris[[#This Row],[Status]],LstMachines[MoisLivr],W$1)</f>
        <v>0</v>
      </c>
      <c r="X249" s="220">
        <f>SUMIFS(LstMachines[Nbre],LstMachines[Model-Spec],PrévisionBoris[[#This Row],[Spec]],LstMachines[Status],PrévisionBoris[[#This Row],[Status]],LstMachines[MoisLivr],X$1)</f>
        <v>0</v>
      </c>
      <c r="Y249" s="220">
        <f>SUMIFS(LstMachines[Nbre],LstMachines[Model-Spec],PrévisionBoris[[#This Row],[Spec]],LstMachines[Status],PrévisionBoris[[#This Row],[Status]],LstMachines[MoisLivr],Y$1)</f>
        <v>0</v>
      </c>
      <c r="Z249" s="219">
        <f>SUMIFS(LstMachines[Nbre],LstMachines[Model-Spec],PrévisionBoris[[#This Row],[Spec]],LstMachines[Status],PrévisionBoris[[#This Row],[Status]],LstMachines[MoisLivr],Z$1)</f>
        <v>0</v>
      </c>
      <c r="AA249" s="220">
        <f>SUMIFS(LstMachines[Nbre],LstMachines[Model-Spec],PrévisionBoris[[#This Row],[Spec]],LstMachines[Status],PrévisionBoris[[#This Row],[Status]],LstMachines[MoisLivr],AA$1)</f>
        <v>0</v>
      </c>
      <c r="AB249" s="220">
        <f>SUMIFS(LstMachines[Nbre],LstMachines[Model-Spec],PrévisionBoris[[#This Row],[Spec]],LstMachines[Status],PrévisionBoris[[#This Row],[Status]],LstMachines[MoisLivr],AB$1)</f>
        <v>0</v>
      </c>
      <c r="AC249" s="219">
        <f>SUMIFS(LstMachines[Nbre],LstMachines[Model-Spec],PrévisionBoris[[#This Row],[Spec]],LstMachines[Status],PrévisionBoris[[#This Row],[Status]],LstMachines[MoisLivr],AC$1)</f>
        <v>0</v>
      </c>
      <c r="AD249" s="220">
        <f>SUMIFS(LstMachines[Nbre],LstMachines[Model-Spec],PrévisionBoris[[#This Row],[Spec]],LstMachines[Status],PrévisionBoris[[#This Row],[Status]],LstMachines[MoisLivr],AD$1)</f>
        <v>0</v>
      </c>
      <c r="AE249" s="220">
        <f>SUMIFS(LstMachines[Nbre],LstMachines[Model-Spec],PrévisionBoris[[#This Row],[Spec]],LstMachines[Status],PrévisionBoris[[#This Row],[Status]],LstMachines[MoisLivr],AE$1)</f>
        <v>0</v>
      </c>
      <c r="AF249" s="219">
        <f>SUMIFS(LstMachines[Nbre],LstMachines[Model-Spec],PrévisionBoris[[#This Row],[Spec]],LstMachines[Status],PrévisionBoris[[#This Row],[Status]],LstMachines[MoisLivr],AF$1)</f>
        <v>0</v>
      </c>
      <c r="AG249" s="220">
        <f>SUMIFS(LstMachines[Nbre],LstMachines[Model-Spec],PrévisionBoris[[#This Row],[Spec]],LstMachines[Status],PrévisionBoris[[#This Row],[Status]],LstMachines[MoisLivr],AG$1)</f>
        <v>0</v>
      </c>
      <c r="AH249" s="220">
        <f>SUMIFS(LstMachines[Nbre],LstMachines[Model-Spec],PrévisionBoris[[#This Row],[Spec]],LstMachines[Status],PrévisionBoris[[#This Row],[Status]],LstMachines[MoisLivr],AH$1)</f>
        <v>0</v>
      </c>
      <c r="AI249" s="219">
        <f>SUMIFS(LstMachines[Nbre],LstMachines[Model-Spec],PrévisionBoris[[#This Row],[Spec]],LstMachines[Status],PrévisionBoris[[#This Row],[Status]],LstMachines[MoisLivr],AI$1)</f>
        <v>0</v>
      </c>
      <c r="AJ249" s="220">
        <f>SUMIFS(LstMachines[Nbre],LstMachines[Model-Spec],PrévisionBoris[[#This Row],[Spec]],LstMachines[Status],PrévisionBoris[[#This Row],[Status]],LstMachines[MoisLivr],AJ$1)</f>
        <v>0</v>
      </c>
      <c r="AK249" s="220">
        <f>SUMIFS(LstMachines[Nbre],LstMachines[Model-Spec],PrévisionBoris[[#This Row],[Spec]],LstMachines[Status],PrévisionBoris[[#This Row],[Status]],LstMachines[MoisLivr],AK$1)</f>
        <v>0</v>
      </c>
      <c r="AL249" s="219">
        <f>SUMIFS(LstMachines[Nbre],LstMachines[Model-Spec],PrévisionBoris[[#This Row],[Spec]],LstMachines[Status],PrévisionBoris[[#This Row],[Status]],LstMachines[MoisLivr],AL$1)</f>
        <v>0</v>
      </c>
      <c r="AM249" s="220">
        <f>SUMIFS(LstMachines[Nbre],LstMachines[Model-Spec],PrévisionBoris[[#This Row],[Spec]],LstMachines[Status],PrévisionBoris[[#This Row],[Status]],LstMachines[MoisLivr],AM$1)</f>
        <v>0</v>
      </c>
      <c r="AN249" s="220">
        <f>SUMIFS(LstMachines[Nbre],LstMachines[Model-Spec],PrévisionBoris[[#This Row],[Spec]],LstMachines[Status],PrévisionBoris[[#This Row],[Status]],LstMachines[MoisLivr],AN$1)</f>
        <v>0</v>
      </c>
      <c r="AO249" s="219">
        <f>SUMIFS(LstMachines[Nbre],LstMachines[Model-Spec],PrévisionBoris[[#This Row],[Spec]],LstMachines[Status],PrévisionBoris[[#This Row],[Status]],LstMachines[MoisLivr],AO$1)</f>
        <v>0</v>
      </c>
      <c r="AP249" s="220">
        <f>SUMIFS(LstMachines[Nbre],LstMachines[Model-Spec],PrévisionBoris[[#This Row],[Spec]],LstMachines[Status],PrévisionBoris[[#This Row],[Status]],LstMachines[MoisLivr],AP$1)</f>
        <v>0</v>
      </c>
      <c r="AQ249" s="220">
        <f>SUMIFS(LstMachines[Nbre],LstMachines[Model-Spec],PrévisionBoris[[#This Row],[Spec]],LstMachines[Status],PrévisionBoris[[#This Row],[Status]],LstMachines[MoisLivr],AQ$1)</f>
        <v>0</v>
      </c>
      <c r="AR249" s="219">
        <f>SUMIFS(LstMachines[Nbre],LstMachines[Model-Spec],PrévisionBoris[[#This Row],[Spec]],LstMachines[Status],PrévisionBoris[[#This Row],[Status]],LstMachines[MoisLivr],AR$1)</f>
        <v>0</v>
      </c>
      <c r="AS249" s="220">
        <f>SUMIFS(LstMachines[Nbre],LstMachines[Model-Spec],PrévisionBoris[[#This Row],[Spec]],LstMachines[Status],PrévisionBoris[[#This Row],[Status]],LstMachines[MoisLivr],AS$1)</f>
        <v>0</v>
      </c>
      <c r="AT249" s="220">
        <f>SUMIFS(LstMachines[Nbre],LstMachines[Model-Spec],PrévisionBoris[[#This Row],[Spec]],LstMachines[Status],PrévisionBoris[[#This Row],[Status]],LstMachines[MoisLivr],AT$1)</f>
        <v>0</v>
      </c>
      <c r="AU249" s="219">
        <f>SUMIFS(LstMachines[Nbre],LstMachines[Model-Spec],PrévisionBoris[[#This Row],[Spec]],LstMachines[Status],PrévisionBoris[[#This Row],[Status]],LstMachines[MoisLivr],AU$1)</f>
        <v>0</v>
      </c>
      <c r="AV249" s="223">
        <f>SUMIFS(LstMachines[Nbre],LstMachines[Model-Spec],PrévisionBoris[[#This Row],[Spec]],LstMachines[Status],PrévisionBoris[[#This Row],[Status]],LstMachines[MoisLivr],AV$1)</f>
        <v>0</v>
      </c>
      <c r="AW249" s="224">
        <f>SUMIFS(LstMachines[Nbre],LstMachines[Model-Spec],PrévisionBoris[[#This Row],[Spec]],LstMachines[Status],PrévisionBoris[[#This Row],[Status]],LstMachines[MoisLivr],AW$1)</f>
        <v>0</v>
      </c>
      <c r="AX249" s="210"/>
      <c r="AY249" s="211">
        <f t="shared" si="51"/>
        <v>0</v>
      </c>
      <c r="AZ249" s="212">
        <f t="shared" si="52"/>
        <v>0</v>
      </c>
      <c r="BA249" s="212">
        <f t="shared" si="53"/>
        <v>0</v>
      </c>
      <c r="BB249" s="213">
        <f t="shared" si="54"/>
        <v>0</v>
      </c>
      <c r="BC249" s="225">
        <f t="shared" si="55"/>
        <v>0</v>
      </c>
      <c r="BD249" s="211">
        <f t="shared" si="56"/>
        <v>0</v>
      </c>
      <c r="BE249" s="212">
        <f t="shared" si="57"/>
        <v>0</v>
      </c>
      <c r="BF249" s="212">
        <f t="shared" si="58"/>
        <v>0</v>
      </c>
      <c r="BG249" s="213">
        <f t="shared" si="59"/>
        <v>0</v>
      </c>
      <c r="BH249" s="225">
        <f t="shared" si="60"/>
        <v>0</v>
      </c>
      <c r="BI249" s="214">
        <f t="shared" si="61"/>
        <v>0</v>
      </c>
      <c r="BJ249" s="215">
        <f t="shared" si="62"/>
        <v>0</v>
      </c>
      <c r="BK249" s="215">
        <f t="shared" si="63"/>
        <v>0</v>
      </c>
      <c r="BL249" s="216">
        <f t="shared" si="64"/>
        <v>0</v>
      </c>
      <c r="BM249" s="225">
        <f t="shared" si="65"/>
        <v>0</v>
      </c>
      <c r="BN249" s="225"/>
      <c r="BO249" s="217"/>
      <c r="BP249" s="218">
        <f t="shared" si="66"/>
        <v>0</v>
      </c>
    </row>
    <row r="250" spans="1:68">
      <c r="A250" s="171">
        <v>243</v>
      </c>
      <c r="B250" s="171" t="s">
        <v>85</v>
      </c>
      <c r="C250" s="201">
        <v>160</v>
      </c>
      <c r="D250" s="171" t="s">
        <v>195</v>
      </c>
      <c r="E250" s="171" t="s">
        <v>197</v>
      </c>
      <c r="F250" s="201">
        <f>VLOOKUP(PrévisionBoris[[#This Row],[Spec]],TabModelSpecs[[ModelSpec]:[Price]],2,FALSE)</f>
        <v>105</v>
      </c>
      <c r="G250" s="171" t="s">
        <v>463</v>
      </c>
      <c r="H250" s="226">
        <f>SUMIFS(LstMachines[Nbre],LstMachines[Model-Spec],PrévisionBoris[[#This Row],[Spec]],LstMachines[Status],PrévisionBoris[[#This Row],[Status]],LstMachines[MoisLivr],H$1)</f>
        <v>0</v>
      </c>
      <c r="I250" s="227">
        <f>SUMIFS(LstMachines[Nbre],LstMachines[Model-Spec],PrévisionBoris[[#This Row],[Spec]],LstMachines[Status],PrévisionBoris[[#This Row],[Status]],LstMachines[MoisLivr],I$1)</f>
        <v>0</v>
      </c>
      <c r="J250" s="228">
        <f>SUMIFS(LstMachines[Nbre],LstMachines[Model-Spec],PrévisionBoris[[#This Row],[Spec]],LstMachines[Status],PrévisionBoris[[#This Row],[Status]],LstMachines[MoisLivr],J$1)</f>
        <v>0</v>
      </c>
      <c r="K250" s="226">
        <f>SUMIFS(LstMachines[Nbre],LstMachines[Model-Spec],PrévisionBoris[[#This Row],[Spec]],LstMachines[Status],PrévisionBoris[[#This Row],[Status]],LstMachines[MoisLivr],K$1)</f>
        <v>0</v>
      </c>
      <c r="L250" s="227">
        <f>SUMIFS(LstMachines[Nbre],LstMachines[Model-Spec],PrévisionBoris[[#This Row],[Spec]],LstMachines[Status],PrévisionBoris[[#This Row],[Status]],LstMachines[MoisLivr],L$1)</f>
        <v>0</v>
      </c>
      <c r="M250" s="228">
        <f>SUMIFS(LstMachines[Nbre],LstMachines[Model-Spec],PrévisionBoris[[#This Row],[Spec]],LstMachines[Status],PrévisionBoris[[#This Row],[Status]],LstMachines[MoisLivr],M$1)</f>
        <v>0</v>
      </c>
      <c r="N250" s="226">
        <f>SUMIFS(LstMachines[Nbre],LstMachines[Model-Spec],PrévisionBoris[[#This Row],[Spec]],LstMachines[Status],PrévisionBoris[[#This Row],[Status]],LstMachines[MoisLivr],N$1)</f>
        <v>0</v>
      </c>
      <c r="O250" s="227">
        <f>SUMIFS(LstMachines[Nbre],LstMachines[Model-Spec],PrévisionBoris[[#This Row],[Spec]],LstMachines[Status],PrévisionBoris[[#This Row],[Status]],LstMachines[MoisLivr],O$1)</f>
        <v>0</v>
      </c>
      <c r="P250" s="228">
        <f>SUMIFS(LstMachines[Nbre],LstMachines[Model-Spec],PrévisionBoris[[#This Row],[Spec]],LstMachines[Status],PrévisionBoris[[#This Row],[Status]],LstMachines[MoisLivr],P$1)</f>
        <v>0</v>
      </c>
      <c r="Q250" s="229">
        <f>SUMIFS(LstMachines[Nbre],LstMachines[Model-Spec],PrévisionBoris[[#This Row],[Spec]],LstMachines[Status],PrévisionBoris[[#This Row],[Status]],LstMachines[MoisLivr],Q$1)</f>
        <v>0</v>
      </c>
      <c r="R250" s="227">
        <f>SUMIFS(LstMachines[Nbre],LstMachines[Model-Spec],PrévisionBoris[[#This Row],[Spec]],LstMachines[Status],PrévisionBoris[[#This Row],[Status]],LstMachines[MoisLivr],R$1)</f>
        <v>0</v>
      </c>
      <c r="S250" s="227">
        <f>SUMIFS(LstMachines[Nbre],LstMachines[Model-Spec],PrévisionBoris[[#This Row],[Spec]],LstMachines[Status],PrévisionBoris[[#This Row],[Status]],LstMachines[MoisLivr],S$1)</f>
        <v>0</v>
      </c>
      <c r="T250" s="226">
        <f>SUMIFS(LstMachines[Nbre],LstMachines[Model-Spec],PrévisionBoris[[#This Row],[Spec]],LstMachines[Status],PrévisionBoris[[#This Row],[Status]],LstMachines[MoisLivr],T$1)</f>
        <v>0</v>
      </c>
      <c r="U250" s="227">
        <f>SUMIFS(LstMachines[Nbre],LstMachines[Model-Spec],PrévisionBoris[[#This Row],[Spec]],LstMachines[Status],PrévisionBoris[[#This Row],[Status]],LstMachines[MoisLivr],U$1)</f>
        <v>0</v>
      </c>
      <c r="V250" s="227">
        <f>SUMIFS(LstMachines[Nbre],LstMachines[Model-Spec],PrévisionBoris[[#This Row],[Spec]],LstMachines[Status],PrévisionBoris[[#This Row],[Status]],LstMachines[MoisLivr],V$1)</f>
        <v>0</v>
      </c>
      <c r="W250" s="226">
        <f>SUMIFS(LstMachines[Nbre],LstMachines[Model-Spec],PrévisionBoris[[#This Row],[Spec]],LstMachines[Status],PrévisionBoris[[#This Row],[Status]],LstMachines[MoisLivr],W$1)</f>
        <v>0</v>
      </c>
      <c r="X250" s="227">
        <f>SUMIFS(LstMachines[Nbre],LstMachines[Model-Spec],PrévisionBoris[[#This Row],[Spec]],LstMachines[Status],PrévisionBoris[[#This Row],[Status]],LstMachines[MoisLivr],X$1)</f>
        <v>0</v>
      </c>
      <c r="Y250" s="227">
        <f>SUMIFS(LstMachines[Nbre],LstMachines[Model-Spec],PrévisionBoris[[#This Row],[Spec]],LstMachines[Status],PrévisionBoris[[#This Row],[Status]],LstMachines[MoisLivr],Y$1)</f>
        <v>0</v>
      </c>
      <c r="Z250" s="226">
        <f>SUMIFS(LstMachines[Nbre],LstMachines[Model-Spec],PrévisionBoris[[#This Row],[Spec]],LstMachines[Status],PrévisionBoris[[#This Row],[Status]],LstMachines[MoisLivr],Z$1)</f>
        <v>0</v>
      </c>
      <c r="AA250" s="227">
        <f>SUMIFS(LstMachines[Nbre],LstMachines[Model-Spec],PrévisionBoris[[#This Row],[Spec]],LstMachines[Status],PrévisionBoris[[#This Row],[Status]],LstMachines[MoisLivr],AA$1)</f>
        <v>0</v>
      </c>
      <c r="AB250" s="227">
        <f>SUMIFS(LstMachines[Nbre],LstMachines[Model-Spec],PrévisionBoris[[#This Row],[Spec]],LstMachines[Status],PrévisionBoris[[#This Row],[Status]],LstMachines[MoisLivr],AB$1)</f>
        <v>0</v>
      </c>
      <c r="AC250" s="226">
        <f>SUMIFS(LstMachines[Nbre],LstMachines[Model-Spec],PrévisionBoris[[#This Row],[Spec]],LstMachines[Status],PrévisionBoris[[#This Row],[Status]],LstMachines[MoisLivr],AC$1)</f>
        <v>0</v>
      </c>
      <c r="AD250" s="227">
        <f>SUMIFS(LstMachines[Nbre],LstMachines[Model-Spec],PrévisionBoris[[#This Row],[Spec]],LstMachines[Status],PrévisionBoris[[#This Row],[Status]],LstMachines[MoisLivr],AD$1)</f>
        <v>0</v>
      </c>
      <c r="AE250" s="227">
        <f>SUMIFS(LstMachines[Nbre],LstMachines[Model-Spec],PrévisionBoris[[#This Row],[Spec]],LstMachines[Status],PrévisionBoris[[#This Row],[Status]],LstMachines[MoisLivr],AE$1)</f>
        <v>0</v>
      </c>
      <c r="AF250" s="226">
        <f>SUMIFS(LstMachines[Nbre],LstMachines[Model-Spec],PrévisionBoris[[#This Row],[Spec]],LstMachines[Status],PrévisionBoris[[#This Row],[Status]],LstMachines[MoisLivr],AF$1)</f>
        <v>0</v>
      </c>
      <c r="AG250" s="227">
        <f>SUMIFS(LstMachines[Nbre],LstMachines[Model-Spec],PrévisionBoris[[#This Row],[Spec]],LstMachines[Status],PrévisionBoris[[#This Row],[Status]],LstMachines[MoisLivr],AG$1)</f>
        <v>0</v>
      </c>
      <c r="AH250" s="227">
        <f>SUMIFS(LstMachines[Nbre],LstMachines[Model-Spec],PrévisionBoris[[#This Row],[Spec]],LstMachines[Status],PrévisionBoris[[#This Row],[Status]],LstMachines[MoisLivr],AH$1)</f>
        <v>0</v>
      </c>
      <c r="AI250" s="226">
        <f>SUMIFS(LstMachines[Nbre],LstMachines[Model-Spec],PrévisionBoris[[#This Row],[Spec]],LstMachines[Status],PrévisionBoris[[#This Row],[Status]],LstMachines[MoisLivr],AI$1)</f>
        <v>0</v>
      </c>
      <c r="AJ250" s="227">
        <f>SUMIFS(LstMachines[Nbre],LstMachines[Model-Spec],PrévisionBoris[[#This Row],[Spec]],LstMachines[Status],PrévisionBoris[[#This Row],[Status]],LstMachines[MoisLivr],AJ$1)</f>
        <v>0</v>
      </c>
      <c r="AK250" s="227">
        <f>SUMIFS(LstMachines[Nbre],LstMachines[Model-Spec],PrévisionBoris[[#This Row],[Spec]],LstMachines[Status],PrévisionBoris[[#This Row],[Status]],LstMachines[MoisLivr],AK$1)</f>
        <v>0</v>
      </c>
      <c r="AL250" s="226">
        <f>SUMIFS(LstMachines[Nbre],LstMachines[Model-Spec],PrévisionBoris[[#This Row],[Spec]],LstMachines[Status],PrévisionBoris[[#This Row],[Status]],LstMachines[MoisLivr],AL$1)</f>
        <v>0</v>
      </c>
      <c r="AM250" s="227">
        <f>SUMIFS(LstMachines[Nbre],LstMachines[Model-Spec],PrévisionBoris[[#This Row],[Spec]],LstMachines[Status],PrévisionBoris[[#This Row],[Status]],LstMachines[MoisLivr],AM$1)</f>
        <v>0</v>
      </c>
      <c r="AN250" s="227">
        <f>SUMIFS(LstMachines[Nbre],LstMachines[Model-Spec],PrévisionBoris[[#This Row],[Spec]],LstMachines[Status],PrévisionBoris[[#This Row],[Status]],LstMachines[MoisLivr],AN$1)</f>
        <v>0</v>
      </c>
      <c r="AO250" s="226">
        <f>SUMIFS(LstMachines[Nbre],LstMachines[Model-Spec],PrévisionBoris[[#This Row],[Spec]],LstMachines[Status],PrévisionBoris[[#This Row],[Status]],LstMachines[MoisLivr],AO$1)</f>
        <v>0</v>
      </c>
      <c r="AP250" s="227">
        <f>SUMIFS(LstMachines[Nbre],LstMachines[Model-Spec],PrévisionBoris[[#This Row],[Spec]],LstMachines[Status],PrévisionBoris[[#This Row],[Status]],LstMachines[MoisLivr],AP$1)</f>
        <v>0</v>
      </c>
      <c r="AQ250" s="227">
        <f>SUMIFS(LstMachines[Nbre],LstMachines[Model-Spec],PrévisionBoris[[#This Row],[Spec]],LstMachines[Status],PrévisionBoris[[#This Row],[Status]],LstMachines[MoisLivr],AQ$1)</f>
        <v>0</v>
      </c>
      <c r="AR250" s="226">
        <f>SUMIFS(LstMachines[Nbre],LstMachines[Model-Spec],PrévisionBoris[[#This Row],[Spec]],LstMachines[Status],PrévisionBoris[[#This Row],[Status]],LstMachines[MoisLivr],AR$1)</f>
        <v>0</v>
      </c>
      <c r="AS250" s="227">
        <f>SUMIFS(LstMachines[Nbre],LstMachines[Model-Spec],PrévisionBoris[[#This Row],[Spec]],LstMachines[Status],PrévisionBoris[[#This Row],[Status]],LstMachines[MoisLivr],AS$1)</f>
        <v>0</v>
      </c>
      <c r="AT250" s="227">
        <f>SUMIFS(LstMachines[Nbre],LstMachines[Model-Spec],PrévisionBoris[[#This Row],[Spec]],LstMachines[Status],PrévisionBoris[[#This Row],[Status]],LstMachines[MoisLivr],AT$1)</f>
        <v>0</v>
      </c>
      <c r="AU250" s="226">
        <f>SUMIFS(LstMachines[Nbre],LstMachines[Model-Spec],PrévisionBoris[[#This Row],[Spec]],LstMachines[Status],PrévisionBoris[[#This Row],[Status]],LstMachines[MoisLivr],AU$1)</f>
        <v>0</v>
      </c>
      <c r="AV250" s="230">
        <f>SUMIFS(LstMachines[Nbre],LstMachines[Model-Spec],PrévisionBoris[[#This Row],[Spec]],LstMachines[Status],PrévisionBoris[[#This Row],[Status]],LstMachines[MoisLivr],AV$1)</f>
        <v>0</v>
      </c>
      <c r="AW250" s="231">
        <f>SUMIFS(LstMachines[Nbre],LstMachines[Model-Spec],PrévisionBoris[[#This Row],[Spec]],LstMachines[Status],PrévisionBoris[[#This Row],[Status]],LstMachines[MoisLivr],AW$1)</f>
        <v>0</v>
      </c>
      <c r="AX250" s="232"/>
      <c r="AY250" s="211">
        <f t="shared" si="51"/>
        <v>0</v>
      </c>
      <c r="AZ250" s="212">
        <f t="shared" si="52"/>
        <v>0</v>
      </c>
      <c r="BA250" s="212">
        <f t="shared" si="53"/>
        <v>0</v>
      </c>
      <c r="BB250" s="213">
        <f t="shared" si="54"/>
        <v>0</v>
      </c>
      <c r="BC250" s="225">
        <f t="shared" si="55"/>
        <v>0</v>
      </c>
      <c r="BD250" s="211">
        <f t="shared" si="56"/>
        <v>0</v>
      </c>
      <c r="BE250" s="212">
        <f t="shared" si="57"/>
        <v>0</v>
      </c>
      <c r="BF250" s="212">
        <f t="shared" si="58"/>
        <v>0</v>
      </c>
      <c r="BG250" s="213">
        <f t="shared" si="59"/>
        <v>0</v>
      </c>
      <c r="BH250" s="225">
        <f t="shared" si="60"/>
        <v>0</v>
      </c>
      <c r="BI250" s="214">
        <f t="shared" si="61"/>
        <v>0</v>
      </c>
      <c r="BJ250" s="215">
        <f t="shared" si="62"/>
        <v>0</v>
      </c>
      <c r="BK250" s="215">
        <f t="shared" si="63"/>
        <v>0</v>
      </c>
      <c r="BL250" s="216">
        <f t="shared" si="64"/>
        <v>0</v>
      </c>
      <c r="BM250" s="225">
        <f t="shared" si="65"/>
        <v>0</v>
      </c>
      <c r="BN250" s="225"/>
      <c r="BO250" s="217"/>
      <c r="BP250" s="218">
        <f t="shared" si="66"/>
        <v>0</v>
      </c>
    </row>
    <row r="251" spans="1:68">
      <c r="A251" s="172">
        <v>244</v>
      </c>
      <c r="B251" s="172" t="s">
        <v>85</v>
      </c>
      <c r="C251" s="202">
        <v>190</v>
      </c>
      <c r="D251" s="172" t="s">
        <v>198</v>
      </c>
      <c r="E251" s="172" t="s">
        <v>199</v>
      </c>
      <c r="F251" s="202">
        <f>VLOOKUP(PrévisionBoris[[#This Row],[Spec]],TabModelSpecs[[ModelSpec]:[Price]],2,FALSE)</f>
        <v>110</v>
      </c>
      <c r="G251" s="172" t="s">
        <v>461</v>
      </c>
      <c r="H251" s="206">
        <f>SUMIFS(LstMachines[Nbre],LstMachines[Model-Spec],PrévisionBoris[[#This Row],[Spec]],LstMachines[Status],PrévisionBoris[[#This Row],[Status]],LstMachines[MoisLivr],H$1)</f>
        <v>0</v>
      </c>
      <c r="I251" s="207">
        <f>SUMIFS(LstMachines[Nbre],LstMachines[Model-Spec],PrévisionBoris[[#This Row],[Spec]],LstMachines[Status],PrévisionBoris[[#This Row],[Status]],LstMachines[MoisLivr],I$1)</f>
        <v>0</v>
      </c>
      <c r="J251" s="208">
        <f>SUMIFS(LstMachines[Nbre],LstMachines[Model-Spec],PrévisionBoris[[#This Row],[Spec]],LstMachines[Status],PrévisionBoris[[#This Row],[Status]],LstMachines[MoisLivr],J$1)</f>
        <v>0</v>
      </c>
      <c r="K251" s="206">
        <f>SUMIFS(LstMachines[Nbre],LstMachines[Model-Spec],PrévisionBoris[[#This Row],[Spec]],LstMachines[Status],PrévisionBoris[[#This Row],[Status]],LstMachines[MoisLivr],K$1)</f>
        <v>0</v>
      </c>
      <c r="L251" s="207">
        <f>SUMIFS(LstMachines[Nbre],LstMachines[Model-Spec],PrévisionBoris[[#This Row],[Spec]],LstMachines[Status],PrévisionBoris[[#This Row],[Status]],LstMachines[MoisLivr],L$1)</f>
        <v>0</v>
      </c>
      <c r="M251" s="208">
        <f>SUMIFS(LstMachines[Nbre],LstMachines[Model-Spec],PrévisionBoris[[#This Row],[Spec]],LstMachines[Status],PrévisionBoris[[#This Row],[Status]],LstMachines[MoisLivr],M$1)</f>
        <v>0</v>
      </c>
      <c r="N251" s="206">
        <f>SUMIFS(LstMachines[Nbre],LstMachines[Model-Spec],PrévisionBoris[[#This Row],[Spec]],LstMachines[Status],PrévisionBoris[[#This Row],[Status]],LstMachines[MoisLivr],N$1)</f>
        <v>0</v>
      </c>
      <c r="O251" s="207">
        <f>SUMIFS(LstMachines[Nbre],LstMachines[Model-Spec],PrévisionBoris[[#This Row],[Spec]],LstMachines[Status],PrévisionBoris[[#This Row],[Status]],LstMachines[MoisLivr],O$1)</f>
        <v>0</v>
      </c>
      <c r="P251" s="208">
        <f>SUMIFS(LstMachines[Nbre],LstMachines[Model-Spec],PrévisionBoris[[#This Row],[Spec]],LstMachines[Status],PrévisionBoris[[#This Row],[Status]],LstMachines[MoisLivr],P$1)</f>
        <v>0</v>
      </c>
      <c r="Q251" s="209">
        <f>SUMIFS(LstMachines[Nbre],LstMachines[Model-Spec],PrévisionBoris[[#This Row],[Spec]],LstMachines[Status],PrévisionBoris[[#This Row],[Status]],LstMachines[MoisLivr],Q$1)</f>
        <v>0</v>
      </c>
      <c r="R251" s="207">
        <f>SUMIFS(LstMachines[Nbre],LstMachines[Model-Spec],PrévisionBoris[[#This Row],[Spec]],LstMachines[Status],PrévisionBoris[[#This Row],[Status]],LstMachines[MoisLivr],R$1)</f>
        <v>0</v>
      </c>
      <c r="S251" s="207">
        <f>SUMIFS(LstMachines[Nbre],LstMachines[Model-Spec],PrévisionBoris[[#This Row],[Spec]],LstMachines[Status],PrévisionBoris[[#This Row],[Status]],LstMachines[MoisLivr],S$1)</f>
        <v>0</v>
      </c>
      <c r="T251" s="206">
        <f>SUMIFS(LstMachines[Nbre],LstMachines[Model-Spec],PrévisionBoris[[#This Row],[Spec]],LstMachines[Status],PrévisionBoris[[#This Row],[Status]],LstMachines[MoisLivr],T$1)</f>
        <v>0</v>
      </c>
      <c r="U251" s="207">
        <f>SUMIFS(LstMachines[Nbre],LstMachines[Model-Spec],PrévisionBoris[[#This Row],[Spec]],LstMachines[Status],PrévisionBoris[[#This Row],[Status]],LstMachines[MoisLivr],U$1)</f>
        <v>0</v>
      </c>
      <c r="V251" s="207">
        <f>SUMIFS(LstMachines[Nbre],LstMachines[Model-Spec],PrévisionBoris[[#This Row],[Spec]],LstMachines[Status],PrévisionBoris[[#This Row],[Status]],LstMachines[MoisLivr],V$1)</f>
        <v>0</v>
      </c>
      <c r="W251" s="206">
        <f>SUMIFS(LstMachines[Nbre],LstMachines[Model-Spec],PrévisionBoris[[#This Row],[Spec]],LstMachines[Status],PrévisionBoris[[#This Row],[Status]],LstMachines[MoisLivr],W$1)</f>
        <v>0</v>
      </c>
      <c r="X251" s="207">
        <f>SUMIFS(LstMachines[Nbre],LstMachines[Model-Spec],PrévisionBoris[[#This Row],[Spec]],LstMachines[Status],PrévisionBoris[[#This Row],[Status]],LstMachines[MoisLivr],X$1)</f>
        <v>0</v>
      </c>
      <c r="Y251" s="207">
        <f>SUMIFS(LstMachines[Nbre],LstMachines[Model-Spec],PrévisionBoris[[#This Row],[Spec]],LstMachines[Status],PrévisionBoris[[#This Row],[Status]],LstMachines[MoisLivr],Y$1)</f>
        <v>0</v>
      </c>
      <c r="Z251" s="206">
        <f>SUMIFS(LstMachines[Nbre],LstMachines[Model-Spec],PrévisionBoris[[#This Row],[Spec]],LstMachines[Status],PrévisionBoris[[#This Row],[Status]],LstMachines[MoisLivr],Z$1)</f>
        <v>0</v>
      </c>
      <c r="AA251" s="207">
        <f>SUMIFS(LstMachines[Nbre],LstMachines[Model-Spec],PrévisionBoris[[#This Row],[Spec]],LstMachines[Status],PrévisionBoris[[#This Row],[Status]],LstMachines[MoisLivr],AA$1)</f>
        <v>0</v>
      </c>
      <c r="AB251" s="207">
        <f>SUMIFS(LstMachines[Nbre],LstMachines[Model-Spec],PrévisionBoris[[#This Row],[Spec]],LstMachines[Status],PrévisionBoris[[#This Row],[Status]],LstMachines[MoisLivr],AB$1)</f>
        <v>0</v>
      </c>
      <c r="AC251" s="206">
        <f>SUMIFS(LstMachines[Nbre],LstMachines[Model-Spec],PrévisionBoris[[#This Row],[Spec]],LstMachines[Status],PrévisionBoris[[#This Row],[Status]],LstMachines[MoisLivr],AC$1)</f>
        <v>0</v>
      </c>
      <c r="AD251" s="207">
        <f>SUMIFS(LstMachines[Nbre],LstMachines[Model-Spec],PrévisionBoris[[#This Row],[Spec]],LstMachines[Status],PrévisionBoris[[#This Row],[Status]],LstMachines[MoisLivr],AD$1)</f>
        <v>0</v>
      </c>
      <c r="AE251" s="207">
        <f>SUMIFS(LstMachines[Nbre],LstMachines[Model-Spec],PrévisionBoris[[#This Row],[Spec]],LstMachines[Status],PrévisionBoris[[#This Row],[Status]],LstMachines[MoisLivr],AE$1)</f>
        <v>0</v>
      </c>
      <c r="AF251" s="206">
        <f>SUMIFS(LstMachines[Nbre],LstMachines[Model-Spec],PrévisionBoris[[#This Row],[Spec]],LstMachines[Status],PrévisionBoris[[#This Row],[Status]],LstMachines[MoisLivr],AF$1)</f>
        <v>0</v>
      </c>
      <c r="AG251" s="207">
        <f>SUMIFS(LstMachines[Nbre],LstMachines[Model-Spec],PrévisionBoris[[#This Row],[Spec]],LstMachines[Status],PrévisionBoris[[#This Row],[Status]],LstMachines[MoisLivr],AG$1)</f>
        <v>0</v>
      </c>
      <c r="AH251" s="207">
        <f>SUMIFS(LstMachines[Nbre],LstMachines[Model-Spec],PrévisionBoris[[#This Row],[Spec]],LstMachines[Status],PrévisionBoris[[#This Row],[Status]],LstMachines[MoisLivr],AH$1)</f>
        <v>0</v>
      </c>
      <c r="AI251" s="206">
        <f>SUMIFS(LstMachines[Nbre],LstMachines[Model-Spec],PrévisionBoris[[#This Row],[Spec]],LstMachines[Status],PrévisionBoris[[#This Row],[Status]],LstMachines[MoisLivr],AI$1)</f>
        <v>0</v>
      </c>
      <c r="AJ251" s="207">
        <f>SUMIFS(LstMachines[Nbre],LstMachines[Model-Spec],PrévisionBoris[[#This Row],[Spec]],LstMachines[Status],PrévisionBoris[[#This Row],[Status]],LstMachines[MoisLivr],AJ$1)</f>
        <v>0</v>
      </c>
      <c r="AK251" s="207">
        <f>SUMIFS(LstMachines[Nbre],LstMachines[Model-Spec],PrévisionBoris[[#This Row],[Spec]],LstMachines[Status],PrévisionBoris[[#This Row],[Status]],LstMachines[MoisLivr],AK$1)</f>
        <v>0</v>
      </c>
      <c r="AL251" s="206">
        <f>SUMIFS(LstMachines[Nbre],LstMachines[Model-Spec],PrévisionBoris[[#This Row],[Spec]],LstMachines[Status],PrévisionBoris[[#This Row],[Status]],LstMachines[MoisLivr],AL$1)</f>
        <v>0</v>
      </c>
      <c r="AM251" s="207">
        <f>SUMIFS(LstMachines[Nbre],LstMachines[Model-Spec],PrévisionBoris[[#This Row],[Spec]],LstMachines[Status],PrévisionBoris[[#This Row],[Status]],LstMachines[MoisLivr],AM$1)</f>
        <v>0</v>
      </c>
      <c r="AN251" s="207">
        <f>SUMIFS(LstMachines[Nbre],LstMachines[Model-Spec],PrévisionBoris[[#This Row],[Spec]],LstMachines[Status],PrévisionBoris[[#This Row],[Status]],LstMachines[MoisLivr],AN$1)</f>
        <v>0</v>
      </c>
      <c r="AO251" s="206">
        <f>SUMIFS(LstMachines[Nbre],LstMachines[Model-Spec],PrévisionBoris[[#This Row],[Spec]],LstMachines[Status],PrévisionBoris[[#This Row],[Status]],LstMachines[MoisLivr],AO$1)</f>
        <v>0</v>
      </c>
      <c r="AP251" s="207">
        <f>SUMIFS(LstMachines[Nbre],LstMachines[Model-Spec],PrévisionBoris[[#This Row],[Spec]],LstMachines[Status],PrévisionBoris[[#This Row],[Status]],LstMachines[MoisLivr],AP$1)</f>
        <v>0</v>
      </c>
      <c r="AQ251" s="207">
        <f>SUMIFS(LstMachines[Nbre],LstMachines[Model-Spec],PrévisionBoris[[#This Row],[Spec]],LstMachines[Status],PrévisionBoris[[#This Row],[Status]],LstMachines[MoisLivr],AQ$1)</f>
        <v>0</v>
      </c>
      <c r="AR251" s="206">
        <f>SUMIFS(LstMachines[Nbre],LstMachines[Model-Spec],PrévisionBoris[[#This Row],[Spec]],LstMachines[Status],PrévisionBoris[[#This Row],[Status]],LstMachines[MoisLivr],AR$1)</f>
        <v>0</v>
      </c>
      <c r="AS251" s="207">
        <f>SUMIFS(LstMachines[Nbre],LstMachines[Model-Spec],PrévisionBoris[[#This Row],[Spec]],LstMachines[Status],PrévisionBoris[[#This Row],[Status]],LstMachines[MoisLivr],AS$1)</f>
        <v>0</v>
      </c>
      <c r="AT251" s="207">
        <f>SUMIFS(LstMachines[Nbre],LstMachines[Model-Spec],PrévisionBoris[[#This Row],[Spec]],LstMachines[Status],PrévisionBoris[[#This Row],[Status]],LstMachines[MoisLivr],AT$1)</f>
        <v>0</v>
      </c>
      <c r="AU251" s="206">
        <f>SUMIFS(LstMachines[Nbre],LstMachines[Model-Spec],PrévisionBoris[[#This Row],[Spec]],LstMachines[Status],PrévisionBoris[[#This Row],[Status]],LstMachines[MoisLivr],AU$1)</f>
        <v>0</v>
      </c>
      <c r="AV251" s="233">
        <f>SUMIFS(LstMachines[Nbre],LstMachines[Model-Spec],PrévisionBoris[[#This Row],[Spec]],LstMachines[Status],PrévisionBoris[[#This Row],[Status]],LstMachines[MoisLivr],AV$1)</f>
        <v>0</v>
      </c>
      <c r="AW251" s="208">
        <f>SUMIFS(LstMachines[Nbre],LstMachines[Model-Spec],PrévisionBoris[[#This Row],[Spec]],LstMachines[Status],PrévisionBoris[[#This Row],[Status]],LstMachines[MoisLivr],AW$1)</f>
        <v>0</v>
      </c>
      <c r="AX251" s="225"/>
      <c r="AY251" s="211">
        <f t="shared" si="51"/>
        <v>0</v>
      </c>
      <c r="AZ251" s="212">
        <f t="shared" si="52"/>
        <v>0</v>
      </c>
      <c r="BA251" s="212">
        <f t="shared" si="53"/>
        <v>0</v>
      </c>
      <c r="BB251" s="213">
        <f t="shared" si="54"/>
        <v>0</v>
      </c>
      <c r="BC251" s="225">
        <f t="shared" si="55"/>
        <v>0</v>
      </c>
      <c r="BD251" s="211">
        <f t="shared" si="56"/>
        <v>0</v>
      </c>
      <c r="BE251" s="212">
        <f t="shared" si="57"/>
        <v>0</v>
      </c>
      <c r="BF251" s="212">
        <f t="shared" si="58"/>
        <v>0</v>
      </c>
      <c r="BG251" s="213">
        <f t="shared" si="59"/>
        <v>0</v>
      </c>
      <c r="BH251" s="225">
        <f t="shared" si="60"/>
        <v>0</v>
      </c>
      <c r="BI251" s="214">
        <f t="shared" si="61"/>
        <v>0</v>
      </c>
      <c r="BJ251" s="215">
        <f t="shared" si="62"/>
        <v>0</v>
      </c>
      <c r="BK251" s="215">
        <f t="shared" si="63"/>
        <v>0</v>
      </c>
      <c r="BL251" s="216">
        <f t="shared" si="64"/>
        <v>0</v>
      </c>
      <c r="BM251" s="225">
        <f t="shared" si="65"/>
        <v>0</v>
      </c>
      <c r="BN251" s="225"/>
      <c r="BO251" s="234"/>
      <c r="BP251" s="218">
        <f t="shared" si="66"/>
        <v>0</v>
      </c>
    </row>
    <row r="252" spans="1:68">
      <c r="A252" s="170">
        <v>245</v>
      </c>
      <c r="B252" s="170" t="s">
        <v>85</v>
      </c>
      <c r="C252" s="200">
        <v>190</v>
      </c>
      <c r="D252" s="170" t="s">
        <v>198</v>
      </c>
      <c r="E252" s="170" t="s">
        <v>199</v>
      </c>
      <c r="F252" s="200">
        <f>VLOOKUP(PrévisionBoris[[#This Row],[Spec]],TabModelSpecs[[ModelSpec]:[Price]],2,FALSE)</f>
        <v>110</v>
      </c>
      <c r="G252" s="170" t="s">
        <v>462</v>
      </c>
      <c r="H252" s="219">
        <f>SUMIFS(LstMachines[Nbre],LstMachines[Model-Spec],PrévisionBoris[[#This Row],[Spec]],LstMachines[Status],PrévisionBoris[[#This Row],[Status]],LstMachines[MoisLivr],H$1)</f>
        <v>0</v>
      </c>
      <c r="I252" s="220">
        <f>SUMIFS(LstMachines[Nbre],LstMachines[Model-Spec],PrévisionBoris[[#This Row],[Spec]],LstMachines[Status],PrévisionBoris[[#This Row],[Status]],LstMachines[MoisLivr],I$1)</f>
        <v>0</v>
      </c>
      <c r="J252" s="221">
        <f>SUMIFS(LstMachines[Nbre],LstMachines[Model-Spec],PrévisionBoris[[#This Row],[Spec]],LstMachines[Status],PrévisionBoris[[#This Row],[Status]],LstMachines[MoisLivr],J$1)</f>
        <v>0</v>
      </c>
      <c r="K252" s="219">
        <f>SUMIFS(LstMachines[Nbre],LstMachines[Model-Spec],PrévisionBoris[[#This Row],[Spec]],LstMachines[Status],PrévisionBoris[[#This Row],[Status]],LstMachines[MoisLivr],K$1)</f>
        <v>0</v>
      </c>
      <c r="L252" s="220">
        <f>SUMIFS(LstMachines[Nbre],LstMachines[Model-Spec],PrévisionBoris[[#This Row],[Spec]],LstMachines[Status],PrévisionBoris[[#This Row],[Status]],LstMachines[MoisLivr],L$1)</f>
        <v>0</v>
      </c>
      <c r="M252" s="221">
        <f>SUMIFS(LstMachines[Nbre],LstMachines[Model-Spec],PrévisionBoris[[#This Row],[Spec]],LstMachines[Status],PrévisionBoris[[#This Row],[Status]],LstMachines[MoisLivr],M$1)</f>
        <v>0</v>
      </c>
      <c r="N252" s="219">
        <f>SUMIFS(LstMachines[Nbre],LstMachines[Model-Spec],PrévisionBoris[[#This Row],[Spec]],LstMachines[Status],PrévisionBoris[[#This Row],[Status]],LstMachines[MoisLivr],N$1)</f>
        <v>0</v>
      </c>
      <c r="O252" s="220">
        <f>SUMIFS(LstMachines[Nbre],LstMachines[Model-Spec],PrévisionBoris[[#This Row],[Spec]],LstMachines[Status],PrévisionBoris[[#This Row],[Status]],LstMachines[MoisLivr],O$1)</f>
        <v>0</v>
      </c>
      <c r="P252" s="221">
        <f>SUMIFS(LstMachines[Nbre],LstMachines[Model-Spec],PrévisionBoris[[#This Row],[Spec]],LstMachines[Status],PrévisionBoris[[#This Row],[Status]],LstMachines[MoisLivr],P$1)</f>
        <v>0</v>
      </c>
      <c r="Q252" s="222">
        <f>SUMIFS(LstMachines[Nbre],LstMachines[Model-Spec],PrévisionBoris[[#This Row],[Spec]],LstMachines[Status],PrévisionBoris[[#This Row],[Status]],LstMachines[MoisLivr],Q$1)</f>
        <v>0</v>
      </c>
      <c r="R252" s="220">
        <f>SUMIFS(LstMachines[Nbre],LstMachines[Model-Spec],PrévisionBoris[[#This Row],[Spec]],LstMachines[Status],PrévisionBoris[[#This Row],[Status]],LstMachines[MoisLivr],R$1)</f>
        <v>0</v>
      </c>
      <c r="S252" s="220">
        <f>SUMIFS(LstMachines[Nbre],LstMachines[Model-Spec],PrévisionBoris[[#This Row],[Spec]],LstMachines[Status],PrévisionBoris[[#This Row],[Status]],LstMachines[MoisLivr],S$1)</f>
        <v>0</v>
      </c>
      <c r="T252" s="219">
        <f>SUMIFS(LstMachines[Nbre],LstMachines[Model-Spec],PrévisionBoris[[#This Row],[Spec]],LstMachines[Status],PrévisionBoris[[#This Row],[Status]],LstMachines[MoisLivr],T$1)</f>
        <v>0</v>
      </c>
      <c r="U252" s="220">
        <f>SUMIFS(LstMachines[Nbre],LstMachines[Model-Spec],PrévisionBoris[[#This Row],[Spec]],LstMachines[Status],PrévisionBoris[[#This Row],[Status]],LstMachines[MoisLivr],U$1)</f>
        <v>0</v>
      </c>
      <c r="V252" s="220">
        <f>SUMIFS(LstMachines[Nbre],LstMachines[Model-Spec],PrévisionBoris[[#This Row],[Spec]],LstMachines[Status],PrévisionBoris[[#This Row],[Status]],LstMachines[MoisLivr],V$1)</f>
        <v>0</v>
      </c>
      <c r="W252" s="219">
        <f>SUMIFS(LstMachines[Nbre],LstMachines[Model-Spec],PrévisionBoris[[#This Row],[Spec]],LstMachines[Status],PrévisionBoris[[#This Row],[Status]],LstMachines[MoisLivr],W$1)</f>
        <v>0</v>
      </c>
      <c r="X252" s="220">
        <f>SUMIFS(LstMachines[Nbre],LstMachines[Model-Spec],PrévisionBoris[[#This Row],[Spec]],LstMachines[Status],PrévisionBoris[[#This Row],[Status]],LstMachines[MoisLivr],X$1)</f>
        <v>0</v>
      </c>
      <c r="Y252" s="220">
        <f>SUMIFS(LstMachines[Nbre],LstMachines[Model-Spec],PrévisionBoris[[#This Row],[Spec]],LstMachines[Status],PrévisionBoris[[#This Row],[Status]],LstMachines[MoisLivr],Y$1)</f>
        <v>0</v>
      </c>
      <c r="Z252" s="219">
        <f>SUMIFS(LstMachines[Nbre],LstMachines[Model-Spec],PrévisionBoris[[#This Row],[Spec]],LstMachines[Status],PrévisionBoris[[#This Row],[Status]],LstMachines[MoisLivr],Z$1)</f>
        <v>0</v>
      </c>
      <c r="AA252" s="220">
        <f>SUMIFS(LstMachines[Nbre],LstMachines[Model-Spec],PrévisionBoris[[#This Row],[Spec]],LstMachines[Status],PrévisionBoris[[#This Row],[Status]],LstMachines[MoisLivr],AA$1)</f>
        <v>0</v>
      </c>
      <c r="AB252" s="220">
        <f>SUMIFS(LstMachines[Nbre],LstMachines[Model-Spec],PrévisionBoris[[#This Row],[Spec]],LstMachines[Status],PrévisionBoris[[#This Row],[Status]],LstMachines[MoisLivr],AB$1)</f>
        <v>0</v>
      </c>
      <c r="AC252" s="219">
        <f>SUMIFS(LstMachines[Nbre],LstMachines[Model-Spec],PrévisionBoris[[#This Row],[Spec]],LstMachines[Status],PrévisionBoris[[#This Row],[Status]],LstMachines[MoisLivr],AC$1)</f>
        <v>0</v>
      </c>
      <c r="AD252" s="220">
        <f>SUMIFS(LstMachines[Nbre],LstMachines[Model-Spec],PrévisionBoris[[#This Row],[Spec]],LstMachines[Status],PrévisionBoris[[#This Row],[Status]],LstMachines[MoisLivr],AD$1)</f>
        <v>0</v>
      </c>
      <c r="AE252" s="220">
        <f>SUMIFS(LstMachines[Nbre],LstMachines[Model-Spec],PrévisionBoris[[#This Row],[Spec]],LstMachines[Status],PrévisionBoris[[#This Row],[Status]],LstMachines[MoisLivr],AE$1)</f>
        <v>0</v>
      </c>
      <c r="AF252" s="219">
        <f>SUMIFS(LstMachines[Nbre],LstMachines[Model-Spec],PrévisionBoris[[#This Row],[Spec]],LstMachines[Status],PrévisionBoris[[#This Row],[Status]],LstMachines[MoisLivr],AF$1)</f>
        <v>0</v>
      </c>
      <c r="AG252" s="220">
        <f>SUMIFS(LstMachines[Nbre],LstMachines[Model-Spec],PrévisionBoris[[#This Row],[Spec]],LstMachines[Status],PrévisionBoris[[#This Row],[Status]],LstMachines[MoisLivr],AG$1)</f>
        <v>0</v>
      </c>
      <c r="AH252" s="220">
        <f>SUMIFS(LstMachines[Nbre],LstMachines[Model-Spec],PrévisionBoris[[#This Row],[Spec]],LstMachines[Status],PrévisionBoris[[#This Row],[Status]],LstMachines[MoisLivr],AH$1)</f>
        <v>0</v>
      </c>
      <c r="AI252" s="219">
        <f>SUMIFS(LstMachines[Nbre],LstMachines[Model-Spec],PrévisionBoris[[#This Row],[Spec]],LstMachines[Status],PrévisionBoris[[#This Row],[Status]],LstMachines[MoisLivr],AI$1)</f>
        <v>0</v>
      </c>
      <c r="AJ252" s="220">
        <f>SUMIFS(LstMachines[Nbre],LstMachines[Model-Spec],PrévisionBoris[[#This Row],[Spec]],LstMachines[Status],PrévisionBoris[[#This Row],[Status]],LstMachines[MoisLivr],AJ$1)</f>
        <v>0</v>
      </c>
      <c r="AK252" s="220">
        <f>SUMIFS(LstMachines[Nbre],LstMachines[Model-Spec],PrévisionBoris[[#This Row],[Spec]],LstMachines[Status],PrévisionBoris[[#This Row],[Status]],LstMachines[MoisLivr],AK$1)</f>
        <v>0</v>
      </c>
      <c r="AL252" s="219">
        <f>SUMIFS(LstMachines[Nbre],LstMachines[Model-Spec],PrévisionBoris[[#This Row],[Spec]],LstMachines[Status],PrévisionBoris[[#This Row],[Status]],LstMachines[MoisLivr],AL$1)</f>
        <v>0</v>
      </c>
      <c r="AM252" s="220">
        <f>SUMIFS(LstMachines[Nbre],LstMachines[Model-Spec],PrévisionBoris[[#This Row],[Spec]],LstMachines[Status],PrévisionBoris[[#This Row],[Status]],LstMachines[MoisLivr],AM$1)</f>
        <v>0</v>
      </c>
      <c r="AN252" s="220">
        <f>SUMIFS(LstMachines[Nbre],LstMachines[Model-Spec],PrévisionBoris[[#This Row],[Spec]],LstMachines[Status],PrévisionBoris[[#This Row],[Status]],LstMachines[MoisLivr],AN$1)</f>
        <v>0</v>
      </c>
      <c r="AO252" s="219">
        <f>SUMIFS(LstMachines[Nbre],LstMachines[Model-Spec],PrévisionBoris[[#This Row],[Spec]],LstMachines[Status],PrévisionBoris[[#This Row],[Status]],LstMachines[MoisLivr],AO$1)</f>
        <v>0</v>
      </c>
      <c r="AP252" s="220">
        <f>SUMIFS(LstMachines[Nbre],LstMachines[Model-Spec],PrévisionBoris[[#This Row],[Spec]],LstMachines[Status],PrévisionBoris[[#This Row],[Status]],LstMachines[MoisLivr],AP$1)</f>
        <v>0</v>
      </c>
      <c r="AQ252" s="220">
        <f>SUMIFS(LstMachines[Nbre],LstMachines[Model-Spec],PrévisionBoris[[#This Row],[Spec]],LstMachines[Status],PrévisionBoris[[#This Row],[Status]],LstMachines[MoisLivr],AQ$1)</f>
        <v>0</v>
      </c>
      <c r="AR252" s="219">
        <f>SUMIFS(LstMachines[Nbre],LstMachines[Model-Spec],PrévisionBoris[[#This Row],[Spec]],LstMachines[Status],PrévisionBoris[[#This Row],[Status]],LstMachines[MoisLivr],AR$1)</f>
        <v>0</v>
      </c>
      <c r="AS252" s="220">
        <f>SUMIFS(LstMachines[Nbre],LstMachines[Model-Spec],PrévisionBoris[[#This Row],[Spec]],LstMachines[Status],PrévisionBoris[[#This Row],[Status]],LstMachines[MoisLivr],AS$1)</f>
        <v>0</v>
      </c>
      <c r="AT252" s="220">
        <f>SUMIFS(LstMachines[Nbre],LstMachines[Model-Spec],PrévisionBoris[[#This Row],[Spec]],LstMachines[Status],PrévisionBoris[[#This Row],[Status]],LstMachines[MoisLivr],AT$1)</f>
        <v>0</v>
      </c>
      <c r="AU252" s="219">
        <f>SUMIFS(LstMachines[Nbre],LstMachines[Model-Spec],PrévisionBoris[[#This Row],[Spec]],LstMachines[Status],PrévisionBoris[[#This Row],[Status]],LstMachines[MoisLivr],AU$1)</f>
        <v>0</v>
      </c>
      <c r="AV252" s="223">
        <f>SUMIFS(LstMachines[Nbre],LstMachines[Model-Spec],PrévisionBoris[[#This Row],[Spec]],LstMachines[Status],PrévisionBoris[[#This Row],[Status]],LstMachines[MoisLivr],AV$1)</f>
        <v>0</v>
      </c>
      <c r="AW252" s="224">
        <f>SUMIFS(LstMachines[Nbre],LstMachines[Model-Spec],PrévisionBoris[[#This Row],[Spec]],LstMachines[Status],PrévisionBoris[[#This Row],[Status]],LstMachines[MoisLivr],AW$1)</f>
        <v>0</v>
      </c>
      <c r="AX252" s="210"/>
      <c r="AY252" s="211">
        <f t="shared" si="51"/>
        <v>0</v>
      </c>
      <c r="AZ252" s="212">
        <f t="shared" si="52"/>
        <v>0</v>
      </c>
      <c r="BA252" s="212">
        <f t="shared" si="53"/>
        <v>0</v>
      </c>
      <c r="BB252" s="213">
        <f t="shared" si="54"/>
        <v>0</v>
      </c>
      <c r="BC252" s="225">
        <f t="shared" si="55"/>
        <v>0</v>
      </c>
      <c r="BD252" s="211">
        <f t="shared" si="56"/>
        <v>0</v>
      </c>
      <c r="BE252" s="212">
        <f t="shared" si="57"/>
        <v>0</v>
      </c>
      <c r="BF252" s="212">
        <f t="shared" si="58"/>
        <v>0</v>
      </c>
      <c r="BG252" s="213">
        <f t="shared" si="59"/>
        <v>0</v>
      </c>
      <c r="BH252" s="225">
        <f t="shared" si="60"/>
        <v>0</v>
      </c>
      <c r="BI252" s="214">
        <f t="shared" si="61"/>
        <v>0</v>
      </c>
      <c r="BJ252" s="215">
        <f t="shared" si="62"/>
        <v>0</v>
      </c>
      <c r="BK252" s="215">
        <f t="shared" si="63"/>
        <v>0</v>
      </c>
      <c r="BL252" s="216">
        <f t="shared" si="64"/>
        <v>0</v>
      </c>
      <c r="BM252" s="225">
        <f t="shared" si="65"/>
        <v>0</v>
      </c>
      <c r="BN252" s="225"/>
      <c r="BO252" s="217"/>
      <c r="BP252" s="218">
        <f t="shared" si="66"/>
        <v>0</v>
      </c>
    </row>
    <row r="253" spans="1:68">
      <c r="A253" s="171">
        <v>246</v>
      </c>
      <c r="B253" s="171" t="s">
        <v>85</v>
      </c>
      <c r="C253" s="201">
        <v>190</v>
      </c>
      <c r="D253" s="171" t="s">
        <v>198</v>
      </c>
      <c r="E253" s="171" t="s">
        <v>199</v>
      </c>
      <c r="F253" s="201">
        <f>VLOOKUP(PrévisionBoris[[#This Row],[Spec]],TabModelSpecs[[ModelSpec]:[Price]],2,FALSE)</f>
        <v>110</v>
      </c>
      <c r="G253" s="171" t="s">
        <v>463</v>
      </c>
      <c r="H253" s="226">
        <f>SUMIFS(LstMachines[Nbre],LstMachines[Model-Spec],PrévisionBoris[[#This Row],[Spec]],LstMachines[Status],PrévisionBoris[[#This Row],[Status]],LstMachines[MoisLivr],H$1)</f>
        <v>0</v>
      </c>
      <c r="I253" s="227">
        <f>SUMIFS(LstMachines[Nbre],LstMachines[Model-Spec],PrévisionBoris[[#This Row],[Spec]],LstMachines[Status],PrévisionBoris[[#This Row],[Status]],LstMachines[MoisLivr],I$1)</f>
        <v>0</v>
      </c>
      <c r="J253" s="228">
        <f>SUMIFS(LstMachines[Nbre],LstMachines[Model-Spec],PrévisionBoris[[#This Row],[Spec]],LstMachines[Status],PrévisionBoris[[#This Row],[Status]],LstMachines[MoisLivr],J$1)</f>
        <v>0</v>
      </c>
      <c r="K253" s="226">
        <f>SUMIFS(LstMachines[Nbre],LstMachines[Model-Spec],PrévisionBoris[[#This Row],[Spec]],LstMachines[Status],PrévisionBoris[[#This Row],[Status]],LstMachines[MoisLivr],K$1)</f>
        <v>0</v>
      </c>
      <c r="L253" s="227">
        <f>SUMIFS(LstMachines[Nbre],LstMachines[Model-Spec],PrévisionBoris[[#This Row],[Spec]],LstMachines[Status],PrévisionBoris[[#This Row],[Status]],LstMachines[MoisLivr],L$1)</f>
        <v>0</v>
      </c>
      <c r="M253" s="228">
        <f>SUMIFS(LstMachines[Nbre],LstMachines[Model-Spec],PrévisionBoris[[#This Row],[Spec]],LstMachines[Status],PrévisionBoris[[#This Row],[Status]],LstMachines[MoisLivr],M$1)</f>
        <v>0</v>
      </c>
      <c r="N253" s="226">
        <f>SUMIFS(LstMachines[Nbre],LstMachines[Model-Spec],PrévisionBoris[[#This Row],[Spec]],LstMachines[Status],PrévisionBoris[[#This Row],[Status]],LstMachines[MoisLivr],N$1)</f>
        <v>0</v>
      </c>
      <c r="O253" s="227">
        <f>SUMIFS(LstMachines[Nbre],LstMachines[Model-Spec],PrévisionBoris[[#This Row],[Spec]],LstMachines[Status],PrévisionBoris[[#This Row],[Status]],LstMachines[MoisLivr],O$1)</f>
        <v>0</v>
      </c>
      <c r="P253" s="228">
        <f>SUMIFS(LstMachines[Nbre],LstMachines[Model-Spec],PrévisionBoris[[#This Row],[Spec]],LstMachines[Status],PrévisionBoris[[#This Row],[Status]],LstMachines[MoisLivr],P$1)</f>
        <v>0</v>
      </c>
      <c r="Q253" s="229">
        <f>SUMIFS(LstMachines[Nbre],LstMachines[Model-Spec],PrévisionBoris[[#This Row],[Spec]],LstMachines[Status],PrévisionBoris[[#This Row],[Status]],LstMachines[MoisLivr],Q$1)</f>
        <v>0</v>
      </c>
      <c r="R253" s="227">
        <f>SUMIFS(LstMachines[Nbre],LstMachines[Model-Spec],PrévisionBoris[[#This Row],[Spec]],LstMachines[Status],PrévisionBoris[[#This Row],[Status]],LstMachines[MoisLivr],R$1)</f>
        <v>0</v>
      </c>
      <c r="S253" s="227">
        <f>SUMIFS(LstMachines[Nbre],LstMachines[Model-Spec],PrévisionBoris[[#This Row],[Spec]],LstMachines[Status],PrévisionBoris[[#This Row],[Status]],LstMachines[MoisLivr],S$1)</f>
        <v>0</v>
      </c>
      <c r="T253" s="226">
        <f>SUMIFS(LstMachines[Nbre],LstMachines[Model-Spec],PrévisionBoris[[#This Row],[Spec]],LstMachines[Status],PrévisionBoris[[#This Row],[Status]],LstMachines[MoisLivr],T$1)</f>
        <v>0</v>
      </c>
      <c r="U253" s="227">
        <f>SUMIFS(LstMachines[Nbre],LstMachines[Model-Spec],PrévisionBoris[[#This Row],[Spec]],LstMachines[Status],PrévisionBoris[[#This Row],[Status]],LstMachines[MoisLivr],U$1)</f>
        <v>0</v>
      </c>
      <c r="V253" s="227">
        <f>SUMIFS(LstMachines[Nbre],LstMachines[Model-Spec],PrévisionBoris[[#This Row],[Spec]],LstMachines[Status],PrévisionBoris[[#This Row],[Status]],LstMachines[MoisLivr],V$1)</f>
        <v>0</v>
      </c>
      <c r="W253" s="226">
        <f>SUMIFS(LstMachines[Nbre],LstMachines[Model-Spec],PrévisionBoris[[#This Row],[Spec]],LstMachines[Status],PrévisionBoris[[#This Row],[Status]],LstMachines[MoisLivr],W$1)</f>
        <v>0</v>
      </c>
      <c r="X253" s="227">
        <f>SUMIFS(LstMachines[Nbre],LstMachines[Model-Spec],PrévisionBoris[[#This Row],[Spec]],LstMachines[Status],PrévisionBoris[[#This Row],[Status]],LstMachines[MoisLivr],X$1)</f>
        <v>0</v>
      </c>
      <c r="Y253" s="227">
        <f>SUMIFS(LstMachines[Nbre],LstMachines[Model-Spec],PrévisionBoris[[#This Row],[Spec]],LstMachines[Status],PrévisionBoris[[#This Row],[Status]],LstMachines[MoisLivr],Y$1)</f>
        <v>0</v>
      </c>
      <c r="Z253" s="226">
        <f>SUMIFS(LstMachines[Nbre],LstMachines[Model-Spec],PrévisionBoris[[#This Row],[Spec]],LstMachines[Status],PrévisionBoris[[#This Row],[Status]],LstMachines[MoisLivr],Z$1)</f>
        <v>0</v>
      </c>
      <c r="AA253" s="227">
        <f>SUMIFS(LstMachines[Nbre],LstMachines[Model-Spec],PrévisionBoris[[#This Row],[Spec]],LstMachines[Status],PrévisionBoris[[#This Row],[Status]],LstMachines[MoisLivr],AA$1)</f>
        <v>0</v>
      </c>
      <c r="AB253" s="227">
        <f>SUMIFS(LstMachines[Nbre],LstMachines[Model-Spec],PrévisionBoris[[#This Row],[Spec]],LstMachines[Status],PrévisionBoris[[#This Row],[Status]],LstMachines[MoisLivr],AB$1)</f>
        <v>0</v>
      </c>
      <c r="AC253" s="226">
        <f>SUMIFS(LstMachines[Nbre],LstMachines[Model-Spec],PrévisionBoris[[#This Row],[Spec]],LstMachines[Status],PrévisionBoris[[#This Row],[Status]],LstMachines[MoisLivr],AC$1)</f>
        <v>0</v>
      </c>
      <c r="AD253" s="227">
        <f>SUMIFS(LstMachines[Nbre],LstMachines[Model-Spec],PrévisionBoris[[#This Row],[Spec]],LstMachines[Status],PrévisionBoris[[#This Row],[Status]],LstMachines[MoisLivr],AD$1)</f>
        <v>0</v>
      </c>
      <c r="AE253" s="227">
        <f>SUMIFS(LstMachines[Nbre],LstMachines[Model-Spec],PrévisionBoris[[#This Row],[Spec]],LstMachines[Status],PrévisionBoris[[#This Row],[Status]],LstMachines[MoisLivr],AE$1)</f>
        <v>0</v>
      </c>
      <c r="AF253" s="226">
        <f>SUMIFS(LstMachines[Nbre],LstMachines[Model-Spec],PrévisionBoris[[#This Row],[Spec]],LstMachines[Status],PrévisionBoris[[#This Row],[Status]],LstMachines[MoisLivr],AF$1)</f>
        <v>0</v>
      </c>
      <c r="AG253" s="227">
        <f>SUMIFS(LstMachines[Nbre],LstMachines[Model-Spec],PrévisionBoris[[#This Row],[Spec]],LstMachines[Status],PrévisionBoris[[#This Row],[Status]],LstMachines[MoisLivr],AG$1)</f>
        <v>0</v>
      </c>
      <c r="AH253" s="227">
        <f>SUMIFS(LstMachines[Nbre],LstMachines[Model-Spec],PrévisionBoris[[#This Row],[Spec]],LstMachines[Status],PrévisionBoris[[#This Row],[Status]],LstMachines[MoisLivr],AH$1)</f>
        <v>0</v>
      </c>
      <c r="AI253" s="226">
        <f>SUMIFS(LstMachines[Nbre],LstMachines[Model-Spec],PrévisionBoris[[#This Row],[Spec]],LstMachines[Status],PrévisionBoris[[#This Row],[Status]],LstMachines[MoisLivr],AI$1)</f>
        <v>0</v>
      </c>
      <c r="AJ253" s="227">
        <f>SUMIFS(LstMachines[Nbre],LstMachines[Model-Spec],PrévisionBoris[[#This Row],[Spec]],LstMachines[Status],PrévisionBoris[[#This Row],[Status]],LstMachines[MoisLivr],AJ$1)</f>
        <v>0</v>
      </c>
      <c r="AK253" s="227">
        <f>SUMIFS(LstMachines[Nbre],LstMachines[Model-Spec],PrévisionBoris[[#This Row],[Spec]],LstMachines[Status],PrévisionBoris[[#This Row],[Status]],LstMachines[MoisLivr],AK$1)</f>
        <v>0</v>
      </c>
      <c r="AL253" s="226">
        <f>SUMIFS(LstMachines[Nbre],LstMachines[Model-Spec],PrévisionBoris[[#This Row],[Spec]],LstMachines[Status],PrévisionBoris[[#This Row],[Status]],LstMachines[MoisLivr],AL$1)</f>
        <v>0</v>
      </c>
      <c r="AM253" s="227">
        <f>SUMIFS(LstMachines[Nbre],LstMachines[Model-Spec],PrévisionBoris[[#This Row],[Spec]],LstMachines[Status],PrévisionBoris[[#This Row],[Status]],LstMachines[MoisLivr],AM$1)</f>
        <v>0</v>
      </c>
      <c r="AN253" s="227">
        <f>SUMIFS(LstMachines[Nbre],LstMachines[Model-Spec],PrévisionBoris[[#This Row],[Spec]],LstMachines[Status],PrévisionBoris[[#This Row],[Status]],LstMachines[MoisLivr],AN$1)</f>
        <v>0</v>
      </c>
      <c r="AO253" s="226">
        <f>SUMIFS(LstMachines[Nbre],LstMachines[Model-Spec],PrévisionBoris[[#This Row],[Spec]],LstMachines[Status],PrévisionBoris[[#This Row],[Status]],LstMachines[MoisLivr],AO$1)</f>
        <v>0</v>
      </c>
      <c r="AP253" s="227">
        <f>SUMIFS(LstMachines[Nbre],LstMachines[Model-Spec],PrévisionBoris[[#This Row],[Spec]],LstMachines[Status],PrévisionBoris[[#This Row],[Status]],LstMachines[MoisLivr],AP$1)</f>
        <v>0</v>
      </c>
      <c r="AQ253" s="227">
        <f>SUMIFS(LstMachines[Nbre],LstMachines[Model-Spec],PrévisionBoris[[#This Row],[Spec]],LstMachines[Status],PrévisionBoris[[#This Row],[Status]],LstMachines[MoisLivr],AQ$1)</f>
        <v>0</v>
      </c>
      <c r="AR253" s="226">
        <f>SUMIFS(LstMachines[Nbre],LstMachines[Model-Spec],PrévisionBoris[[#This Row],[Spec]],LstMachines[Status],PrévisionBoris[[#This Row],[Status]],LstMachines[MoisLivr],AR$1)</f>
        <v>0</v>
      </c>
      <c r="AS253" s="227">
        <f>SUMIFS(LstMachines[Nbre],LstMachines[Model-Spec],PrévisionBoris[[#This Row],[Spec]],LstMachines[Status],PrévisionBoris[[#This Row],[Status]],LstMachines[MoisLivr],AS$1)</f>
        <v>0</v>
      </c>
      <c r="AT253" s="227">
        <f>SUMIFS(LstMachines[Nbre],LstMachines[Model-Spec],PrévisionBoris[[#This Row],[Spec]],LstMachines[Status],PrévisionBoris[[#This Row],[Status]],LstMachines[MoisLivr],AT$1)</f>
        <v>0</v>
      </c>
      <c r="AU253" s="226">
        <f>SUMIFS(LstMachines[Nbre],LstMachines[Model-Spec],PrévisionBoris[[#This Row],[Spec]],LstMachines[Status],PrévisionBoris[[#This Row],[Status]],LstMachines[MoisLivr],AU$1)</f>
        <v>0</v>
      </c>
      <c r="AV253" s="230">
        <f>SUMIFS(LstMachines[Nbre],LstMachines[Model-Spec],PrévisionBoris[[#This Row],[Spec]],LstMachines[Status],PrévisionBoris[[#This Row],[Status]],LstMachines[MoisLivr],AV$1)</f>
        <v>0</v>
      </c>
      <c r="AW253" s="231">
        <f>SUMIFS(LstMachines[Nbre],LstMachines[Model-Spec],PrévisionBoris[[#This Row],[Spec]],LstMachines[Status],PrévisionBoris[[#This Row],[Status]],LstMachines[MoisLivr],AW$1)</f>
        <v>0</v>
      </c>
      <c r="AX253" s="232"/>
      <c r="AY253" s="211">
        <f t="shared" si="51"/>
        <v>0</v>
      </c>
      <c r="AZ253" s="212">
        <f t="shared" si="52"/>
        <v>0</v>
      </c>
      <c r="BA253" s="212">
        <f t="shared" si="53"/>
        <v>0</v>
      </c>
      <c r="BB253" s="213">
        <f t="shared" si="54"/>
        <v>0</v>
      </c>
      <c r="BC253" s="225">
        <f t="shared" si="55"/>
        <v>0</v>
      </c>
      <c r="BD253" s="211">
        <f t="shared" si="56"/>
        <v>0</v>
      </c>
      <c r="BE253" s="212">
        <f t="shared" si="57"/>
        <v>0</v>
      </c>
      <c r="BF253" s="212">
        <f t="shared" si="58"/>
        <v>0</v>
      </c>
      <c r="BG253" s="213">
        <f t="shared" si="59"/>
        <v>0</v>
      </c>
      <c r="BH253" s="225">
        <f t="shared" si="60"/>
        <v>0</v>
      </c>
      <c r="BI253" s="214">
        <f t="shared" si="61"/>
        <v>0</v>
      </c>
      <c r="BJ253" s="215">
        <f t="shared" si="62"/>
        <v>0</v>
      </c>
      <c r="BK253" s="215">
        <f t="shared" si="63"/>
        <v>0</v>
      </c>
      <c r="BL253" s="216">
        <f t="shared" si="64"/>
        <v>0</v>
      </c>
      <c r="BM253" s="225">
        <f t="shared" si="65"/>
        <v>0</v>
      </c>
      <c r="BN253" s="225"/>
      <c r="BO253" s="217"/>
      <c r="BP253" s="218">
        <f t="shared" si="66"/>
        <v>0</v>
      </c>
    </row>
    <row r="254" spans="1:68">
      <c r="A254" s="172">
        <v>247</v>
      </c>
      <c r="B254" s="172" t="s">
        <v>85</v>
      </c>
      <c r="C254" s="202">
        <v>190</v>
      </c>
      <c r="D254" s="172" t="s">
        <v>198</v>
      </c>
      <c r="E254" s="172" t="s">
        <v>200</v>
      </c>
      <c r="F254" s="202">
        <f>VLOOKUP(PrévisionBoris[[#This Row],[Spec]],TabModelSpecs[[ModelSpec]:[Price]],2,FALSE)</f>
        <v>105</v>
      </c>
      <c r="G254" s="172" t="s">
        <v>461</v>
      </c>
      <c r="H254" s="206">
        <f>SUMIFS(LstMachines[Nbre],LstMachines[Model-Spec],PrévisionBoris[[#This Row],[Spec]],LstMachines[Status],PrévisionBoris[[#This Row],[Status]],LstMachines[MoisLivr],H$1)</f>
        <v>0</v>
      </c>
      <c r="I254" s="207">
        <f>SUMIFS(LstMachines[Nbre],LstMachines[Model-Spec],PrévisionBoris[[#This Row],[Spec]],LstMachines[Status],PrévisionBoris[[#This Row],[Status]],LstMachines[MoisLivr],I$1)</f>
        <v>0</v>
      </c>
      <c r="J254" s="208">
        <f>SUMIFS(LstMachines[Nbre],LstMachines[Model-Spec],PrévisionBoris[[#This Row],[Spec]],LstMachines[Status],PrévisionBoris[[#This Row],[Status]],LstMachines[MoisLivr],J$1)</f>
        <v>0</v>
      </c>
      <c r="K254" s="206">
        <f>SUMIFS(LstMachines[Nbre],LstMachines[Model-Spec],PrévisionBoris[[#This Row],[Spec]],LstMachines[Status],PrévisionBoris[[#This Row],[Status]],LstMachines[MoisLivr],K$1)</f>
        <v>0</v>
      </c>
      <c r="L254" s="207">
        <f>SUMIFS(LstMachines[Nbre],LstMachines[Model-Spec],PrévisionBoris[[#This Row],[Spec]],LstMachines[Status],PrévisionBoris[[#This Row],[Status]],LstMachines[MoisLivr],L$1)</f>
        <v>0</v>
      </c>
      <c r="M254" s="208">
        <f>SUMIFS(LstMachines[Nbre],LstMachines[Model-Spec],PrévisionBoris[[#This Row],[Spec]],LstMachines[Status],PrévisionBoris[[#This Row],[Status]],LstMachines[MoisLivr],M$1)</f>
        <v>0</v>
      </c>
      <c r="N254" s="206">
        <f>SUMIFS(LstMachines[Nbre],LstMachines[Model-Spec],PrévisionBoris[[#This Row],[Spec]],LstMachines[Status],PrévisionBoris[[#This Row],[Status]],LstMachines[MoisLivr],N$1)</f>
        <v>0</v>
      </c>
      <c r="O254" s="207">
        <f>SUMIFS(LstMachines[Nbre],LstMachines[Model-Spec],PrévisionBoris[[#This Row],[Spec]],LstMachines[Status],PrévisionBoris[[#This Row],[Status]],LstMachines[MoisLivr],O$1)</f>
        <v>1</v>
      </c>
      <c r="P254" s="208">
        <f>SUMIFS(LstMachines[Nbre],LstMachines[Model-Spec],PrévisionBoris[[#This Row],[Spec]],LstMachines[Status],PrévisionBoris[[#This Row],[Status]],LstMachines[MoisLivr],P$1)</f>
        <v>0</v>
      </c>
      <c r="Q254" s="209">
        <f>SUMIFS(LstMachines[Nbre],LstMachines[Model-Spec],PrévisionBoris[[#This Row],[Spec]],LstMachines[Status],PrévisionBoris[[#This Row],[Status]],LstMachines[MoisLivr],Q$1)</f>
        <v>0</v>
      </c>
      <c r="R254" s="207">
        <f>SUMIFS(LstMachines[Nbre],LstMachines[Model-Spec],PrévisionBoris[[#This Row],[Spec]],LstMachines[Status],PrévisionBoris[[#This Row],[Status]],LstMachines[MoisLivr],R$1)</f>
        <v>0</v>
      </c>
      <c r="S254" s="207">
        <f>SUMIFS(LstMachines[Nbre],LstMachines[Model-Spec],PrévisionBoris[[#This Row],[Spec]],LstMachines[Status],PrévisionBoris[[#This Row],[Status]],LstMachines[MoisLivr],S$1)</f>
        <v>1</v>
      </c>
      <c r="T254" s="206">
        <f>SUMIFS(LstMachines[Nbre],LstMachines[Model-Spec],PrévisionBoris[[#This Row],[Spec]],LstMachines[Status],PrévisionBoris[[#This Row],[Status]],LstMachines[MoisLivr],T$1)</f>
        <v>2</v>
      </c>
      <c r="U254" s="207">
        <f>SUMIFS(LstMachines[Nbre],LstMachines[Model-Spec],PrévisionBoris[[#This Row],[Spec]],LstMachines[Status],PrévisionBoris[[#This Row],[Status]],LstMachines[MoisLivr],U$1)</f>
        <v>1</v>
      </c>
      <c r="V254" s="207">
        <f>SUMIFS(LstMachines[Nbre],LstMachines[Model-Spec],PrévisionBoris[[#This Row],[Spec]],LstMachines[Status],PrévisionBoris[[#This Row],[Status]],LstMachines[MoisLivr],V$1)</f>
        <v>0</v>
      </c>
      <c r="W254" s="206">
        <f>SUMIFS(LstMachines[Nbre],LstMachines[Model-Spec],PrévisionBoris[[#This Row],[Spec]],LstMachines[Status],PrévisionBoris[[#This Row],[Status]],LstMachines[MoisLivr],W$1)</f>
        <v>0</v>
      </c>
      <c r="X254" s="207">
        <f>SUMIFS(LstMachines[Nbre],LstMachines[Model-Spec],PrévisionBoris[[#This Row],[Spec]],LstMachines[Status],PrévisionBoris[[#This Row],[Status]],LstMachines[MoisLivr],X$1)</f>
        <v>0</v>
      </c>
      <c r="Y254" s="207">
        <f>SUMIFS(LstMachines[Nbre],LstMachines[Model-Spec],PrévisionBoris[[#This Row],[Spec]],LstMachines[Status],PrévisionBoris[[#This Row],[Status]],LstMachines[MoisLivr],Y$1)</f>
        <v>0</v>
      </c>
      <c r="Z254" s="206">
        <f>SUMIFS(LstMachines[Nbre],LstMachines[Model-Spec],PrévisionBoris[[#This Row],[Spec]],LstMachines[Status],PrévisionBoris[[#This Row],[Status]],LstMachines[MoisLivr],Z$1)</f>
        <v>0</v>
      </c>
      <c r="AA254" s="207">
        <f>SUMIFS(LstMachines[Nbre],LstMachines[Model-Spec],PrévisionBoris[[#This Row],[Spec]],LstMachines[Status],PrévisionBoris[[#This Row],[Status]],LstMachines[MoisLivr],AA$1)</f>
        <v>0</v>
      </c>
      <c r="AB254" s="207">
        <f>SUMIFS(LstMachines[Nbre],LstMachines[Model-Spec],PrévisionBoris[[#This Row],[Spec]],LstMachines[Status],PrévisionBoris[[#This Row],[Status]],LstMachines[MoisLivr],AB$1)</f>
        <v>3</v>
      </c>
      <c r="AC254" s="206">
        <f>SUMIFS(LstMachines[Nbre],LstMachines[Model-Spec],PrévisionBoris[[#This Row],[Spec]],LstMachines[Status],PrévisionBoris[[#This Row],[Status]],LstMachines[MoisLivr],AC$1)</f>
        <v>0</v>
      </c>
      <c r="AD254" s="207">
        <f>SUMIFS(LstMachines[Nbre],LstMachines[Model-Spec],PrévisionBoris[[#This Row],[Spec]],LstMachines[Status],PrévisionBoris[[#This Row],[Status]],LstMachines[MoisLivr],AD$1)</f>
        <v>0</v>
      </c>
      <c r="AE254" s="207">
        <f>SUMIFS(LstMachines[Nbre],LstMachines[Model-Spec],PrévisionBoris[[#This Row],[Spec]],LstMachines[Status],PrévisionBoris[[#This Row],[Status]],LstMachines[MoisLivr],AE$1)</f>
        <v>0</v>
      </c>
      <c r="AF254" s="206">
        <f>SUMIFS(LstMachines[Nbre],LstMachines[Model-Spec],PrévisionBoris[[#This Row],[Spec]],LstMachines[Status],PrévisionBoris[[#This Row],[Status]],LstMachines[MoisLivr],AF$1)</f>
        <v>0</v>
      </c>
      <c r="AG254" s="207">
        <f>SUMIFS(LstMachines[Nbre],LstMachines[Model-Spec],PrévisionBoris[[#This Row],[Spec]],LstMachines[Status],PrévisionBoris[[#This Row],[Status]],LstMachines[MoisLivr],AG$1)</f>
        <v>0</v>
      </c>
      <c r="AH254" s="207">
        <f>SUMIFS(LstMachines[Nbre],LstMachines[Model-Spec],PrévisionBoris[[#This Row],[Spec]],LstMachines[Status],PrévisionBoris[[#This Row],[Status]],LstMachines[MoisLivr],AH$1)</f>
        <v>0</v>
      </c>
      <c r="AI254" s="206">
        <f>SUMIFS(LstMachines[Nbre],LstMachines[Model-Spec],PrévisionBoris[[#This Row],[Spec]],LstMachines[Status],PrévisionBoris[[#This Row],[Status]],LstMachines[MoisLivr],AI$1)</f>
        <v>0</v>
      </c>
      <c r="AJ254" s="207">
        <f>SUMIFS(LstMachines[Nbre],LstMachines[Model-Spec],PrévisionBoris[[#This Row],[Spec]],LstMachines[Status],PrévisionBoris[[#This Row],[Status]],LstMachines[MoisLivr],AJ$1)</f>
        <v>0</v>
      </c>
      <c r="AK254" s="207">
        <f>SUMIFS(LstMachines[Nbre],LstMachines[Model-Spec],PrévisionBoris[[#This Row],[Spec]],LstMachines[Status],PrévisionBoris[[#This Row],[Status]],LstMachines[MoisLivr],AK$1)</f>
        <v>0</v>
      </c>
      <c r="AL254" s="206">
        <f>SUMIFS(LstMachines[Nbre],LstMachines[Model-Spec],PrévisionBoris[[#This Row],[Spec]],LstMachines[Status],PrévisionBoris[[#This Row],[Status]],LstMachines[MoisLivr],AL$1)</f>
        <v>0</v>
      </c>
      <c r="AM254" s="207">
        <f>SUMIFS(LstMachines[Nbre],LstMachines[Model-Spec],PrévisionBoris[[#This Row],[Spec]],LstMachines[Status],PrévisionBoris[[#This Row],[Status]],LstMachines[MoisLivr],AM$1)</f>
        <v>0</v>
      </c>
      <c r="AN254" s="207">
        <f>SUMIFS(LstMachines[Nbre],LstMachines[Model-Spec],PrévisionBoris[[#This Row],[Spec]],LstMachines[Status],PrévisionBoris[[#This Row],[Status]],LstMachines[MoisLivr],AN$1)</f>
        <v>4</v>
      </c>
      <c r="AO254" s="206">
        <f>SUMIFS(LstMachines[Nbre],LstMachines[Model-Spec],PrévisionBoris[[#This Row],[Spec]],LstMachines[Status],PrévisionBoris[[#This Row],[Status]],LstMachines[MoisLivr],AO$1)</f>
        <v>0</v>
      </c>
      <c r="AP254" s="207">
        <f>SUMIFS(LstMachines[Nbre],LstMachines[Model-Spec],PrévisionBoris[[#This Row],[Spec]],LstMachines[Status],PrévisionBoris[[#This Row],[Status]],LstMachines[MoisLivr],AP$1)</f>
        <v>0</v>
      </c>
      <c r="AQ254" s="207">
        <f>SUMIFS(LstMachines[Nbre],LstMachines[Model-Spec],PrévisionBoris[[#This Row],[Spec]],LstMachines[Status],PrévisionBoris[[#This Row],[Status]],LstMachines[MoisLivr],AQ$1)</f>
        <v>0</v>
      </c>
      <c r="AR254" s="206">
        <f>SUMIFS(LstMachines[Nbre],LstMachines[Model-Spec],PrévisionBoris[[#This Row],[Spec]],LstMachines[Status],PrévisionBoris[[#This Row],[Status]],LstMachines[MoisLivr],AR$1)</f>
        <v>0</v>
      </c>
      <c r="AS254" s="207">
        <f>SUMIFS(LstMachines[Nbre],LstMachines[Model-Spec],PrévisionBoris[[#This Row],[Spec]],LstMachines[Status],PrévisionBoris[[#This Row],[Status]],LstMachines[MoisLivr],AS$1)</f>
        <v>0</v>
      </c>
      <c r="AT254" s="207">
        <f>SUMIFS(LstMachines[Nbre],LstMachines[Model-Spec],PrévisionBoris[[#This Row],[Spec]],LstMachines[Status],PrévisionBoris[[#This Row],[Status]],LstMachines[MoisLivr],AT$1)</f>
        <v>0</v>
      </c>
      <c r="AU254" s="206">
        <f>SUMIFS(LstMachines[Nbre],LstMachines[Model-Spec],PrévisionBoris[[#This Row],[Spec]],LstMachines[Status],PrévisionBoris[[#This Row],[Status]],LstMachines[MoisLivr],AU$1)</f>
        <v>0</v>
      </c>
      <c r="AV254" s="233">
        <f>SUMIFS(LstMachines[Nbre],LstMachines[Model-Spec],PrévisionBoris[[#This Row],[Spec]],LstMachines[Status],PrévisionBoris[[#This Row],[Status]],LstMachines[MoisLivr],AV$1)</f>
        <v>0</v>
      </c>
      <c r="AW254" s="208">
        <f>SUMIFS(LstMachines[Nbre],LstMachines[Model-Spec],PrévisionBoris[[#This Row],[Spec]],LstMachines[Status],PrévisionBoris[[#This Row],[Status]],LstMachines[MoisLivr],AW$1)</f>
        <v>0</v>
      </c>
      <c r="AX254" s="225"/>
      <c r="AY254" s="211">
        <f t="shared" si="51"/>
        <v>0</v>
      </c>
      <c r="AZ254" s="212">
        <f t="shared" si="52"/>
        <v>1</v>
      </c>
      <c r="BA254" s="212">
        <f t="shared" si="53"/>
        <v>1</v>
      </c>
      <c r="BB254" s="213">
        <f t="shared" si="54"/>
        <v>3</v>
      </c>
      <c r="BC254" s="225">
        <f t="shared" si="55"/>
        <v>5</v>
      </c>
      <c r="BD254" s="211">
        <f t="shared" si="56"/>
        <v>0</v>
      </c>
      <c r="BE254" s="212">
        <f t="shared" si="57"/>
        <v>3</v>
      </c>
      <c r="BF254" s="212">
        <f t="shared" si="58"/>
        <v>0</v>
      </c>
      <c r="BG254" s="213">
        <f t="shared" si="59"/>
        <v>0</v>
      </c>
      <c r="BH254" s="225">
        <f t="shared" si="60"/>
        <v>3</v>
      </c>
      <c r="BI254" s="214">
        <f t="shared" si="61"/>
        <v>0</v>
      </c>
      <c r="BJ254" s="215">
        <f t="shared" si="62"/>
        <v>4</v>
      </c>
      <c r="BK254" s="215">
        <f t="shared" si="63"/>
        <v>0</v>
      </c>
      <c r="BL254" s="216">
        <f t="shared" si="64"/>
        <v>0</v>
      </c>
      <c r="BM254" s="225">
        <f t="shared" si="65"/>
        <v>4</v>
      </c>
      <c r="BN254" s="225"/>
      <c r="BO254" s="234"/>
      <c r="BP254" s="218">
        <f t="shared" si="66"/>
        <v>12</v>
      </c>
    </row>
    <row r="255" spans="1:68">
      <c r="A255" s="170">
        <v>248</v>
      </c>
      <c r="B255" s="170" t="s">
        <v>85</v>
      </c>
      <c r="C255" s="200">
        <v>190</v>
      </c>
      <c r="D255" s="170" t="s">
        <v>198</v>
      </c>
      <c r="E255" s="170" t="s">
        <v>200</v>
      </c>
      <c r="F255" s="200">
        <f>VLOOKUP(PrévisionBoris[[#This Row],[Spec]],TabModelSpecs[[ModelSpec]:[Price]],2,FALSE)</f>
        <v>105</v>
      </c>
      <c r="G255" s="170" t="s">
        <v>462</v>
      </c>
      <c r="H255" s="219">
        <f>SUMIFS(LstMachines[Nbre],LstMachines[Model-Spec],PrévisionBoris[[#This Row],[Spec]],LstMachines[Status],PrévisionBoris[[#This Row],[Status]],LstMachines[MoisLivr],H$1)</f>
        <v>0</v>
      </c>
      <c r="I255" s="220">
        <f>SUMIFS(LstMachines[Nbre],LstMachines[Model-Spec],PrévisionBoris[[#This Row],[Spec]],LstMachines[Status],PrévisionBoris[[#This Row],[Status]],LstMachines[MoisLivr],I$1)</f>
        <v>0</v>
      </c>
      <c r="J255" s="221">
        <f>SUMIFS(LstMachines[Nbre],LstMachines[Model-Spec],PrévisionBoris[[#This Row],[Spec]],LstMachines[Status],PrévisionBoris[[#This Row],[Status]],LstMachines[MoisLivr],J$1)</f>
        <v>0</v>
      </c>
      <c r="K255" s="219">
        <f>SUMIFS(LstMachines[Nbre],LstMachines[Model-Spec],PrévisionBoris[[#This Row],[Spec]],LstMachines[Status],PrévisionBoris[[#This Row],[Status]],LstMachines[MoisLivr],K$1)</f>
        <v>0</v>
      </c>
      <c r="L255" s="220">
        <f>SUMIFS(LstMachines[Nbre],LstMachines[Model-Spec],PrévisionBoris[[#This Row],[Spec]],LstMachines[Status],PrévisionBoris[[#This Row],[Status]],LstMachines[MoisLivr],L$1)</f>
        <v>0</v>
      </c>
      <c r="M255" s="221">
        <f>SUMIFS(LstMachines[Nbre],LstMachines[Model-Spec],PrévisionBoris[[#This Row],[Spec]],LstMachines[Status],PrévisionBoris[[#This Row],[Status]],LstMachines[MoisLivr],M$1)</f>
        <v>0</v>
      </c>
      <c r="N255" s="219">
        <f>SUMIFS(LstMachines[Nbre],LstMachines[Model-Spec],PrévisionBoris[[#This Row],[Spec]],LstMachines[Status],PrévisionBoris[[#This Row],[Status]],LstMachines[MoisLivr],N$1)</f>
        <v>0</v>
      </c>
      <c r="O255" s="220">
        <f>SUMIFS(LstMachines[Nbre],LstMachines[Model-Spec],PrévisionBoris[[#This Row],[Spec]],LstMachines[Status],PrévisionBoris[[#This Row],[Status]],LstMachines[MoisLivr],O$1)</f>
        <v>0</v>
      </c>
      <c r="P255" s="221">
        <f>SUMIFS(LstMachines[Nbre],LstMachines[Model-Spec],PrévisionBoris[[#This Row],[Spec]],LstMachines[Status],PrévisionBoris[[#This Row],[Status]],LstMachines[MoisLivr],P$1)</f>
        <v>0</v>
      </c>
      <c r="Q255" s="222">
        <f>SUMIFS(LstMachines[Nbre],LstMachines[Model-Spec],PrévisionBoris[[#This Row],[Spec]],LstMachines[Status],PrévisionBoris[[#This Row],[Status]],LstMachines[MoisLivr],Q$1)</f>
        <v>0</v>
      </c>
      <c r="R255" s="220">
        <f>SUMIFS(LstMachines[Nbre],LstMachines[Model-Spec],PrévisionBoris[[#This Row],[Spec]],LstMachines[Status],PrévisionBoris[[#This Row],[Status]],LstMachines[MoisLivr],R$1)</f>
        <v>0</v>
      </c>
      <c r="S255" s="220">
        <f>SUMIFS(LstMachines[Nbre],LstMachines[Model-Spec],PrévisionBoris[[#This Row],[Spec]],LstMachines[Status],PrévisionBoris[[#This Row],[Status]],LstMachines[MoisLivr],S$1)</f>
        <v>0</v>
      </c>
      <c r="T255" s="219">
        <f>SUMIFS(LstMachines[Nbre],LstMachines[Model-Spec],PrévisionBoris[[#This Row],[Spec]],LstMachines[Status],PrévisionBoris[[#This Row],[Status]],LstMachines[MoisLivr],T$1)</f>
        <v>0</v>
      </c>
      <c r="U255" s="220">
        <f>SUMIFS(LstMachines[Nbre],LstMachines[Model-Spec],PrévisionBoris[[#This Row],[Spec]],LstMachines[Status],PrévisionBoris[[#This Row],[Status]],LstMachines[MoisLivr],U$1)</f>
        <v>0</v>
      </c>
      <c r="V255" s="220">
        <f>SUMIFS(LstMachines[Nbre],LstMachines[Model-Spec],PrévisionBoris[[#This Row],[Spec]],LstMachines[Status],PrévisionBoris[[#This Row],[Status]],LstMachines[MoisLivr],V$1)</f>
        <v>0</v>
      </c>
      <c r="W255" s="219">
        <f>SUMIFS(LstMachines[Nbre],LstMachines[Model-Spec],PrévisionBoris[[#This Row],[Spec]],LstMachines[Status],PrévisionBoris[[#This Row],[Status]],LstMachines[MoisLivr],W$1)</f>
        <v>0</v>
      </c>
      <c r="X255" s="220">
        <f>SUMIFS(LstMachines[Nbre],LstMachines[Model-Spec],PrévisionBoris[[#This Row],[Spec]],LstMachines[Status],PrévisionBoris[[#This Row],[Status]],LstMachines[MoisLivr],X$1)</f>
        <v>0</v>
      </c>
      <c r="Y255" s="220">
        <f>SUMIFS(LstMachines[Nbre],LstMachines[Model-Spec],PrévisionBoris[[#This Row],[Spec]],LstMachines[Status],PrévisionBoris[[#This Row],[Status]],LstMachines[MoisLivr],Y$1)</f>
        <v>0</v>
      </c>
      <c r="Z255" s="219">
        <f>SUMIFS(LstMachines[Nbre],LstMachines[Model-Spec],PrévisionBoris[[#This Row],[Spec]],LstMachines[Status],PrévisionBoris[[#This Row],[Status]],LstMachines[MoisLivr],Z$1)</f>
        <v>0</v>
      </c>
      <c r="AA255" s="220">
        <f>SUMIFS(LstMachines[Nbre],LstMachines[Model-Spec],PrévisionBoris[[#This Row],[Spec]],LstMachines[Status],PrévisionBoris[[#This Row],[Status]],LstMachines[MoisLivr],AA$1)</f>
        <v>0</v>
      </c>
      <c r="AB255" s="220">
        <f>SUMIFS(LstMachines[Nbre],LstMachines[Model-Spec],PrévisionBoris[[#This Row],[Spec]],LstMachines[Status],PrévisionBoris[[#This Row],[Status]],LstMachines[MoisLivr],AB$1)</f>
        <v>0</v>
      </c>
      <c r="AC255" s="219">
        <f>SUMIFS(LstMachines[Nbre],LstMachines[Model-Spec],PrévisionBoris[[#This Row],[Spec]],LstMachines[Status],PrévisionBoris[[#This Row],[Status]],LstMachines[MoisLivr],AC$1)</f>
        <v>0</v>
      </c>
      <c r="AD255" s="220">
        <f>SUMIFS(LstMachines[Nbre],LstMachines[Model-Spec],PrévisionBoris[[#This Row],[Spec]],LstMachines[Status],PrévisionBoris[[#This Row],[Status]],LstMachines[MoisLivr],AD$1)</f>
        <v>0</v>
      </c>
      <c r="AE255" s="220">
        <f>SUMIFS(LstMachines[Nbre],LstMachines[Model-Spec],PrévisionBoris[[#This Row],[Spec]],LstMachines[Status],PrévisionBoris[[#This Row],[Status]],LstMachines[MoisLivr],AE$1)</f>
        <v>0</v>
      </c>
      <c r="AF255" s="219">
        <f>SUMIFS(LstMachines[Nbre],LstMachines[Model-Spec],PrévisionBoris[[#This Row],[Spec]],LstMachines[Status],PrévisionBoris[[#This Row],[Status]],LstMachines[MoisLivr],AF$1)</f>
        <v>0</v>
      </c>
      <c r="AG255" s="220">
        <f>SUMIFS(LstMachines[Nbre],LstMachines[Model-Spec],PrévisionBoris[[#This Row],[Spec]],LstMachines[Status],PrévisionBoris[[#This Row],[Status]],LstMachines[MoisLivr],AG$1)</f>
        <v>0</v>
      </c>
      <c r="AH255" s="220">
        <f>SUMIFS(LstMachines[Nbre],LstMachines[Model-Spec],PrévisionBoris[[#This Row],[Spec]],LstMachines[Status],PrévisionBoris[[#This Row],[Status]],LstMachines[MoisLivr],AH$1)</f>
        <v>0</v>
      </c>
      <c r="AI255" s="219">
        <f>SUMIFS(LstMachines[Nbre],LstMachines[Model-Spec],PrévisionBoris[[#This Row],[Spec]],LstMachines[Status],PrévisionBoris[[#This Row],[Status]],LstMachines[MoisLivr],AI$1)</f>
        <v>0</v>
      </c>
      <c r="AJ255" s="220">
        <f>SUMIFS(LstMachines[Nbre],LstMachines[Model-Spec],PrévisionBoris[[#This Row],[Spec]],LstMachines[Status],PrévisionBoris[[#This Row],[Status]],LstMachines[MoisLivr],AJ$1)</f>
        <v>0</v>
      </c>
      <c r="AK255" s="220">
        <f>SUMIFS(LstMachines[Nbre],LstMachines[Model-Spec],PrévisionBoris[[#This Row],[Spec]],LstMachines[Status],PrévisionBoris[[#This Row],[Status]],LstMachines[MoisLivr],AK$1)</f>
        <v>0</v>
      </c>
      <c r="AL255" s="219">
        <f>SUMIFS(LstMachines[Nbre],LstMachines[Model-Spec],PrévisionBoris[[#This Row],[Spec]],LstMachines[Status],PrévisionBoris[[#This Row],[Status]],LstMachines[MoisLivr],AL$1)</f>
        <v>0</v>
      </c>
      <c r="AM255" s="220">
        <f>SUMIFS(LstMachines[Nbre],LstMachines[Model-Spec],PrévisionBoris[[#This Row],[Spec]],LstMachines[Status],PrévisionBoris[[#This Row],[Status]],LstMachines[MoisLivr],AM$1)</f>
        <v>0</v>
      </c>
      <c r="AN255" s="220">
        <f>SUMIFS(LstMachines[Nbre],LstMachines[Model-Spec],PrévisionBoris[[#This Row],[Spec]],LstMachines[Status],PrévisionBoris[[#This Row],[Status]],LstMachines[MoisLivr],AN$1)</f>
        <v>0</v>
      </c>
      <c r="AO255" s="219">
        <f>SUMIFS(LstMachines[Nbre],LstMachines[Model-Spec],PrévisionBoris[[#This Row],[Spec]],LstMachines[Status],PrévisionBoris[[#This Row],[Status]],LstMachines[MoisLivr],AO$1)</f>
        <v>0</v>
      </c>
      <c r="AP255" s="220">
        <f>SUMIFS(LstMachines[Nbre],LstMachines[Model-Spec],PrévisionBoris[[#This Row],[Spec]],LstMachines[Status],PrévisionBoris[[#This Row],[Status]],LstMachines[MoisLivr],AP$1)</f>
        <v>0</v>
      </c>
      <c r="AQ255" s="220">
        <f>SUMIFS(LstMachines[Nbre],LstMachines[Model-Spec],PrévisionBoris[[#This Row],[Spec]],LstMachines[Status],PrévisionBoris[[#This Row],[Status]],LstMachines[MoisLivr],AQ$1)</f>
        <v>0</v>
      </c>
      <c r="AR255" s="219">
        <f>SUMIFS(LstMachines[Nbre],LstMachines[Model-Spec],PrévisionBoris[[#This Row],[Spec]],LstMachines[Status],PrévisionBoris[[#This Row],[Status]],LstMachines[MoisLivr],AR$1)</f>
        <v>0</v>
      </c>
      <c r="AS255" s="220">
        <f>SUMIFS(LstMachines[Nbre],LstMachines[Model-Spec],PrévisionBoris[[#This Row],[Spec]],LstMachines[Status],PrévisionBoris[[#This Row],[Status]],LstMachines[MoisLivr],AS$1)</f>
        <v>0</v>
      </c>
      <c r="AT255" s="220">
        <f>SUMIFS(LstMachines[Nbre],LstMachines[Model-Spec],PrévisionBoris[[#This Row],[Spec]],LstMachines[Status],PrévisionBoris[[#This Row],[Status]],LstMachines[MoisLivr],AT$1)</f>
        <v>0</v>
      </c>
      <c r="AU255" s="219">
        <f>SUMIFS(LstMachines[Nbre],LstMachines[Model-Spec],PrévisionBoris[[#This Row],[Spec]],LstMachines[Status],PrévisionBoris[[#This Row],[Status]],LstMachines[MoisLivr],AU$1)</f>
        <v>0</v>
      </c>
      <c r="AV255" s="223">
        <f>SUMIFS(LstMachines[Nbre],LstMachines[Model-Spec],PrévisionBoris[[#This Row],[Spec]],LstMachines[Status],PrévisionBoris[[#This Row],[Status]],LstMachines[MoisLivr],AV$1)</f>
        <v>0</v>
      </c>
      <c r="AW255" s="224">
        <f>SUMIFS(LstMachines[Nbre],LstMachines[Model-Spec],PrévisionBoris[[#This Row],[Spec]],LstMachines[Status],PrévisionBoris[[#This Row],[Status]],LstMachines[MoisLivr],AW$1)</f>
        <v>0</v>
      </c>
      <c r="AX255" s="210"/>
      <c r="AY255" s="211">
        <f t="shared" si="51"/>
        <v>0</v>
      </c>
      <c r="AZ255" s="212">
        <f t="shared" si="52"/>
        <v>0</v>
      </c>
      <c r="BA255" s="212">
        <f t="shared" si="53"/>
        <v>0</v>
      </c>
      <c r="BB255" s="213">
        <f t="shared" si="54"/>
        <v>0</v>
      </c>
      <c r="BC255" s="225">
        <f t="shared" si="55"/>
        <v>0</v>
      </c>
      <c r="BD255" s="211">
        <f t="shared" si="56"/>
        <v>0</v>
      </c>
      <c r="BE255" s="212">
        <f t="shared" si="57"/>
        <v>0</v>
      </c>
      <c r="BF255" s="212">
        <f t="shared" si="58"/>
        <v>0</v>
      </c>
      <c r="BG255" s="213">
        <f t="shared" si="59"/>
        <v>0</v>
      </c>
      <c r="BH255" s="225">
        <f t="shared" si="60"/>
        <v>0</v>
      </c>
      <c r="BI255" s="214">
        <f t="shared" si="61"/>
        <v>0</v>
      </c>
      <c r="BJ255" s="215">
        <f t="shared" si="62"/>
        <v>0</v>
      </c>
      <c r="BK255" s="215">
        <f t="shared" si="63"/>
        <v>0</v>
      </c>
      <c r="BL255" s="216">
        <f t="shared" si="64"/>
        <v>0</v>
      </c>
      <c r="BM255" s="225">
        <f t="shared" si="65"/>
        <v>0</v>
      </c>
      <c r="BN255" s="225"/>
      <c r="BO255" s="217"/>
      <c r="BP255" s="218">
        <f t="shared" si="66"/>
        <v>0</v>
      </c>
    </row>
    <row r="256" spans="1:68">
      <c r="A256" s="171">
        <v>249</v>
      </c>
      <c r="B256" s="171" t="s">
        <v>85</v>
      </c>
      <c r="C256" s="201">
        <v>190</v>
      </c>
      <c r="D256" s="171" t="s">
        <v>198</v>
      </c>
      <c r="E256" s="171" t="s">
        <v>200</v>
      </c>
      <c r="F256" s="201">
        <f>VLOOKUP(PrévisionBoris[[#This Row],[Spec]],TabModelSpecs[[ModelSpec]:[Price]],2,FALSE)</f>
        <v>105</v>
      </c>
      <c r="G256" s="171" t="s">
        <v>463</v>
      </c>
      <c r="H256" s="226">
        <f>SUMIFS(LstMachines[Nbre],LstMachines[Model-Spec],PrévisionBoris[[#This Row],[Spec]],LstMachines[Status],PrévisionBoris[[#This Row],[Status]],LstMachines[MoisLivr],H$1)</f>
        <v>0</v>
      </c>
      <c r="I256" s="227">
        <f>SUMIFS(LstMachines[Nbre],LstMachines[Model-Spec],PrévisionBoris[[#This Row],[Spec]],LstMachines[Status],PrévisionBoris[[#This Row],[Status]],LstMachines[MoisLivr],I$1)</f>
        <v>0</v>
      </c>
      <c r="J256" s="228">
        <f>SUMIFS(LstMachines[Nbre],LstMachines[Model-Spec],PrévisionBoris[[#This Row],[Spec]],LstMachines[Status],PrévisionBoris[[#This Row],[Status]],LstMachines[MoisLivr],J$1)</f>
        <v>0</v>
      </c>
      <c r="K256" s="226">
        <f>SUMIFS(LstMachines[Nbre],LstMachines[Model-Spec],PrévisionBoris[[#This Row],[Spec]],LstMachines[Status],PrévisionBoris[[#This Row],[Status]],LstMachines[MoisLivr],K$1)</f>
        <v>0</v>
      </c>
      <c r="L256" s="227">
        <f>SUMIFS(LstMachines[Nbre],LstMachines[Model-Spec],PrévisionBoris[[#This Row],[Spec]],LstMachines[Status],PrévisionBoris[[#This Row],[Status]],LstMachines[MoisLivr],L$1)</f>
        <v>0</v>
      </c>
      <c r="M256" s="228">
        <f>SUMIFS(LstMachines[Nbre],LstMachines[Model-Spec],PrévisionBoris[[#This Row],[Spec]],LstMachines[Status],PrévisionBoris[[#This Row],[Status]],LstMachines[MoisLivr],M$1)</f>
        <v>0</v>
      </c>
      <c r="N256" s="226">
        <f>SUMIFS(LstMachines[Nbre],LstMachines[Model-Spec],PrévisionBoris[[#This Row],[Spec]],LstMachines[Status],PrévisionBoris[[#This Row],[Status]],LstMachines[MoisLivr],N$1)</f>
        <v>0</v>
      </c>
      <c r="O256" s="227">
        <f>SUMIFS(LstMachines[Nbre],LstMachines[Model-Spec],PrévisionBoris[[#This Row],[Spec]],LstMachines[Status],PrévisionBoris[[#This Row],[Status]],LstMachines[MoisLivr],O$1)</f>
        <v>0</v>
      </c>
      <c r="P256" s="228">
        <f>SUMIFS(LstMachines[Nbre],LstMachines[Model-Spec],PrévisionBoris[[#This Row],[Spec]],LstMachines[Status],PrévisionBoris[[#This Row],[Status]],LstMachines[MoisLivr],P$1)</f>
        <v>0</v>
      </c>
      <c r="Q256" s="229">
        <f>SUMIFS(LstMachines[Nbre],LstMachines[Model-Spec],PrévisionBoris[[#This Row],[Spec]],LstMachines[Status],PrévisionBoris[[#This Row],[Status]],LstMachines[MoisLivr],Q$1)</f>
        <v>0</v>
      </c>
      <c r="R256" s="227">
        <f>SUMIFS(LstMachines[Nbre],LstMachines[Model-Spec],PrévisionBoris[[#This Row],[Spec]],LstMachines[Status],PrévisionBoris[[#This Row],[Status]],LstMachines[MoisLivr],R$1)</f>
        <v>0</v>
      </c>
      <c r="S256" s="227">
        <f>SUMIFS(LstMachines[Nbre],LstMachines[Model-Spec],PrévisionBoris[[#This Row],[Spec]],LstMachines[Status],PrévisionBoris[[#This Row],[Status]],LstMachines[MoisLivr],S$1)</f>
        <v>0</v>
      </c>
      <c r="T256" s="226">
        <f>SUMIFS(LstMachines[Nbre],LstMachines[Model-Spec],PrévisionBoris[[#This Row],[Spec]],LstMachines[Status],PrévisionBoris[[#This Row],[Status]],LstMachines[MoisLivr],T$1)</f>
        <v>0</v>
      </c>
      <c r="U256" s="227">
        <f>SUMIFS(LstMachines[Nbre],LstMachines[Model-Spec],PrévisionBoris[[#This Row],[Spec]],LstMachines[Status],PrévisionBoris[[#This Row],[Status]],LstMachines[MoisLivr],U$1)</f>
        <v>0</v>
      </c>
      <c r="V256" s="227">
        <f>SUMIFS(LstMachines[Nbre],LstMachines[Model-Spec],PrévisionBoris[[#This Row],[Spec]],LstMachines[Status],PrévisionBoris[[#This Row],[Status]],LstMachines[MoisLivr],V$1)</f>
        <v>0</v>
      </c>
      <c r="W256" s="226">
        <f>SUMIFS(LstMachines[Nbre],LstMachines[Model-Spec],PrévisionBoris[[#This Row],[Spec]],LstMachines[Status],PrévisionBoris[[#This Row],[Status]],LstMachines[MoisLivr],W$1)</f>
        <v>0</v>
      </c>
      <c r="X256" s="227">
        <f>SUMIFS(LstMachines[Nbre],LstMachines[Model-Spec],PrévisionBoris[[#This Row],[Spec]],LstMachines[Status],PrévisionBoris[[#This Row],[Status]],LstMachines[MoisLivr],X$1)</f>
        <v>0</v>
      </c>
      <c r="Y256" s="227">
        <f>SUMIFS(LstMachines[Nbre],LstMachines[Model-Spec],PrévisionBoris[[#This Row],[Spec]],LstMachines[Status],PrévisionBoris[[#This Row],[Status]],LstMachines[MoisLivr],Y$1)</f>
        <v>0</v>
      </c>
      <c r="Z256" s="226">
        <f>SUMIFS(LstMachines[Nbre],LstMachines[Model-Spec],PrévisionBoris[[#This Row],[Spec]],LstMachines[Status],PrévisionBoris[[#This Row],[Status]],LstMachines[MoisLivr],Z$1)</f>
        <v>0</v>
      </c>
      <c r="AA256" s="227">
        <f>SUMIFS(LstMachines[Nbre],LstMachines[Model-Spec],PrévisionBoris[[#This Row],[Spec]],LstMachines[Status],PrévisionBoris[[#This Row],[Status]],LstMachines[MoisLivr],AA$1)</f>
        <v>0</v>
      </c>
      <c r="AB256" s="227">
        <f>SUMIFS(LstMachines[Nbre],LstMachines[Model-Spec],PrévisionBoris[[#This Row],[Spec]],LstMachines[Status],PrévisionBoris[[#This Row],[Status]],LstMachines[MoisLivr],AB$1)</f>
        <v>0</v>
      </c>
      <c r="AC256" s="226">
        <f>SUMIFS(LstMachines[Nbre],LstMachines[Model-Spec],PrévisionBoris[[#This Row],[Spec]],LstMachines[Status],PrévisionBoris[[#This Row],[Status]],LstMachines[MoisLivr],AC$1)</f>
        <v>0</v>
      </c>
      <c r="AD256" s="227">
        <f>SUMIFS(LstMachines[Nbre],LstMachines[Model-Spec],PrévisionBoris[[#This Row],[Spec]],LstMachines[Status],PrévisionBoris[[#This Row],[Status]],LstMachines[MoisLivr],AD$1)</f>
        <v>0</v>
      </c>
      <c r="AE256" s="227">
        <f>SUMIFS(LstMachines[Nbre],LstMachines[Model-Spec],PrévisionBoris[[#This Row],[Spec]],LstMachines[Status],PrévisionBoris[[#This Row],[Status]],LstMachines[MoisLivr],AE$1)</f>
        <v>0</v>
      </c>
      <c r="AF256" s="226">
        <f>SUMIFS(LstMachines[Nbre],LstMachines[Model-Spec],PrévisionBoris[[#This Row],[Spec]],LstMachines[Status],PrévisionBoris[[#This Row],[Status]],LstMachines[MoisLivr],AF$1)</f>
        <v>0</v>
      </c>
      <c r="AG256" s="227">
        <f>SUMIFS(LstMachines[Nbre],LstMachines[Model-Spec],PrévisionBoris[[#This Row],[Spec]],LstMachines[Status],PrévisionBoris[[#This Row],[Status]],LstMachines[MoisLivr],AG$1)</f>
        <v>0</v>
      </c>
      <c r="AH256" s="227">
        <f>SUMIFS(LstMachines[Nbre],LstMachines[Model-Spec],PrévisionBoris[[#This Row],[Spec]],LstMachines[Status],PrévisionBoris[[#This Row],[Status]],LstMachines[MoisLivr],AH$1)</f>
        <v>0</v>
      </c>
      <c r="AI256" s="226">
        <f>SUMIFS(LstMachines[Nbre],LstMachines[Model-Spec],PrévisionBoris[[#This Row],[Spec]],LstMachines[Status],PrévisionBoris[[#This Row],[Status]],LstMachines[MoisLivr],AI$1)</f>
        <v>0</v>
      </c>
      <c r="AJ256" s="227">
        <f>SUMIFS(LstMachines[Nbre],LstMachines[Model-Spec],PrévisionBoris[[#This Row],[Spec]],LstMachines[Status],PrévisionBoris[[#This Row],[Status]],LstMachines[MoisLivr],AJ$1)</f>
        <v>0</v>
      </c>
      <c r="AK256" s="227">
        <f>SUMIFS(LstMachines[Nbre],LstMachines[Model-Spec],PrévisionBoris[[#This Row],[Spec]],LstMachines[Status],PrévisionBoris[[#This Row],[Status]],LstMachines[MoisLivr],AK$1)</f>
        <v>0</v>
      </c>
      <c r="AL256" s="226">
        <f>SUMIFS(LstMachines[Nbre],LstMachines[Model-Spec],PrévisionBoris[[#This Row],[Spec]],LstMachines[Status],PrévisionBoris[[#This Row],[Status]],LstMachines[MoisLivr],AL$1)</f>
        <v>0</v>
      </c>
      <c r="AM256" s="227">
        <f>SUMIFS(LstMachines[Nbre],LstMachines[Model-Spec],PrévisionBoris[[#This Row],[Spec]],LstMachines[Status],PrévisionBoris[[#This Row],[Status]],LstMachines[MoisLivr],AM$1)</f>
        <v>0</v>
      </c>
      <c r="AN256" s="227">
        <f>SUMIFS(LstMachines[Nbre],LstMachines[Model-Spec],PrévisionBoris[[#This Row],[Spec]],LstMachines[Status],PrévisionBoris[[#This Row],[Status]],LstMachines[MoisLivr],AN$1)</f>
        <v>0</v>
      </c>
      <c r="AO256" s="226">
        <f>SUMIFS(LstMachines[Nbre],LstMachines[Model-Spec],PrévisionBoris[[#This Row],[Spec]],LstMachines[Status],PrévisionBoris[[#This Row],[Status]],LstMachines[MoisLivr],AO$1)</f>
        <v>0</v>
      </c>
      <c r="AP256" s="227">
        <f>SUMIFS(LstMachines[Nbre],LstMachines[Model-Spec],PrévisionBoris[[#This Row],[Spec]],LstMachines[Status],PrévisionBoris[[#This Row],[Status]],LstMachines[MoisLivr],AP$1)</f>
        <v>0</v>
      </c>
      <c r="AQ256" s="227">
        <f>SUMIFS(LstMachines[Nbre],LstMachines[Model-Spec],PrévisionBoris[[#This Row],[Spec]],LstMachines[Status],PrévisionBoris[[#This Row],[Status]],LstMachines[MoisLivr],AQ$1)</f>
        <v>0</v>
      </c>
      <c r="AR256" s="226">
        <f>SUMIFS(LstMachines[Nbre],LstMachines[Model-Spec],PrévisionBoris[[#This Row],[Spec]],LstMachines[Status],PrévisionBoris[[#This Row],[Status]],LstMachines[MoisLivr],AR$1)</f>
        <v>0</v>
      </c>
      <c r="AS256" s="227">
        <f>SUMIFS(LstMachines[Nbre],LstMachines[Model-Spec],PrévisionBoris[[#This Row],[Spec]],LstMachines[Status],PrévisionBoris[[#This Row],[Status]],LstMachines[MoisLivr],AS$1)</f>
        <v>0</v>
      </c>
      <c r="AT256" s="227">
        <f>SUMIFS(LstMachines[Nbre],LstMachines[Model-Spec],PrévisionBoris[[#This Row],[Spec]],LstMachines[Status],PrévisionBoris[[#This Row],[Status]],LstMachines[MoisLivr],AT$1)</f>
        <v>0</v>
      </c>
      <c r="AU256" s="226">
        <f>SUMIFS(LstMachines[Nbre],LstMachines[Model-Spec],PrévisionBoris[[#This Row],[Spec]],LstMachines[Status],PrévisionBoris[[#This Row],[Status]],LstMachines[MoisLivr],AU$1)</f>
        <v>0</v>
      </c>
      <c r="AV256" s="230">
        <f>SUMIFS(LstMachines[Nbre],LstMachines[Model-Spec],PrévisionBoris[[#This Row],[Spec]],LstMachines[Status],PrévisionBoris[[#This Row],[Status]],LstMachines[MoisLivr],AV$1)</f>
        <v>0</v>
      </c>
      <c r="AW256" s="231">
        <f>SUMIFS(LstMachines[Nbre],LstMachines[Model-Spec],PrévisionBoris[[#This Row],[Spec]],LstMachines[Status],PrévisionBoris[[#This Row],[Status]],LstMachines[MoisLivr],AW$1)</f>
        <v>0</v>
      </c>
      <c r="AX256" s="232"/>
      <c r="AY256" s="211">
        <f t="shared" si="51"/>
        <v>0</v>
      </c>
      <c r="AZ256" s="212">
        <f t="shared" si="52"/>
        <v>0</v>
      </c>
      <c r="BA256" s="212">
        <f t="shared" si="53"/>
        <v>0</v>
      </c>
      <c r="BB256" s="213">
        <f t="shared" si="54"/>
        <v>0</v>
      </c>
      <c r="BC256" s="225">
        <f t="shared" si="55"/>
        <v>0</v>
      </c>
      <c r="BD256" s="211">
        <f t="shared" si="56"/>
        <v>0</v>
      </c>
      <c r="BE256" s="212">
        <f t="shared" si="57"/>
        <v>0</v>
      </c>
      <c r="BF256" s="212">
        <f t="shared" si="58"/>
        <v>0</v>
      </c>
      <c r="BG256" s="213">
        <f t="shared" si="59"/>
        <v>0</v>
      </c>
      <c r="BH256" s="225">
        <f t="shared" si="60"/>
        <v>0</v>
      </c>
      <c r="BI256" s="214">
        <f t="shared" si="61"/>
        <v>0</v>
      </c>
      <c r="BJ256" s="215">
        <f t="shared" si="62"/>
        <v>0</v>
      </c>
      <c r="BK256" s="215">
        <f t="shared" si="63"/>
        <v>0</v>
      </c>
      <c r="BL256" s="216">
        <f t="shared" si="64"/>
        <v>0</v>
      </c>
      <c r="BM256" s="225">
        <f t="shared" si="65"/>
        <v>0</v>
      </c>
      <c r="BN256" s="225"/>
      <c r="BO256" s="217"/>
      <c r="BP256" s="218">
        <f t="shared" si="66"/>
        <v>0</v>
      </c>
    </row>
    <row r="257" spans="1:68">
      <c r="A257" s="172">
        <v>250</v>
      </c>
      <c r="B257" s="172" t="s">
        <v>85</v>
      </c>
      <c r="C257" s="202">
        <v>210</v>
      </c>
      <c r="D257" s="172" t="s">
        <v>88</v>
      </c>
      <c r="E257" s="172" t="s">
        <v>201</v>
      </c>
      <c r="F257" s="202">
        <f>VLOOKUP(PrévisionBoris[[#This Row],[Spec]],TabModelSpecs[[ModelSpec]:[Price]],2,FALSE)</f>
        <v>120</v>
      </c>
      <c r="G257" s="172" t="s">
        <v>461</v>
      </c>
      <c r="H257" s="206">
        <f>SUMIFS(LstMachines[Nbre],LstMachines[Model-Spec],PrévisionBoris[[#This Row],[Spec]],LstMachines[Status],PrévisionBoris[[#This Row],[Status]],LstMachines[MoisLivr],H$1)</f>
        <v>0</v>
      </c>
      <c r="I257" s="207">
        <f>SUMIFS(LstMachines[Nbre],LstMachines[Model-Spec],PrévisionBoris[[#This Row],[Spec]],LstMachines[Status],PrévisionBoris[[#This Row],[Status]],LstMachines[MoisLivr],I$1)</f>
        <v>0</v>
      </c>
      <c r="J257" s="208">
        <f>SUMIFS(LstMachines[Nbre],LstMachines[Model-Spec],PrévisionBoris[[#This Row],[Spec]],LstMachines[Status],PrévisionBoris[[#This Row],[Status]],LstMachines[MoisLivr],J$1)</f>
        <v>0</v>
      </c>
      <c r="K257" s="206">
        <f>SUMIFS(LstMachines[Nbre],LstMachines[Model-Spec],PrévisionBoris[[#This Row],[Spec]],LstMachines[Status],PrévisionBoris[[#This Row],[Status]],LstMachines[MoisLivr],K$1)</f>
        <v>0</v>
      </c>
      <c r="L257" s="207">
        <f>SUMIFS(LstMachines[Nbre],LstMachines[Model-Spec],PrévisionBoris[[#This Row],[Spec]],LstMachines[Status],PrévisionBoris[[#This Row],[Status]],LstMachines[MoisLivr],L$1)</f>
        <v>0</v>
      </c>
      <c r="M257" s="208">
        <f>SUMIFS(LstMachines[Nbre],LstMachines[Model-Spec],PrévisionBoris[[#This Row],[Spec]],LstMachines[Status],PrévisionBoris[[#This Row],[Status]],LstMachines[MoisLivr],M$1)</f>
        <v>0</v>
      </c>
      <c r="N257" s="206">
        <f>SUMIFS(LstMachines[Nbre],LstMachines[Model-Spec],PrévisionBoris[[#This Row],[Spec]],LstMachines[Status],PrévisionBoris[[#This Row],[Status]],LstMachines[MoisLivr],N$1)</f>
        <v>0</v>
      </c>
      <c r="O257" s="207">
        <f>SUMIFS(LstMachines[Nbre],LstMachines[Model-Spec],PrévisionBoris[[#This Row],[Spec]],LstMachines[Status],PrévisionBoris[[#This Row],[Status]],LstMachines[MoisLivr],O$1)</f>
        <v>0</v>
      </c>
      <c r="P257" s="208">
        <f>SUMIFS(LstMachines[Nbre],LstMachines[Model-Spec],PrévisionBoris[[#This Row],[Spec]],LstMachines[Status],PrévisionBoris[[#This Row],[Status]],LstMachines[MoisLivr],P$1)</f>
        <v>0</v>
      </c>
      <c r="Q257" s="209">
        <f>SUMIFS(LstMachines[Nbre],LstMachines[Model-Spec],PrévisionBoris[[#This Row],[Spec]],LstMachines[Status],PrévisionBoris[[#This Row],[Status]],LstMachines[MoisLivr],Q$1)</f>
        <v>0</v>
      </c>
      <c r="R257" s="207">
        <f>SUMIFS(LstMachines[Nbre],LstMachines[Model-Spec],PrévisionBoris[[#This Row],[Spec]],LstMachines[Status],PrévisionBoris[[#This Row],[Status]],LstMachines[MoisLivr],R$1)</f>
        <v>0</v>
      </c>
      <c r="S257" s="207">
        <f>SUMIFS(LstMachines[Nbre],LstMachines[Model-Spec],PrévisionBoris[[#This Row],[Spec]],LstMachines[Status],PrévisionBoris[[#This Row],[Status]],LstMachines[MoisLivr],S$1)</f>
        <v>0</v>
      </c>
      <c r="T257" s="206">
        <f>SUMIFS(LstMachines[Nbre],LstMachines[Model-Spec],PrévisionBoris[[#This Row],[Spec]],LstMachines[Status],PrévisionBoris[[#This Row],[Status]],LstMachines[MoisLivr],T$1)</f>
        <v>0</v>
      </c>
      <c r="U257" s="207">
        <f>SUMIFS(LstMachines[Nbre],LstMachines[Model-Spec],PrévisionBoris[[#This Row],[Spec]],LstMachines[Status],PrévisionBoris[[#This Row],[Status]],LstMachines[MoisLivr],U$1)</f>
        <v>0</v>
      </c>
      <c r="V257" s="207">
        <f>SUMIFS(LstMachines[Nbre],LstMachines[Model-Spec],PrévisionBoris[[#This Row],[Spec]],LstMachines[Status],PrévisionBoris[[#This Row],[Status]],LstMachines[MoisLivr],V$1)</f>
        <v>0</v>
      </c>
      <c r="W257" s="206">
        <f>SUMIFS(LstMachines[Nbre],LstMachines[Model-Spec],PrévisionBoris[[#This Row],[Spec]],LstMachines[Status],PrévisionBoris[[#This Row],[Status]],LstMachines[MoisLivr],W$1)</f>
        <v>0</v>
      </c>
      <c r="X257" s="207">
        <f>SUMIFS(LstMachines[Nbre],LstMachines[Model-Spec],PrévisionBoris[[#This Row],[Spec]],LstMachines[Status],PrévisionBoris[[#This Row],[Status]],LstMachines[MoisLivr],X$1)</f>
        <v>0</v>
      </c>
      <c r="Y257" s="207">
        <f>SUMIFS(LstMachines[Nbre],LstMachines[Model-Spec],PrévisionBoris[[#This Row],[Spec]],LstMachines[Status],PrévisionBoris[[#This Row],[Status]],LstMachines[MoisLivr],Y$1)</f>
        <v>1</v>
      </c>
      <c r="Z257" s="206">
        <f>SUMIFS(LstMachines[Nbre],LstMachines[Model-Spec],PrévisionBoris[[#This Row],[Spec]],LstMachines[Status],PrévisionBoris[[#This Row],[Status]],LstMachines[MoisLivr],Z$1)</f>
        <v>0</v>
      </c>
      <c r="AA257" s="207">
        <f>SUMIFS(LstMachines[Nbre],LstMachines[Model-Spec],PrévisionBoris[[#This Row],[Spec]],LstMachines[Status],PrévisionBoris[[#This Row],[Status]],LstMachines[MoisLivr],AA$1)</f>
        <v>0</v>
      </c>
      <c r="AB257" s="207">
        <f>SUMIFS(LstMachines[Nbre],LstMachines[Model-Spec],PrévisionBoris[[#This Row],[Spec]],LstMachines[Status],PrévisionBoris[[#This Row],[Status]],LstMachines[MoisLivr],AB$1)</f>
        <v>0</v>
      </c>
      <c r="AC257" s="206">
        <f>SUMIFS(LstMachines[Nbre],LstMachines[Model-Spec],PrévisionBoris[[#This Row],[Spec]],LstMachines[Status],PrévisionBoris[[#This Row],[Status]],LstMachines[MoisLivr],AC$1)</f>
        <v>0</v>
      </c>
      <c r="AD257" s="207">
        <f>SUMIFS(LstMachines[Nbre],LstMachines[Model-Spec],PrévisionBoris[[#This Row],[Spec]],LstMachines[Status],PrévisionBoris[[#This Row],[Status]],LstMachines[MoisLivr],AD$1)</f>
        <v>0</v>
      </c>
      <c r="AE257" s="207">
        <f>SUMIFS(LstMachines[Nbre],LstMachines[Model-Spec],PrévisionBoris[[#This Row],[Spec]],LstMachines[Status],PrévisionBoris[[#This Row],[Status]],LstMachines[MoisLivr],AE$1)</f>
        <v>0</v>
      </c>
      <c r="AF257" s="206">
        <f>SUMIFS(LstMachines[Nbre],LstMachines[Model-Spec],PrévisionBoris[[#This Row],[Spec]],LstMachines[Status],PrévisionBoris[[#This Row],[Status]],LstMachines[MoisLivr],AF$1)</f>
        <v>0</v>
      </c>
      <c r="AG257" s="207">
        <f>SUMIFS(LstMachines[Nbre],LstMachines[Model-Spec],PrévisionBoris[[#This Row],[Spec]],LstMachines[Status],PrévisionBoris[[#This Row],[Status]],LstMachines[MoisLivr],AG$1)</f>
        <v>0</v>
      </c>
      <c r="AH257" s="207">
        <f>SUMIFS(LstMachines[Nbre],LstMachines[Model-Spec],PrévisionBoris[[#This Row],[Spec]],LstMachines[Status],PrévisionBoris[[#This Row],[Status]],LstMachines[MoisLivr],AH$1)</f>
        <v>0</v>
      </c>
      <c r="AI257" s="206">
        <f>SUMIFS(LstMachines[Nbre],LstMachines[Model-Spec],PrévisionBoris[[#This Row],[Spec]],LstMachines[Status],PrévisionBoris[[#This Row],[Status]],LstMachines[MoisLivr],AI$1)</f>
        <v>0</v>
      </c>
      <c r="AJ257" s="207">
        <f>SUMIFS(LstMachines[Nbre],LstMachines[Model-Spec],PrévisionBoris[[#This Row],[Spec]],LstMachines[Status],PrévisionBoris[[#This Row],[Status]],LstMachines[MoisLivr],AJ$1)</f>
        <v>0</v>
      </c>
      <c r="AK257" s="207">
        <f>SUMIFS(LstMachines[Nbre],LstMachines[Model-Spec],PrévisionBoris[[#This Row],[Spec]],LstMachines[Status],PrévisionBoris[[#This Row],[Status]],LstMachines[MoisLivr],AK$1)</f>
        <v>0</v>
      </c>
      <c r="AL257" s="206">
        <f>SUMIFS(LstMachines[Nbre],LstMachines[Model-Spec],PrévisionBoris[[#This Row],[Spec]],LstMachines[Status],PrévisionBoris[[#This Row],[Status]],LstMachines[MoisLivr],AL$1)</f>
        <v>0</v>
      </c>
      <c r="AM257" s="207">
        <f>SUMIFS(LstMachines[Nbre],LstMachines[Model-Spec],PrévisionBoris[[#This Row],[Spec]],LstMachines[Status],PrévisionBoris[[#This Row],[Status]],LstMachines[MoisLivr],AM$1)</f>
        <v>0</v>
      </c>
      <c r="AN257" s="207">
        <f>SUMIFS(LstMachines[Nbre],LstMachines[Model-Spec],PrévisionBoris[[#This Row],[Spec]],LstMachines[Status],PrévisionBoris[[#This Row],[Status]],LstMachines[MoisLivr],AN$1)</f>
        <v>0</v>
      </c>
      <c r="AO257" s="206">
        <f>SUMIFS(LstMachines[Nbre],LstMachines[Model-Spec],PrévisionBoris[[#This Row],[Spec]],LstMachines[Status],PrévisionBoris[[#This Row],[Status]],LstMachines[MoisLivr],AO$1)</f>
        <v>0</v>
      </c>
      <c r="AP257" s="207">
        <f>SUMIFS(LstMachines[Nbre],LstMachines[Model-Spec],PrévisionBoris[[#This Row],[Spec]],LstMachines[Status],PrévisionBoris[[#This Row],[Status]],LstMachines[MoisLivr],AP$1)</f>
        <v>0</v>
      </c>
      <c r="AQ257" s="207">
        <f>SUMIFS(LstMachines[Nbre],LstMachines[Model-Spec],PrévisionBoris[[#This Row],[Spec]],LstMachines[Status],PrévisionBoris[[#This Row],[Status]],LstMachines[MoisLivr],AQ$1)</f>
        <v>0</v>
      </c>
      <c r="AR257" s="206">
        <f>SUMIFS(LstMachines[Nbre],LstMachines[Model-Spec],PrévisionBoris[[#This Row],[Spec]],LstMachines[Status],PrévisionBoris[[#This Row],[Status]],LstMachines[MoisLivr],AR$1)</f>
        <v>0</v>
      </c>
      <c r="AS257" s="207">
        <f>SUMIFS(LstMachines[Nbre],LstMachines[Model-Spec],PrévisionBoris[[#This Row],[Spec]],LstMachines[Status],PrévisionBoris[[#This Row],[Status]],LstMachines[MoisLivr],AS$1)</f>
        <v>0</v>
      </c>
      <c r="AT257" s="207">
        <f>SUMIFS(LstMachines[Nbre],LstMachines[Model-Spec],PrévisionBoris[[#This Row],[Spec]],LstMachines[Status],PrévisionBoris[[#This Row],[Status]],LstMachines[MoisLivr],AT$1)</f>
        <v>0</v>
      </c>
      <c r="AU257" s="206">
        <f>SUMIFS(LstMachines[Nbre],LstMachines[Model-Spec],PrévisionBoris[[#This Row],[Spec]],LstMachines[Status],PrévisionBoris[[#This Row],[Status]],LstMachines[MoisLivr],AU$1)</f>
        <v>0</v>
      </c>
      <c r="AV257" s="233">
        <f>SUMIFS(LstMachines[Nbre],LstMachines[Model-Spec],PrévisionBoris[[#This Row],[Spec]],LstMachines[Status],PrévisionBoris[[#This Row],[Status]],LstMachines[MoisLivr],AV$1)</f>
        <v>0</v>
      </c>
      <c r="AW257" s="208">
        <f>SUMIFS(LstMachines[Nbre],LstMachines[Model-Spec],PrévisionBoris[[#This Row],[Spec]],LstMachines[Status],PrévisionBoris[[#This Row],[Status]],LstMachines[MoisLivr],AW$1)</f>
        <v>0</v>
      </c>
      <c r="AX257" s="225"/>
      <c r="AY257" s="211">
        <f t="shared" si="51"/>
        <v>0</v>
      </c>
      <c r="AZ257" s="212">
        <f t="shared" si="52"/>
        <v>0</v>
      </c>
      <c r="BA257" s="212">
        <f t="shared" si="53"/>
        <v>0</v>
      </c>
      <c r="BB257" s="213">
        <f t="shared" si="54"/>
        <v>0</v>
      </c>
      <c r="BC257" s="225">
        <f t="shared" si="55"/>
        <v>0</v>
      </c>
      <c r="BD257" s="211">
        <f t="shared" si="56"/>
        <v>1</v>
      </c>
      <c r="BE257" s="212">
        <f t="shared" si="57"/>
        <v>0</v>
      </c>
      <c r="BF257" s="212">
        <f t="shared" si="58"/>
        <v>0</v>
      </c>
      <c r="BG257" s="213">
        <f t="shared" si="59"/>
        <v>0</v>
      </c>
      <c r="BH257" s="225">
        <f t="shared" si="60"/>
        <v>1</v>
      </c>
      <c r="BI257" s="214">
        <f t="shared" si="61"/>
        <v>0</v>
      </c>
      <c r="BJ257" s="215">
        <f t="shared" si="62"/>
        <v>0</v>
      </c>
      <c r="BK257" s="215">
        <f t="shared" si="63"/>
        <v>0</v>
      </c>
      <c r="BL257" s="216">
        <f t="shared" si="64"/>
        <v>0</v>
      </c>
      <c r="BM257" s="225">
        <f t="shared" si="65"/>
        <v>0</v>
      </c>
      <c r="BN257" s="225"/>
      <c r="BO257" s="234"/>
      <c r="BP257" s="218">
        <f t="shared" si="66"/>
        <v>1</v>
      </c>
    </row>
    <row r="258" spans="1:68">
      <c r="A258" s="170">
        <v>251</v>
      </c>
      <c r="B258" s="170" t="s">
        <v>85</v>
      </c>
      <c r="C258" s="200">
        <v>210</v>
      </c>
      <c r="D258" s="170" t="s">
        <v>88</v>
      </c>
      <c r="E258" s="170" t="s">
        <v>201</v>
      </c>
      <c r="F258" s="200">
        <f>VLOOKUP(PrévisionBoris[[#This Row],[Spec]],TabModelSpecs[[ModelSpec]:[Price]],2,FALSE)</f>
        <v>120</v>
      </c>
      <c r="G258" s="170" t="s">
        <v>462</v>
      </c>
      <c r="H258" s="219">
        <f>SUMIFS(LstMachines[Nbre],LstMachines[Model-Spec],PrévisionBoris[[#This Row],[Spec]],LstMachines[Status],PrévisionBoris[[#This Row],[Status]],LstMachines[MoisLivr],H$1)</f>
        <v>0</v>
      </c>
      <c r="I258" s="220">
        <f>SUMIFS(LstMachines[Nbre],LstMachines[Model-Spec],PrévisionBoris[[#This Row],[Spec]],LstMachines[Status],PrévisionBoris[[#This Row],[Status]],LstMachines[MoisLivr],I$1)</f>
        <v>0</v>
      </c>
      <c r="J258" s="221">
        <f>SUMIFS(LstMachines[Nbre],LstMachines[Model-Spec],PrévisionBoris[[#This Row],[Spec]],LstMachines[Status],PrévisionBoris[[#This Row],[Status]],LstMachines[MoisLivr],J$1)</f>
        <v>0</v>
      </c>
      <c r="K258" s="219">
        <f>SUMIFS(LstMachines[Nbre],LstMachines[Model-Spec],PrévisionBoris[[#This Row],[Spec]],LstMachines[Status],PrévisionBoris[[#This Row],[Status]],LstMachines[MoisLivr],K$1)</f>
        <v>0</v>
      </c>
      <c r="L258" s="220">
        <f>SUMIFS(LstMachines[Nbre],LstMachines[Model-Spec],PrévisionBoris[[#This Row],[Spec]],LstMachines[Status],PrévisionBoris[[#This Row],[Status]],LstMachines[MoisLivr],L$1)</f>
        <v>0</v>
      </c>
      <c r="M258" s="221">
        <f>SUMIFS(LstMachines[Nbre],LstMachines[Model-Spec],PrévisionBoris[[#This Row],[Spec]],LstMachines[Status],PrévisionBoris[[#This Row],[Status]],LstMachines[MoisLivr],M$1)</f>
        <v>0</v>
      </c>
      <c r="N258" s="219">
        <f>SUMIFS(LstMachines[Nbre],LstMachines[Model-Spec],PrévisionBoris[[#This Row],[Spec]],LstMachines[Status],PrévisionBoris[[#This Row],[Status]],LstMachines[MoisLivr],N$1)</f>
        <v>0</v>
      </c>
      <c r="O258" s="220">
        <f>SUMIFS(LstMachines[Nbre],LstMachines[Model-Spec],PrévisionBoris[[#This Row],[Spec]],LstMachines[Status],PrévisionBoris[[#This Row],[Status]],LstMachines[MoisLivr],O$1)</f>
        <v>0</v>
      </c>
      <c r="P258" s="221">
        <f>SUMIFS(LstMachines[Nbre],LstMachines[Model-Spec],PrévisionBoris[[#This Row],[Spec]],LstMachines[Status],PrévisionBoris[[#This Row],[Status]],LstMachines[MoisLivr],P$1)</f>
        <v>0</v>
      </c>
      <c r="Q258" s="222">
        <f>SUMIFS(LstMachines[Nbre],LstMachines[Model-Spec],PrévisionBoris[[#This Row],[Spec]],LstMachines[Status],PrévisionBoris[[#This Row],[Status]],LstMachines[MoisLivr],Q$1)</f>
        <v>0</v>
      </c>
      <c r="R258" s="220">
        <f>SUMIFS(LstMachines[Nbre],LstMachines[Model-Spec],PrévisionBoris[[#This Row],[Spec]],LstMachines[Status],PrévisionBoris[[#This Row],[Status]],LstMachines[MoisLivr],R$1)</f>
        <v>0</v>
      </c>
      <c r="S258" s="220">
        <f>SUMIFS(LstMachines[Nbre],LstMachines[Model-Spec],PrévisionBoris[[#This Row],[Spec]],LstMachines[Status],PrévisionBoris[[#This Row],[Status]],LstMachines[MoisLivr],S$1)</f>
        <v>0</v>
      </c>
      <c r="T258" s="219">
        <f>SUMIFS(LstMachines[Nbre],LstMachines[Model-Spec],PrévisionBoris[[#This Row],[Spec]],LstMachines[Status],PrévisionBoris[[#This Row],[Status]],LstMachines[MoisLivr],T$1)</f>
        <v>0</v>
      </c>
      <c r="U258" s="220">
        <f>SUMIFS(LstMachines[Nbre],LstMachines[Model-Spec],PrévisionBoris[[#This Row],[Spec]],LstMachines[Status],PrévisionBoris[[#This Row],[Status]],LstMachines[MoisLivr],U$1)</f>
        <v>0</v>
      </c>
      <c r="V258" s="220">
        <f>SUMIFS(LstMachines[Nbre],LstMachines[Model-Spec],PrévisionBoris[[#This Row],[Spec]],LstMachines[Status],PrévisionBoris[[#This Row],[Status]],LstMachines[MoisLivr],V$1)</f>
        <v>0</v>
      </c>
      <c r="W258" s="219">
        <f>SUMIFS(LstMachines[Nbre],LstMachines[Model-Spec],PrévisionBoris[[#This Row],[Spec]],LstMachines[Status],PrévisionBoris[[#This Row],[Status]],LstMachines[MoisLivr],W$1)</f>
        <v>0</v>
      </c>
      <c r="X258" s="220">
        <f>SUMIFS(LstMachines[Nbre],LstMachines[Model-Spec],PrévisionBoris[[#This Row],[Spec]],LstMachines[Status],PrévisionBoris[[#This Row],[Status]],LstMachines[MoisLivr],X$1)</f>
        <v>0</v>
      </c>
      <c r="Y258" s="220">
        <f>SUMIFS(LstMachines[Nbre],LstMachines[Model-Spec],PrévisionBoris[[#This Row],[Spec]],LstMachines[Status],PrévisionBoris[[#This Row],[Status]],LstMachines[MoisLivr],Y$1)</f>
        <v>0</v>
      </c>
      <c r="Z258" s="219">
        <f>SUMIFS(LstMachines[Nbre],LstMachines[Model-Spec],PrévisionBoris[[#This Row],[Spec]],LstMachines[Status],PrévisionBoris[[#This Row],[Status]],LstMachines[MoisLivr],Z$1)</f>
        <v>0</v>
      </c>
      <c r="AA258" s="220">
        <f>SUMIFS(LstMachines[Nbre],LstMachines[Model-Spec],PrévisionBoris[[#This Row],[Spec]],LstMachines[Status],PrévisionBoris[[#This Row],[Status]],LstMachines[MoisLivr],AA$1)</f>
        <v>0</v>
      </c>
      <c r="AB258" s="220">
        <f>SUMIFS(LstMachines[Nbre],LstMachines[Model-Spec],PrévisionBoris[[#This Row],[Spec]],LstMachines[Status],PrévisionBoris[[#This Row],[Status]],LstMachines[MoisLivr],AB$1)</f>
        <v>0</v>
      </c>
      <c r="AC258" s="219">
        <f>SUMIFS(LstMachines[Nbre],LstMachines[Model-Spec],PrévisionBoris[[#This Row],[Spec]],LstMachines[Status],PrévisionBoris[[#This Row],[Status]],LstMachines[MoisLivr],AC$1)</f>
        <v>0</v>
      </c>
      <c r="AD258" s="220">
        <f>SUMIFS(LstMachines[Nbre],LstMachines[Model-Spec],PrévisionBoris[[#This Row],[Spec]],LstMachines[Status],PrévisionBoris[[#This Row],[Status]],LstMachines[MoisLivr],AD$1)</f>
        <v>0</v>
      </c>
      <c r="AE258" s="220">
        <f>SUMIFS(LstMachines[Nbre],LstMachines[Model-Spec],PrévisionBoris[[#This Row],[Spec]],LstMachines[Status],PrévisionBoris[[#This Row],[Status]],LstMachines[MoisLivr],AE$1)</f>
        <v>0</v>
      </c>
      <c r="AF258" s="219">
        <f>SUMIFS(LstMachines[Nbre],LstMachines[Model-Spec],PrévisionBoris[[#This Row],[Spec]],LstMachines[Status],PrévisionBoris[[#This Row],[Status]],LstMachines[MoisLivr],AF$1)</f>
        <v>0</v>
      </c>
      <c r="AG258" s="220">
        <f>SUMIFS(LstMachines[Nbre],LstMachines[Model-Spec],PrévisionBoris[[#This Row],[Spec]],LstMachines[Status],PrévisionBoris[[#This Row],[Status]],LstMachines[MoisLivr],AG$1)</f>
        <v>0</v>
      </c>
      <c r="AH258" s="220">
        <f>SUMIFS(LstMachines[Nbre],LstMachines[Model-Spec],PrévisionBoris[[#This Row],[Spec]],LstMachines[Status],PrévisionBoris[[#This Row],[Status]],LstMachines[MoisLivr],AH$1)</f>
        <v>0</v>
      </c>
      <c r="AI258" s="219">
        <f>SUMIFS(LstMachines[Nbre],LstMachines[Model-Spec],PrévisionBoris[[#This Row],[Spec]],LstMachines[Status],PrévisionBoris[[#This Row],[Status]],LstMachines[MoisLivr],AI$1)</f>
        <v>0</v>
      </c>
      <c r="AJ258" s="220">
        <f>SUMIFS(LstMachines[Nbre],LstMachines[Model-Spec],PrévisionBoris[[#This Row],[Spec]],LstMachines[Status],PrévisionBoris[[#This Row],[Status]],LstMachines[MoisLivr],AJ$1)</f>
        <v>0</v>
      </c>
      <c r="AK258" s="220">
        <f>SUMIFS(LstMachines[Nbre],LstMachines[Model-Spec],PrévisionBoris[[#This Row],[Spec]],LstMachines[Status],PrévisionBoris[[#This Row],[Status]],LstMachines[MoisLivr],AK$1)</f>
        <v>0</v>
      </c>
      <c r="AL258" s="219">
        <f>SUMIFS(LstMachines[Nbre],LstMachines[Model-Spec],PrévisionBoris[[#This Row],[Spec]],LstMachines[Status],PrévisionBoris[[#This Row],[Status]],LstMachines[MoisLivr],AL$1)</f>
        <v>0</v>
      </c>
      <c r="AM258" s="220">
        <f>SUMIFS(LstMachines[Nbre],LstMachines[Model-Spec],PrévisionBoris[[#This Row],[Spec]],LstMachines[Status],PrévisionBoris[[#This Row],[Status]],LstMachines[MoisLivr],AM$1)</f>
        <v>0</v>
      </c>
      <c r="AN258" s="220">
        <f>SUMIFS(LstMachines[Nbre],LstMachines[Model-Spec],PrévisionBoris[[#This Row],[Spec]],LstMachines[Status],PrévisionBoris[[#This Row],[Status]],LstMachines[MoisLivr],AN$1)</f>
        <v>0</v>
      </c>
      <c r="AO258" s="219">
        <f>SUMIFS(LstMachines[Nbre],LstMachines[Model-Spec],PrévisionBoris[[#This Row],[Spec]],LstMachines[Status],PrévisionBoris[[#This Row],[Status]],LstMachines[MoisLivr],AO$1)</f>
        <v>0</v>
      </c>
      <c r="AP258" s="220">
        <f>SUMIFS(LstMachines[Nbre],LstMachines[Model-Spec],PrévisionBoris[[#This Row],[Spec]],LstMachines[Status],PrévisionBoris[[#This Row],[Status]],LstMachines[MoisLivr],AP$1)</f>
        <v>0</v>
      </c>
      <c r="AQ258" s="220">
        <f>SUMIFS(LstMachines[Nbre],LstMachines[Model-Spec],PrévisionBoris[[#This Row],[Spec]],LstMachines[Status],PrévisionBoris[[#This Row],[Status]],LstMachines[MoisLivr],AQ$1)</f>
        <v>0</v>
      </c>
      <c r="AR258" s="219">
        <f>SUMIFS(LstMachines[Nbre],LstMachines[Model-Spec],PrévisionBoris[[#This Row],[Spec]],LstMachines[Status],PrévisionBoris[[#This Row],[Status]],LstMachines[MoisLivr],AR$1)</f>
        <v>0</v>
      </c>
      <c r="AS258" s="220">
        <f>SUMIFS(LstMachines[Nbre],LstMachines[Model-Spec],PrévisionBoris[[#This Row],[Spec]],LstMachines[Status],PrévisionBoris[[#This Row],[Status]],LstMachines[MoisLivr],AS$1)</f>
        <v>0</v>
      </c>
      <c r="AT258" s="220">
        <f>SUMIFS(LstMachines[Nbre],LstMachines[Model-Spec],PrévisionBoris[[#This Row],[Spec]],LstMachines[Status],PrévisionBoris[[#This Row],[Status]],LstMachines[MoisLivr],AT$1)</f>
        <v>0</v>
      </c>
      <c r="AU258" s="219">
        <f>SUMIFS(LstMachines[Nbre],LstMachines[Model-Spec],PrévisionBoris[[#This Row],[Spec]],LstMachines[Status],PrévisionBoris[[#This Row],[Status]],LstMachines[MoisLivr],AU$1)</f>
        <v>0</v>
      </c>
      <c r="AV258" s="223">
        <f>SUMIFS(LstMachines[Nbre],LstMachines[Model-Spec],PrévisionBoris[[#This Row],[Spec]],LstMachines[Status],PrévisionBoris[[#This Row],[Status]],LstMachines[MoisLivr],AV$1)</f>
        <v>0</v>
      </c>
      <c r="AW258" s="224">
        <f>SUMIFS(LstMachines[Nbre],LstMachines[Model-Spec],PrévisionBoris[[#This Row],[Spec]],LstMachines[Status],PrévisionBoris[[#This Row],[Status]],LstMachines[MoisLivr],AW$1)</f>
        <v>0</v>
      </c>
      <c r="AX258" s="210"/>
      <c r="AY258" s="211">
        <f t="shared" si="51"/>
        <v>0</v>
      </c>
      <c r="AZ258" s="212">
        <f t="shared" si="52"/>
        <v>0</v>
      </c>
      <c r="BA258" s="212">
        <f t="shared" si="53"/>
        <v>0</v>
      </c>
      <c r="BB258" s="213">
        <f t="shared" si="54"/>
        <v>0</v>
      </c>
      <c r="BC258" s="225">
        <f t="shared" si="55"/>
        <v>0</v>
      </c>
      <c r="BD258" s="211">
        <f t="shared" si="56"/>
        <v>0</v>
      </c>
      <c r="BE258" s="212">
        <f t="shared" si="57"/>
        <v>0</v>
      </c>
      <c r="BF258" s="212">
        <f t="shared" si="58"/>
        <v>0</v>
      </c>
      <c r="BG258" s="213">
        <f t="shared" si="59"/>
        <v>0</v>
      </c>
      <c r="BH258" s="225">
        <f t="shared" si="60"/>
        <v>0</v>
      </c>
      <c r="BI258" s="214">
        <f t="shared" si="61"/>
        <v>0</v>
      </c>
      <c r="BJ258" s="215">
        <f t="shared" si="62"/>
        <v>0</v>
      </c>
      <c r="BK258" s="215">
        <f t="shared" si="63"/>
        <v>0</v>
      </c>
      <c r="BL258" s="216">
        <f t="shared" si="64"/>
        <v>0</v>
      </c>
      <c r="BM258" s="225">
        <f t="shared" si="65"/>
        <v>0</v>
      </c>
      <c r="BN258" s="225"/>
      <c r="BO258" s="217"/>
      <c r="BP258" s="218">
        <f t="shared" si="66"/>
        <v>0</v>
      </c>
    </row>
    <row r="259" spans="1:68">
      <c r="A259" s="171">
        <v>252</v>
      </c>
      <c r="B259" s="171" t="s">
        <v>85</v>
      </c>
      <c r="C259" s="201">
        <v>210</v>
      </c>
      <c r="D259" s="171" t="s">
        <v>88</v>
      </c>
      <c r="E259" s="171" t="s">
        <v>201</v>
      </c>
      <c r="F259" s="201">
        <f>VLOOKUP(PrévisionBoris[[#This Row],[Spec]],TabModelSpecs[[ModelSpec]:[Price]],2,FALSE)</f>
        <v>120</v>
      </c>
      <c r="G259" s="171" t="s">
        <v>463</v>
      </c>
      <c r="H259" s="226">
        <f>SUMIFS(LstMachines[Nbre],LstMachines[Model-Spec],PrévisionBoris[[#This Row],[Spec]],LstMachines[Status],PrévisionBoris[[#This Row],[Status]],LstMachines[MoisLivr],H$1)</f>
        <v>0</v>
      </c>
      <c r="I259" s="227">
        <f>SUMIFS(LstMachines[Nbre],LstMachines[Model-Spec],PrévisionBoris[[#This Row],[Spec]],LstMachines[Status],PrévisionBoris[[#This Row],[Status]],LstMachines[MoisLivr],I$1)</f>
        <v>0</v>
      </c>
      <c r="J259" s="228">
        <f>SUMIFS(LstMachines[Nbre],LstMachines[Model-Spec],PrévisionBoris[[#This Row],[Spec]],LstMachines[Status],PrévisionBoris[[#This Row],[Status]],LstMachines[MoisLivr],J$1)</f>
        <v>0</v>
      </c>
      <c r="K259" s="226">
        <f>SUMIFS(LstMachines[Nbre],LstMachines[Model-Spec],PrévisionBoris[[#This Row],[Spec]],LstMachines[Status],PrévisionBoris[[#This Row],[Status]],LstMachines[MoisLivr],K$1)</f>
        <v>0</v>
      </c>
      <c r="L259" s="227">
        <f>SUMIFS(LstMachines[Nbre],LstMachines[Model-Spec],PrévisionBoris[[#This Row],[Spec]],LstMachines[Status],PrévisionBoris[[#This Row],[Status]],LstMachines[MoisLivr],L$1)</f>
        <v>0</v>
      </c>
      <c r="M259" s="228">
        <f>SUMIFS(LstMachines[Nbre],LstMachines[Model-Spec],PrévisionBoris[[#This Row],[Spec]],LstMachines[Status],PrévisionBoris[[#This Row],[Status]],LstMachines[MoisLivr],M$1)</f>
        <v>0</v>
      </c>
      <c r="N259" s="226">
        <f>SUMIFS(LstMachines[Nbre],LstMachines[Model-Spec],PrévisionBoris[[#This Row],[Spec]],LstMachines[Status],PrévisionBoris[[#This Row],[Status]],LstMachines[MoisLivr],N$1)</f>
        <v>0</v>
      </c>
      <c r="O259" s="227">
        <f>SUMIFS(LstMachines[Nbre],LstMachines[Model-Spec],PrévisionBoris[[#This Row],[Spec]],LstMachines[Status],PrévisionBoris[[#This Row],[Status]],LstMachines[MoisLivr],O$1)</f>
        <v>0</v>
      </c>
      <c r="P259" s="228">
        <f>SUMIFS(LstMachines[Nbre],LstMachines[Model-Spec],PrévisionBoris[[#This Row],[Spec]],LstMachines[Status],PrévisionBoris[[#This Row],[Status]],LstMachines[MoisLivr],P$1)</f>
        <v>0</v>
      </c>
      <c r="Q259" s="229">
        <f>SUMIFS(LstMachines[Nbre],LstMachines[Model-Spec],PrévisionBoris[[#This Row],[Spec]],LstMachines[Status],PrévisionBoris[[#This Row],[Status]],LstMachines[MoisLivr],Q$1)</f>
        <v>0</v>
      </c>
      <c r="R259" s="227">
        <f>SUMIFS(LstMachines[Nbre],LstMachines[Model-Spec],PrévisionBoris[[#This Row],[Spec]],LstMachines[Status],PrévisionBoris[[#This Row],[Status]],LstMachines[MoisLivr],R$1)</f>
        <v>0</v>
      </c>
      <c r="S259" s="227">
        <f>SUMIFS(LstMachines[Nbre],LstMachines[Model-Spec],PrévisionBoris[[#This Row],[Spec]],LstMachines[Status],PrévisionBoris[[#This Row],[Status]],LstMachines[MoisLivr],S$1)</f>
        <v>0</v>
      </c>
      <c r="T259" s="226">
        <f>SUMIFS(LstMachines[Nbre],LstMachines[Model-Spec],PrévisionBoris[[#This Row],[Spec]],LstMachines[Status],PrévisionBoris[[#This Row],[Status]],LstMachines[MoisLivr],T$1)</f>
        <v>0</v>
      </c>
      <c r="U259" s="227">
        <f>SUMIFS(LstMachines[Nbre],LstMachines[Model-Spec],PrévisionBoris[[#This Row],[Spec]],LstMachines[Status],PrévisionBoris[[#This Row],[Status]],LstMachines[MoisLivr],U$1)</f>
        <v>0</v>
      </c>
      <c r="V259" s="227">
        <f>SUMIFS(LstMachines[Nbre],LstMachines[Model-Spec],PrévisionBoris[[#This Row],[Spec]],LstMachines[Status],PrévisionBoris[[#This Row],[Status]],LstMachines[MoisLivr],V$1)</f>
        <v>0</v>
      </c>
      <c r="W259" s="226">
        <f>SUMIFS(LstMachines[Nbre],LstMachines[Model-Spec],PrévisionBoris[[#This Row],[Spec]],LstMachines[Status],PrévisionBoris[[#This Row],[Status]],LstMachines[MoisLivr],W$1)</f>
        <v>0</v>
      </c>
      <c r="X259" s="227">
        <f>SUMIFS(LstMachines[Nbre],LstMachines[Model-Spec],PrévisionBoris[[#This Row],[Spec]],LstMachines[Status],PrévisionBoris[[#This Row],[Status]],LstMachines[MoisLivr],X$1)</f>
        <v>0</v>
      </c>
      <c r="Y259" s="227">
        <f>SUMIFS(LstMachines[Nbre],LstMachines[Model-Spec],PrévisionBoris[[#This Row],[Spec]],LstMachines[Status],PrévisionBoris[[#This Row],[Status]],LstMachines[MoisLivr],Y$1)</f>
        <v>0</v>
      </c>
      <c r="Z259" s="226">
        <f>SUMIFS(LstMachines[Nbre],LstMachines[Model-Spec],PrévisionBoris[[#This Row],[Spec]],LstMachines[Status],PrévisionBoris[[#This Row],[Status]],LstMachines[MoisLivr],Z$1)</f>
        <v>0</v>
      </c>
      <c r="AA259" s="227">
        <f>SUMIFS(LstMachines[Nbre],LstMachines[Model-Spec],PrévisionBoris[[#This Row],[Spec]],LstMachines[Status],PrévisionBoris[[#This Row],[Status]],LstMachines[MoisLivr],AA$1)</f>
        <v>0</v>
      </c>
      <c r="AB259" s="227">
        <f>SUMIFS(LstMachines[Nbre],LstMachines[Model-Spec],PrévisionBoris[[#This Row],[Spec]],LstMachines[Status],PrévisionBoris[[#This Row],[Status]],LstMachines[MoisLivr],AB$1)</f>
        <v>0</v>
      </c>
      <c r="AC259" s="226">
        <f>SUMIFS(LstMachines[Nbre],LstMachines[Model-Spec],PrévisionBoris[[#This Row],[Spec]],LstMachines[Status],PrévisionBoris[[#This Row],[Status]],LstMachines[MoisLivr],AC$1)</f>
        <v>0</v>
      </c>
      <c r="AD259" s="227">
        <f>SUMIFS(LstMachines[Nbre],LstMachines[Model-Spec],PrévisionBoris[[#This Row],[Spec]],LstMachines[Status],PrévisionBoris[[#This Row],[Status]],LstMachines[MoisLivr],AD$1)</f>
        <v>0</v>
      </c>
      <c r="AE259" s="227">
        <f>SUMIFS(LstMachines[Nbre],LstMachines[Model-Spec],PrévisionBoris[[#This Row],[Spec]],LstMachines[Status],PrévisionBoris[[#This Row],[Status]],LstMachines[MoisLivr],AE$1)</f>
        <v>0</v>
      </c>
      <c r="AF259" s="226">
        <f>SUMIFS(LstMachines[Nbre],LstMachines[Model-Spec],PrévisionBoris[[#This Row],[Spec]],LstMachines[Status],PrévisionBoris[[#This Row],[Status]],LstMachines[MoisLivr],AF$1)</f>
        <v>0</v>
      </c>
      <c r="AG259" s="227">
        <f>SUMIFS(LstMachines[Nbre],LstMachines[Model-Spec],PrévisionBoris[[#This Row],[Spec]],LstMachines[Status],PrévisionBoris[[#This Row],[Status]],LstMachines[MoisLivr],AG$1)</f>
        <v>0</v>
      </c>
      <c r="AH259" s="227">
        <f>SUMIFS(LstMachines[Nbre],LstMachines[Model-Spec],PrévisionBoris[[#This Row],[Spec]],LstMachines[Status],PrévisionBoris[[#This Row],[Status]],LstMachines[MoisLivr],AH$1)</f>
        <v>0</v>
      </c>
      <c r="AI259" s="226">
        <f>SUMIFS(LstMachines[Nbre],LstMachines[Model-Spec],PrévisionBoris[[#This Row],[Spec]],LstMachines[Status],PrévisionBoris[[#This Row],[Status]],LstMachines[MoisLivr],AI$1)</f>
        <v>0</v>
      </c>
      <c r="AJ259" s="227">
        <f>SUMIFS(LstMachines[Nbre],LstMachines[Model-Spec],PrévisionBoris[[#This Row],[Spec]],LstMachines[Status],PrévisionBoris[[#This Row],[Status]],LstMachines[MoisLivr],AJ$1)</f>
        <v>0</v>
      </c>
      <c r="AK259" s="227">
        <f>SUMIFS(LstMachines[Nbre],LstMachines[Model-Spec],PrévisionBoris[[#This Row],[Spec]],LstMachines[Status],PrévisionBoris[[#This Row],[Status]],LstMachines[MoisLivr],AK$1)</f>
        <v>0</v>
      </c>
      <c r="AL259" s="226">
        <f>SUMIFS(LstMachines[Nbre],LstMachines[Model-Spec],PrévisionBoris[[#This Row],[Spec]],LstMachines[Status],PrévisionBoris[[#This Row],[Status]],LstMachines[MoisLivr],AL$1)</f>
        <v>0</v>
      </c>
      <c r="AM259" s="227">
        <f>SUMIFS(LstMachines[Nbre],LstMachines[Model-Spec],PrévisionBoris[[#This Row],[Spec]],LstMachines[Status],PrévisionBoris[[#This Row],[Status]],LstMachines[MoisLivr],AM$1)</f>
        <v>0</v>
      </c>
      <c r="AN259" s="227">
        <f>SUMIFS(LstMachines[Nbre],LstMachines[Model-Spec],PrévisionBoris[[#This Row],[Spec]],LstMachines[Status],PrévisionBoris[[#This Row],[Status]],LstMachines[MoisLivr],AN$1)</f>
        <v>0</v>
      </c>
      <c r="AO259" s="226">
        <f>SUMIFS(LstMachines[Nbre],LstMachines[Model-Spec],PrévisionBoris[[#This Row],[Spec]],LstMachines[Status],PrévisionBoris[[#This Row],[Status]],LstMachines[MoisLivr],AO$1)</f>
        <v>0</v>
      </c>
      <c r="AP259" s="227">
        <f>SUMIFS(LstMachines[Nbre],LstMachines[Model-Spec],PrévisionBoris[[#This Row],[Spec]],LstMachines[Status],PrévisionBoris[[#This Row],[Status]],LstMachines[MoisLivr],AP$1)</f>
        <v>0</v>
      </c>
      <c r="AQ259" s="227">
        <f>SUMIFS(LstMachines[Nbre],LstMachines[Model-Spec],PrévisionBoris[[#This Row],[Spec]],LstMachines[Status],PrévisionBoris[[#This Row],[Status]],LstMachines[MoisLivr],AQ$1)</f>
        <v>0</v>
      </c>
      <c r="AR259" s="226">
        <f>SUMIFS(LstMachines[Nbre],LstMachines[Model-Spec],PrévisionBoris[[#This Row],[Spec]],LstMachines[Status],PrévisionBoris[[#This Row],[Status]],LstMachines[MoisLivr],AR$1)</f>
        <v>0</v>
      </c>
      <c r="AS259" s="227">
        <f>SUMIFS(LstMachines[Nbre],LstMachines[Model-Spec],PrévisionBoris[[#This Row],[Spec]],LstMachines[Status],PrévisionBoris[[#This Row],[Status]],LstMachines[MoisLivr],AS$1)</f>
        <v>0</v>
      </c>
      <c r="AT259" s="227">
        <f>SUMIFS(LstMachines[Nbre],LstMachines[Model-Spec],PrévisionBoris[[#This Row],[Spec]],LstMachines[Status],PrévisionBoris[[#This Row],[Status]],LstMachines[MoisLivr],AT$1)</f>
        <v>0</v>
      </c>
      <c r="AU259" s="226">
        <f>SUMIFS(LstMachines[Nbre],LstMachines[Model-Spec],PrévisionBoris[[#This Row],[Spec]],LstMachines[Status],PrévisionBoris[[#This Row],[Status]],LstMachines[MoisLivr],AU$1)</f>
        <v>0</v>
      </c>
      <c r="AV259" s="230">
        <f>SUMIFS(LstMachines[Nbre],LstMachines[Model-Spec],PrévisionBoris[[#This Row],[Spec]],LstMachines[Status],PrévisionBoris[[#This Row],[Status]],LstMachines[MoisLivr],AV$1)</f>
        <v>0</v>
      </c>
      <c r="AW259" s="231">
        <f>SUMIFS(LstMachines[Nbre],LstMachines[Model-Spec],PrévisionBoris[[#This Row],[Spec]],LstMachines[Status],PrévisionBoris[[#This Row],[Status]],LstMachines[MoisLivr],AW$1)</f>
        <v>0</v>
      </c>
      <c r="AX259" s="232"/>
      <c r="AY259" s="211">
        <f t="shared" si="51"/>
        <v>0</v>
      </c>
      <c r="AZ259" s="212">
        <f t="shared" si="52"/>
        <v>0</v>
      </c>
      <c r="BA259" s="212">
        <f t="shared" si="53"/>
        <v>0</v>
      </c>
      <c r="BB259" s="213">
        <f t="shared" si="54"/>
        <v>0</v>
      </c>
      <c r="BC259" s="225">
        <f t="shared" si="55"/>
        <v>0</v>
      </c>
      <c r="BD259" s="211">
        <f t="shared" si="56"/>
        <v>0</v>
      </c>
      <c r="BE259" s="212">
        <f t="shared" si="57"/>
        <v>0</v>
      </c>
      <c r="BF259" s="212">
        <f t="shared" si="58"/>
        <v>0</v>
      </c>
      <c r="BG259" s="213">
        <f t="shared" si="59"/>
        <v>0</v>
      </c>
      <c r="BH259" s="225">
        <f t="shared" si="60"/>
        <v>0</v>
      </c>
      <c r="BI259" s="214">
        <f t="shared" si="61"/>
        <v>0</v>
      </c>
      <c r="BJ259" s="215">
        <f t="shared" si="62"/>
        <v>0</v>
      </c>
      <c r="BK259" s="215">
        <f t="shared" si="63"/>
        <v>0</v>
      </c>
      <c r="BL259" s="216">
        <f t="shared" si="64"/>
        <v>0</v>
      </c>
      <c r="BM259" s="225">
        <f t="shared" si="65"/>
        <v>0</v>
      </c>
      <c r="BN259" s="225"/>
      <c r="BO259" s="217"/>
      <c r="BP259" s="218">
        <f t="shared" si="66"/>
        <v>0</v>
      </c>
    </row>
    <row r="260" spans="1:68">
      <c r="A260" s="172">
        <v>253</v>
      </c>
      <c r="B260" s="172" t="s">
        <v>85</v>
      </c>
      <c r="C260" s="202">
        <v>210</v>
      </c>
      <c r="D260" s="172" t="s">
        <v>88</v>
      </c>
      <c r="E260" s="172" t="s">
        <v>89</v>
      </c>
      <c r="F260" s="202">
        <f>VLOOKUP(PrévisionBoris[[#This Row],[Spec]],TabModelSpecs[[ModelSpec]:[Price]],2,FALSE)</f>
        <v>115</v>
      </c>
      <c r="G260" s="172" t="s">
        <v>461</v>
      </c>
      <c r="H260" s="206">
        <f>SUMIFS(LstMachines[Nbre],LstMachines[Model-Spec],PrévisionBoris[[#This Row],[Spec]],LstMachines[Status],PrévisionBoris[[#This Row],[Status]],LstMachines[MoisLivr],H$1)</f>
        <v>0</v>
      </c>
      <c r="I260" s="207">
        <f>SUMIFS(LstMachines[Nbre],LstMachines[Model-Spec],PrévisionBoris[[#This Row],[Spec]],LstMachines[Status],PrévisionBoris[[#This Row],[Status]],LstMachines[MoisLivr],I$1)</f>
        <v>0</v>
      </c>
      <c r="J260" s="208">
        <f>SUMIFS(LstMachines[Nbre],LstMachines[Model-Spec],PrévisionBoris[[#This Row],[Spec]],LstMachines[Status],PrévisionBoris[[#This Row],[Status]],LstMachines[MoisLivr],J$1)</f>
        <v>0</v>
      </c>
      <c r="K260" s="206">
        <f>SUMIFS(LstMachines[Nbre],LstMachines[Model-Spec],PrévisionBoris[[#This Row],[Spec]],LstMachines[Status],PrévisionBoris[[#This Row],[Status]],LstMachines[MoisLivr],K$1)</f>
        <v>0</v>
      </c>
      <c r="L260" s="207">
        <f>SUMIFS(LstMachines[Nbre],LstMachines[Model-Spec],PrévisionBoris[[#This Row],[Spec]],LstMachines[Status],PrévisionBoris[[#This Row],[Status]],LstMachines[MoisLivr],L$1)</f>
        <v>0</v>
      </c>
      <c r="M260" s="208">
        <f>SUMIFS(LstMachines[Nbre],LstMachines[Model-Spec],PrévisionBoris[[#This Row],[Spec]],LstMachines[Status],PrévisionBoris[[#This Row],[Status]],LstMachines[MoisLivr],M$1)</f>
        <v>0</v>
      </c>
      <c r="N260" s="206">
        <f>SUMIFS(LstMachines[Nbre],LstMachines[Model-Spec],PrévisionBoris[[#This Row],[Spec]],LstMachines[Status],PrévisionBoris[[#This Row],[Status]],LstMachines[MoisLivr],N$1)</f>
        <v>1</v>
      </c>
      <c r="O260" s="207">
        <f>SUMIFS(LstMachines[Nbre],LstMachines[Model-Spec],PrévisionBoris[[#This Row],[Spec]],LstMachines[Status],PrévisionBoris[[#This Row],[Status]],LstMachines[MoisLivr],O$1)</f>
        <v>0</v>
      </c>
      <c r="P260" s="208">
        <f>SUMIFS(LstMachines[Nbre],LstMachines[Model-Spec],PrévisionBoris[[#This Row],[Spec]],LstMachines[Status],PrévisionBoris[[#This Row],[Status]],LstMachines[MoisLivr],P$1)</f>
        <v>0</v>
      </c>
      <c r="Q260" s="209">
        <f>SUMIFS(LstMachines[Nbre],LstMachines[Model-Spec],PrévisionBoris[[#This Row],[Spec]],LstMachines[Status],PrévisionBoris[[#This Row],[Status]],LstMachines[MoisLivr],Q$1)</f>
        <v>1</v>
      </c>
      <c r="R260" s="207">
        <f>SUMIFS(LstMachines[Nbre],LstMachines[Model-Spec],PrévisionBoris[[#This Row],[Spec]],LstMachines[Status],PrévisionBoris[[#This Row],[Status]],LstMachines[MoisLivr],R$1)</f>
        <v>0</v>
      </c>
      <c r="S260" s="207">
        <f>SUMIFS(LstMachines[Nbre],LstMachines[Model-Spec],PrévisionBoris[[#This Row],[Spec]],LstMachines[Status],PrévisionBoris[[#This Row],[Status]],LstMachines[MoisLivr],S$1)</f>
        <v>0</v>
      </c>
      <c r="T260" s="206">
        <f>SUMIFS(LstMachines[Nbre],LstMachines[Model-Spec],PrévisionBoris[[#This Row],[Spec]],LstMachines[Status],PrévisionBoris[[#This Row],[Status]],LstMachines[MoisLivr],T$1)</f>
        <v>1</v>
      </c>
      <c r="U260" s="207">
        <f>SUMIFS(LstMachines[Nbre],LstMachines[Model-Spec],PrévisionBoris[[#This Row],[Spec]],LstMachines[Status],PrévisionBoris[[#This Row],[Status]],LstMachines[MoisLivr],U$1)</f>
        <v>1</v>
      </c>
      <c r="V260" s="207">
        <f>SUMIFS(LstMachines[Nbre],LstMachines[Model-Spec],PrévisionBoris[[#This Row],[Spec]],LstMachines[Status],PrévisionBoris[[#This Row],[Status]],LstMachines[MoisLivr],V$1)</f>
        <v>0</v>
      </c>
      <c r="W260" s="206">
        <f>SUMIFS(LstMachines[Nbre],LstMachines[Model-Spec],PrévisionBoris[[#This Row],[Spec]],LstMachines[Status],PrévisionBoris[[#This Row],[Status]],LstMachines[MoisLivr],W$1)</f>
        <v>0</v>
      </c>
      <c r="X260" s="207">
        <f>SUMIFS(LstMachines[Nbre],LstMachines[Model-Spec],PrévisionBoris[[#This Row],[Spec]],LstMachines[Status],PrévisionBoris[[#This Row],[Status]],LstMachines[MoisLivr],X$1)</f>
        <v>0</v>
      </c>
      <c r="Y260" s="207">
        <f>SUMIFS(LstMachines[Nbre],LstMachines[Model-Spec],PrévisionBoris[[#This Row],[Spec]],LstMachines[Status],PrévisionBoris[[#This Row],[Status]],LstMachines[MoisLivr],Y$1)</f>
        <v>0</v>
      </c>
      <c r="Z260" s="206">
        <f>SUMIFS(LstMachines[Nbre],LstMachines[Model-Spec],PrévisionBoris[[#This Row],[Spec]],LstMachines[Status],PrévisionBoris[[#This Row],[Status]],LstMachines[MoisLivr],Z$1)</f>
        <v>1</v>
      </c>
      <c r="AA260" s="207">
        <f>SUMIFS(LstMachines[Nbre],LstMachines[Model-Spec],PrévisionBoris[[#This Row],[Spec]],LstMachines[Status],PrévisionBoris[[#This Row],[Status]],LstMachines[MoisLivr],AA$1)</f>
        <v>0</v>
      </c>
      <c r="AB260" s="207">
        <f>SUMIFS(LstMachines[Nbre],LstMachines[Model-Spec],PrévisionBoris[[#This Row],[Spec]],LstMachines[Status],PrévisionBoris[[#This Row],[Status]],LstMachines[MoisLivr],AB$1)</f>
        <v>7</v>
      </c>
      <c r="AC260" s="206">
        <f>SUMIFS(LstMachines[Nbre],LstMachines[Model-Spec],PrévisionBoris[[#This Row],[Spec]],LstMachines[Status],PrévisionBoris[[#This Row],[Status]],LstMachines[MoisLivr],AC$1)</f>
        <v>1</v>
      </c>
      <c r="AD260" s="207">
        <f>SUMIFS(LstMachines[Nbre],LstMachines[Model-Spec],PrévisionBoris[[#This Row],[Spec]],LstMachines[Status],PrévisionBoris[[#This Row],[Status]],LstMachines[MoisLivr],AD$1)</f>
        <v>0</v>
      </c>
      <c r="AE260" s="207">
        <f>SUMIFS(LstMachines[Nbre],LstMachines[Model-Spec],PrévisionBoris[[#This Row],[Spec]],LstMachines[Status],PrévisionBoris[[#This Row],[Status]],LstMachines[MoisLivr],AE$1)</f>
        <v>0</v>
      </c>
      <c r="AF260" s="206">
        <f>SUMIFS(LstMachines[Nbre],LstMachines[Model-Spec],PrévisionBoris[[#This Row],[Spec]],LstMachines[Status],PrévisionBoris[[#This Row],[Status]],LstMachines[MoisLivr],AF$1)</f>
        <v>0</v>
      </c>
      <c r="AG260" s="207">
        <f>SUMIFS(LstMachines[Nbre],LstMachines[Model-Spec],PrévisionBoris[[#This Row],[Spec]],LstMachines[Status],PrévisionBoris[[#This Row],[Status]],LstMachines[MoisLivr],AG$1)</f>
        <v>1</v>
      </c>
      <c r="AH260" s="207">
        <f>SUMIFS(LstMachines[Nbre],LstMachines[Model-Spec],PrévisionBoris[[#This Row],[Spec]],LstMachines[Status],PrévisionBoris[[#This Row],[Status]],LstMachines[MoisLivr],AH$1)</f>
        <v>0</v>
      </c>
      <c r="AI260" s="206">
        <f>SUMIFS(LstMachines[Nbre],LstMachines[Model-Spec],PrévisionBoris[[#This Row],[Spec]],LstMachines[Status],PrévisionBoris[[#This Row],[Status]],LstMachines[MoisLivr],AI$1)</f>
        <v>0</v>
      </c>
      <c r="AJ260" s="207">
        <f>SUMIFS(LstMachines[Nbre],LstMachines[Model-Spec],PrévisionBoris[[#This Row],[Spec]],LstMachines[Status],PrévisionBoris[[#This Row],[Status]],LstMachines[MoisLivr],AJ$1)</f>
        <v>0</v>
      </c>
      <c r="AK260" s="207">
        <f>SUMIFS(LstMachines[Nbre],LstMachines[Model-Spec],PrévisionBoris[[#This Row],[Spec]],LstMachines[Status],PrévisionBoris[[#This Row],[Status]],LstMachines[MoisLivr],AK$1)</f>
        <v>0</v>
      </c>
      <c r="AL260" s="206">
        <f>SUMIFS(LstMachines[Nbre],LstMachines[Model-Spec],PrévisionBoris[[#This Row],[Spec]],LstMachines[Status],PrévisionBoris[[#This Row],[Status]],LstMachines[MoisLivr],AL$1)</f>
        <v>1</v>
      </c>
      <c r="AM260" s="207">
        <f>SUMIFS(LstMachines[Nbre],LstMachines[Model-Spec],PrévisionBoris[[#This Row],[Spec]],LstMachines[Status],PrévisionBoris[[#This Row],[Status]],LstMachines[MoisLivr],AM$1)</f>
        <v>0</v>
      </c>
      <c r="AN260" s="207">
        <f>SUMIFS(LstMachines[Nbre],LstMachines[Model-Spec],PrévisionBoris[[#This Row],[Spec]],LstMachines[Status],PrévisionBoris[[#This Row],[Status]],LstMachines[MoisLivr],AN$1)</f>
        <v>6</v>
      </c>
      <c r="AO260" s="206">
        <f>SUMIFS(LstMachines[Nbre],LstMachines[Model-Spec],PrévisionBoris[[#This Row],[Spec]],LstMachines[Status],PrévisionBoris[[#This Row],[Status]],LstMachines[MoisLivr],AO$1)</f>
        <v>0</v>
      </c>
      <c r="AP260" s="207">
        <f>SUMIFS(LstMachines[Nbre],LstMachines[Model-Spec],PrévisionBoris[[#This Row],[Spec]],LstMachines[Status],PrévisionBoris[[#This Row],[Status]],LstMachines[MoisLivr],AP$1)</f>
        <v>0</v>
      </c>
      <c r="AQ260" s="207">
        <f>SUMIFS(LstMachines[Nbre],LstMachines[Model-Spec],PrévisionBoris[[#This Row],[Spec]],LstMachines[Status],PrévisionBoris[[#This Row],[Status]],LstMachines[MoisLivr],AQ$1)</f>
        <v>0</v>
      </c>
      <c r="AR260" s="206">
        <f>SUMIFS(LstMachines[Nbre],LstMachines[Model-Spec],PrévisionBoris[[#This Row],[Spec]],LstMachines[Status],PrévisionBoris[[#This Row],[Status]],LstMachines[MoisLivr],AR$1)</f>
        <v>0</v>
      </c>
      <c r="AS260" s="207">
        <f>SUMIFS(LstMachines[Nbre],LstMachines[Model-Spec],PrévisionBoris[[#This Row],[Spec]],LstMachines[Status],PrévisionBoris[[#This Row],[Status]],LstMachines[MoisLivr],AS$1)</f>
        <v>1</v>
      </c>
      <c r="AT260" s="207">
        <f>SUMIFS(LstMachines[Nbre],LstMachines[Model-Spec],PrévisionBoris[[#This Row],[Spec]],LstMachines[Status],PrévisionBoris[[#This Row],[Status]],LstMachines[MoisLivr],AT$1)</f>
        <v>0</v>
      </c>
      <c r="AU260" s="206">
        <f>SUMIFS(LstMachines[Nbre],LstMachines[Model-Spec],PrévisionBoris[[#This Row],[Spec]],LstMachines[Status],PrévisionBoris[[#This Row],[Status]],LstMachines[MoisLivr],AU$1)</f>
        <v>0</v>
      </c>
      <c r="AV260" s="233">
        <f>SUMIFS(LstMachines[Nbre],LstMachines[Model-Spec],PrévisionBoris[[#This Row],[Spec]],LstMachines[Status],PrévisionBoris[[#This Row],[Status]],LstMachines[MoisLivr],AV$1)</f>
        <v>0</v>
      </c>
      <c r="AW260" s="208">
        <f>SUMIFS(LstMachines[Nbre],LstMachines[Model-Spec],PrévisionBoris[[#This Row],[Spec]],LstMachines[Status],PrévisionBoris[[#This Row],[Status]],LstMachines[MoisLivr],AW$1)</f>
        <v>0</v>
      </c>
      <c r="AX260" s="225"/>
      <c r="AY260" s="211">
        <f t="shared" si="51"/>
        <v>0</v>
      </c>
      <c r="AZ260" s="212">
        <f t="shared" si="52"/>
        <v>1</v>
      </c>
      <c r="BA260" s="212">
        <f t="shared" si="53"/>
        <v>1</v>
      </c>
      <c r="BB260" s="213">
        <f t="shared" si="54"/>
        <v>2</v>
      </c>
      <c r="BC260" s="225">
        <f t="shared" si="55"/>
        <v>4</v>
      </c>
      <c r="BD260" s="211">
        <f t="shared" si="56"/>
        <v>0</v>
      </c>
      <c r="BE260" s="212">
        <f t="shared" si="57"/>
        <v>8</v>
      </c>
      <c r="BF260" s="212">
        <f t="shared" si="58"/>
        <v>1</v>
      </c>
      <c r="BG260" s="213">
        <f t="shared" si="59"/>
        <v>1</v>
      </c>
      <c r="BH260" s="225">
        <f t="shared" si="60"/>
        <v>10</v>
      </c>
      <c r="BI260" s="214">
        <f t="shared" si="61"/>
        <v>0</v>
      </c>
      <c r="BJ260" s="215">
        <f t="shared" si="62"/>
        <v>7</v>
      </c>
      <c r="BK260" s="215">
        <f t="shared" si="63"/>
        <v>0</v>
      </c>
      <c r="BL260" s="216">
        <f t="shared" si="64"/>
        <v>1</v>
      </c>
      <c r="BM260" s="225">
        <f t="shared" si="65"/>
        <v>8</v>
      </c>
      <c r="BN260" s="225"/>
      <c r="BO260" s="234"/>
      <c r="BP260" s="218">
        <f t="shared" si="66"/>
        <v>22</v>
      </c>
    </row>
    <row r="261" spans="1:68">
      <c r="A261" s="170">
        <v>254</v>
      </c>
      <c r="B261" s="170" t="s">
        <v>85</v>
      </c>
      <c r="C261" s="200">
        <v>210</v>
      </c>
      <c r="D261" s="170" t="s">
        <v>88</v>
      </c>
      <c r="E261" s="170" t="s">
        <v>89</v>
      </c>
      <c r="F261" s="200">
        <f>VLOOKUP(PrévisionBoris[[#This Row],[Spec]],TabModelSpecs[[ModelSpec]:[Price]],2,FALSE)</f>
        <v>115</v>
      </c>
      <c r="G261" s="170" t="s">
        <v>462</v>
      </c>
      <c r="H261" s="219">
        <f>SUMIFS(LstMachines[Nbre],LstMachines[Model-Spec],PrévisionBoris[[#This Row],[Spec]],LstMachines[Status],PrévisionBoris[[#This Row],[Status]],LstMachines[MoisLivr],H$1)</f>
        <v>0</v>
      </c>
      <c r="I261" s="220">
        <f>SUMIFS(LstMachines[Nbre],LstMachines[Model-Spec],PrévisionBoris[[#This Row],[Spec]],LstMachines[Status],PrévisionBoris[[#This Row],[Status]],LstMachines[MoisLivr],I$1)</f>
        <v>0</v>
      </c>
      <c r="J261" s="221">
        <f>SUMIFS(LstMachines[Nbre],LstMachines[Model-Spec],PrévisionBoris[[#This Row],[Spec]],LstMachines[Status],PrévisionBoris[[#This Row],[Status]],LstMachines[MoisLivr],J$1)</f>
        <v>0</v>
      </c>
      <c r="K261" s="219">
        <f>SUMIFS(LstMachines[Nbre],LstMachines[Model-Spec],PrévisionBoris[[#This Row],[Spec]],LstMachines[Status],PrévisionBoris[[#This Row],[Status]],LstMachines[MoisLivr],K$1)</f>
        <v>0</v>
      </c>
      <c r="L261" s="220">
        <f>SUMIFS(LstMachines[Nbre],LstMachines[Model-Spec],PrévisionBoris[[#This Row],[Spec]],LstMachines[Status],PrévisionBoris[[#This Row],[Status]],LstMachines[MoisLivr],L$1)</f>
        <v>0</v>
      </c>
      <c r="M261" s="221">
        <f>SUMIFS(LstMachines[Nbre],LstMachines[Model-Spec],PrévisionBoris[[#This Row],[Spec]],LstMachines[Status],PrévisionBoris[[#This Row],[Status]],LstMachines[MoisLivr],M$1)</f>
        <v>0</v>
      </c>
      <c r="N261" s="219">
        <f>SUMIFS(LstMachines[Nbre],LstMachines[Model-Spec],PrévisionBoris[[#This Row],[Spec]],LstMachines[Status],PrévisionBoris[[#This Row],[Status]],LstMachines[MoisLivr],N$1)</f>
        <v>0</v>
      </c>
      <c r="O261" s="220">
        <f>SUMIFS(LstMachines[Nbre],LstMachines[Model-Spec],PrévisionBoris[[#This Row],[Spec]],LstMachines[Status],PrévisionBoris[[#This Row],[Status]],LstMachines[MoisLivr],O$1)</f>
        <v>0</v>
      </c>
      <c r="P261" s="221">
        <f>SUMIFS(LstMachines[Nbre],LstMachines[Model-Spec],PrévisionBoris[[#This Row],[Spec]],LstMachines[Status],PrévisionBoris[[#This Row],[Status]],LstMachines[MoisLivr],P$1)</f>
        <v>0</v>
      </c>
      <c r="Q261" s="222">
        <f>SUMIFS(LstMachines[Nbre],LstMachines[Model-Spec],PrévisionBoris[[#This Row],[Spec]],LstMachines[Status],PrévisionBoris[[#This Row],[Status]],LstMachines[MoisLivr],Q$1)</f>
        <v>0</v>
      </c>
      <c r="R261" s="220">
        <f>SUMIFS(LstMachines[Nbre],LstMachines[Model-Spec],PrévisionBoris[[#This Row],[Spec]],LstMachines[Status],PrévisionBoris[[#This Row],[Status]],LstMachines[MoisLivr],R$1)</f>
        <v>0</v>
      </c>
      <c r="S261" s="220">
        <f>SUMIFS(LstMachines[Nbre],LstMachines[Model-Spec],PrévisionBoris[[#This Row],[Spec]],LstMachines[Status],PrévisionBoris[[#This Row],[Status]],LstMachines[MoisLivr],S$1)</f>
        <v>0</v>
      </c>
      <c r="T261" s="219">
        <f>SUMIFS(LstMachines[Nbre],LstMachines[Model-Spec],PrévisionBoris[[#This Row],[Spec]],LstMachines[Status],PrévisionBoris[[#This Row],[Status]],LstMachines[MoisLivr],T$1)</f>
        <v>0</v>
      </c>
      <c r="U261" s="220">
        <f>SUMIFS(LstMachines[Nbre],LstMachines[Model-Spec],PrévisionBoris[[#This Row],[Spec]],LstMachines[Status],PrévisionBoris[[#This Row],[Status]],LstMachines[MoisLivr],U$1)</f>
        <v>0</v>
      </c>
      <c r="V261" s="220">
        <f>SUMIFS(LstMachines[Nbre],LstMachines[Model-Spec],PrévisionBoris[[#This Row],[Spec]],LstMachines[Status],PrévisionBoris[[#This Row],[Status]],LstMachines[MoisLivr],V$1)</f>
        <v>0</v>
      </c>
      <c r="W261" s="219">
        <f>SUMIFS(LstMachines[Nbre],LstMachines[Model-Spec],PrévisionBoris[[#This Row],[Spec]],LstMachines[Status],PrévisionBoris[[#This Row],[Status]],LstMachines[MoisLivr],W$1)</f>
        <v>0</v>
      </c>
      <c r="X261" s="220">
        <f>SUMIFS(LstMachines[Nbre],LstMachines[Model-Spec],PrévisionBoris[[#This Row],[Spec]],LstMachines[Status],PrévisionBoris[[#This Row],[Status]],LstMachines[MoisLivr],X$1)</f>
        <v>0</v>
      </c>
      <c r="Y261" s="220">
        <f>SUMIFS(LstMachines[Nbre],LstMachines[Model-Spec],PrévisionBoris[[#This Row],[Spec]],LstMachines[Status],PrévisionBoris[[#This Row],[Status]],LstMachines[MoisLivr],Y$1)</f>
        <v>0</v>
      </c>
      <c r="Z261" s="219">
        <f>SUMIFS(LstMachines[Nbre],LstMachines[Model-Spec],PrévisionBoris[[#This Row],[Spec]],LstMachines[Status],PrévisionBoris[[#This Row],[Status]],LstMachines[MoisLivr],Z$1)</f>
        <v>0</v>
      </c>
      <c r="AA261" s="220">
        <f>SUMIFS(LstMachines[Nbre],LstMachines[Model-Spec],PrévisionBoris[[#This Row],[Spec]],LstMachines[Status],PrévisionBoris[[#This Row],[Status]],LstMachines[MoisLivr],AA$1)</f>
        <v>0</v>
      </c>
      <c r="AB261" s="220">
        <f>SUMIFS(LstMachines[Nbre],LstMachines[Model-Spec],PrévisionBoris[[#This Row],[Spec]],LstMachines[Status],PrévisionBoris[[#This Row],[Status]],LstMachines[MoisLivr],AB$1)</f>
        <v>0</v>
      </c>
      <c r="AC261" s="219">
        <f>SUMIFS(LstMachines[Nbre],LstMachines[Model-Spec],PrévisionBoris[[#This Row],[Spec]],LstMachines[Status],PrévisionBoris[[#This Row],[Status]],LstMachines[MoisLivr],AC$1)</f>
        <v>0</v>
      </c>
      <c r="AD261" s="220">
        <f>SUMIFS(LstMachines[Nbre],LstMachines[Model-Spec],PrévisionBoris[[#This Row],[Spec]],LstMachines[Status],PrévisionBoris[[#This Row],[Status]],LstMachines[MoisLivr],AD$1)</f>
        <v>0</v>
      </c>
      <c r="AE261" s="220">
        <f>SUMIFS(LstMachines[Nbre],LstMachines[Model-Spec],PrévisionBoris[[#This Row],[Spec]],LstMachines[Status],PrévisionBoris[[#This Row],[Status]],LstMachines[MoisLivr],AE$1)</f>
        <v>0</v>
      </c>
      <c r="AF261" s="219">
        <f>SUMIFS(LstMachines[Nbre],LstMachines[Model-Spec],PrévisionBoris[[#This Row],[Spec]],LstMachines[Status],PrévisionBoris[[#This Row],[Status]],LstMachines[MoisLivr],AF$1)</f>
        <v>0</v>
      </c>
      <c r="AG261" s="220">
        <f>SUMIFS(LstMachines[Nbre],LstMachines[Model-Spec],PrévisionBoris[[#This Row],[Spec]],LstMachines[Status],PrévisionBoris[[#This Row],[Status]],LstMachines[MoisLivr],AG$1)</f>
        <v>0</v>
      </c>
      <c r="AH261" s="220">
        <f>SUMIFS(LstMachines[Nbre],LstMachines[Model-Spec],PrévisionBoris[[#This Row],[Spec]],LstMachines[Status],PrévisionBoris[[#This Row],[Status]],LstMachines[MoisLivr],AH$1)</f>
        <v>0</v>
      </c>
      <c r="AI261" s="219">
        <f>SUMIFS(LstMachines[Nbre],LstMachines[Model-Spec],PrévisionBoris[[#This Row],[Spec]],LstMachines[Status],PrévisionBoris[[#This Row],[Status]],LstMachines[MoisLivr],AI$1)</f>
        <v>0</v>
      </c>
      <c r="AJ261" s="220">
        <f>SUMIFS(LstMachines[Nbre],LstMachines[Model-Spec],PrévisionBoris[[#This Row],[Spec]],LstMachines[Status],PrévisionBoris[[#This Row],[Status]],LstMachines[MoisLivr],AJ$1)</f>
        <v>0</v>
      </c>
      <c r="AK261" s="220">
        <f>SUMIFS(LstMachines[Nbre],LstMachines[Model-Spec],PrévisionBoris[[#This Row],[Spec]],LstMachines[Status],PrévisionBoris[[#This Row],[Status]],LstMachines[MoisLivr],AK$1)</f>
        <v>0</v>
      </c>
      <c r="AL261" s="219">
        <f>SUMIFS(LstMachines[Nbre],LstMachines[Model-Spec],PrévisionBoris[[#This Row],[Spec]],LstMachines[Status],PrévisionBoris[[#This Row],[Status]],LstMachines[MoisLivr],AL$1)</f>
        <v>0</v>
      </c>
      <c r="AM261" s="220">
        <f>SUMIFS(LstMachines[Nbre],LstMachines[Model-Spec],PrévisionBoris[[#This Row],[Spec]],LstMachines[Status],PrévisionBoris[[#This Row],[Status]],LstMachines[MoisLivr],AM$1)</f>
        <v>0</v>
      </c>
      <c r="AN261" s="220">
        <f>SUMIFS(LstMachines[Nbre],LstMachines[Model-Spec],PrévisionBoris[[#This Row],[Spec]],LstMachines[Status],PrévisionBoris[[#This Row],[Status]],LstMachines[MoisLivr],AN$1)</f>
        <v>0</v>
      </c>
      <c r="AO261" s="219">
        <f>SUMIFS(LstMachines[Nbre],LstMachines[Model-Spec],PrévisionBoris[[#This Row],[Spec]],LstMachines[Status],PrévisionBoris[[#This Row],[Status]],LstMachines[MoisLivr],AO$1)</f>
        <v>0</v>
      </c>
      <c r="AP261" s="220">
        <f>SUMIFS(LstMachines[Nbre],LstMachines[Model-Spec],PrévisionBoris[[#This Row],[Spec]],LstMachines[Status],PrévisionBoris[[#This Row],[Status]],LstMachines[MoisLivr],AP$1)</f>
        <v>0</v>
      </c>
      <c r="AQ261" s="220">
        <f>SUMIFS(LstMachines[Nbre],LstMachines[Model-Spec],PrévisionBoris[[#This Row],[Spec]],LstMachines[Status],PrévisionBoris[[#This Row],[Status]],LstMachines[MoisLivr],AQ$1)</f>
        <v>0</v>
      </c>
      <c r="AR261" s="219">
        <f>SUMIFS(LstMachines[Nbre],LstMachines[Model-Spec],PrévisionBoris[[#This Row],[Spec]],LstMachines[Status],PrévisionBoris[[#This Row],[Status]],LstMachines[MoisLivr],AR$1)</f>
        <v>0</v>
      </c>
      <c r="AS261" s="220">
        <f>SUMIFS(LstMachines[Nbre],LstMachines[Model-Spec],PrévisionBoris[[#This Row],[Spec]],LstMachines[Status],PrévisionBoris[[#This Row],[Status]],LstMachines[MoisLivr],AS$1)</f>
        <v>0</v>
      </c>
      <c r="AT261" s="220">
        <f>SUMIFS(LstMachines[Nbre],LstMachines[Model-Spec],PrévisionBoris[[#This Row],[Spec]],LstMachines[Status],PrévisionBoris[[#This Row],[Status]],LstMachines[MoisLivr],AT$1)</f>
        <v>0</v>
      </c>
      <c r="AU261" s="219">
        <f>SUMIFS(LstMachines[Nbre],LstMachines[Model-Spec],PrévisionBoris[[#This Row],[Spec]],LstMachines[Status],PrévisionBoris[[#This Row],[Status]],LstMachines[MoisLivr],AU$1)</f>
        <v>0</v>
      </c>
      <c r="AV261" s="223">
        <f>SUMIFS(LstMachines[Nbre],LstMachines[Model-Spec],PrévisionBoris[[#This Row],[Spec]],LstMachines[Status],PrévisionBoris[[#This Row],[Status]],LstMachines[MoisLivr],AV$1)</f>
        <v>0</v>
      </c>
      <c r="AW261" s="224">
        <f>SUMIFS(LstMachines[Nbre],LstMachines[Model-Spec],PrévisionBoris[[#This Row],[Spec]],LstMachines[Status],PrévisionBoris[[#This Row],[Status]],LstMachines[MoisLivr],AW$1)</f>
        <v>0</v>
      </c>
      <c r="AX261" s="210"/>
      <c r="AY261" s="211">
        <f t="shared" si="51"/>
        <v>0</v>
      </c>
      <c r="AZ261" s="212">
        <f t="shared" si="52"/>
        <v>0</v>
      </c>
      <c r="BA261" s="212">
        <f t="shared" si="53"/>
        <v>0</v>
      </c>
      <c r="BB261" s="213">
        <f t="shared" si="54"/>
        <v>0</v>
      </c>
      <c r="BC261" s="225">
        <f t="shared" si="55"/>
        <v>0</v>
      </c>
      <c r="BD261" s="211">
        <f t="shared" si="56"/>
        <v>0</v>
      </c>
      <c r="BE261" s="212">
        <f t="shared" si="57"/>
        <v>0</v>
      </c>
      <c r="BF261" s="212">
        <f t="shared" si="58"/>
        <v>0</v>
      </c>
      <c r="BG261" s="213">
        <f t="shared" si="59"/>
        <v>0</v>
      </c>
      <c r="BH261" s="225">
        <f t="shared" si="60"/>
        <v>0</v>
      </c>
      <c r="BI261" s="214">
        <f t="shared" si="61"/>
        <v>0</v>
      </c>
      <c r="BJ261" s="215">
        <f t="shared" si="62"/>
        <v>0</v>
      </c>
      <c r="BK261" s="215">
        <f t="shared" si="63"/>
        <v>0</v>
      </c>
      <c r="BL261" s="216">
        <f t="shared" si="64"/>
        <v>0</v>
      </c>
      <c r="BM261" s="225">
        <f t="shared" si="65"/>
        <v>0</v>
      </c>
      <c r="BN261" s="225"/>
      <c r="BO261" s="217"/>
      <c r="BP261" s="218">
        <f t="shared" si="66"/>
        <v>0</v>
      </c>
    </row>
    <row r="262" spans="1:68">
      <c r="A262" s="171">
        <v>255</v>
      </c>
      <c r="B262" s="171" t="s">
        <v>85</v>
      </c>
      <c r="C262" s="201">
        <v>210</v>
      </c>
      <c r="D262" s="171" t="s">
        <v>88</v>
      </c>
      <c r="E262" s="171" t="s">
        <v>89</v>
      </c>
      <c r="F262" s="201">
        <f>VLOOKUP(PrévisionBoris[[#This Row],[Spec]],TabModelSpecs[[ModelSpec]:[Price]],2,FALSE)</f>
        <v>115</v>
      </c>
      <c r="G262" s="171" t="s">
        <v>463</v>
      </c>
      <c r="H262" s="226">
        <f>SUMIFS(LstMachines[Nbre],LstMachines[Model-Spec],PrévisionBoris[[#This Row],[Spec]],LstMachines[Status],PrévisionBoris[[#This Row],[Status]],LstMachines[MoisLivr],H$1)</f>
        <v>0</v>
      </c>
      <c r="I262" s="227">
        <f>SUMIFS(LstMachines[Nbre],LstMachines[Model-Spec],PrévisionBoris[[#This Row],[Spec]],LstMachines[Status],PrévisionBoris[[#This Row],[Status]],LstMachines[MoisLivr],I$1)</f>
        <v>0</v>
      </c>
      <c r="J262" s="228">
        <f>SUMIFS(LstMachines[Nbre],LstMachines[Model-Spec],PrévisionBoris[[#This Row],[Spec]],LstMachines[Status],PrévisionBoris[[#This Row],[Status]],LstMachines[MoisLivr],J$1)</f>
        <v>0</v>
      </c>
      <c r="K262" s="226">
        <f>SUMIFS(LstMachines[Nbre],LstMachines[Model-Spec],PrévisionBoris[[#This Row],[Spec]],LstMachines[Status],PrévisionBoris[[#This Row],[Status]],LstMachines[MoisLivr],K$1)</f>
        <v>1</v>
      </c>
      <c r="L262" s="227">
        <f>SUMIFS(LstMachines[Nbre],LstMachines[Model-Spec],PrévisionBoris[[#This Row],[Spec]],LstMachines[Status],PrévisionBoris[[#This Row],[Status]],LstMachines[MoisLivr],L$1)</f>
        <v>2</v>
      </c>
      <c r="M262" s="228">
        <f>SUMIFS(LstMachines[Nbre],LstMachines[Model-Spec],PrévisionBoris[[#This Row],[Spec]],LstMachines[Status],PrévisionBoris[[#This Row],[Status]],LstMachines[MoisLivr],M$1)</f>
        <v>1</v>
      </c>
      <c r="N262" s="226">
        <f>SUMIFS(LstMachines[Nbre],LstMachines[Model-Spec],PrévisionBoris[[#This Row],[Spec]],LstMachines[Status],PrévisionBoris[[#This Row],[Status]],LstMachines[MoisLivr],N$1)</f>
        <v>0</v>
      </c>
      <c r="O262" s="227">
        <f>SUMIFS(LstMachines[Nbre],LstMachines[Model-Spec],PrévisionBoris[[#This Row],[Spec]],LstMachines[Status],PrévisionBoris[[#This Row],[Status]],LstMachines[MoisLivr],O$1)</f>
        <v>0</v>
      </c>
      <c r="P262" s="228">
        <f>SUMIFS(LstMachines[Nbre],LstMachines[Model-Spec],PrévisionBoris[[#This Row],[Spec]],LstMachines[Status],PrévisionBoris[[#This Row],[Status]],LstMachines[MoisLivr],P$1)</f>
        <v>0</v>
      </c>
      <c r="Q262" s="229">
        <f>SUMIFS(LstMachines[Nbre],LstMachines[Model-Spec],PrévisionBoris[[#This Row],[Spec]],LstMachines[Status],PrévisionBoris[[#This Row],[Status]],LstMachines[MoisLivr],Q$1)</f>
        <v>0</v>
      </c>
      <c r="R262" s="227">
        <f>SUMIFS(LstMachines[Nbre],LstMachines[Model-Spec],PrévisionBoris[[#This Row],[Spec]],LstMachines[Status],PrévisionBoris[[#This Row],[Status]],LstMachines[MoisLivr],R$1)</f>
        <v>0</v>
      </c>
      <c r="S262" s="227">
        <f>SUMIFS(LstMachines[Nbre],LstMachines[Model-Spec],PrévisionBoris[[#This Row],[Spec]],LstMachines[Status],PrévisionBoris[[#This Row],[Status]],LstMachines[MoisLivr],S$1)</f>
        <v>0</v>
      </c>
      <c r="T262" s="226">
        <f>SUMIFS(LstMachines[Nbre],LstMachines[Model-Spec],PrévisionBoris[[#This Row],[Spec]],LstMachines[Status],PrévisionBoris[[#This Row],[Status]],LstMachines[MoisLivr],T$1)</f>
        <v>2</v>
      </c>
      <c r="U262" s="227">
        <f>SUMIFS(LstMachines[Nbre],LstMachines[Model-Spec],PrévisionBoris[[#This Row],[Spec]],LstMachines[Status],PrévisionBoris[[#This Row],[Status]],LstMachines[MoisLivr],U$1)</f>
        <v>0</v>
      </c>
      <c r="V262" s="227">
        <f>SUMIFS(LstMachines[Nbre],LstMachines[Model-Spec],PrévisionBoris[[#This Row],[Spec]],LstMachines[Status],PrévisionBoris[[#This Row],[Status]],LstMachines[MoisLivr],V$1)</f>
        <v>0</v>
      </c>
      <c r="W262" s="226">
        <f>SUMIFS(LstMachines[Nbre],LstMachines[Model-Spec],PrévisionBoris[[#This Row],[Spec]],LstMachines[Status],PrévisionBoris[[#This Row],[Status]],LstMachines[MoisLivr],W$1)</f>
        <v>0</v>
      </c>
      <c r="X262" s="227">
        <f>SUMIFS(LstMachines[Nbre],LstMachines[Model-Spec],PrévisionBoris[[#This Row],[Spec]],LstMachines[Status],PrévisionBoris[[#This Row],[Status]],LstMachines[MoisLivr],X$1)</f>
        <v>2</v>
      </c>
      <c r="Y262" s="227">
        <f>SUMIFS(LstMachines[Nbre],LstMachines[Model-Spec],PrévisionBoris[[#This Row],[Spec]],LstMachines[Status],PrévisionBoris[[#This Row],[Status]],LstMachines[MoisLivr],Y$1)</f>
        <v>1</v>
      </c>
      <c r="Z262" s="226">
        <f>SUMIFS(LstMachines[Nbre],LstMachines[Model-Spec],PrévisionBoris[[#This Row],[Spec]],LstMachines[Status],PrévisionBoris[[#This Row],[Status]],LstMachines[MoisLivr],Z$1)</f>
        <v>0</v>
      </c>
      <c r="AA262" s="227">
        <f>SUMIFS(LstMachines[Nbre],LstMachines[Model-Spec],PrévisionBoris[[#This Row],[Spec]],LstMachines[Status],PrévisionBoris[[#This Row],[Status]],LstMachines[MoisLivr],AA$1)</f>
        <v>0</v>
      </c>
      <c r="AB262" s="227">
        <f>SUMIFS(LstMachines[Nbre],LstMachines[Model-Spec],PrévisionBoris[[#This Row],[Spec]],LstMachines[Status],PrévisionBoris[[#This Row],[Status]],LstMachines[MoisLivr],AB$1)</f>
        <v>0</v>
      </c>
      <c r="AC262" s="226">
        <f>SUMIFS(LstMachines[Nbre],LstMachines[Model-Spec],PrévisionBoris[[#This Row],[Spec]],LstMachines[Status],PrévisionBoris[[#This Row],[Status]],LstMachines[MoisLivr],AC$1)</f>
        <v>0</v>
      </c>
      <c r="AD262" s="227">
        <f>SUMIFS(LstMachines[Nbre],LstMachines[Model-Spec],PrévisionBoris[[#This Row],[Spec]],LstMachines[Status],PrévisionBoris[[#This Row],[Status]],LstMachines[MoisLivr],AD$1)</f>
        <v>0</v>
      </c>
      <c r="AE262" s="227">
        <f>SUMIFS(LstMachines[Nbre],LstMachines[Model-Spec],PrévisionBoris[[#This Row],[Spec]],LstMachines[Status],PrévisionBoris[[#This Row],[Status]],LstMachines[MoisLivr],AE$1)</f>
        <v>0</v>
      </c>
      <c r="AF262" s="226">
        <f>SUMIFS(LstMachines[Nbre],LstMachines[Model-Spec],PrévisionBoris[[#This Row],[Spec]],LstMachines[Status],PrévisionBoris[[#This Row],[Status]],LstMachines[MoisLivr],AF$1)</f>
        <v>0</v>
      </c>
      <c r="AG262" s="227">
        <f>SUMIFS(LstMachines[Nbre],LstMachines[Model-Spec],PrévisionBoris[[#This Row],[Spec]],LstMachines[Status],PrévisionBoris[[#This Row],[Status]],LstMachines[MoisLivr],AG$1)</f>
        <v>0</v>
      </c>
      <c r="AH262" s="227">
        <f>SUMIFS(LstMachines[Nbre],LstMachines[Model-Spec],PrévisionBoris[[#This Row],[Spec]],LstMachines[Status],PrévisionBoris[[#This Row],[Status]],LstMachines[MoisLivr],AH$1)</f>
        <v>0</v>
      </c>
      <c r="AI262" s="226">
        <f>SUMIFS(LstMachines[Nbre],LstMachines[Model-Spec],PrévisionBoris[[#This Row],[Spec]],LstMachines[Status],PrévisionBoris[[#This Row],[Status]],LstMachines[MoisLivr],AI$1)</f>
        <v>0</v>
      </c>
      <c r="AJ262" s="227">
        <f>SUMIFS(LstMachines[Nbre],LstMachines[Model-Spec],PrévisionBoris[[#This Row],[Spec]],LstMachines[Status],PrévisionBoris[[#This Row],[Status]],LstMachines[MoisLivr],AJ$1)</f>
        <v>0</v>
      </c>
      <c r="AK262" s="227">
        <f>SUMIFS(LstMachines[Nbre],LstMachines[Model-Spec],PrévisionBoris[[#This Row],[Spec]],LstMachines[Status],PrévisionBoris[[#This Row],[Status]],LstMachines[MoisLivr],AK$1)</f>
        <v>0</v>
      </c>
      <c r="AL262" s="226">
        <f>SUMIFS(LstMachines[Nbre],LstMachines[Model-Spec],PrévisionBoris[[#This Row],[Spec]],LstMachines[Status],PrévisionBoris[[#This Row],[Status]],LstMachines[MoisLivr],AL$1)</f>
        <v>0</v>
      </c>
      <c r="AM262" s="227">
        <f>SUMIFS(LstMachines[Nbre],LstMachines[Model-Spec],PrévisionBoris[[#This Row],[Spec]],LstMachines[Status],PrévisionBoris[[#This Row],[Status]],LstMachines[MoisLivr],AM$1)</f>
        <v>0</v>
      </c>
      <c r="AN262" s="227">
        <f>SUMIFS(LstMachines[Nbre],LstMachines[Model-Spec],PrévisionBoris[[#This Row],[Spec]],LstMachines[Status],PrévisionBoris[[#This Row],[Status]],LstMachines[MoisLivr],AN$1)</f>
        <v>0</v>
      </c>
      <c r="AO262" s="226">
        <f>SUMIFS(LstMachines[Nbre],LstMachines[Model-Spec],PrévisionBoris[[#This Row],[Spec]],LstMachines[Status],PrévisionBoris[[#This Row],[Status]],LstMachines[MoisLivr],AO$1)</f>
        <v>0</v>
      </c>
      <c r="AP262" s="227">
        <f>SUMIFS(LstMachines[Nbre],LstMachines[Model-Spec],PrévisionBoris[[#This Row],[Spec]],LstMachines[Status],PrévisionBoris[[#This Row],[Status]],LstMachines[MoisLivr],AP$1)</f>
        <v>0</v>
      </c>
      <c r="AQ262" s="227">
        <f>SUMIFS(LstMachines[Nbre],LstMachines[Model-Spec],PrévisionBoris[[#This Row],[Spec]],LstMachines[Status],PrévisionBoris[[#This Row],[Status]],LstMachines[MoisLivr],AQ$1)</f>
        <v>0</v>
      </c>
      <c r="AR262" s="226">
        <f>SUMIFS(LstMachines[Nbre],LstMachines[Model-Spec],PrévisionBoris[[#This Row],[Spec]],LstMachines[Status],PrévisionBoris[[#This Row],[Status]],LstMachines[MoisLivr],AR$1)</f>
        <v>0</v>
      </c>
      <c r="AS262" s="227">
        <f>SUMIFS(LstMachines[Nbre],LstMachines[Model-Spec],PrévisionBoris[[#This Row],[Spec]],LstMachines[Status],PrévisionBoris[[#This Row],[Status]],LstMachines[MoisLivr],AS$1)</f>
        <v>0</v>
      </c>
      <c r="AT262" s="227">
        <f>SUMIFS(LstMachines[Nbre],LstMachines[Model-Spec],PrévisionBoris[[#This Row],[Spec]],LstMachines[Status],PrévisionBoris[[#This Row],[Status]],LstMachines[MoisLivr],AT$1)</f>
        <v>0</v>
      </c>
      <c r="AU262" s="226">
        <f>SUMIFS(LstMachines[Nbre],LstMachines[Model-Spec],PrévisionBoris[[#This Row],[Spec]],LstMachines[Status],PrévisionBoris[[#This Row],[Status]],LstMachines[MoisLivr],AU$1)</f>
        <v>0</v>
      </c>
      <c r="AV262" s="230">
        <f>SUMIFS(LstMachines[Nbre],LstMachines[Model-Spec],PrévisionBoris[[#This Row],[Spec]],LstMachines[Status],PrévisionBoris[[#This Row],[Status]],LstMachines[MoisLivr],AV$1)</f>
        <v>0</v>
      </c>
      <c r="AW262" s="231">
        <f>SUMIFS(LstMachines[Nbre],LstMachines[Model-Spec],PrévisionBoris[[#This Row],[Spec]],LstMachines[Status],PrévisionBoris[[#This Row],[Status]],LstMachines[MoisLivr],AW$1)</f>
        <v>0</v>
      </c>
      <c r="AX262" s="232"/>
      <c r="AY262" s="211">
        <f t="shared" si="51"/>
        <v>4</v>
      </c>
      <c r="AZ262" s="212">
        <f t="shared" si="52"/>
        <v>0</v>
      </c>
      <c r="BA262" s="212">
        <f t="shared" si="53"/>
        <v>0</v>
      </c>
      <c r="BB262" s="213">
        <f t="shared" si="54"/>
        <v>2</v>
      </c>
      <c r="BC262" s="225">
        <f t="shared" si="55"/>
        <v>6</v>
      </c>
      <c r="BD262" s="211">
        <f t="shared" si="56"/>
        <v>3</v>
      </c>
      <c r="BE262" s="212">
        <f t="shared" si="57"/>
        <v>0</v>
      </c>
      <c r="BF262" s="212">
        <f t="shared" si="58"/>
        <v>0</v>
      </c>
      <c r="BG262" s="213">
        <f t="shared" si="59"/>
        <v>0</v>
      </c>
      <c r="BH262" s="225">
        <f t="shared" si="60"/>
        <v>3</v>
      </c>
      <c r="BI262" s="214">
        <f t="shared" si="61"/>
        <v>0</v>
      </c>
      <c r="BJ262" s="215">
        <f t="shared" si="62"/>
        <v>0</v>
      </c>
      <c r="BK262" s="215">
        <f t="shared" si="63"/>
        <v>0</v>
      </c>
      <c r="BL262" s="216">
        <f t="shared" si="64"/>
        <v>0</v>
      </c>
      <c r="BM262" s="225">
        <f t="shared" si="65"/>
        <v>0</v>
      </c>
      <c r="BN262" s="225"/>
      <c r="BO262" s="217"/>
      <c r="BP262" s="218">
        <f t="shared" si="66"/>
        <v>9</v>
      </c>
    </row>
    <row r="263" spans="1:68">
      <c r="A263" s="172">
        <v>256</v>
      </c>
      <c r="B263" s="172" t="s">
        <v>85</v>
      </c>
      <c r="C263" s="202">
        <v>225</v>
      </c>
      <c r="D263" s="172" t="s">
        <v>202</v>
      </c>
      <c r="E263" s="172" t="s">
        <v>203</v>
      </c>
      <c r="F263" s="202">
        <f>VLOOKUP(PrévisionBoris[[#This Row],[Spec]],TabModelSpecs[[ModelSpec]:[Price]],2,FALSE)</f>
        <v>130</v>
      </c>
      <c r="G263" s="172" t="s">
        <v>461</v>
      </c>
      <c r="H263" s="206">
        <f>SUMIFS(LstMachines[Nbre],LstMachines[Model-Spec],PrévisionBoris[[#This Row],[Spec]],LstMachines[Status],PrévisionBoris[[#This Row],[Status]],LstMachines[MoisLivr],H$1)</f>
        <v>0</v>
      </c>
      <c r="I263" s="207">
        <f>SUMIFS(LstMachines[Nbre],LstMachines[Model-Spec],PrévisionBoris[[#This Row],[Spec]],LstMachines[Status],PrévisionBoris[[#This Row],[Status]],LstMachines[MoisLivr],I$1)</f>
        <v>0</v>
      </c>
      <c r="J263" s="208">
        <f>SUMIFS(LstMachines[Nbre],LstMachines[Model-Spec],PrévisionBoris[[#This Row],[Spec]],LstMachines[Status],PrévisionBoris[[#This Row],[Status]],LstMachines[MoisLivr],J$1)</f>
        <v>0</v>
      </c>
      <c r="K263" s="206">
        <f>SUMIFS(LstMachines[Nbre],LstMachines[Model-Spec],PrévisionBoris[[#This Row],[Spec]],LstMachines[Status],PrévisionBoris[[#This Row],[Status]],LstMachines[MoisLivr],K$1)</f>
        <v>0</v>
      </c>
      <c r="L263" s="207">
        <f>SUMIFS(LstMachines[Nbre],LstMachines[Model-Spec],PrévisionBoris[[#This Row],[Spec]],LstMachines[Status],PrévisionBoris[[#This Row],[Status]],LstMachines[MoisLivr],L$1)</f>
        <v>0</v>
      </c>
      <c r="M263" s="208">
        <f>SUMIFS(LstMachines[Nbre],LstMachines[Model-Spec],PrévisionBoris[[#This Row],[Spec]],LstMachines[Status],PrévisionBoris[[#This Row],[Status]],LstMachines[MoisLivr],M$1)</f>
        <v>0</v>
      </c>
      <c r="N263" s="206">
        <f>SUMIFS(LstMachines[Nbre],LstMachines[Model-Spec],PrévisionBoris[[#This Row],[Spec]],LstMachines[Status],PrévisionBoris[[#This Row],[Status]],LstMachines[MoisLivr],N$1)</f>
        <v>0</v>
      </c>
      <c r="O263" s="207">
        <f>SUMIFS(LstMachines[Nbre],LstMachines[Model-Spec],PrévisionBoris[[#This Row],[Spec]],LstMachines[Status],PrévisionBoris[[#This Row],[Status]],LstMachines[MoisLivr],O$1)</f>
        <v>0</v>
      </c>
      <c r="P263" s="208">
        <f>SUMIFS(LstMachines[Nbre],LstMachines[Model-Spec],PrévisionBoris[[#This Row],[Spec]],LstMachines[Status],PrévisionBoris[[#This Row],[Status]],LstMachines[MoisLivr],P$1)</f>
        <v>0</v>
      </c>
      <c r="Q263" s="209">
        <f>SUMIFS(LstMachines[Nbre],LstMachines[Model-Spec],PrévisionBoris[[#This Row],[Spec]],LstMachines[Status],PrévisionBoris[[#This Row],[Status]],LstMachines[MoisLivr],Q$1)</f>
        <v>0</v>
      </c>
      <c r="R263" s="207">
        <f>SUMIFS(LstMachines[Nbre],LstMachines[Model-Spec],PrévisionBoris[[#This Row],[Spec]],LstMachines[Status],PrévisionBoris[[#This Row],[Status]],LstMachines[MoisLivr],R$1)</f>
        <v>0</v>
      </c>
      <c r="S263" s="207">
        <f>SUMIFS(LstMachines[Nbre],LstMachines[Model-Spec],PrévisionBoris[[#This Row],[Spec]],LstMachines[Status],PrévisionBoris[[#This Row],[Status]],LstMachines[MoisLivr],S$1)</f>
        <v>0</v>
      </c>
      <c r="T263" s="206">
        <f>SUMIFS(LstMachines[Nbre],LstMachines[Model-Spec],PrévisionBoris[[#This Row],[Spec]],LstMachines[Status],PrévisionBoris[[#This Row],[Status]],LstMachines[MoisLivr],T$1)</f>
        <v>0</v>
      </c>
      <c r="U263" s="207">
        <f>SUMIFS(LstMachines[Nbre],LstMachines[Model-Spec],PrévisionBoris[[#This Row],[Spec]],LstMachines[Status],PrévisionBoris[[#This Row],[Status]],LstMachines[MoisLivr],U$1)</f>
        <v>0</v>
      </c>
      <c r="V263" s="207">
        <f>SUMIFS(LstMachines[Nbre],LstMachines[Model-Spec],PrévisionBoris[[#This Row],[Spec]],LstMachines[Status],PrévisionBoris[[#This Row],[Status]],LstMachines[MoisLivr],V$1)</f>
        <v>0</v>
      </c>
      <c r="W263" s="206">
        <f>SUMIFS(LstMachines[Nbre],LstMachines[Model-Spec],PrévisionBoris[[#This Row],[Spec]],LstMachines[Status],PrévisionBoris[[#This Row],[Status]],LstMachines[MoisLivr],W$1)</f>
        <v>0</v>
      </c>
      <c r="X263" s="207">
        <f>SUMIFS(LstMachines[Nbre],LstMachines[Model-Spec],PrévisionBoris[[#This Row],[Spec]],LstMachines[Status],PrévisionBoris[[#This Row],[Status]],LstMachines[MoisLivr],X$1)</f>
        <v>0</v>
      </c>
      <c r="Y263" s="207">
        <f>SUMIFS(LstMachines[Nbre],LstMachines[Model-Spec],PrévisionBoris[[#This Row],[Spec]],LstMachines[Status],PrévisionBoris[[#This Row],[Status]],LstMachines[MoisLivr],Y$1)</f>
        <v>0</v>
      </c>
      <c r="Z263" s="206">
        <f>SUMIFS(LstMachines[Nbre],LstMachines[Model-Spec],PrévisionBoris[[#This Row],[Spec]],LstMachines[Status],PrévisionBoris[[#This Row],[Status]],LstMachines[MoisLivr],Z$1)</f>
        <v>0</v>
      </c>
      <c r="AA263" s="207">
        <f>SUMIFS(LstMachines[Nbre],LstMachines[Model-Spec],PrévisionBoris[[#This Row],[Spec]],LstMachines[Status],PrévisionBoris[[#This Row],[Status]],LstMachines[MoisLivr],AA$1)</f>
        <v>0</v>
      </c>
      <c r="AB263" s="207">
        <f>SUMIFS(LstMachines[Nbre],LstMachines[Model-Spec],PrévisionBoris[[#This Row],[Spec]],LstMachines[Status],PrévisionBoris[[#This Row],[Status]],LstMachines[MoisLivr],AB$1)</f>
        <v>0</v>
      </c>
      <c r="AC263" s="206">
        <f>SUMIFS(LstMachines[Nbre],LstMachines[Model-Spec],PrévisionBoris[[#This Row],[Spec]],LstMachines[Status],PrévisionBoris[[#This Row],[Status]],LstMachines[MoisLivr],AC$1)</f>
        <v>0</v>
      </c>
      <c r="AD263" s="207">
        <f>SUMIFS(LstMachines[Nbre],LstMachines[Model-Spec],PrévisionBoris[[#This Row],[Spec]],LstMachines[Status],PrévisionBoris[[#This Row],[Status]],LstMachines[MoisLivr],AD$1)</f>
        <v>0</v>
      </c>
      <c r="AE263" s="207">
        <f>SUMIFS(LstMachines[Nbre],LstMachines[Model-Spec],PrévisionBoris[[#This Row],[Spec]],LstMachines[Status],PrévisionBoris[[#This Row],[Status]],LstMachines[MoisLivr],AE$1)</f>
        <v>0</v>
      </c>
      <c r="AF263" s="206">
        <f>SUMIFS(LstMachines[Nbre],LstMachines[Model-Spec],PrévisionBoris[[#This Row],[Spec]],LstMachines[Status],PrévisionBoris[[#This Row],[Status]],LstMachines[MoisLivr],AF$1)</f>
        <v>0</v>
      </c>
      <c r="AG263" s="207">
        <f>SUMIFS(LstMachines[Nbre],LstMachines[Model-Spec],PrévisionBoris[[#This Row],[Spec]],LstMachines[Status],PrévisionBoris[[#This Row],[Status]],LstMachines[MoisLivr],AG$1)</f>
        <v>0</v>
      </c>
      <c r="AH263" s="207">
        <f>SUMIFS(LstMachines[Nbre],LstMachines[Model-Spec],PrévisionBoris[[#This Row],[Spec]],LstMachines[Status],PrévisionBoris[[#This Row],[Status]],LstMachines[MoisLivr],AH$1)</f>
        <v>0</v>
      </c>
      <c r="AI263" s="206">
        <f>SUMIFS(LstMachines[Nbre],LstMachines[Model-Spec],PrévisionBoris[[#This Row],[Spec]],LstMachines[Status],PrévisionBoris[[#This Row],[Status]],LstMachines[MoisLivr],AI$1)</f>
        <v>0</v>
      </c>
      <c r="AJ263" s="207">
        <f>SUMIFS(LstMachines[Nbre],LstMachines[Model-Spec],PrévisionBoris[[#This Row],[Spec]],LstMachines[Status],PrévisionBoris[[#This Row],[Status]],LstMachines[MoisLivr],AJ$1)</f>
        <v>0</v>
      </c>
      <c r="AK263" s="207">
        <f>SUMIFS(LstMachines[Nbre],LstMachines[Model-Spec],PrévisionBoris[[#This Row],[Spec]],LstMachines[Status],PrévisionBoris[[#This Row],[Status]],LstMachines[MoisLivr],AK$1)</f>
        <v>0</v>
      </c>
      <c r="AL263" s="206">
        <f>SUMIFS(LstMachines[Nbre],LstMachines[Model-Spec],PrévisionBoris[[#This Row],[Spec]],LstMachines[Status],PrévisionBoris[[#This Row],[Status]],LstMachines[MoisLivr],AL$1)</f>
        <v>0</v>
      </c>
      <c r="AM263" s="207">
        <f>SUMIFS(LstMachines[Nbre],LstMachines[Model-Spec],PrévisionBoris[[#This Row],[Spec]],LstMachines[Status],PrévisionBoris[[#This Row],[Status]],LstMachines[MoisLivr],AM$1)</f>
        <v>0</v>
      </c>
      <c r="AN263" s="207">
        <f>SUMIFS(LstMachines[Nbre],LstMachines[Model-Spec],PrévisionBoris[[#This Row],[Spec]],LstMachines[Status],PrévisionBoris[[#This Row],[Status]],LstMachines[MoisLivr],AN$1)</f>
        <v>0</v>
      </c>
      <c r="AO263" s="206">
        <f>SUMIFS(LstMachines[Nbre],LstMachines[Model-Spec],PrévisionBoris[[#This Row],[Spec]],LstMachines[Status],PrévisionBoris[[#This Row],[Status]],LstMachines[MoisLivr],AO$1)</f>
        <v>0</v>
      </c>
      <c r="AP263" s="207">
        <f>SUMIFS(LstMachines[Nbre],LstMachines[Model-Spec],PrévisionBoris[[#This Row],[Spec]],LstMachines[Status],PrévisionBoris[[#This Row],[Status]],LstMachines[MoisLivr],AP$1)</f>
        <v>0</v>
      </c>
      <c r="AQ263" s="207">
        <f>SUMIFS(LstMachines[Nbre],LstMachines[Model-Spec],PrévisionBoris[[#This Row],[Spec]],LstMachines[Status],PrévisionBoris[[#This Row],[Status]],LstMachines[MoisLivr],AQ$1)</f>
        <v>0</v>
      </c>
      <c r="AR263" s="206">
        <f>SUMIFS(LstMachines[Nbre],LstMachines[Model-Spec],PrévisionBoris[[#This Row],[Spec]],LstMachines[Status],PrévisionBoris[[#This Row],[Status]],LstMachines[MoisLivr],AR$1)</f>
        <v>0</v>
      </c>
      <c r="AS263" s="207">
        <f>SUMIFS(LstMachines[Nbre],LstMachines[Model-Spec],PrévisionBoris[[#This Row],[Spec]],LstMachines[Status],PrévisionBoris[[#This Row],[Status]],LstMachines[MoisLivr],AS$1)</f>
        <v>0</v>
      </c>
      <c r="AT263" s="207">
        <f>SUMIFS(LstMachines[Nbre],LstMachines[Model-Spec],PrévisionBoris[[#This Row],[Spec]],LstMachines[Status],PrévisionBoris[[#This Row],[Status]],LstMachines[MoisLivr],AT$1)</f>
        <v>0</v>
      </c>
      <c r="AU263" s="206">
        <f>SUMIFS(LstMachines[Nbre],LstMachines[Model-Spec],PrévisionBoris[[#This Row],[Spec]],LstMachines[Status],PrévisionBoris[[#This Row],[Status]],LstMachines[MoisLivr],AU$1)</f>
        <v>0</v>
      </c>
      <c r="AV263" s="233">
        <f>SUMIFS(LstMachines[Nbre],LstMachines[Model-Spec],PrévisionBoris[[#This Row],[Spec]],LstMachines[Status],PrévisionBoris[[#This Row],[Status]],LstMachines[MoisLivr],AV$1)</f>
        <v>0</v>
      </c>
      <c r="AW263" s="208">
        <f>SUMIFS(LstMachines[Nbre],LstMachines[Model-Spec],PrévisionBoris[[#This Row],[Spec]],LstMachines[Status],PrévisionBoris[[#This Row],[Status]],LstMachines[MoisLivr],AW$1)</f>
        <v>0</v>
      </c>
      <c r="AX263" s="225"/>
      <c r="AY263" s="211">
        <f t="shared" si="51"/>
        <v>0</v>
      </c>
      <c r="AZ263" s="212">
        <f t="shared" si="52"/>
        <v>0</v>
      </c>
      <c r="BA263" s="212">
        <f t="shared" si="53"/>
        <v>0</v>
      </c>
      <c r="BB263" s="213">
        <f t="shared" si="54"/>
        <v>0</v>
      </c>
      <c r="BC263" s="225">
        <f t="shared" si="55"/>
        <v>0</v>
      </c>
      <c r="BD263" s="211">
        <f t="shared" si="56"/>
        <v>0</v>
      </c>
      <c r="BE263" s="212">
        <f t="shared" si="57"/>
        <v>0</v>
      </c>
      <c r="BF263" s="212">
        <f t="shared" si="58"/>
        <v>0</v>
      </c>
      <c r="BG263" s="213">
        <f t="shared" si="59"/>
        <v>0</v>
      </c>
      <c r="BH263" s="225">
        <f t="shared" si="60"/>
        <v>0</v>
      </c>
      <c r="BI263" s="214">
        <f t="shared" si="61"/>
        <v>0</v>
      </c>
      <c r="BJ263" s="215">
        <f t="shared" si="62"/>
        <v>0</v>
      </c>
      <c r="BK263" s="215">
        <f t="shared" si="63"/>
        <v>0</v>
      </c>
      <c r="BL263" s="216">
        <f t="shared" si="64"/>
        <v>0</v>
      </c>
      <c r="BM263" s="225">
        <f t="shared" si="65"/>
        <v>0</v>
      </c>
      <c r="BN263" s="225"/>
      <c r="BO263" s="234"/>
      <c r="BP263" s="218">
        <f t="shared" si="66"/>
        <v>0</v>
      </c>
    </row>
    <row r="264" spans="1:68">
      <c r="A264" s="170">
        <v>257</v>
      </c>
      <c r="B264" s="170" t="s">
        <v>85</v>
      </c>
      <c r="C264" s="200">
        <v>225</v>
      </c>
      <c r="D264" s="170" t="s">
        <v>202</v>
      </c>
      <c r="E264" s="170" t="s">
        <v>203</v>
      </c>
      <c r="F264" s="200">
        <f>VLOOKUP(PrévisionBoris[[#This Row],[Spec]],TabModelSpecs[[ModelSpec]:[Price]],2,FALSE)</f>
        <v>130</v>
      </c>
      <c r="G264" s="170" t="s">
        <v>462</v>
      </c>
      <c r="H264" s="219">
        <f>SUMIFS(LstMachines[Nbre],LstMachines[Model-Spec],PrévisionBoris[[#This Row],[Spec]],LstMachines[Status],PrévisionBoris[[#This Row],[Status]],LstMachines[MoisLivr],H$1)</f>
        <v>0</v>
      </c>
      <c r="I264" s="220">
        <f>SUMIFS(LstMachines[Nbre],LstMachines[Model-Spec],PrévisionBoris[[#This Row],[Spec]],LstMachines[Status],PrévisionBoris[[#This Row],[Status]],LstMachines[MoisLivr],I$1)</f>
        <v>0</v>
      </c>
      <c r="J264" s="221">
        <f>SUMIFS(LstMachines[Nbre],LstMachines[Model-Spec],PrévisionBoris[[#This Row],[Spec]],LstMachines[Status],PrévisionBoris[[#This Row],[Status]],LstMachines[MoisLivr],J$1)</f>
        <v>0</v>
      </c>
      <c r="K264" s="219">
        <f>SUMIFS(LstMachines[Nbre],LstMachines[Model-Spec],PrévisionBoris[[#This Row],[Spec]],LstMachines[Status],PrévisionBoris[[#This Row],[Status]],LstMachines[MoisLivr],K$1)</f>
        <v>0</v>
      </c>
      <c r="L264" s="220">
        <f>SUMIFS(LstMachines[Nbre],LstMachines[Model-Spec],PrévisionBoris[[#This Row],[Spec]],LstMachines[Status],PrévisionBoris[[#This Row],[Status]],LstMachines[MoisLivr],L$1)</f>
        <v>0</v>
      </c>
      <c r="M264" s="221">
        <f>SUMIFS(LstMachines[Nbre],LstMachines[Model-Spec],PrévisionBoris[[#This Row],[Spec]],LstMachines[Status],PrévisionBoris[[#This Row],[Status]],LstMachines[MoisLivr],M$1)</f>
        <v>0</v>
      </c>
      <c r="N264" s="219">
        <f>SUMIFS(LstMachines[Nbre],LstMachines[Model-Spec],PrévisionBoris[[#This Row],[Spec]],LstMachines[Status],PrévisionBoris[[#This Row],[Status]],LstMachines[MoisLivr],N$1)</f>
        <v>0</v>
      </c>
      <c r="O264" s="220">
        <f>SUMIFS(LstMachines[Nbre],LstMachines[Model-Spec],PrévisionBoris[[#This Row],[Spec]],LstMachines[Status],PrévisionBoris[[#This Row],[Status]],LstMachines[MoisLivr],O$1)</f>
        <v>0</v>
      </c>
      <c r="P264" s="221">
        <f>SUMIFS(LstMachines[Nbre],LstMachines[Model-Spec],PrévisionBoris[[#This Row],[Spec]],LstMachines[Status],PrévisionBoris[[#This Row],[Status]],LstMachines[MoisLivr],P$1)</f>
        <v>0</v>
      </c>
      <c r="Q264" s="222">
        <f>SUMIFS(LstMachines[Nbre],LstMachines[Model-Spec],PrévisionBoris[[#This Row],[Spec]],LstMachines[Status],PrévisionBoris[[#This Row],[Status]],LstMachines[MoisLivr],Q$1)</f>
        <v>0</v>
      </c>
      <c r="R264" s="220">
        <f>SUMIFS(LstMachines[Nbre],LstMachines[Model-Spec],PrévisionBoris[[#This Row],[Spec]],LstMachines[Status],PrévisionBoris[[#This Row],[Status]],LstMachines[MoisLivr],R$1)</f>
        <v>0</v>
      </c>
      <c r="S264" s="220">
        <f>SUMIFS(LstMachines[Nbre],LstMachines[Model-Spec],PrévisionBoris[[#This Row],[Spec]],LstMachines[Status],PrévisionBoris[[#This Row],[Status]],LstMachines[MoisLivr],S$1)</f>
        <v>0</v>
      </c>
      <c r="T264" s="219">
        <f>SUMIFS(LstMachines[Nbre],LstMachines[Model-Spec],PrévisionBoris[[#This Row],[Spec]],LstMachines[Status],PrévisionBoris[[#This Row],[Status]],LstMachines[MoisLivr],T$1)</f>
        <v>0</v>
      </c>
      <c r="U264" s="220">
        <f>SUMIFS(LstMachines[Nbre],LstMachines[Model-Spec],PrévisionBoris[[#This Row],[Spec]],LstMachines[Status],PrévisionBoris[[#This Row],[Status]],LstMachines[MoisLivr],U$1)</f>
        <v>0</v>
      </c>
      <c r="V264" s="220">
        <f>SUMIFS(LstMachines[Nbre],LstMachines[Model-Spec],PrévisionBoris[[#This Row],[Spec]],LstMachines[Status],PrévisionBoris[[#This Row],[Status]],LstMachines[MoisLivr],V$1)</f>
        <v>0</v>
      </c>
      <c r="W264" s="219">
        <f>SUMIFS(LstMachines[Nbre],LstMachines[Model-Spec],PrévisionBoris[[#This Row],[Spec]],LstMachines[Status],PrévisionBoris[[#This Row],[Status]],LstMachines[MoisLivr],W$1)</f>
        <v>0</v>
      </c>
      <c r="X264" s="220">
        <f>SUMIFS(LstMachines[Nbre],LstMachines[Model-Spec],PrévisionBoris[[#This Row],[Spec]],LstMachines[Status],PrévisionBoris[[#This Row],[Status]],LstMachines[MoisLivr],X$1)</f>
        <v>0</v>
      </c>
      <c r="Y264" s="220">
        <f>SUMIFS(LstMachines[Nbre],LstMachines[Model-Spec],PrévisionBoris[[#This Row],[Spec]],LstMachines[Status],PrévisionBoris[[#This Row],[Status]],LstMachines[MoisLivr],Y$1)</f>
        <v>0</v>
      </c>
      <c r="Z264" s="219">
        <f>SUMIFS(LstMachines[Nbre],LstMachines[Model-Spec],PrévisionBoris[[#This Row],[Spec]],LstMachines[Status],PrévisionBoris[[#This Row],[Status]],LstMachines[MoisLivr],Z$1)</f>
        <v>0</v>
      </c>
      <c r="AA264" s="220">
        <f>SUMIFS(LstMachines[Nbre],LstMachines[Model-Spec],PrévisionBoris[[#This Row],[Spec]],LstMachines[Status],PrévisionBoris[[#This Row],[Status]],LstMachines[MoisLivr],AA$1)</f>
        <v>0</v>
      </c>
      <c r="AB264" s="220">
        <f>SUMIFS(LstMachines[Nbre],LstMachines[Model-Spec],PrévisionBoris[[#This Row],[Spec]],LstMachines[Status],PrévisionBoris[[#This Row],[Status]],LstMachines[MoisLivr],AB$1)</f>
        <v>0</v>
      </c>
      <c r="AC264" s="219">
        <f>SUMIFS(LstMachines[Nbre],LstMachines[Model-Spec],PrévisionBoris[[#This Row],[Spec]],LstMachines[Status],PrévisionBoris[[#This Row],[Status]],LstMachines[MoisLivr],AC$1)</f>
        <v>0</v>
      </c>
      <c r="AD264" s="220">
        <f>SUMIFS(LstMachines[Nbre],LstMachines[Model-Spec],PrévisionBoris[[#This Row],[Spec]],LstMachines[Status],PrévisionBoris[[#This Row],[Status]],LstMachines[MoisLivr],AD$1)</f>
        <v>0</v>
      </c>
      <c r="AE264" s="220">
        <f>SUMIFS(LstMachines[Nbre],LstMachines[Model-Spec],PrévisionBoris[[#This Row],[Spec]],LstMachines[Status],PrévisionBoris[[#This Row],[Status]],LstMachines[MoisLivr],AE$1)</f>
        <v>0</v>
      </c>
      <c r="AF264" s="219">
        <f>SUMIFS(LstMachines[Nbre],LstMachines[Model-Spec],PrévisionBoris[[#This Row],[Spec]],LstMachines[Status],PrévisionBoris[[#This Row],[Status]],LstMachines[MoisLivr],AF$1)</f>
        <v>0</v>
      </c>
      <c r="AG264" s="220">
        <f>SUMIFS(LstMachines[Nbre],LstMachines[Model-Spec],PrévisionBoris[[#This Row],[Spec]],LstMachines[Status],PrévisionBoris[[#This Row],[Status]],LstMachines[MoisLivr],AG$1)</f>
        <v>0</v>
      </c>
      <c r="AH264" s="220">
        <f>SUMIFS(LstMachines[Nbre],LstMachines[Model-Spec],PrévisionBoris[[#This Row],[Spec]],LstMachines[Status],PrévisionBoris[[#This Row],[Status]],LstMachines[MoisLivr],AH$1)</f>
        <v>0</v>
      </c>
      <c r="AI264" s="219">
        <f>SUMIFS(LstMachines[Nbre],LstMachines[Model-Spec],PrévisionBoris[[#This Row],[Spec]],LstMachines[Status],PrévisionBoris[[#This Row],[Status]],LstMachines[MoisLivr],AI$1)</f>
        <v>0</v>
      </c>
      <c r="AJ264" s="220">
        <f>SUMIFS(LstMachines[Nbre],LstMachines[Model-Spec],PrévisionBoris[[#This Row],[Spec]],LstMachines[Status],PrévisionBoris[[#This Row],[Status]],LstMachines[MoisLivr],AJ$1)</f>
        <v>0</v>
      </c>
      <c r="AK264" s="220">
        <f>SUMIFS(LstMachines[Nbre],LstMachines[Model-Spec],PrévisionBoris[[#This Row],[Spec]],LstMachines[Status],PrévisionBoris[[#This Row],[Status]],LstMachines[MoisLivr],AK$1)</f>
        <v>0</v>
      </c>
      <c r="AL264" s="219">
        <f>SUMIFS(LstMachines[Nbre],LstMachines[Model-Spec],PrévisionBoris[[#This Row],[Spec]],LstMachines[Status],PrévisionBoris[[#This Row],[Status]],LstMachines[MoisLivr],AL$1)</f>
        <v>0</v>
      </c>
      <c r="AM264" s="220">
        <f>SUMIFS(LstMachines[Nbre],LstMachines[Model-Spec],PrévisionBoris[[#This Row],[Spec]],LstMachines[Status],PrévisionBoris[[#This Row],[Status]],LstMachines[MoisLivr],AM$1)</f>
        <v>0</v>
      </c>
      <c r="AN264" s="220">
        <f>SUMIFS(LstMachines[Nbre],LstMachines[Model-Spec],PrévisionBoris[[#This Row],[Spec]],LstMachines[Status],PrévisionBoris[[#This Row],[Status]],LstMachines[MoisLivr],AN$1)</f>
        <v>0</v>
      </c>
      <c r="AO264" s="219">
        <f>SUMIFS(LstMachines[Nbre],LstMachines[Model-Spec],PrévisionBoris[[#This Row],[Spec]],LstMachines[Status],PrévisionBoris[[#This Row],[Status]],LstMachines[MoisLivr],AO$1)</f>
        <v>0</v>
      </c>
      <c r="AP264" s="220">
        <f>SUMIFS(LstMachines[Nbre],LstMachines[Model-Spec],PrévisionBoris[[#This Row],[Spec]],LstMachines[Status],PrévisionBoris[[#This Row],[Status]],LstMachines[MoisLivr],AP$1)</f>
        <v>0</v>
      </c>
      <c r="AQ264" s="220">
        <f>SUMIFS(LstMachines[Nbre],LstMachines[Model-Spec],PrévisionBoris[[#This Row],[Spec]],LstMachines[Status],PrévisionBoris[[#This Row],[Status]],LstMachines[MoisLivr],AQ$1)</f>
        <v>0</v>
      </c>
      <c r="AR264" s="219">
        <f>SUMIFS(LstMachines[Nbre],LstMachines[Model-Spec],PrévisionBoris[[#This Row],[Spec]],LstMachines[Status],PrévisionBoris[[#This Row],[Status]],LstMachines[MoisLivr],AR$1)</f>
        <v>0</v>
      </c>
      <c r="AS264" s="220">
        <f>SUMIFS(LstMachines[Nbre],LstMachines[Model-Spec],PrévisionBoris[[#This Row],[Spec]],LstMachines[Status],PrévisionBoris[[#This Row],[Status]],LstMachines[MoisLivr],AS$1)</f>
        <v>0</v>
      </c>
      <c r="AT264" s="220">
        <f>SUMIFS(LstMachines[Nbre],LstMachines[Model-Spec],PrévisionBoris[[#This Row],[Spec]],LstMachines[Status],PrévisionBoris[[#This Row],[Status]],LstMachines[MoisLivr],AT$1)</f>
        <v>0</v>
      </c>
      <c r="AU264" s="219">
        <f>SUMIFS(LstMachines[Nbre],LstMachines[Model-Spec],PrévisionBoris[[#This Row],[Spec]],LstMachines[Status],PrévisionBoris[[#This Row],[Status]],LstMachines[MoisLivr],AU$1)</f>
        <v>0</v>
      </c>
      <c r="AV264" s="223">
        <f>SUMIFS(LstMachines[Nbre],LstMachines[Model-Spec],PrévisionBoris[[#This Row],[Spec]],LstMachines[Status],PrévisionBoris[[#This Row],[Status]],LstMachines[MoisLivr],AV$1)</f>
        <v>0</v>
      </c>
      <c r="AW264" s="224">
        <f>SUMIFS(LstMachines[Nbre],LstMachines[Model-Spec],PrévisionBoris[[#This Row],[Spec]],LstMachines[Status],PrévisionBoris[[#This Row],[Status]],LstMachines[MoisLivr],AW$1)</f>
        <v>0</v>
      </c>
      <c r="AX264" s="210"/>
      <c r="AY264" s="211">
        <f t="shared" ref="AY264:AY327" si="67">SUM(K264:M264)</f>
        <v>0</v>
      </c>
      <c r="AZ264" s="212">
        <f t="shared" ref="AZ264:AZ327" si="68">SUM(N264:P264)</f>
        <v>0</v>
      </c>
      <c r="BA264" s="212">
        <f t="shared" ref="BA264:BA327" si="69">SUM(Q264:S264)</f>
        <v>0</v>
      </c>
      <c r="BB264" s="213">
        <f t="shared" ref="BB264:BB327" si="70">SUM(T264:V264)</f>
        <v>0</v>
      </c>
      <c r="BC264" s="225">
        <f t="shared" ref="BC264:BC327" si="71">SUM(AY264:BB264)</f>
        <v>0</v>
      </c>
      <c r="BD264" s="211">
        <f t="shared" ref="BD264:BD327" si="72">SUM(W264:Y264)</f>
        <v>0</v>
      </c>
      <c r="BE264" s="212">
        <f t="shared" ref="BE264:BE327" si="73">SUM(Z264:AB264)</f>
        <v>0</v>
      </c>
      <c r="BF264" s="212">
        <f t="shared" ref="BF264:BF327" si="74">SUM(AC264:AE264)</f>
        <v>0</v>
      </c>
      <c r="BG264" s="213">
        <f t="shared" ref="BG264:BG327" si="75">SUM(AF264:AH264)</f>
        <v>0</v>
      </c>
      <c r="BH264" s="225">
        <f t="shared" ref="BH264:BH327" si="76">SUM(BD264:BG264)</f>
        <v>0</v>
      </c>
      <c r="BI264" s="214">
        <f t="shared" ref="BI264:BI327" si="77">SUM(AI264:AK264)</f>
        <v>0</v>
      </c>
      <c r="BJ264" s="215">
        <f t="shared" ref="BJ264:BJ327" si="78">SUM(AL264:AN264)</f>
        <v>0</v>
      </c>
      <c r="BK264" s="215">
        <f t="shared" ref="BK264:BK327" si="79">SUM(AO264:AQ264)</f>
        <v>0</v>
      </c>
      <c r="BL264" s="216">
        <f t="shared" ref="BL264:BL327" si="80">SUM(AR264:AT264)</f>
        <v>0</v>
      </c>
      <c r="BM264" s="225">
        <f t="shared" ref="BM264:BM327" si="81">SUM(BI264:BL264)</f>
        <v>0</v>
      </c>
      <c r="BN264" s="225"/>
      <c r="BO264" s="217"/>
      <c r="BP264" s="218">
        <f t="shared" ref="BP264:BP327" si="82">SUM(H264:AU264)</f>
        <v>0</v>
      </c>
    </row>
    <row r="265" spans="1:68">
      <c r="A265" s="171">
        <v>258</v>
      </c>
      <c r="B265" s="171" t="s">
        <v>85</v>
      </c>
      <c r="C265" s="201">
        <v>225</v>
      </c>
      <c r="D265" s="171" t="s">
        <v>202</v>
      </c>
      <c r="E265" s="171" t="s">
        <v>203</v>
      </c>
      <c r="F265" s="201">
        <f>VLOOKUP(PrévisionBoris[[#This Row],[Spec]],TabModelSpecs[[ModelSpec]:[Price]],2,FALSE)</f>
        <v>130</v>
      </c>
      <c r="G265" s="171" t="s">
        <v>463</v>
      </c>
      <c r="H265" s="226">
        <f>SUMIFS(LstMachines[Nbre],LstMachines[Model-Spec],PrévisionBoris[[#This Row],[Spec]],LstMachines[Status],PrévisionBoris[[#This Row],[Status]],LstMachines[MoisLivr],H$1)</f>
        <v>0</v>
      </c>
      <c r="I265" s="227">
        <f>SUMIFS(LstMachines[Nbre],LstMachines[Model-Spec],PrévisionBoris[[#This Row],[Spec]],LstMachines[Status],PrévisionBoris[[#This Row],[Status]],LstMachines[MoisLivr],I$1)</f>
        <v>0</v>
      </c>
      <c r="J265" s="228">
        <f>SUMIFS(LstMachines[Nbre],LstMachines[Model-Spec],PrévisionBoris[[#This Row],[Spec]],LstMachines[Status],PrévisionBoris[[#This Row],[Status]],LstMachines[MoisLivr],J$1)</f>
        <v>0</v>
      </c>
      <c r="K265" s="226">
        <f>SUMIFS(LstMachines[Nbre],LstMachines[Model-Spec],PrévisionBoris[[#This Row],[Spec]],LstMachines[Status],PrévisionBoris[[#This Row],[Status]],LstMachines[MoisLivr],K$1)</f>
        <v>0</v>
      </c>
      <c r="L265" s="227">
        <f>SUMIFS(LstMachines[Nbre],LstMachines[Model-Spec],PrévisionBoris[[#This Row],[Spec]],LstMachines[Status],PrévisionBoris[[#This Row],[Status]],LstMachines[MoisLivr],L$1)</f>
        <v>0</v>
      </c>
      <c r="M265" s="228">
        <f>SUMIFS(LstMachines[Nbre],LstMachines[Model-Spec],PrévisionBoris[[#This Row],[Spec]],LstMachines[Status],PrévisionBoris[[#This Row],[Status]],LstMachines[MoisLivr],M$1)</f>
        <v>0</v>
      </c>
      <c r="N265" s="226">
        <f>SUMIFS(LstMachines[Nbre],LstMachines[Model-Spec],PrévisionBoris[[#This Row],[Spec]],LstMachines[Status],PrévisionBoris[[#This Row],[Status]],LstMachines[MoisLivr],N$1)</f>
        <v>0</v>
      </c>
      <c r="O265" s="227">
        <f>SUMIFS(LstMachines[Nbre],LstMachines[Model-Spec],PrévisionBoris[[#This Row],[Spec]],LstMachines[Status],PrévisionBoris[[#This Row],[Status]],LstMachines[MoisLivr],O$1)</f>
        <v>1</v>
      </c>
      <c r="P265" s="228">
        <f>SUMIFS(LstMachines[Nbre],LstMachines[Model-Spec],PrévisionBoris[[#This Row],[Spec]],LstMachines[Status],PrévisionBoris[[#This Row],[Status]],LstMachines[MoisLivr],P$1)</f>
        <v>0</v>
      </c>
      <c r="Q265" s="229">
        <f>SUMIFS(LstMachines[Nbre],LstMachines[Model-Spec],PrévisionBoris[[#This Row],[Spec]],LstMachines[Status],PrévisionBoris[[#This Row],[Status]],LstMachines[MoisLivr],Q$1)</f>
        <v>1</v>
      </c>
      <c r="R265" s="227">
        <f>SUMIFS(LstMachines[Nbre],LstMachines[Model-Spec],PrévisionBoris[[#This Row],[Spec]],LstMachines[Status],PrévisionBoris[[#This Row],[Status]],LstMachines[MoisLivr],R$1)</f>
        <v>0</v>
      </c>
      <c r="S265" s="227">
        <f>SUMIFS(LstMachines[Nbre],LstMachines[Model-Spec],PrévisionBoris[[#This Row],[Spec]],LstMachines[Status],PrévisionBoris[[#This Row],[Status]],LstMachines[MoisLivr],S$1)</f>
        <v>0</v>
      </c>
      <c r="T265" s="226">
        <f>SUMIFS(LstMachines[Nbre],LstMachines[Model-Spec],PrévisionBoris[[#This Row],[Spec]],LstMachines[Status],PrévisionBoris[[#This Row],[Status]],LstMachines[MoisLivr],T$1)</f>
        <v>0</v>
      </c>
      <c r="U265" s="227">
        <f>SUMIFS(LstMachines[Nbre],LstMachines[Model-Spec],PrévisionBoris[[#This Row],[Spec]],LstMachines[Status],PrévisionBoris[[#This Row],[Status]],LstMachines[MoisLivr],U$1)</f>
        <v>0</v>
      </c>
      <c r="V265" s="227">
        <f>SUMIFS(LstMachines[Nbre],LstMachines[Model-Spec],PrévisionBoris[[#This Row],[Spec]],LstMachines[Status],PrévisionBoris[[#This Row],[Status]],LstMachines[MoisLivr],V$1)</f>
        <v>1</v>
      </c>
      <c r="W265" s="226">
        <f>SUMIFS(LstMachines[Nbre],LstMachines[Model-Spec],PrévisionBoris[[#This Row],[Spec]],LstMachines[Status],PrévisionBoris[[#This Row],[Status]],LstMachines[MoisLivr],W$1)</f>
        <v>0</v>
      </c>
      <c r="X265" s="227">
        <f>SUMIFS(LstMachines[Nbre],LstMachines[Model-Spec],PrévisionBoris[[#This Row],[Spec]],LstMachines[Status],PrévisionBoris[[#This Row],[Status]],LstMachines[MoisLivr],X$1)</f>
        <v>0</v>
      </c>
      <c r="Y265" s="227">
        <f>SUMIFS(LstMachines[Nbre],LstMachines[Model-Spec],PrévisionBoris[[#This Row],[Spec]],LstMachines[Status],PrévisionBoris[[#This Row],[Status]],LstMachines[MoisLivr],Y$1)</f>
        <v>0</v>
      </c>
      <c r="Z265" s="226">
        <f>SUMIFS(LstMachines[Nbre],LstMachines[Model-Spec],PrévisionBoris[[#This Row],[Spec]],LstMachines[Status],PrévisionBoris[[#This Row],[Status]],LstMachines[MoisLivr],Z$1)</f>
        <v>0</v>
      </c>
      <c r="AA265" s="227">
        <f>SUMIFS(LstMachines[Nbre],LstMachines[Model-Spec],PrévisionBoris[[#This Row],[Spec]],LstMachines[Status],PrévisionBoris[[#This Row],[Status]],LstMachines[MoisLivr],AA$1)</f>
        <v>1</v>
      </c>
      <c r="AB265" s="227">
        <f>SUMIFS(LstMachines[Nbre],LstMachines[Model-Spec],PrévisionBoris[[#This Row],[Spec]],LstMachines[Status],PrévisionBoris[[#This Row],[Status]],LstMachines[MoisLivr],AB$1)</f>
        <v>0</v>
      </c>
      <c r="AC265" s="226">
        <f>SUMIFS(LstMachines[Nbre],LstMachines[Model-Spec],PrévisionBoris[[#This Row],[Spec]],LstMachines[Status],PrévisionBoris[[#This Row],[Status]],LstMachines[MoisLivr],AC$1)</f>
        <v>0</v>
      </c>
      <c r="AD265" s="227">
        <f>SUMIFS(LstMachines[Nbre],LstMachines[Model-Spec],PrévisionBoris[[#This Row],[Spec]],LstMachines[Status],PrévisionBoris[[#This Row],[Status]],LstMachines[MoisLivr],AD$1)</f>
        <v>0</v>
      </c>
      <c r="AE265" s="227">
        <f>SUMIFS(LstMachines[Nbre],LstMachines[Model-Spec],PrévisionBoris[[#This Row],[Spec]],LstMachines[Status],PrévisionBoris[[#This Row],[Status]],LstMachines[MoisLivr],AE$1)</f>
        <v>0</v>
      </c>
      <c r="AF265" s="226">
        <f>SUMIFS(LstMachines[Nbre],LstMachines[Model-Spec],PrévisionBoris[[#This Row],[Spec]],LstMachines[Status],PrévisionBoris[[#This Row],[Status]],LstMachines[MoisLivr],AF$1)</f>
        <v>0</v>
      </c>
      <c r="AG265" s="227">
        <f>SUMIFS(LstMachines[Nbre],LstMachines[Model-Spec],PrévisionBoris[[#This Row],[Spec]],LstMachines[Status],PrévisionBoris[[#This Row],[Status]],LstMachines[MoisLivr],AG$1)</f>
        <v>0</v>
      </c>
      <c r="AH265" s="227">
        <f>SUMIFS(LstMachines[Nbre],LstMachines[Model-Spec],PrévisionBoris[[#This Row],[Spec]],LstMachines[Status],PrévisionBoris[[#This Row],[Status]],LstMachines[MoisLivr],AH$1)</f>
        <v>0</v>
      </c>
      <c r="AI265" s="226">
        <f>SUMIFS(LstMachines[Nbre],LstMachines[Model-Spec],PrévisionBoris[[#This Row],[Spec]],LstMachines[Status],PrévisionBoris[[#This Row],[Status]],LstMachines[MoisLivr],AI$1)</f>
        <v>0</v>
      </c>
      <c r="AJ265" s="227">
        <f>SUMIFS(LstMachines[Nbre],LstMachines[Model-Spec],PrévisionBoris[[#This Row],[Spec]],LstMachines[Status],PrévisionBoris[[#This Row],[Status]],LstMachines[MoisLivr],AJ$1)</f>
        <v>0</v>
      </c>
      <c r="AK265" s="227">
        <f>SUMIFS(LstMachines[Nbre],LstMachines[Model-Spec],PrévisionBoris[[#This Row],[Spec]],LstMachines[Status],PrévisionBoris[[#This Row],[Status]],LstMachines[MoisLivr],AK$1)</f>
        <v>0</v>
      </c>
      <c r="AL265" s="226">
        <f>SUMIFS(LstMachines[Nbre],LstMachines[Model-Spec],PrévisionBoris[[#This Row],[Spec]],LstMachines[Status],PrévisionBoris[[#This Row],[Status]],LstMachines[MoisLivr],AL$1)</f>
        <v>0</v>
      </c>
      <c r="AM265" s="227">
        <f>SUMIFS(LstMachines[Nbre],LstMachines[Model-Spec],PrévisionBoris[[#This Row],[Spec]],LstMachines[Status],PrévisionBoris[[#This Row],[Status]],LstMachines[MoisLivr],AM$1)</f>
        <v>0</v>
      </c>
      <c r="AN265" s="227">
        <f>SUMIFS(LstMachines[Nbre],LstMachines[Model-Spec],PrévisionBoris[[#This Row],[Spec]],LstMachines[Status],PrévisionBoris[[#This Row],[Status]],LstMachines[MoisLivr],AN$1)</f>
        <v>0</v>
      </c>
      <c r="AO265" s="226">
        <f>SUMIFS(LstMachines[Nbre],LstMachines[Model-Spec],PrévisionBoris[[#This Row],[Spec]],LstMachines[Status],PrévisionBoris[[#This Row],[Status]],LstMachines[MoisLivr],AO$1)</f>
        <v>0</v>
      </c>
      <c r="AP265" s="227">
        <f>SUMIFS(LstMachines[Nbre],LstMachines[Model-Spec],PrévisionBoris[[#This Row],[Spec]],LstMachines[Status],PrévisionBoris[[#This Row],[Status]],LstMachines[MoisLivr],AP$1)</f>
        <v>0</v>
      </c>
      <c r="AQ265" s="227">
        <f>SUMIFS(LstMachines[Nbre],LstMachines[Model-Spec],PrévisionBoris[[#This Row],[Spec]],LstMachines[Status],PrévisionBoris[[#This Row],[Status]],LstMachines[MoisLivr],AQ$1)</f>
        <v>0</v>
      </c>
      <c r="AR265" s="226">
        <f>SUMIFS(LstMachines[Nbre],LstMachines[Model-Spec],PrévisionBoris[[#This Row],[Spec]],LstMachines[Status],PrévisionBoris[[#This Row],[Status]],LstMachines[MoisLivr],AR$1)</f>
        <v>0</v>
      </c>
      <c r="AS265" s="227">
        <f>SUMIFS(LstMachines[Nbre],LstMachines[Model-Spec],PrévisionBoris[[#This Row],[Spec]],LstMachines[Status],PrévisionBoris[[#This Row],[Status]],LstMachines[MoisLivr],AS$1)</f>
        <v>0</v>
      </c>
      <c r="AT265" s="227">
        <f>SUMIFS(LstMachines[Nbre],LstMachines[Model-Spec],PrévisionBoris[[#This Row],[Spec]],LstMachines[Status],PrévisionBoris[[#This Row],[Status]],LstMachines[MoisLivr],AT$1)</f>
        <v>0</v>
      </c>
      <c r="AU265" s="226">
        <f>SUMIFS(LstMachines[Nbre],LstMachines[Model-Spec],PrévisionBoris[[#This Row],[Spec]],LstMachines[Status],PrévisionBoris[[#This Row],[Status]],LstMachines[MoisLivr],AU$1)</f>
        <v>0</v>
      </c>
      <c r="AV265" s="230">
        <f>SUMIFS(LstMachines[Nbre],LstMachines[Model-Spec],PrévisionBoris[[#This Row],[Spec]],LstMachines[Status],PrévisionBoris[[#This Row],[Status]],LstMachines[MoisLivr],AV$1)</f>
        <v>0</v>
      </c>
      <c r="AW265" s="231">
        <f>SUMIFS(LstMachines[Nbre],LstMachines[Model-Spec],PrévisionBoris[[#This Row],[Spec]],LstMachines[Status],PrévisionBoris[[#This Row],[Status]],LstMachines[MoisLivr],AW$1)</f>
        <v>0</v>
      </c>
      <c r="AX265" s="232"/>
      <c r="AY265" s="211">
        <f t="shared" si="67"/>
        <v>0</v>
      </c>
      <c r="AZ265" s="212">
        <f t="shared" si="68"/>
        <v>1</v>
      </c>
      <c r="BA265" s="212">
        <f t="shared" si="69"/>
        <v>1</v>
      </c>
      <c r="BB265" s="213">
        <f t="shared" si="70"/>
        <v>1</v>
      </c>
      <c r="BC265" s="225">
        <f t="shared" si="71"/>
        <v>3</v>
      </c>
      <c r="BD265" s="211">
        <f t="shared" si="72"/>
        <v>0</v>
      </c>
      <c r="BE265" s="212">
        <f t="shared" si="73"/>
        <v>1</v>
      </c>
      <c r="BF265" s="212">
        <f t="shared" si="74"/>
        <v>0</v>
      </c>
      <c r="BG265" s="213">
        <f t="shared" si="75"/>
        <v>0</v>
      </c>
      <c r="BH265" s="225">
        <f t="shared" si="76"/>
        <v>1</v>
      </c>
      <c r="BI265" s="214">
        <f t="shared" si="77"/>
        <v>0</v>
      </c>
      <c r="BJ265" s="215">
        <f t="shared" si="78"/>
        <v>0</v>
      </c>
      <c r="BK265" s="215">
        <f t="shared" si="79"/>
        <v>0</v>
      </c>
      <c r="BL265" s="216">
        <f t="shared" si="80"/>
        <v>0</v>
      </c>
      <c r="BM265" s="225">
        <f t="shared" si="81"/>
        <v>0</v>
      </c>
      <c r="BN265" s="225"/>
      <c r="BO265" s="217"/>
      <c r="BP265" s="218">
        <f t="shared" si="82"/>
        <v>4</v>
      </c>
    </row>
    <row r="266" spans="1:68">
      <c r="A266" s="172">
        <v>259</v>
      </c>
      <c r="B266" s="172" t="s">
        <v>85</v>
      </c>
      <c r="C266" s="202">
        <v>225</v>
      </c>
      <c r="D266" s="172" t="s">
        <v>202</v>
      </c>
      <c r="E266" s="172" t="s">
        <v>204</v>
      </c>
      <c r="F266" s="202">
        <f>VLOOKUP(PrévisionBoris[[#This Row],[Spec]],TabModelSpecs[[ModelSpec]:[Price]],2,FALSE)</f>
        <v>135</v>
      </c>
      <c r="G266" s="172" t="s">
        <v>461</v>
      </c>
      <c r="H266" s="206">
        <f>SUMIFS(LstMachines[Nbre],LstMachines[Model-Spec],PrévisionBoris[[#This Row],[Spec]],LstMachines[Status],PrévisionBoris[[#This Row],[Status]],LstMachines[MoisLivr],H$1)</f>
        <v>0</v>
      </c>
      <c r="I266" s="207">
        <f>SUMIFS(LstMachines[Nbre],LstMachines[Model-Spec],PrévisionBoris[[#This Row],[Spec]],LstMachines[Status],PrévisionBoris[[#This Row],[Status]],LstMachines[MoisLivr],I$1)</f>
        <v>0</v>
      </c>
      <c r="J266" s="208">
        <f>SUMIFS(LstMachines[Nbre],LstMachines[Model-Spec],PrévisionBoris[[#This Row],[Spec]],LstMachines[Status],PrévisionBoris[[#This Row],[Status]],LstMachines[MoisLivr],J$1)</f>
        <v>0</v>
      </c>
      <c r="K266" s="206">
        <f>SUMIFS(LstMachines[Nbre],LstMachines[Model-Spec],PrévisionBoris[[#This Row],[Spec]],LstMachines[Status],PrévisionBoris[[#This Row],[Status]],LstMachines[MoisLivr],K$1)</f>
        <v>0</v>
      </c>
      <c r="L266" s="207">
        <f>SUMIFS(LstMachines[Nbre],LstMachines[Model-Spec],PrévisionBoris[[#This Row],[Spec]],LstMachines[Status],PrévisionBoris[[#This Row],[Status]],LstMachines[MoisLivr],L$1)</f>
        <v>0</v>
      </c>
      <c r="M266" s="208">
        <f>SUMIFS(LstMachines[Nbre],LstMachines[Model-Spec],PrévisionBoris[[#This Row],[Spec]],LstMachines[Status],PrévisionBoris[[#This Row],[Status]],LstMachines[MoisLivr],M$1)</f>
        <v>0</v>
      </c>
      <c r="N266" s="206">
        <f>SUMIFS(LstMachines[Nbre],LstMachines[Model-Spec],PrévisionBoris[[#This Row],[Spec]],LstMachines[Status],PrévisionBoris[[#This Row],[Status]],LstMachines[MoisLivr],N$1)</f>
        <v>0</v>
      </c>
      <c r="O266" s="207">
        <f>SUMIFS(LstMachines[Nbre],LstMachines[Model-Spec],PrévisionBoris[[#This Row],[Spec]],LstMachines[Status],PrévisionBoris[[#This Row],[Status]],LstMachines[MoisLivr],O$1)</f>
        <v>1</v>
      </c>
      <c r="P266" s="208">
        <f>SUMIFS(LstMachines[Nbre],LstMachines[Model-Spec],PrévisionBoris[[#This Row],[Spec]],LstMachines[Status],PrévisionBoris[[#This Row],[Status]],LstMachines[MoisLivr],P$1)</f>
        <v>0</v>
      </c>
      <c r="Q266" s="209">
        <f>SUMIFS(LstMachines[Nbre],LstMachines[Model-Spec],PrévisionBoris[[#This Row],[Spec]],LstMachines[Status],PrévisionBoris[[#This Row],[Status]],LstMachines[MoisLivr],Q$1)</f>
        <v>1</v>
      </c>
      <c r="R266" s="207">
        <f>SUMIFS(LstMachines[Nbre],LstMachines[Model-Spec],PrévisionBoris[[#This Row],[Spec]],LstMachines[Status],PrévisionBoris[[#This Row],[Status]],LstMachines[MoisLivr],R$1)</f>
        <v>0</v>
      </c>
      <c r="S266" s="207">
        <f>SUMIFS(LstMachines[Nbre],LstMachines[Model-Spec],PrévisionBoris[[#This Row],[Spec]],LstMachines[Status],PrévisionBoris[[#This Row],[Status]],LstMachines[MoisLivr],S$1)</f>
        <v>0</v>
      </c>
      <c r="T266" s="206">
        <f>SUMIFS(LstMachines[Nbre],LstMachines[Model-Spec],PrévisionBoris[[#This Row],[Spec]],LstMachines[Status],PrévisionBoris[[#This Row],[Status]],LstMachines[MoisLivr],T$1)</f>
        <v>0</v>
      </c>
      <c r="U266" s="207">
        <f>SUMIFS(LstMachines[Nbre],LstMachines[Model-Spec],PrévisionBoris[[#This Row],[Spec]],LstMachines[Status],PrévisionBoris[[#This Row],[Status]],LstMachines[MoisLivr],U$1)</f>
        <v>1</v>
      </c>
      <c r="V266" s="207">
        <f>SUMIFS(LstMachines[Nbre],LstMachines[Model-Spec],PrévisionBoris[[#This Row],[Spec]],LstMachines[Status],PrévisionBoris[[#This Row],[Status]],LstMachines[MoisLivr],V$1)</f>
        <v>0</v>
      </c>
      <c r="W266" s="206">
        <f>SUMIFS(LstMachines[Nbre],LstMachines[Model-Spec],PrévisionBoris[[#This Row],[Spec]],LstMachines[Status],PrévisionBoris[[#This Row],[Status]],LstMachines[MoisLivr],W$1)</f>
        <v>0</v>
      </c>
      <c r="X266" s="207">
        <f>SUMIFS(LstMachines[Nbre],LstMachines[Model-Spec],PrévisionBoris[[#This Row],[Spec]],LstMachines[Status],PrévisionBoris[[#This Row],[Status]],LstMachines[MoisLivr],X$1)</f>
        <v>0</v>
      </c>
      <c r="Y266" s="207">
        <f>SUMIFS(LstMachines[Nbre],LstMachines[Model-Spec],PrévisionBoris[[#This Row],[Spec]],LstMachines[Status],PrévisionBoris[[#This Row],[Status]],LstMachines[MoisLivr],Y$1)</f>
        <v>0</v>
      </c>
      <c r="Z266" s="206">
        <f>SUMIFS(LstMachines[Nbre],LstMachines[Model-Spec],PrévisionBoris[[#This Row],[Spec]],LstMachines[Status],PrévisionBoris[[#This Row],[Status]],LstMachines[MoisLivr],Z$1)</f>
        <v>0</v>
      </c>
      <c r="AA266" s="207">
        <f>SUMIFS(LstMachines[Nbre],LstMachines[Model-Spec],PrévisionBoris[[#This Row],[Spec]],LstMachines[Status],PrévisionBoris[[#This Row],[Status]],LstMachines[MoisLivr],AA$1)</f>
        <v>1</v>
      </c>
      <c r="AB266" s="207">
        <f>SUMIFS(LstMachines[Nbre],LstMachines[Model-Spec],PrévisionBoris[[#This Row],[Spec]],LstMachines[Status],PrévisionBoris[[#This Row],[Status]],LstMachines[MoisLivr],AB$1)</f>
        <v>0</v>
      </c>
      <c r="AC266" s="206">
        <f>SUMIFS(LstMachines[Nbre],LstMachines[Model-Spec],PrévisionBoris[[#This Row],[Spec]],LstMachines[Status],PrévisionBoris[[#This Row],[Status]],LstMachines[MoisLivr],AC$1)</f>
        <v>1</v>
      </c>
      <c r="AD266" s="207">
        <f>SUMIFS(LstMachines[Nbre],LstMachines[Model-Spec],PrévisionBoris[[#This Row],[Spec]],LstMachines[Status],PrévisionBoris[[#This Row],[Status]],LstMachines[MoisLivr],AD$1)</f>
        <v>0</v>
      </c>
      <c r="AE266" s="207">
        <f>SUMIFS(LstMachines[Nbre],LstMachines[Model-Spec],PrévisionBoris[[#This Row],[Spec]],LstMachines[Status],PrévisionBoris[[#This Row],[Status]],LstMachines[MoisLivr],AE$1)</f>
        <v>0</v>
      </c>
      <c r="AF266" s="206">
        <f>SUMIFS(LstMachines[Nbre],LstMachines[Model-Spec],PrévisionBoris[[#This Row],[Spec]],LstMachines[Status],PrévisionBoris[[#This Row],[Status]],LstMachines[MoisLivr],AF$1)</f>
        <v>0</v>
      </c>
      <c r="AG266" s="207">
        <f>SUMIFS(LstMachines[Nbre],LstMachines[Model-Spec],PrévisionBoris[[#This Row],[Spec]],LstMachines[Status],PrévisionBoris[[#This Row],[Status]],LstMachines[MoisLivr],AG$1)</f>
        <v>0</v>
      </c>
      <c r="AH266" s="207">
        <f>SUMIFS(LstMachines[Nbre],LstMachines[Model-Spec],PrévisionBoris[[#This Row],[Spec]],LstMachines[Status],PrévisionBoris[[#This Row],[Status]],LstMachines[MoisLivr],AH$1)</f>
        <v>0</v>
      </c>
      <c r="AI266" s="206">
        <f>SUMIFS(LstMachines[Nbre],LstMachines[Model-Spec],PrévisionBoris[[#This Row],[Spec]],LstMachines[Status],PrévisionBoris[[#This Row],[Status]],LstMachines[MoisLivr],AI$1)</f>
        <v>0</v>
      </c>
      <c r="AJ266" s="207">
        <f>SUMIFS(LstMachines[Nbre],LstMachines[Model-Spec],PrévisionBoris[[#This Row],[Spec]],LstMachines[Status],PrévisionBoris[[#This Row],[Status]],LstMachines[MoisLivr],AJ$1)</f>
        <v>0</v>
      </c>
      <c r="AK266" s="207">
        <f>SUMIFS(LstMachines[Nbre],LstMachines[Model-Spec],PrévisionBoris[[#This Row],[Spec]],LstMachines[Status],PrévisionBoris[[#This Row],[Status]],LstMachines[MoisLivr],AK$1)</f>
        <v>0</v>
      </c>
      <c r="AL266" s="206">
        <f>SUMIFS(LstMachines[Nbre],LstMachines[Model-Spec],PrévisionBoris[[#This Row],[Spec]],LstMachines[Status],PrévisionBoris[[#This Row],[Status]],LstMachines[MoisLivr],AL$1)</f>
        <v>0</v>
      </c>
      <c r="AM266" s="207">
        <f>SUMIFS(LstMachines[Nbre],LstMachines[Model-Spec],PrévisionBoris[[#This Row],[Spec]],LstMachines[Status],PrévisionBoris[[#This Row],[Status]],LstMachines[MoisLivr],AM$1)</f>
        <v>1</v>
      </c>
      <c r="AN266" s="207">
        <f>SUMIFS(LstMachines[Nbre],LstMachines[Model-Spec],PrévisionBoris[[#This Row],[Spec]],LstMachines[Status],PrévisionBoris[[#This Row],[Status]],LstMachines[MoisLivr],AN$1)</f>
        <v>2</v>
      </c>
      <c r="AO266" s="206">
        <f>SUMIFS(LstMachines[Nbre],LstMachines[Model-Spec],PrévisionBoris[[#This Row],[Spec]],LstMachines[Status],PrévisionBoris[[#This Row],[Status]],LstMachines[MoisLivr],AO$1)</f>
        <v>1</v>
      </c>
      <c r="AP266" s="207">
        <f>SUMIFS(LstMachines[Nbre],LstMachines[Model-Spec],PrévisionBoris[[#This Row],[Spec]],LstMachines[Status],PrévisionBoris[[#This Row],[Status]],LstMachines[MoisLivr],AP$1)</f>
        <v>0</v>
      </c>
      <c r="AQ266" s="207">
        <f>SUMIFS(LstMachines[Nbre],LstMachines[Model-Spec],PrévisionBoris[[#This Row],[Spec]],LstMachines[Status],PrévisionBoris[[#This Row],[Status]],LstMachines[MoisLivr],AQ$1)</f>
        <v>0</v>
      </c>
      <c r="AR266" s="206">
        <f>SUMIFS(LstMachines[Nbre],LstMachines[Model-Spec],PrévisionBoris[[#This Row],[Spec]],LstMachines[Status],PrévisionBoris[[#This Row],[Status]],LstMachines[MoisLivr],AR$1)</f>
        <v>0</v>
      </c>
      <c r="AS266" s="207">
        <f>SUMIFS(LstMachines[Nbre],LstMachines[Model-Spec],PrévisionBoris[[#This Row],[Spec]],LstMachines[Status],PrévisionBoris[[#This Row],[Status]],LstMachines[MoisLivr],AS$1)</f>
        <v>0</v>
      </c>
      <c r="AT266" s="207">
        <f>SUMIFS(LstMachines[Nbre],LstMachines[Model-Spec],PrévisionBoris[[#This Row],[Spec]],LstMachines[Status],PrévisionBoris[[#This Row],[Status]],LstMachines[MoisLivr],AT$1)</f>
        <v>0</v>
      </c>
      <c r="AU266" s="206">
        <f>SUMIFS(LstMachines[Nbre],LstMachines[Model-Spec],PrévisionBoris[[#This Row],[Spec]],LstMachines[Status],PrévisionBoris[[#This Row],[Status]],LstMachines[MoisLivr],AU$1)</f>
        <v>0</v>
      </c>
      <c r="AV266" s="233">
        <f>SUMIFS(LstMachines[Nbre],LstMachines[Model-Spec],PrévisionBoris[[#This Row],[Spec]],LstMachines[Status],PrévisionBoris[[#This Row],[Status]],LstMachines[MoisLivr],AV$1)</f>
        <v>0</v>
      </c>
      <c r="AW266" s="208">
        <f>SUMIFS(LstMachines[Nbre],LstMachines[Model-Spec],PrévisionBoris[[#This Row],[Spec]],LstMachines[Status],PrévisionBoris[[#This Row],[Status]],LstMachines[MoisLivr],AW$1)</f>
        <v>0</v>
      </c>
      <c r="AX266" s="225"/>
      <c r="AY266" s="211">
        <f t="shared" si="67"/>
        <v>0</v>
      </c>
      <c r="AZ266" s="212">
        <f t="shared" si="68"/>
        <v>1</v>
      </c>
      <c r="BA266" s="212">
        <f t="shared" si="69"/>
        <v>1</v>
      </c>
      <c r="BB266" s="213">
        <f t="shared" si="70"/>
        <v>1</v>
      </c>
      <c r="BC266" s="225">
        <f t="shared" si="71"/>
        <v>3</v>
      </c>
      <c r="BD266" s="211">
        <f t="shared" si="72"/>
        <v>0</v>
      </c>
      <c r="BE266" s="212">
        <f t="shared" si="73"/>
        <v>1</v>
      </c>
      <c r="BF266" s="212">
        <f t="shared" si="74"/>
        <v>1</v>
      </c>
      <c r="BG266" s="213">
        <f t="shared" si="75"/>
        <v>0</v>
      </c>
      <c r="BH266" s="225">
        <f t="shared" si="76"/>
        <v>2</v>
      </c>
      <c r="BI266" s="214">
        <f t="shared" si="77"/>
        <v>0</v>
      </c>
      <c r="BJ266" s="215">
        <f t="shared" si="78"/>
        <v>3</v>
      </c>
      <c r="BK266" s="215">
        <f t="shared" si="79"/>
        <v>1</v>
      </c>
      <c r="BL266" s="216">
        <f t="shared" si="80"/>
        <v>0</v>
      </c>
      <c r="BM266" s="225">
        <f t="shared" si="81"/>
        <v>4</v>
      </c>
      <c r="BN266" s="225"/>
      <c r="BO266" s="234"/>
      <c r="BP266" s="218">
        <f t="shared" si="82"/>
        <v>9</v>
      </c>
    </row>
    <row r="267" spans="1:68">
      <c r="A267" s="170">
        <v>260</v>
      </c>
      <c r="B267" s="170" t="s">
        <v>85</v>
      </c>
      <c r="C267" s="200">
        <v>225</v>
      </c>
      <c r="D267" s="170" t="s">
        <v>202</v>
      </c>
      <c r="E267" s="170" t="s">
        <v>204</v>
      </c>
      <c r="F267" s="200">
        <f>VLOOKUP(PrévisionBoris[[#This Row],[Spec]],TabModelSpecs[[ModelSpec]:[Price]],2,FALSE)</f>
        <v>135</v>
      </c>
      <c r="G267" s="170" t="s">
        <v>462</v>
      </c>
      <c r="H267" s="219">
        <f>SUMIFS(LstMachines[Nbre],LstMachines[Model-Spec],PrévisionBoris[[#This Row],[Spec]],LstMachines[Status],PrévisionBoris[[#This Row],[Status]],LstMachines[MoisLivr],H$1)</f>
        <v>0</v>
      </c>
      <c r="I267" s="220">
        <f>SUMIFS(LstMachines[Nbre],LstMachines[Model-Spec],PrévisionBoris[[#This Row],[Spec]],LstMachines[Status],PrévisionBoris[[#This Row],[Status]],LstMachines[MoisLivr],I$1)</f>
        <v>0</v>
      </c>
      <c r="J267" s="221">
        <f>SUMIFS(LstMachines[Nbre],LstMachines[Model-Spec],PrévisionBoris[[#This Row],[Spec]],LstMachines[Status],PrévisionBoris[[#This Row],[Status]],LstMachines[MoisLivr],J$1)</f>
        <v>0</v>
      </c>
      <c r="K267" s="219">
        <f>SUMIFS(LstMachines[Nbre],LstMachines[Model-Spec],PrévisionBoris[[#This Row],[Spec]],LstMachines[Status],PrévisionBoris[[#This Row],[Status]],LstMachines[MoisLivr],K$1)</f>
        <v>0</v>
      </c>
      <c r="L267" s="220">
        <f>SUMIFS(LstMachines[Nbre],LstMachines[Model-Spec],PrévisionBoris[[#This Row],[Spec]],LstMachines[Status],PrévisionBoris[[#This Row],[Status]],LstMachines[MoisLivr],L$1)</f>
        <v>0</v>
      </c>
      <c r="M267" s="221">
        <f>SUMIFS(LstMachines[Nbre],LstMachines[Model-Spec],PrévisionBoris[[#This Row],[Spec]],LstMachines[Status],PrévisionBoris[[#This Row],[Status]],LstMachines[MoisLivr],M$1)</f>
        <v>0</v>
      </c>
      <c r="N267" s="219">
        <f>SUMIFS(LstMachines[Nbre],LstMachines[Model-Spec],PrévisionBoris[[#This Row],[Spec]],LstMachines[Status],PrévisionBoris[[#This Row],[Status]],LstMachines[MoisLivr],N$1)</f>
        <v>0</v>
      </c>
      <c r="O267" s="220">
        <f>SUMIFS(LstMachines[Nbre],LstMachines[Model-Spec],PrévisionBoris[[#This Row],[Spec]],LstMachines[Status],PrévisionBoris[[#This Row],[Status]],LstMachines[MoisLivr],O$1)</f>
        <v>0</v>
      </c>
      <c r="P267" s="221">
        <f>SUMIFS(LstMachines[Nbre],LstMachines[Model-Spec],PrévisionBoris[[#This Row],[Spec]],LstMachines[Status],PrévisionBoris[[#This Row],[Status]],LstMachines[MoisLivr],P$1)</f>
        <v>0</v>
      </c>
      <c r="Q267" s="222">
        <f>SUMIFS(LstMachines[Nbre],LstMachines[Model-Spec],PrévisionBoris[[#This Row],[Spec]],LstMachines[Status],PrévisionBoris[[#This Row],[Status]],LstMachines[MoisLivr],Q$1)</f>
        <v>0</v>
      </c>
      <c r="R267" s="220">
        <f>SUMIFS(LstMachines[Nbre],LstMachines[Model-Spec],PrévisionBoris[[#This Row],[Spec]],LstMachines[Status],PrévisionBoris[[#This Row],[Status]],LstMachines[MoisLivr],R$1)</f>
        <v>0</v>
      </c>
      <c r="S267" s="220">
        <f>SUMIFS(LstMachines[Nbre],LstMachines[Model-Spec],PrévisionBoris[[#This Row],[Spec]],LstMachines[Status],PrévisionBoris[[#This Row],[Status]],LstMachines[MoisLivr],S$1)</f>
        <v>0</v>
      </c>
      <c r="T267" s="219">
        <f>SUMIFS(LstMachines[Nbre],LstMachines[Model-Spec],PrévisionBoris[[#This Row],[Spec]],LstMachines[Status],PrévisionBoris[[#This Row],[Status]],LstMachines[MoisLivr],T$1)</f>
        <v>0</v>
      </c>
      <c r="U267" s="220">
        <f>SUMIFS(LstMachines[Nbre],LstMachines[Model-Spec],PrévisionBoris[[#This Row],[Spec]],LstMachines[Status],PrévisionBoris[[#This Row],[Status]],LstMachines[MoisLivr],U$1)</f>
        <v>0</v>
      </c>
      <c r="V267" s="220">
        <f>SUMIFS(LstMachines[Nbre],LstMachines[Model-Spec],PrévisionBoris[[#This Row],[Spec]],LstMachines[Status],PrévisionBoris[[#This Row],[Status]],LstMachines[MoisLivr],V$1)</f>
        <v>0</v>
      </c>
      <c r="W267" s="219">
        <f>SUMIFS(LstMachines[Nbre],LstMachines[Model-Spec],PrévisionBoris[[#This Row],[Spec]],LstMachines[Status],PrévisionBoris[[#This Row],[Status]],LstMachines[MoisLivr],W$1)</f>
        <v>0</v>
      </c>
      <c r="X267" s="220">
        <f>SUMIFS(LstMachines[Nbre],LstMachines[Model-Spec],PrévisionBoris[[#This Row],[Spec]],LstMachines[Status],PrévisionBoris[[#This Row],[Status]],LstMachines[MoisLivr],X$1)</f>
        <v>0</v>
      </c>
      <c r="Y267" s="220">
        <f>SUMIFS(LstMachines[Nbre],LstMachines[Model-Spec],PrévisionBoris[[#This Row],[Spec]],LstMachines[Status],PrévisionBoris[[#This Row],[Status]],LstMachines[MoisLivr],Y$1)</f>
        <v>0</v>
      </c>
      <c r="Z267" s="219">
        <f>SUMIFS(LstMachines[Nbre],LstMachines[Model-Spec],PrévisionBoris[[#This Row],[Spec]],LstMachines[Status],PrévisionBoris[[#This Row],[Status]],LstMachines[MoisLivr],Z$1)</f>
        <v>0</v>
      </c>
      <c r="AA267" s="220">
        <f>SUMIFS(LstMachines[Nbre],LstMachines[Model-Spec],PrévisionBoris[[#This Row],[Spec]],LstMachines[Status],PrévisionBoris[[#This Row],[Status]],LstMachines[MoisLivr],AA$1)</f>
        <v>0</v>
      </c>
      <c r="AB267" s="220">
        <f>SUMIFS(LstMachines[Nbre],LstMachines[Model-Spec],PrévisionBoris[[#This Row],[Spec]],LstMachines[Status],PrévisionBoris[[#This Row],[Status]],LstMachines[MoisLivr],AB$1)</f>
        <v>0</v>
      </c>
      <c r="AC267" s="219">
        <f>SUMIFS(LstMachines[Nbre],LstMachines[Model-Spec],PrévisionBoris[[#This Row],[Spec]],LstMachines[Status],PrévisionBoris[[#This Row],[Status]],LstMachines[MoisLivr],AC$1)</f>
        <v>0</v>
      </c>
      <c r="AD267" s="220">
        <f>SUMIFS(LstMachines[Nbre],LstMachines[Model-Spec],PrévisionBoris[[#This Row],[Spec]],LstMachines[Status],PrévisionBoris[[#This Row],[Status]],LstMachines[MoisLivr],AD$1)</f>
        <v>0</v>
      </c>
      <c r="AE267" s="220">
        <f>SUMIFS(LstMachines[Nbre],LstMachines[Model-Spec],PrévisionBoris[[#This Row],[Spec]],LstMachines[Status],PrévisionBoris[[#This Row],[Status]],LstMachines[MoisLivr],AE$1)</f>
        <v>0</v>
      </c>
      <c r="AF267" s="219">
        <f>SUMIFS(LstMachines[Nbre],LstMachines[Model-Spec],PrévisionBoris[[#This Row],[Spec]],LstMachines[Status],PrévisionBoris[[#This Row],[Status]],LstMachines[MoisLivr],AF$1)</f>
        <v>0</v>
      </c>
      <c r="AG267" s="220">
        <f>SUMIFS(LstMachines[Nbre],LstMachines[Model-Spec],PrévisionBoris[[#This Row],[Spec]],LstMachines[Status],PrévisionBoris[[#This Row],[Status]],LstMachines[MoisLivr],AG$1)</f>
        <v>0</v>
      </c>
      <c r="AH267" s="220">
        <f>SUMIFS(LstMachines[Nbre],LstMachines[Model-Spec],PrévisionBoris[[#This Row],[Spec]],LstMachines[Status],PrévisionBoris[[#This Row],[Status]],LstMachines[MoisLivr],AH$1)</f>
        <v>0</v>
      </c>
      <c r="AI267" s="219">
        <f>SUMIFS(LstMachines[Nbre],LstMachines[Model-Spec],PrévisionBoris[[#This Row],[Spec]],LstMachines[Status],PrévisionBoris[[#This Row],[Status]],LstMachines[MoisLivr],AI$1)</f>
        <v>0</v>
      </c>
      <c r="AJ267" s="220">
        <f>SUMIFS(LstMachines[Nbre],LstMachines[Model-Spec],PrévisionBoris[[#This Row],[Spec]],LstMachines[Status],PrévisionBoris[[#This Row],[Status]],LstMachines[MoisLivr],AJ$1)</f>
        <v>0</v>
      </c>
      <c r="AK267" s="220">
        <f>SUMIFS(LstMachines[Nbre],LstMachines[Model-Spec],PrévisionBoris[[#This Row],[Spec]],LstMachines[Status],PrévisionBoris[[#This Row],[Status]],LstMachines[MoisLivr],AK$1)</f>
        <v>0</v>
      </c>
      <c r="AL267" s="219">
        <f>SUMIFS(LstMachines[Nbre],LstMachines[Model-Spec],PrévisionBoris[[#This Row],[Spec]],LstMachines[Status],PrévisionBoris[[#This Row],[Status]],LstMachines[MoisLivr],AL$1)</f>
        <v>0</v>
      </c>
      <c r="AM267" s="220">
        <f>SUMIFS(LstMachines[Nbre],LstMachines[Model-Spec],PrévisionBoris[[#This Row],[Spec]],LstMachines[Status],PrévisionBoris[[#This Row],[Status]],LstMachines[MoisLivr],AM$1)</f>
        <v>0</v>
      </c>
      <c r="AN267" s="220">
        <f>SUMIFS(LstMachines[Nbre],LstMachines[Model-Spec],PrévisionBoris[[#This Row],[Spec]],LstMachines[Status],PrévisionBoris[[#This Row],[Status]],LstMachines[MoisLivr],AN$1)</f>
        <v>0</v>
      </c>
      <c r="AO267" s="219">
        <f>SUMIFS(LstMachines[Nbre],LstMachines[Model-Spec],PrévisionBoris[[#This Row],[Spec]],LstMachines[Status],PrévisionBoris[[#This Row],[Status]],LstMachines[MoisLivr],AO$1)</f>
        <v>0</v>
      </c>
      <c r="AP267" s="220">
        <f>SUMIFS(LstMachines[Nbre],LstMachines[Model-Spec],PrévisionBoris[[#This Row],[Spec]],LstMachines[Status],PrévisionBoris[[#This Row],[Status]],LstMachines[MoisLivr],AP$1)</f>
        <v>0</v>
      </c>
      <c r="AQ267" s="220">
        <f>SUMIFS(LstMachines[Nbre],LstMachines[Model-Spec],PrévisionBoris[[#This Row],[Spec]],LstMachines[Status],PrévisionBoris[[#This Row],[Status]],LstMachines[MoisLivr],AQ$1)</f>
        <v>0</v>
      </c>
      <c r="AR267" s="219">
        <f>SUMIFS(LstMachines[Nbre],LstMachines[Model-Spec],PrévisionBoris[[#This Row],[Spec]],LstMachines[Status],PrévisionBoris[[#This Row],[Status]],LstMachines[MoisLivr],AR$1)</f>
        <v>0</v>
      </c>
      <c r="AS267" s="220">
        <f>SUMIFS(LstMachines[Nbre],LstMachines[Model-Spec],PrévisionBoris[[#This Row],[Spec]],LstMachines[Status],PrévisionBoris[[#This Row],[Status]],LstMachines[MoisLivr],AS$1)</f>
        <v>0</v>
      </c>
      <c r="AT267" s="220">
        <f>SUMIFS(LstMachines[Nbre],LstMachines[Model-Spec],PrévisionBoris[[#This Row],[Spec]],LstMachines[Status],PrévisionBoris[[#This Row],[Status]],LstMachines[MoisLivr],AT$1)</f>
        <v>0</v>
      </c>
      <c r="AU267" s="219">
        <f>SUMIFS(LstMachines[Nbre],LstMachines[Model-Spec],PrévisionBoris[[#This Row],[Spec]],LstMachines[Status],PrévisionBoris[[#This Row],[Status]],LstMachines[MoisLivr],AU$1)</f>
        <v>0</v>
      </c>
      <c r="AV267" s="223">
        <f>SUMIFS(LstMachines[Nbre],LstMachines[Model-Spec],PrévisionBoris[[#This Row],[Spec]],LstMachines[Status],PrévisionBoris[[#This Row],[Status]],LstMachines[MoisLivr],AV$1)</f>
        <v>0</v>
      </c>
      <c r="AW267" s="224">
        <f>SUMIFS(LstMachines[Nbre],LstMachines[Model-Spec],PrévisionBoris[[#This Row],[Spec]],LstMachines[Status],PrévisionBoris[[#This Row],[Status]],LstMachines[MoisLivr],AW$1)</f>
        <v>0</v>
      </c>
      <c r="AX267" s="210"/>
      <c r="AY267" s="211">
        <f t="shared" si="67"/>
        <v>0</v>
      </c>
      <c r="AZ267" s="212">
        <f t="shared" si="68"/>
        <v>0</v>
      </c>
      <c r="BA267" s="212">
        <f t="shared" si="69"/>
        <v>0</v>
      </c>
      <c r="BB267" s="213">
        <f t="shared" si="70"/>
        <v>0</v>
      </c>
      <c r="BC267" s="225">
        <f t="shared" si="71"/>
        <v>0</v>
      </c>
      <c r="BD267" s="211">
        <f t="shared" si="72"/>
        <v>0</v>
      </c>
      <c r="BE267" s="212">
        <f t="shared" si="73"/>
        <v>0</v>
      </c>
      <c r="BF267" s="212">
        <f t="shared" si="74"/>
        <v>0</v>
      </c>
      <c r="BG267" s="213">
        <f t="shared" si="75"/>
        <v>0</v>
      </c>
      <c r="BH267" s="225">
        <f t="shared" si="76"/>
        <v>0</v>
      </c>
      <c r="BI267" s="214">
        <f t="shared" si="77"/>
        <v>0</v>
      </c>
      <c r="BJ267" s="215">
        <f t="shared" si="78"/>
        <v>0</v>
      </c>
      <c r="BK267" s="215">
        <f t="shared" si="79"/>
        <v>0</v>
      </c>
      <c r="BL267" s="216">
        <f t="shared" si="80"/>
        <v>0</v>
      </c>
      <c r="BM267" s="225">
        <f t="shared" si="81"/>
        <v>0</v>
      </c>
      <c r="BN267" s="225"/>
      <c r="BO267" s="217"/>
      <c r="BP267" s="218">
        <f t="shared" si="82"/>
        <v>0</v>
      </c>
    </row>
    <row r="268" spans="1:68">
      <c r="A268" s="171">
        <v>261</v>
      </c>
      <c r="B268" s="171" t="s">
        <v>85</v>
      </c>
      <c r="C268" s="201">
        <v>225</v>
      </c>
      <c r="D268" s="171" t="s">
        <v>202</v>
      </c>
      <c r="E268" s="171" t="s">
        <v>204</v>
      </c>
      <c r="F268" s="201">
        <f>VLOOKUP(PrévisionBoris[[#This Row],[Spec]],TabModelSpecs[[ModelSpec]:[Price]],2,FALSE)</f>
        <v>135</v>
      </c>
      <c r="G268" s="171" t="s">
        <v>463</v>
      </c>
      <c r="H268" s="226">
        <f>SUMIFS(LstMachines[Nbre],LstMachines[Model-Spec],PrévisionBoris[[#This Row],[Spec]],LstMachines[Status],PrévisionBoris[[#This Row],[Status]],LstMachines[MoisLivr],H$1)</f>
        <v>0</v>
      </c>
      <c r="I268" s="227">
        <f>SUMIFS(LstMachines[Nbre],LstMachines[Model-Spec],PrévisionBoris[[#This Row],[Spec]],LstMachines[Status],PrévisionBoris[[#This Row],[Status]],LstMachines[MoisLivr],I$1)</f>
        <v>0</v>
      </c>
      <c r="J268" s="228">
        <f>SUMIFS(LstMachines[Nbre],LstMachines[Model-Spec],PrévisionBoris[[#This Row],[Spec]],LstMachines[Status],PrévisionBoris[[#This Row],[Status]],LstMachines[MoisLivr],J$1)</f>
        <v>0</v>
      </c>
      <c r="K268" s="226">
        <f>SUMIFS(LstMachines[Nbre],LstMachines[Model-Spec],PrévisionBoris[[#This Row],[Spec]],LstMachines[Status],PrévisionBoris[[#This Row],[Status]],LstMachines[MoisLivr],K$1)</f>
        <v>0</v>
      </c>
      <c r="L268" s="227">
        <f>SUMIFS(LstMachines[Nbre],LstMachines[Model-Spec],PrévisionBoris[[#This Row],[Spec]],LstMachines[Status],PrévisionBoris[[#This Row],[Status]],LstMachines[MoisLivr],L$1)</f>
        <v>1</v>
      </c>
      <c r="M268" s="228">
        <f>SUMIFS(LstMachines[Nbre],LstMachines[Model-Spec],PrévisionBoris[[#This Row],[Spec]],LstMachines[Status],PrévisionBoris[[#This Row],[Status]],LstMachines[MoisLivr],M$1)</f>
        <v>0</v>
      </c>
      <c r="N268" s="226">
        <f>SUMIFS(LstMachines[Nbre],LstMachines[Model-Spec],PrévisionBoris[[#This Row],[Spec]],LstMachines[Status],PrévisionBoris[[#This Row],[Status]],LstMachines[MoisLivr],N$1)</f>
        <v>0</v>
      </c>
      <c r="O268" s="227">
        <f>SUMIFS(LstMachines[Nbre],LstMachines[Model-Spec],PrévisionBoris[[#This Row],[Spec]],LstMachines[Status],PrévisionBoris[[#This Row],[Status]],LstMachines[MoisLivr],O$1)</f>
        <v>0</v>
      </c>
      <c r="P268" s="228">
        <f>SUMIFS(LstMachines[Nbre],LstMachines[Model-Spec],PrévisionBoris[[#This Row],[Spec]],LstMachines[Status],PrévisionBoris[[#This Row],[Status]],LstMachines[MoisLivr],P$1)</f>
        <v>0</v>
      </c>
      <c r="Q268" s="229">
        <f>SUMIFS(LstMachines[Nbre],LstMachines[Model-Spec],PrévisionBoris[[#This Row],[Spec]],LstMachines[Status],PrévisionBoris[[#This Row],[Status]],LstMachines[MoisLivr],Q$1)</f>
        <v>0</v>
      </c>
      <c r="R268" s="227">
        <f>SUMIFS(LstMachines[Nbre],LstMachines[Model-Spec],PrévisionBoris[[#This Row],[Spec]],LstMachines[Status],PrévisionBoris[[#This Row],[Status]],LstMachines[MoisLivr],R$1)</f>
        <v>0</v>
      </c>
      <c r="S268" s="227">
        <f>SUMIFS(LstMachines[Nbre],LstMachines[Model-Spec],PrévisionBoris[[#This Row],[Spec]],LstMachines[Status],PrévisionBoris[[#This Row],[Status]],LstMachines[MoisLivr],S$1)</f>
        <v>0</v>
      </c>
      <c r="T268" s="226">
        <f>SUMIFS(LstMachines[Nbre],LstMachines[Model-Spec],PrévisionBoris[[#This Row],[Spec]],LstMachines[Status],PrévisionBoris[[#This Row],[Status]],LstMachines[MoisLivr],T$1)</f>
        <v>0</v>
      </c>
      <c r="U268" s="227">
        <f>SUMIFS(LstMachines[Nbre],LstMachines[Model-Spec],PrévisionBoris[[#This Row],[Spec]],LstMachines[Status],PrévisionBoris[[#This Row],[Status]],LstMachines[MoisLivr],U$1)</f>
        <v>0</v>
      </c>
      <c r="V268" s="227">
        <f>SUMIFS(LstMachines[Nbre],LstMachines[Model-Spec],PrévisionBoris[[#This Row],[Spec]],LstMachines[Status],PrévisionBoris[[#This Row],[Status]],LstMachines[MoisLivr],V$1)</f>
        <v>0</v>
      </c>
      <c r="W268" s="226">
        <f>SUMIFS(LstMachines[Nbre],LstMachines[Model-Spec],PrévisionBoris[[#This Row],[Spec]],LstMachines[Status],PrévisionBoris[[#This Row],[Status]],LstMachines[MoisLivr],W$1)</f>
        <v>0</v>
      </c>
      <c r="X268" s="227">
        <f>SUMIFS(LstMachines[Nbre],LstMachines[Model-Spec],PrévisionBoris[[#This Row],[Spec]],LstMachines[Status],PrévisionBoris[[#This Row],[Status]],LstMachines[MoisLivr],X$1)</f>
        <v>0</v>
      </c>
      <c r="Y268" s="227">
        <f>SUMIFS(LstMachines[Nbre],LstMachines[Model-Spec],PrévisionBoris[[#This Row],[Spec]],LstMachines[Status],PrévisionBoris[[#This Row],[Status]],LstMachines[MoisLivr],Y$1)</f>
        <v>0</v>
      </c>
      <c r="Z268" s="226">
        <f>SUMIFS(LstMachines[Nbre],LstMachines[Model-Spec],PrévisionBoris[[#This Row],[Spec]],LstMachines[Status],PrévisionBoris[[#This Row],[Status]],LstMachines[MoisLivr],Z$1)</f>
        <v>0</v>
      </c>
      <c r="AA268" s="227">
        <f>SUMIFS(LstMachines[Nbre],LstMachines[Model-Spec],PrévisionBoris[[#This Row],[Spec]],LstMachines[Status],PrévisionBoris[[#This Row],[Status]],LstMachines[MoisLivr],AA$1)</f>
        <v>0</v>
      </c>
      <c r="AB268" s="227">
        <f>SUMIFS(LstMachines[Nbre],LstMachines[Model-Spec],PrévisionBoris[[#This Row],[Spec]],LstMachines[Status],PrévisionBoris[[#This Row],[Status]],LstMachines[MoisLivr],AB$1)</f>
        <v>0</v>
      </c>
      <c r="AC268" s="226">
        <f>SUMIFS(LstMachines[Nbre],LstMachines[Model-Spec],PrévisionBoris[[#This Row],[Spec]],LstMachines[Status],PrévisionBoris[[#This Row],[Status]],LstMachines[MoisLivr],AC$1)</f>
        <v>0</v>
      </c>
      <c r="AD268" s="227">
        <f>SUMIFS(LstMachines[Nbre],LstMachines[Model-Spec],PrévisionBoris[[#This Row],[Spec]],LstMachines[Status],PrévisionBoris[[#This Row],[Status]],LstMachines[MoisLivr],AD$1)</f>
        <v>0</v>
      </c>
      <c r="AE268" s="227">
        <f>SUMIFS(LstMachines[Nbre],LstMachines[Model-Spec],PrévisionBoris[[#This Row],[Spec]],LstMachines[Status],PrévisionBoris[[#This Row],[Status]],LstMachines[MoisLivr],AE$1)</f>
        <v>0</v>
      </c>
      <c r="AF268" s="226">
        <f>SUMIFS(LstMachines[Nbre],LstMachines[Model-Spec],PrévisionBoris[[#This Row],[Spec]],LstMachines[Status],PrévisionBoris[[#This Row],[Status]],LstMachines[MoisLivr],AF$1)</f>
        <v>0</v>
      </c>
      <c r="AG268" s="227">
        <f>SUMIFS(LstMachines[Nbre],LstMachines[Model-Spec],PrévisionBoris[[#This Row],[Spec]],LstMachines[Status],PrévisionBoris[[#This Row],[Status]],LstMachines[MoisLivr],AG$1)</f>
        <v>0</v>
      </c>
      <c r="AH268" s="227">
        <f>SUMIFS(LstMachines[Nbre],LstMachines[Model-Spec],PrévisionBoris[[#This Row],[Spec]],LstMachines[Status],PrévisionBoris[[#This Row],[Status]],LstMachines[MoisLivr],AH$1)</f>
        <v>0</v>
      </c>
      <c r="AI268" s="226">
        <f>SUMIFS(LstMachines[Nbre],LstMachines[Model-Spec],PrévisionBoris[[#This Row],[Spec]],LstMachines[Status],PrévisionBoris[[#This Row],[Status]],LstMachines[MoisLivr],AI$1)</f>
        <v>0</v>
      </c>
      <c r="AJ268" s="227">
        <f>SUMIFS(LstMachines[Nbre],LstMachines[Model-Spec],PrévisionBoris[[#This Row],[Spec]],LstMachines[Status],PrévisionBoris[[#This Row],[Status]],LstMachines[MoisLivr],AJ$1)</f>
        <v>0</v>
      </c>
      <c r="AK268" s="227">
        <f>SUMIFS(LstMachines[Nbre],LstMachines[Model-Spec],PrévisionBoris[[#This Row],[Spec]],LstMachines[Status],PrévisionBoris[[#This Row],[Status]],LstMachines[MoisLivr],AK$1)</f>
        <v>0</v>
      </c>
      <c r="AL268" s="226">
        <f>SUMIFS(LstMachines[Nbre],LstMachines[Model-Spec],PrévisionBoris[[#This Row],[Spec]],LstMachines[Status],PrévisionBoris[[#This Row],[Status]],LstMachines[MoisLivr],AL$1)</f>
        <v>0</v>
      </c>
      <c r="AM268" s="227">
        <f>SUMIFS(LstMachines[Nbre],LstMachines[Model-Spec],PrévisionBoris[[#This Row],[Spec]],LstMachines[Status],PrévisionBoris[[#This Row],[Status]],LstMachines[MoisLivr],AM$1)</f>
        <v>0</v>
      </c>
      <c r="AN268" s="227">
        <f>SUMIFS(LstMachines[Nbre],LstMachines[Model-Spec],PrévisionBoris[[#This Row],[Spec]],LstMachines[Status],PrévisionBoris[[#This Row],[Status]],LstMachines[MoisLivr],AN$1)</f>
        <v>0</v>
      </c>
      <c r="AO268" s="226">
        <f>SUMIFS(LstMachines[Nbre],LstMachines[Model-Spec],PrévisionBoris[[#This Row],[Spec]],LstMachines[Status],PrévisionBoris[[#This Row],[Status]],LstMachines[MoisLivr],AO$1)</f>
        <v>0</v>
      </c>
      <c r="AP268" s="227">
        <f>SUMIFS(LstMachines[Nbre],LstMachines[Model-Spec],PrévisionBoris[[#This Row],[Spec]],LstMachines[Status],PrévisionBoris[[#This Row],[Status]],LstMachines[MoisLivr],AP$1)</f>
        <v>0</v>
      </c>
      <c r="AQ268" s="227">
        <f>SUMIFS(LstMachines[Nbre],LstMachines[Model-Spec],PrévisionBoris[[#This Row],[Spec]],LstMachines[Status],PrévisionBoris[[#This Row],[Status]],LstMachines[MoisLivr],AQ$1)</f>
        <v>0</v>
      </c>
      <c r="AR268" s="226">
        <f>SUMIFS(LstMachines[Nbre],LstMachines[Model-Spec],PrévisionBoris[[#This Row],[Spec]],LstMachines[Status],PrévisionBoris[[#This Row],[Status]],LstMachines[MoisLivr],AR$1)</f>
        <v>0</v>
      </c>
      <c r="AS268" s="227">
        <f>SUMIFS(LstMachines[Nbre],LstMachines[Model-Spec],PrévisionBoris[[#This Row],[Spec]],LstMachines[Status],PrévisionBoris[[#This Row],[Status]],LstMachines[MoisLivr],AS$1)</f>
        <v>0</v>
      </c>
      <c r="AT268" s="227">
        <f>SUMIFS(LstMachines[Nbre],LstMachines[Model-Spec],PrévisionBoris[[#This Row],[Spec]],LstMachines[Status],PrévisionBoris[[#This Row],[Status]],LstMachines[MoisLivr],AT$1)</f>
        <v>0</v>
      </c>
      <c r="AU268" s="226">
        <f>SUMIFS(LstMachines[Nbre],LstMachines[Model-Spec],PrévisionBoris[[#This Row],[Spec]],LstMachines[Status],PrévisionBoris[[#This Row],[Status]],LstMachines[MoisLivr],AU$1)</f>
        <v>0</v>
      </c>
      <c r="AV268" s="230">
        <f>SUMIFS(LstMachines[Nbre],LstMachines[Model-Spec],PrévisionBoris[[#This Row],[Spec]],LstMachines[Status],PrévisionBoris[[#This Row],[Status]],LstMachines[MoisLivr],AV$1)</f>
        <v>0</v>
      </c>
      <c r="AW268" s="231">
        <f>SUMIFS(LstMachines[Nbre],LstMachines[Model-Spec],PrévisionBoris[[#This Row],[Spec]],LstMachines[Status],PrévisionBoris[[#This Row],[Status]],LstMachines[MoisLivr],AW$1)</f>
        <v>0</v>
      </c>
      <c r="AX268" s="232"/>
      <c r="AY268" s="211">
        <f t="shared" si="67"/>
        <v>1</v>
      </c>
      <c r="AZ268" s="212">
        <f t="shared" si="68"/>
        <v>0</v>
      </c>
      <c r="BA268" s="212">
        <f t="shared" si="69"/>
        <v>0</v>
      </c>
      <c r="BB268" s="213">
        <f t="shared" si="70"/>
        <v>0</v>
      </c>
      <c r="BC268" s="225">
        <f t="shared" si="71"/>
        <v>1</v>
      </c>
      <c r="BD268" s="211">
        <f t="shared" si="72"/>
        <v>0</v>
      </c>
      <c r="BE268" s="212">
        <f t="shared" si="73"/>
        <v>0</v>
      </c>
      <c r="BF268" s="212">
        <f t="shared" si="74"/>
        <v>0</v>
      </c>
      <c r="BG268" s="213">
        <f t="shared" si="75"/>
        <v>0</v>
      </c>
      <c r="BH268" s="225">
        <f t="shared" si="76"/>
        <v>0</v>
      </c>
      <c r="BI268" s="214">
        <f t="shared" si="77"/>
        <v>0</v>
      </c>
      <c r="BJ268" s="215">
        <f t="shared" si="78"/>
        <v>0</v>
      </c>
      <c r="BK268" s="215">
        <f t="shared" si="79"/>
        <v>0</v>
      </c>
      <c r="BL268" s="216">
        <f t="shared" si="80"/>
        <v>0</v>
      </c>
      <c r="BM268" s="225">
        <f t="shared" si="81"/>
        <v>0</v>
      </c>
      <c r="BN268" s="225"/>
      <c r="BO268" s="217"/>
      <c r="BP268" s="218">
        <f t="shared" si="82"/>
        <v>1</v>
      </c>
    </row>
    <row r="269" spans="1:68">
      <c r="A269" s="172">
        <v>262</v>
      </c>
      <c r="B269" s="172" t="s">
        <v>85</v>
      </c>
      <c r="C269" s="202">
        <v>225</v>
      </c>
      <c r="D269" s="172" t="s">
        <v>202</v>
      </c>
      <c r="E269" s="172" t="s">
        <v>205</v>
      </c>
      <c r="F269" s="202">
        <f>VLOOKUP(PrévisionBoris[[#This Row],[Spec]],TabModelSpecs[[ModelSpec]:[Price]],2,FALSE)</f>
        <v>120</v>
      </c>
      <c r="G269" s="172" t="s">
        <v>461</v>
      </c>
      <c r="H269" s="206">
        <f>SUMIFS(LstMachines[Nbre],LstMachines[Model-Spec],PrévisionBoris[[#This Row],[Spec]],LstMachines[Status],PrévisionBoris[[#This Row],[Status]],LstMachines[MoisLivr],H$1)</f>
        <v>0</v>
      </c>
      <c r="I269" s="207">
        <f>SUMIFS(LstMachines[Nbre],LstMachines[Model-Spec],PrévisionBoris[[#This Row],[Spec]],LstMachines[Status],PrévisionBoris[[#This Row],[Status]],LstMachines[MoisLivr],I$1)</f>
        <v>0</v>
      </c>
      <c r="J269" s="208">
        <f>SUMIFS(LstMachines[Nbre],LstMachines[Model-Spec],PrévisionBoris[[#This Row],[Spec]],LstMachines[Status],PrévisionBoris[[#This Row],[Status]],LstMachines[MoisLivr],J$1)</f>
        <v>0</v>
      </c>
      <c r="K269" s="206">
        <f>SUMIFS(LstMachines[Nbre],LstMachines[Model-Spec],PrévisionBoris[[#This Row],[Spec]],LstMachines[Status],PrévisionBoris[[#This Row],[Status]],LstMachines[MoisLivr],K$1)</f>
        <v>0</v>
      </c>
      <c r="L269" s="207">
        <f>SUMIFS(LstMachines[Nbre],LstMachines[Model-Spec],PrévisionBoris[[#This Row],[Spec]],LstMachines[Status],PrévisionBoris[[#This Row],[Status]],LstMachines[MoisLivr],L$1)</f>
        <v>0</v>
      </c>
      <c r="M269" s="208">
        <f>SUMIFS(LstMachines[Nbre],LstMachines[Model-Spec],PrévisionBoris[[#This Row],[Spec]],LstMachines[Status],PrévisionBoris[[#This Row],[Status]],LstMachines[MoisLivr],M$1)</f>
        <v>0</v>
      </c>
      <c r="N269" s="206">
        <f>SUMIFS(LstMachines[Nbre],LstMachines[Model-Spec],PrévisionBoris[[#This Row],[Spec]],LstMachines[Status],PrévisionBoris[[#This Row],[Status]],LstMachines[MoisLivr],N$1)</f>
        <v>0</v>
      </c>
      <c r="O269" s="207">
        <f>SUMIFS(LstMachines[Nbre],LstMachines[Model-Spec],PrévisionBoris[[#This Row],[Spec]],LstMachines[Status],PrévisionBoris[[#This Row],[Status]],LstMachines[MoisLivr],O$1)</f>
        <v>0</v>
      </c>
      <c r="P269" s="208">
        <f>SUMIFS(LstMachines[Nbre],LstMachines[Model-Spec],PrévisionBoris[[#This Row],[Spec]],LstMachines[Status],PrévisionBoris[[#This Row],[Status]],LstMachines[MoisLivr],P$1)</f>
        <v>1</v>
      </c>
      <c r="Q269" s="209">
        <f>SUMIFS(LstMachines[Nbre],LstMachines[Model-Spec],PrévisionBoris[[#This Row],[Spec]],LstMachines[Status],PrévisionBoris[[#This Row],[Status]],LstMachines[MoisLivr],Q$1)</f>
        <v>0</v>
      </c>
      <c r="R269" s="207">
        <f>SUMIFS(LstMachines[Nbre],LstMachines[Model-Spec],PrévisionBoris[[#This Row],[Spec]],LstMachines[Status],PrévisionBoris[[#This Row],[Status]],LstMachines[MoisLivr],R$1)</f>
        <v>1</v>
      </c>
      <c r="S269" s="207">
        <f>SUMIFS(LstMachines[Nbre],LstMachines[Model-Spec],PrévisionBoris[[#This Row],[Spec]],LstMachines[Status],PrévisionBoris[[#This Row],[Status]],LstMachines[MoisLivr],S$1)</f>
        <v>3</v>
      </c>
      <c r="T269" s="206">
        <f>SUMIFS(LstMachines[Nbre],LstMachines[Model-Spec],PrévisionBoris[[#This Row],[Spec]],LstMachines[Status],PrévisionBoris[[#This Row],[Status]],LstMachines[MoisLivr],T$1)</f>
        <v>0</v>
      </c>
      <c r="U269" s="207">
        <f>SUMIFS(LstMachines[Nbre],LstMachines[Model-Spec],PrévisionBoris[[#This Row],[Spec]],LstMachines[Status],PrévisionBoris[[#This Row],[Status]],LstMachines[MoisLivr],U$1)</f>
        <v>0</v>
      </c>
      <c r="V269" s="207">
        <f>SUMIFS(LstMachines[Nbre],LstMachines[Model-Spec],PrévisionBoris[[#This Row],[Spec]],LstMachines[Status],PrévisionBoris[[#This Row],[Status]],LstMachines[MoisLivr],V$1)</f>
        <v>0</v>
      </c>
      <c r="W269" s="206">
        <f>SUMIFS(LstMachines[Nbre],LstMachines[Model-Spec],PrévisionBoris[[#This Row],[Spec]],LstMachines[Status],PrévisionBoris[[#This Row],[Status]],LstMachines[MoisLivr],W$1)</f>
        <v>0</v>
      </c>
      <c r="X269" s="207">
        <f>SUMIFS(LstMachines[Nbre],LstMachines[Model-Spec],PrévisionBoris[[#This Row],[Spec]],LstMachines[Status],PrévisionBoris[[#This Row],[Status]],LstMachines[MoisLivr],X$1)</f>
        <v>0</v>
      </c>
      <c r="Y269" s="207">
        <f>SUMIFS(LstMachines[Nbre],LstMachines[Model-Spec],PrévisionBoris[[#This Row],[Spec]],LstMachines[Status],PrévisionBoris[[#This Row],[Status]],LstMachines[MoisLivr],Y$1)</f>
        <v>0</v>
      </c>
      <c r="Z269" s="206">
        <f>SUMIFS(LstMachines[Nbre],LstMachines[Model-Spec],PrévisionBoris[[#This Row],[Spec]],LstMachines[Status],PrévisionBoris[[#This Row],[Status]],LstMachines[MoisLivr],Z$1)</f>
        <v>0</v>
      </c>
      <c r="AA269" s="207">
        <f>SUMIFS(LstMachines[Nbre],LstMachines[Model-Spec],PrévisionBoris[[#This Row],[Spec]],LstMachines[Status],PrévisionBoris[[#This Row],[Status]],LstMachines[MoisLivr],AA$1)</f>
        <v>0</v>
      </c>
      <c r="AB269" s="207">
        <f>SUMIFS(LstMachines[Nbre],LstMachines[Model-Spec],PrévisionBoris[[#This Row],[Spec]],LstMachines[Status],PrévisionBoris[[#This Row],[Status]],LstMachines[MoisLivr],AB$1)</f>
        <v>2</v>
      </c>
      <c r="AC269" s="206">
        <f>SUMIFS(LstMachines[Nbre],LstMachines[Model-Spec],PrévisionBoris[[#This Row],[Spec]],LstMachines[Status],PrévisionBoris[[#This Row],[Status]],LstMachines[MoisLivr],AC$1)</f>
        <v>0</v>
      </c>
      <c r="AD269" s="207">
        <f>SUMIFS(LstMachines[Nbre],LstMachines[Model-Spec],PrévisionBoris[[#This Row],[Spec]],LstMachines[Status],PrévisionBoris[[#This Row],[Status]],LstMachines[MoisLivr],AD$1)</f>
        <v>0</v>
      </c>
      <c r="AE269" s="207">
        <f>SUMIFS(LstMachines[Nbre],LstMachines[Model-Spec],PrévisionBoris[[#This Row],[Spec]],LstMachines[Status],PrévisionBoris[[#This Row],[Status]],LstMachines[MoisLivr],AE$1)</f>
        <v>3</v>
      </c>
      <c r="AF269" s="206">
        <f>SUMIFS(LstMachines[Nbre],LstMachines[Model-Spec],PrévisionBoris[[#This Row],[Spec]],LstMachines[Status],PrévisionBoris[[#This Row],[Status]],LstMachines[MoisLivr],AF$1)</f>
        <v>0</v>
      </c>
      <c r="AG269" s="207">
        <f>SUMIFS(LstMachines[Nbre],LstMachines[Model-Spec],PrévisionBoris[[#This Row],[Spec]],LstMachines[Status],PrévisionBoris[[#This Row],[Status]],LstMachines[MoisLivr],AG$1)</f>
        <v>0</v>
      </c>
      <c r="AH269" s="207">
        <f>SUMIFS(LstMachines[Nbre],LstMachines[Model-Spec],PrévisionBoris[[#This Row],[Spec]],LstMachines[Status],PrévisionBoris[[#This Row],[Status]],LstMachines[MoisLivr],AH$1)</f>
        <v>0</v>
      </c>
      <c r="AI269" s="206">
        <f>SUMIFS(LstMachines[Nbre],LstMachines[Model-Spec],PrévisionBoris[[#This Row],[Spec]],LstMachines[Status],PrévisionBoris[[#This Row],[Status]],LstMachines[MoisLivr],AI$1)</f>
        <v>0</v>
      </c>
      <c r="AJ269" s="207">
        <f>SUMIFS(LstMachines[Nbre],LstMachines[Model-Spec],PrévisionBoris[[#This Row],[Spec]],LstMachines[Status],PrévisionBoris[[#This Row],[Status]],LstMachines[MoisLivr],AJ$1)</f>
        <v>0</v>
      </c>
      <c r="AK269" s="207">
        <f>SUMIFS(LstMachines[Nbre],LstMachines[Model-Spec],PrévisionBoris[[#This Row],[Spec]],LstMachines[Status],PrévisionBoris[[#This Row],[Status]],LstMachines[MoisLivr],AK$1)</f>
        <v>0</v>
      </c>
      <c r="AL269" s="206">
        <f>SUMIFS(LstMachines[Nbre],LstMachines[Model-Spec],PrévisionBoris[[#This Row],[Spec]],LstMachines[Status],PrévisionBoris[[#This Row],[Status]],LstMachines[MoisLivr],AL$1)</f>
        <v>0</v>
      </c>
      <c r="AM269" s="207">
        <f>SUMIFS(LstMachines[Nbre],LstMachines[Model-Spec],PrévisionBoris[[#This Row],[Spec]],LstMachines[Status],PrévisionBoris[[#This Row],[Status]],LstMachines[MoisLivr],AM$1)</f>
        <v>0</v>
      </c>
      <c r="AN269" s="207">
        <f>SUMIFS(LstMachines[Nbre],LstMachines[Model-Spec],PrévisionBoris[[#This Row],[Spec]],LstMachines[Status],PrévisionBoris[[#This Row],[Status]],LstMachines[MoisLivr],AN$1)</f>
        <v>3</v>
      </c>
      <c r="AO269" s="206">
        <f>SUMIFS(LstMachines[Nbre],LstMachines[Model-Spec],PrévisionBoris[[#This Row],[Spec]],LstMachines[Status],PrévisionBoris[[#This Row],[Status]],LstMachines[MoisLivr],AO$1)</f>
        <v>0</v>
      </c>
      <c r="AP269" s="207">
        <f>SUMIFS(LstMachines[Nbre],LstMachines[Model-Spec],PrévisionBoris[[#This Row],[Spec]],LstMachines[Status],PrévisionBoris[[#This Row],[Status]],LstMachines[MoisLivr],AP$1)</f>
        <v>0</v>
      </c>
      <c r="AQ269" s="207">
        <f>SUMIFS(LstMachines[Nbre],LstMachines[Model-Spec],PrévisionBoris[[#This Row],[Spec]],LstMachines[Status],PrévisionBoris[[#This Row],[Status]],LstMachines[MoisLivr],AQ$1)</f>
        <v>3</v>
      </c>
      <c r="AR269" s="206">
        <f>SUMIFS(LstMachines[Nbre],LstMachines[Model-Spec],PrévisionBoris[[#This Row],[Spec]],LstMachines[Status],PrévisionBoris[[#This Row],[Status]],LstMachines[MoisLivr],AR$1)</f>
        <v>0</v>
      </c>
      <c r="AS269" s="207">
        <f>SUMIFS(LstMachines[Nbre],LstMachines[Model-Spec],PrévisionBoris[[#This Row],[Spec]],LstMachines[Status],PrévisionBoris[[#This Row],[Status]],LstMachines[MoisLivr],AS$1)</f>
        <v>0</v>
      </c>
      <c r="AT269" s="207">
        <f>SUMIFS(LstMachines[Nbre],LstMachines[Model-Spec],PrévisionBoris[[#This Row],[Spec]],LstMachines[Status],PrévisionBoris[[#This Row],[Status]],LstMachines[MoisLivr],AT$1)</f>
        <v>0</v>
      </c>
      <c r="AU269" s="206">
        <f>SUMIFS(LstMachines[Nbre],LstMachines[Model-Spec],PrévisionBoris[[#This Row],[Spec]],LstMachines[Status],PrévisionBoris[[#This Row],[Status]],LstMachines[MoisLivr],AU$1)</f>
        <v>0</v>
      </c>
      <c r="AV269" s="233">
        <f>SUMIFS(LstMachines[Nbre],LstMachines[Model-Spec],PrévisionBoris[[#This Row],[Spec]],LstMachines[Status],PrévisionBoris[[#This Row],[Status]],LstMachines[MoisLivr],AV$1)</f>
        <v>0</v>
      </c>
      <c r="AW269" s="208">
        <f>SUMIFS(LstMachines[Nbre],LstMachines[Model-Spec],PrévisionBoris[[#This Row],[Spec]],LstMachines[Status],PrévisionBoris[[#This Row],[Status]],LstMachines[MoisLivr],AW$1)</f>
        <v>0</v>
      </c>
      <c r="AX269" s="225"/>
      <c r="AY269" s="211">
        <f t="shared" si="67"/>
        <v>0</v>
      </c>
      <c r="AZ269" s="212">
        <f t="shared" si="68"/>
        <v>1</v>
      </c>
      <c r="BA269" s="212">
        <f t="shared" si="69"/>
        <v>4</v>
      </c>
      <c r="BB269" s="213">
        <f t="shared" si="70"/>
        <v>0</v>
      </c>
      <c r="BC269" s="225">
        <f t="shared" si="71"/>
        <v>5</v>
      </c>
      <c r="BD269" s="211">
        <f t="shared" si="72"/>
        <v>0</v>
      </c>
      <c r="BE269" s="212">
        <f t="shared" si="73"/>
        <v>2</v>
      </c>
      <c r="BF269" s="212">
        <f t="shared" si="74"/>
        <v>3</v>
      </c>
      <c r="BG269" s="213">
        <f t="shared" si="75"/>
        <v>0</v>
      </c>
      <c r="BH269" s="225">
        <f t="shared" si="76"/>
        <v>5</v>
      </c>
      <c r="BI269" s="214">
        <f t="shared" si="77"/>
        <v>0</v>
      </c>
      <c r="BJ269" s="215">
        <f t="shared" si="78"/>
        <v>3</v>
      </c>
      <c r="BK269" s="215">
        <f t="shared" si="79"/>
        <v>3</v>
      </c>
      <c r="BL269" s="216">
        <f t="shared" si="80"/>
        <v>0</v>
      </c>
      <c r="BM269" s="225">
        <f t="shared" si="81"/>
        <v>6</v>
      </c>
      <c r="BN269" s="225"/>
      <c r="BO269" s="234"/>
      <c r="BP269" s="218">
        <f t="shared" si="82"/>
        <v>16</v>
      </c>
    </row>
    <row r="270" spans="1:68">
      <c r="A270" s="170">
        <v>263</v>
      </c>
      <c r="B270" s="170" t="s">
        <v>85</v>
      </c>
      <c r="C270" s="200">
        <v>225</v>
      </c>
      <c r="D270" s="170" t="s">
        <v>202</v>
      </c>
      <c r="E270" s="170" t="s">
        <v>205</v>
      </c>
      <c r="F270" s="200">
        <f>VLOOKUP(PrévisionBoris[[#This Row],[Spec]],TabModelSpecs[[ModelSpec]:[Price]],2,FALSE)</f>
        <v>120</v>
      </c>
      <c r="G270" s="170" t="s">
        <v>462</v>
      </c>
      <c r="H270" s="219">
        <f>SUMIFS(LstMachines[Nbre],LstMachines[Model-Spec],PrévisionBoris[[#This Row],[Spec]],LstMachines[Status],PrévisionBoris[[#This Row],[Status]],LstMachines[MoisLivr],H$1)</f>
        <v>0</v>
      </c>
      <c r="I270" s="220">
        <f>SUMIFS(LstMachines[Nbre],LstMachines[Model-Spec],PrévisionBoris[[#This Row],[Spec]],LstMachines[Status],PrévisionBoris[[#This Row],[Status]],LstMachines[MoisLivr],I$1)</f>
        <v>0</v>
      </c>
      <c r="J270" s="221">
        <f>SUMIFS(LstMachines[Nbre],LstMachines[Model-Spec],PrévisionBoris[[#This Row],[Spec]],LstMachines[Status],PrévisionBoris[[#This Row],[Status]],LstMachines[MoisLivr],J$1)</f>
        <v>0</v>
      </c>
      <c r="K270" s="219">
        <f>SUMIFS(LstMachines[Nbre],LstMachines[Model-Spec],PrévisionBoris[[#This Row],[Spec]],LstMachines[Status],PrévisionBoris[[#This Row],[Status]],LstMachines[MoisLivr],K$1)</f>
        <v>0</v>
      </c>
      <c r="L270" s="220">
        <f>SUMIFS(LstMachines[Nbre],LstMachines[Model-Spec],PrévisionBoris[[#This Row],[Spec]],LstMachines[Status],PrévisionBoris[[#This Row],[Status]],LstMachines[MoisLivr],L$1)</f>
        <v>0</v>
      </c>
      <c r="M270" s="221">
        <f>SUMIFS(LstMachines[Nbre],LstMachines[Model-Spec],PrévisionBoris[[#This Row],[Spec]],LstMachines[Status],PrévisionBoris[[#This Row],[Status]],LstMachines[MoisLivr],M$1)</f>
        <v>0</v>
      </c>
      <c r="N270" s="219">
        <f>SUMIFS(LstMachines[Nbre],LstMachines[Model-Spec],PrévisionBoris[[#This Row],[Spec]],LstMachines[Status],PrévisionBoris[[#This Row],[Status]],LstMachines[MoisLivr],N$1)</f>
        <v>0</v>
      </c>
      <c r="O270" s="220">
        <f>SUMIFS(LstMachines[Nbre],LstMachines[Model-Spec],PrévisionBoris[[#This Row],[Spec]],LstMachines[Status],PrévisionBoris[[#This Row],[Status]],LstMachines[MoisLivr],O$1)</f>
        <v>0</v>
      </c>
      <c r="P270" s="221">
        <f>SUMIFS(LstMachines[Nbre],LstMachines[Model-Spec],PrévisionBoris[[#This Row],[Spec]],LstMachines[Status],PrévisionBoris[[#This Row],[Status]],LstMachines[MoisLivr],P$1)</f>
        <v>0</v>
      </c>
      <c r="Q270" s="222">
        <f>SUMIFS(LstMachines[Nbre],LstMachines[Model-Spec],PrévisionBoris[[#This Row],[Spec]],LstMachines[Status],PrévisionBoris[[#This Row],[Status]],LstMachines[MoisLivr],Q$1)</f>
        <v>0</v>
      </c>
      <c r="R270" s="220">
        <f>SUMIFS(LstMachines[Nbre],LstMachines[Model-Spec],PrévisionBoris[[#This Row],[Spec]],LstMachines[Status],PrévisionBoris[[#This Row],[Status]],LstMachines[MoisLivr],R$1)</f>
        <v>0</v>
      </c>
      <c r="S270" s="220">
        <f>SUMIFS(LstMachines[Nbre],LstMachines[Model-Spec],PrévisionBoris[[#This Row],[Spec]],LstMachines[Status],PrévisionBoris[[#This Row],[Status]],LstMachines[MoisLivr],S$1)</f>
        <v>0</v>
      </c>
      <c r="T270" s="219">
        <f>SUMIFS(LstMachines[Nbre],LstMachines[Model-Spec],PrévisionBoris[[#This Row],[Spec]],LstMachines[Status],PrévisionBoris[[#This Row],[Status]],LstMachines[MoisLivr],T$1)</f>
        <v>0</v>
      </c>
      <c r="U270" s="220">
        <f>SUMIFS(LstMachines[Nbre],LstMachines[Model-Spec],PrévisionBoris[[#This Row],[Spec]],LstMachines[Status],PrévisionBoris[[#This Row],[Status]],LstMachines[MoisLivr],U$1)</f>
        <v>0</v>
      </c>
      <c r="V270" s="220">
        <f>SUMIFS(LstMachines[Nbre],LstMachines[Model-Spec],PrévisionBoris[[#This Row],[Spec]],LstMachines[Status],PrévisionBoris[[#This Row],[Status]],LstMachines[MoisLivr],V$1)</f>
        <v>0</v>
      </c>
      <c r="W270" s="219">
        <f>SUMIFS(LstMachines[Nbre],LstMachines[Model-Spec],PrévisionBoris[[#This Row],[Spec]],LstMachines[Status],PrévisionBoris[[#This Row],[Status]],LstMachines[MoisLivr],W$1)</f>
        <v>0</v>
      </c>
      <c r="X270" s="220">
        <f>SUMIFS(LstMachines[Nbre],LstMachines[Model-Spec],PrévisionBoris[[#This Row],[Spec]],LstMachines[Status],PrévisionBoris[[#This Row],[Status]],LstMachines[MoisLivr],X$1)</f>
        <v>0</v>
      </c>
      <c r="Y270" s="220">
        <f>SUMIFS(LstMachines[Nbre],LstMachines[Model-Spec],PrévisionBoris[[#This Row],[Spec]],LstMachines[Status],PrévisionBoris[[#This Row],[Status]],LstMachines[MoisLivr],Y$1)</f>
        <v>0</v>
      </c>
      <c r="Z270" s="219">
        <f>SUMIFS(LstMachines[Nbre],LstMachines[Model-Spec],PrévisionBoris[[#This Row],[Spec]],LstMachines[Status],PrévisionBoris[[#This Row],[Status]],LstMachines[MoisLivr],Z$1)</f>
        <v>0</v>
      </c>
      <c r="AA270" s="220">
        <f>SUMIFS(LstMachines[Nbre],LstMachines[Model-Spec],PrévisionBoris[[#This Row],[Spec]],LstMachines[Status],PrévisionBoris[[#This Row],[Status]],LstMachines[MoisLivr],AA$1)</f>
        <v>0</v>
      </c>
      <c r="AB270" s="220">
        <f>SUMIFS(LstMachines[Nbre],LstMachines[Model-Spec],PrévisionBoris[[#This Row],[Spec]],LstMachines[Status],PrévisionBoris[[#This Row],[Status]],LstMachines[MoisLivr],AB$1)</f>
        <v>0</v>
      </c>
      <c r="AC270" s="219">
        <f>SUMIFS(LstMachines[Nbre],LstMachines[Model-Spec],PrévisionBoris[[#This Row],[Spec]],LstMachines[Status],PrévisionBoris[[#This Row],[Status]],LstMachines[MoisLivr],AC$1)</f>
        <v>0</v>
      </c>
      <c r="AD270" s="220">
        <f>SUMIFS(LstMachines[Nbre],LstMachines[Model-Spec],PrévisionBoris[[#This Row],[Spec]],LstMachines[Status],PrévisionBoris[[#This Row],[Status]],LstMachines[MoisLivr],AD$1)</f>
        <v>0</v>
      </c>
      <c r="AE270" s="220">
        <f>SUMIFS(LstMachines[Nbre],LstMachines[Model-Spec],PrévisionBoris[[#This Row],[Spec]],LstMachines[Status],PrévisionBoris[[#This Row],[Status]],LstMachines[MoisLivr],AE$1)</f>
        <v>0</v>
      </c>
      <c r="AF270" s="219">
        <f>SUMIFS(LstMachines[Nbre],LstMachines[Model-Spec],PrévisionBoris[[#This Row],[Spec]],LstMachines[Status],PrévisionBoris[[#This Row],[Status]],LstMachines[MoisLivr],AF$1)</f>
        <v>0</v>
      </c>
      <c r="AG270" s="220">
        <f>SUMIFS(LstMachines[Nbre],LstMachines[Model-Spec],PrévisionBoris[[#This Row],[Spec]],LstMachines[Status],PrévisionBoris[[#This Row],[Status]],LstMachines[MoisLivr],AG$1)</f>
        <v>0</v>
      </c>
      <c r="AH270" s="220">
        <f>SUMIFS(LstMachines[Nbre],LstMachines[Model-Spec],PrévisionBoris[[#This Row],[Spec]],LstMachines[Status],PrévisionBoris[[#This Row],[Status]],LstMachines[MoisLivr],AH$1)</f>
        <v>0</v>
      </c>
      <c r="AI270" s="219">
        <f>SUMIFS(LstMachines[Nbre],LstMachines[Model-Spec],PrévisionBoris[[#This Row],[Spec]],LstMachines[Status],PrévisionBoris[[#This Row],[Status]],LstMachines[MoisLivr],AI$1)</f>
        <v>0</v>
      </c>
      <c r="AJ270" s="220">
        <f>SUMIFS(LstMachines[Nbre],LstMachines[Model-Spec],PrévisionBoris[[#This Row],[Spec]],LstMachines[Status],PrévisionBoris[[#This Row],[Status]],LstMachines[MoisLivr],AJ$1)</f>
        <v>0</v>
      </c>
      <c r="AK270" s="220">
        <f>SUMIFS(LstMachines[Nbre],LstMachines[Model-Spec],PrévisionBoris[[#This Row],[Spec]],LstMachines[Status],PrévisionBoris[[#This Row],[Status]],LstMachines[MoisLivr],AK$1)</f>
        <v>0</v>
      </c>
      <c r="AL270" s="219">
        <f>SUMIFS(LstMachines[Nbre],LstMachines[Model-Spec],PrévisionBoris[[#This Row],[Spec]],LstMachines[Status],PrévisionBoris[[#This Row],[Status]],LstMachines[MoisLivr],AL$1)</f>
        <v>0</v>
      </c>
      <c r="AM270" s="220">
        <f>SUMIFS(LstMachines[Nbre],LstMachines[Model-Spec],PrévisionBoris[[#This Row],[Spec]],LstMachines[Status],PrévisionBoris[[#This Row],[Status]],LstMachines[MoisLivr],AM$1)</f>
        <v>0</v>
      </c>
      <c r="AN270" s="220">
        <f>SUMIFS(LstMachines[Nbre],LstMachines[Model-Spec],PrévisionBoris[[#This Row],[Spec]],LstMachines[Status],PrévisionBoris[[#This Row],[Status]],LstMachines[MoisLivr],AN$1)</f>
        <v>0</v>
      </c>
      <c r="AO270" s="219">
        <f>SUMIFS(LstMachines[Nbre],LstMachines[Model-Spec],PrévisionBoris[[#This Row],[Spec]],LstMachines[Status],PrévisionBoris[[#This Row],[Status]],LstMachines[MoisLivr],AO$1)</f>
        <v>0</v>
      </c>
      <c r="AP270" s="220">
        <f>SUMIFS(LstMachines[Nbre],LstMachines[Model-Spec],PrévisionBoris[[#This Row],[Spec]],LstMachines[Status],PrévisionBoris[[#This Row],[Status]],LstMachines[MoisLivr],AP$1)</f>
        <v>0</v>
      </c>
      <c r="AQ270" s="220">
        <f>SUMIFS(LstMachines[Nbre],LstMachines[Model-Spec],PrévisionBoris[[#This Row],[Spec]],LstMachines[Status],PrévisionBoris[[#This Row],[Status]],LstMachines[MoisLivr],AQ$1)</f>
        <v>0</v>
      </c>
      <c r="AR270" s="219">
        <f>SUMIFS(LstMachines[Nbre],LstMachines[Model-Spec],PrévisionBoris[[#This Row],[Spec]],LstMachines[Status],PrévisionBoris[[#This Row],[Status]],LstMachines[MoisLivr],AR$1)</f>
        <v>0</v>
      </c>
      <c r="AS270" s="220">
        <f>SUMIFS(LstMachines[Nbre],LstMachines[Model-Spec],PrévisionBoris[[#This Row],[Spec]],LstMachines[Status],PrévisionBoris[[#This Row],[Status]],LstMachines[MoisLivr],AS$1)</f>
        <v>0</v>
      </c>
      <c r="AT270" s="220">
        <f>SUMIFS(LstMachines[Nbre],LstMachines[Model-Spec],PrévisionBoris[[#This Row],[Spec]],LstMachines[Status],PrévisionBoris[[#This Row],[Status]],LstMachines[MoisLivr],AT$1)</f>
        <v>0</v>
      </c>
      <c r="AU270" s="219">
        <f>SUMIFS(LstMachines[Nbre],LstMachines[Model-Spec],PrévisionBoris[[#This Row],[Spec]],LstMachines[Status],PrévisionBoris[[#This Row],[Status]],LstMachines[MoisLivr],AU$1)</f>
        <v>0</v>
      </c>
      <c r="AV270" s="223">
        <f>SUMIFS(LstMachines[Nbre],LstMachines[Model-Spec],PrévisionBoris[[#This Row],[Spec]],LstMachines[Status],PrévisionBoris[[#This Row],[Status]],LstMachines[MoisLivr],AV$1)</f>
        <v>0</v>
      </c>
      <c r="AW270" s="224">
        <f>SUMIFS(LstMachines[Nbre],LstMachines[Model-Spec],PrévisionBoris[[#This Row],[Spec]],LstMachines[Status],PrévisionBoris[[#This Row],[Status]],LstMachines[MoisLivr],AW$1)</f>
        <v>0</v>
      </c>
      <c r="AX270" s="210"/>
      <c r="AY270" s="211">
        <f t="shared" si="67"/>
        <v>0</v>
      </c>
      <c r="AZ270" s="212">
        <f t="shared" si="68"/>
        <v>0</v>
      </c>
      <c r="BA270" s="212">
        <f t="shared" si="69"/>
        <v>0</v>
      </c>
      <c r="BB270" s="213">
        <f t="shared" si="70"/>
        <v>0</v>
      </c>
      <c r="BC270" s="225">
        <f t="shared" si="71"/>
        <v>0</v>
      </c>
      <c r="BD270" s="211">
        <f t="shared" si="72"/>
        <v>0</v>
      </c>
      <c r="BE270" s="212">
        <f t="shared" si="73"/>
        <v>0</v>
      </c>
      <c r="BF270" s="212">
        <f t="shared" si="74"/>
        <v>0</v>
      </c>
      <c r="BG270" s="213">
        <f t="shared" si="75"/>
        <v>0</v>
      </c>
      <c r="BH270" s="225">
        <f t="shared" si="76"/>
        <v>0</v>
      </c>
      <c r="BI270" s="214">
        <f t="shared" si="77"/>
        <v>0</v>
      </c>
      <c r="BJ270" s="215">
        <f t="shared" si="78"/>
        <v>0</v>
      </c>
      <c r="BK270" s="215">
        <f t="shared" si="79"/>
        <v>0</v>
      </c>
      <c r="BL270" s="216">
        <f t="shared" si="80"/>
        <v>0</v>
      </c>
      <c r="BM270" s="225">
        <f t="shared" si="81"/>
        <v>0</v>
      </c>
      <c r="BN270" s="225"/>
      <c r="BO270" s="217"/>
      <c r="BP270" s="218">
        <f t="shared" si="82"/>
        <v>0</v>
      </c>
    </row>
    <row r="271" spans="1:68">
      <c r="A271" s="171">
        <v>264</v>
      </c>
      <c r="B271" s="171" t="s">
        <v>85</v>
      </c>
      <c r="C271" s="201">
        <v>225</v>
      </c>
      <c r="D271" s="171" t="s">
        <v>202</v>
      </c>
      <c r="E271" s="171" t="s">
        <v>205</v>
      </c>
      <c r="F271" s="201">
        <f>VLOOKUP(PrévisionBoris[[#This Row],[Spec]],TabModelSpecs[[ModelSpec]:[Price]],2,FALSE)</f>
        <v>120</v>
      </c>
      <c r="G271" s="171" t="s">
        <v>463</v>
      </c>
      <c r="H271" s="226">
        <f>SUMIFS(LstMachines[Nbre],LstMachines[Model-Spec],PrévisionBoris[[#This Row],[Spec]],LstMachines[Status],PrévisionBoris[[#This Row],[Status]],LstMachines[MoisLivr],H$1)</f>
        <v>0</v>
      </c>
      <c r="I271" s="227">
        <f>SUMIFS(LstMachines[Nbre],LstMachines[Model-Spec],PrévisionBoris[[#This Row],[Spec]],LstMachines[Status],PrévisionBoris[[#This Row],[Status]],LstMachines[MoisLivr],I$1)</f>
        <v>0</v>
      </c>
      <c r="J271" s="228">
        <f>SUMIFS(LstMachines[Nbre],LstMachines[Model-Spec],PrévisionBoris[[#This Row],[Spec]],LstMachines[Status],PrévisionBoris[[#This Row],[Status]],LstMachines[MoisLivr],J$1)</f>
        <v>0</v>
      </c>
      <c r="K271" s="226">
        <f>SUMIFS(LstMachines[Nbre],LstMachines[Model-Spec],PrévisionBoris[[#This Row],[Spec]],LstMachines[Status],PrévisionBoris[[#This Row],[Status]],LstMachines[MoisLivr],K$1)</f>
        <v>0</v>
      </c>
      <c r="L271" s="227">
        <f>SUMIFS(LstMachines[Nbre],LstMachines[Model-Spec],PrévisionBoris[[#This Row],[Spec]],LstMachines[Status],PrévisionBoris[[#This Row],[Status]],LstMachines[MoisLivr],L$1)</f>
        <v>0</v>
      </c>
      <c r="M271" s="228">
        <f>SUMIFS(LstMachines[Nbre],LstMachines[Model-Spec],PrévisionBoris[[#This Row],[Spec]],LstMachines[Status],PrévisionBoris[[#This Row],[Status]],LstMachines[MoisLivr],M$1)</f>
        <v>0</v>
      </c>
      <c r="N271" s="226">
        <f>SUMIFS(LstMachines[Nbre],LstMachines[Model-Spec],PrévisionBoris[[#This Row],[Spec]],LstMachines[Status],PrévisionBoris[[#This Row],[Status]],LstMachines[MoisLivr],N$1)</f>
        <v>0</v>
      </c>
      <c r="O271" s="227">
        <f>SUMIFS(LstMachines[Nbre],LstMachines[Model-Spec],PrévisionBoris[[#This Row],[Spec]],LstMachines[Status],PrévisionBoris[[#This Row],[Status]],LstMachines[MoisLivr],O$1)</f>
        <v>0</v>
      </c>
      <c r="P271" s="228">
        <f>SUMIFS(LstMachines[Nbre],LstMachines[Model-Spec],PrévisionBoris[[#This Row],[Spec]],LstMachines[Status],PrévisionBoris[[#This Row],[Status]],LstMachines[MoisLivr],P$1)</f>
        <v>2</v>
      </c>
      <c r="Q271" s="229">
        <f>SUMIFS(LstMachines[Nbre],LstMachines[Model-Spec],PrévisionBoris[[#This Row],[Spec]],LstMachines[Status],PrévisionBoris[[#This Row],[Status]],LstMachines[MoisLivr],Q$1)</f>
        <v>1</v>
      </c>
      <c r="R271" s="227">
        <f>SUMIFS(LstMachines[Nbre],LstMachines[Model-Spec],PrévisionBoris[[#This Row],[Spec]],LstMachines[Status],PrévisionBoris[[#This Row],[Status]],LstMachines[MoisLivr],R$1)</f>
        <v>0</v>
      </c>
      <c r="S271" s="227">
        <f>SUMIFS(LstMachines[Nbre],LstMachines[Model-Spec],PrévisionBoris[[#This Row],[Spec]],LstMachines[Status],PrévisionBoris[[#This Row],[Status]],LstMachines[MoisLivr],S$1)</f>
        <v>0</v>
      </c>
      <c r="T271" s="226">
        <f>SUMIFS(LstMachines[Nbre],LstMachines[Model-Spec],PrévisionBoris[[#This Row],[Spec]],LstMachines[Status],PrévisionBoris[[#This Row],[Status]],LstMachines[MoisLivr],T$1)</f>
        <v>1</v>
      </c>
      <c r="U271" s="227">
        <f>SUMIFS(LstMachines[Nbre],LstMachines[Model-Spec],PrévisionBoris[[#This Row],[Spec]],LstMachines[Status],PrévisionBoris[[#This Row],[Status]],LstMachines[MoisLivr],U$1)</f>
        <v>0</v>
      </c>
      <c r="V271" s="227">
        <f>SUMIFS(LstMachines[Nbre],LstMachines[Model-Spec],PrévisionBoris[[#This Row],[Spec]],LstMachines[Status],PrévisionBoris[[#This Row],[Status]],LstMachines[MoisLivr],V$1)</f>
        <v>0</v>
      </c>
      <c r="W271" s="226">
        <f>SUMIFS(LstMachines[Nbre],LstMachines[Model-Spec],PrévisionBoris[[#This Row],[Spec]],LstMachines[Status],PrévisionBoris[[#This Row],[Status]],LstMachines[MoisLivr],W$1)</f>
        <v>0</v>
      </c>
      <c r="X271" s="227">
        <f>SUMIFS(LstMachines[Nbre],LstMachines[Model-Spec],PrévisionBoris[[#This Row],[Spec]],LstMachines[Status],PrévisionBoris[[#This Row],[Status]],LstMachines[MoisLivr],X$1)</f>
        <v>1</v>
      </c>
      <c r="Y271" s="227">
        <f>SUMIFS(LstMachines[Nbre],LstMachines[Model-Spec],PrévisionBoris[[#This Row],[Spec]],LstMachines[Status],PrévisionBoris[[#This Row],[Status]],LstMachines[MoisLivr],Y$1)</f>
        <v>0</v>
      </c>
      <c r="Z271" s="226">
        <f>SUMIFS(LstMachines[Nbre],LstMachines[Model-Spec],PrévisionBoris[[#This Row],[Spec]],LstMachines[Status],PrévisionBoris[[#This Row],[Status]],LstMachines[MoisLivr],Z$1)</f>
        <v>1</v>
      </c>
      <c r="AA271" s="227">
        <f>SUMIFS(LstMachines[Nbre],LstMachines[Model-Spec],PrévisionBoris[[#This Row],[Spec]],LstMachines[Status],PrévisionBoris[[#This Row],[Status]],LstMachines[MoisLivr],AA$1)</f>
        <v>0</v>
      </c>
      <c r="AB271" s="227">
        <f>SUMIFS(LstMachines[Nbre],LstMachines[Model-Spec],PrévisionBoris[[#This Row],[Spec]],LstMachines[Status],PrévisionBoris[[#This Row],[Status]],LstMachines[MoisLivr],AB$1)</f>
        <v>0</v>
      </c>
      <c r="AC271" s="226">
        <f>SUMIFS(LstMachines[Nbre],LstMachines[Model-Spec],PrévisionBoris[[#This Row],[Spec]],LstMachines[Status],PrévisionBoris[[#This Row],[Status]],LstMachines[MoisLivr],AC$1)</f>
        <v>2</v>
      </c>
      <c r="AD271" s="227">
        <f>SUMIFS(LstMachines[Nbre],LstMachines[Model-Spec],PrévisionBoris[[#This Row],[Spec]],LstMachines[Status],PrévisionBoris[[#This Row],[Status]],LstMachines[MoisLivr],AD$1)</f>
        <v>0</v>
      </c>
      <c r="AE271" s="227">
        <f>SUMIFS(LstMachines[Nbre],LstMachines[Model-Spec],PrévisionBoris[[#This Row],[Spec]],LstMachines[Status],PrévisionBoris[[#This Row],[Status]],LstMachines[MoisLivr],AE$1)</f>
        <v>0</v>
      </c>
      <c r="AF271" s="226">
        <f>SUMIFS(LstMachines[Nbre],LstMachines[Model-Spec],PrévisionBoris[[#This Row],[Spec]],LstMachines[Status],PrévisionBoris[[#This Row],[Status]],LstMachines[MoisLivr],AF$1)</f>
        <v>1</v>
      </c>
      <c r="AG271" s="227">
        <f>SUMIFS(LstMachines[Nbre],LstMachines[Model-Spec],PrévisionBoris[[#This Row],[Spec]],LstMachines[Status],PrévisionBoris[[#This Row],[Status]],LstMachines[MoisLivr],AG$1)</f>
        <v>0</v>
      </c>
      <c r="AH271" s="227">
        <f>SUMIFS(LstMachines[Nbre],LstMachines[Model-Spec],PrévisionBoris[[#This Row],[Spec]],LstMachines[Status],PrévisionBoris[[#This Row],[Status]],LstMachines[MoisLivr],AH$1)</f>
        <v>0</v>
      </c>
      <c r="AI271" s="226">
        <f>SUMIFS(LstMachines[Nbre],LstMachines[Model-Spec],PrévisionBoris[[#This Row],[Spec]],LstMachines[Status],PrévisionBoris[[#This Row],[Status]],LstMachines[MoisLivr],AI$1)</f>
        <v>0</v>
      </c>
      <c r="AJ271" s="227">
        <f>SUMIFS(LstMachines[Nbre],LstMachines[Model-Spec],PrévisionBoris[[#This Row],[Spec]],LstMachines[Status],PrévisionBoris[[#This Row],[Status]],LstMachines[MoisLivr],AJ$1)</f>
        <v>0</v>
      </c>
      <c r="AK271" s="227">
        <f>SUMIFS(LstMachines[Nbre],LstMachines[Model-Spec],PrévisionBoris[[#This Row],[Spec]],LstMachines[Status],PrévisionBoris[[#This Row],[Status]],LstMachines[MoisLivr],AK$1)</f>
        <v>0</v>
      </c>
      <c r="AL271" s="226">
        <f>SUMIFS(LstMachines[Nbre],LstMachines[Model-Spec],PrévisionBoris[[#This Row],[Spec]],LstMachines[Status],PrévisionBoris[[#This Row],[Status]],LstMachines[MoisLivr],AL$1)</f>
        <v>0</v>
      </c>
      <c r="AM271" s="227">
        <f>SUMIFS(LstMachines[Nbre],LstMachines[Model-Spec],PrévisionBoris[[#This Row],[Spec]],LstMachines[Status],PrévisionBoris[[#This Row],[Status]],LstMachines[MoisLivr],AM$1)</f>
        <v>0</v>
      </c>
      <c r="AN271" s="227">
        <f>SUMIFS(LstMachines[Nbre],LstMachines[Model-Spec],PrévisionBoris[[#This Row],[Spec]],LstMachines[Status],PrévisionBoris[[#This Row],[Status]],LstMachines[MoisLivr],AN$1)</f>
        <v>0</v>
      </c>
      <c r="AO271" s="226">
        <f>SUMIFS(LstMachines[Nbre],LstMachines[Model-Spec],PrévisionBoris[[#This Row],[Spec]],LstMachines[Status],PrévisionBoris[[#This Row],[Status]],LstMachines[MoisLivr],AO$1)</f>
        <v>0</v>
      </c>
      <c r="AP271" s="227">
        <f>SUMIFS(LstMachines[Nbre],LstMachines[Model-Spec],PrévisionBoris[[#This Row],[Spec]],LstMachines[Status],PrévisionBoris[[#This Row],[Status]],LstMachines[MoisLivr],AP$1)</f>
        <v>0</v>
      </c>
      <c r="AQ271" s="227">
        <f>SUMIFS(LstMachines[Nbre],LstMachines[Model-Spec],PrévisionBoris[[#This Row],[Spec]],LstMachines[Status],PrévisionBoris[[#This Row],[Status]],LstMachines[MoisLivr],AQ$1)</f>
        <v>0</v>
      </c>
      <c r="AR271" s="226">
        <f>SUMIFS(LstMachines[Nbre],LstMachines[Model-Spec],PrévisionBoris[[#This Row],[Spec]],LstMachines[Status],PrévisionBoris[[#This Row],[Status]],LstMachines[MoisLivr],AR$1)</f>
        <v>0</v>
      </c>
      <c r="AS271" s="227">
        <f>SUMIFS(LstMachines[Nbre],LstMachines[Model-Spec],PrévisionBoris[[#This Row],[Spec]],LstMachines[Status],PrévisionBoris[[#This Row],[Status]],LstMachines[MoisLivr],AS$1)</f>
        <v>0</v>
      </c>
      <c r="AT271" s="227">
        <f>SUMIFS(LstMachines[Nbre],LstMachines[Model-Spec],PrévisionBoris[[#This Row],[Spec]],LstMachines[Status],PrévisionBoris[[#This Row],[Status]],LstMachines[MoisLivr],AT$1)</f>
        <v>0</v>
      </c>
      <c r="AU271" s="226">
        <f>SUMIFS(LstMachines[Nbre],LstMachines[Model-Spec],PrévisionBoris[[#This Row],[Spec]],LstMachines[Status],PrévisionBoris[[#This Row],[Status]],LstMachines[MoisLivr],AU$1)</f>
        <v>0</v>
      </c>
      <c r="AV271" s="230">
        <f>SUMIFS(LstMachines[Nbre],LstMachines[Model-Spec],PrévisionBoris[[#This Row],[Spec]],LstMachines[Status],PrévisionBoris[[#This Row],[Status]],LstMachines[MoisLivr],AV$1)</f>
        <v>0</v>
      </c>
      <c r="AW271" s="231">
        <f>SUMIFS(LstMachines[Nbre],LstMachines[Model-Spec],PrévisionBoris[[#This Row],[Spec]],LstMachines[Status],PrévisionBoris[[#This Row],[Status]],LstMachines[MoisLivr],AW$1)</f>
        <v>0</v>
      </c>
      <c r="AX271" s="232"/>
      <c r="AY271" s="211">
        <f t="shared" si="67"/>
        <v>0</v>
      </c>
      <c r="AZ271" s="212">
        <f t="shared" si="68"/>
        <v>2</v>
      </c>
      <c r="BA271" s="212">
        <f t="shared" si="69"/>
        <v>1</v>
      </c>
      <c r="BB271" s="213">
        <f t="shared" si="70"/>
        <v>1</v>
      </c>
      <c r="BC271" s="225">
        <f t="shared" si="71"/>
        <v>4</v>
      </c>
      <c r="BD271" s="211">
        <f t="shared" si="72"/>
        <v>1</v>
      </c>
      <c r="BE271" s="212">
        <f t="shared" si="73"/>
        <v>1</v>
      </c>
      <c r="BF271" s="212">
        <f t="shared" si="74"/>
        <v>2</v>
      </c>
      <c r="BG271" s="213">
        <f t="shared" si="75"/>
        <v>1</v>
      </c>
      <c r="BH271" s="225">
        <f t="shared" si="76"/>
        <v>5</v>
      </c>
      <c r="BI271" s="214">
        <f t="shared" si="77"/>
        <v>0</v>
      </c>
      <c r="BJ271" s="215">
        <f t="shared" si="78"/>
        <v>0</v>
      </c>
      <c r="BK271" s="215">
        <f t="shared" si="79"/>
        <v>0</v>
      </c>
      <c r="BL271" s="216">
        <f t="shared" si="80"/>
        <v>0</v>
      </c>
      <c r="BM271" s="225">
        <f t="shared" si="81"/>
        <v>0</v>
      </c>
      <c r="BN271" s="225"/>
      <c r="BO271" s="217"/>
      <c r="BP271" s="218">
        <f t="shared" si="82"/>
        <v>9</v>
      </c>
    </row>
    <row r="272" spans="1:68">
      <c r="A272" s="172">
        <v>265</v>
      </c>
      <c r="B272" s="172" t="s">
        <v>85</v>
      </c>
      <c r="C272" s="202">
        <v>225</v>
      </c>
      <c r="D272" s="172" t="s">
        <v>202</v>
      </c>
      <c r="E272" s="172" t="s">
        <v>206</v>
      </c>
      <c r="F272" s="202">
        <f>VLOOKUP(PrévisionBoris[[#This Row],[Spec]],TabModelSpecs[[ModelSpec]:[Price]],2,FALSE)</f>
        <v>125</v>
      </c>
      <c r="G272" s="172" t="s">
        <v>461</v>
      </c>
      <c r="H272" s="206">
        <f>SUMIFS(LstMachines[Nbre],LstMachines[Model-Spec],PrévisionBoris[[#This Row],[Spec]],LstMachines[Status],PrévisionBoris[[#This Row],[Status]],LstMachines[MoisLivr],H$1)</f>
        <v>0</v>
      </c>
      <c r="I272" s="207">
        <f>SUMIFS(LstMachines[Nbre],LstMachines[Model-Spec],PrévisionBoris[[#This Row],[Spec]],LstMachines[Status],PrévisionBoris[[#This Row],[Status]],LstMachines[MoisLivr],I$1)</f>
        <v>0</v>
      </c>
      <c r="J272" s="208">
        <f>SUMIFS(LstMachines[Nbre],LstMachines[Model-Spec],PrévisionBoris[[#This Row],[Spec]],LstMachines[Status],PrévisionBoris[[#This Row],[Status]],LstMachines[MoisLivr],J$1)</f>
        <v>0</v>
      </c>
      <c r="K272" s="206">
        <f>SUMIFS(LstMachines[Nbre],LstMachines[Model-Spec],PrévisionBoris[[#This Row],[Spec]],LstMachines[Status],PrévisionBoris[[#This Row],[Status]],LstMachines[MoisLivr],K$1)</f>
        <v>0</v>
      </c>
      <c r="L272" s="207">
        <f>SUMIFS(LstMachines[Nbre],LstMachines[Model-Spec],PrévisionBoris[[#This Row],[Spec]],LstMachines[Status],PrévisionBoris[[#This Row],[Status]],LstMachines[MoisLivr],L$1)</f>
        <v>0</v>
      </c>
      <c r="M272" s="208">
        <f>SUMIFS(LstMachines[Nbre],LstMachines[Model-Spec],PrévisionBoris[[#This Row],[Spec]],LstMachines[Status],PrévisionBoris[[#This Row],[Status]],LstMachines[MoisLivr],M$1)</f>
        <v>0</v>
      </c>
      <c r="N272" s="206">
        <f>SUMIFS(LstMachines[Nbre],LstMachines[Model-Spec],PrévisionBoris[[#This Row],[Spec]],LstMachines[Status],PrévisionBoris[[#This Row],[Status]],LstMachines[MoisLivr],N$1)</f>
        <v>0</v>
      </c>
      <c r="O272" s="207">
        <f>SUMIFS(LstMachines[Nbre],LstMachines[Model-Spec],PrévisionBoris[[#This Row],[Spec]],LstMachines[Status],PrévisionBoris[[#This Row],[Status]],LstMachines[MoisLivr],O$1)</f>
        <v>0</v>
      </c>
      <c r="P272" s="208">
        <f>SUMIFS(LstMachines[Nbre],LstMachines[Model-Spec],PrévisionBoris[[#This Row],[Spec]],LstMachines[Status],PrévisionBoris[[#This Row],[Status]],LstMachines[MoisLivr],P$1)</f>
        <v>0</v>
      </c>
      <c r="Q272" s="209">
        <f>SUMIFS(LstMachines[Nbre],LstMachines[Model-Spec],PrévisionBoris[[#This Row],[Spec]],LstMachines[Status],PrévisionBoris[[#This Row],[Status]],LstMachines[MoisLivr],Q$1)</f>
        <v>0</v>
      </c>
      <c r="R272" s="207">
        <f>SUMIFS(LstMachines[Nbre],LstMachines[Model-Spec],PrévisionBoris[[#This Row],[Spec]],LstMachines[Status],PrévisionBoris[[#This Row],[Status]],LstMachines[MoisLivr],R$1)</f>
        <v>0</v>
      </c>
      <c r="S272" s="207">
        <f>SUMIFS(LstMachines[Nbre],LstMachines[Model-Spec],PrévisionBoris[[#This Row],[Spec]],LstMachines[Status],PrévisionBoris[[#This Row],[Status]],LstMachines[MoisLivr],S$1)</f>
        <v>0</v>
      </c>
      <c r="T272" s="206">
        <f>SUMIFS(LstMachines[Nbre],LstMachines[Model-Spec],PrévisionBoris[[#This Row],[Spec]],LstMachines[Status],PrévisionBoris[[#This Row],[Status]],LstMachines[MoisLivr],T$1)</f>
        <v>0</v>
      </c>
      <c r="U272" s="207">
        <f>SUMIFS(LstMachines[Nbre],LstMachines[Model-Spec],PrévisionBoris[[#This Row],[Spec]],LstMachines[Status],PrévisionBoris[[#This Row],[Status]],LstMachines[MoisLivr],U$1)</f>
        <v>0</v>
      </c>
      <c r="V272" s="207">
        <f>SUMIFS(LstMachines[Nbre],LstMachines[Model-Spec],PrévisionBoris[[#This Row],[Spec]],LstMachines[Status],PrévisionBoris[[#This Row],[Status]],LstMachines[MoisLivr],V$1)</f>
        <v>0</v>
      </c>
      <c r="W272" s="206">
        <f>SUMIFS(LstMachines[Nbre],LstMachines[Model-Spec],PrévisionBoris[[#This Row],[Spec]],LstMachines[Status],PrévisionBoris[[#This Row],[Status]],LstMachines[MoisLivr],W$1)</f>
        <v>0</v>
      </c>
      <c r="X272" s="207">
        <f>SUMIFS(LstMachines[Nbre],LstMachines[Model-Spec],PrévisionBoris[[#This Row],[Spec]],LstMachines[Status],PrévisionBoris[[#This Row],[Status]],LstMachines[MoisLivr],X$1)</f>
        <v>0</v>
      </c>
      <c r="Y272" s="207">
        <f>SUMIFS(LstMachines[Nbre],LstMachines[Model-Spec],PrévisionBoris[[#This Row],[Spec]],LstMachines[Status],PrévisionBoris[[#This Row],[Status]],LstMachines[MoisLivr],Y$1)</f>
        <v>0</v>
      </c>
      <c r="Z272" s="206">
        <f>SUMIFS(LstMachines[Nbre],LstMachines[Model-Spec],PrévisionBoris[[#This Row],[Spec]],LstMachines[Status],PrévisionBoris[[#This Row],[Status]],LstMachines[MoisLivr],Z$1)</f>
        <v>0</v>
      </c>
      <c r="AA272" s="207">
        <f>SUMIFS(LstMachines[Nbre],LstMachines[Model-Spec],PrévisionBoris[[#This Row],[Spec]],LstMachines[Status],PrévisionBoris[[#This Row],[Status]],LstMachines[MoisLivr],AA$1)</f>
        <v>0</v>
      </c>
      <c r="AB272" s="207">
        <f>SUMIFS(LstMachines[Nbre],LstMachines[Model-Spec],PrévisionBoris[[#This Row],[Spec]],LstMachines[Status],PrévisionBoris[[#This Row],[Status]],LstMachines[MoisLivr],AB$1)</f>
        <v>0</v>
      </c>
      <c r="AC272" s="206">
        <f>SUMIFS(LstMachines[Nbre],LstMachines[Model-Spec],PrévisionBoris[[#This Row],[Spec]],LstMachines[Status],PrévisionBoris[[#This Row],[Status]],LstMachines[MoisLivr],AC$1)</f>
        <v>0</v>
      </c>
      <c r="AD272" s="207">
        <f>SUMIFS(LstMachines[Nbre],LstMachines[Model-Spec],PrévisionBoris[[#This Row],[Spec]],LstMachines[Status],PrévisionBoris[[#This Row],[Status]],LstMachines[MoisLivr],AD$1)</f>
        <v>0</v>
      </c>
      <c r="AE272" s="207">
        <f>SUMIFS(LstMachines[Nbre],LstMachines[Model-Spec],PrévisionBoris[[#This Row],[Spec]],LstMachines[Status],PrévisionBoris[[#This Row],[Status]],LstMachines[MoisLivr],AE$1)</f>
        <v>0</v>
      </c>
      <c r="AF272" s="206">
        <f>SUMIFS(LstMachines[Nbre],LstMachines[Model-Spec],PrévisionBoris[[#This Row],[Spec]],LstMachines[Status],PrévisionBoris[[#This Row],[Status]],LstMachines[MoisLivr],AF$1)</f>
        <v>0</v>
      </c>
      <c r="AG272" s="207">
        <f>SUMIFS(LstMachines[Nbre],LstMachines[Model-Spec],PrévisionBoris[[#This Row],[Spec]],LstMachines[Status],PrévisionBoris[[#This Row],[Status]],LstMachines[MoisLivr],AG$1)</f>
        <v>0</v>
      </c>
      <c r="AH272" s="207">
        <f>SUMIFS(LstMachines[Nbre],LstMachines[Model-Spec],PrévisionBoris[[#This Row],[Spec]],LstMachines[Status],PrévisionBoris[[#This Row],[Status]],LstMachines[MoisLivr],AH$1)</f>
        <v>0</v>
      </c>
      <c r="AI272" s="206">
        <f>SUMIFS(LstMachines[Nbre],LstMachines[Model-Spec],PrévisionBoris[[#This Row],[Spec]],LstMachines[Status],PrévisionBoris[[#This Row],[Status]],LstMachines[MoisLivr],AI$1)</f>
        <v>0</v>
      </c>
      <c r="AJ272" s="207">
        <f>SUMIFS(LstMachines[Nbre],LstMachines[Model-Spec],PrévisionBoris[[#This Row],[Spec]],LstMachines[Status],PrévisionBoris[[#This Row],[Status]],LstMachines[MoisLivr],AJ$1)</f>
        <v>0</v>
      </c>
      <c r="AK272" s="207">
        <f>SUMIFS(LstMachines[Nbre],LstMachines[Model-Spec],PrévisionBoris[[#This Row],[Spec]],LstMachines[Status],PrévisionBoris[[#This Row],[Status]],LstMachines[MoisLivr],AK$1)</f>
        <v>0</v>
      </c>
      <c r="AL272" s="206">
        <f>SUMIFS(LstMachines[Nbre],LstMachines[Model-Spec],PrévisionBoris[[#This Row],[Spec]],LstMachines[Status],PrévisionBoris[[#This Row],[Status]],LstMachines[MoisLivr],AL$1)</f>
        <v>0</v>
      </c>
      <c r="AM272" s="207">
        <f>SUMIFS(LstMachines[Nbre],LstMachines[Model-Spec],PrévisionBoris[[#This Row],[Spec]],LstMachines[Status],PrévisionBoris[[#This Row],[Status]],LstMachines[MoisLivr],AM$1)</f>
        <v>0</v>
      </c>
      <c r="AN272" s="207">
        <f>SUMIFS(LstMachines[Nbre],LstMachines[Model-Spec],PrévisionBoris[[#This Row],[Spec]],LstMachines[Status],PrévisionBoris[[#This Row],[Status]],LstMachines[MoisLivr],AN$1)</f>
        <v>0</v>
      </c>
      <c r="AO272" s="206">
        <f>SUMIFS(LstMachines[Nbre],LstMachines[Model-Spec],PrévisionBoris[[#This Row],[Spec]],LstMachines[Status],PrévisionBoris[[#This Row],[Status]],LstMachines[MoisLivr],AO$1)</f>
        <v>0</v>
      </c>
      <c r="AP272" s="207">
        <f>SUMIFS(LstMachines[Nbre],LstMachines[Model-Spec],PrévisionBoris[[#This Row],[Spec]],LstMachines[Status],PrévisionBoris[[#This Row],[Status]],LstMachines[MoisLivr],AP$1)</f>
        <v>0</v>
      </c>
      <c r="AQ272" s="207">
        <f>SUMIFS(LstMachines[Nbre],LstMachines[Model-Spec],PrévisionBoris[[#This Row],[Spec]],LstMachines[Status],PrévisionBoris[[#This Row],[Status]],LstMachines[MoisLivr],AQ$1)</f>
        <v>0</v>
      </c>
      <c r="AR272" s="206">
        <f>SUMIFS(LstMachines[Nbre],LstMachines[Model-Spec],PrévisionBoris[[#This Row],[Spec]],LstMachines[Status],PrévisionBoris[[#This Row],[Status]],LstMachines[MoisLivr],AR$1)</f>
        <v>0</v>
      </c>
      <c r="AS272" s="207">
        <f>SUMIFS(LstMachines[Nbre],LstMachines[Model-Spec],PrévisionBoris[[#This Row],[Spec]],LstMachines[Status],PrévisionBoris[[#This Row],[Status]],LstMachines[MoisLivr],AS$1)</f>
        <v>0</v>
      </c>
      <c r="AT272" s="207">
        <f>SUMIFS(LstMachines[Nbre],LstMachines[Model-Spec],PrévisionBoris[[#This Row],[Spec]],LstMachines[Status],PrévisionBoris[[#This Row],[Status]],LstMachines[MoisLivr],AT$1)</f>
        <v>0</v>
      </c>
      <c r="AU272" s="206">
        <f>SUMIFS(LstMachines[Nbre],LstMachines[Model-Spec],PrévisionBoris[[#This Row],[Spec]],LstMachines[Status],PrévisionBoris[[#This Row],[Status]],LstMachines[MoisLivr],AU$1)</f>
        <v>0</v>
      </c>
      <c r="AV272" s="233">
        <f>SUMIFS(LstMachines[Nbre],LstMachines[Model-Spec],PrévisionBoris[[#This Row],[Spec]],LstMachines[Status],PrévisionBoris[[#This Row],[Status]],LstMachines[MoisLivr],AV$1)</f>
        <v>0</v>
      </c>
      <c r="AW272" s="208">
        <f>SUMIFS(LstMachines[Nbre],LstMachines[Model-Spec],PrévisionBoris[[#This Row],[Spec]],LstMachines[Status],PrévisionBoris[[#This Row],[Status]],LstMachines[MoisLivr],AW$1)</f>
        <v>0</v>
      </c>
      <c r="AX272" s="225"/>
      <c r="AY272" s="211">
        <f t="shared" si="67"/>
        <v>0</v>
      </c>
      <c r="AZ272" s="212">
        <f t="shared" si="68"/>
        <v>0</v>
      </c>
      <c r="BA272" s="212">
        <f t="shared" si="69"/>
        <v>0</v>
      </c>
      <c r="BB272" s="213">
        <f t="shared" si="70"/>
        <v>0</v>
      </c>
      <c r="BC272" s="225">
        <f t="shared" si="71"/>
        <v>0</v>
      </c>
      <c r="BD272" s="211">
        <f t="shared" si="72"/>
        <v>0</v>
      </c>
      <c r="BE272" s="212">
        <f t="shared" si="73"/>
        <v>0</v>
      </c>
      <c r="BF272" s="212">
        <f t="shared" si="74"/>
        <v>0</v>
      </c>
      <c r="BG272" s="213">
        <f t="shared" si="75"/>
        <v>0</v>
      </c>
      <c r="BH272" s="225">
        <f t="shared" si="76"/>
        <v>0</v>
      </c>
      <c r="BI272" s="214">
        <f t="shared" si="77"/>
        <v>0</v>
      </c>
      <c r="BJ272" s="215">
        <f t="shared" si="78"/>
        <v>0</v>
      </c>
      <c r="BK272" s="215">
        <f t="shared" si="79"/>
        <v>0</v>
      </c>
      <c r="BL272" s="216">
        <f t="shared" si="80"/>
        <v>0</v>
      </c>
      <c r="BM272" s="225">
        <f t="shared" si="81"/>
        <v>0</v>
      </c>
      <c r="BN272" s="225"/>
      <c r="BO272" s="234"/>
      <c r="BP272" s="218">
        <f t="shared" si="82"/>
        <v>0</v>
      </c>
    </row>
    <row r="273" spans="1:68">
      <c r="A273" s="170">
        <v>266</v>
      </c>
      <c r="B273" s="170" t="s">
        <v>85</v>
      </c>
      <c r="C273" s="200">
        <v>225</v>
      </c>
      <c r="D273" s="170" t="s">
        <v>202</v>
      </c>
      <c r="E273" s="170" t="s">
        <v>206</v>
      </c>
      <c r="F273" s="200">
        <f>VLOOKUP(PrévisionBoris[[#This Row],[Spec]],TabModelSpecs[[ModelSpec]:[Price]],2,FALSE)</f>
        <v>125</v>
      </c>
      <c r="G273" s="170" t="s">
        <v>462</v>
      </c>
      <c r="H273" s="219">
        <f>SUMIFS(LstMachines[Nbre],LstMachines[Model-Spec],PrévisionBoris[[#This Row],[Spec]],LstMachines[Status],PrévisionBoris[[#This Row],[Status]],LstMachines[MoisLivr],H$1)</f>
        <v>0</v>
      </c>
      <c r="I273" s="220">
        <f>SUMIFS(LstMachines[Nbre],LstMachines[Model-Spec],PrévisionBoris[[#This Row],[Spec]],LstMachines[Status],PrévisionBoris[[#This Row],[Status]],LstMachines[MoisLivr],I$1)</f>
        <v>0</v>
      </c>
      <c r="J273" s="221">
        <f>SUMIFS(LstMachines[Nbre],LstMachines[Model-Spec],PrévisionBoris[[#This Row],[Spec]],LstMachines[Status],PrévisionBoris[[#This Row],[Status]],LstMachines[MoisLivr],J$1)</f>
        <v>0</v>
      </c>
      <c r="K273" s="219">
        <f>SUMIFS(LstMachines[Nbre],LstMachines[Model-Spec],PrévisionBoris[[#This Row],[Spec]],LstMachines[Status],PrévisionBoris[[#This Row],[Status]],LstMachines[MoisLivr],K$1)</f>
        <v>0</v>
      </c>
      <c r="L273" s="220">
        <f>SUMIFS(LstMachines[Nbre],LstMachines[Model-Spec],PrévisionBoris[[#This Row],[Spec]],LstMachines[Status],PrévisionBoris[[#This Row],[Status]],LstMachines[MoisLivr],L$1)</f>
        <v>0</v>
      </c>
      <c r="M273" s="221">
        <f>SUMIFS(LstMachines[Nbre],LstMachines[Model-Spec],PrévisionBoris[[#This Row],[Spec]],LstMachines[Status],PrévisionBoris[[#This Row],[Status]],LstMachines[MoisLivr],M$1)</f>
        <v>0</v>
      </c>
      <c r="N273" s="219">
        <f>SUMIFS(LstMachines[Nbre],LstMachines[Model-Spec],PrévisionBoris[[#This Row],[Spec]],LstMachines[Status],PrévisionBoris[[#This Row],[Status]],LstMachines[MoisLivr],N$1)</f>
        <v>0</v>
      </c>
      <c r="O273" s="220">
        <f>SUMIFS(LstMachines[Nbre],LstMachines[Model-Spec],PrévisionBoris[[#This Row],[Spec]],LstMachines[Status],PrévisionBoris[[#This Row],[Status]],LstMachines[MoisLivr],O$1)</f>
        <v>0</v>
      </c>
      <c r="P273" s="221">
        <f>SUMIFS(LstMachines[Nbre],LstMachines[Model-Spec],PrévisionBoris[[#This Row],[Spec]],LstMachines[Status],PrévisionBoris[[#This Row],[Status]],LstMachines[MoisLivr],P$1)</f>
        <v>0</v>
      </c>
      <c r="Q273" s="222">
        <f>SUMIFS(LstMachines[Nbre],LstMachines[Model-Spec],PrévisionBoris[[#This Row],[Spec]],LstMachines[Status],PrévisionBoris[[#This Row],[Status]],LstMachines[MoisLivr],Q$1)</f>
        <v>0</v>
      </c>
      <c r="R273" s="220">
        <f>SUMIFS(LstMachines[Nbre],LstMachines[Model-Spec],PrévisionBoris[[#This Row],[Spec]],LstMachines[Status],PrévisionBoris[[#This Row],[Status]],LstMachines[MoisLivr],R$1)</f>
        <v>0</v>
      </c>
      <c r="S273" s="220">
        <f>SUMIFS(LstMachines[Nbre],LstMachines[Model-Spec],PrévisionBoris[[#This Row],[Spec]],LstMachines[Status],PrévisionBoris[[#This Row],[Status]],LstMachines[MoisLivr],S$1)</f>
        <v>0</v>
      </c>
      <c r="T273" s="219">
        <f>SUMIFS(LstMachines[Nbre],LstMachines[Model-Spec],PrévisionBoris[[#This Row],[Spec]],LstMachines[Status],PrévisionBoris[[#This Row],[Status]],LstMachines[MoisLivr],T$1)</f>
        <v>0</v>
      </c>
      <c r="U273" s="220">
        <f>SUMIFS(LstMachines[Nbre],LstMachines[Model-Spec],PrévisionBoris[[#This Row],[Spec]],LstMachines[Status],PrévisionBoris[[#This Row],[Status]],LstMachines[MoisLivr],U$1)</f>
        <v>0</v>
      </c>
      <c r="V273" s="220">
        <f>SUMIFS(LstMachines[Nbre],LstMachines[Model-Spec],PrévisionBoris[[#This Row],[Spec]],LstMachines[Status],PrévisionBoris[[#This Row],[Status]],LstMachines[MoisLivr],V$1)</f>
        <v>0</v>
      </c>
      <c r="W273" s="219">
        <f>SUMIFS(LstMachines[Nbre],LstMachines[Model-Spec],PrévisionBoris[[#This Row],[Spec]],LstMachines[Status],PrévisionBoris[[#This Row],[Status]],LstMachines[MoisLivr],W$1)</f>
        <v>0</v>
      </c>
      <c r="X273" s="220">
        <f>SUMIFS(LstMachines[Nbre],LstMachines[Model-Spec],PrévisionBoris[[#This Row],[Spec]],LstMachines[Status],PrévisionBoris[[#This Row],[Status]],LstMachines[MoisLivr],X$1)</f>
        <v>0</v>
      </c>
      <c r="Y273" s="220">
        <f>SUMIFS(LstMachines[Nbre],LstMachines[Model-Spec],PrévisionBoris[[#This Row],[Spec]],LstMachines[Status],PrévisionBoris[[#This Row],[Status]],LstMachines[MoisLivr],Y$1)</f>
        <v>0</v>
      </c>
      <c r="Z273" s="219">
        <f>SUMIFS(LstMachines[Nbre],LstMachines[Model-Spec],PrévisionBoris[[#This Row],[Spec]],LstMachines[Status],PrévisionBoris[[#This Row],[Status]],LstMachines[MoisLivr],Z$1)</f>
        <v>0</v>
      </c>
      <c r="AA273" s="220">
        <f>SUMIFS(LstMachines[Nbre],LstMachines[Model-Spec],PrévisionBoris[[#This Row],[Spec]],LstMachines[Status],PrévisionBoris[[#This Row],[Status]],LstMachines[MoisLivr],AA$1)</f>
        <v>0</v>
      </c>
      <c r="AB273" s="220">
        <f>SUMIFS(LstMachines[Nbre],LstMachines[Model-Spec],PrévisionBoris[[#This Row],[Spec]],LstMachines[Status],PrévisionBoris[[#This Row],[Status]],LstMachines[MoisLivr],AB$1)</f>
        <v>0</v>
      </c>
      <c r="AC273" s="219">
        <f>SUMIFS(LstMachines[Nbre],LstMachines[Model-Spec],PrévisionBoris[[#This Row],[Spec]],LstMachines[Status],PrévisionBoris[[#This Row],[Status]],LstMachines[MoisLivr],AC$1)</f>
        <v>0</v>
      </c>
      <c r="AD273" s="220">
        <f>SUMIFS(LstMachines[Nbre],LstMachines[Model-Spec],PrévisionBoris[[#This Row],[Spec]],LstMachines[Status],PrévisionBoris[[#This Row],[Status]],LstMachines[MoisLivr],AD$1)</f>
        <v>0</v>
      </c>
      <c r="AE273" s="220">
        <f>SUMIFS(LstMachines[Nbre],LstMachines[Model-Spec],PrévisionBoris[[#This Row],[Spec]],LstMachines[Status],PrévisionBoris[[#This Row],[Status]],LstMachines[MoisLivr],AE$1)</f>
        <v>0</v>
      </c>
      <c r="AF273" s="219">
        <f>SUMIFS(LstMachines[Nbre],LstMachines[Model-Spec],PrévisionBoris[[#This Row],[Spec]],LstMachines[Status],PrévisionBoris[[#This Row],[Status]],LstMachines[MoisLivr],AF$1)</f>
        <v>0</v>
      </c>
      <c r="AG273" s="220">
        <f>SUMIFS(LstMachines[Nbre],LstMachines[Model-Spec],PrévisionBoris[[#This Row],[Spec]],LstMachines[Status],PrévisionBoris[[#This Row],[Status]],LstMachines[MoisLivr],AG$1)</f>
        <v>0</v>
      </c>
      <c r="AH273" s="220">
        <f>SUMIFS(LstMachines[Nbre],LstMachines[Model-Spec],PrévisionBoris[[#This Row],[Spec]],LstMachines[Status],PrévisionBoris[[#This Row],[Status]],LstMachines[MoisLivr],AH$1)</f>
        <v>0</v>
      </c>
      <c r="AI273" s="219">
        <f>SUMIFS(LstMachines[Nbre],LstMachines[Model-Spec],PrévisionBoris[[#This Row],[Spec]],LstMachines[Status],PrévisionBoris[[#This Row],[Status]],LstMachines[MoisLivr],AI$1)</f>
        <v>0</v>
      </c>
      <c r="AJ273" s="220">
        <f>SUMIFS(LstMachines[Nbre],LstMachines[Model-Spec],PrévisionBoris[[#This Row],[Spec]],LstMachines[Status],PrévisionBoris[[#This Row],[Status]],LstMachines[MoisLivr],AJ$1)</f>
        <v>0</v>
      </c>
      <c r="AK273" s="220">
        <f>SUMIFS(LstMachines[Nbre],LstMachines[Model-Spec],PrévisionBoris[[#This Row],[Spec]],LstMachines[Status],PrévisionBoris[[#This Row],[Status]],LstMachines[MoisLivr],AK$1)</f>
        <v>0</v>
      </c>
      <c r="AL273" s="219">
        <f>SUMIFS(LstMachines[Nbre],LstMachines[Model-Spec],PrévisionBoris[[#This Row],[Spec]],LstMachines[Status],PrévisionBoris[[#This Row],[Status]],LstMachines[MoisLivr],AL$1)</f>
        <v>0</v>
      </c>
      <c r="AM273" s="220">
        <f>SUMIFS(LstMachines[Nbre],LstMachines[Model-Spec],PrévisionBoris[[#This Row],[Spec]],LstMachines[Status],PrévisionBoris[[#This Row],[Status]],LstMachines[MoisLivr],AM$1)</f>
        <v>0</v>
      </c>
      <c r="AN273" s="220">
        <f>SUMIFS(LstMachines[Nbre],LstMachines[Model-Spec],PrévisionBoris[[#This Row],[Spec]],LstMachines[Status],PrévisionBoris[[#This Row],[Status]],LstMachines[MoisLivr],AN$1)</f>
        <v>0</v>
      </c>
      <c r="AO273" s="219">
        <f>SUMIFS(LstMachines[Nbre],LstMachines[Model-Spec],PrévisionBoris[[#This Row],[Spec]],LstMachines[Status],PrévisionBoris[[#This Row],[Status]],LstMachines[MoisLivr],AO$1)</f>
        <v>0</v>
      </c>
      <c r="AP273" s="220">
        <f>SUMIFS(LstMachines[Nbre],LstMachines[Model-Spec],PrévisionBoris[[#This Row],[Spec]],LstMachines[Status],PrévisionBoris[[#This Row],[Status]],LstMachines[MoisLivr],AP$1)</f>
        <v>0</v>
      </c>
      <c r="AQ273" s="220">
        <f>SUMIFS(LstMachines[Nbre],LstMachines[Model-Spec],PrévisionBoris[[#This Row],[Spec]],LstMachines[Status],PrévisionBoris[[#This Row],[Status]],LstMachines[MoisLivr],AQ$1)</f>
        <v>0</v>
      </c>
      <c r="AR273" s="219">
        <f>SUMIFS(LstMachines[Nbre],LstMachines[Model-Spec],PrévisionBoris[[#This Row],[Spec]],LstMachines[Status],PrévisionBoris[[#This Row],[Status]],LstMachines[MoisLivr],AR$1)</f>
        <v>0</v>
      </c>
      <c r="AS273" s="220">
        <f>SUMIFS(LstMachines[Nbre],LstMachines[Model-Spec],PrévisionBoris[[#This Row],[Spec]],LstMachines[Status],PrévisionBoris[[#This Row],[Status]],LstMachines[MoisLivr],AS$1)</f>
        <v>0</v>
      </c>
      <c r="AT273" s="220">
        <f>SUMIFS(LstMachines[Nbre],LstMachines[Model-Spec],PrévisionBoris[[#This Row],[Spec]],LstMachines[Status],PrévisionBoris[[#This Row],[Status]],LstMachines[MoisLivr],AT$1)</f>
        <v>0</v>
      </c>
      <c r="AU273" s="219">
        <f>SUMIFS(LstMachines[Nbre],LstMachines[Model-Spec],PrévisionBoris[[#This Row],[Spec]],LstMachines[Status],PrévisionBoris[[#This Row],[Status]],LstMachines[MoisLivr],AU$1)</f>
        <v>0</v>
      </c>
      <c r="AV273" s="223">
        <f>SUMIFS(LstMachines[Nbre],LstMachines[Model-Spec],PrévisionBoris[[#This Row],[Spec]],LstMachines[Status],PrévisionBoris[[#This Row],[Status]],LstMachines[MoisLivr],AV$1)</f>
        <v>0</v>
      </c>
      <c r="AW273" s="224">
        <f>SUMIFS(LstMachines[Nbre],LstMachines[Model-Spec],PrévisionBoris[[#This Row],[Spec]],LstMachines[Status],PrévisionBoris[[#This Row],[Status]],LstMachines[MoisLivr],AW$1)</f>
        <v>0</v>
      </c>
      <c r="AX273" s="210"/>
      <c r="AY273" s="211">
        <f t="shared" si="67"/>
        <v>0</v>
      </c>
      <c r="AZ273" s="212">
        <f t="shared" si="68"/>
        <v>0</v>
      </c>
      <c r="BA273" s="212">
        <f t="shared" si="69"/>
        <v>0</v>
      </c>
      <c r="BB273" s="213">
        <f t="shared" si="70"/>
        <v>0</v>
      </c>
      <c r="BC273" s="225">
        <f t="shared" si="71"/>
        <v>0</v>
      </c>
      <c r="BD273" s="211">
        <f t="shared" si="72"/>
        <v>0</v>
      </c>
      <c r="BE273" s="212">
        <f t="shared" si="73"/>
        <v>0</v>
      </c>
      <c r="BF273" s="212">
        <f t="shared" si="74"/>
        <v>0</v>
      </c>
      <c r="BG273" s="213">
        <f t="shared" si="75"/>
        <v>0</v>
      </c>
      <c r="BH273" s="225">
        <f t="shared" si="76"/>
        <v>0</v>
      </c>
      <c r="BI273" s="214">
        <f t="shared" si="77"/>
        <v>0</v>
      </c>
      <c r="BJ273" s="215">
        <f t="shared" si="78"/>
        <v>0</v>
      </c>
      <c r="BK273" s="215">
        <f t="shared" si="79"/>
        <v>0</v>
      </c>
      <c r="BL273" s="216">
        <f t="shared" si="80"/>
        <v>0</v>
      </c>
      <c r="BM273" s="225">
        <f t="shared" si="81"/>
        <v>0</v>
      </c>
      <c r="BN273" s="225"/>
      <c r="BO273" s="217"/>
      <c r="BP273" s="218">
        <f t="shared" si="82"/>
        <v>0</v>
      </c>
    </row>
    <row r="274" spans="1:68">
      <c r="A274" s="171">
        <v>267</v>
      </c>
      <c r="B274" s="171" t="s">
        <v>85</v>
      </c>
      <c r="C274" s="201">
        <v>225</v>
      </c>
      <c r="D274" s="171" t="s">
        <v>202</v>
      </c>
      <c r="E274" s="171" t="s">
        <v>206</v>
      </c>
      <c r="F274" s="201">
        <f>VLOOKUP(PrévisionBoris[[#This Row],[Spec]],TabModelSpecs[[ModelSpec]:[Price]],2,FALSE)</f>
        <v>125</v>
      </c>
      <c r="G274" s="171" t="s">
        <v>463</v>
      </c>
      <c r="H274" s="226">
        <f>SUMIFS(LstMachines[Nbre],LstMachines[Model-Spec],PrévisionBoris[[#This Row],[Spec]],LstMachines[Status],PrévisionBoris[[#This Row],[Status]],LstMachines[MoisLivr],H$1)</f>
        <v>0</v>
      </c>
      <c r="I274" s="227">
        <f>SUMIFS(LstMachines[Nbre],LstMachines[Model-Spec],PrévisionBoris[[#This Row],[Spec]],LstMachines[Status],PrévisionBoris[[#This Row],[Status]],LstMachines[MoisLivr],I$1)</f>
        <v>0</v>
      </c>
      <c r="J274" s="228">
        <f>SUMIFS(LstMachines[Nbre],LstMachines[Model-Spec],PrévisionBoris[[#This Row],[Spec]],LstMachines[Status],PrévisionBoris[[#This Row],[Status]],LstMachines[MoisLivr],J$1)</f>
        <v>0</v>
      </c>
      <c r="K274" s="226">
        <f>SUMIFS(LstMachines[Nbre],LstMachines[Model-Spec],PrévisionBoris[[#This Row],[Spec]],LstMachines[Status],PrévisionBoris[[#This Row],[Status]],LstMachines[MoisLivr],K$1)</f>
        <v>0</v>
      </c>
      <c r="L274" s="227">
        <f>SUMIFS(LstMachines[Nbre],LstMachines[Model-Spec],PrévisionBoris[[#This Row],[Spec]],LstMachines[Status],PrévisionBoris[[#This Row],[Status]],LstMachines[MoisLivr],L$1)</f>
        <v>0</v>
      </c>
      <c r="M274" s="228">
        <f>SUMIFS(LstMachines[Nbre],LstMachines[Model-Spec],PrévisionBoris[[#This Row],[Spec]],LstMachines[Status],PrévisionBoris[[#This Row],[Status]],LstMachines[MoisLivr],M$1)</f>
        <v>1</v>
      </c>
      <c r="N274" s="226">
        <f>SUMIFS(LstMachines[Nbre],LstMachines[Model-Spec],PrévisionBoris[[#This Row],[Spec]],LstMachines[Status],PrévisionBoris[[#This Row],[Status]],LstMachines[MoisLivr],N$1)</f>
        <v>0</v>
      </c>
      <c r="O274" s="227">
        <f>SUMIFS(LstMachines[Nbre],LstMachines[Model-Spec],PrévisionBoris[[#This Row],[Spec]],LstMachines[Status],PrévisionBoris[[#This Row],[Status]],LstMachines[MoisLivr],O$1)</f>
        <v>0</v>
      </c>
      <c r="P274" s="228">
        <f>SUMIFS(LstMachines[Nbre],LstMachines[Model-Spec],PrévisionBoris[[#This Row],[Spec]],LstMachines[Status],PrévisionBoris[[#This Row],[Status]],LstMachines[MoisLivr],P$1)</f>
        <v>0</v>
      </c>
      <c r="Q274" s="229">
        <f>SUMIFS(LstMachines[Nbre],LstMachines[Model-Spec],PrévisionBoris[[#This Row],[Spec]],LstMachines[Status],PrévisionBoris[[#This Row],[Status]],LstMachines[MoisLivr],Q$1)</f>
        <v>0</v>
      </c>
      <c r="R274" s="227">
        <f>SUMIFS(LstMachines[Nbre],LstMachines[Model-Spec],PrévisionBoris[[#This Row],[Spec]],LstMachines[Status],PrévisionBoris[[#This Row],[Status]],LstMachines[MoisLivr],R$1)</f>
        <v>0</v>
      </c>
      <c r="S274" s="227">
        <f>SUMIFS(LstMachines[Nbre],LstMachines[Model-Spec],PrévisionBoris[[#This Row],[Spec]],LstMachines[Status],PrévisionBoris[[#This Row],[Status]],LstMachines[MoisLivr],S$1)</f>
        <v>1</v>
      </c>
      <c r="T274" s="226">
        <f>SUMIFS(LstMachines[Nbre],LstMachines[Model-Spec],PrévisionBoris[[#This Row],[Spec]],LstMachines[Status],PrévisionBoris[[#This Row],[Status]],LstMachines[MoisLivr],T$1)</f>
        <v>0</v>
      </c>
      <c r="U274" s="227">
        <f>SUMIFS(LstMachines[Nbre],LstMachines[Model-Spec],PrévisionBoris[[#This Row],[Spec]],LstMachines[Status],PrévisionBoris[[#This Row],[Status]],LstMachines[MoisLivr],U$1)</f>
        <v>0</v>
      </c>
      <c r="V274" s="227">
        <f>SUMIFS(LstMachines[Nbre],LstMachines[Model-Spec],PrévisionBoris[[#This Row],[Spec]],LstMachines[Status],PrévisionBoris[[#This Row],[Status]],LstMachines[MoisLivr],V$1)</f>
        <v>0</v>
      </c>
      <c r="W274" s="226">
        <f>SUMIFS(LstMachines[Nbre],LstMachines[Model-Spec],PrévisionBoris[[#This Row],[Spec]],LstMachines[Status],PrévisionBoris[[#This Row],[Status]],LstMachines[MoisLivr],W$1)</f>
        <v>0</v>
      </c>
      <c r="X274" s="227">
        <f>SUMIFS(LstMachines[Nbre],LstMachines[Model-Spec],PrévisionBoris[[#This Row],[Spec]],LstMachines[Status],PrévisionBoris[[#This Row],[Status]],LstMachines[MoisLivr],X$1)</f>
        <v>0</v>
      </c>
      <c r="Y274" s="227">
        <f>SUMIFS(LstMachines[Nbre],LstMachines[Model-Spec],PrévisionBoris[[#This Row],[Spec]],LstMachines[Status],PrévisionBoris[[#This Row],[Status]],LstMachines[MoisLivr],Y$1)</f>
        <v>0</v>
      </c>
      <c r="Z274" s="226">
        <f>SUMIFS(LstMachines[Nbre],LstMachines[Model-Spec],PrévisionBoris[[#This Row],[Spec]],LstMachines[Status],PrévisionBoris[[#This Row],[Status]],LstMachines[MoisLivr],Z$1)</f>
        <v>0</v>
      </c>
      <c r="AA274" s="227">
        <f>SUMIFS(LstMachines[Nbre],LstMachines[Model-Spec],PrévisionBoris[[#This Row],[Spec]],LstMachines[Status],PrévisionBoris[[#This Row],[Status]],LstMachines[MoisLivr],AA$1)</f>
        <v>0</v>
      </c>
      <c r="AB274" s="227">
        <f>SUMIFS(LstMachines[Nbre],LstMachines[Model-Spec],PrévisionBoris[[#This Row],[Spec]],LstMachines[Status],PrévisionBoris[[#This Row],[Status]],LstMachines[MoisLivr],AB$1)</f>
        <v>0</v>
      </c>
      <c r="AC274" s="226">
        <f>SUMIFS(LstMachines[Nbre],LstMachines[Model-Spec],PrévisionBoris[[#This Row],[Spec]],LstMachines[Status],PrévisionBoris[[#This Row],[Status]],LstMachines[MoisLivr],AC$1)</f>
        <v>0</v>
      </c>
      <c r="AD274" s="227">
        <f>SUMIFS(LstMachines[Nbre],LstMachines[Model-Spec],PrévisionBoris[[#This Row],[Spec]],LstMachines[Status],PrévisionBoris[[#This Row],[Status]],LstMachines[MoisLivr],AD$1)</f>
        <v>0</v>
      </c>
      <c r="AE274" s="227">
        <f>SUMIFS(LstMachines[Nbre],LstMachines[Model-Spec],PrévisionBoris[[#This Row],[Spec]],LstMachines[Status],PrévisionBoris[[#This Row],[Status]],LstMachines[MoisLivr],AE$1)</f>
        <v>0</v>
      </c>
      <c r="AF274" s="226">
        <f>SUMIFS(LstMachines[Nbre],LstMachines[Model-Spec],PrévisionBoris[[#This Row],[Spec]],LstMachines[Status],PrévisionBoris[[#This Row],[Status]],LstMachines[MoisLivr],AF$1)</f>
        <v>0</v>
      </c>
      <c r="AG274" s="227">
        <f>SUMIFS(LstMachines[Nbre],LstMachines[Model-Spec],PrévisionBoris[[#This Row],[Spec]],LstMachines[Status],PrévisionBoris[[#This Row],[Status]],LstMachines[MoisLivr],AG$1)</f>
        <v>0</v>
      </c>
      <c r="AH274" s="227">
        <f>SUMIFS(LstMachines[Nbre],LstMachines[Model-Spec],PrévisionBoris[[#This Row],[Spec]],LstMachines[Status],PrévisionBoris[[#This Row],[Status]],LstMachines[MoisLivr],AH$1)</f>
        <v>0</v>
      </c>
      <c r="AI274" s="226">
        <f>SUMIFS(LstMachines[Nbre],LstMachines[Model-Spec],PrévisionBoris[[#This Row],[Spec]],LstMachines[Status],PrévisionBoris[[#This Row],[Status]],LstMachines[MoisLivr],AI$1)</f>
        <v>0</v>
      </c>
      <c r="AJ274" s="227">
        <f>SUMIFS(LstMachines[Nbre],LstMachines[Model-Spec],PrévisionBoris[[#This Row],[Spec]],LstMachines[Status],PrévisionBoris[[#This Row],[Status]],LstMachines[MoisLivr],AJ$1)</f>
        <v>0</v>
      </c>
      <c r="AK274" s="227">
        <f>SUMIFS(LstMachines[Nbre],LstMachines[Model-Spec],PrévisionBoris[[#This Row],[Spec]],LstMachines[Status],PrévisionBoris[[#This Row],[Status]],LstMachines[MoisLivr],AK$1)</f>
        <v>0</v>
      </c>
      <c r="AL274" s="226">
        <f>SUMIFS(LstMachines[Nbre],LstMachines[Model-Spec],PrévisionBoris[[#This Row],[Spec]],LstMachines[Status],PrévisionBoris[[#This Row],[Status]],LstMachines[MoisLivr],AL$1)</f>
        <v>0</v>
      </c>
      <c r="AM274" s="227">
        <f>SUMIFS(LstMachines[Nbre],LstMachines[Model-Spec],PrévisionBoris[[#This Row],[Spec]],LstMachines[Status],PrévisionBoris[[#This Row],[Status]],LstMachines[MoisLivr],AM$1)</f>
        <v>0</v>
      </c>
      <c r="AN274" s="227">
        <f>SUMIFS(LstMachines[Nbre],LstMachines[Model-Spec],PrévisionBoris[[#This Row],[Spec]],LstMachines[Status],PrévisionBoris[[#This Row],[Status]],LstMachines[MoisLivr],AN$1)</f>
        <v>0</v>
      </c>
      <c r="AO274" s="226">
        <f>SUMIFS(LstMachines[Nbre],LstMachines[Model-Spec],PrévisionBoris[[#This Row],[Spec]],LstMachines[Status],PrévisionBoris[[#This Row],[Status]],LstMachines[MoisLivr],AO$1)</f>
        <v>0</v>
      </c>
      <c r="AP274" s="227">
        <f>SUMIFS(LstMachines[Nbre],LstMachines[Model-Spec],PrévisionBoris[[#This Row],[Spec]],LstMachines[Status],PrévisionBoris[[#This Row],[Status]],LstMachines[MoisLivr],AP$1)</f>
        <v>0</v>
      </c>
      <c r="AQ274" s="227">
        <f>SUMIFS(LstMachines[Nbre],LstMachines[Model-Spec],PrévisionBoris[[#This Row],[Spec]],LstMachines[Status],PrévisionBoris[[#This Row],[Status]],LstMachines[MoisLivr],AQ$1)</f>
        <v>0</v>
      </c>
      <c r="AR274" s="226">
        <f>SUMIFS(LstMachines[Nbre],LstMachines[Model-Spec],PrévisionBoris[[#This Row],[Spec]],LstMachines[Status],PrévisionBoris[[#This Row],[Status]],LstMachines[MoisLivr],AR$1)</f>
        <v>0</v>
      </c>
      <c r="AS274" s="227">
        <f>SUMIFS(LstMachines[Nbre],LstMachines[Model-Spec],PrévisionBoris[[#This Row],[Spec]],LstMachines[Status],PrévisionBoris[[#This Row],[Status]],LstMachines[MoisLivr],AS$1)</f>
        <v>0</v>
      </c>
      <c r="AT274" s="227">
        <f>SUMIFS(LstMachines[Nbre],LstMachines[Model-Spec],PrévisionBoris[[#This Row],[Spec]],LstMachines[Status],PrévisionBoris[[#This Row],[Status]],LstMachines[MoisLivr],AT$1)</f>
        <v>0</v>
      </c>
      <c r="AU274" s="226">
        <f>SUMIFS(LstMachines[Nbre],LstMachines[Model-Spec],PrévisionBoris[[#This Row],[Spec]],LstMachines[Status],PrévisionBoris[[#This Row],[Status]],LstMachines[MoisLivr],AU$1)</f>
        <v>0</v>
      </c>
      <c r="AV274" s="230">
        <f>SUMIFS(LstMachines[Nbre],LstMachines[Model-Spec],PrévisionBoris[[#This Row],[Spec]],LstMachines[Status],PrévisionBoris[[#This Row],[Status]],LstMachines[MoisLivr],AV$1)</f>
        <v>0</v>
      </c>
      <c r="AW274" s="231">
        <f>SUMIFS(LstMachines[Nbre],LstMachines[Model-Spec],PrévisionBoris[[#This Row],[Spec]],LstMachines[Status],PrévisionBoris[[#This Row],[Status]],LstMachines[MoisLivr],AW$1)</f>
        <v>0</v>
      </c>
      <c r="AX274" s="232"/>
      <c r="AY274" s="211">
        <f t="shared" si="67"/>
        <v>1</v>
      </c>
      <c r="AZ274" s="212">
        <f t="shared" si="68"/>
        <v>0</v>
      </c>
      <c r="BA274" s="212">
        <f t="shared" si="69"/>
        <v>1</v>
      </c>
      <c r="BB274" s="213">
        <f t="shared" si="70"/>
        <v>0</v>
      </c>
      <c r="BC274" s="225">
        <f t="shared" si="71"/>
        <v>2</v>
      </c>
      <c r="BD274" s="211">
        <f t="shared" si="72"/>
        <v>0</v>
      </c>
      <c r="BE274" s="212">
        <f t="shared" si="73"/>
        <v>0</v>
      </c>
      <c r="BF274" s="212">
        <f t="shared" si="74"/>
        <v>0</v>
      </c>
      <c r="BG274" s="213">
        <f t="shared" si="75"/>
        <v>0</v>
      </c>
      <c r="BH274" s="225">
        <f t="shared" si="76"/>
        <v>0</v>
      </c>
      <c r="BI274" s="214">
        <f t="shared" si="77"/>
        <v>0</v>
      </c>
      <c r="BJ274" s="215">
        <f t="shared" si="78"/>
        <v>0</v>
      </c>
      <c r="BK274" s="215">
        <f t="shared" si="79"/>
        <v>0</v>
      </c>
      <c r="BL274" s="216">
        <f t="shared" si="80"/>
        <v>0</v>
      </c>
      <c r="BM274" s="225">
        <f t="shared" si="81"/>
        <v>0</v>
      </c>
      <c r="BN274" s="225"/>
      <c r="BO274" s="217"/>
      <c r="BP274" s="218">
        <f t="shared" si="82"/>
        <v>2</v>
      </c>
    </row>
    <row r="275" spans="1:68">
      <c r="A275" s="172">
        <v>268</v>
      </c>
      <c r="B275" s="172" t="s">
        <v>85</v>
      </c>
      <c r="C275" s="202">
        <v>250</v>
      </c>
      <c r="D275" s="172" t="s">
        <v>207</v>
      </c>
      <c r="E275" s="172" t="s">
        <v>208</v>
      </c>
      <c r="F275" s="202">
        <f>VLOOKUP(PrévisionBoris[[#This Row],[Spec]],TabModelSpecs[[ModelSpec]:[Price]],2,FALSE)</f>
        <v>160</v>
      </c>
      <c r="G275" s="172" t="s">
        <v>461</v>
      </c>
      <c r="H275" s="206">
        <f>SUMIFS(LstMachines[Nbre],LstMachines[Model-Spec],PrévisionBoris[[#This Row],[Spec]],LstMachines[Status],PrévisionBoris[[#This Row],[Status]],LstMachines[MoisLivr],H$1)</f>
        <v>0</v>
      </c>
      <c r="I275" s="207">
        <f>SUMIFS(LstMachines[Nbre],LstMachines[Model-Spec],PrévisionBoris[[#This Row],[Spec]],LstMachines[Status],PrévisionBoris[[#This Row],[Status]],LstMachines[MoisLivr],I$1)</f>
        <v>0</v>
      </c>
      <c r="J275" s="208">
        <f>SUMIFS(LstMachines[Nbre],LstMachines[Model-Spec],PrévisionBoris[[#This Row],[Spec]],LstMachines[Status],PrévisionBoris[[#This Row],[Status]],LstMachines[MoisLivr],J$1)</f>
        <v>0</v>
      </c>
      <c r="K275" s="206">
        <f>SUMIFS(LstMachines[Nbre],LstMachines[Model-Spec],PrévisionBoris[[#This Row],[Spec]],LstMachines[Status],PrévisionBoris[[#This Row],[Status]],LstMachines[MoisLivr],K$1)</f>
        <v>0</v>
      </c>
      <c r="L275" s="207">
        <f>SUMIFS(LstMachines[Nbre],LstMachines[Model-Spec],PrévisionBoris[[#This Row],[Spec]],LstMachines[Status],PrévisionBoris[[#This Row],[Status]],LstMachines[MoisLivr],L$1)</f>
        <v>0</v>
      </c>
      <c r="M275" s="208">
        <f>SUMIFS(LstMachines[Nbre],LstMachines[Model-Spec],PrévisionBoris[[#This Row],[Spec]],LstMachines[Status],PrévisionBoris[[#This Row],[Status]],LstMachines[MoisLivr],M$1)</f>
        <v>0</v>
      </c>
      <c r="N275" s="206">
        <f>SUMIFS(LstMachines[Nbre],LstMachines[Model-Spec],PrévisionBoris[[#This Row],[Spec]],LstMachines[Status],PrévisionBoris[[#This Row],[Status]],LstMachines[MoisLivr],N$1)</f>
        <v>0</v>
      </c>
      <c r="O275" s="207">
        <f>SUMIFS(LstMachines[Nbre],LstMachines[Model-Spec],PrévisionBoris[[#This Row],[Spec]],LstMachines[Status],PrévisionBoris[[#This Row],[Status]],LstMachines[MoisLivr],O$1)</f>
        <v>0</v>
      </c>
      <c r="P275" s="208">
        <f>SUMIFS(LstMachines[Nbre],LstMachines[Model-Spec],PrévisionBoris[[#This Row],[Spec]],LstMachines[Status],PrévisionBoris[[#This Row],[Status]],LstMachines[MoisLivr],P$1)</f>
        <v>0</v>
      </c>
      <c r="Q275" s="209">
        <f>SUMIFS(LstMachines[Nbre],LstMachines[Model-Spec],PrévisionBoris[[#This Row],[Spec]],LstMachines[Status],PrévisionBoris[[#This Row],[Status]],LstMachines[MoisLivr],Q$1)</f>
        <v>0</v>
      </c>
      <c r="R275" s="207">
        <f>SUMIFS(LstMachines[Nbre],LstMachines[Model-Spec],PrévisionBoris[[#This Row],[Spec]],LstMachines[Status],PrévisionBoris[[#This Row],[Status]],LstMachines[MoisLivr],R$1)</f>
        <v>0</v>
      </c>
      <c r="S275" s="207">
        <f>SUMIFS(LstMachines[Nbre],LstMachines[Model-Spec],PrévisionBoris[[#This Row],[Spec]],LstMachines[Status],PrévisionBoris[[#This Row],[Status]],LstMachines[MoisLivr],S$1)</f>
        <v>0</v>
      </c>
      <c r="T275" s="206">
        <f>SUMIFS(LstMachines[Nbre],LstMachines[Model-Spec],PrévisionBoris[[#This Row],[Spec]],LstMachines[Status],PrévisionBoris[[#This Row],[Status]],LstMachines[MoisLivr],T$1)</f>
        <v>0</v>
      </c>
      <c r="U275" s="207">
        <f>SUMIFS(LstMachines[Nbre],LstMachines[Model-Spec],PrévisionBoris[[#This Row],[Spec]],LstMachines[Status],PrévisionBoris[[#This Row],[Status]],LstMachines[MoisLivr],U$1)</f>
        <v>0</v>
      </c>
      <c r="V275" s="207">
        <f>SUMIFS(LstMachines[Nbre],LstMachines[Model-Spec],PrévisionBoris[[#This Row],[Spec]],LstMachines[Status],PrévisionBoris[[#This Row],[Status]],LstMachines[MoisLivr],V$1)</f>
        <v>0</v>
      </c>
      <c r="W275" s="206">
        <f>SUMIFS(LstMachines[Nbre],LstMachines[Model-Spec],PrévisionBoris[[#This Row],[Spec]],LstMachines[Status],PrévisionBoris[[#This Row],[Status]],LstMachines[MoisLivr],W$1)</f>
        <v>0</v>
      </c>
      <c r="X275" s="207">
        <f>SUMIFS(LstMachines[Nbre],LstMachines[Model-Spec],PrévisionBoris[[#This Row],[Spec]],LstMachines[Status],PrévisionBoris[[#This Row],[Status]],LstMachines[MoisLivr],X$1)</f>
        <v>0</v>
      </c>
      <c r="Y275" s="207">
        <f>SUMIFS(LstMachines[Nbre],LstMachines[Model-Spec],PrévisionBoris[[#This Row],[Spec]],LstMachines[Status],PrévisionBoris[[#This Row],[Status]],LstMachines[MoisLivr],Y$1)</f>
        <v>0</v>
      </c>
      <c r="Z275" s="206">
        <f>SUMIFS(LstMachines[Nbre],LstMachines[Model-Spec],PrévisionBoris[[#This Row],[Spec]],LstMachines[Status],PrévisionBoris[[#This Row],[Status]],LstMachines[MoisLivr],Z$1)</f>
        <v>0</v>
      </c>
      <c r="AA275" s="207">
        <f>SUMIFS(LstMachines[Nbre],LstMachines[Model-Spec],PrévisionBoris[[#This Row],[Spec]],LstMachines[Status],PrévisionBoris[[#This Row],[Status]],LstMachines[MoisLivr],AA$1)</f>
        <v>0</v>
      </c>
      <c r="AB275" s="207">
        <f>SUMIFS(LstMachines[Nbre],LstMachines[Model-Spec],PrévisionBoris[[#This Row],[Spec]],LstMachines[Status],PrévisionBoris[[#This Row],[Status]],LstMachines[MoisLivr],AB$1)</f>
        <v>0</v>
      </c>
      <c r="AC275" s="206">
        <f>SUMIFS(LstMachines[Nbre],LstMachines[Model-Spec],PrévisionBoris[[#This Row],[Spec]],LstMachines[Status],PrévisionBoris[[#This Row],[Status]],LstMachines[MoisLivr],AC$1)</f>
        <v>0</v>
      </c>
      <c r="AD275" s="207">
        <f>SUMIFS(LstMachines[Nbre],LstMachines[Model-Spec],PrévisionBoris[[#This Row],[Spec]],LstMachines[Status],PrévisionBoris[[#This Row],[Status]],LstMachines[MoisLivr],AD$1)</f>
        <v>0</v>
      </c>
      <c r="AE275" s="207">
        <f>SUMIFS(LstMachines[Nbre],LstMachines[Model-Spec],PrévisionBoris[[#This Row],[Spec]],LstMachines[Status],PrévisionBoris[[#This Row],[Status]],LstMachines[MoisLivr],AE$1)</f>
        <v>0</v>
      </c>
      <c r="AF275" s="206">
        <f>SUMIFS(LstMachines[Nbre],LstMachines[Model-Spec],PrévisionBoris[[#This Row],[Spec]],LstMachines[Status],PrévisionBoris[[#This Row],[Status]],LstMachines[MoisLivr],AF$1)</f>
        <v>0</v>
      </c>
      <c r="AG275" s="207">
        <f>SUMIFS(LstMachines[Nbre],LstMachines[Model-Spec],PrévisionBoris[[#This Row],[Spec]],LstMachines[Status],PrévisionBoris[[#This Row],[Status]],LstMachines[MoisLivr],AG$1)</f>
        <v>0</v>
      </c>
      <c r="AH275" s="207">
        <f>SUMIFS(LstMachines[Nbre],LstMachines[Model-Spec],PrévisionBoris[[#This Row],[Spec]],LstMachines[Status],PrévisionBoris[[#This Row],[Status]],LstMachines[MoisLivr],AH$1)</f>
        <v>0</v>
      </c>
      <c r="AI275" s="206">
        <f>SUMIFS(LstMachines[Nbre],LstMachines[Model-Spec],PrévisionBoris[[#This Row],[Spec]],LstMachines[Status],PrévisionBoris[[#This Row],[Status]],LstMachines[MoisLivr],AI$1)</f>
        <v>0</v>
      </c>
      <c r="AJ275" s="207">
        <f>SUMIFS(LstMachines[Nbre],LstMachines[Model-Spec],PrévisionBoris[[#This Row],[Spec]],LstMachines[Status],PrévisionBoris[[#This Row],[Status]],LstMachines[MoisLivr],AJ$1)</f>
        <v>0</v>
      </c>
      <c r="AK275" s="207">
        <f>SUMIFS(LstMachines[Nbre],LstMachines[Model-Spec],PrévisionBoris[[#This Row],[Spec]],LstMachines[Status],PrévisionBoris[[#This Row],[Status]],LstMachines[MoisLivr],AK$1)</f>
        <v>0</v>
      </c>
      <c r="AL275" s="206">
        <f>SUMIFS(LstMachines[Nbre],LstMachines[Model-Spec],PrévisionBoris[[#This Row],[Spec]],LstMachines[Status],PrévisionBoris[[#This Row],[Status]],LstMachines[MoisLivr],AL$1)</f>
        <v>0</v>
      </c>
      <c r="AM275" s="207">
        <f>SUMIFS(LstMachines[Nbre],LstMachines[Model-Spec],PrévisionBoris[[#This Row],[Spec]],LstMachines[Status],PrévisionBoris[[#This Row],[Status]],LstMachines[MoisLivr],AM$1)</f>
        <v>0</v>
      </c>
      <c r="AN275" s="207">
        <f>SUMIFS(LstMachines[Nbre],LstMachines[Model-Spec],PrévisionBoris[[#This Row],[Spec]],LstMachines[Status],PrévisionBoris[[#This Row],[Status]],LstMachines[MoisLivr],AN$1)</f>
        <v>0</v>
      </c>
      <c r="AO275" s="206">
        <f>SUMIFS(LstMachines[Nbre],LstMachines[Model-Spec],PrévisionBoris[[#This Row],[Spec]],LstMachines[Status],PrévisionBoris[[#This Row],[Status]],LstMachines[MoisLivr],AO$1)</f>
        <v>0</v>
      </c>
      <c r="AP275" s="207">
        <f>SUMIFS(LstMachines[Nbre],LstMachines[Model-Spec],PrévisionBoris[[#This Row],[Spec]],LstMachines[Status],PrévisionBoris[[#This Row],[Status]],LstMachines[MoisLivr],AP$1)</f>
        <v>0</v>
      </c>
      <c r="AQ275" s="207">
        <f>SUMIFS(LstMachines[Nbre],LstMachines[Model-Spec],PrévisionBoris[[#This Row],[Spec]],LstMachines[Status],PrévisionBoris[[#This Row],[Status]],LstMachines[MoisLivr],AQ$1)</f>
        <v>0</v>
      </c>
      <c r="AR275" s="206">
        <f>SUMIFS(LstMachines[Nbre],LstMachines[Model-Spec],PrévisionBoris[[#This Row],[Spec]],LstMachines[Status],PrévisionBoris[[#This Row],[Status]],LstMachines[MoisLivr],AR$1)</f>
        <v>0</v>
      </c>
      <c r="AS275" s="207">
        <f>SUMIFS(LstMachines[Nbre],LstMachines[Model-Spec],PrévisionBoris[[#This Row],[Spec]],LstMachines[Status],PrévisionBoris[[#This Row],[Status]],LstMachines[MoisLivr],AS$1)</f>
        <v>0</v>
      </c>
      <c r="AT275" s="207">
        <f>SUMIFS(LstMachines[Nbre],LstMachines[Model-Spec],PrévisionBoris[[#This Row],[Spec]],LstMachines[Status],PrévisionBoris[[#This Row],[Status]],LstMachines[MoisLivr],AT$1)</f>
        <v>0</v>
      </c>
      <c r="AU275" s="206">
        <f>SUMIFS(LstMachines[Nbre],LstMachines[Model-Spec],PrévisionBoris[[#This Row],[Spec]],LstMachines[Status],PrévisionBoris[[#This Row],[Status]],LstMachines[MoisLivr],AU$1)</f>
        <v>0</v>
      </c>
      <c r="AV275" s="233">
        <f>SUMIFS(LstMachines[Nbre],LstMachines[Model-Spec],PrévisionBoris[[#This Row],[Spec]],LstMachines[Status],PrévisionBoris[[#This Row],[Status]],LstMachines[MoisLivr],AV$1)</f>
        <v>0</v>
      </c>
      <c r="AW275" s="208">
        <f>SUMIFS(LstMachines[Nbre],LstMachines[Model-Spec],PrévisionBoris[[#This Row],[Spec]],LstMachines[Status],PrévisionBoris[[#This Row],[Status]],LstMachines[MoisLivr],AW$1)</f>
        <v>0</v>
      </c>
      <c r="AX275" s="225"/>
      <c r="AY275" s="211">
        <f t="shared" si="67"/>
        <v>0</v>
      </c>
      <c r="AZ275" s="212">
        <f t="shared" si="68"/>
        <v>0</v>
      </c>
      <c r="BA275" s="212">
        <f t="shared" si="69"/>
        <v>0</v>
      </c>
      <c r="BB275" s="213">
        <f t="shared" si="70"/>
        <v>0</v>
      </c>
      <c r="BC275" s="225">
        <f t="shared" si="71"/>
        <v>0</v>
      </c>
      <c r="BD275" s="211">
        <f t="shared" si="72"/>
        <v>0</v>
      </c>
      <c r="BE275" s="212">
        <f t="shared" si="73"/>
        <v>0</v>
      </c>
      <c r="BF275" s="212">
        <f t="shared" si="74"/>
        <v>0</v>
      </c>
      <c r="BG275" s="213">
        <f t="shared" si="75"/>
        <v>0</v>
      </c>
      <c r="BH275" s="225">
        <f t="shared" si="76"/>
        <v>0</v>
      </c>
      <c r="BI275" s="214">
        <f t="shared" si="77"/>
        <v>0</v>
      </c>
      <c r="BJ275" s="215">
        <f t="shared" si="78"/>
        <v>0</v>
      </c>
      <c r="BK275" s="215">
        <f t="shared" si="79"/>
        <v>0</v>
      </c>
      <c r="BL275" s="216">
        <f t="shared" si="80"/>
        <v>0</v>
      </c>
      <c r="BM275" s="225">
        <f t="shared" si="81"/>
        <v>0</v>
      </c>
      <c r="BN275" s="225"/>
      <c r="BO275" s="234"/>
      <c r="BP275" s="218">
        <f t="shared" si="82"/>
        <v>0</v>
      </c>
    </row>
    <row r="276" spans="1:68">
      <c r="A276" s="170">
        <v>269</v>
      </c>
      <c r="B276" s="170" t="s">
        <v>85</v>
      </c>
      <c r="C276" s="200">
        <v>250</v>
      </c>
      <c r="D276" s="170" t="s">
        <v>207</v>
      </c>
      <c r="E276" s="170" t="s">
        <v>208</v>
      </c>
      <c r="F276" s="200">
        <f>VLOOKUP(PrévisionBoris[[#This Row],[Spec]],TabModelSpecs[[ModelSpec]:[Price]],2,FALSE)</f>
        <v>160</v>
      </c>
      <c r="G276" s="170" t="s">
        <v>462</v>
      </c>
      <c r="H276" s="219">
        <f>SUMIFS(LstMachines[Nbre],LstMachines[Model-Spec],PrévisionBoris[[#This Row],[Spec]],LstMachines[Status],PrévisionBoris[[#This Row],[Status]],LstMachines[MoisLivr],H$1)</f>
        <v>0</v>
      </c>
      <c r="I276" s="220">
        <f>SUMIFS(LstMachines[Nbre],LstMachines[Model-Spec],PrévisionBoris[[#This Row],[Spec]],LstMachines[Status],PrévisionBoris[[#This Row],[Status]],LstMachines[MoisLivr],I$1)</f>
        <v>0</v>
      </c>
      <c r="J276" s="221">
        <f>SUMIFS(LstMachines[Nbre],LstMachines[Model-Spec],PrévisionBoris[[#This Row],[Spec]],LstMachines[Status],PrévisionBoris[[#This Row],[Status]],LstMachines[MoisLivr],J$1)</f>
        <v>0</v>
      </c>
      <c r="K276" s="219">
        <f>SUMIFS(LstMachines[Nbre],LstMachines[Model-Spec],PrévisionBoris[[#This Row],[Spec]],LstMachines[Status],PrévisionBoris[[#This Row],[Status]],LstMachines[MoisLivr],K$1)</f>
        <v>0</v>
      </c>
      <c r="L276" s="220">
        <f>SUMIFS(LstMachines[Nbre],LstMachines[Model-Spec],PrévisionBoris[[#This Row],[Spec]],LstMachines[Status],PrévisionBoris[[#This Row],[Status]],LstMachines[MoisLivr],L$1)</f>
        <v>0</v>
      </c>
      <c r="M276" s="221">
        <f>SUMIFS(LstMachines[Nbre],LstMachines[Model-Spec],PrévisionBoris[[#This Row],[Spec]],LstMachines[Status],PrévisionBoris[[#This Row],[Status]],LstMachines[MoisLivr],M$1)</f>
        <v>0</v>
      </c>
      <c r="N276" s="219">
        <f>SUMIFS(LstMachines[Nbre],LstMachines[Model-Spec],PrévisionBoris[[#This Row],[Spec]],LstMachines[Status],PrévisionBoris[[#This Row],[Status]],LstMachines[MoisLivr],N$1)</f>
        <v>0</v>
      </c>
      <c r="O276" s="220">
        <f>SUMIFS(LstMachines[Nbre],LstMachines[Model-Spec],PrévisionBoris[[#This Row],[Spec]],LstMachines[Status],PrévisionBoris[[#This Row],[Status]],LstMachines[MoisLivr],O$1)</f>
        <v>0</v>
      </c>
      <c r="P276" s="221">
        <f>SUMIFS(LstMachines[Nbre],LstMachines[Model-Spec],PrévisionBoris[[#This Row],[Spec]],LstMachines[Status],PrévisionBoris[[#This Row],[Status]],LstMachines[MoisLivr],P$1)</f>
        <v>0</v>
      </c>
      <c r="Q276" s="222">
        <f>SUMIFS(LstMachines[Nbre],LstMachines[Model-Spec],PrévisionBoris[[#This Row],[Spec]],LstMachines[Status],PrévisionBoris[[#This Row],[Status]],LstMachines[MoisLivr],Q$1)</f>
        <v>0</v>
      </c>
      <c r="R276" s="220">
        <f>SUMIFS(LstMachines[Nbre],LstMachines[Model-Spec],PrévisionBoris[[#This Row],[Spec]],LstMachines[Status],PrévisionBoris[[#This Row],[Status]],LstMachines[MoisLivr],R$1)</f>
        <v>0</v>
      </c>
      <c r="S276" s="220">
        <f>SUMIFS(LstMachines[Nbre],LstMachines[Model-Spec],PrévisionBoris[[#This Row],[Spec]],LstMachines[Status],PrévisionBoris[[#This Row],[Status]],LstMachines[MoisLivr],S$1)</f>
        <v>0</v>
      </c>
      <c r="T276" s="219">
        <f>SUMIFS(LstMachines[Nbre],LstMachines[Model-Spec],PrévisionBoris[[#This Row],[Spec]],LstMachines[Status],PrévisionBoris[[#This Row],[Status]],LstMachines[MoisLivr],T$1)</f>
        <v>0</v>
      </c>
      <c r="U276" s="220">
        <f>SUMIFS(LstMachines[Nbre],LstMachines[Model-Spec],PrévisionBoris[[#This Row],[Spec]],LstMachines[Status],PrévisionBoris[[#This Row],[Status]],LstMachines[MoisLivr],U$1)</f>
        <v>0</v>
      </c>
      <c r="V276" s="220">
        <f>SUMIFS(LstMachines[Nbre],LstMachines[Model-Spec],PrévisionBoris[[#This Row],[Spec]],LstMachines[Status],PrévisionBoris[[#This Row],[Status]],LstMachines[MoisLivr],V$1)</f>
        <v>0</v>
      </c>
      <c r="W276" s="219">
        <f>SUMIFS(LstMachines[Nbre],LstMachines[Model-Spec],PrévisionBoris[[#This Row],[Spec]],LstMachines[Status],PrévisionBoris[[#This Row],[Status]],LstMachines[MoisLivr],W$1)</f>
        <v>0</v>
      </c>
      <c r="X276" s="220">
        <f>SUMIFS(LstMachines[Nbre],LstMachines[Model-Spec],PrévisionBoris[[#This Row],[Spec]],LstMachines[Status],PrévisionBoris[[#This Row],[Status]],LstMachines[MoisLivr],X$1)</f>
        <v>0</v>
      </c>
      <c r="Y276" s="220">
        <f>SUMIFS(LstMachines[Nbre],LstMachines[Model-Spec],PrévisionBoris[[#This Row],[Spec]],LstMachines[Status],PrévisionBoris[[#This Row],[Status]],LstMachines[MoisLivr],Y$1)</f>
        <v>0</v>
      </c>
      <c r="Z276" s="219">
        <f>SUMIFS(LstMachines[Nbre],LstMachines[Model-Spec],PrévisionBoris[[#This Row],[Spec]],LstMachines[Status],PrévisionBoris[[#This Row],[Status]],LstMachines[MoisLivr],Z$1)</f>
        <v>0</v>
      </c>
      <c r="AA276" s="220">
        <f>SUMIFS(LstMachines[Nbre],LstMachines[Model-Spec],PrévisionBoris[[#This Row],[Spec]],LstMachines[Status],PrévisionBoris[[#This Row],[Status]],LstMachines[MoisLivr],AA$1)</f>
        <v>0</v>
      </c>
      <c r="AB276" s="220">
        <f>SUMIFS(LstMachines[Nbre],LstMachines[Model-Spec],PrévisionBoris[[#This Row],[Spec]],LstMachines[Status],PrévisionBoris[[#This Row],[Status]],LstMachines[MoisLivr],AB$1)</f>
        <v>0</v>
      </c>
      <c r="AC276" s="219">
        <f>SUMIFS(LstMachines[Nbre],LstMachines[Model-Spec],PrévisionBoris[[#This Row],[Spec]],LstMachines[Status],PrévisionBoris[[#This Row],[Status]],LstMachines[MoisLivr],AC$1)</f>
        <v>0</v>
      </c>
      <c r="AD276" s="220">
        <f>SUMIFS(LstMachines[Nbre],LstMachines[Model-Spec],PrévisionBoris[[#This Row],[Spec]],LstMachines[Status],PrévisionBoris[[#This Row],[Status]],LstMachines[MoisLivr],AD$1)</f>
        <v>0</v>
      </c>
      <c r="AE276" s="220">
        <f>SUMIFS(LstMachines[Nbre],LstMachines[Model-Spec],PrévisionBoris[[#This Row],[Spec]],LstMachines[Status],PrévisionBoris[[#This Row],[Status]],LstMachines[MoisLivr],AE$1)</f>
        <v>0</v>
      </c>
      <c r="AF276" s="219">
        <f>SUMIFS(LstMachines[Nbre],LstMachines[Model-Spec],PrévisionBoris[[#This Row],[Spec]],LstMachines[Status],PrévisionBoris[[#This Row],[Status]],LstMachines[MoisLivr],AF$1)</f>
        <v>0</v>
      </c>
      <c r="AG276" s="220">
        <f>SUMIFS(LstMachines[Nbre],LstMachines[Model-Spec],PrévisionBoris[[#This Row],[Spec]],LstMachines[Status],PrévisionBoris[[#This Row],[Status]],LstMachines[MoisLivr],AG$1)</f>
        <v>0</v>
      </c>
      <c r="AH276" s="220">
        <f>SUMIFS(LstMachines[Nbre],LstMachines[Model-Spec],PrévisionBoris[[#This Row],[Spec]],LstMachines[Status],PrévisionBoris[[#This Row],[Status]],LstMachines[MoisLivr],AH$1)</f>
        <v>0</v>
      </c>
      <c r="AI276" s="219">
        <f>SUMIFS(LstMachines[Nbre],LstMachines[Model-Spec],PrévisionBoris[[#This Row],[Spec]],LstMachines[Status],PrévisionBoris[[#This Row],[Status]],LstMachines[MoisLivr],AI$1)</f>
        <v>0</v>
      </c>
      <c r="AJ276" s="220">
        <f>SUMIFS(LstMachines[Nbre],LstMachines[Model-Spec],PrévisionBoris[[#This Row],[Spec]],LstMachines[Status],PrévisionBoris[[#This Row],[Status]],LstMachines[MoisLivr],AJ$1)</f>
        <v>0</v>
      </c>
      <c r="AK276" s="220">
        <f>SUMIFS(LstMachines[Nbre],LstMachines[Model-Spec],PrévisionBoris[[#This Row],[Spec]],LstMachines[Status],PrévisionBoris[[#This Row],[Status]],LstMachines[MoisLivr],AK$1)</f>
        <v>0</v>
      </c>
      <c r="AL276" s="219">
        <f>SUMIFS(LstMachines[Nbre],LstMachines[Model-Spec],PrévisionBoris[[#This Row],[Spec]],LstMachines[Status],PrévisionBoris[[#This Row],[Status]],LstMachines[MoisLivr],AL$1)</f>
        <v>0</v>
      </c>
      <c r="AM276" s="220">
        <f>SUMIFS(LstMachines[Nbre],LstMachines[Model-Spec],PrévisionBoris[[#This Row],[Spec]],LstMachines[Status],PrévisionBoris[[#This Row],[Status]],LstMachines[MoisLivr],AM$1)</f>
        <v>0</v>
      </c>
      <c r="AN276" s="220">
        <f>SUMIFS(LstMachines[Nbre],LstMachines[Model-Spec],PrévisionBoris[[#This Row],[Spec]],LstMachines[Status],PrévisionBoris[[#This Row],[Status]],LstMachines[MoisLivr],AN$1)</f>
        <v>0</v>
      </c>
      <c r="AO276" s="219">
        <f>SUMIFS(LstMachines[Nbre],LstMachines[Model-Spec],PrévisionBoris[[#This Row],[Spec]],LstMachines[Status],PrévisionBoris[[#This Row],[Status]],LstMachines[MoisLivr],AO$1)</f>
        <v>0</v>
      </c>
      <c r="AP276" s="220">
        <f>SUMIFS(LstMachines[Nbre],LstMachines[Model-Spec],PrévisionBoris[[#This Row],[Spec]],LstMachines[Status],PrévisionBoris[[#This Row],[Status]],LstMachines[MoisLivr],AP$1)</f>
        <v>0</v>
      </c>
      <c r="AQ276" s="220">
        <f>SUMIFS(LstMachines[Nbre],LstMachines[Model-Spec],PrévisionBoris[[#This Row],[Spec]],LstMachines[Status],PrévisionBoris[[#This Row],[Status]],LstMachines[MoisLivr],AQ$1)</f>
        <v>0</v>
      </c>
      <c r="AR276" s="219">
        <f>SUMIFS(LstMachines[Nbre],LstMachines[Model-Spec],PrévisionBoris[[#This Row],[Spec]],LstMachines[Status],PrévisionBoris[[#This Row],[Status]],LstMachines[MoisLivr],AR$1)</f>
        <v>0</v>
      </c>
      <c r="AS276" s="220">
        <f>SUMIFS(LstMachines[Nbre],LstMachines[Model-Spec],PrévisionBoris[[#This Row],[Spec]],LstMachines[Status],PrévisionBoris[[#This Row],[Status]],LstMachines[MoisLivr],AS$1)</f>
        <v>0</v>
      </c>
      <c r="AT276" s="220">
        <f>SUMIFS(LstMachines[Nbre],LstMachines[Model-Spec],PrévisionBoris[[#This Row],[Spec]],LstMachines[Status],PrévisionBoris[[#This Row],[Status]],LstMachines[MoisLivr],AT$1)</f>
        <v>0</v>
      </c>
      <c r="AU276" s="219">
        <f>SUMIFS(LstMachines[Nbre],LstMachines[Model-Spec],PrévisionBoris[[#This Row],[Spec]],LstMachines[Status],PrévisionBoris[[#This Row],[Status]],LstMachines[MoisLivr],AU$1)</f>
        <v>0</v>
      </c>
      <c r="AV276" s="223">
        <f>SUMIFS(LstMachines[Nbre],LstMachines[Model-Spec],PrévisionBoris[[#This Row],[Spec]],LstMachines[Status],PrévisionBoris[[#This Row],[Status]],LstMachines[MoisLivr],AV$1)</f>
        <v>0</v>
      </c>
      <c r="AW276" s="224">
        <f>SUMIFS(LstMachines[Nbre],LstMachines[Model-Spec],PrévisionBoris[[#This Row],[Spec]],LstMachines[Status],PrévisionBoris[[#This Row],[Status]],LstMachines[MoisLivr],AW$1)</f>
        <v>0</v>
      </c>
      <c r="AX276" s="210"/>
      <c r="AY276" s="211">
        <f t="shared" si="67"/>
        <v>0</v>
      </c>
      <c r="AZ276" s="212">
        <f t="shared" si="68"/>
        <v>0</v>
      </c>
      <c r="BA276" s="212">
        <f t="shared" si="69"/>
        <v>0</v>
      </c>
      <c r="BB276" s="213">
        <f t="shared" si="70"/>
        <v>0</v>
      </c>
      <c r="BC276" s="225">
        <f t="shared" si="71"/>
        <v>0</v>
      </c>
      <c r="BD276" s="211">
        <f t="shared" si="72"/>
        <v>0</v>
      </c>
      <c r="BE276" s="212">
        <f t="shared" si="73"/>
        <v>0</v>
      </c>
      <c r="BF276" s="212">
        <f t="shared" si="74"/>
        <v>0</v>
      </c>
      <c r="BG276" s="213">
        <f t="shared" si="75"/>
        <v>0</v>
      </c>
      <c r="BH276" s="225">
        <f t="shared" si="76"/>
        <v>0</v>
      </c>
      <c r="BI276" s="214">
        <f t="shared" si="77"/>
        <v>0</v>
      </c>
      <c r="BJ276" s="215">
        <f t="shared" si="78"/>
        <v>0</v>
      </c>
      <c r="BK276" s="215">
        <f t="shared" si="79"/>
        <v>0</v>
      </c>
      <c r="BL276" s="216">
        <f t="shared" si="80"/>
        <v>0</v>
      </c>
      <c r="BM276" s="225">
        <f t="shared" si="81"/>
        <v>0</v>
      </c>
      <c r="BN276" s="225"/>
      <c r="BO276" s="217"/>
      <c r="BP276" s="218">
        <f t="shared" si="82"/>
        <v>0</v>
      </c>
    </row>
    <row r="277" spans="1:68">
      <c r="A277" s="171">
        <v>270</v>
      </c>
      <c r="B277" s="171" t="s">
        <v>85</v>
      </c>
      <c r="C277" s="201">
        <v>250</v>
      </c>
      <c r="D277" s="171" t="s">
        <v>207</v>
      </c>
      <c r="E277" s="171" t="s">
        <v>208</v>
      </c>
      <c r="F277" s="201">
        <f>VLOOKUP(PrévisionBoris[[#This Row],[Spec]],TabModelSpecs[[ModelSpec]:[Price]],2,FALSE)</f>
        <v>160</v>
      </c>
      <c r="G277" s="171" t="s">
        <v>463</v>
      </c>
      <c r="H277" s="226">
        <f>SUMIFS(LstMachines[Nbre],LstMachines[Model-Spec],PrévisionBoris[[#This Row],[Spec]],LstMachines[Status],PrévisionBoris[[#This Row],[Status]],LstMachines[MoisLivr],H$1)</f>
        <v>0</v>
      </c>
      <c r="I277" s="227">
        <f>SUMIFS(LstMachines[Nbre],LstMachines[Model-Spec],PrévisionBoris[[#This Row],[Spec]],LstMachines[Status],PrévisionBoris[[#This Row],[Status]],LstMachines[MoisLivr],I$1)</f>
        <v>0</v>
      </c>
      <c r="J277" s="228">
        <f>SUMIFS(LstMachines[Nbre],LstMachines[Model-Spec],PrévisionBoris[[#This Row],[Spec]],LstMachines[Status],PrévisionBoris[[#This Row],[Status]],LstMachines[MoisLivr],J$1)</f>
        <v>0</v>
      </c>
      <c r="K277" s="226">
        <f>SUMIFS(LstMachines[Nbre],LstMachines[Model-Spec],PrévisionBoris[[#This Row],[Spec]],LstMachines[Status],PrévisionBoris[[#This Row],[Status]],LstMachines[MoisLivr],K$1)</f>
        <v>0</v>
      </c>
      <c r="L277" s="227">
        <f>SUMIFS(LstMachines[Nbre],LstMachines[Model-Spec],PrévisionBoris[[#This Row],[Spec]],LstMachines[Status],PrévisionBoris[[#This Row],[Status]],LstMachines[MoisLivr],L$1)</f>
        <v>0</v>
      </c>
      <c r="M277" s="228">
        <f>SUMIFS(LstMachines[Nbre],LstMachines[Model-Spec],PrévisionBoris[[#This Row],[Spec]],LstMachines[Status],PrévisionBoris[[#This Row],[Status]],LstMachines[MoisLivr],M$1)</f>
        <v>0</v>
      </c>
      <c r="N277" s="226">
        <f>SUMIFS(LstMachines[Nbre],LstMachines[Model-Spec],PrévisionBoris[[#This Row],[Spec]],LstMachines[Status],PrévisionBoris[[#This Row],[Status]],LstMachines[MoisLivr],N$1)</f>
        <v>0</v>
      </c>
      <c r="O277" s="227">
        <f>SUMIFS(LstMachines[Nbre],LstMachines[Model-Spec],PrévisionBoris[[#This Row],[Spec]],LstMachines[Status],PrévisionBoris[[#This Row],[Status]],LstMachines[MoisLivr],O$1)</f>
        <v>0</v>
      </c>
      <c r="P277" s="228">
        <f>SUMIFS(LstMachines[Nbre],LstMachines[Model-Spec],PrévisionBoris[[#This Row],[Spec]],LstMachines[Status],PrévisionBoris[[#This Row],[Status]],LstMachines[MoisLivr],P$1)</f>
        <v>0</v>
      </c>
      <c r="Q277" s="229">
        <f>SUMIFS(LstMachines[Nbre],LstMachines[Model-Spec],PrévisionBoris[[#This Row],[Spec]],LstMachines[Status],PrévisionBoris[[#This Row],[Status]],LstMachines[MoisLivr],Q$1)</f>
        <v>0</v>
      </c>
      <c r="R277" s="227">
        <f>SUMIFS(LstMachines[Nbre],LstMachines[Model-Spec],PrévisionBoris[[#This Row],[Spec]],LstMachines[Status],PrévisionBoris[[#This Row],[Status]],LstMachines[MoisLivr],R$1)</f>
        <v>0</v>
      </c>
      <c r="S277" s="227">
        <f>SUMIFS(LstMachines[Nbre],LstMachines[Model-Spec],PrévisionBoris[[#This Row],[Spec]],LstMachines[Status],PrévisionBoris[[#This Row],[Status]],LstMachines[MoisLivr],S$1)</f>
        <v>0</v>
      </c>
      <c r="T277" s="226">
        <f>SUMIFS(LstMachines[Nbre],LstMachines[Model-Spec],PrévisionBoris[[#This Row],[Spec]],LstMachines[Status],PrévisionBoris[[#This Row],[Status]],LstMachines[MoisLivr],T$1)</f>
        <v>0</v>
      </c>
      <c r="U277" s="227">
        <f>SUMIFS(LstMachines[Nbre],LstMachines[Model-Spec],PrévisionBoris[[#This Row],[Spec]],LstMachines[Status],PrévisionBoris[[#This Row],[Status]],LstMachines[MoisLivr],U$1)</f>
        <v>0</v>
      </c>
      <c r="V277" s="227">
        <f>SUMIFS(LstMachines[Nbre],LstMachines[Model-Spec],PrévisionBoris[[#This Row],[Spec]],LstMachines[Status],PrévisionBoris[[#This Row],[Status]],LstMachines[MoisLivr],V$1)</f>
        <v>0</v>
      </c>
      <c r="W277" s="226">
        <f>SUMIFS(LstMachines[Nbre],LstMachines[Model-Spec],PrévisionBoris[[#This Row],[Spec]],LstMachines[Status],PrévisionBoris[[#This Row],[Status]],LstMachines[MoisLivr],W$1)</f>
        <v>0</v>
      </c>
      <c r="X277" s="227">
        <f>SUMIFS(LstMachines[Nbre],LstMachines[Model-Spec],PrévisionBoris[[#This Row],[Spec]],LstMachines[Status],PrévisionBoris[[#This Row],[Status]],LstMachines[MoisLivr],X$1)</f>
        <v>0</v>
      </c>
      <c r="Y277" s="227">
        <f>SUMIFS(LstMachines[Nbre],LstMachines[Model-Spec],PrévisionBoris[[#This Row],[Spec]],LstMachines[Status],PrévisionBoris[[#This Row],[Status]],LstMachines[MoisLivr],Y$1)</f>
        <v>0</v>
      </c>
      <c r="Z277" s="226">
        <f>SUMIFS(LstMachines[Nbre],LstMachines[Model-Spec],PrévisionBoris[[#This Row],[Spec]],LstMachines[Status],PrévisionBoris[[#This Row],[Status]],LstMachines[MoisLivr],Z$1)</f>
        <v>0</v>
      </c>
      <c r="AA277" s="227">
        <f>SUMIFS(LstMachines[Nbre],LstMachines[Model-Spec],PrévisionBoris[[#This Row],[Spec]],LstMachines[Status],PrévisionBoris[[#This Row],[Status]],LstMachines[MoisLivr],AA$1)</f>
        <v>0</v>
      </c>
      <c r="AB277" s="227">
        <f>SUMIFS(LstMachines[Nbre],LstMachines[Model-Spec],PrévisionBoris[[#This Row],[Spec]],LstMachines[Status],PrévisionBoris[[#This Row],[Status]],LstMachines[MoisLivr],AB$1)</f>
        <v>0</v>
      </c>
      <c r="AC277" s="226">
        <f>SUMIFS(LstMachines[Nbre],LstMachines[Model-Spec],PrévisionBoris[[#This Row],[Spec]],LstMachines[Status],PrévisionBoris[[#This Row],[Status]],LstMachines[MoisLivr],AC$1)</f>
        <v>0</v>
      </c>
      <c r="AD277" s="227">
        <f>SUMIFS(LstMachines[Nbre],LstMachines[Model-Spec],PrévisionBoris[[#This Row],[Spec]],LstMachines[Status],PrévisionBoris[[#This Row],[Status]],LstMachines[MoisLivr],AD$1)</f>
        <v>0</v>
      </c>
      <c r="AE277" s="227">
        <f>SUMIFS(LstMachines[Nbre],LstMachines[Model-Spec],PrévisionBoris[[#This Row],[Spec]],LstMachines[Status],PrévisionBoris[[#This Row],[Status]],LstMachines[MoisLivr],AE$1)</f>
        <v>0</v>
      </c>
      <c r="AF277" s="226">
        <f>SUMIFS(LstMachines[Nbre],LstMachines[Model-Spec],PrévisionBoris[[#This Row],[Spec]],LstMachines[Status],PrévisionBoris[[#This Row],[Status]],LstMachines[MoisLivr],AF$1)</f>
        <v>0</v>
      </c>
      <c r="AG277" s="227">
        <f>SUMIFS(LstMachines[Nbre],LstMachines[Model-Spec],PrévisionBoris[[#This Row],[Spec]],LstMachines[Status],PrévisionBoris[[#This Row],[Status]],LstMachines[MoisLivr],AG$1)</f>
        <v>0</v>
      </c>
      <c r="AH277" s="227">
        <f>SUMIFS(LstMachines[Nbre],LstMachines[Model-Spec],PrévisionBoris[[#This Row],[Spec]],LstMachines[Status],PrévisionBoris[[#This Row],[Status]],LstMachines[MoisLivr],AH$1)</f>
        <v>0</v>
      </c>
      <c r="AI277" s="226">
        <f>SUMIFS(LstMachines[Nbre],LstMachines[Model-Spec],PrévisionBoris[[#This Row],[Spec]],LstMachines[Status],PrévisionBoris[[#This Row],[Status]],LstMachines[MoisLivr],AI$1)</f>
        <v>0</v>
      </c>
      <c r="AJ277" s="227">
        <f>SUMIFS(LstMachines[Nbre],LstMachines[Model-Spec],PrévisionBoris[[#This Row],[Spec]],LstMachines[Status],PrévisionBoris[[#This Row],[Status]],LstMachines[MoisLivr],AJ$1)</f>
        <v>0</v>
      </c>
      <c r="AK277" s="227">
        <f>SUMIFS(LstMachines[Nbre],LstMachines[Model-Spec],PrévisionBoris[[#This Row],[Spec]],LstMachines[Status],PrévisionBoris[[#This Row],[Status]],LstMachines[MoisLivr],AK$1)</f>
        <v>0</v>
      </c>
      <c r="AL277" s="226">
        <f>SUMIFS(LstMachines[Nbre],LstMachines[Model-Spec],PrévisionBoris[[#This Row],[Spec]],LstMachines[Status],PrévisionBoris[[#This Row],[Status]],LstMachines[MoisLivr],AL$1)</f>
        <v>0</v>
      </c>
      <c r="AM277" s="227">
        <f>SUMIFS(LstMachines[Nbre],LstMachines[Model-Spec],PrévisionBoris[[#This Row],[Spec]],LstMachines[Status],PrévisionBoris[[#This Row],[Status]],LstMachines[MoisLivr],AM$1)</f>
        <v>0</v>
      </c>
      <c r="AN277" s="227">
        <f>SUMIFS(LstMachines[Nbre],LstMachines[Model-Spec],PrévisionBoris[[#This Row],[Spec]],LstMachines[Status],PrévisionBoris[[#This Row],[Status]],LstMachines[MoisLivr],AN$1)</f>
        <v>0</v>
      </c>
      <c r="AO277" s="226">
        <f>SUMIFS(LstMachines[Nbre],LstMachines[Model-Spec],PrévisionBoris[[#This Row],[Spec]],LstMachines[Status],PrévisionBoris[[#This Row],[Status]],LstMachines[MoisLivr],AO$1)</f>
        <v>0</v>
      </c>
      <c r="AP277" s="227">
        <f>SUMIFS(LstMachines[Nbre],LstMachines[Model-Spec],PrévisionBoris[[#This Row],[Spec]],LstMachines[Status],PrévisionBoris[[#This Row],[Status]],LstMachines[MoisLivr],AP$1)</f>
        <v>0</v>
      </c>
      <c r="AQ277" s="227">
        <f>SUMIFS(LstMachines[Nbre],LstMachines[Model-Spec],PrévisionBoris[[#This Row],[Spec]],LstMachines[Status],PrévisionBoris[[#This Row],[Status]],LstMachines[MoisLivr],AQ$1)</f>
        <v>0</v>
      </c>
      <c r="AR277" s="226">
        <f>SUMIFS(LstMachines[Nbre],LstMachines[Model-Spec],PrévisionBoris[[#This Row],[Spec]],LstMachines[Status],PrévisionBoris[[#This Row],[Status]],LstMachines[MoisLivr],AR$1)</f>
        <v>0</v>
      </c>
      <c r="AS277" s="227">
        <f>SUMIFS(LstMachines[Nbre],LstMachines[Model-Spec],PrévisionBoris[[#This Row],[Spec]],LstMachines[Status],PrévisionBoris[[#This Row],[Status]],LstMachines[MoisLivr],AS$1)</f>
        <v>0</v>
      </c>
      <c r="AT277" s="227">
        <f>SUMIFS(LstMachines[Nbre],LstMachines[Model-Spec],PrévisionBoris[[#This Row],[Spec]],LstMachines[Status],PrévisionBoris[[#This Row],[Status]],LstMachines[MoisLivr],AT$1)</f>
        <v>0</v>
      </c>
      <c r="AU277" s="226">
        <f>SUMIFS(LstMachines[Nbre],LstMachines[Model-Spec],PrévisionBoris[[#This Row],[Spec]],LstMachines[Status],PrévisionBoris[[#This Row],[Status]],LstMachines[MoisLivr],AU$1)</f>
        <v>0</v>
      </c>
      <c r="AV277" s="230">
        <f>SUMIFS(LstMachines[Nbre],LstMachines[Model-Spec],PrévisionBoris[[#This Row],[Spec]],LstMachines[Status],PrévisionBoris[[#This Row],[Status]],LstMachines[MoisLivr],AV$1)</f>
        <v>0</v>
      </c>
      <c r="AW277" s="231">
        <f>SUMIFS(LstMachines[Nbre],LstMachines[Model-Spec],PrévisionBoris[[#This Row],[Spec]],LstMachines[Status],PrévisionBoris[[#This Row],[Status]],LstMachines[MoisLivr],AW$1)</f>
        <v>0</v>
      </c>
      <c r="AX277" s="232"/>
      <c r="AY277" s="211">
        <f t="shared" si="67"/>
        <v>0</v>
      </c>
      <c r="AZ277" s="212">
        <f t="shared" si="68"/>
        <v>0</v>
      </c>
      <c r="BA277" s="212">
        <f t="shared" si="69"/>
        <v>0</v>
      </c>
      <c r="BB277" s="213">
        <f t="shared" si="70"/>
        <v>0</v>
      </c>
      <c r="BC277" s="225">
        <f t="shared" si="71"/>
        <v>0</v>
      </c>
      <c r="BD277" s="211">
        <f t="shared" si="72"/>
        <v>0</v>
      </c>
      <c r="BE277" s="212">
        <f t="shared" si="73"/>
        <v>0</v>
      </c>
      <c r="BF277" s="212">
        <f t="shared" si="74"/>
        <v>0</v>
      </c>
      <c r="BG277" s="213">
        <f t="shared" si="75"/>
        <v>0</v>
      </c>
      <c r="BH277" s="225">
        <f t="shared" si="76"/>
        <v>0</v>
      </c>
      <c r="BI277" s="214">
        <f t="shared" si="77"/>
        <v>0</v>
      </c>
      <c r="BJ277" s="215">
        <f t="shared" si="78"/>
        <v>0</v>
      </c>
      <c r="BK277" s="215">
        <f t="shared" si="79"/>
        <v>0</v>
      </c>
      <c r="BL277" s="216">
        <f t="shared" si="80"/>
        <v>0</v>
      </c>
      <c r="BM277" s="225">
        <f t="shared" si="81"/>
        <v>0</v>
      </c>
      <c r="BN277" s="225"/>
      <c r="BO277" s="217"/>
      <c r="BP277" s="218">
        <f t="shared" si="82"/>
        <v>0</v>
      </c>
    </row>
    <row r="278" spans="1:68">
      <c r="A278" s="172">
        <v>271</v>
      </c>
      <c r="B278" s="172" t="s">
        <v>85</v>
      </c>
      <c r="C278" s="202">
        <v>250</v>
      </c>
      <c r="D278" s="172" t="s">
        <v>207</v>
      </c>
      <c r="E278" s="172" t="s">
        <v>209</v>
      </c>
      <c r="F278" s="202">
        <f>VLOOKUP(PrévisionBoris[[#This Row],[Spec]],TabModelSpecs[[ModelSpec]:[Price]],2,FALSE)</f>
        <v>150</v>
      </c>
      <c r="G278" s="172" t="s">
        <v>461</v>
      </c>
      <c r="H278" s="206">
        <f>SUMIFS(LstMachines[Nbre],LstMachines[Model-Spec],PrévisionBoris[[#This Row],[Spec]],LstMachines[Status],PrévisionBoris[[#This Row],[Status]],LstMachines[MoisLivr],H$1)</f>
        <v>0</v>
      </c>
      <c r="I278" s="207">
        <f>SUMIFS(LstMachines[Nbre],LstMachines[Model-Spec],PrévisionBoris[[#This Row],[Spec]],LstMachines[Status],PrévisionBoris[[#This Row],[Status]],LstMachines[MoisLivr],I$1)</f>
        <v>0</v>
      </c>
      <c r="J278" s="208">
        <f>SUMIFS(LstMachines[Nbre],LstMachines[Model-Spec],PrévisionBoris[[#This Row],[Spec]],LstMachines[Status],PrévisionBoris[[#This Row],[Status]],LstMachines[MoisLivr],J$1)</f>
        <v>0</v>
      </c>
      <c r="K278" s="206">
        <f>SUMIFS(LstMachines[Nbre],LstMachines[Model-Spec],PrévisionBoris[[#This Row],[Spec]],LstMachines[Status],PrévisionBoris[[#This Row],[Status]],LstMachines[MoisLivr],K$1)</f>
        <v>0</v>
      </c>
      <c r="L278" s="207">
        <f>SUMIFS(LstMachines[Nbre],LstMachines[Model-Spec],PrévisionBoris[[#This Row],[Spec]],LstMachines[Status],PrévisionBoris[[#This Row],[Status]],LstMachines[MoisLivr],L$1)</f>
        <v>0</v>
      </c>
      <c r="M278" s="208">
        <f>SUMIFS(LstMachines[Nbre],LstMachines[Model-Spec],PrévisionBoris[[#This Row],[Spec]],LstMachines[Status],PrévisionBoris[[#This Row],[Status]],LstMachines[MoisLivr],M$1)</f>
        <v>0</v>
      </c>
      <c r="N278" s="206">
        <f>SUMIFS(LstMachines[Nbre],LstMachines[Model-Spec],PrévisionBoris[[#This Row],[Spec]],LstMachines[Status],PrévisionBoris[[#This Row],[Status]],LstMachines[MoisLivr],N$1)</f>
        <v>0</v>
      </c>
      <c r="O278" s="207">
        <f>SUMIFS(LstMachines[Nbre],LstMachines[Model-Spec],PrévisionBoris[[#This Row],[Spec]],LstMachines[Status],PrévisionBoris[[#This Row],[Status]],LstMachines[MoisLivr],O$1)</f>
        <v>0</v>
      </c>
      <c r="P278" s="208">
        <f>SUMIFS(LstMachines[Nbre],LstMachines[Model-Spec],PrévisionBoris[[#This Row],[Spec]],LstMachines[Status],PrévisionBoris[[#This Row],[Status]],LstMachines[MoisLivr],P$1)</f>
        <v>0</v>
      </c>
      <c r="Q278" s="209">
        <f>SUMIFS(LstMachines[Nbre],LstMachines[Model-Spec],PrévisionBoris[[#This Row],[Spec]],LstMachines[Status],PrévisionBoris[[#This Row],[Status]],LstMachines[MoisLivr],Q$1)</f>
        <v>0</v>
      </c>
      <c r="R278" s="207">
        <f>SUMIFS(LstMachines[Nbre],LstMachines[Model-Spec],PrévisionBoris[[#This Row],[Spec]],LstMachines[Status],PrévisionBoris[[#This Row],[Status]],LstMachines[MoisLivr],R$1)</f>
        <v>0</v>
      </c>
      <c r="S278" s="207">
        <f>SUMIFS(LstMachines[Nbre],LstMachines[Model-Spec],PrévisionBoris[[#This Row],[Spec]],LstMachines[Status],PrévisionBoris[[#This Row],[Status]],LstMachines[MoisLivr],S$1)</f>
        <v>0</v>
      </c>
      <c r="T278" s="206">
        <f>SUMIFS(LstMachines[Nbre],LstMachines[Model-Spec],PrévisionBoris[[#This Row],[Spec]],LstMachines[Status],PrévisionBoris[[#This Row],[Status]],LstMachines[MoisLivr],T$1)</f>
        <v>0</v>
      </c>
      <c r="U278" s="207">
        <f>SUMIFS(LstMachines[Nbre],LstMachines[Model-Spec],PrévisionBoris[[#This Row],[Spec]],LstMachines[Status],PrévisionBoris[[#This Row],[Status]],LstMachines[MoisLivr],U$1)</f>
        <v>0</v>
      </c>
      <c r="V278" s="207">
        <f>SUMIFS(LstMachines[Nbre],LstMachines[Model-Spec],PrévisionBoris[[#This Row],[Spec]],LstMachines[Status],PrévisionBoris[[#This Row],[Status]],LstMachines[MoisLivr],V$1)</f>
        <v>0</v>
      </c>
      <c r="W278" s="206">
        <f>SUMIFS(LstMachines[Nbre],LstMachines[Model-Spec],PrévisionBoris[[#This Row],[Spec]],LstMachines[Status],PrévisionBoris[[#This Row],[Status]],LstMachines[MoisLivr],W$1)</f>
        <v>0</v>
      </c>
      <c r="X278" s="207">
        <f>SUMIFS(LstMachines[Nbre],LstMachines[Model-Spec],PrévisionBoris[[#This Row],[Spec]],LstMachines[Status],PrévisionBoris[[#This Row],[Status]],LstMachines[MoisLivr],X$1)</f>
        <v>0</v>
      </c>
      <c r="Y278" s="207">
        <f>SUMIFS(LstMachines[Nbre],LstMachines[Model-Spec],PrévisionBoris[[#This Row],[Spec]],LstMachines[Status],PrévisionBoris[[#This Row],[Status]],LstMachines[MoisLivr],Y$1)</f>
        <v>0</v>
      </c>
      <c r="Z278" s="206">
        <f>SUMIFS(LstMachines[Nbre],LstMachines[Model-Spec],PrévisionBoris[[#This Row],[Spec]],LstMachines[Status],PrévisionBoris[[#This Row],[Status]],LstMachines[MoisLivr],Z$1)</f>
        <v>0</v>
      </c>
      <c r="AA278" s="207">
        <f>SUMIFS(LstMachines[Nbre],LstMachines[Model-Spec],PrévisionBoris[[#This Row],[Spec]],LstMachines[Status],PrévisionBoris[[#This Row],[Status]],LstMachines[MoisLivr],AA$1)</f>
        <v>0</v>
      </c>
      <c r="AB278" s="207">
        <f>SUMIFS(LstMachines[Nbre],LstMachines[Model-Spec],PrévisionBoris[[#This Row],[Spec]],LstMachines[Status],PrévisionBoris[[#This Row],[Status]],LstMachines[MoisLivr],AB$1)</f>
        <v>0</v>
      </c>
      <c r="AC278" s="206">
        <f>SUMIFS(LstMachines[Nbre],LstMachines[Model-Spec],PrévisionBoris[[#This Row],[Spec]],LstMachines[Status],PrévisionBoris[[#This Row],[Status]],LstMachines[MoisLivr],AC$1)</f>
        <v>0</v>
      </c>
      <c r="AD278" s="207">
        <f>SUMIFS(LstMachines[Nbre],LstMachines[Model-Spec],PrévisionBoris[[#This Row],[Spec]],LstMachines[Status],PrévisionBoris[[#This Row],[Status]],LstMachines[MoisLivr],AD$1)</f>
        <v>0</v>
      </c>
      <c r="AE278" s="207">
        <f>SUMIFS(LstMachines[Nbre],LstMachines[Model-Spec],PrévisionBoris[[#This Row],[Spec]],LstMachines[Status],PrévisionBoris[[#This Row],[Status]],LstMachines[MoisLivr],AE$1)</f>
        <v>0</v>
      </c>
      <c r="AF278" s="206">
        <f>SUMIFS(LstMachines[Nbre],LstMachines[Model-Spec],PrévisionBoris[[#This Row],[Spec]],LstMachines[Status],PrévisionBoris[[#This Row],[Status]],LstMachines[MoisLivr],AF$1)</f>
        <v>0</v>
      </c>
      <c r="AG278" s="207">
        <f>SUMIFS(LstMachines[Nbre],LstMachines[Model-Spec],PrévisionBoris[[#This Row],[Spec]],LstMachines[Status],PrévisionBoris[[#This Row],[Status]],LstMachines[MoisLivr],AG$1)</f>
        <v>0</v>
      </c>
      <c r="AH278" s="207">
        <f>SUMIFS(LstMachines[Nbre],LstMachines[Model-Spec],PrévisionBoris[[#This Row],[Spec]],LstMachines[Status],PrévisionBoris[[#This Row],[Status]],LstMachines[MoisLivr],AH$1)</f>
        <v>0</v>
      </c>
      <c r="AI278" s="206">
        <f>SUMIFS(LstMachines[Nbre],LstMachines[Model-Spec],PrévisionBoris[[#This Row],[Spec]],LstMachines[Status],PrévisionBoris[[#This Row],[Status]],LstMachines[MoisLivr],AI$1)</f>
        <v>0</v>
      </c>
      <c r="AJ278" s="207">
        <f>SUMIFS(LstMachines[Nbre],LstMachines[Model-Spec],PrévisionBoris[[#This Row],[Spec]],LstMachines[Status],PrévisionBoris[[#This Row],[Status]],LstMachines[MoisLivr],AJ$1)</f>
        <v>0</v>
      </c>
      <c r="AK278" s="207">
        <f>SUMIFS(LstMachines[Nbre],LstMachines[Model-Spec],PrévisionBoris[[#This Row],[Spec]],LstMachines[Status],PrévisionBoris[[#This Row],[Status]],LstMachines[MoisLivr],AK$1)</f>
        <v>0</v>
      </c>
      <c r="AL278" s="206">
        <f>SUMIFS(LstMachines[Nbre],LstMachines[Model-Spec],PrévisionBoris[[#This Row],[Spec]],LstMachines[Status],PrévisionBoris[[#This Row],[Status]],LstMachines[MoisLivr],AL$1)</f>
        <v>0</v>
      </c>
      <c r="AM278" s="207">
        <f>SUMIFS(LstMachines[Nbre],LstMachines[Model-Spec],PrévisionBoris[[#This Row],[Spec]],LstMachines[Status],PrévisionBoris[[#This Row],[Status]],LstMachines[MoisLivr],AM$1)</f>
        <v>0</v>
      </c>
      <c r="AN278" s="207">
        <f>SUMIFS(LstMachines[Nbre],LstMachines[Model-Spec],PrévisionBoris[[#This Row],[Spec]],LstMachines[Status],PrévisionBoris[[#This Row],[Status]],LstMachines[MoisLivr],AN$1)</f>
        <v>0</v>
      </c>
      <c r="AO278" s="206">
        <f>SUMIFS(LstMachines[Nbre],LstMachines[Model-Spec],PrévisionBoris[[#This Row],[Spec]],LstMachines[Status],PrévisionBoris[[#This Row],[Status]],LstMachines[MoisLivr],AO$1)</f>
        <v>0</v>
      </c>
      <c r="AP278" s="207">
        <f>SUMIFS(LstMachines[Nbre],LstMachines[Model-Spec],PrévisionBoris[[#This Row],[Spec]],LstMachines[Status],PrévisionBoris[[#This Row],[Status]],LstMachines[MoisLivr],AP$1)</f>
        <v>0</v>
      </c>
      <c r="AQ278" s="207">
        <f>SUMIFS(LstMachines[Nbre],LstMachines[Model-Spec],PrévisionBoris[[#This Row],[Spec]],LstMachines[Status],PrévisionBoris[[#This Row],[Status]],LstMachines[MoisLivr],AQ$1)</f>
        <v>0</v>
      </c>
      <c r="AR278" s="206">
        <f>SUMIFS(LstMachines[Nbre],LstMachines[Model-Spec],PrévisionBoris[[#This Row],[Spec]],LstMachines[Status],PrévisionBoris[[#This Row],[Status]],LstMachines[MoisLivr],AR$1)</f>
        <v>0</v>
      </c>
      <c r="AS278" s="207">
        <f>SUMIFS(LstMachines[Nbre],LstMachines[Model-Spec],PrévisionBoris[[#This Row],[Spec]],LstMachines[Status],PrévisionBoris[[#This Row],[Status]],LstMachines[MoisLivr],AS$1)</f>
        <v>0</v>
      </c>
      <c r="AT278" s="207">
        <f>SUMIFS(LstMachines[Nbre],LstMachines[Model-Spec],PrévisionBoris[[#This Row],[Spec]],LstMachines[Status],PrévisionBoris[[#This Row],[Status]],LstMachines[MoisLivr],AT$1)</f>
        <v>0</v>
      </c>
      <c r="AU278" s="206">
        <f>SUMIFS(LstMachines[Nbre],LstMachines[Model-Spec],PrévisionBoris[[#This Row],[Spec]],LstMachines[Status],PrévisionBoris[[#This Row],[Status]],LstMachines[MoisLivr],AU$1)</f>
        <v>0</v>
      </c>
      <c r="AV278" s="233">
        <f>SUMIFS(LstMachines[Nbre],LstMachines[Model-Spec],PrévisionBoris[[#This Row],[Spec]],LstMachines[Status],PrévisionBoris[[#This Row],[Status]],LstMachines[MoisLivr],AV$1)</f>
        <v>0</v>
      </c>
      <c r="AW278" s="208">
        <f>SUMIFS(LstMachines[Nbre],LstMachines[Model-Spec],PrévisionBoris[[#This Row],[Spec]],LstMachines[Status],PrévisionBoris[[#This Row],[Status]],LstMachines[MoisLivr],AW$1)</f>
        <v>0</v>
      </c>
      <c r="AX278" s="225"/>
      <c r="AY278" s="211">
        <f t="shared" si="67"/>
        <v>0</v>
      </c>
      <c r="AZ278" s="212">
        <f t="shared" si="68"/>
        <v>0</v>
      </c>
      <c r="BA278" s="212">
        <f t="shared" si="69"/>
        <v>0</v>
      </c>
      <c r="BB278" s="213">
        <f t="shared" si="70"/>
        <v>0</v>
      </c>
      <c r="BC278" s="225">
        <f t="shared" si="71"/>
        <v>0</v>
      </c>
      <c r="BD278" s="211">
        <f t="shared" si="72"/>
        <v>0</v>
      </c>
      <c r="BE278" s="212">
        <f t="shared" si="73"/>
        <v>0</v>
      </c>
      <c r="BF278" s="212">
        <f t="shared" si="74"/>
        <v>0</v>
      </c>
      <c r="BG278" s="213">
        <f t="shared" si="75"/>
        <v>0</v>
      </c>
      <c r="BH278" s="225">
        <f t="shared" si="76"/>
        <v>0</v>
      </c>
      <c r="BI278" s="214">
        <f t="shared" si="77"/>
        <v>0</v>
      </c>
      <c r="BJ278" s="215">
        <f t="shared" si="78"/>
        <v>0</v>
      </c>
      <c r="BK278" s="215">
        <f t="shared" si="79"/>
        <v>0</v>
      </c>
      <c r="BL278" s="216">
        <f t="shared" si="80"/>
        <v>0</v>
      </c>
      <c r="BM278" s="225">
        <f t="shared" si="81"/>
        <v>0</v>
      </c>
      <c r="BN278" s="225"/>
      <c r="BO278" s="234"/>
      <c r="BP278" s="218">
        <f t="shared" si="82"/>
        <v>0</v>
      </c>
    </row>
    <row r="279" spans="1:68">
      <c r="A279" s="170">
        <v>272</v>
      </c>
      <c r="B279" s="170" t="s">
        <v>85</v>
      </c>
      <c r="C279" s="200">
        <v>250</v>
      </c>
      <c r="D279" s="170" t="s">
        <v>207</v>
      </c>
      <c r="E279" s="170" t="s">
        <v>209</v>
      </c>
      <c r="F279" s="200">
        <f>VLOOKUP(PrévisionBoris[[#This Row],[Spec]],TabModelSpecs[[ModelSpec]:[Price]],2,FALSE)</f>
        <v>150</v>
      </c>
      <c r="G279" s="170" t="s">
        <v>462</v>
      </c>
      <c r="H279" s="219">
        <f>SUMIFS(LstMachines[Nbre],LstMachines[Model-Spec],PrévisionBoris[[#This Row],[Spec]],LstMachines[Status],PrévisionBoris[[#This Row],[Status]],LstMachines[MoisLivr],H$1)</f>
        <v>0</v>
      </c>
      <c r="I279" s="220">
        <f>SUMIFS(LstMachines[Nbre],LstMachines[Model-Spec],PrévisionBoris[[#This Row],[Spec]],LstMachines[Status],PrévisionBoris[[#This Row],[Status]],LstMachines[MoisLivr],I$1)</f>
        <v>0</v>
      </c>
      <c r="J279" s="221">
        <f>SUMIFS(LstMachines[Nbre],LstMachines[Model-Spec],PrévisionBoris[[#This Row],[Spec]],LstMachines[Status],PrévisionBoris[[#This Row],[Status]],LstMachines[MoisLivr],J$1)</f>
        <v>0</v>
      </c>
      <c r="K279" s="219">
        <f>SUMIFS(LstMachines[Nbre],LstMachines[Model-Spec],PrévisionBoris[[#This Row],[Spec]],LstMachines[Status],PrévisionBoris[[#This Row],[Status]],LstMachines[MoisLivr],K$1)</f>
        <v>0</v>
      </c>
      <c r="L279" s="220">
        <f>SUMIFS(LstMachines[Nbre],LstMachines[Model-Spec],PrévisionBoris[[#This Row],[Spec]],LstMachines[Status],PrévisionBoris[[#This Row],[Status]],LstMachines[MoisLivr],L$1)</f>
        <v>0</v>
      </c>
      <c r="M279" s="221">
        <f>SUMIFS(LstMachines[Nbre],LstMachines[Model-Spec],PrévisionBoris[[#This Row],[Spec]],LstMachines[Status],PrévisionBoris[[#This Row],[Status]],LstMachines[MoisLivr],M$1)</f>
        <v>0</v>
      </c>
      <c r="N279" s="219">
        <f>SUMIFS(LstMachines[Nbre],LstMachines[Model-Spec],PrévisionBoris[[#This Row],[Spec]],LstMachines[Status],PrévisionBoris[[#This Row],[Status]],LstMachines[MoisLivr],N$1)</f>
        <v>0</v>
      </c>
      <c r="O279" s="220">
        <f>SUMIFS(LstMachines[Nbre],LstMachines[Model-Spec],PrévisionBoris[[#This Row],[Spec]],LstMachines[Status],PrévisionBoris[[#This Row],[Status]],LstMachines[MoisLivr],O$1)</f>
        <v>0</v>
      </c>
      <c r="P279" s="221">
        <f>SUMIFS(LstMachines[Nbre],LstMachines[Model-Spec],PrévisionBoris[[#This Row],[Spec]],LstMachines[Status],PrévisionBoris[[#This Row],[Status]],LstMachines[MoisLivr],P$1)</f>
        <v>0</v>
      </c>
      <c r="Q279" s="222">
        <f>SUMIFS(LstMachines[Nbre],LstMachines[Model-Spec],PrévisionBoris[[#This Row],[Spec]],LstMachines[Status],PrévisionBoris[[#This Row],[Status]],LstMachines[MoisLivr],Q$1)</f>
        <v>0</v>
      </c>
      <c r="R279" s="220">
        <f>SUMIFS(LstMachines[Nbre],LstMachines[Model-Spec],PrévisionBoris[[#This Row],[Spec]],LstMachines[Status],PrévisionBoris[[#This Row],[Status]],LstMachines[MoisLivr],R$1)</f>
        <v>0</v>
      </c>
      <c r="S279" s="220">
        <f>SUMIFS(LstMachines[Nbre],LstMachines[Model-Spec],PrévisionBoris[[#This Row],[Spec]],LstMachines[Status],PrévisionBoris[[#This Row],[Status]],LstMachines[MoisLivr],S$1)</f>
        <v>0</v>
      </c>
      <c r="T279" s="219">
        <f>SUMIFS(LstMachines[Nbre],LstMachines[Model-Spec],PrévisionBoris[[#This Row],[Spec]],LstMachines[Status],PrévisionBoris[[#This Row],[Status]],LstMachines[MoisLivr],T$1)</f>
        <v>0</v>
      </c>
      <c r="U279" s="220">
        <f>SUMIFS(LstMachines[Nbre],LstMachines[Model-Spec],PrévisionBoris[[#This Row],[Spec]],LstMachines[Status],PrévisionBoris[[#This Row],[Status]],LstMachines[MoisLivr],U$1)</f>
        <v>0</v>
      </c>
      <c r="V279" s="220">
        <f>SUMIFS(LstMachines[Nbre],LstMachines[Model-Spec],PrévisionBoris[[#This Row],[Spec]],LstMachines[Status],PrévisionBoris[[#This Row],[Status]],LstMachines[MoisLivr],V$1)</f>
        <v>0</v>
      </c>
      <c r="W279" s="219">
        <f>SUMIFS(LstMachines[Nbre],LstMachines[Model-Spec],PrévisionBoris[[#This Row],[Spec]],LstMachines[Status],PrévisionBoris[[#This Row],[Status]],LstMachines[MoisLivr],W$1)</f>
        <v>0</v>
      </c>
      <c r="X279" s="220">
        <f>SUMIFS(LstMachines[Nbre],LstMachines[Model-Spec],PrévisionBoris[[#This Row],[Spec]],LstMachines[Status],PrévisionBoris[[#This Row],[Status]],LstMachines[MoisLivr],X$1)</f>
        <v>0</v>
      </c>
      <c r="Y279" s="220">
        <f>SUMIFS(LstMachines[Nbre],LstMachines[Model-Spec],PrévisionBoris[[#This Row],[Spec]],LstMachines[Status],PrévisionBoris[[#This Row],[Status]],LstMachines[MoisLivr],Y$1)</f>
        <v>0</v>
      </c>
      <c r="Z279" s="219">
        <f>SUMIFS(LstMachines[Nbre],LstMachines[Model-Spec],PrévisionBoris[[#This Row],[Spec]],LstMachines[Status],PrévisionBoris[[#This Row],[Status]],LstMachines[MoisLivr],Z$1)</f>
        <v>0</v>
      </c>
      <c r="AA279" s="220">
        <f>SUMIFS(LstMachines[Nbre],LstMachines[Model-Spec],PrévisionBoris[[#This Row],[Spec]],LstMachines[Status],PrévisionBoris[[#This Row],[Status]],LstMachines[MoisLivr],AA$1)</f>
        <v>0</v>
      </c>
      <c r="AB279" s="220">
        <f>SUMIFS(LstMachines[Nbre],LstMachines[Model-Spec],PrévisionBoris[[#This Row],[Spec]],LstMachines[Status],PrévisionBoris[[#This Row],[Status]],LstMachines[MoisLivr],AB$1)</f>
        <v>0</v>
      </c>
      <c r="AC279" s="219">
        <f>SUMIFS(LstMachines[Nbre],LstMachines[Model-Spec],PrévisionBoris[[#This Row],[Spec]],LstMachines[Status],PrévisionBoris[[#This Row],[Status]],LstMachines[MoisLivr],AC$1)</f>
        <v>0</v>
      </c>
      <c r="AD279" s="220">
        <f>SUMIFS(LstMachines[Nbre],LstMachines[Model-Spec],PrévisionBoris[[#This Row],[Spec]],LstMachines[Status],PrévisionBoris[[#This Row],[Status]],LstMachines[MoisLivr],AD$1)</f>
        <v>0</v>
      </c>
      <c r="AE279" s="220">
        <f>SUMIFS(LstMachines[Nbre],LstMachines[Model-Spec],PrévisionBoris[[#This Row],[Spec]],LstMachines[Status],PrévisionBoris[[#This Row],[Status]],LstMachines[MoisLivr],AE$1)</f>
        <v>0</v>
      </c>
      <c r="AF279" s="219">
        <f>SUMIFS(LstMachines[Nbre],LstMachines[Model-Spec],PrévisionBoris[[#This Row],[Spec]],LstMachines[Status],PrévisionBoris[[#This Row],[Status]],LstMachines[MoisLivr],AF$1)</f>
        <v>0</v>
      </c>
      <c r="AG279" s="220">
        <f>SUMIFS(LstMachines[Nbre],LstMachines[Model-Spec],PrévisionBoris[[#This Row],[Spec]],LstMachines[Status],PrévisionBoris[[#This Row],[Status]],LstMachines[MoisLivr],AG$1)</f>
        <v>0</v>
      </c>
      <c r="AH279" s="220">
        <f>SUMIFS(LstMachines[Nbre],LstMachines[Model-Spec],PrévisionBoris[[#This Row],[Spec]],LstMachines[Status],PrévisionBoris[[#This Row],[Status]],LstMachines[MoisLivr],AH$1)</f>
        <v>0</v>
      </c>
      <c r="AI279" s="219">
        <f>SUMIFS(LstMachines[Nbre],LstMachines[Model-Spec],PrévisionBoris[[#This Row],[Spec]],LstMachines[Status],PrévisionBoris[[#This Row],[Status]],LstMachines[MoisLivr],AI$1)</f>
        <v>0</v>
      </c>
      <c r="AJ279" s="220">
        <f>SUMIFS(LstMachines[Nbre],LstMachines[Model-Spec],PrévisionBoris[[#This Row],[Spec]],LstMachines[Status],PrévisionBoris[[#This Row],[Status]],LstMachines[MoisLivr],AJ$1)</f>
        <v>0</v>
      </c>
      <c r="AK279" s="220">
        <f>SUMIFS(LstMachines[Nbre],LstMachines[Model-Spec],PrévisionBoris[[#This Row],[Spec]],LstMachines[Status],PrévisionBoris[[#This Row],[Status]],LstMachines[MoisLivr],AK$1)</f>
        <v>0</v>
      </c>
      <c r="AL279" s="219">
        <f>SUMIFS(LstMachines[Nbre],LstMachines[Model-Spec],PrévisionBoris[[#This Row],[Spec]],LstMachines[Status],PrévisionBoris[[#This Row],[Status]],LstMachines[MoisLivr],AL$1)</f>
        <v>0</v>
      </c>
      <c r="AM279" s="220">
        <f>SUMIFS(LstMachines[Nbre],LstMachines[Model-Spec],PrévisionBoris[[#This Row],[Spec]],LstMachines[Status],PrévisionBoris[[#This Row],[Status]],LstMachines[MoisLivr],AM$1)</f>
        <v>0</v>
      </c>
      <c r="AN279" s="220">
        <f>SUMIFS(LstMachines[Nbre],LstMachines[Model-Spec],PrévisionBoris[[#This Row],[Spec]],LstMachines[Status],PrévisionBoris[[#This Row],[Status]],LstMachines[MoisLivr],AN$1)</f>
        <v>0</v>
      </c>
      <c r="AO279" s="219">
        <f>SUMIFS(LstMachines[Nbre],LstMachines[Model-Spec],PrévisionBoris[[#This Row],[Spec]],LstMachines[Status],PrévisionBoris[[#This Row],[Status]],LstMachines[MoisLivr],AO$1)</f>
        <v>0</v>
      </c>
      <c r="AP279" s="220">
        <f>SUMIFS(LstMachines[Nbre],LstMachines[Model-Spec],PrévisionBoris[[#This Row],[Spec]],LstMachines[Status],PrévisionBoris[[#This Row],[Status]],LstMachines[MoisLivr],AP$1)</f>
        <v>0</v>
      </c>
      <c r="AQ279" s="220">
        <f>SUMIFS(LstMachines[Nbre],LstMachines[Model-Spec],PrévisionBoris[[#This Row],[Spec]],LstMachines[Status],PrévisionBoris[[#This Row],[Status]],LstMachines[MoisLivr],AQ$1)</f>
        <v>0</v>
      </c>
      <c r="AR279" s="219">
        <f>SUMIFS(LstMachines[Nbre],LstMachines[Model-Spec],PrévisionBoris[[#This Row],[Spec]],LstMachines[Status],PrévisionBoris[[#This Row],[Status]],LstMachines[MoisLivr],AR$1)</f>
        <v>0</v>
      </c>
      <c r="AS279" s="220">
        <f>SUMIFS(LstMachines[Nbre],LstMachines[Model-Spec],PrévisionBoris[[#This Row],[Spec]],LstMachines[Status],PrévisionBoris[[#This Row],[Status]],LstMachines[MoisLivr],AS$1)</f>
        <v>0</v>
      </c>
      <c r="AT279" s="220">
        <f>SUMIFS(LstMachines[Nbre],LstMachines[Model-Spec],PrévisionBoris[[#This Row],[Spec]],LstMachines[Status],PrévisionBoris[[#This Row],[Status]],LstMachines[MoisLivr],AT$1)</f>
        <v>0</v>
      </c>
      <c r="AU279" s="219">
        <f>SUMIFS(LstMachines[Nbre],LstMachines[Model-Spec],PrévisionBoris[[#This Row],[Spec]],LstMachines[Status],PrévisionBoris[[#This Row],[Status]],LstMachines[MoisLivr],AU$1)</f>
        <v>0</v>
      </c>
      <c r="AV279" s="223">
        <f>SUMIFS(LstMachines[Nbre],LstMachines[Model-Spec],PrévisionBoris[[#This Row],[Spec]],LstMachines[Status],PrévisionBoris[[#This Row],[Status]],LstMachines[MoisLivr],AV$1)</f>
        <v>0</v>
      </c>
      <c r="AW279" s="224">
        <f>SUMIFS(LstMachines[Nbre],LstMachines[Model-Spec],PrévisionBoris[[#This Row],[Spec]],LstMachines[Status],PrévisionBoris[[#This Row],[Status]],LstMachines[MoisLivr],AW$1)</f>
        <v>0</v>
      </c>
      <c r="AX279" s="210"/>
      <c r="AY279" s="211">
        <f t="shared" si="67"/>
        <v>0</v>
      </c>
      <c r="AZ279" s="212">
        <f t="shared" si="68"/>
        <v>0</v>
      </c>
      <c r="BA279" s="212">
        <f t="shared" si="69"/>
        <v>0</v>
      </c>
      <c r="BB279" s="213">
        <f t="shared" si="70"/>
        <v>0</v>
      </c>
      <c r="BC279" s="225">
        <f t="shared" si="71"/>
        <v>0</v>
      </c>
      <c r="BD279" s="211">
        <f t="shared" si="72"/>
        <v>0</v>
      </c>
      <c r="BE279" s="212">
        <f t="shared" si="73"/>
        <v>0</v>
      </c>
      <c r="BF279" s="212">
        <f t="shared" si="74"/>
        <v>0</v>
      </c>
      <c r="BG279" s="213">
        <f t="shared" si="75"/>
        <v>0</v>
      </c>
      <c r="BH279" s="225">
        <f t="shared" si="76"/>
        <v>0</v>
      </c>
      <c r="BI279" s="214">
        <f t="shared" si="77"/>
        <v>0</v>
      </c>
      <c r="BJ279" s="215">
        <f t="shared" si="78"/>
        <v>0</v>
      </c>
      <c r="BK279" s="215">
        <f t="shared" si="79"/>
        <v>0</v>
      </c>
      <c r="BL279" s="216">
        <f t="shared" si="80"/>
        <v>0</v>
      </c>
      <c r="BM279" s="225">
        <f t="shared" si="81"/>
        <v>0</v>
      </c>
      <c r="BN279" s="225"/>
      <c r="BO279" s="217"/>
      <c r="BP279" s="218">
        <f t="shared" si="82"/>
        <v>0</v>
      </c>
    </row>
    <row r="280" spans="1:68">
      <c r="A280" s="171">
        <v>273</v>
      </c>
      <c r="B280" s="171" t="s">
        <v>85</v>
      </c>
      <c r="C280" s="201">
        <v>250</v>
      </c>
      <c r="D280" s="171" t="s">
        <v>207</v>
      </c>
      <c r="E280" s="171" t="s">
        <v>209</v>
      </c>
      <c r="F280" s="201">
        <f>VLOOKUP(PrévisionBoris[[#This Row],[Spec]],TabModelSpecs[[ModelSpec]:[Price]],2,FALSE)</f>
        <v>150</v>
      </c>
      <c r="G280" s="171" t="s">
        <v>463</v>
      </c>
      <c r="H280" s="226">
        <f>SUMIFS(LstMachines[Nbre],LstMachines[Model-Spec],PrévisionBoris[[#This Row],[Spec]],LstMachines[Status],PrévisionBoris[[#This Row],[Status]],LstMachines[MoisLivr],H$1)</f>
        <v>0</v>
      </c>
      <c r="I280" s="227">
        <f>SUMIFS(LstMachines[Nbre],LstMachines[Model-Spec],PrévisionBoris[[#This Row],[Spec]],LstMachines[Status],PrévisionBoris[[#This Row],[Status]],LstMachines[MoisLivr],I$1)</f>
        <v>0</v>
      </c>
      <c r="J280" s="228">
        <f>SUMIFS(LstMachines[Nbre],LstMachines[Model-Spec],PrévisionBoris[[#This Row],[Spec]],LstMachines[Status],PrévisionBoris[[#This Row],[Status]],LstMachines[MoisLivr],J$1)</f>
        <v>0</v>
      </c>
      <c r="K280" s="226">
        <f>SUMIFS(LstMachines[Nbre],LstMachines[Model-Spec],PrévisionBoris[[#This Row],[Spec]],LstMachines[Status],PrévisionBoris[[#This Row],[Status]],LstMachines[MoisLivr],K$1)</f>
        <v>0</v>
      </c>
      <c r="L280" s="227">
        <f>SUMIFS(LstMachines[Nbre],LstMachines[Model-Spec],PrévisionBoris[[#This Row],[Spec]],LstMachines[Status],PrévisionBoris[[#This Row],[Status]],LstMachines[MoisLivr],L$1)</f>
        <v>0</v>
      </c>
      <c r="M280" s="228">
        <f>SUMIFS(LstMachines[Nbre],LstMachines[Model-Spec],PrévisionBoris[[#This Row],[Spec]],LstMachines[Status],PrévisionBoris[[#This Row],[Status]],LstMachines[MoisLivr],M$1)</f>
        <v>0</v>
      </c>
      <c r="N280" s="226">
        <f>SUMIFS(LstMachines[Nbre],LstMachines[Model-Spec],PrévisionBoris[[#This Row],[Spec]],LstMachines[Status],PrévisionBoris[[#This Row],[Status]],LstMachines[MoisLivr],N$1)</f>
        <v>0</v>
      </c>
      <c r="O280" s="227">
        <f>SUMIFS(LstMachines[Nbre],LstMachines[Model-Spec],PrévisionBoris[[#This Row],[Spec]],LstMachines[Status],PrévisionBoris[[#This Row],[Status]],LstMachines[MoisLivr],O$1)</f>
        <v>0</v>
      </c>
      <c r="P280" s="228">
        <f>SUMIFS(LstMachines[Nbre],LstMachines[Model-Spec],PrévisionBoris[[#This Row],[Spec]],LstMachines[Status],PrévisionBoris[[#This Row],[Status]],LstMachines[MoisLivr],P$1)</f>
        <v>0</v>
      </c>
      <c r="Q280" s="229">
        <f>SUMIFS(LstMachines[Nbre],LstMachines[Model-Spec],PrévisionBoris[[#This Row],[Spec]],LstMachines[Status],PrévisionBoris[[#This Row],[Status]],LstMachines[MoisLivr],Q$1)</f>
        <v>0</v>
      </c>
      <c r="R280" s="227">
        <f>SUMIFS(LstMachines[Nbre],LstMachines[Model-Spec],PrévisionBoris[[#This Row],[Spec]],LstMachines[Status],PrévisionBoris[[#This Row],[Status]],LstMachines[MoisLivr],R$1)</f>
        <v>0</v>
      </c>
      <c r="S280" s="227">
        <f>SUMIFS(LstMachines[Nbre],LstMachines[Model-Spec],PrévisionBoris[[#This Row],[Spec]],LstMachines[Status],PrévisionBoris[[#This Row],[Status]],LstMachines[MoisLivr],S$1)</f>
        <v>0</v>
      </c>
      <c r="T280" s="226">
        <f>SUMIFS(LstMachines[Nbre],LstMachines[Model-Spec],PrévisionBoris[[#This Row],[Spec]],LstMachines[Status],PrévisionBoris[[#This Row],[Status]],LstMachines[MoisLivr],T$1)</f>
        <v>0</v>
      </c>
      <c r="U280" s="227">
        <f>SUMIFS(LstMachines[Nbre],LstMachines[Model-Spec],PrévisionBoris[[#This Row],[Spec]],LstMachines[Status],PrévisionBoris[[#This Row],[Status]],LstMachines[MoisLivr],U$1)</f>
        <v>0</v>
      </c>
      <c r="V280" s="227">
        <f>SUMIFS(LstMachines[Nbre],LstMachines[Model-Spec],PrévisionBoris[[#This Row],[Spec]],LstMachines[Status],PrévisionBoris[[#This Row],[Status]],LstMachines[MoisLivr],V$1)</f>
        <v>0</v>
      </c>
      <c r="W280" s="226">
        <f>SUMIFS(LstMachines[Nbre],LstMachines[Model-Spec],PrévisionBoris[[#This Row],[Spec]],LstMachines[Status],PrévisionBoris[[#This Row],[Status]],LstMachines[MoisLivr],W$1)</f>
        <v>0</v>
      </c>
      <c r="X280" s="227">
        <f>SUMIFS(LstMachines[Nbre],LstMachines[Model-Spec],PrévisionBoris[[#This Row],[Spec]],LstMachines[Status],PrévisionBoris[[#This Row],[Status]],LstMachines[MoisLivr],X$1)</f>
        <v>0</v>
      </c>
      <c r="Y280" s="227">
        <f>SUMIFS(LstMachines[Nbre],LstMachines[Model-Spec],PrévisionBoris[[#This Row],[Spec]],LstMachines[Status],PrévisionBoris[[#This Row],[Status]],LstMachines[MoisLivr],Y$1)</f>
        <v>0</v>
      </c>
      <c r="Z280" s="226">
        <f>SUMIFS(LstMachines[Nbre],LstMachines[Model-Spec],PrévisionBoris[[#This Row],[Spec]],LstMachines[Status],PrévisionBoris[[#This Row],[Status]],LstMachines[MoisLivr],Z$1)</f>
        <v>0</v>
      </c>
      <c r="AA280" s="227">
        <f>SUMIFS(LstMachines[Nbre],LstMachines[Model-Spec],PrévisionBoris[[#This Row],[Spec]],LstMachines[Status],PrévisionBoris[[#This Row],[Status]],LstMachines[MoisLivr],AA$1)</f>
        <v>0</v>
      </c>
      <c r="AB280" s="227">
        <f>SUMIFS(LstMachines[Nbre],LstMachines[Model-Spec],PrévisionBoris[[#This Row],[Spec]],LstMachines[Status],PrévisionBoris[[#This Row],[Status]],LstMachines[MoisLivr],AB$1)</f>
        <v>0</v>
      </c>
      <c r="AC280" s="226">
        <f>SUMIFS(LstMachines[Nbre],LstMachines[Model-Spec],PrévisionBoris[[#This Row],[Spec]],LstMachines[Status],PrévisionBoris[[#This Row],[Status]],LstMachines[MoisLivr],AC$1)</f>
        <v>0</v>
      </c>
      <c r="AD280" s="227">
        <f>SUMIFS(LstMachines[Nbre],LstMachines[Model-Spec],PrévisionBoris[[#This Row],[Spec]],LstMachines[Status],PrévisionBoris[[#This Row],[Status]],LstMachines[MoisLivr],AD$1)</f>
        <v>0</v>
      </c>
      <c r="AE280" s="227">
        <f>SUMIFS(LstMachines[Nbre],LstMachines[Model-Spec],PrévisionBoris[[#This Row],[Spec]],LstMachines[Status],PrévisionBoris[[#This Row],[Status]],LstMachines[MoisLivr],AE$1)</f>
        <v>0</v>
      </c>
      <c r="AF280" s="226">
        <f>SUMIFS(LstMachines[Nbre],LstMachines[Model-Spec],PrévisionBoris[[#This Row],[Spec]],LstMachines[Status],PrévisionBoris[[#This Row],[Status]],LstMachines[MoisLivr],AF$1)</f>
        <v>0</v>
      </c>
      <c r="AG280" s="227">
        <f>SUMIFS(LstMachines[Nbre],LstMachines[Model-Spec],PrévisionBoris[[#This Row],[Spec]],LstMachines[Status],PrévisionBoris[[#This Row],[Status]],LstMachines[MoisLivr],AG$1)</f>
        <v>0</v>
      </c>
      <c r="AH280" s="227">
        <f>SUMIFS(LstMachines[Nbre],LstMachines[Model-Spec],PrévisionBoris[[#This Row],[Spec]],LstMachines[Status],PrévisionBoris[[#This Row],[Status]],LstMachines[MoisLivr],AH$1)</f>
        <v>0</v>
      </c>
      <c r="AI280" s="226">
        <f>SUMIFS(LstMachines[Nbre],LstMachines[Model-Spec],PrévisionBoris[[#This Row],[Spec]],LstMachines[Status],PrévisionBoris[[#This Row],[Status]],LstMachines[MoisLivr],AI$1)</f>
        <v>0</v>
      </c>
      <c r="AJ280" s="227">
        <f>SUMIFS(LstMachines[Nbre],LstMachines[Model-Spec],PrévisionBoris[[#This Row],[Spec]],LstMachines[Status],PrévisionBoris[[#This Row],[Status]],LstMachines[MoisLivr],AJ$1)</f>
        <v>0</v>
      </c>
      <c r="AK280" s="227">
        <f>SUMIFS(LstMachines[Nbre],LstMachines[Model-Spec],PrévisionBoris[[#This Row],[Spec]],LstMachines[Status],PrévisionBoris[[#This Row],[Status]],LstMachines[MoisLivr],AK$1)</f>
        <v>0</v>
      </c>
      <c r="AL280" s="226">
        <f>SUMIFS(LstMachines[Nbre],LstMachines[Model-Spec],PrévisionBoris[[#This Row],[Spec]],LstMachines[Status],PrévisionBoris[[#This Row],[Status]],LstMachines[MoisLivr],AL$1)</f>
        <v>0</v>
      </c>
      <c r="AM280" s="227">
        <f>SUMIFS(LstMachines[Nbre],LstMachines[Model-Spec],PrévisionBoris[[#This Row],[Spec]],LstMachines[Status],PrévisionBoris[[#This Row],[Status]],LstMachines[MoisLivr],AM$1)</f>
        <v>0</v>
      </c>
      <c r="AN280" s="227">
        <f>SUMIFS(LstMachines[Nbre],LstMachines[Model-Spec],PrévisionBoris[[#This Row],[Spec]],LstMachines[Status],PrévisionBoris[[#This Row],[Status]],LstMachines[MoisLivr],AN$1)</f>
        <v>0</v>
      </c>
      <c r="AO280" s="226">
        <f>SUMIFS(LstMachines[Nbre],LstMachines[Model-Spec],PrévisionBoris[[#This Row],[Spec]],LstMachines[Status],PrévisionBoris[[#This Row],[Status]],LstMachines[MoisLivr],AO$1)</f>
        <v>0</v>
      </c>
      <c r="AP280" s="227">
        <f>SUMIFS(LstMachines[Nbre],LstMachines[Model-Spec],PrévisionBoris[[#This Row],[Spec]],LstMachines[Status],PrévisionBoris[[#This Row],[Status]],LstMachines[MoisLivr],AP$1)</f>
        <v>0</v>
      </c>
      <c r="AQ280" s="227">
        <f>SUMIFS(LstMachines[Nbre],LstMachines[Model-Spec],PrévisionBoris[[#This Row],[Spec]],LstMachines[Status],PrévisionBoris[[#This Row],[Status]],LstMachines[MoisLivr],AQ$1)</f>
        <v>0</v>
      </c>
      <c r="AR280" s="226">
        <f>SUMIFS(LstMachines[Nbre],LstMachines[Model-Spec],PrévisionBoris[[#This Row],[Spec]],LstMachines[Status],PrévisionBoris[[#This Row],[Status]],LstMachines[MoisLivr],AR$1)</f>
        <v>0</v>
      </c>
      <c r="AS280" s="227">
        <f>SUMIFS(LstMachines[Nbre],LstMachines[Model-Spec],PrévisionBoris[[#This Row],[Spec]],LstMachines[Status],PrévisionBoris[[#This Row],[Status]],LstMachines[MoisLivr],AS$1)</f>
        <v>0</v>
      </c>
      <c r="AT280" s="227">
        <f>SUMIFS(LstMachines[Nbre],LstMachines[Model-Spec],PrévisionBoris[[#This Row],[Spec]],LstMachines[Status],PrévisionBoris[[#This Row],[Status]],LstMachines[MoisLivr],AT$1)</f>
        <v>0</v>
      </c>
      <c r="AU280" s="226">
        <f>SUMIFS(LstMachines[Nbre],LstMachines[Model-Spec],PrévisionBoris[[#This Row],[Spec]],LstMachines[Status],PrévisionBoris[[#This Row],[Status]],LstMachines[MoisLivr],AU$1)</f>
        <v>0</v>
      </c>
      <c r="AV280" s="230">
        <f>SUMIFS(LstMachines[Nbre],LstMachines[Model-Spec],PrévisionBoris[[#This Row],[Spec]],LstMachines[Status],PrévisionBoris[[#This Row],[Status]],LstMachines[MoisLivr],AV$1)</f>
        <v>0</v>
      </c>
      <c r="AW280" s="231">
        <f>SUMIFS(LstMachines[Nbre],LstMachines[Model-Spec],PrévisionBoris[[#This Row],[Spec]],LstMachines[Status],PrévisionBoris[[#This Row],[Status]],LstMachines[MoisLivr],AW$1)</f>
        <v>0</v>
      </c>
      <c r="AX280" s="232"/>
      <c r="AY280" s="211">
        <f t="shared" si="67"/>
        <v>0</v>
      </c>
      <c r="AZ280" s="212">
        <f t="shared" si="68"/>
        <v>0</v>
      </c>
      <c r="BA280" s="212">
        <f t="shared" si="69"/>
        <v>0</v>
      </c>
      <c r="BB280" s="213">
        <f t="shared" si="70"/>
        <v>0</v>
      </c>
      <c r="BC280" s="225">
        <f t="shared" si="71"/>
        <v>0</v>
      </c>
      <c r="BD280" s="211">
        <f t="shared" si="72"/>
        <v>0</v>
      </c>
      <c r="BE280" s="212">
        <f t="shared" si="73"/>
        <v>0</v>
      </c>
      <c r="BF280" s="212">
        <f t="shared" si="74"/>
        <v>0</v>
      </c>
      <c r="BG280" s="213">
        <f t="shared" si="75"/>
        <v>0</v>
      </c>
      <c r="BH280" s="225">
        <f t="shared" si="76"/>
        <v>0</v>
      </c>
      <c r="BI280" s="214">
        <f t="shared" si="77"/>
        <v>0</v>
      </c>
      <c r="BJ280" s="215">
        <f t="shared" si="78"/>
        <v>0</v>
      </c>
      <c r="BK280" s="215">
        <f t="shared" si="79"/>
        <v>0</v>
      </c>
      <c r="BL280" s="216">
        <f t="shared" si="80"/>
        <v>0</v>
      </c>
      <c r="BM280" s="225">
        <f t="shared" si="81"/>
        <v>0</v>
      </c>
      <c r="BN280" s="225"/>
      <c r="BO280" s="217"/>
      <c r="BP280" s="218">
        <f t="shared" si="82"/>
        <v>0</v>
      </c>
    </row>
    <row r="281" spans="1:68">
      <c r="A281" s="172">
        <v>274</v>
      </c>
      <c r="B281" s="172" t="s">
        <v>85</v>
      </c>
      <c r="C281" s="202">
        <v>250</v>
      </c>
      <c r="D281" s="172" t="s">
        <v>207</v>
      </c>
      <c r="E281" s="172" t="s">
        <v>210</v>
      </c>
      <c r="F281" s="202">
        <f>VLOOKUP(PrévisionBoris[[#This Row],[Spec]],TabModelSpecs[[ModelSpec]:[Price]],2,FALSE)</f>
        <v>160</v>
      </c>
      <c r="G281" s="172" t="s">
        <v>461</v>
      </c>
      <c r="H281" s="206">
        <f>SUMIFS(LstMachines[Nbre],LstMachines[Model-Spec],PrévisionBoris[[#This Row],[Spec]],LstMachines[Status],PrévisionBoris[[#This Row],[Status]],LstMachines[MoisLivr],H$1)</f>
        <v>0</v>
      </c>
      <c r="I281" s="207">
        <f>SUMIFS(LstMachines[Nbre],LstMachines[Model-Spec],PrévisionBoris[[#This Row],[Spec]],LstMachines[Status],PrévisionBoris[[#This Row],[Status]],LstMachines[MoisLivr],I$1)</f>
        <v>0</v>
      </c>
      <c r="J281" s="208">
        <f>SUMIFS(LstMachines[Nbre],LstMachines[Model-Spec],PrévisionBoris[[#This Row],[Spec]],LstMachines[Status],PrévisionBoris[[#This Row],[Status]],LstMachines[MoisLivr],J$1)</f>
        <v>0</v>
      </c>
      <c r="K281" s="206">
        <f>SUMIFS(LstMachines[Nbre],LstMachines[Model-Spec],PrévisionBoris[[#This Row],[Spec]],LstMachines[Status],PrévisionBoris[[#This Row],[Status]],LstMachines[MoisLivr],K$1)</f>
        <v>0</v>
      </c>
      <c r="L281" s="207">
        <f>SUMIFS(LstMachines[Nbre],LstMachines[Model-Spec],PrévisionBoris[[#This Row],[Spec]],LstMachines[Status],PrévisionBoris[[#This Row],[Status]],LstMachines[MoisLivr],L$1)</f>
        <v>0</v>
      </c>
      <c r="M281" s="208">
        <f>SUMIFS(LstMachines[Nbre],LstMachines[Model-Spec],PrévisionBoris[[#This Row],[Spec]],LstMachines[Status],PrévisionBoris[[#This Row],[Status]],LstMachines[MoisLivr],M$1)</f>
        <v>0</v>
      </c>
      <c r="N281" s="206">
        <f>SUMIFS(LstMachines[Nbre],LstMachines[Model-Spec],PrévisionBoris[[#This Row],[Spec]],LstMachines[Status],PrévisionBoris[[#This Row],[Status]],LstMachines[MoisLivr],N$1)</f>
        <v>0</v>
      </c>
      <c r="O281" s="207">
        <f>SUMIFS(LstMachines[Nbre],LstMachines[Model-Spec],PrévisionBoris[[#This Row],[Spec]],LstMachines[Status],PrévisionBoris[[#This Row],[Status]],LstMachines[MoisLivr],O$1)</f>
        <v>0</v>
      </c>
      <c r="P281" s="208">
        <f>SUMIFS(LstMachines[Nbre],LstMachines[Model-Spec],PrévisionBoris[[#This Row],[Spec]],LstMachines[Status],PrévisionBoris[[#This Row],[Status]],LstMachines[MoisLivr],P$1)</f>
        <v>0</v>
      </c>
      <c r="Q281" s="209">
        <f>SUMIFS(LstMachines[Nbre],LstMachines[Model-Spec],PrévisionBoris[[#This Row],[Spec]],LstMachines[Status],PrévisionBoris[[#This Row],[Status]],LstMachines[MoisLivr],Q$1)</f>
        <v>0</v>
      </c>
      <c r="R281" s="207">
        <f>SUMIFS(LstMachines[Nbre],LstMachines[Model-Spec],PrévisionBoris[[#This Row],[Spec]],LstMachines[Status],PrévisionBoris[[#This Row],[Status]],LstMachines[MoisLivr],R$1)</f>
        <v>0</v>
      </c>
      <c r="S281" s="207">
        <f>SUMIFS(LstMachines[Nbre],LstMachines[Model-Spec],PrévisionBoris[[#This Row],[Spec]],LstMachines[Status],PrévisionBoris[[#This Row],[Status]],LstMachines[MoisLivr],S$1)</f>
        <v>0</v>
      </c>
      <c r="T281" s="206">
        <f>SUMIFS(LstMachines[Nbre],LstMachines[Model-Spec],PrévisionBoris[[#This Row],[Spec]],LstMachines[Status],PrévisionBoris[[#This Row],[Status]],LstMachines[MoisLivr],T$1)</f>
        <v>0</v>
      </c>
      <c r="U281" s="207">
        <f>SUMIFS(LstMachines[Nbre],LstMachines[Model-Spec],PrévisionBoris[[#This Row],[Spec]],LstMachines[Status],PrévisionBoris[[#This Row],[Status]],LstMachines[MoisLivr],U$1)</f>
        <v>0</v>
      </c>
      <c r="V281" s="207">
        <f>SUMIFS(LstMachines[Nbre],LstMachines[Model-Spec],PrévisionBoris[[#This Row],[Spec]],LstMachines[Status],PrévisionBoris[[#This Row],[Status]],LstMachines[MoisLivr],V$1)</f>
        <v>0</v>
      </c>
      <c r="W281" s="206">
        <f>SUMIFS(LstMachines[Nbre],LstMachines[Model-Spec],PrévisionBoris[[#This Row],[Spec]],LstMachines[Status],PrévisionBoris[[#This Row],[Status]],LstMachines[MoisLivr],W$1)</f>
        <v>0</v>
      </c>
      <c r="X281" s="207">
        <f>SUMIFS(LstMachines[Nbre],LstMachines[Model-Spec],PrévisionBoris[[#This Row],[Spec]],LstMachines[Status],PrévisionBoris[[#This Row],[Status]],LstMachines[MoisLivr],X$1)</f>
        <v>0</v>
      </c>
      <c r="Y281" s="207">
        <f>SUMIFS(LstMachines[Nbre],LstMachines[Model-Spec],PrévisionBoris[[#This Row],[Spec]],LstMachines[Status],PrévisionBoris[[#This Row],[Status]],LstMachines[MoisLivr],Y$1)</f>
        <v>0</v>
      </c>
      <c r="Z281" s="206">
        <f>SUMIFS(LstMachines[Nbre],LstMachines[Model-Spec],PrévisionBoris[[#This Row],[Spec]],LstMachines[Status],PrévisionBoris[[#This Row],[Status]],LstMachines[MoisLivr],Z$1)</f>
        <v>0</v>
      </c>
      <c r="AA281" s="207">
        <f>SUMIFS(LstMachines[Nbre],LstMachines[Model-Spec],PrévisionBoris[[#This Row],[Spec]],LstMachines[Status],PrévisionBoris[[#This Row],[Status]],LstMachines[MoisLivr],AA$1)</f>
        <v>0</v>
      </c>
      <c r="AB281" s="207">
        <f>SUMIFS(LstMachines[Nbre],LstMachines[Model-Spec],PrévisionBoris[[#This Row],[Spec]],LstMachines[Status],PrévisionBoris[[#This Row],[Status]],LstMachines[MoisLivr],AB$1)</f>
        <v>0</v>
      </c>
      <c r="AC281" s="206">
        <f>SUMIFS(LstMachines[Nbre],LstMachines[Model-Spec],PrévisionBoris[[#This Row],[Spec]],LstMachines[Status],PrévisionBoris[[#This Row],[Status]],LstMachines[MoisLivr],AC$1)</f>
        <v>0</v>
      </c>
      <c r="AD281" s="207">
        <f>SUMIFS(LstMachines[Nbre],LstMachines[Model-Spec],PrévisionBoris[[#This Row],[Spec]],LstMachines[Status],PrévisionBoris[[#This Row],[Status]],LstMachines[MoisLivr],AD$1)</f>
        <v>0</v>
      </c>
      <c r="AE281" s="207">
        <f>SUMIFS(LstMachines[Nbre],LstMachines[Model-Spec],PrévisionBoris[[#This Row],[Spec]],LstMachines[Status],PrévisionBoris[[#This Row],[Status]],LstMachines[MoisLivr],AE$1)</f>
        <v>0</v>
      </c>
      <c r="AF281" s="206">
        <f>SUMIFS(LstMachines[Nbre],LstMachines[Model-Spec],PrévisionBoris[[#This Row],[Spec]],LstMachines[Status],PrévisionBoris[[#This Row],[Status]],LstMachines[MoisLivr],AF$1)</f>
        <v>0</v>
      </c>
      <c r="AG281" s="207">
        <f>SUMIFS(LstMachines[Nbre],LstMachines[Model-Spec],PrévisionBoris[[#This Row],[Spec]],LstMachines[Status],PrévisionBoris[[#This Row],[Status]],LstMachines[MoisLivr],AG$1)</f>
        <v>0</v>
      </c>
      <c r="AH281" s="207">
        <f>SUMIFS(LstMachines[Nbre],LstMachines[Model-Spec],PrévisionBoris[[#This Row],[Spec]],LstMachines[Status],PrévisionBoris[[#This Row],[Status]],LstMachines[MoisLivr],AH$1)</f>
        <v>0</v>
      </c>
      <c r="AI281" s="206">
        <f>SUMIFS(LstMachines[Nbre],LstMachines[Model-Spec],PrévisionBoris[[#This Row],[Spec]],LstMachines[Status],PrévisionBoris[[#This Row],[Status]],LstMachines[MoisLivr],AI$1)</f>
        <v>0</v>
      </c>
      <c r="AJ281" s="207">
        <f>SUMIFS(LstMachines[Nbre],LstMachines[Model-Spec],PrévisionBoris[[#This Row],[Spec]],LstMachines[Status],PrévisionBoris[[#This Row],[Status]],LstMachines[MoisLivr],AJ$1)</f>
        <v>0</v>
      </c>
      <c r="AK281" s="207">
        <f>SUMIFS(LstMachines[Nbre],LstMachines[Model-Spec],PrévisionBoris[[#This Row],[Spec]],LstMachines[Status],PrévisionBoris[[#This Row],[Status]],LstMachines[MoisLivr],AK$1)</f>
        <v>0</v>
      </c>
      <c r="AL281" s="206">
        <f>SUMIFS(LstMachines[Nbre],LstMachines[Model-Spec],PrévisionBoris[[#This Row],[Spec]],LstMachines[Status],PrévisionBoris[[#This Row],[Status]],LstMachines[MoisLivr],AL$1)</f>
        <v>0</v>
      </c>
      <c r="AM281" s="207">
        <f>SUMIFS(LstMachines[Nbre],LstMachines[Model-Spec],PrévisionBoris[[#This Row],[Spec]],LstMachines[Status],PrévisionBoris[[#This Row],[Status]],LstMachines[MoisLivr],AM$1)</f>
        <v>0</v>
      </c>
      <c r="AN281" s="207">
        <f>SUMIFS(LstMachines[Nbre],LstMachines[Model-Spec],PrévisionBoris[[#This Row],[Spec]],LstMachines[Status],PrévisionBoris[[#This Row],[Status]],LstMachines[MoisLivr],AN$1)</f>
        <v>0</v>
      </c>
      <c r="AO281" s="206">
        <f>SUMIFS(LstMachines[Nbre],LstMachines[Model-Spec],PrévisionBoris[[#This Row],[Spec]],LstMachines[Status],PrévisionBoris[[#This Row],[Status]],LstMachines[MoisLivr],AO$1)</f>
        <v>0</v>
      </c>
      <c r="AP281" s="207">
        <f>SUMIFS(LstMachines[Nbre],LstMachines[Model-Spec],PrévisionBoris[[#This Row],[Spec]],LstMachines[Status],PrévisionBoris[[#This Row],[Status]],LstMachines[MoisLivr],AP$1)</f>
        <v>0</v>
      </c>
      <c r="AQ281" s="207">
        <f>SUMIFS(LstMachines[Nbre],LstMachines[Model-Spec],PrévisionBoris[[#This Row],[Spec]],LstMachines[Status],PrévisionBoris[[#This Row],[Status]],LstMachines[MoisLivr],AQ$1)</f>
        <v>0</v>
      </c>
      <c r="AR281" s="206">
        <f>SUMIFS(LstMachines[Nbre],LstMachines[Model-Spec],PrévisionBoris[[#This Row],[Spec]],LstMachines[Status],PrévisionBoris[[#This Row],[Status]],LstMachines[MoisLivr],AR$1)</f>
        <v>0</v>
      </c>
      <c r="AS281" s="207">
        <f>SUMIFS(LstMachines[Nbre],LstMachines[Model-Spec],PrévisionBoris[[#This Row],[Spec]],LstMachines[Status],PrévisionBoris[[#This Row],[Status]],LstMachines[MoisLivr],AS$1)</f>
        <v>0</v>
      </c>
      <c r="AT281" s="207">
        <f>SUMIFS(LstMachines[Nbre],LstMachines[Model-Spec],PrévisionBoris[[#This Row],[Spec]],LstMachines[Status],PrévisionBoris[[#This Row],[Status]],LstMachines[MoisLivr],AT$1)</f>
        <v>0</v>
      </c>
      <c r="AU281" s="206">
        <f>SUMIFS(LstMachines[Nbre],LstMachines[Model-Spec],PrévisionBoris[[#This Row],[Spec]],LstMachines[Status],PrévisionBoris[[#This Row],[Status]],LstMachines[MoisLivr],AU$1)</f>
        <v>0</v>
      </c>
      <c r="AV281" s="233">
        <f>SUMIFS(LstMachines[Nbre],LstMachines[Model-Spec],PrévisionBoris[[#This Row],[Spec]],LstMachines[Status],PrévisionBoris[[#This Row],[Status]],LstMachines[MoisLivr],AV$1)</f>
        <v>0</v>
      </c>
      <c r="AW281" s="208">
        <f>SUMIFS(LstMachines[Nbre],LstMachines[Model-Spec],PrévisionBoris[[#This Row],[Spec]],LstMachines[Status],PrévisionBoris[[#This Row],[Status]],LstMachines[MoisLivr],AW$1)</f>
        <v>0</v>
      </c>
      <c r="AX281" s="225"/>
      <c r="AY281" s="211">
        <f t="shared" si="67"/>
        <v>0</v>
      </c>
      <c r="AZ281" s="212">
        <f t="shared" si="68"/>
        <v>0</v>
      </c>
      <c r="BA281" s="212">
        <f t="shared" si="69"/>
        <v>0</v>
      </c>
      <c r="BB281" s="213">
        <f t="shared" si="70"/>
        <v>0</v>
      </c>
      <c r="BC281" s="225">
        <f t="shared" si="71"/>
        <v>0</v>
      </c>
      <c r="BD281" s="211">
        <f t="shared" si="72"/>
        <v>0</v>
      </c>
      <c r="BE281" s="212">
        <f t="shared" si="73"/>
        <v>0</v>
      </c>
      <c r="BF281" s="212">
        <f t="shared" si="74"/>
        <v>0</v>
      </c>
      <c r="BG281" s="213">
        <f t="shared" si="75"/>
        <v>0</v>
      </c>
      <c r="BH281" s="225">
        <f t="shared" si="76"/>
        <v>0</v>
      </c>
      <c r="BI281" s="214">
        <f t="shared" si="77"/>
        <v>0</v>
      </c>
      <c r="BJ281" s="215">
        <f t="shared" si="78"/>
        <v>0</v>
      </c>
      <c r="BK281" s="215">
        <f t="shared" si="79"/>
        <v>0</v>
      </c>
      <c r="BL281" s="216">
        <f t="shared" si="80"/>
        <v>0</v>
      </c>
      <c r="BM281" s="225">
        <f t="shared" si="81"/>
        <v>0</v>
      </c>
      <c r="BN281" s="225"/>
      <c r="BO281" s="234"/>
      <c r="BP281" s="218">
        <f t="shared" si="82"/>
        <v>0</v>
      </c>
    </row>
    <row r="282" spans="1:68">
      <c r="A282" s="170">
        <v>275</v>
      </c>
      <c r="B282" s="170" t="s">
        <v>85</v>
      </c>
      <c r="C282" s="200">
        <v>250</v>
      </c>
      <c r="D282" s="170" t="s">
        <v>207</v>
      </c>
      <c r="E282" s="170" t="s">
        <v>210</v>
      </c>
      <c r="F282" s="200">
        <f>VLOOKUP(PrévisionBoris[[#This Row],[Spec]],TabModelSpecs[[ModelSpec]:[Price]],2,FALSE)</f>
        <v>160</v>
      </c>
      <c r="G282" s="170" t="s">
        <v>462</v>
      </c>
      <c r="H282" s="219">
        <f>SUMIFS(LstMachines[Nbre],LstMachines[Model-Spec],PrévisionBoris[[#This Row],[Spec]],LstMachines[Status],PrévisionBoris[[#This Row],[Status]],LstMachines[MoisLivr],H$1)</f>
        <v>0</v>
      </c>
      <c r="I282" s="220">
        <f>SUMIFS(LstMachines[Nbre],LstMachines[Model-Spec],PrévisionBoris[[#This Row],[Spec]],LstMachines[Status],PrévisionBoris[[#This Row],[Status]],LstMachines[MoisLivr],I$1)</f>
        <v>0</v>
      </c>
      <c r="J282" s="221">
        <f>SUMIFS(LstMachines[Nbre],LstMachines[Model-Spec],PrévisionBoris[[#This Row],[Spec]],LstMachines[Status],PrévisionBoris[[#This Row],[Status]],LstMachines[MoisLivr],J$1)</f>
        <v>0</v>
      </c>
      <c r="K282" s="219">
        <f>SUMIFS(LstMachines[Nbre],LstMachines[Model-Spec],PrévisionBoris[[#This Row],[Spec]],LstMachines[Status],PrévisionBoris[[#This Row],[Status]],LstMachines[MoisLivr],K$1)</f>
        <v>0</v>
      </c>
      <c r="L282" s="220">
        <f>SUMIFS(LstMachines[Nbre],LstMachines[Model-Spec],PrévisionBoris[[#This Row],[Spec]],LstMachines[Status],PrévisionBoris[[#This Row],[Status]],LstMachines[MoisLivr],L$1)</f>
        <v>0</v>
      </c>
      <c r="M282" s="221">
        <f>SUMIFS(LstMachines[Nbre],LstMachines[Model-Spec],PrévisionBoris[[#This Row],[Spec]],LstMachines[Status],PrévisionBoris[[#This Row],[Status]],LstMachines[MoisLivr],M$1)</f>
        <v>0</v>
      </c>
      <c r="N282" s="219">
        <f>SUMIFS(LstMachines[Nbre],LstMachines[Model-Spec],PrévisionBoris[[#This Row],[Spec]],LstMachines[Status],PrévisionBoris[[#This Row],[Status]],LstMachines[MoisLivr],N$1)</f>
        <v>0</v>
      </c>
      <c r="O282" s="220">
        <f>SUMIFS(LstMachines[Nbre],LstMachines[Model-Spec],PrévisionBoris[[#This Row],[Spec]],LstMachines[Status],PrévisionBoris[[#This Row],[Status]],LstMachines[MoisLivr],O$1)</f>
        <v>0</v>
      </c>
      <c r="P282" s="221">
        <f>SUMIFS(LstMachines[Nbre],LstMachines[Model-Spec],PrévisionBoris[[#This Row],[Spec]],LstMachines[Status],PrévisionBoris[[#This Row],[Status]],LstMachines[MoisLivr],P$1)</f>
        <v>0</v>
      </c>
      <c r="Q282" s="222">
        <f>SUMIFS(LstMachines[Nbre],LstMachines[Model-Spec],PrévisionBoris[[#This Row],[Spec]],LstMachines[Status],PrévisionBoris[[#This Row],[Status]],LstMachines[MoisLivr],Q$1)</f>
        <v>0</v>
      </c>
      <c r="R282" s="220">
        <f>SUMIFS(LstMachines[Nbre],LstMachines[Model-Spec],PrévisionBoris[[#This Row],[Spec]],LstMachines[Status],PrévisionBoris[[#This Row],[Status]],LstMachines[MoisLivr],R$1)</f>
        <v>0</v>
      </c>
      <c r="S282" s="220">
        <f>SUMIFS(LstMachines[Nbre],LstMachines[Model-Spec],PrévisionBoris[[#This Row],[Spec]],LstMachines[Status],PrévisionBoris[[#This Row],[Status]],LstMachines[MoisLivr],S$1)</f>
        <v>0</v>
      </c>
      <c r="T282" s="219">
        <f>SUMIFS(LstMachines[Nbre],LstMachines[Model-Spec],PrévisionBoris[[#This Row],[Spec]],LstMachines[Status],PrévisionBoris[[#This Row],[Status]],LstMachines[MoisLivr],T$1)</f>
        <v>0</v>
      </c>
      <c r="U282" s="220">
        <f>SUMIFS(LstMachines[Nbre],LstMachines[Model-Spec],PrévisionBoris[[#This Row],[Spec]],LstMachines[Status],PrévisionBoris[[#This Row],[Status]],LstMachines[MoisLivr],U$1)</f>
        <v>0</v>
      </c>
      <c r="V282" s="220">
        <f>SUMIFS(LstMachines[Nbre],LstMachines[Model-Spec],PrévisionBoris[[#This Row],[Spec]],LstMachines[Status],PrévisionBoris[[#This Row],[Status]],LstMachines[MoisLivr],V$1)</f>
        <v>0</v>
      </c>
      <c r="W282" s="219">
        <f>SUMIFS(LstMachines[Nbre],LstMachines[Model-Spec],PrévisionBoris[[#This Row],[Spec]],LstMachines[Status],PrévisionBoris[[#This Row],[Status]],LstMachines[MoisLivr],W$1)</f>
        <v>0</v>
      </c>
      <c r="X282" s="220">
        <f>SUMIFS(LstMachines[Nbre],LstMachines[Model-Spec],PrévisionBoris[[#This Row],[Spec]],LstMachines[Status],PrévisionBoris[[#This Row],[Status]],LstMachines[MoisLivr],X$1)</f>
        <v>0</v>
      </c>
      <c r="Y282" s="220">
        <f>SUMIFS(LstMachines[Nbre],LstMachines[Model-Spec],PrévisionBoris[[#This Row],[Spec]],LstMachines[Status],PrévisionBoris[[#This Row],[Status]],LstMachines[MoisLivr],Y$1)</f>
        <v>0</v>
      </c>
      <c r="Z282" s="219">
        <f>SUMIFS(LstMachines[Nbre],LstMachines[Model-Spec],PrévisionBoris[[#This Row],[Spec]],LstMachines[Status],PrévisionBoris[[#This Row],[Status]],LstMachines[MoisLivr],Z$1)</f>
        <v>0</v>
      </c>
      <c r="AA282" s="220">
        <f>SUMIFS(LstMachines[Nbre],LstMachines[Model-Spec],PrévisionBoris[[#This Row],[Spec]],LstMachines[Status],PrévisionBoris[[#This Row],[Status]],LstMachines[MoisLivr],AA$1)</f>
        <v>0</v>
      </c>
      <c r="AB282" s="220">
        <f>SUMIFS(LstMachines[Nbre],LstMachines[Model-Spec],PrévisionBoris[[#This Row],[Spec]],LstMachines[Status],PrévisionBoris[[#This Row],[Status]],LstMachines[MoisLivr],AB$1)</f>
        <v>0</v>
      </c>
      <c r="AC282" s="219">
        <f>SUMIFS(LstMachines[Nbre],LstMachines[Model-Spec],PrévisionBoris[[#This Row],[Spec]],LstMachines[Status],PrévisionBoris[[#This Row],[Status]],LstMachines[MoisLivr],AC$1)</f>
        <v>0</v>
      </c>
      <c r="AD282" s="220">
        <f>SUMIFS(LstMachines[Nbre],LstMachines[Model-Spec],PrévisionBoris[[#This Row],[Spec]],LstMachines[Status],PrévisionBoris[[#This Row],[Status]],LstMachines[MoisLivr],AD$1)</f>
        <v>0</v>
      </c>
      <c r="AE282" s="220">
        <f>SUMIFS(LstMachines[Nbre],LstMachines[Model-Spec],PrévisionBoris[[#This Row],[Spec]],LstMachines[Status],PrévisionBoris[[#This Row],[Status]],LstMachines[MoisLivr],AE$1)</f>
        <v>0</v>
      </c>
      <c r="AF282" s="219">
        <f>SUMIFS(LstMachines[Nbre],LstMachines[Model-Spec],PrévisionBoris[[#This Row],[Spec]],LstMachines[Status],PrévisionBoris[[#This Row],[Status]],LstMachines[MoisLivr],AF$1)</f>
        <v>0</v>
      </c>
      <c r="AG282" s="220">
        <f>SUMIFS(LstMachines[Nbre],LstMachines[Model-Spec],PrévisionBoris[[#This Row],[Spec]],LstMachines[Status],PrévisionBoris[[#This Row],[Status]],LstMachines[MoisLivr],AG$1)</f>
        <v>0</v>
      </c>
      <c r="AH282" s="220">
        <f>SUMIFS(LstMachines[Nbre],LstMachines[Model-Spec],PrévisionBoris[[#This Row],[Spec]],LstMachines[Status],PrévisionBoris[[#This Row],[Status]],LstMachines[MoisLivr],AH$1)</f>
        <v>0</v>
      </c>
      <c r="AI282" s="219">
        <f>SUMIFS(LstMachines[Nbre],LstMachines[Model-Spec],PrévisionBoris[[#This Row],[Spec]],LstMachines[Status],PrévisionBoris[[#This Row],[Status]],LstMachines[MoisLivr],AI$1)</f>
        <v>0</v>
      </c>
      <c r="AJ282" s="220">
        <f>SUMIFS(LstMachines[Nbre],LstMachines[Model-Spec],PrévisionBoris[[#This Row],[Spec]],LstMachines[Status],PrévisionBoris[[#This Row],[Status]],LstMachines[MoisLivr],AJ$1)</f>
        <v>0</v>
      </c>
      <c r="AK282" s="220">
        <f>SUMIFS(LstMachines[Nbre],LstMachines[Model-Spec],PrévisionBoris[[#This Row],[Spec]],LstMachines[Status],PrévisionBoris[[#This Row],[Status]],LstMachines[MoisLivr],AK$1)</f>
        <v>0</v>
      </c>
      <c r="AL282" s="219">
        <f>SUMIFS(LstMachines[Nbre],LstMachines[Model-Spec],PrévisionBoris[[#This Row],[Spec]],LstMachines[Status],PrévisionBoris[[#This Row],[Status]],LstMachines[MoisLivr],AL$1)</f>
        <v>0</v>
      </c>
      <c r="AM282" s="220">
        <f>SUMIFS(LstMachines[Nbre],LstMachines[Model-Spec],PrévisionBoris[[#This Row],[Spec]],LstMachines[Status],PrévisionBoris[[#This Row],[Status]],LstMachines[MoisLivr],AM$1)</f>
        <v>0</v>
      </c>
      <c r="AN282" s="220">
        <f>SUMIFS(LstMachines[Nbre],LstMachines[Model-Spec],PrévisionBoris[[#This Row],[Spec]],LstMachines[Status],PrévisionBoris[[#This Row],[Status]],LstMachines[MoisLivr],AN$1)</f>
        <v>0</v>
      </c>
      <c r="AO282" s="219">
        <f>SUMIFS(LstMachines[Nbre],LstMachines[Model-Spec],PrévisionBoris[[#This Row],[Spec]],LstMachines[Status],PrévisionBoris[[#This Row],[Status]],LstMachines[MoisLivr],AO$1)</f>
        <v>0</v>
      </c>
      <c r="AP282" s="220">
        <f>SUMIFS(LstMachines[Nbre],LstMachines[Model-Spec],PrévisionBoris[[#This Row],[Spec]],LstMachines[Status],PrévisionBoris[[#This Row],[Status]],LstMachines[MoisLivr],AP$1)</f>
        <v>0</v>
      </c>
      <c r="AQ282" s="220">
        <f>SUMIFS(LstMachines[Nbre],LstMachines[Model-Spec],PrévisionBoris[[#This Row],[Spec]],LstMachines[Status],PrévisionBoris[[#This Row],[Status]],LstMachines[MoisLivr],AQ$1)</f>
        <v>0</v>
      </c>
      <c r="AR282" s="219">
        <f>SUMIFS(LstMachines[Nbre],LstMachines[Model-Spec],PrévisionBoris[[#This Row],[Spec]],LstMachines[Status],PrévisionBoris[[#This Row],[Status]],LstMachines[MoisLivr],AR$1)</f>
        <v>0</v>
      </c>
      <c r="AS282" s="220">
        <f>SUMIFS(LstMachines[Nbre],LstMachines[Model-Spec],PrévisionBoris[[#This Row],[Spec]],LstMachines[Status],PrévisionBoris[[#This Row],[Status]],LstMachines[MoisLivr],AS$1)</f>
        <v>0</v>
      </c>
      <c r="AT282" s="220">
        <f>SUMIFS(LstMachines[Nbre],LstMachines[Model-Spec],PrévisionBoris[[#This Row],[Spec]],LstMachines[Status],PrévisionBoris[[#This Row],[Status]],LstMachines[MoisLivr],AT$1)</f>
        <v>0</v>
      </c>
      <c r="AU282" s="219">
        <f>SUMIFS(LstMachines[Nbre],LstMachines[Model-Spec],PrévisionBoris[[#This Row],[Spec]],LstMachines[Status],PrévisionBoris[[#This Row],[Status]],LstMachines[MoisLivr],AU$1)</f>
        <v>0</v>
      </c>
      <c r="AV282" s="223">
        <f>SUMIFS(LstMachines[Nbre],LstMachines[Model-Spec],PrévisionBoris[[#This Row],[Spec]],LstMachines[Status],PrévisionBoris[[#This Row],[Status]],LstMachines[MoisLivr],AV$1)</f>
        <v>0</v>
      </c>
      <c r="AW282" s="224">
        <f>SUMIFS(LstMachines[Nbre],LstMachines[Model-Spec],PrévisionBoris[[#This Row],[Spec]],LstMachines[Status],PrévisionBoris[[#This Row],[Status]],LstMachines[MoisLivr],AW$1)</f>
        <v>0</v>
      </c>
      <c r="AX282" s="210"/>
      <c r="AY282" s="211">
        <f t="shared" si="67"/>
        <v>0</v>
      </c>
      <c r="AZ282" s="212">
        <f t="shared" si="68"/>
        <v>0</v>
      </c>
      <c r="BA282" s="212">
        <f t="shared" si="69"/>
        <v>0</v>
      </c>
      <c r="BB282" s="213">
        <f t="shared" si="70"/>
        <v>0</v>
      </c>
      <c r="BC282" s="225">
        <f t="shared" si="71"/>
        <v>0</v>
      </c>
      <c r="BD282" s="211">
        <f t="shared" si="72"/>
        <v>0</v>
      </c>
      <c r="BE282" s="212">
        <f t="shared" si="73"/>
        <v>0</v>
      </c>
      <c r="BF282" s="212">
        <f t="shared" si="74"/>
        <v>0</v>
      </c>
      <c r="BG282" s="213">
        <f t="shared" si="75"/>
        <v>0</v>
      </c>
      <c r="BH282" s="225">
        <f t="shared" si="76"/>
        <v>0</v>
      </c>
      <c r="BI282" s="214">
        <f t="shared" si="77"/>
        <v>0</v>
      </c>
      <c r="BJ282" s="215">
        <f t="shared" si="78"/>
        <v>0</v>
      </c>
      <c r="BK282" s="215">
        <f t="shared" si="79"/>
        <v>0</v>
      </c>
      <c r="BL282" s="216">
        <f t="shared" si="80"/>
        <v>0</v>
      </c>
      <c r="BM282" s="225">
        <f t="shared" si="81"/>
        <v>0</v>
      </c>
      <c r="BN282" s="225"/>
      <c r="BO282" s="217"/>
      <c r="BP282" s="218">
        <f t="shared" si="82"/>
        <v>0</v>
      </c>
    </row>
    <row r="283" spans="1:68">
      <c r="A283" s="171">
        <v>276</v>
      </c>
      <c r="B283" s="171" t="s">
        <v>85</v>
      </c>
      <c r="C283" s="201">
        <v>250</v>
      </c>
      <c r="D283" s="171" t="s">
        <v>207</v>
      </c>
      <c r="E283" s="171" t="s">
        <v>210</v>
      </c>
      <c r="F283" s="201">
        <f>VLOOKUP(PrévisionBoris[[#This Row],[Spec]],TabModelSpecs[[ModelSpec]:[Price]],2,FALSE)</f>
        <v>160</v>
      </c>
      <c r="G283" s="171" t="s">
        <v>463</v>
      </c>
      <c r="H283" s="226">
        <f>SUMIFS(LstMachines[Nbre],LstMachines[Model-Spec],PrévisionBoris[[#This Row],[Spec]],LstMachines[Status],PrévisionBoris[[#This Row],[Status]],LstMachines[MoisLivr],H$1)</f>
        <v>0</v>
      </c>
      <c r="I283" s="227">
        <f>SUMIFS(LstMachines[Nbre],LstMachines[Model-Spec],PrévisionBoris[[#This Row],[Spec]],LstMachines[Status],PrévisionBoris[[#This Row],[Status]],LstMachines[MoisLivr],I$1)</f>
        <v>0</v>
      </c>
      <c r="J283" s="228">
        <f>SUMIFS(LstMachines[Nbre],LstMachines[Model-Spec],PrévisionBoris[[#This Row],[Spec]],LstMachines[Status],PrévisionBoris[[#This Row],[Status]],LstMachines[MoisLivr],J$1)</f>
        <v>0</v>
      </c>
      <c r="K283" s="226">
        <f>SUMIFS(LstMachines[Nbre],LstMachines[Model-Spec],PrévisionBoris[[#This Row],[Spec]],LstMachines[Status],PrévisionBoris[[#This Row],[Status]],LstMachines[MoisLivr],K$1)</f>
        <v>0</v>
      </c>
      <c r="L283" s="227">
        <f>SUMIFS(LstMachines[Nbre],LstMachines[Model-Spec],PrévisionBoris[[#This Row],[Spec]],LstMachines[Status],PrévisionBoris[[#This Row],[Status]],LstMachines[MoisLivr],L$1)</f>
        <v>0</v>
      </c>
      <c r="M283" s="228">
        <f>SUMIFS(LstMachines[Nbre],LstMachines[Model-Spec],PrévisionBoris[[#This Row],[Spec]],LstMachines[Status],PrévisionBoris[[#This Row],[Status]],LstMachines[MoisLivr],M$1)</f>
        <v>0</v>
      </c>
      <c r="N283" s="226">
        <f>SUMIFS(LstMachines[Nbre],LstMachines[Model-Spec],PrévisionBoris[[#This Row],[Spec]],LstMachines[Status],PrévisionBoris[[#This Row],[Status]],LstMachines[MoisLivr],N$1)</f>
        <v>0</v>
      </c>
      <c r="O283" s="227">
        <f>SUMIFS(LstMachines[Nbre],LstMachines[Model-Spec],PrévisionBoris[[#This Row],[Spec]],LstMachines[Status],PrévisionBoris[[#This Row],[Status]],LstMachines[MoisLivr],O$1)</f>
        <v>0</v>
      </c>
      <c r="P283" s="228">
        <f>SUMIFS(LstMachines[Nbre],LstMachines[Model-Spec],PrévisionBoris[[#This Row],[Spec]],LstMachines[Status],PrévisionBoris[[#This Row],[Status]],LstMachines[MoisLivr],P$1)</f>
        <v>0</v>
      </c>
      <c r="Q283" s="229">
        <f>SUMIFS(LstMachines[Nbre],LstMachines[Model-Spec],PrévisionBoris[[#This Row],[Spec]],LstMachines[Status],PrévisionBoris[[#This Row],[Status]],LstMachines[MoisLivr],Q$1)</f>
        <v>0</v>
      </c>
      <c r="R283" s="227">
        <f>SUMIFS(LstMachines[Nbre],LstMachines[Model-Spec],PrévisionBoris[[#This Row],[Spec]],LstMachines[Status],PrévisionBoris[[#This Row],[Status]],LstMachines[MoisLivr],R$1)</f>
        <v>0</v>
      </c>
      <c r="S283" s="227">
        <f>SUMIFS(LstMachines[Nbre],LstMachines[Model-Spec],PrévisionBoris[[#This Row],[Spec]],LstMachines[Status],PrévisionBoris[[#This Row],[Status]],LstMachines[MoisLivr],S$1)</f>
        <v>0</v>
      </c>
      <c r="T283" s="226">
        <f>SUMIFS(LstMachines[Nbre],LstMachines[Model-Spec],PrévisionBoris[[#This Row],[Spec]],LstMachines[Status],PrévisionBoris[[#This Row],[Status]],LstMachines[MoisLivr],T$1)</f>
        <v>0</v>
      </c>
      <c r="U283" s="227">
        <f>SUMIFS(LstMachines[Nbre],LstMachines[Model-Spec],PrévisionBoris[[#This Row],[Spec]],LstMachines[Status],PrévisionBoris[[#This Row],[Status]],LstMachines[MoisLivr],U$1)</f>
        <v>0</v>
      </c>
      <c r="V283" s="227">
        <f>SUMIFS(LstMachines[Nbre],LstMachines[Model-Spec],PrévisionBoris[[#This Row],[Spec]],LstMachines[Status],PrévisionBoris[[#This Row],[Status]],LstMachines[MoisLivr],V$1)</f>
        <v>0</v>
      </c>
      <c r="W283" s="226">
        <f>SUMIFS(LstMachines[Nbre],LstMachines[Model-Spec],PrévisionBoris[[#This Row],[Spec]],LstMachines[Status],PrévisionBoris[[#This Row],[Status]],LstMachines[MoisLivr],W$1)</f>
        <v>0</v>
      </c>
      <c r="X283" s="227">
        <f>SUMIFS(LstMachines[Nbre],LstMachines[Model-Spec],PrévisionBoris[[#This Row],[Spec]],LstMachines[Status],PrévisionBoris[[#This Row],[Status]],LstMachines[MoisLivr],X$1)</f>
        <v>0</v>
      </c>
      <c r="Y283" s="227">
        <f>SUMIFS(LstMachines[Nbre],LstMachines[Model-Spec],PrévisionBoris[[#This Row],[Spec]],LstMachines[Status],PrévisionBoris[[#This Row],[Status]],LstMachines[MoisLivr],Y$1)</f>
        <v>0</v>
      </c>
      <c r="Z283" s="226">
        <f>SUMIFS(LstMachines[Nbre],LstMachines[Model-Spec],PrévisionBoris[[#This Row],[Spec]],LstMachines[Status],PrévisionBoris[[#This Row],[Status]],LstMachines[MoisLivr],Z$1)</f>
        <v>0</v>
      </c>
      <c r="AA283" s="227">
        <f>SUMIFS(LstMachines[Nbre],LstMachines[Model-Spec],PrévisionBoris[[#This Row],[Spec]],LstMachines[Status],PrévisionBoris[[#This Row],[Status]],LstMachines[MoisLivr],AA$1)</f>
        <v>0</v>
      </c>
      <c r="AB283" s="227">
        <f>SUMIFS(LstMachines[Nbre],LstMachines[Model-Spec],PrévisionBoris[[#This Row],[Spec]],LstMachines[Status],PrévisionBoris[[#This Row],[Status]],LstMachines[MoisLivr],AB$1)</f>
        <v>0</v>
      </c>
      <c r="AC283" s="226">
        <f>SUMIFS(LstMachines[Nbre],LstMachines[Model-Spec],PrévisionBoris[[#This Row],[Spec]],LstMachines[Status],PrévisionBoris[[#This Row],[Status]],LstMachines[MoisLivr],AC$1)</f>
        <v>0</v>
      </c>
      <c r="AD283" s="227">
        <f>SUMIFS(LstMachines[Nbre],LstMachines[Model-Spec],PrévisionBoris[[#This Row],[Spec]],LstMachines[Status],PrévisionBoris[[#This Row],[Status]],LstMachines[MoisLivr],AD$1)</f>
        <v>0</v>
      </c>
      <c r="AE283" s="227">
        <f>SUMIFS(LstMachines[Nbre],LstMachines[Model-Spec],PrévisionBoris[[#This Row],[Spec]],LstMachines[Status],PrévisionBoris[[#This Row],[Status]],LstMachines[MoisLivr],AE$1)</f>
        <v>0</v>
      </c>
      <c r="AF283" s="226">
        <f>SUMIFS(LstMachines[Nbre],LstMachines[Model-Spec],PrévisionBoris[[#This Row],[Spec]],LstMachines[Status],PrévisionBoris[[#This Row],[Status]],LstMachines[MoisLivr],AF$1)</f>
        <v>0</v>
      </c>
      <c r="AG283" s="227">
        <f>SUMIFS(LstMachines[Nbre],LstMachines[Model-Spec],PrévisionBoris[[#This Row],[Spec]],LstMachines[Status],PrévisionBoris[[#This Row],[Status]],LstMachines[MoisLivr],AG$1)</f>
        <v>0</v>
      </c>
      <c r="AH283" s="227">
        <f>SUMIFS(LstMachines[Nbre],LstMachines[Model-Spec],PrévisionBoris[[#This Row],[Spec]],LstMachines[Status],PrévisionBoris[[#This Row],[Status]],LstMachines[MoisLivr],AH$1)</f>
        <v>0</v>
      </c>
      <c r="AI283" s="226">
        <f>SUMIFS(LstMachines[Nbre],LstMachines[Model-Spec],PrévisionBoris[[#This Row],[Spec]],LstMachines[Status],PrévisionBoris[[#This Row],[Status]],LstMachines[MoisLivr],AI$1)</f>
        <v>0</v>
      </c>
      <c r="AJ283" s="227">
        <f>SUMIFS(LstMachines[Nbre],LstMachines[Model-Spec],PrévisionBoris[[#This Row],[Spec]],LstMachines[Status],PrévisionBoris[[#This Row],[Status]],LstMachines[MoisLivr],AJ$1)</f>
        <v>0</v>
      </c>
      <c r="AK283" s="227">
        <f>SUMIFS(LstMachines[Nbre],LstMachines[Model-Spec],PrévisionBoris[[#This Row],[Spec]],LstMachines[Status],PrévisionBoris[[#This Row],[Status]],LstMachines[MoisLivr],AK$1)</f>
        <v>0</v>
      </c>
      <c r="AL283" s="226">
        <f>SUMIFS(LstMachines[Nbre],LstMachines[Model-Spec],PrévisionBoris[[#This Row],[Spec]],LstMachines[Status],PrévisionBoris[[#This Row],[Status]],LstMachines[MoisLivr],AL$1)</f>
        <v>0</v>
      </c>
      <c r="AM283" s="227">
        <f>SUMIFS(LstMachines[Nbre],LstMachines[Model-Spec],PrévisionBoris[[#This Row],[Spec]],LstMachines[Status],PrévisionBoris[[#This Row],[Status]],LstMachines[MoisLivr],AM$1)</f>
        <v>0</v>
      </c>
      <c r="AN283" s="227">
        <f>SUMIFS(LstMachines[Nbre],LstMachines[Model-Spec],PrévisionBoris[[#This Row],[Spec]],LstMachines[Status],PrévisionBoris[[#This Row],[Status]],LstMachines[MoisLivr],AN$1)</f>
        <v>0</v>
      </c>
      <c r="AO283" s="226">
        <f>SUMIFS(LstMachines[Nbre],LstMachines[Model-Spec],PrévisionBoris[[#This Row],[Spec]],LstMachines[Status],PrévisionBoris[[#This Row],[Status]],LstMachines[MoisLivr],AO$1)</f>
        <v>0</v>
      </c>
      <c r="AP283" s="227">
        <f>SUMIFS(LstMachines[Nbre],LstMachines[Model-Spec],PrévisionBoris[[#This Row],[Spec]],LstMachines[Status],PrévisionBoris[[#This Row],[Status]],LstMachines[MoisLivr],AP$1)</f>
        <v>0</v>
      </c>
      <c r="AQ283" s="227">
        <f>SUMIFS(LstMachines[Nbre],LstMachines[Model-Spec],PrévisionBoris[[#This Row],[Spec]],LstMachines[Status],PrévisionBoris[[#This Row],[Status]],LstMachines[MoisLivr],AQ$1)</f>
        <v>0</v>
      </c>
      <c r="AR283" s="226">
        <f>SUMIFS(LstMachines[Nbre],LstMachines[Model-Spec],PrévisionBoris[[#This Row],[Spec]],LstMachines[Status],PrévisionBoris[[#This Row],[Status]],LstMachines[MoisLivr],AR$1)</f>
        <v>0</v>
      </c>
      <c r="AS283" s="227">
        <f>SUMIFS(LstMachines[Nbre],LstMachines[Model-Spec],PrévisionBoris[[#This Row],[Spec]],LstMachines[Status],PrévisionBoris[[#This Row],[Status]],LstMachines[MoisLivr],AS$1)</f>
        <v>0</v>
      </c>
      <c r="AT283" s="227">
        <f>SUMIFS(LstMachines[Nbre],LstMachines[Model-Spec],PrévisionBoris[[#This Row],[Spec]],LstMachines[Status],PrévisionBoris[[#This Row],[Status]],LstMachines[MoisLivr],AT$1)</f>
        <v>0</v>
      </c>
      <c r="AU283" s="226">
        <f>SUMIFS(LstMachines[Nbre],LstMachines[Model-Spec],PrévisionBoris[[#This Row],[Spec]],LstMachines[Status],PrévisionBoris[[#This Row],[Status]],LstMachines[MoisLivr],AU$1)</f>
        <v>0</v>
      </c>
      <c r="AV283" s="230">
        <f>SUMIFS(LstMachines[Nbre],LstMachines[Model-Spec],PrévisionBoris[[#This Row],[Spec]],LstMachines[Status],PrévisionBoris[[#This Row],[Status]],LstMachines[MoisLivr],AV$1)</f>
        <v>0</v>
      </c>
      <c r="AW283" s="231">
        <f>SUMIFS(LstMachines[Nbre],LstMachines[Model-Spec],PrévisionBoris[[#This Row],[Spec]],LstMachines[Status],PrévisionBoris[[#This Row],[Status]],LstMachines[MoisLivr],AW$1)</f>
        <v>0</v>
      </c>
      <c r="AX283" s="232"/>
      <c r="AY283" s="211">
        <f t="shared" si="67"/>
        <v>0</v>
      </c>
      <c r="AZ283" s="212">
        <f t="shared" si="68"/>
        <v>0</v>
      </c>
      <c r="BA283" s="212">
        <f t="shared" si="69"/>
        <v>0</v>
      </c>
      <c r="BB283" s="213">
        <f t="shared" si="70"/>
        <v>0</v>
      </c>
      <c r="BC283" s="225">
        <f t="shared" si="71"/>
        <v>0</v>
      </c>
      <c r="BD283" s="211">
        <f t="shared" si="72"/>
        <v>0</v>
      </c>
      <c r="BE283" s="212">
        <f t="shared" si="73"/>
        <v>0</v>
      </c>
      <c r="BF283" s="212">
        <f t="shared" si="74"/>
        <v>0</v>
      </c>
      <c r="BG283" s="213">
        <f t="shared" si="75"/>
        <v>0</v>
      </c>
      <c r="BH283" s="225">
        <f t="shared" si="76"/>
        <v>0</v>
      </c>
      <c r="BI283" s="214">
        <f t="shared" si="77"/>
        <v>0</v>
      </c>
      <c r="BJ283" s="215">
        <f t="shared" si="78"/>
        <v>0</v>
      </c>
      <c r="BK283" s="215">
        <f t="shared" si="79"/>
        <v>0</v>
      </c>
      <c r="BL283" s="216">
        <f t="shared" si="80"/>
        <v>0</v>
      </c>
      <c r="BM283" s="225">
        <f t="shared" si="81"/>
        <v>0</v>
      </c>
      <c r="BN283" s="225"/>
      <c r="BO283" s="217"/>
      <c r="BP283" s="218">
        <f t="shared" si="82"/>
        <v>0</v>
      </c>
    </row>
    <row r="284" spans="1:68">
      <c r="A284" s="172">
        <v>277</v>
      </c>
      <c r="B284" s="172" t="s">
        <v>85</v>
      </c>
      <c r="C284" s="202">
        <v>250</v>
      </c>
      <c r="D284" s="172" t="s">
        <v>207</v>
      </c>
      <c r="E284" s="172" t="s">
        <v>211</v>
      </c>
      <c r="F284" s="202">
        <f>VLOOKUP(PrévisionBoris[[#This Row],[Spec]],TabModelSpecs[[ModelSpec]:[Price]],2,FALSE)</f>
        <v>150</v>
      </c>
      <c r="G284" s="172" t="s">
        <v>461</v>
      </c>
      <c r="H284" s="206">
        <f>SUMIFS(LstMachines[Nbre],LstMachines[Model-Spec],PrévisionBoris[[#This Row],[Spec]],LstMachines[Status],PrévisionBoris[[#This Row],[Status]],LstMachines[MoisLivr],H$1)</f>
        <v>0</v>
      </c>
      <c r="I284" s="207">
        <f>SUMIFS(LstMachines[Nbre],LstMachines[Model-Spec],PrévisionBoris[[#This Row],[Spec]],LstMachines[Status],PrévisionBoris[[#This Row],[Status]],LstMachines[MoisLivr],I$1)</f>
        <v>0</v>
      </c>
      <c r="J284" s="208">
        <f>SUMIFS(LstMachines[Nbre],LstMachines[Model-Spec],PrévisionBoris[[#This Row],[Spec]],LstMachines[Status],PrévisionBoris[[#This Row],[Status]],LstMachines[MoisLivr],J$1)</f>
        <v>0</v>
      </c>
      <c r="K284" s="206">
        <f>SUMIFS(LstMachines[Nbre],LstMachines[Model-Spec],PrévisionBoris[[#This Row],[Spec]],LstMachines[Status],PrévisionBoris[[#This Row],[Status]],LstMachines[MoisLivr],K$1)</f>
        <v>0</v>
      </c>
      <c r="L284" s="207">
        <f>SUMIFS(LstMachines[Nbre],LstMachines[Model-Spec],PrévisionBoris[[#This Row],[Spec]],LstMachines[Status],PrévisionBoris[[#This Row],[Status]],LstMachines[MoisLivr],L$1)</f>
        <v>0</v>
      </c>
      <c r="M284" s="208">
        <f>SUMIFS(LstMachines[Nbre],LstMachines[Model-Spec],PrévisionBoris[[#This Row],[Spec]],LstMachines[Status],PrévisionBoris[[#This Row],[Status]],LstMachines[MoisLivr],M$1)</f>
        <v>0</v>
      </c>
      <c r="N284" s="206">
        <f>SUMIFS(LstMachines[Nbre],LstMachines[Model-Spec],PrévisionBoris[[#This Row],[Spec]],LstMachines[Status],PrévisionBoris[[#This Row],[Status]],LstMachines[MoisLivr],N$1)</f>
        <v>0</v>
      </c>
      <c r="O284" s="207">
        <f>SUMIFS(LstMachines[Nbre],LstMachines[Model-Spec],PrévisionBoris[[#This Row],[Spec]],LstMachines[Status],PrévisionBoris[[#This Row],[Status]],LstMachines[MoisLivr],O$1)</f>
        <v>0</v>
      </c>
      <c r="P284" s="208">
        <f>SUMIFS(LstMachines[Nbre],LstMachines[Model-Spec],PrévisionBoris[[#This Row],[Spec]],LstMachines[Status],PrévisionBoris[[#This Row],[Status]],LstMachines[MoisLivr],P$1)</f>
        <v>0</v>
      </c>
      <c r="Q284" s="209">
        <f>SUMIFS(LstMachines[Nbre],LstMachines[Model-Spec],PrévisionBoris[[#This Row],[Spec]],LstMachines[Status],PrévisionBoris[[#This Row],[Status]],LstMachines[MoisLivr],Q$1)</f>
        <v>0</v>
      </c>
      <c r="R284" s="207">
        <f>SUMIFS(LstMachines[Nbre],LstMachines[Model-Spec],PrévisionBoris[[#This Row],[Spec]],LstMachines[Status],PrévisionBoris[[#This Row],[Status]],LstMachines[MoisLivr],R$1)</f>
        <v>0</v>
      </c>
      <c r="S284" s="207">
        <f>SUMIFS(LstMachines[Nbre],LstMachines[Model-Spec],PrévisionBoris[[#This Row],[Spec]],LstMachines[Status],PrévisionBoris[[#This Row],[Status]],LstMachines[MoisLivr],S$1)</f>
        <v>0</v>
      </c>
      <c r="T284" s="206">
        <f>SUMIFS(LstMachines[Nbre],LstMachines[Model-Spec],PrévisionBoris[[#This Row],[Spec]],LstMachines[Status],PrévisionBoris[[#This Row],[Status]],LstMachines[MoisLivr],T$1)</f>
        <v>0</v>
      </c>
      <c r="U284" s="207">
        <f>SUMIFS(LstMachines[Nbre],LstMachines[Model-Spec],PrévisionBoris[[#This Row],[Spec]],LstMachines[Status],PrévisionBoris[[#This Row],[Status]],LstMachines[MoisLivr],U$1)</f>
        <v>0</v>
      </c>
      <c r="V284" s="207">
        <f>SUMIFS(LstMachines[Nbre],LstMachines[Model-Spec],PrévisionBoris[[#This Row],[Spec]],LstMachines[Status],PrévisionBoris[[#This Row],[Status]],LstMachines[MoisLivr],V$1)</f>
        <v>0</v>
      </c>
      <c r="W284" s="206">
        <f>SUMIFS(LstMachines[Nbre],LstMachines[Model-Spec],PrévisionBoris[[#This Row],[Spec]],LstMachines[Status],PrévisionBoris[[#This Row],[Status]],LstMachines[MoisLivr],W$1)</f>
        <v>0</v>
      </c>
      <c r="X284" s="207">
        <f>SUMIFS(LstMachines[Nbre],LstMachines[Model-Spec],PrévisionBoris[[#This Row],[Spec]],LstMachines[Status],PrévisionBoris[[#This Row],[Status]],LstMachines[MoisLivr],X$1)</f>
        <v>0</v>
      </c>
      <c r="Y284" s="207">
        <f>SUMIFS(LstMachines[Nbre],LstMachines[Model-Spec],PrévisionBoris[[#This Row],[Spec]],LstMachines[Status],PrévisionBoris[[#This Row],[Status]],LstMachines[MoisLivr],Y$1)</f>
        <v>1</v>
      </c>
      <c r="Z284" s="206">
        <f>SUMIFS(LstMachines[Nbre],LstMachines[Model-Spec],PrévisionBoris[[#This Row],[Spec]],LstMachines[Status],PrévisionBoris[[#This Row],[Status]],LstMachines[MoisLivr],Z$1)</f>
        <v>0</v>
      </c>
      <c r="AA284" s="207">
        <f>SUMIFS(LstMachines[Nbre],LstMachines[Model-Spec],PrévisionBoris[[#This Row],[Spec]],LstMachines[Status],PrévisionBoris[[#This Row],[Status]],LstMachines[MoisLivr],AA$1)</f>
        <v>0</v>
      </c>
      <c r="AB284" s="207">
        <f>SUMIFS(LstMachines[Nbre],LstMachines[Model-Spec],PrévisionBoris[[#This Row],[Spec]],LstMachines[Status],PrévisionBoris[[#This Row],[Status]],LstMachines[MoisLivr],AB$1)</f>
        <v>0</v>
      </c>
      <c r="AC284" s="206">
        <f>SUMIFS(LstMachines[Nbre],LstMachines[Model-Spec],PrévisionBoris[[#This Row],[Spec]],LstMachines[Status],PrévisionBoris[[#This Row],[Status]],LstMachines[MoisLivr],AC$1)</f>
        <v>0</v>
      </c>
      <c r="AD284" s="207">
        <f>SUMIFS(LstMachines[Nbre],LstMachines[Model-Spec],PrévisionBoris[[#This Row],[Spec]],LstMachines[Status],PrévisionBoris[[#This Row],[Status]],LstMachines[MoisLivr],AD$1)</f>
        <v>0</v>
      </c>
      <c r="AE284" s="207">
        <f>SUMIFS(LstMachines[Nbre],LstMachines[Model-Spec],PrévisionBoris[[#This Row],[Spec]],LstMachines[Status],PrévisionBoris[[#This Row],[Status]],LstMachines[MoisLivr],AE$1)</f>
        <v>0</v>
      </c>
      <c r="AF284" s="206">
        <f>SUMIFS(LstMachines[Nbre],LstMachines[Model-Spec],PrévisionBoris[[#This Row],[Spec]],LstMachines[Status],PrévisionBoris[[#This Row],[Status]],LstMachines[MoisLivr],AF$1)</f>
        <v>0</v>
      </c>
      <c r="AG284" s="207">
        <f>SUMIFS(LstMachines[Nbre],LstMachines[Model-Spec],PrévisionBoris[[#This Row],[Spec]],LstMachines[Status],PrévisionBoris[[#This Row],[Status]],LstMachines[MoisLivr],AG$1)</f>
        <v>0</v>
      </c>
      <c r="AH284" s="207">
        <f>SUMIFS(LstMachines[Nbre],LstMachines[Model-Spec],PrévisionBoris[[#This Row],[Spec]],LstMachines[Status],PrévisionBoris[[#This Row],[Status]],LstMachines[MoisLivr],AH$1)</f>
        <v>0</v>
      </c>
      <c r="AI284" s="206">
        <f>SUMIFS(LstMachines[Nbre],LstMachines[Model-Spec],PrévisionBoris[[#This Row],[Spec]],LstMachines[Status],PrévisionBoris[[#This Row],[Status]],LstMachines[MoisLivr],AI$1)</f>
        <v>0</v>
      </c>
      <c r="AJ284" s="207">
        <f>SUMIFS(LstMachines[Nbre],LstMachines[Model-Spec],PrévisionBoris[[#This Row],[Spec]],LstMachines[Status],PrévisionBoris[[#This Row],[Status]],LstMachines[MoisLivr],AJ$1)</f>
        <v>0</v>
      </c>
      <c r="AK284" s="207">
        <f>SUMIFS(LstMachines[Nbre],LstMachines[Model-Spec],PrévisionBoris[[#This Row],[Spec]],LstMachines[Status],PrévisionBoris[[#This Row],[Status]],LstMachines[MoisLivr],AK$1)</f>
        <v>0</v>
      </c>
      <c r="AL284" s="206">
        <f>SUMIFS(LstMachines[Nbre],LstMachines[Model-Spec],PrévisionBoris[[#This Row],[Spec]],LstMachines[Status],PrévisionBoris[[#This Row],[Status]],LstMachines[MoisLivr],AL$1)</f>
        <v>0</v>
      </c>
      <c r="AM284" s="207">
        <f>SUMIFS(LstMachines[Nbre],LstMachines[Model-Spec],PrévisionBoris[[#This Row],[Spec]],LstMachines[Status],PrévisionBoris[[#This Row],[Status]],LstMachines[MoisLivr],AM$1)</f>
        <v>0</v>
      </c>
      <c r="AN284" s="207">
        <f>SUMIFS(LstMachines[Nbre],LstMachines[Model-Spec],PrévisionBoris[[#This Row],[Spec]],LstMachines[Status],PrévisionBoris[[#This Row],[Status]],LstMachines[MoisLivr],AN$1)</f>
        <v>0</v>
      </c>
      <c r="AO284" s="206">
        <f>SUMIFS(LstMachines[Nbre],LstMachines[Model-Spec],PrévisionBoris[[#This Row],[Spec]],LstMachines[Status],PrévisionBoris[[#This Row],[Status]],LstMachines[MoisLivr],AO$1)</f>
        <v>0</v>
      </c>
      <c r="AP284" s="207">
        <f>SUMIFS(LstMachines[Nbre],LstMachines[Model-Spec],PrévisionBoris[[#This Row],[Spec]],LstMachines[Status],PrévisionBoris[[#This Row],[Status]],LstMachines[MoisLivr],AP$1)</f>
        <v>0</v>
      </c>
      <c r="AQ284" s="207">
        <f>SUMIFS(LstMachines[Nbre],LstMachines[Model-Spec],PrévisionBoris[[#This Row],[Spec]],LstMachines[Status],PrévisionBoris[[#This Row],[Status]],LstMachines[MoisLivr],AQ$1)</f>
        <v>0</v>
      </c>
      <c r="AR284" s="206">
        <f>SUMIFS(LstMachines[Nbre],LstMachines[Model-Spec],PrévisionBoris[[#This Row],[Spec]],LstMachines[Status],PrévisionBoris[[#This Row],[Status]],LstMachines[MoisLivr],AR$1)</f>
        <v>0</v>
      </c>
      <c r="AS284" s="207">
        <f>SUMIFS(LstMachines[Nbre],LstMachines[Model-Spec],PrévisionBoris[[#This Row],[Spec]],LstMachines[Status],PrévisionBoris[[#This Row],[Status]],LstMachines[MoisLivr],AS$1)</f>
        <v>0</v>
      </c>
      <c r="AT284" s="207">
        <f>SUMIFS(LstMachines[Nbre],LstMachines[Model-Spec],PrévisionBoris[[#This Row],[Spec]],LstMachines[Status],PrévisionBoris[[#This Row],[Status]],LstMachines[MoisLivr],AT$1)</f>
        <v>0</v>
      </c>
      <c r="AU284" s="206">
        <f>SUMIFS(LstMachines[Nbre],LstMachines[Model-Spec],PrévisionBoris[[#This Row],[Spec]],LstMachines[Status],PrévisionBoris[[#This Row],[Status]],LstMachines[MoisLivr],AU$1)</f>
        <v>0</v>
      </c>
      <c r="AV284" s="233">
        <f>SUMIFS(LstMachines[Nbre],LstMachines[Model-Spec],PrévisionBoris[[#This Row],[Spec]],LstMachines[Status],PrévisionBoris[[#This Row],[Status]],LstMachines[MoisLivr],AV$1)</f>
        <v>0</v>
      </c>
      <c r="AW284" s="208">
        <f>SUMIFS(LstMachines[Nbre],LstMachines[Model-Spec],PrévisionBoris[[#This Row],[Spec]],LstMachines[Status],PrévisionBoris[[#This Row],[Status]],LstMachines[MoisLivr],AW$1)</f>
        <v>0</v>
      </c>
      <c r="AX284" s="225"/>
      <c r="AY284" s="211">
        <f t="shared" si="67"/>
        <v>0</v>
      </c>
      <c r="AZ284" s="212">
        <f t="shared" si="68"/>
        <v>0</v>
      </c>
      <c r="BA284" s="212">
        <f t="shared" si="69"/>
        <v>0</v>
      </c>
      <c r="BB284" s="213">
        <f t="shared" si="70"/>
        <v>0</v>
      </c>
      <c r="BC284" s="225">
        <f t="shared" si="71"/>
        <v>0</v>
      </c>
      <c r="BD284" s="211">
        <f t="shared" si="72"/>
        <v>1</v>
      </c>
      <c r="BE284" s="212">
        <f t="shared" si="73"/>
        <v>0</v>
      </c>
      <c r="BF284" s="212">
        <f t="shared" si="74"/>
        <v>0</v>
      </c>
      <c r="BG284" s="213">
        <f t="shared" si="75"/>
        <v>0</v>
      </c>
      <c r="BH284" s="225">
        <f t="shared" si="76"/>
        <v>1</v>
      </c>
      <c r="BI284" s="214">
        <f t="shared" si="77"/>
        <v>0</v>
      </c>
      <c r="BJ284" s="215">
        <f t="shared" si="78"/>
        <v>0</v>
      </c>
      <c r="BK284" s="215">
        <f t="shared" si="79"/>
        <v>0</v>
      </c>
      <c r="BL284" s="216">
        <f t="shared" si="80"/>
        <v>0</v>
      </c>
      <c r="BM284" s="225">
        <f t="shared" si="81"/>
        <v>0</v>
      </c>
      <c r="BN284" s="225"/>
      <c r="BO284" s="234"/>
      <c r="BP284" s="218">
        <f t="shared" si="82"/>
        <v>1</v>
      </c>
    </row>
    <row r="285" spans="1:68">
      <c r="A285" s="170">
        <v>278</v>
      </c>
      <c r="B285" s="170" t="s">
        <v>85</v>
      </c>
      <c r="C285" s="200">
        <v>250</v>
      </c>
      <c r="D285" s="170" t="s">
        <v>207</v>
      </c>
      <c r="E285" s="170" t="s">
        <v>211</v>
      </c>
      <c r="F285" s="200">
        <f>VLOOKUP(PrévisionBoris[[#This Row],[Spec]],TabModelSpecs[[ModelSpec]:[Price]],2,FALSE)</f>
        <v>150</v>
      </c>
      <c r="G285" s="170" t="s">
        <v>462</v>
      </c>
      <c r="H285" s="219">
        <f>SUMIFS(LstMachines[Nbre],LstMachines[Model-Spec],PrévisionBoris[[#This Row],[Spec]],LstMachines[Status],PrévisionBoris[[#This Row],[Status]],LstMachines[MoisLivr],H$1)</f>
        <v>0</v>
      </c>
      <c r="I285" s="220">
        <f>SUMIFS(LstMachines[Nbre],LstMachines[Model-Spec],PrévisionBoris[[#This Row],[Spec]],LstMachines[Status],PrévisionBoris[[#This Row],[Status]],LstMachines[MoisLivr],I$1)</f>
        <v>0</v>
      </c>
      <c r="J285" s="221">
        <f>SUMIFS(LstMachines[Nbre],LstMachines[Model-Spec],PrévisionBoris[[#This Row],[Spec]],LstMachines[Status],PrévisionBoris[[#This Row],[Status]],LstMachines[MoisLivr],J$1)</f>
        <v>0</v>
      </c>
      <c r="K285" s="219">
        <f>SUMIFS(LstMachines[Nbre],LstMachines[Model-Spec],PrévisionBoris[[#This Row],[Spec]],LstMachines[Status],PrévisionBoris[[#This Row],[Status]],LstMachines[MoisLivr],K$1)</f>
        <v>0</v>
      </c>
      <c r="L285" s="220">
        <f>SUMIFS(LstMachines[Nbre],LstMachines[Model-Spec],PrévisionBoris[[#This Row],[Spec]],LstMachines[Status],PrévisionBoris[[#This Row],[Status]],LstMachines[MoisLivr],L$1)</f>
        <v>0</v>
      </c>
      <c r="M285" s="221">
        <f>SUMIFS(LstMachines[Nbre],LstMachines[Model-Spec],PrévisionBoris[[#This Row],[Spec]],LstMachines[Status],PrévisionBoris[[#This Row],[Status]],LstMachines[MoisLivr],M$1)</f>
        <v>0</v>
      </c>
      <c r="N285" s="219">
        <f>SUMIFS(LstMachines[Nbre],LstMachines[Model-Spec],PrévisionBoris[[#This Row],[Spec]],LstMachines[Status],PrévisionBoris[[#This Row],[Status]],LstMachines[MoisLivr],N$1)</f>
        <v>0</v>
      </c>
      <c r="O285" s="220">
        <f>SUMIFS(LstMachines[Nbre],LstMachines[Model-Spec],PrévisionBoris[[#This Row],[Spec]],LstMachines[Status],PrévisionBoris[[#This Row],[Status]],LstMachines[MoisLivr],O$1)</f>
        <v>0</v>
      </c>
      <c r="P285" s="221">
        <f>SUMIFS(LstMachines[Nbre],LstMachines[Model-Spec],PrévisionBoris[[#This Row],[Spec]],LstMachines[Status],PrévisionBoris[[#This Row],[Status]],LstMachines[MoisLivr],P$1)</f>
        <v>0</v>
      </c>
      <c r="Q285" s="222">
        <f>SUMIFS(LstMachines[Nbre],LstMachines[Model-Spec],PrévisionBoris[[#This Row],[Spec]],LstMachines[Status],PrévisionBoris[[#This Row],[Status]],LstMachines[MoisLivr],Q$1)</f>
        <v>0</v>
      </c>
      <c r="R285" s="220">
        <f>SUMIFS(LstMachines[Nbre],LstMachines[Model-Spec],PrévisionBoris[[#This Row],[Spec]],LstMachines[Status],PrévisionBoris[[#This Row],[Status]],LstMachines[MoisLivr],R$1)</f>
        <v>0</v>
      </c>
      <c r="S285" s="220">
        <f>SUMIFS(LstMachines[Nbre],LstMachines[Model-Spec],PrévisionBoris[[#This Row],[Spec]],LstMachines[Status],PrévisionBoris[[#This Row],[Status]],LstMachines[MoisLivr],S$1)</f>
        <v>0</v>
      </c>
      <c r="T285" s="219">
        <f>SUMIFS(LstMachines[Nbre],LstMachines[Model-Spec],PrévisionBoris[[#This Row],[Spec]],LstMachines[Status],PrévisionBoris[[#This Row],[Status]],LstMachines[MoisLivr],T$1)</f>
        <v>0</v>
      </c>
      <c r="U285" s="220">
        <f>SUMIFS(LstMachines[Nbre],LstMachines[Model-Spec],PrévisionBoris[[#This Row],[Spec]],LstMachines[Status],PrévisionBoris[[#This Row],[Status]],LstMachines[MoisLivr],U$1)</f>
        <v>0</v>
      </c>
      <c r="V285" s="220">
        <f>SUMIFS(LstMachines[Nbre],LstMachines[Model-Spec],PrévisionBoris[[#This Row],[Spec]],LstMachines[Status],PrévisionBoris[[#This Row],[Status]],LstMachines[MoisLivr],V$1)</f>
        <v>0</v>
      </c>
      <c r="W285" s="219">
        <f>SUMIFS(LstMachines[Nbre],LstMachines[Model-Spec],PrévisionBoris[[#This Row],[Spec]],LstMachines[Status],PrévisionBoris[[#This Row],[Status]],LstMachines[MoisLivr],W$1)</f>
        <v>0</v>
      </c>
      <c r="X285" s="220">
        <f>SUMIFS(LstMachines[Nbre],LstMachines[Model-Spec],PrévisionBoris[[#This Row],[Spec]],LstMachines[Status],PrévisionBoris[[#This Row],[Status]],LstMachines[MoisLivr],X$1)</f>
        <v>0</v>
      </c>
      <c r="Y285" s="220">
        <f>SUMIFS(LstMachines[Nbre],LstMachines[Model-Spec],PrévisionBoris[[#This Row],[Spec]],LstMachines[Status],PrévisionBoris[[#This Row],[Status]],LstMachines[MoisLivr],Y$1)</f>
        <v>0</v>
      </c>
      <c r="Z285" s="219">
        <f>SUMIFS(LstMachines[Nbre],LstMachines[Model-Spec],PrévisionBoris[[#This Row],[Spec]],LstMachines[Status],PrévisionBoris[[#This Row],[Status]],LstMachines[MoisLivr],Z$1)</f>
        <v>0</v>
      </c>
      <c r="AA285" s="220">
        <f>SUMIFS(LstMachines[Nbre],LstMachines[Model-Spec],PrévisionBoris[[#This Row],[Spec]],LstMachines[Status],PrévisionBoris[[#This Row],[Status]],LstMachines[MoisLivr],AA$1)</f>
        <v>0</v>
      </c>
      <c r="AB285" s="220">
        <f>SUMIFS(LstMachines[Nbre],LstMachines[Model-Spec],PrévisionBoris[[#This Row],[Spec]],LstMachines[Status],PrévisionBoris[[#This Row],[Status]],LstMachines[MoisLivr],AB$1)</f>
        <v>0</v>
      </c>
      <c r="AC285" s="219">
        <f>SUMIFS(LstMachines[Nbre],LstMachines[Model-Spec],PrévisionBoris[[#This Row],[Spec]],LstMachines[Status],PrévisionBoris[[#This Row],[Status]],LstMachines[MoisLivr],AC$1)</f>
        <v>0</v>
      </c>
      <c r="AD285" s="220">
        <f>SUMIFS(LstMachines[Nbre],LstMachines[Model-Spec],PrévisionBoris[[#This Row],[Spec]],LstMachines[Status],PrévisionBoris[[#This Row],[Status]],LstMachines[MoisLivr],AD$1)</f>
        <v>0</v>
      </c>
      <c r="AE285" s="220">
        <f>SUMIFS(LstMachines[Nbre],LstMachines[Model-Spec],PrévisionBoris[[#This Row],[Spec]],LstMachines[Status],PrévisionBoris[[#This Row],[Status]],LstMachines[MoisLivr],AE$1)</f>
        <v>0</v>
      </c>
      <c r="AF285" s="219">
        <f>SUMIFS(LstMachines[Nbre],LstMachines[Model-Spec],PrévisionBoris[[#This Row],[Spec]],LstMachines[Status],PrévisionBoris[[#This Row],[Status]],LstMachines[MoisLivr],AF$1)</f>
        <v>0</v>
      </c>
      <c r="AG285" s="220">
        <f>SUMIFS(LstMachines[Nbre],LstMachines[Model-Spec],PrévisionBoris[[#This Row],[Spec]],LstMachines[Status],PrévisionBoris[[#This Row],[Status]],LstMachines[MoisLivr],AG$1)</f>
        <v>0</v>
      </c>
      <c r="AH285" s="220">
        <f>SUMIFS(LstMachines[Nbre],LstMachines[Model-Spec],PrévisionBoris[[#This Row],[Spec]],LstMachines[Status],PrévisionBoris[[#This Row],[Status]],LstMachines[MoisLivr],AH$1)</f>
        <v>0</v>
      </c>
      <c r="AI285" s="219">
        <f>SUMIFS(LstMachines[Nbre],LstMachines[Model-Spec],PrévisionBoris[[#This Row],[Spec]],LstMachines[Status],PrévisionBoris[[#This Row],[Status]],LstMachines[MoisLivr],AI$1)</f>
        <v>0</v>
      </c>
      <c r="AJ285" s="220">
        <f>SUMIFS(LstMachines[Nbre],LstMachines[Model-Spec],PrévisionBoris[[#This Row],[Spec]],LstMachines[Status],PrévisionBoris[[#This Row],[Status]],LstMachines[MoisLivr],AJ$1)</f>
        <v>0</v>
      </c>
      <c r="AK285" s="220">
        <f>SUMIFS(LstMachines[Nbre],LstMachines[Model-Spec],PrévisionBoris[[#This Row],[Spec]],LstMachines[Status],PrévisionBoris[[#This Row],[Status]],LstMachines[MoisLivr],AK$1)</f>
        <v>0</v>
      </c>
      <c r="AL285" s="219">
        <f>SUMIFS(LstMachines[Nbre],LstMachines[Model-Spec],PrévisionBoris[[#This Row],[Spec]],LstMachines[Status],PrévisionBoris[[#This Row],[Status]],LstMachines[MoisLivr],AL$1)</f>
        <v>0</v>
      </c>
      <c r="AM285" s="220">
        <f>SUMIFS(LstMachines[Nbre],LstMachines[Model-Spec],PrévisionBoris[[#This Row],[Spec]],LstMachines[Status],PrévisionBoris[[#This Row],[Status]],LstMachines[MoisLivr],AM$1)</f>
        <v>0</v>
      </c>
      <c r="AN285" s="220">
        <f>SUMIFS(LstMachines[Nbre],LstMachines[Model-Spec],PrévisionBoris[[#This Row],[Spec]],LstMachines[Status],PrévisionBoris[[#This Row],[Status]],LstMachines[MoisLivr],AN$1)</f>
        <v>0</v>
      </c>
      <c r="AO285" s="219">
        <f>SUMIFS(LstMachines[Nbre],LstMachines[Model-Spec],PrévisionBoris[[#This Row],[Spec]],LstMachines[Status],PrévisionBoris[[#This Row],[Status]],LstMachines[MoisLivr],AO$1)</f>
        <v>0</v>
      </c>
      <c r="AP285" s="220">
        <f>SUMIFS(LstMachines[Nbre],LstMachines[Model-Spec],PrévisionBoris[[#This Row],[Spec]],LstMachines[Status],PrévisionBoris[[#This Row],[Status]],LstMachines[MoisLivr],AP$1)</f>
        <v>0</v>
      </c>
      <c r="AQ285" s="220">
        <f>SUMIFS(LstMachines[Nbre],LstMachines[Model-Spec],PrévisionBoris[[#This Row],[Spec]],LstMachines[Status],PrévisionBoris[[#This Row],[Status]],LstMachines[MoisLivr],AQ$1)</f>
        <v>0</v>
      </c>
      <c r="AR285" s="219">
        <f>SUMIFS(LstMachines[Nbre],LstMachines[Model-Spec],PrévisionBoris[[#This Row],[Spec]],LstMachines[Status],PrévisionBoris[[#This Row],[Status]],LstMachines[MoisLivr],AR$1)</f>
        <v>0</v>
      </c>
      <c r="AS285" s="220">
        <f>SUMIFS(LstMachines[Nbre],LstMachines[Model-Spec],PrévisionBoris[[#This Row],[Spec]],LstMachines[Status],PrévisionBoris[[#This Row],[Status]],LstMachines[MoisLivr],AS$1)</f>
        <v>0</v>
      </c>
      <c r="AT285" s="220">
        <f>SUMIFS(LstMachines[Nbre],LstMachines[Model-Spec],PrévisionBoris[[#This Row],[Spec]],LstMachines[Status],PrévisionBoris[[#This Row],[Status]],LstMachines[MoisLivr],AT$1)</f>
        <v>0</v>
      </c>
      <c r="AU285" s="219">
        <f>SUMIFS(LstMachines[Nbre],LstMachines[Model-Spec],PrévisionBoris[[#This Row],[Spec]],LstMachines[Status],PrévisionBoris[[#This Row],[Status]],LstMachines[MoisLivr],AU$1)</f>
        <v>0</v>
      </c>
      <c r="AV285" s="223">
        <f>SUMIFS(LstMachines[Nbre],LstMachines[Model-Spec],PrévisionBoris[[#This Row],[Spec]],LstMachines[Status],PrévisionBoris[[#This Row],[Status]],LstMachines[MoisLivr],AV$1)</f>
        <v>0</v>
      </c>
      <c r="AW285" s="224">
        <f>SUMIFS(LstMachines[Nbre],LstMachines[Model-Spec],PrévisionBoris[[#This Row],[Spec]],LstMachines[Status],PrévisionBoris[[#This Row],[Status]],LstMachines[MoisLivr],AW$1)</f>
        <v>0</v>
      </c>
      <c r="AX285" s="210"/>
      <c r="AY285" s="211">
        <f t="shared" si="67"/>
        <v>0</v>
      </c>
      <c r="AZ285" s="212">
        <f t="shared" si="68"/>
        <v>0</v>
      </c>
      <c r="BA285" s="212">
        <f t="shared" si="69"/>
        <v>0</v>
      </c>
      <c r="BB285" s="213">
        <f t="shared" si="70"/>
        <v>0</v>
      </c>
      <c r="BC285" s="225">
        <f t="shared" si="71"/>
        <v>0</v>
      </c>
      <c r="BD285" s="211">
        <f t="shared" si="72"/>
        <v>0</v>
      </c>
      <c r="BE285" s="212">
        <f t="shared" si="73"/>
        <v>0</v>
      </c>
      <c r="BF285" s="212">
        <f t="shared" si="74"/>
        <v>0</v>
      </c>
      <c r="BG285" s="213">
        <f t="shared" si="75"/>
        <v>0</v>
      </c>
      <c r="BH285" s="225">
        <f t="shared" si="76"/>
        <v>0</v>
      </c>
      <c r="BI285" s="214">
        <f t="shared" si="77"/>
        <v>0</v>
      </c>
      <c r="BJ285" s="215">
        <f t="shared" si="78"/>
        <v>0</v>
      </c>
      <c r="BK285" s="215">
        <f t="shared" si="79"/>
        <v>0</v>
      </c>
      <c r="BL285" s="216">
        <f t="shared" si="80"/>
        <v>0</v>
      </c>
      <c r="BM285" s="225">
        <f t="shared" si="81"/>
        <v>0</v>
      </c>
      <c r="BN285" s="225"/>
      <c r="BO285" s="217"/>
      <c r="BP285" s="218">
        <f t="shared" si="82"/>
        <v>0</v>
      </c>
    </row>
    <row r="286" spans="1:68">
      <c r="A286" s="171">
        <v>279</v>
      </c>
      <c r="B286" s="171" t="s">
        <v>85</v>
      </c>
      <c r="C286" s="201">
        <v>250</v>
      </c>
      <c r="D286" s="171" t="s">
        <v>207</v>
      </c>
      <c r="E286" s="171" t="s">
        <v>211</v>
      </c>
      <c r="F286" s="201">
        <f>VLOOKUP(PrévisionBoris[[#This Row],[Spec]],TabModelSpecs[[ModelSpec]:[Price]],2,FALSE)</f>
        <v>150</v>
      </c>
      <c r="G286" s="171" t="s">
        <v>463</v>
      </c>
      <c r="H286" s="226">
        <f>SUMIFS(LstMachines[Nbre],LstMachines[Model-Spec],PrévisionBoris[[#This Row],[Spec]],LstMachines[Status],PrévisionBoris[[#This Row],[Status]],LstMachines[MoisLivr],H$1)</f>
        <v>0</v>
      </c>
      <c r="I286" s="227">
        <f>SUMIFS(LstMachines[Nbre],LstMachines[Model-Spec],PrévisionBoris[[#This Row],[Spec]],LstMachines[Status],PrévisionBoris[[#This Row],[Status]],LstMachines[MoisLivr],I$1)</f>
        <v>0</v>
      </c>
      <c r="J286" s="228">
        <f>SUMIFS(LstMachines[Nbre],LstMachines[Model-Spec],PrévisionBoris[[#This Row],[Spec]],LstMachines[Status],PrévisionBoris[[#This Row],[Status]],LstMachines[MoisLivr],J$1)</f>
        <v>0</v>
      </c>
      <c r="K286" s="226">
        <f>SUMIFS(LstMachines[Nbre],LstMachines[Model-Spec],PrévisionBoris[[#This Row],[Spec]],LstMachines[Status],PrévisionBoris[[#This Row],[Status]],LstMachines[MoisLivr],K$1)</f>
        <v>0</v>
      </c>
      <c r="L286" s="227">
        <f>SUMIFS(LstMachines[Nbre],LstMachines[Model-Spec],PrévisionBoris[[#This Row],[Spec]],LstMachines[Status],PrévisionBoris[[#This Row],[Status]],LstMachines[MoisLivr],L$1)</f>
        <v>0</v>
      </c>
      <c r="M286" s="228">
        <f>SUMIFS(LstMachines[Nbre],LstMachines[Model-Spec],PrévisionBoris[[#This Row],[Spec]],LstMachines[Status],PrévisionBoris[[#This Row],[Status]],LstMachines[MoisLivr],M$1)</f>
        <v>0</v>
      </c>
      <c r="N286" s="226">
        <f>SUMIFS(LstMachines[Nbre],LstMachines[Model-Spec],PrévisionBoris[[#This Row],[Spec]],LstMachines[Status],PrévisionBoris[[#This Row],[Status]],LstMachines[MoisLivr],N$1)</f>
        <v>0</v>
      </c>
      <c r="O286" s="227">
        <f>SUMIFS(LstMachines[Nbre],LstMachines[Model-Spec],PrévisionBoris[[#This Row],[Spec]],LstMachines[Status],PrévisionBoris[[#This Row],[Status]],LstMachines[MoisLivr],O$1)</f>
        <v>0</v>
      </c>
      <c r="P286" s="228">
        <f>SUMIFS(LstMachines[Nbre],LstMachines[Model-Spec],PrévisionBoris[[#This Row],[Spec]],LstMachines[Status],PrévisionBoris[[#This Row],[Status]],LstMachines[MoisLivr],P$1)</f>
        <v>0</v>
      </c>
      <c r="Q286" s="229">
        <f>SUMIFS(LstMachines[Nbre],LstMachines[Model-Spec],PrévisionBoris[[#This Row],[Spec]],LstMachines[Status],PrévisionBoris[[#This Row],[Status]],LstMachines[MoisLivr],Q$1)</f>
        <v>0</v>
      </c>
      <c r="R286" s="227">
        <f>SUMIFS(LstMachines[Nbre],LstMachines[Model-Spec],PrévisionBoris[[#This Row],[Spec]],LstMachines[Status],PrévisionBoris[[#This Row],[Status]],LstMachines[MoisLivr],R$1)</f>
        <v>0</v>
      </c>
      <c r="S286" s="227">
        <f>SUMIFS(LstMachines[Nbre],LstMachines[Model-Spec],PrévisionBoris[[#This Row],[Spec]],LstMachines[Status],PrévisionBoris[[#This Row],[Status]],LstMachines[MoisLivr],S$1)</f>
        <v>0</v>
      </c>
      <c r="T286" s="226">
        <f>SUMIFS(LstMachines[Nbre],LstMachines[Model-Spec],PrévisionBoris[[#This Row],[Spec]],LstMachines[Status],PrévisionBoris[[#This Row],[Status]],LstMachines[MoisLivr],T$1)</f>
        <v>0</v>
      </c>
      <c r="U286" s="227">
        <f>SUMIFS(LstMachines[Nbre],LstMachines[Model-Spec],PrévisionBoris[[#This Row],[Spec]],LstMachines[Status],PrévisionBoris[[#This Row],[Status]],LstMachines[MoisLivr],U$1)</f>
        <v>0</v>
      </c>
      <c r="V286" s="227">
        <f>SUMIFS(LstMachines[Nbre],LstMachines[Model-Spec],PrévisionBoris[[#This Row],[Spec]],LstMachines[Status],PrévisionBoris[[#This Row],[Status]],LstMachines[MoisLivr],V$1)</f>
        <v>0</v>
      </c>
      <c r="W286" s="226">
        <f>SUMIFS(LstMachines[Nbre],LstMachines[Model-Spec],PrévisionBoris[[#This Row],[Spec]],LstMachines[Status],PrévisionBoris[[#This Row],[Status]],LstMachines[MoisLivr],W$1)</f>
        <v>0</v>
      </c>
      <c r="X286" s="227">
        <f>SUMIFS(LstMachines[Nbre],LstMachines[Model-Spec],PrévisionBoris[[#This Row],[Spec]],LstMachines[Status],PrévisionBoris[[#This Row],[Status]],LstMachines[MoisLivr],X$1)</f>
        <v>0</v>
      </c>
      <c r="Y286" s="227">
        <f>SUMIFS(LstMachines[Nbre],LstMachines[Model-Spec],PrévisionBoris[[#This Row],[Spec]],LstMachines[Status],PrévisionBoris[[#This Row],[Status]],LstMachines[MoisLivr],Y$1)</f>
        <v>0</v>
      </c>
      <c r="Z286" s="226">
        <f>SUMIFS(LstMachines[Nbre],LstMachines[Model-Spec],PrévisionBoris[[#This Row],[Spec]],LstMachines[Status],PrévisionBoris[[#This Row],[Status]],LstMachines[MoisLivr],Z$1)</f>
        <v>0</v>
      </c>
      <c r="AA286" s="227">
        <f>SUMIFS(LstMachines[Nbre],LstMachines[Model-Spec],PrévisionBoris[[#This Row],[Spec]],LstMachines[Status],PrévisionBoris[[#This Row],[Status]],LstMachines[MoisLivr],AA$1)</f>
        <v>0</v>
      </c>
      <c r="AB286" s="227">
        <f>SUMIFS(LstMachines[Nbre],LstMachines[Model-Spec],PrévisionBoris[[#This Row],[Spec]],LstMachines[Status],PrévisionBoris[[#This Row],[Status]],LstMachines[MoisLivr],AB$1)</f>
        <v>0</v>
      </c>
      <c r="AC286" s="226">
        <f>SUMIFS(LstMachines[Nbre],LstMachines[Model-Spec],PrévisionBoris[[#This Row],[Spec]],LstMachines[Status],PrévisionBoris[[#This Row],[Status]],LstMachines[MoisLivr],AC$1)</f>
        <v>0</v>
      </c>
      <c r="AD286" s="227">
        <f>SUMIFS(LstMachines[Nbre],LstMachines[Model-Spec],PrévisionBoris[[#This Row],[Spec]],LstMachines[Status],PrévisionBoris[[#This Row],[Status]],LstMachines[MoisLivr],AD$1)</f>
        <v>0</v>
      </c>
      <c r="AE286" s="227">
        <f>SUMIFS(LstMachines[Nbre],LstMachines[Model-Spec],PrévisionBoris[[#This Row],[Spec]],LstMachines[Status],PrévisionBoris[[#This Row],[Status]],LstMachines[MoisLivr],AE$1)</f>
        <v>0</v>
      </c>
      <c r="AF286" s="226">
        <f>SUMIFS(LstMachines[Nbre],LstMachines[Model-Spec],PrévisionBoris[[#This Row],[Spec]],LstMachines[Status],PrévisionBoris[[#This Row],[Status]],LstMachines[MoisLivr],AF$1)</f>
        <v>0</v>
      </c>
      <c r="AG286" s="227">
        <f>SUMIFS(LstMachines[Nbre],LstMachines[Model-Spec],PrévisionBoris[[#This Row],[Spec]],LstMachines[Status],PrévisionBoris[[#This Row],[Status]],LstMachines[MoisLivr],AG$1)</f>
        <v>0</v>
      </c>
      <c r="AH286" s="227">
        <f>SUMIFS(LstMachines[Nbre],LstMachines[Model-Spec],PrévisionBoris[[#This Row],[Spec]],LstMachines[Status],PrévisionBoris[[#This Row],[Status]],LstMachines[MoisLivr],AH$1)</f>
        <v>0</v>
      </c>
      <c r="AI286" s="226">
        <f>SUMIFS(LstMachines[Nbre],LstMachines[Model-Spec],PrévisionBoris[[#This Row],[Spec]],LstMachines[Status],PrévisionBoris[[#This Row],[Status]],LstMachines[MoisLivr],AI$1)</f>
        <v>0</v>
      </c>
      <c r="AJ286" s="227">
        <f>SUMIFS(LstMachines[Nbre],LstMachines[Model-Spec],PrévisionBoris[[#This Row],[Spec]],LstMachines[Status],PrévisionBoris[[#This Row],[Status]],LstMachines[MoisLivr],AJ$1)</f>
        <v>0</v>
      </c>
      <c r="AK286" s="227">
        <f>SUMIFS(LstMachines[Nbre],LstMachines[Model-Spec],PrévisionBoris[[#This Row],[Spec]],LstMachines[Status],PrévisionBoris[[#This Row],[Status]],LstMachines[MoisLivr],AK$1)</f>
        <v>0</v>
      </c>
      <c r="AL286" s="226">
        <f>SUMIFS(LstMachines[Nbre],LstMachines[Model-Spec],PrévisionBoris[[#This Row],[Spec]],LstMachines[Status],PrévisionBoris[[#This Row],[Status]],LstMachines[MoisLivr],AL$1)</f>
        <v>0</v>
      </c>
      <c r="AM286" s="227">
        <f>SUMIFS(LstMachines[Nbre],LstMachines[Model-Spec],PrévisionBoris[[#This Row],[Spec]],LstMachines[Status],PrévisionBoris[[#This Row],[Status]],LstMachines[MoisLivr],AM$1)</f>
        <v>0</v>
      </c>
      <c r="AN286" s="227">
        <f>SUMIFS(LstMachines[Nbre],LstMachines[Model-Spec],PrévisionBoris[[#This Row],[Spec]],LstMachines[Status],PrévisionBoris[[#This Row],[Status]],LstMachines[MoisLivr],AN$1)</f>
        <v>0</v>
      </c>
      <c r="AO286" s="226">
        <f>SUMIFS(LstMachines[Nbre],LstMachines[Model-Spec],PrévisionBoris[[#This Row],[Spec]],LstMachines[Status],PrévisionBoris[[#This Row],[Status]],LstMachines[MoisLivr],AO$1)</f>
        <v>0</v>
      </c>
      <c r="AP286" s="227">
        <f>SUMIFS(LstMachines[Nbre],LstMachines[Model-Spec],PrévisionBoris[[#This Row],[Spec]],LstMachines[Status],PrévisionBoris[[#This Row],[Status]],LstMachines[MoisLivr],AP$1)</f>
        <v>0</v>
      </c>
      <c r="AQ286" s="227">
        <f>SUMIFS(LstMachines[Nbre],LstMachines[Model-Spec],PrévisionBoris[[#This Row],[Spec]],LstMachines[Status],PrévisionBoris[[#This Row],[Status]],LstMachines[MoisLivr],AQ$1)</f>
        <v>0</v>
      </c>
      <c r="AR286" s="226">
        <f>SUMIFS(LstMachines[Nbre],LstMachines[Model-Spec],PrévisionBoris[[#This Row],[Spec]],LstMachines[Status],PrévisionBoris[[#This Row],[Status]],LstMachines[MoisLivr],AR$1)</f>
        <v>0</v>
      </c>
      <c r="AS286" s="227">
        <f>SUMIFS(LstMachines[Nbre],LstMachines[Model-Spec],PrévisionBoris[[#This Row],[Spec]],LstMachines[Status],PrévisionBoris[[#This Row],[Status]],LstMachines[MoisLivr],AS$1)</f>
        <v>0</v>
      </c>
      <c r="AT286" s="227">
        <f>SUMIFS(LstMachines[Nbre],LstMachines[Model-Spec],PrévisionBoris[[#This Row],[Spec]],LstMachines[Status],PrévisionBoris[[#This Row],[Status]],LstMachines[MoisLivr],AT$1)</f>
        <v>0</v>
      </c>
      <c r="AU286" s="226">
        <f>SUMIFS(LstMachines[Nbre],LstMachines[Model-Spec],PrévisionBoris[[#This Row],[Spec]],LstMachines[Status],PrévisionBoris[[#This Row],[Status]],LstMachines[MoisLivr],AU$1)</f>
        <v>0</v>
      </c>
      <c r="AV286" s="230">
        <f>SUMIFS(LstMachines[Nbre],LstMachines[Model-Spec],PrévisionBoris[[#This Row],[Spec]],LstMachines[Status],PrévisionBoris[[#This Row],[Status]],LstMachines[MoisLivr],AV$1)</f>
        <v>0</v>
      </c>
      <c r="AW286" s="231">
        <f>SUMIFS(LstMachines[Nbre],LstMachines[Model-Spec],PrévisionBoris[[#This Row],[Spec]],LstMachines[Status],PrévisionBoris[[#This Row],[Status]],LstMachines[MoisLivr],AW$1)</f>
        <v>0</v>
      </c>
      <c r="AX286" s="232"/>
      <c r="AY286" s="211">
        <f t="shared" si="67"/>
        <v>0</v>
      </c>
      <c r="AZ286" s="212">
        <f t="shared" si="68"/>
        <v>0</v>
      </c>
      <c r="BA286" s="212">
        <f t="shared" si="69"/>
        <v>0</v>
      </c>
      <c r="BB286" s="213">
        <f t="shared" si="70"/>
        <v>0</v>
      </c>
      <c r="BC286" s="225">
        <f t="shared" si="71"/>
        <v>0</v>
      </c>
      <c r="BD286" s="211">
        <f t="shared" si="72"/>
        <v>0</v>
      </c>
      <c r="BE286" s="212">
        <f t="shared" si="73"/>
        <v>0</v>
      </c>
      <c r="BF286" s="212">
        <f t="shared" si="74"/>
        <v>0</v>
      </c>
      <c r="BG286" s="213">
        <f t="shared" si="75"/>
        <v>0</v>
      </c>
      <c r="BH286" s="225">
        <f t="shared" si="76"/>
        <v>0</v>
      </c>
      <c r="BI286" s="214">
        <f t="shared" si="77"/>
        <v>0</v>
      </c>
      <c r="BJ286" s="215">
        <f t="shared" si="78"/>
        <v>0</v>
      </c>
      <c r="BK286" s="215">
        <f t="shared" si="79"/>
        <v>0</v>
      </c>
      <c r="BL286" s="216">
        <f t="shared" si="80"/>
        <v>0</v>
      </c>
      <c r="BM286" s="225">
        <f t="shared" si="81"/>
        <v>0</v>
      </c>
      <c r="BN286" s="225"/>
      <c r="BO286" s="217"/>
      <c r="BP286" s="218">
        <f t="shared" si="82"/>
        <v>0</v>
      </c>
    </row>
    <row r="287" spans="1:68">
      <c r="A287" s="172">
        <v>280</v>
      </c>
      <c r="B287" s="172" t="s">
        <v>85</v>
      </c>
      <c r="C287" s="202">
        <v>300</v>
      </c>
      <c r="D287" s="172" t="s">
        <v>212</v>
      </c>
      <c r="E287" s="172" t="s">
        <v>213</v>
      </c>
      <c r="F287" s="202">
        <f>VLOOKUP(PrévisionBoris[[#This Row],[Spec]],TabModelSpecs[[ModelSpec]:[Price]],2,FALSE)</f>
        <v>175</v>
      </c>
      <c r="G287" s="172" t="s">
        <v>461</v>
      </c>
      <c r="H287" s="206">
        <f>SUMIFS(LstMachines[Nbre],LstMachines[Model-Spec],PrévisionBoris[[#This Row],[Spec]],LstMachines[Status],PrévisionBoris[[#This Row],[Status]],LstMachines[MoisLivr],H$1)</f>
        <v>0</v>
      </c>
      <c r="I287" s="207">
        <f>SUMIFS(LstMachines[Nbre],LstMachines[Model-Spec],PrévisionBoris[[#This Row],[Spec]],LstMachines[Status],PrévisionBoris[[#This Row],[Status]],LstMachines[MoisLivr],I$1)</f>
        <v>0</v>
      </c>
      <c r="J287" s="208">
        <f>SUMIFS(LstMachines[Nbre],LstMachines[Model-Spec],PrévisionBoris[[#This Row],[Spec]],LstMachines[Status],PrévisionBoris[[#This Row],[Status]],LstMachines[MoisLivr],J$1)</f>
        <v>0</v>
      </c>
      <c r="K287" s="206">
        <f>SUMIFS(LstMachines[Nbre],LstMachines[Model-Spec],PrévisionBoris[[#This Row],[Spec]],LstMachines[Status],PrévisionBoris[[#This Row],[Status]],LstMachines[MoisLivr],K$1)</f>
        <v>0</v>
      </c>
      <c r="L287" s="207">
        <f>SUMIFS(LstMachines[Nbre],LstMachines[Model-Spec],PrévisionBoris[[#This Row],[Spec]],LstMachines[Status],PrévisionBoris[[#This Row],[Status]],LstMachines[MoisLivr],L$1)</f>
        <v>0</v>
      </c>
      <c r="M287" s="208">
        <f>SUMIFS(LstMachines[Nbre],LstMachines[Model-Spec],PrévisionBoris[[#This Row],[Spec]],LstMachines[Status],PrévisionBoris[[#This Row],[Status]],LstMachines[MoisLivr],M$1)</f>
        <v>0</v>
      </c>
      <c r="N287" s="206">
        <f>SUMIFS(LstMachines[Nbre],LstMachines[Model-Spec],PrévisionBoris[[#This Row],[Spec]],LstMachines[Status],PrévisionBoris[[#This Row],[Status]],LstMachines[MoisLivr],N$1)</f>
        <v>0</v>
      </c>
      <c r="O287" s="207">
        <f>SUMIFS(LstMachines[Nbre],LstMachines[Model-Spec],PrévisionBoris[[#This Row],[Spec]],LstMachines[Status],PrévisionBoris[[#This Row],[Status]],LstMachines[MoisLivr],O$1)</f>
        <v>0</v>
      </c>
      <c r="P287" s="208">
        <f>SUMIFS(LstMachines[Nbre],LstMachines[Model-Spec],PrévisionBoris[[#This Row],[Spec]],LstMachines[Status],PrévisionBoris[[#This Row],[Status]],LstMachines[MoisLivr],P$1)</f>
        <v>0</v>
      </c>
      <c r="Q287" s="209">
        <f>SUMIFS(LstMachines[Nbre],LstMachines[Model-Spec],PrévisionBoris[[#This Row],[Spec]],LstMachines[Status],PrévisionBoris[[#This Row],[Status]],LstMachines[MoisLivr],Q$1)</f>
        <v>0</v>
      </c>
      <c r="R287" s="207">
        <f>SUMIFS(LstMachines[Nbre],LstMachines[Model-Spec],PrévisionBoris[[#This Row],[Spec]],LstMachines[Status],PrévisionBoris[[#This Row],[Status]],LstMachines[MoisLivr],R$1)</f>
        <v>0</v>
      </c>
      <c r="S287" s="207">
        <f>SUMIFS(LstMachines[Nbre],LstMachines[Model-Spec],PrévisionBoris[[#This Row],[Spec]],LstMachines[Status],PrévisionBoris[[#This Row],[Status]],LstMachines[MoisLivr],S$1)</f>
        <v>0</v>
      </c>
      <c r="T287" s="206">
        <f>SUMIFS(LstMachines[Nbre],LstMachines[Model-Spec],PrévisionBoris[[#This Row],[Spec]],LstMachines[Status],PrévisionBoris[[#This Row],[Status]],LstMachines[MoisLivr],T$1)</f>
        <v>0</v>
      </c>
      <c r="U287" s="207">
        <f>SUMIFS(LstMachines[Nbre],LstMachines[Model-Spec],PrévisionBoris[[#This Row],[Spec]],LstMachines[Status],PrévisionBoris[[#This Row],[Status]],LstMachines[MoisLivr],U$1)</f>
        <v>0</v>
      </c>
      <c r="V287" s="207">
        <f>SUMIFS(LstMachines[Nbre],LstMachines[Model-Spec],PrévisionBoris[[#This Row],[Spec]],LstMachines[Status],PrévisionBoris[[#This Row],[Status]],LstMachines[MoisLivr],V$1)</f>
        <v>0</v>
      </c>
      <c r="W287" s="206">
        <f>SUMIFS(LstMachines[Nbre],LstMachines[Model-Spec],PrévisionBoris[[#This Row],[Spec]],LstMachines[Status],PrévisionBoris[[#This Row],[Status]],LstMachines[MoisLivr],W$1)</f>
        <v>0</v>
      </c>
      <c r="X287" s="207">
        <f>SUMIFS(LstMachines[Nbre],LstMachines[Model-Spec],PrévisionBoris[[#This Row],[Spec]],LstMachines[Status],PrévisionBoris[[#This Row],[Status]],LstMachines[MoisLivr],X$1)</f>
        <v>0</v>
      </c>
      <c r="Y287" s="207">
        <f>SUMIFS(LstMachines[Nbre],LstMachines[Model-Spec],PrévisionBoris[[#This Row],[Spec]],LstMachines[Status],PrévisionBoris[[#This Row],[Status]],LstMachines[MoisLivr],Y$1)</f>
        <v>0</v>
      </c>
      <c r="Z287" s="206">
        <f>SUMIFS(LstMachines[Nbre],LstMachines[Model-Spec],PrévisionBoris[[#This Row],[Spec]],LstMachines[Status],PrévisionBoris[[#This Row],[Status]],LstMachines[MoisLivr],Z$1)</f>
        <v>0</v>
      </c>
      <c r="AA287" s="207">
        <f>SUMIFS(LstMachines[Nbre],LstMachines[Model-Spec],PrévisionBoris[[#This Row],[Spec]],LstMachines[Status],PrévisionBoris[[#This Row],[Status]],LstMachines[MoisLivr],AA$1)</f>
        <v>0</v>
      </c>
      <c r="AB287" s="207">
        <f>SUMIFS(LstMachines[Nbre],LstMachines[Model-Spec],PrévisionBoris[[#This Row],[Spec]],LstMachines[Status],PrévisionBoris[[#This Row],[Status]],LstMachines[MoisLivr],AB$1)</f>
        <v>0</v>
      </c>
      <c r="AC287" s="206">
        <f>SUMIFS(LstMachines[Nbre],LstMachines[Model-Spec],PrévisionBoris[[#This Row],[Spec]],LstMachines[Status],PrévisionBoris[[#This Row],[Status]],LstMachines[MoisLivr],AC$1)</f>
        <v>0</v>
      </c>
      <c r="AD287" s="207">
        <f>SUMIFS(LstMachines[Nbre],LstMachines[Model-Spec],PrévisionBoris[[#This Row],[Spec]],LstMachines[Status],PrévisionBoris[[#This Row],[Status]],LstMachines[MoisLivr],AD$1)</f>
        <v>0</v>
      </c>
      <c r="AE287" s="207">
        <f>SUMIFS(LstMachines[Nbre],LstMachines[Model-Spec],PrévisionBoris[[#This Row],[Spec]],LstMachines[Status],PrévisionBoris[[#This Row],[Status]],LstMachines[MoisLivr],AE$1)</f>
        <v>0</v>
      </c>
      <c r="AF287" s="206">
        <f>SUMIFS(LstMachines[Nbre],LstMachines[Model-Spec],PrévisionBoris[[#This Row],[Spec]],LstMachines[Status],PrévisionBoris[[#This Row],[Status]],LstMachines[MoisLivr],AF$1)</f>
        <v>0</v>
      </c>
      <c r="AG287" s="207">
        <f>SUMIFS(LstMachines[Nbre],LstMachines[Model-Spec],PrévisionBoris[[#This Row],[Spec]],LstMachines[Status],PrévisionBoris[[#This Row],[Status]],LstMachines[MoisLivr],AG$1)</f>
        <v>0</v>
      </c>
      <c r="AH287" s="207">
        <f>SUMIFS(LstMachines[Nbre],LstMachines[Model-Spec],PrévisionBoris[[#This Row],[Spec]],LstMachines[Status],PrévisionBoris[[#This Row],[Status]],LstMachines[MoisLivr],AH$1)</f>
        <v>0</v>
      </c>
      <c r="AI287" s="206">
        <f>SUMIFS(LstMachines[Nbre],LstMachines[Model-Spec],PrévisionBoris[[#This Row],[Spec]],LstMachines[Status],PrévisionBoris[[#This Row],[Status]],LstMachines[MoisLivr],AI$1)</f>
        <v>0</v>
      </c>
      <c r="AJ287" s="207">
        <f>SUMIFS(LstMachines[Nbre],LstMachines[Model-Spec],PrévisionBoris[[#This Row],[Spec]],LstMachines[Status],PrévisionBoris[[#This Row],[Status]],LstMachines[MoisLivr],AJ$1)</f>
        <v>0</v>
      </c>
      <c r="AK287" s="207">
        <f>SUMIFS(LstMachines[Nbre],LstMachines[Model-Spec],PrévisionBoris[[#This Row],[Spec]],LstMachines[Status],PrévisionBoris[[#This Row],[Status]],LstMachines[MoisLivr],AK$1)</f>
        <v>0</v>
      </c>
      <c r="AL287" s="206">
        <f>SUMIFS(LstMachines[Nbre],LstMachines[Model-Spec],PrévisionBoris[[#This Row],[Spec]],LstMachines[Status],PrévisionBoris[[#This Row],[Status]],LstMachines[MoisLivr],AL$1)</f>
        <v>0</v>
      </c>
      <c r="AM287" s="207">
        <f>SUMIFS(LstMachines[Nbre],LstMachines[Model-Spec],PrévisionBoris[[#This Row],[Spec]],LstMachines[Status],PrévisionBoris[[#This Row],[Status]],LstMachines[MoisLivr],AM$1)</f>
        <v>0</v>
      </c>
      <c r="AN287" s="207">
        <f>SUMIFS(LstMachines[Nbre],LstMachines[Model-Spec],PrévisionBoris[[#This Row],[Spec]],LstMachines[Status],PrévisionBoris[[#This Row],[Status]],LstMachines[MoisLivr],AN$1)</f>
        <v>0</v>
      </c>
      <c r="AO287" s="206">
        <f>SUMIFS(LstMachines[Nbre],LstMachines[Model-Spec],PrévisionBoris[[#This Row],[Spec]],LstMachines[Status],PrévisionBoris[[#This Row],[Status]],LstMachines[MoisLivr],AO$1)</f>
        <v>0</v>
      </c>
      <c r="AP287" s="207">
        <f>SUMIFS(LstMachines[Nbre],LstMachines[Model-Spec],PrévisionBoris[[#This Row],[Spec]],LstMachines[Status],PrévisionBoris[[#This Row],[Status]],LstMachines[MoisLivr],AP$1)</f>
        <v>0</v>
      </c>
      <c r="AQ287" s="207">
        <f>SUMIFS(LstMachines[Nbre],LstMachines[Model-Spec],PrévisionBoris[[#This Row],[Spec]],LstMachines[Status],PrévisionBoris[[#This Row],[Status]],LstMachines[MoisLivr],AQ$1)</f>
        <v>0</v>
      </c>
      <c r="AR287" s="206">
        <f>SUMIFS(LstMachines[Nbre],LstMachines[Model-Spec],PrévisionBoris[[#This Row],[Spec]],LstMachines[Status],PrévisionBoris[[#This Row],[Status]],LstMachines[MoisLivr],AR$1)</f>
        <v>0</v>
      </c>
      <c r="AS287" s="207">
        <f>SUMIFS(LstMachines[Nbre],LstMachines[Model-Spec],PrévisionBoris[[#This Row],[Spec]],LstMachines[Status],PrévisionBoris[[#This Row],[Status]],LstMachines[MoisLivr],AS$1)</f>
        <v>0</v>
      </c>
      <c r="AT287" s="207">
        <f>SUMIFS(LstMachines[Nbre],LstMachines[Model-Spec],PrévisionBoris[[#This Row],[Spec]],LstMachines[Status],PrévisionBoris[[#This Row],[Status]],LstMachines[MoisLivr],AT$1)</f>
        <v>0</v>
      </c>
      <c r="AU287" s="206">
        <f>SUMIFS(LstMachines[Nbre],LstMachines[Model-Spec],PrévisionBoris[[#This Row],[Spec]],LstMachines[Status],PrévisionBoris[[#This Row],[Status]],LstMachines[MoisLivr],AU$1)</f>
        <v>0</v>
      </c>
      <c r="AV287" s="233">
        <f>SUMIFS(LstMachines[Nbre],LstMachines[Model-Spec],PrévisionBoris[[#This Row],[Spec]],LstMachines[Status],PrévisionBoris[[#This Row],[Status]],LstMachines[MoisLivr],AV$1)</f>
        <v>0</v>
      </c>
      <c r="AW287" s="208">
        <f>SUMIFS(LstMachines[Nbre],LstMachines[Model-Spec],PrévisionBoris[[#This Row],[Spec]],LstMachines[Status],PrévisionBoris[[#This Row],[Status]],LstMachines[MoisLivr],AW$1)</f>
        <v>0</v>
      </c>
      <c r="AX287" s="225"/>
      <c r="AY287" s="211">
        <f t="shared" si="67"/>
        <v>0</v>
      </c>
      <c r="AZ287" s="212">
        <f t="shared" si="68"/>
        <v>0</v>
      </c>
      <c r="BA287" s="212">
        <f t="shared" si="69"/>
        <v>0</v>
      </c>
      <c r="BB287" s="213">
        <f t="shared" si="70"/>
        <v>0</v>
      </c>
      <c r="BC287" s="225">
        <f t="shared" si="71"/>
        <v>0</v>
      </c>
      <c r="BD287" s="211">
        <f t="shared" si="72"/>
        <v>0</v>
      </c>
      <c r="BE287" s="212">
        <f t="shared" si="73"/>
        <v>0</v>
      </c>
      <c r="BF287" s="212">
        <f t="shared" si="74"/>
        <v>0</v>
      </c>
      <c r="BG287" s="213">
        <f t="shared" si="75"/>
        <v>0</v>
      </c>
      <c r="BH287" s="225">
        <f t="shared" si="76"/>
        <v>0</v>
      </c>
      <c r="BI287" s="214">
        <f t="shared" si="77"/>
        <v>0</v>
      </c>
      <c r="BJ287" s="215">
        <f t="shared" si="78"/>
        <v>0</v>
      </c>
      <c r="BK287" s="215">
        <f t="shared" si="79"/>
        <v>0</v>
      </c>
      <c r="BL287" s="216">
        <f t="shared" si="80"/>
        <v>0</v>
      </c>
      <c r="BM287" s="225">
        <f t="shared" si="81"/>
        <v>0</v>
      </c>
      <c r="BN287" s="225"/>
      <c r="BO287" s="234"/>
      <c r="BP287" s="218">
        <f t="shared" si="82"/>
        <v>0</v>
      </c>
    </row>
    <row r="288" spans="1:68">
      <c r="A288" s="170">
        <v>281</v>
      </c>
      <c r="B288" s="170" t="s">
        <v>85</v>
      </c>
      <c r="C288" s="200">
        <v>300</v>
      </c>
      <c r="D288" s="170" t="s">
        <v>212</v>
      </c>
      <c r="E288" s="170" t="s">
        <v>213</v>
      </c>
      <c r="F288" s="200">
        <f>VLOOKUP(PrévisionBoris[[#This Row],[Spec]],TabModelSpecs[[ModelSpec]:[Price]],2,FALSE)</f>
        <v>175</v>
      </c>
      <c r="G288" s="170" t="s">
        <v>462</v>
      </c>
      <c r="H288" s="219">
        <f>SUMIFS(LstMachines[Nbre],LstMachines[Model-Spec],PrévisionBoris[[#This Row],[Spec]],LstMachines[Status],PrévisionBoris[[#This Row],[Status]],LstMachines[MoisLivr],H$1)</f>
        <v>0</v>
      </c>
      <c r="I288" s="220">
        <f>SUMIFS(LstMachines[Nbre],LstMachines[Model-Spec],PrévisionBoris[[#This Row],[Spec]],LstMachines[Status],PrévisionBoris[[#This Row],[Status]],LstMachines[MoisLivr],I$1)</f>
        <v>0</v>
      </c>
      <c r="J288" s="221">
        <f>SUMIFS(LstMachines[Nbre],LstMachines[Model-Spec],PrévisionBoris[[#This Row],[Spec]],LstMachines[Status],PrévisionBoris[[#This Row],[Status]],LstMachines[MoisLivr],J$1)</f>
        <v>0</v>
      </c>
      <c r="K288" s="219">
        <f>SUMIFS(LstMachines[Nbre],LstMachines[Model-Spec],PrévisionBoris[[#This Row],[Spec]],LstMachines[Status],PrévisionBoris[[#This Row],[Status]],LstMachines[MoisLivr],K$1)</f>
        <v>0</v>
      </c>
      <c r="L288" s="220">
        <f>SUMIFS(LstMachines[Nbre],LstMachines[Model-Spec],PrévisionBoris[[#This Row],[Spec]],LstMachines[Status],PrévisionBoris[[#This Row],[Status]],LstMachines[MoisLivr],L$1)</f>
        <v>0</v>
      </c>
      <c r="M288" s="221">
        <f>SUMIFS(LstMachines[Nbre],LstMachines[Model-Spec],PrévisionBoris[[#This Row],[Spec]],LstMachines[Status],PrévisionBoris[[#This Row],[Status]],LstMachines[MoisLivr],M$1)</f>
        <v>0</v>
      </c>
      <c r="N288" s="219">
        <f>SUMIFS(LstMachines[Nbre],LstMachines[Model-Spec],PrévisionBoris[[#This Row],[Spec]],LstMachines[Status],PrévisionBoris[[#This Row],[Status]],LstMachines[MoisLivr],N$1)</f>
        <v>0</v>
      </c>
      <c r="O288" s="220">
        <f>SUMIFS(LstMachines[Nbre],LstMachines[Model-Spec],PrévisionBoris[[#This Row],[Spec]],LstMachines[Status],PrévisionBoris[[#This Row],[Status]],LstMachines[MoisLivr],O$1)</f>
        <v>0</v>
      </c>
      <c r="P288" s="221">
        <f>SUMIFS(LstMachines[Nbre],LstMachines[Model-Spec],PrévisionBoris[[#This Row],[Spec]],LstMachines[Status],PrévisionBoris[[#This Row],[Status]],LstMachines[MoisLivr],P$1)</f>
        <v>0</v>
      </c>
      <c r="Q288" s="222">
        <f>SUMIFS(LstMachines[Nbre],LstMachines[Model-Spec],PrévisionBoris[[#This Row],[Spec]],LstMachines[Status],PrévisionBoris[[#This Row],[Status]],LstMachines[MoisLivr],Q$1)</f>
        <v>0</v>
      </c>
      <c r="R288" s="220">
        <f>SUMIFS(LstMachines[Nbre],LstMachines[Model-Spec],PrévisionBoris[[#This Row],[Spec]],LstMachines[Status],PrévisionBoris[[#This Row],[Status]],LstMachines[MoisLivr],R$1)</f>
        <v>0</v>
      </c>
      <c r="S288" s="220">
        <f>SUMIFS(LstMachines[Nbre],LstMachines[Model-Spec],PrévisionBoris[[#This Row],[Spec]],LstMachines[Status],PrévisionBoris[[#This Row],[Status]],LstMachines[MoisLivr],S$1)</f>
        <v>0</v>
      </c>
      <c r="T288" s="219">
        <f>SUMIFS(LstMachines[Nbre],LstMachines[Model-Spec],PrévisionBoris[[#This Row],[Spec]],LstMachines[Status],PrévisionBoris[[#This Row],[Status]],LstMachines[MoisLivr],T$1)</f>
        <v>0</v>
      </c>
      <c r="U288" s="220">
        <f>SUMIFS(LstMachines[Nbre],LstMachines[Model-Spec],PrévisionBoris[[#This Row],[Spec]],LstMachines[Status],PrévisionBoris[[#This Row],[Status]],LstMachines[MoisLivr],U$1)</f>
        <v>0</v>
      </c>
      <c r="V288" s="220">
        <f>SUMIFS(LstMachines[Nbre],LstMachines[Model-Spec],PrévisionBoris[[#This Row],[Spec]],LstMachines[Status],PrévisionBoris[[#This Row],[Status]],LstMachines[MoisLivr],V$1)</f>
        <v>0</v>
      </c>
      <c r="W288" s="219">
        <f>SUMIFS(LstMachines[Nbre],LstMachines[Model-Spec],PrévisionBoris[[#This Row],[Spec]],LstMachines[Status],PrévisionBoris[[#This Row],[Status]],LstMachines[MoisLivr],W$1)</f>
        <v>0</v>
      </c>
      <c r="X288" s="220">
        <f>SUMIFS(LstMachines[Nbre],LstMachines[Model-Spec],PrévisionBoris[[#This Row],[Spec]],LstMachines[Status],PrévisionBoris[[#This Row],[Status]],LstMachines[MoisLivr],X$1)</f>
        <v>0</v>
      </c>
      <c r="Y288" s="220">
        <f>SUMIFS(LstMachines[Nbre],LstMachines[Model-Spec],PrévisionBoris[[#This Row],[Spec]],LstMachines[Status],PrévisionBoris[[#This Row],[Status]],LstMachines[MoisLivr],Y$1)</f>
        <v>0</v>
      </c>
      <c r="Z288" s="219">
        <f>SUMIFS(LstMachines[Nbre],LstMachines[Model-Spec],PrévisionBoris[[#This Row],[Spec]],LstMachines[Status],PrévisionBoris[[#This Row],[Status]],LstMachines[MoisLivr],Z$1)</f>
        <v>0</v>
      </c>
      <c r="AA288" s="220">
        <f>SUMIFS(LstMachines[Nbre],LstMachines[Model-Spec],PrévisionBoris[[#This Row],[Spec]],LstMachines[Status],PrévisionBoris[[#This Row],[Status]],LstMachines[MoisLivr],AA$1)</f>
        <v>0</v>
      </c>
      <c r="AB288" s="220">
        <f>SUMIFS(LstMachines[Nbre],LstMachines[Model-Spec],PrévisionBoris[[#This Row],[Spec]],LstMachines[Status],PrévisionBoris[[#This Row],[Status]],LstMachines[MoisLivr],AB$1)</f>
        <v>0</v>
      </c>
      <c r="AC288" s="219">
        <f>SUMIFS(LstMachines[Nbre],LstMachines[Model-Spec],PrévisionBoris[[#This Row],[Spec]],LstMachines[Status],PrévisionBoris[[#This Row],[Status]],LstMachines[MoisLivr],AC$1)</f>
        <v>0</v>
      </c>
      <c r="AD288" s="220">
        <f>SUMIFS(LstMachines[Nbre],LstMachines[Model-Spec],PrévisionBoris[[#This Row],[Spec]],LstMachines[Status],PrévisionBoris[[#This Row],[Status]],LstMachines[MoisLivr],AD$1)</f>
        <v>0</v>
      </c>
      <c r="AE288" s="220">
        <f>SUMIFS(LstMachines[Nbre],LstMachines[Model-Spec],PrévisionBoris[[#This Row],[Spec]],LstMachines[Status],PrévisionBoris[[#This Row],[Status]],LstMachines[MoisLivr],AE$1)</f>
        <v>0</v>
      </c>
      <c r="AF288" s="219">
        <f>SUMIFS(LstMachines[Nbre],LstMachines[Model-Spec],PrévisionBoris[[#This Row],[Spec]],LstMachines[Status],PrévisionBoris[[#This Row],[Status]],LstMachines[MoisLivr],AF$1)</f>
        <v>0</v>
      </c>
      <c r="AG288" s="220">
        <f>SUMIFS(LstMachines[Nbre],LstMachines[Model-Spec],PrévisionBoris[[#This Row],[Spec]],LstMachines[Status],PrévisionBoris[[#This Row],[Status]],LstMachines[MoisLivr],AG$1)</f>
        <v>0</v>
      </c>
      <c r="AH288" s="220">
        <f>SUMIFS(LstMachines[Nbre],LstMachines[Model-Spec],PrévisionBoris[[#This Row],[Spec]],LstMachines[Status],PrévisionBoris[[#This Row],[Status]],LstMachines[MoisLivr],AH$1)</f>
        <v>0</v>
      </c>
      <c r="AI288" s="219">
        <f>SUMIFS(LstMachines[Nbre],LstMachines[Model-Spec],PrévisionBoris[[#This Row],[Spec]],LstMachines[Status],PrévisionBoris[[#This Row],[Status]],LstMachines[MoisLivr],AI$1)</f>
        <v>0</v>
      </c>
      <c r="AJ288" s="220">
        <f>SUMIFS(LstMachines[Nbre],LstMachines[Model-Spec],PrévisionBoris[[#This Row],[Spec]],LstMachines[Status],PrévisionBoris[[#This Row],[Status]],LstMachines[MoisLivr],AJ$1)</f>
        <v>0</v>
      </c>
      <c r="AK288" s="220">
        <f>SUMIFS(LstMachines[Nbre],LstMachines[Model-Spec],PrévisionBoris[[#This Row],[Spec]],LstMachines[Status],PrévisionBoris[[#This Row],[Status]],LstMachines[MoisLivr],AK$1)</f>
        <v>0</v>
      </c>
      <c r="AL288" s="219">
        <f>SUMIFS(LstMachines[Nbre],LstMachines[Model-Spec],PrévisionBoris[[#This Row],[Spec]],LstMachines[Status],PrévisionBoris[[#This Row],[Status]],LstMachines[MoisLivr],AL$1)</f>
        <v>0</v>
      </c>
      <c r="AM288" s="220">
        <f>SUMIFS(LstMachines[Nbre],LstMachines[Model-Spec],PrévisionBoris[[#This Row],[Spec]],LstMachines[Status],PrévisionBoris[[#This Row],[Status]],LstMachines[MoisLivr],AM$1)</f>
        <v>0</v>
      </c>
      <c r="AN288" s="220">
        <f>SUMIFS(LstMachines[Nbre],LstMachines[Model-Spec],PrévisionBoris[[#This Row],[Spec]],LstMachines[Status],PrévisionBoris[[#This Row],[Status]],LstMachines[MoisLivr],AN$1)</f>
        <v>0</v>
      </c>
      <c r="AO288" s="219">
        <f>SUMIFS(LstMachines[Nbre],LstMachines[Model-Spec],PrévisionBoris[[#This Row],[Spec]],LstMachines[Status],PrévisionBoris[[#This Row],[Status]],LstMachines[MoisLivr],AO$1)</f>
        <v>0</v>
      </c>
      <c r="AP288" s="220">
        <f>SUMIFS(LstMachines[Nbre],LstMachines[Model-Spec],PrévisionBoris[[#This Row],[Spec]],LstMachines[Status],PrévisionBoris[[#This Row],[Status]],LstMachines[MoisLivr],AP$1)</f>
        <v>0</v>
      </c>
      <c r="AQ288" s="220">
        <f>SUMIFS(LstMachines[Nbre],LstMachines[Model-Spec],PrévisionBoris[[#This Row],[Spec]],LstMachines[Status],PrévisionBoris[[#This Row],[Status]],LstMachines[MoisLivr],AQ$1)</f>
        <v>0</v>
      </c>
      <c r="AR288" s="219">
        <f>SUMIFS(LstMachines[Nbre],LstMachines[Model-Spec],PrévisionBoris[[#This Row],[Spec]],LstMachines[Status],PrévisionBoris[[#This Row],[Status]],LstMachines[MoisLivr],AR$1)</f>
        <v>0</v>
      </c>
      <c r="AS288" s="220">
        <f>SUMIFS(LstMachines[Nbre],LstMachines[Model-Spec],PrévisionBoris[[#This Row],[Spec]],LstMachines[Status],PrévisionBoris[[#This Row],[Status]],LstMachines[MoisLivr],AS$1)</f>
        <v>0</v>
      </c>
      <c r="AT288" s="220">
        <f>SUMIFS(LstMachines[Nbre],LstMachines[Model-Spec],PrévisionBoris[[#This Row],[Spec]],LstMachines[Status],PrévisionBoris[[#This Row],[Status]],LstMachines[MoisLivr],AT$1)</f>
        <v>0</v>
      </c>
      <c r="AU288" s="219">
        <f>SUMIFS(LstMachines[Nbre],LstMachines[Model-Spec],PrévisionBoris[[#This Row],[Spec]],LstMachines[Status],PrévisionBoris[[#This Row],[Status]],LstMachines[MoisLivr],AU$1)</f>
        <v>0</v>
      </c>
      <c r="AV288" s="223">
        <f>SUMIFS(LstMachines[Nbre],LstMachines[Model-Spec],PrévisionBoris[[#This Row],[Spec]],LstMachines[Status],PrévisionBoris[[#This Row],[Status]],LstMachines[MoisLivr],AV$1)</f>
        <v>0</v>
      </c>
      <c r="AW288" s="224">
        <f>SUMIFS(LstMachines[Nbre],LstMachines[Model-Spec],PrévisionBoris[[#This Row],[Spec]],LstMachines[Status],PrévisionBoris[[#This Row],[Status]],LstMachines[MoisLivr],AW$1)</f>
        <v>0</v>
      </c>
      <c r="AX288" s="210"/>
      <c r="AY288" s="211">
        <f t="shared" si="67"/>
        <v>0</v>
      </c>
      <c r="AZ288" s="212">
        <f t="shared" si="68"/>
        <v>0</v>
      </c>
      <c r="BA288" s="212">
        <f t="shared" si="69"/>
        <v>0</v>
      </c>
      <c r="BB288" s="213">
        <f t="shared" si="70"/>
        <v>0</v>
      </c>
      <c r="BC288" s="225">
        <f t="shared" si="71"/>
        <v>0</v>
      </c>
      <c r="BD288" s="211">
        <f t="shared" si="72"/>
        <v>0</v>
      </c>
      <c r="BE288" s="212">
        <f t="shared" si="73"/>
        <v>0</v>
      </c>
      <c r="BF288" s="212">
        <f t="shared" si="74"/>
        <v>0</v>
      </c>
      <c r="BG288" s="213">
        <f t="shared" si="75"/>
        <v>0</v>
      </c>
      <c r="BH288" s="225">
        <f t="shared" si="76"/>
        <v>0</v>
      </c>
      <c r="BI288" s="214">
        <f t="shared" si="77"/>
        <v>0</v>
      </c>
      <c r="BJ288" s="215">
        <f t="shared" si="78"/>
        <v>0</v>
      </c>
      <c r="BK288" s="215">
        <f t="shared" si="79"/>
        <v>0</v>
      </c>
      <c r="BL288" s="216">
        <f t="shared" si="80"/>
        <v>0</v>
      </c>
      <c r="BM288" s="225">
        <f t="shared" si="81"/>
        <v>0</v>
      </c>
      <c r="BN288" s="225"/>
      <c r="BO288" s="217"/>
      <c r="BP288" s="218">
        <f t="shared" si="82"/>
        <v>0</v>
      </c>
    </row>
    <row r="289" spans="1:68">
      <c r="A289" s="171">
        <v>282</v>
      </c>
      <c r="B289" s="171" t="s">
        <v>85</v>
      </c>
      <c r="C289" s="201">
        <v>300</v>
      </c>
      <c r="D289" s="171" t="s">
        <v>212</v>
      </c>
      <c r="E289" s="171" t="s">
        <v>213</v>
      </c>
      <c r="F289" s="201">
        <f>VLOOKUP(PrévisionBoris[[#This Row],[Spec]],TabModelSpecs[[ModelSpec]:[Price]],2,FALSE)</f>
        <v>175</v>
      </c>
      <c r="G289" s="171" t="s">
        <v>463</v>
      </c>
      <c r="H289" s="226">
        <f>SUMIFS(LstMachines[Nbre],LstMachines[Model-Spec],PrévisionBoris[[#This Row],[Spec]],LstMachines[Status],PrévisionBoris[[#This Row],[Status]],LstMachines[MoisLivr],H$1)</f>
        <v>0</v>
      </c>
      <c r="I289" s="227">
        <f>SUMIFS(LstMachines[Nbre],LstMachines[Model-Spec],PrévisionBoris[[#This Row],[Spec]],LstMachines[Status],PrévisionBoris[[#This Row],[Status]],LstMachines[MoisLivr],I$1)</f>
        <v>0</v>
      </c>
      <c r="J289" s="228">
        <f>SUMIFS(LstMachines[Nbre],LstMachines[Model-Spec],PrévisionBoris[[#This Row],[Spec]],LstMachines[Status],PrévisionBoris[[#This Row],[Status]],LstMachines[MoisLivr],J$1)</f>
        <v>0</v>
      </c>
      <c r="K289" s="226">
        <f>SUMIFS(LstMachines[Nbre],LstMachines[Model-Spec],PrévisionBoris[[#This Row],[Spec]],LstMachines[Status],PrévisionBoris[[#This Row],[Status]],LstMachines[MoisLivr],K$1)</f>
        <v>0</v>
      </c>
      <c r="L289" s="227">
        <f>SUMIFS(LstMachines[Nbre],LstMachines[Model-Spec],PrévisionBoris[[#This Row],[Spec]],LstMachines[Status],PrévisionBoris[[#This Row],[Status]],LstMachines[MoisLivr],L$1)</f>
        <v>0</v>
      </c>
      <c r="M289" s="228">
        <f>SUMIFS(LstMachines[Nbre],LstMachines[Model-Spec],PrévisionBoris[[#This Row],[Spec]],LstMachines[Status],PrévisionBoris[[#This Row],[Status]],LstMachines[MoisLivr],M$1)</f>
        <v>0</v>
      </c>
      <c r="N289" s="226">
        <f>SUMIFS(LstMachines[Nbre],LstMachines[Model-Spec],PrévisionBoris[[#This Row],[Spec]],LstMachines[Status],PrévisionBoris[[#This Row],[Status]],LstMachines[MoisLivr],N$1)</f>
        <v>0</v>
      </c>
      <c r="O289" s="227">
        <f>SUMIFS(LstMachines[Nbre],LstMachines[Model-Spec],PrévisionBoris[[#This Row],[Spec]],LstMachines[Status],PrévisionBoris[[#This Row],[Status]],LstMachines[MoisLivr],O$1)</f>
        <v>0</v>
      </c>
      <c r="P289" s="228">
        <f>SUMIFS(LstMachines[Nbre],LstMachines[Model-Spec],PrévisionBoris[[#This Row],[Spec]],LstMachines[Status],PrévisionBoris[[#This Row],[Status]],LstMachines[MoisLivr],P$1)</f>
        <v>0</v>
      </c>
      <c r="Q289" s="229">
        <f>SUMIFS(LstMachines[Nbre],LstMachines[Model-Spec],PrévisionBoris[[#This Row],[Spec]],LstMachines[Status],PrévisionBoris[[#This Row],[Status]],LstMachines[MoisLivr],Q$1)</f>
        <v>0</v>
      </c>
      <c r="R289" s="227">
        <f>SUMIFS(LstMachines[Nbre],LstMachines[Model-Spec],PrévisionBoris[[#This Row],[Spec]],LstMachines[Status],PrévisionBoris[[#This Row],[Status]],LstMachines[MoisLivr],R$1)</f>
        <v>0</v>
      </c>
      <c r="S289" s="227">
        <f>SUMIFS(LstMachines[Nbre],LstMachines[Model-Spec],PrévisionBoris[[#This Row],[Spec]],LstMachines[Status],PrévisionBoris[[#This Row],[Status]],LstMachines[MoisLivr],S$1)</f>
        <v>0</v>
      </c>
      <c r="T289" s="226">
        <f>SUMIFS(LstMachines[Nbre],LstMachines[Model-Spec],PrévisionBoris[[#This Row],[Spec]],LstMachines[Status],PrévisionBoris[[#This Row],[Status]],LstMachines[MoisLivr],T$1)</f>
        <v>0</v>
      </c>
      <c r="U289" s="227">
        <f>SUMIFS(LstMachines[Nbre],LstMachines[Model-Spec],PrévisionBoris[[#This Row],[Spec]],LstMachines[Status],PrévisionBoris[[#This Row],[Status]],LstMachines[MoisLivr],U$1)</f>
        <v>0</v>
      </c>
      <c r="V289" s="227">
        <f>SUMIFS(LstMachines[Nbre],LstMachines[Model-Spec],PrévisionBoris[[#This Row],[Spec]],LstMachines[Status],PrévisionBoris[[#This Row],[Status]],LstMachines[MoisLivr],V$1)</f>
        <v>0</v>
      </c>
      <c r="W289" s="226">
        <f>SUMIFS(LstMachines[Nbre],LstMachines[Model-Spec],PrévisionBoris[[#This Row],[Spec]],LstMachines[Status],PrévisionBoris[[#This Row],[Status]],LstMachines[MoisLivr],W$1)</f>
        <v>0</v>
      </c>
      <c r="X289" s="227">
        <f>SUMIFS(LstMachines[Nbre],LstMachines[Model-Spec],PrévisionBoris[[#This Row],[Spec]],LstMachines[Status],PrévisionBoris[[#This Row],[Status]],LstMachines[MoisLivr],X$1)</f>
        <v>0</v>
      </c>
      <c r="Y289" s="227">
        <f>SUMIFS(LstMachines[Nbre],LstMachines[Model-Spec],PrévisionBoris[[#This Row],[Spec]],LstMachines[Status],PrévisionBoris[[#This Row],[Status]],LstMachines[MoisLivr],Y$1)</f>
        <v>0</v>
      </c>
      <c r="Z289" s="226">
        <f>SUMIFS(LstMachines[Nbre],LstMachines[Model-Spec],PrévisionBoris[[#This Row],[Spec]],LstMachines[Status],PrévisionBoris[[#This Row],[Status]],LstMachines[MoisLivr],Z$1)</f>
        <v>0</v>
      </c>
      <c r="AA289" s="227">
        <f>SUMIFS(LstMachines[Nbre],LstMachines[Model-Spec],PrévisionBoris[[#This Row],[Spec]],LstMachines[Status],PrévisionBoris[[#This Row],[Status]],LstMachines[MoisLivr],AA$1)</f>
        <v>0</v>
      </c>
      <c r="AB289" s="227">
        <f>SUMIFS(LstMachines[Nbre],LstMachines[Model-Spec],PrévisionBoris[[#This Row],[Spec]],LstMachines[Status],PrévisionBoris[[#This Row],[Status]],LstMachines[MoisLivr],AB$1)</f>
        <v>0</v>
      </c>
      <c r="AC289" s="226">
        <f>SUMIFS(LstMachines[Nbre],LstMachines[Model-Spec],PrévisionBoris[[#This Row],[Spec]],LstMachines[Status],PrévisionBoris[[#This Row],[Status]],LstMachines[MoisLivr],AC$1)</f>
        <v>0</v>
      </c>
      <c r="AD289" s="227">
        <f>SUMIFS(LstMachines[Nbre],LstMachines[Model-Spec],PrévisionBoris[[#This Row],[Spec]],LstMachines[Status],PrévisionBoris[[#This Row],[Status]],LstMachines[MoisLivr],AD$1)</f>
        <v>0</v>
      </c>
      <c r="AE289" s="227">
        <f>SUMIFS(LstMachines[Nbre],LstMachines[Model-Spec],PrévisionBoris[[#This Row],[Spec]],LstMachines[Status],PrévisionBoris[[#This Row],[Status]],LstMachines[MoisLivr],AE$1)</f>
        <v>0</v>
      </c>
      <c r="AF289" s="226">
        <f>SUMIFS(LstMachines[Nbre],LstMachines[Model-Spec],PrévisionBoris[[#This Row],[Spec]],LstMachines[Status],PrévisionBoris[[#This Row],[Status]],LstMachines[MoisLivr],AF$1)</f>
        <v>0</v>
      </c>
      <c r="AG289" s="227">
        <f>SUMIFS(LstMachines[Nbre],LstMachines[Model-Spec],PrévisionBoris[[#This Row],[Spec]],LstMachines[Status],PrévisionBoris[[#This Row],[Status]],LstMachines[MoisLivr],AG$1)</f>
        <v>0</v>
      </c>
      <c r="AH289" s="227">
        <f>SUMIFS(LstMachines[Nbre],LstMachines[Model-Spec],PrévisionBoris[[#This Row],[Spec]],LstMachines[Status],PrévisionBoris[[#This Row],[Status]],LstMachines[MoisLivr],AH$1)</f>
        <v>0</v>
      </c>
      <c r="AI289" s="226">
        <f>SUMIFS(LstMachines[Nbre],LstMachines[Model-Spec],PrévisionBoris[[#This Row],[Spec]],LstMachines[Status],PrévisionBoris[[#This Row],[Status]],LstMachines[MoisLivr],AI$1)</f>
        <v>0</v>
      </c>
      <c r="AJ289" s="227">
        <f>SUMIFS(LstMachines[Nbre],LstMachines[Model-Spec],PrévisionBoris[[#This Row],[Spec]],LstMachines[Status],PrévisionBoris[[#This Row],[Status]],LstMachines[MoisLivr],AJ$1)</f>
        <v>0</v>
      </c>
      <c r="AK289" s="227">
        <f>SUMIFS(LstMachines[Nbre],LstMachines[Model-Spec],PrévisionBoris[[#This Row],[Spec]],LstMachines[Status],PrévisionBoris[[#This Row],[Status]],LstMachines[MoisLivr],AK$1)</f>
        <v>0</v>
      </c>
      <c r="AL289" s="226">
        <f>SUMIFS(LstMachines[Nbre],LstMachines[Model-Spec],PrévisionBoris[[#This Row],[Spec]],LstMachines[Status],PrévisionBoris[[#This Row],[Status]],LstMachines[MoisLivr],AL$1)</f>
        <v>0</v>
      </c>
      <c r="AM289" s="227">
        <f>SUMIFS(LstMachines[Nbre],LstMachines[Model-Spec],PrévisionBoris[[#This Row],[Spec]],LstMachines[Status],PrévisionBoris[[#This Row],[Status]],LstMachines[MoisLivr],AM$1)</f>
        <v>0</v>
      </c>
      <c r="AN289" s="227">
        <f>SUMIFS(LstMachines[Nbre],LstMachines[Model-Spec],PrévisionBoris[[#This Row],[Spec]],LstMachines[Status],PrévisionBoris[[#This Row],[Status]],LstMachines[MoisLivr],AN$1)</f>
        <v>0</v>
      </c>
      <c r="AO289" s="226">
        <f>SUMIFS(LstMachines[Nbre],LstMachines[Model-Spec],PrévisionBoris[[#This Row],[Spec]],LstMachines[Status],PrévisionBoris[[#This Row],[Status]],LstMachines[MoisLivr],AO$1)</f>
        <v>0</v>
      </c>
      <c r="AP289" s="227">
        <f>SUMIFS(LstMachines[Nbre],LstMachines[Model-Spec],PrévisionBoris[[#This Row],[Spec]],LstMachines[Status],PrévisionBoris[[#This Row],[Status]],LstMachines[MoisLivr],AP$1)</f>
        <v>0</v>
      </c>
      <c r="AQ289" s="227">
        <f>SUMIFS(LstMachines[Nbre],LstMachines[Model-Spec],PrévisionBoris[[#This Row],[Spec]],LstMachines[Status],PrévisionBoris[[#This Row],[Status]],LstMachines[MoisLivr],AQ$1)</f>
        <v>0</v>
      </c>
      <c r="AR289" s="226">
        <f>SUMIFS(LstMachines[Nbre],LstMachines[Model-Spec],PrévisionBoris[[#This Row],[Spec]],LstMachines[Status],PrévisionBoris[[#This Row],[Status]],LstMachines[MoisLivr],AR$1)</f>
        <v>0</v>
      </c>
      <c r="AS289" s="227">
        <f>SUMIFS(LstMachines[Nbre],LstMachines[Model-Spec],PrévisionBoris[[#This Row],[Spec]],LstMachines[Status],PrévisionBoris[[#This Row],[Status]],LstMachines[MoisLivr],AS$1)</f>
        <v>0</v>
      </c>
      <c r="AT289" s="227">
        <f>SUMIFS(LstMachines[Nbre],LstMachines[Model-Spec],PrévisionBoris[[#This Row],[Spec]],LstMachines[Status],PrévisionBoris[[#This Row],[Status]],LstMachines[MoisLivr],AT$1)</f>
        <v>0</v>
      </c>
      <c r="AU289" s="226">
        <f>SUMIFS(LstMachines[Nbre],LstMachines[Model-Spec],PrévisionBoris[[#This Row],[Spec]],LstMachines[Status],PrévisionBoris[[#This Row],[Status]],LstMachines[MoisLivr],AU$1)</f>
        <v>0</v>
      </c>
      <c r="AV289" s="230">
        <f>SUMIFS(LstMachines[Nbre],LstMachines[Model-Spec],PrévisionBoris[[#This Row],[Spec]],LstMachines[Status],PrévisionBoris[[#This Row],[Status]],LstMachines[MoisLivr],AV$1)</f>
        <v>0</v>
      </c>
      <c r="AW289" s="231">
        <f>SUMIFS(LstMachines[Nbre],LstMachines[Model-Spec],PrévisionBoris[[#This Row],[Spec]],LstMachines[Status],PrévisionBoris[[#This Row],[Status]],LstMachines[MoisLivr],AW$1)</f>
        <v>0</v>
      </c>
      <c r="AX289" s="232"/>
      <c r="AY289" s="211">
        <f t="shared" si="67"/>
        <v>0</v>
      </c>
      <c r="AZ289" s="212">
        <f t="shared" si="68"/>
        <v>0</v>
      </c>
      <c r="BA289" s="212">
        <f t="shared" si="69"/>
        <v>0</v>
      </c>
      <c r="BB289" s="213">
        <f t="shared" si="70"/>
        <v>0</v>
      </c>
      <c r="BC289" s="225">
        <f t="shared" si="71"/>
        <v>0</v>
      </c>
      <c r="BD289" s="211">
        <f t="shared" si="72"/>
        <v>0</v>
      </c>
      <c r="BE289" s="212">
        <f t="shared" si="73"/>
        <v>0</v>
      </c>
      <c r="BF289" s="212">
        <f t="shared" si="74"/>
        <v>0</v>
      </c>
      <c r="BG289" s="213">
        <f t="shared" si="75"/>
        <v>0</v>
      </c>
      <c r="BH289" s="225">
        <f t="shared" si="76"/>
        <v>0</v>
      </c>
      <c r="BI289" s="214">
        <f t="shared" si="77"/>
        <v>0</v>
      </c>
      <c r="BJ289" s="215">
        <f t="shared" si="78"/>
        <v>0</v>
      </c>
      <c r="BK289" s="215">
        <f t="shared" si="79"/>
        <v>0</v>
      </c>
      <c r="BL289" s="216">
        <f t="shared" si="80"/>
        <v>0</v>
      </c>
      <c r="BM289" s="225">
        <f t="shared" si="81"/>
        <v>0</v>
      </c>
      <c r="BN289" s="225"/>
      <c r="BO289" s="217"/>
      <c r="BP289" s="218">
        <f t="shared" si="82"/>
        <v>0</v>
      </c>
    </row>
    <row r="290" spans="1:68">
      <c r="A290" s="172">
        <v>283</v>
      </c>
      <c r="B290" s="172" t="s">
        <v>85</v>
      </c>
      <c r="C290" s="202">
        <v>300</v>
      </c>
      <c r="D290" s="172" t="s">
        <v>212</v>
      </c>
      <c r="E290" s="172" t="s">
        <v>214</v>
      </c>
      <c r="F290" s="202">
        <f>VLOOKUP(PrévisionBoris[[#This Row],[Spec]],TabModelSpecs[[ModelSpec]:[Price]],2,FALSE)</f>
        <v>160</v>
      </c>
      <c r="G290" s="172" t="s">
        <v>461</v>
      </c>
      <c r="H290" s="206">
        <f>SUMIFS(LstMachines[Nbre],LstMachines[Model-Spec],PrévisionBoris[[#This Row],[Spec]],LstMachines[Status],PrévisionBoris[[#This Row],[Status]],LstMachines[MoisLivr],H$1)</f>
        <v>0</v>
      </c>
      <c r="I290" s="207">
        <f>SUMIFS(LstMachines[Nbre],LstMachines[Model-Spec],PrévisionBoris[[#This Row],[Spec]],LstMachines[Status],PrévisionBoris[[#This Row],[Status]],LstMachines[MoisLivr],I$1)</f>
        <v>0</v>
      </c>
      <c r="J290" s="208">
        <f>SUMIFS(LstMachines[Nbre],LstMachines[Model-Spec],PrévisionBoris[[#This Row],[Spec]],LstMachines[Status],PrévisionBoris[[#This Row],[Status]],LstMachines[MoisLivr],J$1)</f>
        <v>0</v>
      </c>
      <c r="K290" s="206">
        <f>SUMIFS(LstMachines[Nbre],LstMachines[Model-Spec],PrévisionBoris[[#This Row],[Spec]],LstMachines[Status],PrévisionBoris[[#This Row],[Status]],LstMachines[MoisLivr],K$1)</f>
        <v>0</v>
      </c>
      <c r="L290" s="207">
        <f>SUMIFS(LstMachines[Nbre],LstMachines[Model-Spec],PrévisionBoris[[#This Row],[Spec]],LstMachines[Status],PrévisionBoris[[#This Row],[Status]],LstMachines[MoisLivr],L$1)</f>
        <v>0</v>
      </c>
      <c r="M290" s="208">
        <f>SUMIFS(LstMachines[Nbre],LstMachines[Model-Spec],PrévisionBoris[[#This Row],[Spec]],LstMachines[Status],PrévisionBoris[[#This Row],[Status]],LstMachines[MoisLivr],M$1)</f>
        <v>0</v>
      </c>
      <c r="N290" s="206">
        <f>SUMIFS(LstMachines[Nbre],LstMachines[Model-Spec],PrévisionBoris[[#This Row],[Spec]],LstMachines[Status],PrévisionBoris[[#This Row],[Status]],LstMachines[MoisLivr],N$1)</f>
        <v>0</v>
      </c>
      <c r="O290" s="207">
        <f>SUMIFS(LstMachines[Nbre],LstMachines[Model-Spec],PrévisionBoris[[#This Row],[Spec]],LstMachines[Status],PrévisionBoris[[#This Row],[Status]],LstMachines[MoisLivr],O$1)</f>
        <v>0</v>
      </c>
      <c r="P290" s="208">
        <f>SUMIFS(LstMachines[Nbre],LstMachines[Model-Spec],PrévisionBoris[[#This Row],[Spec]],LstMachines[Status],PrévisionBoris[[#This Row],[Status]],LstMachines[MoisLivr],P$1)</f>
        <v>0</v>
      </c>
      <c r="Q290" s="209">
        <f>SUMIFS(LstMachines[Nbre],LstMachines[Model-Spec],PrévisionBoris[[#This Row],[Spec]],LstMachines[Status],PrévisionBoris[[#This Row],[Status]],LstMachines[MoisLivr],Q$1)</f>
        <v>0</v>
      </c>
      <c r="R290" s="207">
        <f>SUMIFS(LstMachines[Nbre],LstMachines[Model-Spec],PrévisionBoris[[#This Row],[Spec]],LstMachines[Status],PrévisionBoris[[#This Row],[Status]],LstMachines[MoisLivr],R$1)</f>
        <v>0</v>
      </c>
      <c r="S290" s="207">
        <f>SUMIFS(LstMachines[Nbre],LstMachines[Model-Spec],PrévisionBoris[[#This Row],[Spec]],LstMachines[Status],PrévisionBoris[[#This Row],[Status]],LstMachines[MoisLivr],S$1)</f>
        <v>0</v>
      </c>
      <c r="T290" s="206">
        <f>SUMIFS(LstMachines[Nbre],LstMachines[Model-Spec],PrévisionBoris[[#This Row],[Spec]],LstMachines[Status],PrévisionBoris[[#This Row],[Status]],LstMachines[MoisLivr],T$1)</f>
        <v>0</v>
      </c>
      <c r="U290" s="207">
        <f>SUMIFS(LstMachines[Nbre],LstMachines[Model-Spec],PrévisionBoris[[#This Row],[Spec]],LstMachines[Status],PrévisionBoris[[#This Row],[Status]],LstMachines[MoisLivr],U$1)</f>
        <v>0</v>
      </c>
      <c r="V290" s="207">
        <f>SUMIFS(LstMachines[Nbre],LstMachines[Model-Spec],PrévisionBoris[[#This Row],[Spec]],LstMachines[Status],PrévisionBoris[[#This Row],[Status]],LstMachines[MoisLivr],V$1)</f>
        <v>0</v>
      </c>
      <c r="W290" s="206">
        <f>SUMIFS(LstMachines[Nbre],LstMachines[Model-Spec],PrévisionBoris[[#This Row],[Spec]],LstMachines[Status],PrévisionBoris[[#This Row],[Status]],LstMachines[MoisLivr],W$1)</f>
        <v>0</v>
      </c>
      <c r="X290" s="207">
        <f>SUMIFS(LstMachines[Nbre],LstMachines[Model-Spec],PrévisionBoris[[#This Row],[Spec]],LstMachines[Status],PrévisionBoris[[#This Row],[Status]],LstMachines[MoisLivr],X$1)</f>
        <v>0</v>
      </c>
      <c r="Y290" s="207">
        <f>SUMIFS(LstMachines[Nbre],LstMachines[Model-Spec],PrévisionBoris[[#This Row],[Spec]],LstMachines[Status],PrévisionBoris[[#This Row],[Status]],LstMachines[MoisLivr],Y$1)</f>
        <v>0</v>
      </c>
      <c r="Z290" s="206">
        <f>SUMIFS(LstMachines[Nbre],LstMachines[Model-Spec],PrévisionBoris[[#This Row],[Spec]],LstMachines[Status],PrévisionBoris[[#This Row],[Status]],LstMachines[MoisLivr],Z$1)</f>
        <v>1</v>
      </c>
      <c r="AA290" s="207">
        <f>SUMIFS(LstMachines[Nbre],LstMachines[Model-Spec],PrévisionBoris[[#This Row],[Spec]],LstMachines[Status],PrévisionBoris[[#This Row],[Status]],LstMachines[MoisLivr],AA$1)</f>
        <v>0</v>
      </c>
      <c r="AB290" s="207">
        <f>SUMIFS(LstMachines[Nbre],LstMachines[Model-Spec],PrévisionBoris[[#This Row],[Spec]],LstMachines[Status],PrévisionBoris[[#This Row],[Status]],LstMachines[MoisLivr],AB$1)</f>
        <v>0</v>
      </c>
      <c r="AC290" s="206">
        <f>SUMIFS(LstMachines[Nbre],LstMachines[Model-Spec],PrévisionBoris[[#This Row],[Spec]],LstMachines[Status],PrévisionBoris[[#This Row],[Status]],LstMachines[MoisLivr],AC$1)</f>
        <v>0</v>
      </c>
      <c r="AD290" s="207">
        <f>SUMIFS(LstMachines[Nbre],LstMachines[Model-Spec],PrévisionBoris[[#This Row],[Spec]],LstMachines[Status],PrévisionBoris[[#This Row],[Status]],LstMachines[MoisLivr],AD$1)</f>
        <v>0</v>
      </c>
      <c r="AE290" s="207">
        <f>SUMIFS(LstMachines[Nbre],LstMachines[Model-Spec],PrévisionBoris[[#This Row],[Spec]],LstMachines[Status],PrévisionBoris[[#This Row],[Status]],LstMachines[MoisLivr],AE$1)</f>
        <v>0</v>
      </c>
      <c r="AF290" s="206">
        <f>SUMIFS(LstMachines[Nbre],LstMachines[Model-Spec],PrévisionBoris[[#This Row],[Spec]],LstMachines[Status],PrévisionBoris[[#This Row],[Status]],LstMachines[MoisLivr],AF$1)</f>
        <v>0</v>
      </c>
      <c r="AG290" s="207">
        <f>SUMIFS(LstMachines[Nbre],LstMachines[Model-Spec],PrévisionBoris[[#This Row],[Spec]],LstMachines[Status],PrévisionBoris[[#This Row],[Status]],LstMachines[MoisLivr],AG$1)</f>
        <v>0</v>
      </c>
      <c r="AH290" s="207">
        <f>SUMIFS(LstMachines[Nbre],LstMachines[Model-Spec],PrévisionBoris[[#This Row],[Spec]],LstMachines[Status],PrévisionBoris[[#This Row],[Status]],LstMachines[MoisLivr],AH$1)</f>
        <v>0</v>
      </c>
      <c r="AI290" s="206">
        <f>SUMIFS(LstMachines[Nbre],LstMachines[Model-Spec],PrévisionBoris[[#This Row],[Spec]],LstMachines[Status],PrévisionBoris[[#This Row],[Status]],LstMachines[MoisLivr],AI$1)</f>
        <v>0</v>
      </c>
      <c r="AJ290" s="207">
        <f>SUMIFS(LstMachines[Nbre],LstMachines[Model-Spec],PrévisionBoris[[#This Row],[Spec]],LstMachines[Status],PrévisionBoris[[#This Row],[Status]],LstMachines[MoisLivr],AJ$1)</f>
        <v>0</v>
      </c>
      <c r="AK290" s="207">
        <f>SUMIFS(LstMachines[Nbre],LstMachines[Model-Spec],PrévisionBoris[[#This Row],[Spec]],LstMachines[Status],PrévisionBoris[[#This Row],[Status]],LstMachines[MoisLivr],AK$1)</f>
        <v>0</v>
      </c>
      <c r="AL290" s="206">
        <f>SUMIFS(LstMachines[Nbre],LstMachines[Model-Spec],PrévisionBoris[[#This Row],[Spec]],LstMachines[Status],PrévisionBoris[[#This Row],[Status]],LstMachines[MoisLivr],AL$1)</f>
        <v>0</v>
      </c>
      <c r="AM290" s="207">
        <f>SUMIFS(LstMachines[Nbre],LstMachines[Model-Spec],PrévisionBoris[[#This Row],[Spec]],LstMachines[Status],PrévisionBoris[[#This Row],[Status]],LstMachines[MoisLivr],AM$1)</f>
        <v>0</v>
      </c>
      <c r="AN290" s="207">
        <f>SUMIFS(LstMachines[Nbre],LstMachines[Model-Spec],PrévisionBoris[[#This Row],[Spec]],LstMachines[Status],PrévisionBoris[[#This Row],[Status]],LstMachines[MoisLivr],AN$1)</f>
        <v>0</v>
      </c>
      <c r="AO290" s="206">
        <f>SUMIFS(LstMachines[Nbre],LstMachines[Model-Spec],PrévisionBoris[[#This Row],[Spec]],LstMachines[Status],PrévisionBoris[[#This Row],[Status]],LstMachines[MoisLivr],AO$1)</f>
        <v>0</v>
      </c>
      <c r="AP290" s="207">
        <f>SUMIFS(LstMachines[Nbre],LstMachines[Model-Spec],PrévisionBoris[[#This Row],[Spec]],LstMachines[Status],PrévisionBoris[[#This Row],[Status]],LstMachines[MoisLivr],AP$1)</f>
        <v>0</v>
      </c>
      <c r="AQ290" s="207">
        <f>SUMIFS(LstMachines[Nbre],LstMachines[Model-Spec],PrévisionBoris[[#This Row],[Spec]],LstMachines[Status],PrévisionBoris[[#This Row],[Status]],LstMachines[MoisLivr],AQ$1)</f>
        <v>0</v>
      </c>
      <c r="AR290" s="206">
        <f>SUMIFS(LstMachines[Nbre],LstMachines[Model-Spec],PrévisionBoris[[#This Row],[Spec]],LstMachines[Status],PrévisionBoris[[#This Row],[Status]],LstMachines[MoisLivr],AR$1)</f>
        <v>0</v>
      </c>
      <c r="AS290" s="207">
        <f>SUMIFS(LstMachines[Nbre],LstMachines[Model-Spec],PrévisionBoris[[#This Row],[Spec]],LstMachines[Status],PrévisionBoris[[#This Row],[Status]],LstMachines[MoisLivr],AS$1)</f>
        <v>0</v>
      </c>
      <c r="AT290" s="207">
        <f>SUMIFS(LstMachines[Nbre],LstMachines[Model-Spec],PrévisionBoris[[#This Row],[Spec]],LstMachines[Status],PrévisionBoris[[#This Row],[Status]],LstMachines[MoisLivr],AT$1)</f>
        <v>0</v>
      </c>
      <c r="AU290" s="206">
        <f>SUMIFS(LstMachines[Nbre],LstMachines[Model-Spec],PrévisionBoris[[#This Row],[Spec]],LstMachines[Status],PrévisionBoris[[#This Row],[Status]],LstMachines[MoisLivr],AU$1)</f>
        <v>0</v>
      </c>
      <c r="AV290" s="233">
        <f>SUMIFS(LstMachines[Nbre],LstMachines[Model-Spec],PrévisionBoris[[#This Row],[Spec]],LstMachines[Status],PrévisionBoris[[#This Row],[Status]],LstMachines[MoisLivr],AV$1)</f>
        <v>0</v>
      </c>
      <c r="AW290" s="208">
        <f>SUMIFS(LstMachines[Nbre],LstMachines[Model-Spec],PrévisionBoris[[#This Row],[Spec]],LstMachines[Status],PrévisionBoris[[#This Row],[Status]],LstMachines[MoisLivr],AW$1)</f>
        <v>0</v>
      </c>
      <c r="AX290" s="225"/>
      <c r="AY290" s="211">
        <f t="shared" si="67"/>
        <v>0</v>
      </c>
      <c r="AZ290" s="212">
        <f t="shared" si="68"/>
        <v>0</v>
      </c>
      <c r="BA290" s="212">
        <f t="shared" si="69"/>
        <v>0</v>
      </c>
      <c r="BB290" s="213">
        <f t="shared" si="70"/>
        <v>0</v>
      </c>
      <c r="BC290" s="225">
        <f t="shared" si="71"/>
        <v>0</v>
      </c>
      <c r="BD290" s="211">
        <f t="shared" si="72"/>
        <v>0</v>
      </c>
      <c r="BE290" s="212">
        <f t="shared" si="73"/>
        <v>1</v>
      </c>
      <c r="BF290" s="212">
        <f t="shared" si="74"/>
        <v>0</v>
      </c>
      <c r="BG290" s="213">
        <f t="shared" si="75"/>
        <v>0</v>
      </c>
      <c r="BH290" s="225">
        <f t="shared" si="76"/>
        <v>1</v>
      </c>
      <c r="BI290" s="214">
        <f t="shared" si="77"/>
        <v>0</v>
      </c>
      <c r="BJ290" s="215">
        <f t="shared" si="78"/>
        <v>0</v>
      </c>
      <c r="BK290" s="215">
        <f t="shared" si="79"/>
        <v>0</v>
      </c>
      <c r="BL290" s="216">
        <f t="shared" si="80"/>
        <v>0</v>
      </c>
      <c r="BM290" s="225">
        <f t="shared" si="81"/>
        <v>0</v>
      </c>
      <c r="BN290" s="225"/>
      <c r="BO290" s="234"/>
      <c r="BP290" s="218">
        <f t="shared" si="82"/>
        <v>1</v>
      </c>
    </row>
    <row r="291" spans="1:68">
      <c r="A291" s="170">
        <v>284</v>
      </c>
      <c r="B291" s="170" t="s">
        <v>85</v>
      </c>
      <c r="C291" s="200">
        <v>300</v>
      </c>
      <c r="D291" s="170" t="s">
        <v>212</v>
      </c>
      <c r="E291" s="170" t="s">
        <v>214</v>
      </c>
      <c r="F291" s="200">
        <f>VLOOKUP(PrévisionBoris[[#This Row],[Spec]],TabModelSpecs[[ModelSpec]:[Price]],2,FALSE)</f>
        <v>160</v>
      </c>
      <c r="G291" s="170" t="s">
        <v>462</v>
      </c>
      <c r="H291" s="219">
        <f>SUMIFS(LstMachines[Nbre],LstMachines[Model-Spec],PrévisionBoris[[#This Row],[Spec]],LstMachines[Status],PrévisionBoris[[#This Row],[Status]],LstMachines[MoisLivr],H$1)</f>
        <v>0</v>
      </c>
      <c r="I291" s="220">
        <f>SUMIFS(LstMachines[Nbre],LstMachines[Model-Spec],PrévisionBoris[[#This Row],[Spec]],LstMachines[Status],PrévisionBoris[[#This Row],[Status]],LstMachines[MoisLivr],I$1)</f>
        <v>0</v>
      </c>
      <c r="J291" s="221">
        <f>SUMIFS(LstMachines[Nbre],LstMachines[Model-Spec],PrévisionBoris[[#This Row],[Spec]],LstMachines[Status],PrévisionBoris[[#This Row],[Status]],LstMachines[MoisLivr],J$1)</f>
        <v>0</v>
      </c>
      <c r="K291" s="219">
        <f>SUMIFS(LstMachines[Nbre],LstMachines[Model-Spec],PrévisionBoris[[#This Row],[Spec]],LstMachines[Status],PrévisionBoris[[#This Row],[Status]],LstMachines[MoisLivr],K$1)</f>
        <v>0</v>
      </c>
      <c r="L291" s="220">
        <f>SUMIFS(LstMachines[Nbre],LstMachines[Model-Spec],PrévisionBoris[[#This Row],[Spec]],LstMachines[Status],PrévisionBoris[[#This Row],[Status]],LstMachines[MoisLivr],L$1)</f>
        <v>0</v>
      </c>
      <c r="M291" s="221">
        <f>SUMIFS(LstMachines[Nbre],LstMachines[Model-Spec],PrévisionBoris[[#This Row],[Spec]],LstMachines[Status],PrévisionBoris[[#This Row],[Status]],LstMachines[MoisLivr],M$1)</f>
        <v>0</v>
      </c>
      <c r="N291" s="219">
        <f>SUMIFS(LstMachines[Nbre],LstMachines[Model-Spec],PrévisionBoris[[#This Row],[Spec]],LstMachines[Status],PrévisionBoris[[#This Row],[Status]],LstMachines[MoisLivr],N$1)</f>
        <v>0</v>
      </c>
      <c r="O291" s="220">
        <f>SUMIFS(LstMachines[Nbre],LstMachines[Model-Spec],PrévisionBoris[[#This Row],[Spec]],LstMachines[Status],PrévisionBoris[[#This Row],[Status]],LstMachines[MoisLivr],O$1)</f>
        <v>0</v>
      </c>
      <c r="P291" s="221">
        <f>SUMIFS(LstMachines[Nbre],LstMachines[Model-Spec],PrévisionBoris[[#This Row],[Spec]],LstMachines[Status],PrévisionBoris[[#This Row],[Status]],LstMachines[MoisLivr],P$1)</f>
        <v>0</v>
      </c>
      <c r="Q291" s="222">
        <f>SUMIFS(LstMachines[Nbre],LstMachines[Model-Spec],PrévisionBoris[[#This Row],[Spec]],LstMachines[Status],PrévisionBoris[[#This Row],[Status]],LstMachines[MoisLivr],Q$1)</f>
        <v>0</v>
      </c>
      <c r="R291" s="220">
        <f>SUMIFS(LstMachines[Nbre],LstMachines[Model-Spec],PrévisionBoris[[#This Row],[Spec]],LstMachines[Status],PrévisionBoris[[#This Row],[Status]],LstMachines[MoisLivr],R$1)</f>
        <v>0</v>
      </c>
      <c r="S291" s="220">
        <f>SUMIFS(LstMachines[Nbre],LstMachines[Model-Spec],PrévisionBoris[[#This Row],[Spec]],LstMachines[Status],PrévisionBoris[[#This Row],[Status]],LstMachines[MoisLivr],S$1)</f>
        <v>0</v>
      </c>
      <c r="T291" s="219">
        <f>SUMIFS(LstMachines[Nbre],LstMachines[Model-Spec],PrévisionBoris[[#This Row],[Spec]],LstMachines[Status],PrévisionBoris[[#This Row],[Status]],LstMachines[MoisLivr],T$1)</f>
        <v>0</v>
      </c>
      <c r="U291" s="220">
        <f>SUMIFS(LstMachines[Nbre],LstMachines[Model-Spec],PrévisionBoris[[#This Row],[Spec]],LstMachines[Status],PrévisionBoris[[#This Row],[Status]],LstMachines[MoisLivr],U$1)</f>
        <v>0</v>
      </c>
      <c r="V291" s="220">
        <f>SUMIFS(LstMachines[Nbre],LstMachines[Model-Spec],PrévisionBoris[[#This Row],[Spec]],LstMachines[Status],PrévisionBoris[[#This Row],[Status]],LstMachines[MoisLivr],V$1)</f>
        <v>0</v>
      </c>
      <c r="W291" s="219">
        <f>SUMIFS(LstMachines[Nbre],LstMachines[Model-Spec],PrévisionBoris[[#This Row],[Spec]],LstMachines[Status],PrévisionBoris[[#This Row],[Status]],LstMachines[MoisLivr],W$1)</f>
        <v>0</v>
      </c>
      <c r="X291" s="220">
        <f>SUMIFS(LstMachines[Nbre],LstMachines[Model-Spec],PrévisionBoris[[#This Row],[Spec]],LstMachines[Status],PrévisionBoris[[#This Row],[Status]],LstMachines[MoisLivr],X$1)</f>
        <v>0</v>
      </c>
      <c r="Y291" s="220">
        <f>SUMIFS(LstMachines[Nbre],LstMachines[Model-Spec],PrévisionBoris[[#This Row],[Spec]],LstMachines[Status],PrévisionBoris[[#This Row],[Status]],LstMachines[MoisLivr],Y$1)</f>
        <v>0</v>
      </c>
      <c r="Z291" s="219">
        <f>SUMIFS(LstMachines[Nbre],LstMachines[Model-Spec],PrévisionBoris[[#This Row],[Spec]],LstMachines[Status],PrévisionBoris[[#This Row],[Status]],LstMachines[MoisLivr],Z$1)</f>
        <v>0</v>
      </c>
      <c r="AA291" s="220">
        <f>SUMIFS(LstMachines[Nbre],LstMachines[Model-Spec],PrévisionBoris[[#This Row],[Spec]],LstMachines[Status],PrévisionBoris[[#This Row],[Status]],LstMachines[MoisLivr],AA$1)</f>
        <v>0</v>
      </c>
      <c r="AB291" s="220">
        <f>SUMIFS(LstMachines[Nbre],LstMachines[Model-Spec],PrévisionBoris[[#This Row],[Spec]],LstMachines[Status],PrévisionBoris[[#This Row],[Status]],LstMachines[MoisLivr],AB$1)</f>
        <v>0</v>
      </c>
      <c r="AC291" s="219">
        <f>SUMIFS(LstMachines[Nbre],LstMachines[Model-Spec],PrévisionBoris[[#This Row],[Spec]],LstMachines[Status],PrévisionBoris[[#This Row],[Status]],LstMachines[MoisLivr],AC$1)</f>
        <v>0</v>
      </c>
      <c r="AD291" s="220">
        <f>SUMIFS(LstMachines[Nbre],LstMachines[Model-Spec],PrévisionBoris[[#This Row],[Spec]],LstMachines[Status],PrévisionBoris[[#This Row],[Status]],LstMachines[MoisLivr],AD$1)</f>
        <v>0</v>
      </c>
      <c r="AE291" s="220">
        <f>SUMIFS(LstMachines[Nbre],LstMachines[Model-Spec],PrévisionBoris[[#This Row],[Spec]],LstMachines[Status],PrévisionBoris[[#This Row],[Status]],LstMachines[MoisLivr],AE$1)</f>
        <v>0</v>
      </c>
      <c r="AF291" s="219">
        <f>SUMIFS(LstMachines[Nbre],LstMachines[Model-Spec],PrévisionBoris[[#This Row],[Spec]],LstMachines[Status],PrévisionBoris[[#This Row],[Status]],LstMachines[MoisLivr],AF$1)</f>
        <v>0</v>
      </c>
      <c r="AG291" s="220">
        <f>SUMIFS(LstMachines[Nbre],LstMachines[Model-Spec],PrévisionBoris[[#This Row],[Spec]],LstMachines[Status],PrévisionBoris[[#This Row],[Status]],LstMachines[MoisLivr],AG$1)</f>
        <v>0</v>
      </c>
      <c r="AH291" s="220">
        <f>SUMIFS(LstMachines[Nbre],LstMachines[Model-Spec],PrévisionBoris[[#This Row],[Spec]],LstMachines[Status],PrévisionBoris[[#This Row],[Status]],LstMachines[MoisLivr],AH$1)</f>
        <v>0</v>
      </c>
      <c r="AI291" s="219">
        <f>SUMIFS(LstMachines[Nbre],LstMachines[Model-Spec],PrévisionBoris[[#This Row],[Spec]],LstMachines[Status],PrévisionBoris[[#This Row],[Status]],LstMachines[MoisLivr],AI$1)</f>
        <v>0</v>
      </c>
      <c r="AJ291" s="220">
        <f>SUMIFS(LstMachines[Nbre],LstMachines[Model-Spec],PrévisionBoris[[#This Row],[Spec]],LstMachines[Status],PrévisionBoris[[#This Row],[Status]],LstMachines[MoisLivr],AJ$1)</f>
        <v>0</v>
      </c>
      <c r="AK291" s="220">
        <f>SUMIFS(LstMachines[Nbre],LstMachines[Model-Spec],PrévisionBoris[[#This Row],[Spec]],LstMachines[Status],PrévisionBoris[[#This Row],[Status]],LstMachines[MoisLivr],AK$1)</f>
        <v>0</v>
      </c>
      <c r="AL291" s="219">
        <f>SUMIFS(LstMachines[Nbre],LstMachines[Model-Spec],PrévisionBoris[[#This Row],[Spec]],LstMachines[Status],PrévisionBoris[[#This Row],[Status]],LstMachines[MoisLivr],AL$1)</f>
        <v>0</v>
      </c>
      <c r="AM291" s="220">
        <f>SUMIFS(LstMachines[Nbre],LstMachines[Model-Spec],PrévisionBoris[[#This Row],[Spec]],LstMachines[Status],PrévisionBoris[[#This Row],[Status]],LstMachines[MoisLivr],AM$1)</f>
        <v>0</v>
      </c>
      <c r="AN291" s="220">
        <f>SUMIFS(LstMachines[Nbre],LstMachines[Model-Spec],PrévisionBoris[[#This Row],[Spec]],LstMachines[Status],PrévisionBoris[[#This Row],[Status]],LstMachines[MoisLivr],AN$1)</f>
        <v>0</v>
      </c>
      <c r="AO291" s="219">
        <f>SUMIFS(LstMachines[Nbre],LstMachines[Model-Spec],PrévisionBoris[[#This Row],[Spec]],LstMachines[Status],PrévisionBoris[[#This Row],[Status]],LstMachines[MoisLivr],AO$1)</f>
        <v>0</v>
      </c>
      <c r="AP291" s="220">
        <f>SUMIFS(LstMachines[Nbre],LstMachines[Model-Spec],PrévisionBoris[[#This Row],[Spec]],LstMachines[Status],PrévisionBoris[[#This Row],[Status]],LstMachines[MoisLivr],AP$1)</f>
        <v>0</v>
      </c>
      <c r="AQ291" s="220">
        <f>SUMIFS(LstMachines[Nbre],LstMachines[Model-Spec],PrévisionBoris[[#This Row],[Spec]],LstMachines[Status],PrévisionBoris[[#This Row],[Status]],LstMachines[MoisLivr],AQ$1)</f>
        <v>0</v>
      </c>
      <c r="AR291" s="219">
        <f>SUMIFS(LstMachines[Nbre],LstMachines[Model-Spec],PrévisionBoris[[#This Row],[Spec]],LstMachines[Status],PrévisionBoris[[#This Row],[Status]],LstMachines[MoisLivr],AR$1)</f>
        <v>0</v>
      </c>
      <c r="AS291" s="220">
        <f>SUMIFS(LstMachines[Nbre],LstMachines[Model-Spec],PrévisionBoris[[#This Row],[Spec]],LstMachines[Status],PrévisionBoris[[#This Row],[Status]],LstMachines[MoisLivr],AS$1)</f>
        <v>0</v>
      </c>
      <c r="AT291" s="220">
        <f>SUMIFS(LstMachines[Nbre],LstMachines[Model-Spec],PrévisionBoris[[#This Row],[Spec]],LstMachines[Status],PrévisionBoris[[#This Row],[Status]],LstMachines[MoisLivr],AT$1)</f>
        <v>0</v>
      </c>
      <c r="AU291" s="219">
        <f>SUMIFS(LstMachines[Nbre],LstMachines[Model-Spec],PrévisionBoris[[#This Row],[Spec]],LstMachines[Status],PrévisionBoris[[#This Row],[Status]],LstMachines[MoisLivr],AU$1)</f>
        <v>0</v>
      </c>
      <c r="AV291" s="223">
        <f>SUMIFS(LstMachines[Nbre],LstMachines[Model-Spec],PrévisionBoris[[#This Row],[Spec]],LstMachines[Status],PrévisionBoris[[#This Row],[Status]],LstMachines[MoisLivr],AV$1)</f>
        <v>0</v>
      </c>
      <c r="AW291" s="224">
        <f>SUMIFS(LstMachines[Nbre],LstMachines[Model-Spec],PrévisionBoris[[#This Row],[Spec]],LstMachines[Status],PrévisionBoris[[#This Row],[Status]],LstMachines[MoisLivr],AW$1)</f>
        <v>0</v>
      </c>
      <c r="AX291" s="210"/>
      <c r="AY291" s="211">
        <f t="shared" si="67"/>
        <v>0</v>
      </c>
      <c r="AZ291" s="212">
        <f t="shared" si="68"/>
        <v>0</v>
      </c>
      <c r="BA291" s="212">
        <f t="shared" si="69"/>
        <v>0</v>
      </c>
      <c r="BB291" s="213">
        <f t="shared" si="70"/>
        <v>0</v>
      </c>
      <c r="BC291" s="225">
        <f t="shared" si="71"/>
        <v>0</v>
      </c>
      <c r="BD291" s="211">
        <f t="shared" si="72"/>
        <v>0</v>
      </c>
      <c r="BE291" s="212">
        <f t="shared" si="73"/>
        <v>0</v>
      </c>
      <c r="BF291" s="212">
        <f t="shared" si="74"/>
        <v>0</v>
      </c>
      <c r="BG291" s="213">
        <f t="shared" si="75"/>
        <v>0</v>
      </c>
      <c r="BH291" s="225">
        <f t="shared" si="76"/>
        <v>0</v>
      </c>
      <c r="BI291" s="214">
        <f t="shared" si="77"/>
        <v>0</v>
      </c>
      <c r="BJ291" s="215">
        <f t="shared" si="78"/>
        <v>0</v>
      </c>
      <c r="BK291" s="215">
        <f t="shared" si="79"/>
        <v>0</v>
      </c>
      <c r="BL291" s="216">
        <f t="shared" si="80"/>
        <v>0</v>
      </c>
      <c r="BM291" s="225">
        <f t="shared" si="81"/>
        <v>0</v>
      </c>
      <c r="BN291" s="225"/>
      <c r="BO291" s="217"/>
      <c r="BP291" s="218">
        <f t="shared" si="82"/>
        <v>0</v>
      </c>
    </row>
    <row r="292" spans="1:68">
      <c r="A292" s="171">
        <v>285</v>
      </c>
      <c r="B292" s="171" t="s">
        <v>85</v>
      </c>
      <c r="C292" s="201">
        <v>300</v>
      </c>
      <c r="D292" s="171" t="s">
        <v>212</v>
      </c>
      <c r="E292" s="171" t="s">
        <v>214</v>
      </c>
      <c r="F292" s="201">
        <f>VLOOKUP(PrévisionBoris[[#This Row],[Spec]],TabModelSpecs[[ModelSpec]:[Price]],2,FALSE)</f>
        <v>160</v>
      </c>
      <c r="G292" s="171" t="s">
        <v>463</v>
      </c>
      <c r="H292" s="226">
        <f>SUMIFS(LstMachines[Nbre],LstMachines[Model-Spec],PrévisionBoris[[#This Row],[Spec]],LstMachines[Status],PrévisionBoris[[#This Row],[Status]],LstMachines[MoisLivr],H$1)</f>
        <v>0</v>
      </c>
      <c r="I292" s="227">
        <f>SUMIFS(LstMachines[Nbre],LstMachines[Model-Spec],PrévisionBoris[[#This Row],[Spec]],LstMachines[Status],PrévisionBoris[[#This Row],[Status]],LstMachines[MoisLivr],I$1)</f>
        <v>0</v>
      </c>
      <c r="J292" s="228">
        <f>SUMIFS(LstMachines[Nbre],LstMachines[Model-Spec],PrévisionBoris[[#This Row],[Spec]],LstMachines[Status],PrévisionBoris[[#This Row],[Status]],LstMachines[MoisLivr],J$1)</f>
        <v>0</v>
      </c>
      <c r="K292" s="226">
        <f>SUMIFS(LstMachines[Nbre],LstMachines[Model-Spec],PrévisionBoris[[#This Row],[Spec]],LstMachines[Status],PrévisionBoris[[#This Row],[Status]],LstMachines[MoisLivr],K$1)</f>
        <v>0</v>
      </c>
      <c r="L292" s="227">
        <f>SUMIFS(LstMachines[Nbre],LstMachines[Model-Spec],PrévisionBoris[[#This Row],[Spec]],LstMachines[Status],PrévisionBoris[[#This Row],[Status]],LstMachines[MoisLivr],L$1)</f>
        <v>0</v>
      </c>
      <c r="M292" s="228">
        <f>SUMIFS(LstMachines[Nbre],LstMachines[Model-Spec],PrévisionBoris[[#This Row],[Spec]],LstMachines[Status],PrévisionBoris[[#This Row],[Status]],LstMachines[MoisLivr],M$1)</f>
        <v>0</v>
      </c>
      <c r="N292" s="226">
        <f>SUMIFS(LstMachines[Nbre],LstMachines[Model-Spec],PrévisionBoris[[#This Row],[Spec]],LstMachines[Status],PrévisionBoris[[#This Row],[Status]],LstMachines[MoisLivr],N$1)</f>
        <v>0</v>
      </c>
      <c r="O292" s="227">
        <f>SUMIFS(LstMachines[Nbre],LstMachines[Model-Spec],PrévisionBoris[[#This Row],[Spec]],LstMachines[Status],PrévisionBoris[[#This Row],[Status]],LstMachines[MoisLivr],O$1)</f>
        <v>0</v>
      </c>
      <c r="P292" s="228">
        <f>SUMIFS(LstMachines[Nbre],LstMachines[Model-Spec],PrévisionBoris[[#This Row],[Spec]],LstMachines[Status],PrévisionBoris[[#This Row],[Status]],LstMachines[MoisLivr],P$1)</f>
        <v>0</v>
      </c>
      <c r="Q292" s="229">
        <f>SUMIFS(LstMachines[Nbre],LstMachines[Model-Spec],PrévisionBoris[[#This Row],[Spec]],LstMachines[Status],PrévisionBoris[[#This Row],[Status]],LstMachines[MoisLivr],Q$1)</f>
        <v>0</v>
      </c>
      <c r="R292" s="227">
        <f>SUMIFS(LstMachines[Nbre],LstMachines[Model-Spec],PrévisionBoris[[#This Row],[Spec]],LstMachines[Status],PrévisionBoris[[#This Row],[Status]],LstMachines[MoisLivr],R$1)</f>
        <v>0</v>
      </c>
      <c r="S292" s="227">
        <f>SUMIFS(LstMachines[Nbre],LstMachines[Model-Spec],PrévisionBoris[[#This Row],[Spec]],LstMachines[Status],PrévisionBoris[[#This Row],[Status]],LstMachines[MoisLivr],S$1)</f>
        <v>0</v>
      </c>
      <c r="T292" s="226">
        <f>SUMIFS(LstMachines[Nbre],LstMachines[Model-Spec],PrévisionBoris[[#This Row],[Spec]],LstMachines[Status],PrévisionBoris[[#This Row],[Status]],LstMachines[MoisLivr],T$1)</f>
        <v>0</v>
      </c>
      <c r="U292" s="227">
        <f>SUMIFS(LstMachines[Nbre],LstMachines[Model-Spec],PrévisionBoris[[#This Row],[Spec]],LstMachines[Status],PrévisionBoris[[#This Row],[Status]],LstMachines[MoisLivr],U$1)</f>
        <v>0</v>
      </c>
      <c r="V292" s="227">
        <f>SUMIFS(LstMachines[Nbre],LstMachines[Model-Spec],PrévisionBoris[[#This Row],[Spec]],LstMachines[Status],PrévisionBoris[[#This Row],[Status]],LstMachines[MoisLivr],V$1)</f>
        <v>0</v>
      </c>
      <c r="W292" s="226">
        <f>SUMIFS(LstMachines[Nbre],LstMachines[Model-Spec],PrévisionBoris[[#This Row],[Spec]],LstMachines[Status],PrévisionBoris[[#This Row],[Status]],LstMachines[MoisLivr],W$1)</f>
        <v>0</v>
      </c>
      <c r="X292" s="227">
        <f>SUMIFS(LstMachines[Nbre],LstMachines[Model-Spec],PrévisionBoris[[#This Row],[Spec]],LstMachines[Status],PrévisionBoris[[#This Row],[Status]],LstMachines[MoisLivr],X$1)</f>
        <v>0</v>
      </c>
      <c r="Y292" s="227">
        <f>SUMIFS(LstMachines[Nbre],LstMachines[Model-Spec],PrévisionBoris[[#This Row],[Spec]],LstMachines[Status],PrévisionBoris[[#This Row],[Status]],LstMachines[MoisLivr],Y$1)</f>
        <v>1</v>
      </c>
      <c r="Z292" s="226">
        <f>SUMIFS(LstMachines[Nbre],LstMachines[Model-Spec],PrévisionBoris[[#This Row],[Spec]],LstMachines[Status],PrévisionBoris[[#This Row],[Status]],LstMachines[MoisLivr],Z$1)</f>
        <v>0</v>
      </c>
      <c r="AA292" s="227">
        <f>SUMIFS(LstMachines[Nbre],LstMachines[Model-Spec],PrévisionBoris[[#This Row],[Spec]],LstMachines[Status],PrévisionBoris[[#This Row],[Status]],LstMachines[MoisLivr],AA$1)</f>
        <v>0</v>
      </c>
      <c r="AB292" s="227">
        <f>SUMIFS(LstMachines[Nbre],LstMachines[Model-Spec],PrévisionBoris[[#This Row],[Spec]],LstMachines[Status],PrévisionBoris[[#This Row],[Status]],LstMachines[MoisLivr],AB$1)</f>
        <v>0</v>
      </c>
      <c r="AC292" s="226">
        <f>SUMIFS(LstMachines[Nbre],LstMachines[Model-Spec],PrévisionBoris[[#This Row],[Spec]],LstMachines[Status],PrévisionBoris[[#This Row],[Status]],LstMachines[MoisLivr],AC$1)</f>
        <v>0</v>
      </c>
      <c r="AD292" s="227">
        <f>SUMIFS(LstMachines[Nbre],LstMachines[Model-Spec],PrévisionBoris[[#This Row],[Spec]],LstMachines[Status],PrévisionBoris[[#This Row],[Status]],LstMachines[MoisLivr],AD$1)</f>
        <v>0</v>
      </c>
      <c r="AE292" s="227">
        <f>SUMIFS(LstMachines[Nbre],LstMachines[Model-Spec],PrévisionBoris[[#This Row],[Spec]],LstMachines[Status],PrévisionBoris[[#This Row],[Status]],LstMachines[MoisLivr],AE$1)</f>
        <v>0</v>
      </c>
      <c r="AF292" s="226">
        <f>SUMIFS(LstMachines[Nbre],LstMachines[Model-Spec],PrévisionBoris[[#This Row],[Spec]],LstMachines[Status],PrévisionBoris[[#This Row],[Status]],LstMachines[MoisLivr],AF$1)</f>
        <v>0</v>
      </c>
      <c r="AG292" s="227">
        <f>SUMIFS(LstMachines[Nbre],LstMachines[Model-Spec],PrévisionBoris[[#This Row],[Spec]],LstMachines[Status],PrévisionBoris[[#This Row],[Status]],LstMachines[MoisLivr],AG$1)</f>
        <v>0</v>
      </c>
      <c r="AH292" s="227">
        <f>SUMIFS(LstMachines[Nbre],LstMachines[Model-Spec],PrévisionBoris[[#This Row],[Spec]],LstMachines[Status],PrévisionBoris[[#This Row],[Status]],LstMachines[MoisLivr],AH$1)</f>
        <v>0</v>
      </c>
      <c r="AI292" s="226">
        <f>SUMIFS(LstMachines[Nbre],LstMachines[Model-Spec],PrévisionBoris[[#This Row],[Spec]],LstMachines[Status],PrévisionBoris[[#This Row],[Status]],LstMachines[MoisLivr],AI$1)</f>
        <v>0</v>
      </c>
      <c r="AJ292" s="227">
        <f>SUMIFS(LstMachines[Nbre],LstMachines[Model-Spec],PrévisionBoris[[#This Row],[Spec]],LstMachines[Status],PrévisionBoris[[#This Row],[Status]],LstMachines[MoisLivr],AJ$1)</f>
        <v>0</v>
      </c>
      <c r="AK292" s="227">
        <f>SUMIFS(LstMachines[Nbre],LstMachines[Model-Spec],PrévisionBoris[[#This Row],[Spec]],LstMachines[Status],PrévisionBoris[[#This Row],[Status]],LstMachines[MoisLivr],AK$1)</f>
        <v>0</v>
      </c>
      <c r="AL292" s="226">
        <f>SUMIFS(LstMachines[Nbre],LstMachines[Model-Spec],PrévisionBoris[[#This Row],[Spec]],LstMachines[Status],PrévisionBoris[[#This Row],[Status]],LstMachines[MoisLivr],AL$1)</f>
        <v>0</v>
      </c>
      <c r="AM292" s="227">
        <f>SUMIFS(LstMachines[Nbre],LstMachines[Model-Spec],PrévisionBoris[[#This Row],[Spec]],LstMachines[Status],PrévisionBoris[[#This Row],[Status]],LstMachines[MoisLivr],AM$1)</f>
        <v>0</v>
      </c>
      <c r="AN292" s="227">
        <f>SUMIFS(LstMachines[Nbre],LstMachines[Model-Spec],PrévisionBoris[[#This Row],[Spec]],LstMachines[Status],PrévisionBoris[[#This Row],[Status]],LstMachines[MoisLivr],AN$1)</f>
        <v>0</v>
      </c>
      <c r="AO292" s="226">
        <f>SUMIFS(LstMachines[Nbre],LstMachines[Model-Spec],PrévisionBoris[[#This Row],[Spec]],LstMachines[Status],PrévisionBoris[[#This Row],[Status]],LstMachines[MoisLivr],AO$1)</f>
        <v>0</v>
      </c>
      <c r="AP292" s="227">
        <f>SUMIFS(LstMachines[Nbre],LstMachines[Model-Spec],PrévisionBoris[[#This Row],[Spec]],LstMachines[Status],PrévisionBoris[[#This Row],[Status]],LstMachines[MoisLivr],AP$1)</f>
        <v>0</v>
      </c>
      <c r="AQ292" s="227">
        <f>SUMIFS(LstMachines[Nbre],LstMachines[Model-Spec],PrévisionBoris[[#This Row],[Spec]],LstMachines[Status],PrévisionBoris[[#This Row],[Status]],LstMachines[MoisLivr],AQ$1)</f>
        <v>0</v>
      </c>
      <c r="AR292" s="226">
        <f>SUMIFS(LstMachines[Nbre],LstMachines[Model-Spec],PrévisionBoris[[#This Row],[Spec]],LstMachines[Status],PrévisionBoris[[#This Row],[Status]],LstMachines[MoisLivr],AR$1)</f>
        <v>0</v>
      </c>
      <c r="AS292" s="227">
        <f>SUMIFS(LstMachines[Nbre],LstMachines[Model-Spec],PrévisionBoris[[#This Row],[Spec]],LstMachines[Status],PrévisionBoris[[#This Row],[Status]],LstMachines[MoisLivr],AS$1)</f>
        <v>0</v>
      </c>
      <c r="AT292" s="227">
        <f>SUMIFS(LstMachines[Nbre],LstMachines[Model-Spec],PrévisionBoris[[#This Row],[Spec]],LstMachines[Status],PrévisionBoris[[#This Row],[Status]],LstMachines[MoisLivr],AT$1)</f>
        <v>0</v>
      </c>
      <c r="AU292" s="226">
        <f>SUMIFS(LstMachines[Nbre],LstMachines[Model-Spec],PrévisionBoris[[#This Row],[Spec]],LstMachines[Status],PrévisionBoris[[#This Row],[Status]],LstMachines[MoisLivr],AU$1)</f>
        <v>0</v>
      </c>
      <c r="AV292" s="230">
        <f>SUMIFS(LstMachines[Nbre],LstMachines[Model-Spec],PrévisionBoris[[#This Row],[Spec]],LstMachines[Status],PrévisionBoris[[#This Row],[Status]],LstMachines[MoisLivr],AV$1)</f>
        <v>0</v>
      </c>
      <c r="AW292" s="231">
        <f>SUMIFS(LstMachines[Nbre],LstMachines[Model-Spec],PrévisionBoris[[#This Row],[Spec]],LstMachines[Status],PrévisionBoris[[#This Row],[Status]],LstMachines[MoisLivr],AW$1)</f>
        <v>0</v>
      </c>
      <c r="AX292" s="232"/>
      <c r="AY292" s="211">
        <f t="shared" si="67"/>
        <v>0</v>
      </c>
      <c r="AZ292" s="212">
        <f t="shared" si="68"/>
        <v>0</v>
      </c>
      <c r="BA292" s="212">
        <f t="shared" si="69"/>
        <v>0</v>
      </c>
      <c r="BB292" s="213">
        <f t="shared" si="70"/>
        <v>0</v>
      </c>
      <c r="BC292" s="225">
        <f t="shared" si="71"/>
        <v>0</v>
      </c>
      <c r="BD292" s="211">
        <f t="shared" si="72"/>
        <v>1</v>
      </c>
      <c r="BE292" s="212">
        <f t="shared" si="73"/>
        <v>0</v>
      </c>
      <c r="BF292" s="212">
        <f t="shared" si="74"/>
        <v>0</v>
      </c>
      <c r="BG292" s="213">
        <f t="shared" si="75"/>
        <v>0</v>
      </c>
      <c r="BH292" s="225">
        <f t="shared" si="76"/>
        <v>1</v>
      </c>
      <c r="BI292" s="214">
        <f t="shared" si="77"/>
        <v>0</v>
      </c>
      <c r="BJ292" s="215">
        <f t="shared" si="78"/>
        <v>0</v>
      </c>
      <c r="BK292" s="215">
        <f t="shared" si="79"/>
        <v>0</v>
      </c>
      <c r="BL292" s="216">
        <f t="shared" si="80"/>
        <v>0</v>
      </c>
      <c r="BM292" s="225">
        <f t="shared" si="81"/>
        <v>0</v>
      </c>
      <c r="BN292" s="225"/>
      <c r="BO292" s="217"/>
      <c r="BP292" s="218">
        <f t="shared" si="82"/>
        <v>1</v>
      </c>
    </row>
    <row r="293" spans="1:68">
      <c r="A293" s="172">
        <v>286</v>
      </c>
      <c r="B293" s="172" t="s">
        <v>85</v>
      </c>
      <c r="C293" s="202">
        <v>300</v>
      </c>
      <c r="D293" s="172" t="s">
        <v>212</v>
      </c>
      <c r="E293" s="172" t="s">
        <v>215</v>
      </c>
      <c r="F293" s="202">
        <f>VLOOKUP(PrévisionBoris[[#This Row],[Spec]],TabModelSpecs[[ModelSpec]:[Price]],2,FALSE)</f>
        <v>175</v>
      </c>
      <c r="G293" s="172" t="s">
        <v>461</v>
      </c>
      <c r="H293" s="206">
        <f>SUMIFS(LstMachines[Nbre],LstMachines[Model-Spec],PrévisionBoris[[#This Row],[Spec]],LstMachines[Status],PrévisionBoris[[#This Row],[Status]],LstMachines[MoisLivr],H$1)</f>
        <v>0</v>
      </c>
      <c r="I293" s="207">
        <f>SUMIFS(LstMachines[Nbre],LstMachines[Model-Spec],PrévisionBoris[[#This Row],[Spec]],LstMachines[Status],PrévisionBoris[[#This Row],[Status]],LstMachines[MoisLivr],I$1)</f>
        <v>0</v>
      </c>
      <c r="J293" s="208">
        <f>SUMIFS(LstMachines[Nbre],LstMachines[Model-Spec],PrévisionBoris[[#This Row],[Spec]],LstMachines[Status],PrévisionBoris[[#This Row],[Status]],LstMachines[MoisLivr],J$1)</f>
        <v>0</v>
      </c>
      <c r="K293" s="206">
        <f>SUMIFS(LstMachines[Nbre],LstMachines[Model-Spec],PrévisionBoris[[#This Row],[Spec]],LstMachines[Status],PrévisionBoris[[#This Row],[Status]],LstMachines[MoisLivr],K$1)</f>
        <v>0</v>
      </c>
      <c r="L293" s="207">
        <f>SUMIFS(LstMachines[Nbre],LstMachines[Model-Spec],PrévisionBoris[[#This Row],[Spec]],LstMachines[Status],PrévisionBoris[[#This Row],[Status]],LstMachines[MoisLivr],L$1)</f>
        <v>0</v>
      </c>
      <c r="M293" s="208">
        <f>SUMIFS(LstMachines[Nbre],LstMachines[Model-Spec],PrévisionBoris[[#This Row],[Spec]],LstMachines[Status],PrévisionBoris[[#This Row],[Status]],LstMachines[MoisLivr],M$1)</f>
        <v>0</v>
      </c>
      <c r="N293" s="206">
        <f>SUMIFS(LstMachines[Nbre],LstMachines[Model-Spec],PrévisionBoris[[#This Row],[Spec]],LstMachines[Status],PrévisionBoris[[#This Row],[Status]],LstMachines[MoisLivr],N$1)</f>
        <v>1</v>
      </c>
      <c r="O293" s="207">
        <f>SUMIFS(LstMachines[Nbre],LstMachines[Model-Spec],PrévisionBoris[[#This Row],[Spec]],LstMachines[Status],PrévisionBoris[[#This Row],[Status]],LstMachines[MoisLivr],O$1)</f>
        <v>0</v>
      </c>
      <c r="P293" s="208">
        <f>SUMIFS(LstMachines[Nbre],LstMachines[Model-Spec],PrévisionBoris[[#This Row],[Spec]],LstMachines[Status],PrévisionBoris[[#This Row],[Status]],LstMachines[MoisLivr],P$1)</f>
        <v>0</v>
      </c>
      <c r="Q293" s="209">
        <f>SUMIFS(LstMachines[Nbre],LstMachines[Model-Spec],PrévisionBoris[[#This Row],[Spec]],LstMachines[Status],PrévisionBoris[[#This Row],[Status]],LstMachines[MoisLivr],Q$1)</f>
        <v>0</v>
      </c>
      <c r="R293" s="207">
        <f>SUMIFS(LstMachines[Nbre],LstMachines[Model-Spec],PrévisionBoris[[#This Row],[Spec]],LstMachines[Status],PrévisionBoris[[#This Row],[Status]],LstMachines[MoisLivr],R$1)</f>
        <v>0</v>
      </c>
      <c r="S293" s="207">
        <f>SUMIFS(LstMachines[Nbre],LstMachines[Model-Spec],PrévisionBoris[[#This Row],[Spec]],LstMachines[Status],PrévisionBoris[[#This Row],[Status]],LstMachines[MoisLivr],S$1)</f>
        <v>0</v>
      </c>
      <c r="T293" s="206">
        <f>SUMIFS(LstMachines[Nbre],LstMachines[Model-Spec],PrévisionBoris[[#This Row],[Spec]],LstMachines[Status],PrévisionBoris[[#This Row],[Status]],LstMachines[MoisLivr],T$1)</f>
        <v>0</v>
      </c>
      <c r="U293" s="207">
        <f>SUMIFS(LstMachines[Nbre],LstMachines[Model-Spec],PrévisionBoris[[#This Row],[Spec]],LstMachines[Status],PrévisionBoris[[#This Row],[Status]],LstMachines[MoisLivr],U$1)</f>
        <v>0</v>
      </c>
      <c r="V293" s="207">
        <f>SUMIFS(LstMachines[Nbre],LstMachines[Model-Spec],PrévisionBoris[[#This Row],[Spec]],LstMachines[Status],PrévisionBoris[[#This Row],[Status]],LstMachines[MoisLivr],V$1)</f>
        <v>0</v>
      </c>
      <c r="W293" s="206">
        <f>SUMIFS(LstMachines[Nbre],LstMachines[Model-Spec],PrévisionBoris[[#This Row],[Spec]],LstMachines[Status],PrévisionBoris[[#This Row],[Status]],LstMachines[MoisLivr],W$1)</f>
        <v>0</v>
      </c>
      <c r="X293" s="207">
        <f>SUMIFS(LstMachines[Nbre],LstMachines[Model-Spec],PrévisionBoris[[#This Row],[Spec]],LstMachines[Status],PrévisionBoris[[#This Row],[Status]],LstMachines[MoisLivr],X$1)</f>
        <v>0</v>
      </c>
      <c r="Y293" s="207">
        <f>SUMIFS(LstMachines[Nbre],LstMachines[Model-Spec],PrévisionBoris[[#This Row],[Spec]],LstMachines[Status],PrévisionBoris[[#This Row],[Status]],LstMachines[MoisLivr],Y$1)</f>
        <v>0</v>
      </c>
      <c r="Z293" s="206">
        <f>SUMIFS(LstMachines[Nbre],LstMachines[Model-Spec],PrévisionBoris[[#This Row],[Spec]],LstMachines[Status],PrévisionBoris[[#This Row],[Status]],LstMachines[MoisLivr],Z$1)</f>
        <v>0</v>
      </c>
      <c r="AA293" s="207">
        <f>SUMIFS(LstMachines[Nbre],LstMachines[Model-Spec],PrévisionBoris[[#This Row],[Spec]],LstMachines[Status],PrévisionBoris[[#This Row],[Status]],LstMachines[MoisLivr],AA$1)</f>
        <v>0</v>
      </c>
      <c r="AB293" s="207">
        <f>SUMIFS(LstMachines[Nbre],LstMachines[Model-Spec],PrévisionBoris[[#This Row],[Spec]],LstMachines[Status],PrévisionBoris[[#This Row],[Status]],LstMachines[MoisLivr],AB$1)</f>
        <v>0</v>
      </c>
      <c r="AC293" s="206">
        <f>SUMIFS(LstMachines[Nbre],LstMachines[Model-Spec],PrévisionBoris[[#This Row],[Spec]],LstMachines[Status],PrévisionBoris[[#This Row],[Status]],LstMachines[MoisLivr],AC$1)</f>
        <v>0</v>
      </c>
      <c r="AD293" s="207">
        <f>SUMIFS(LstMachines[Nbre],LstMachines[Model-Spec],PrévisionBoris[[#This Row],[Spec]],LstMachines[Status],PrévisionBoris[[#This Row],[Status]],LstMachines[MoisLivr],AD$1)</f>
        <v>0</v>
      </c>
      <c r="AE293" s="207">
        <f>SUMIFS(LstMachines[Nbre],LstMachines[Model-Spec],PrévisionBoris[[#This Row],[Spec]],LstMachines[Status],PrévisionBoris[[#This Row],[Status]],LstMachines[MoisLivr],AE$1)</f>
        <v>0</v>
      </c>
      <c r="AF293" s="206">
        <f>SUMIFS(LstMachines[Nbre],LstMachines[Model-Spec],PrévisionBoris[[#This Row],[Spec]],LstMachines[Status],PrévisionBoris[[#This Row],[Status]],LstMachines[MoisLivr],AF$1)</f>
        <v>0</v>
      </c>
      <c r="AG293" s="207">
        <f>SUMIFS(LstMachines[Nbre],LstMachines[Model-Spec],PrévisionBoris[[#This Row],[Spec]],LstMachines[Status],PrévisionBoris[[#This Row],[Status]],LstMachines[MoisLivr],AG$1)</f>
        <v>0</v>
      </c>
      <c r="AH293" s="207">
        <f>SUMIFS(LstMachines[Nbre],LstMachines[Model-Spec],PrévisionBoris[[#This Row],[Spec]],LstMachines[Status],PrévisionBoris[[#This Row],[Status]],LstMachines[MoisLivr],AH$1)</f>
        <v>0</v>
      </c>
      <c r="AI293" s="206">
        <f>SUMIFS(LstMachines[Nbre],LstMachines[Model-Spec],PrévisionBoris[[#This Row],[Spec]],LstMachines[Status],PrévisionBoris[[#This Row],[Status]],LstMachines[MoisLivr],AI$1)</f>
        <v>0</v>
      </c>
      <c r="AJ293" s="207">
        <f>SUMIFS(LstMachines[Nbre],LstMachines[Model-Spec],PrévisionBoris[[#This Row],[Spec]],LstMachines[Status],PrévisionBoris[[#This Row],[Status]],LstMachines[MoisLivr],AJ$1)</f>
        <v>0</v>
      </c>
      <c r="AK293" s="207">
        <f>SUMIFS(LstMachines[Nbre],LstMachines[Model-Spec],PrévisionBoris[[#This Row],[Spec]],LstMachines[Status],PrévisionBoris[[#This Row],[Status]],LstMachines[MoisLivr],AK$1)</f>
        <v>0</v>
      </c>
      <c r="AL293" s="206">
        <f>SUMIFS(LstMachines[Nbre],LstMachines[Model-Spec],PrévisionBoris[[#This Row],[Spec]],LstMachines[Status],PrévisionBoris[[#This Row],[Status]],LstMachines[MoisLivr],AL$1)</f>
        <v>0</v>
      </c>
      <c r="AM293" s="207">
        <f>SUMIFS(LstMachines[Nbre],LstMachines[Model-Spec],PrévisionBoris[[#This Row],[Spec]],LstMachines[Status],PrévisionBoris[[#This Row],[Status]],LstMachines[MoisLivr],AM$1)</f>
        <v>0</v>
      </c>
      <c r="AN293" s="207">
        <f>SUMIFS(LstMachines[Nbre],LstMachines[Model-Spec],PrévisionBoris[[#This Row],[Spec]],LstMachines[Status],PrévisionBoris[[#This Row],[Status]],LstMachines[MoisLivr],AN$1)</f>
        <v>0</v>
      </c>
      <c r="AO293" s="206">
        <f>SUMIFS(LstMachines[Nbre],LstMachines[Model-Spec],PrévisionBoris[[#This Row],[Spec]],LstMachines[Status],PrévisionBoris[[#This Row],[Status]],LstMachines[MoisLivr],AO$1)</f>
        <v>0</v>
      </c>
      <c r="AP293" s="207">
        <f>SUMIFS(LstMachines[Nbre],LstMachines[Model-Spec],PrévisionBoris[[#This Row],[Spec]],LstMachines[Status],PrévisionBoris[[#This Row],[Status]],LstMachines[MoisLivr],AP$1)</f>
        <v>0</v>
      </c>
      <c r="AQ293" s="207">
        <f>SUMIFS(LstMachines[Nbre],LstMachines[Model-Spec],PrévisionBoris[[#This Row],[Spec]],LstMachines[Status],PrévisionBoris[[#This Row],[Status]],LstMachines[MoisLivr],AQ$1)</f>
        <v>0</v>
      </c>
      <c r="AR293" s="206">
        <f>SUMIFS(LstMachines[Nbre],LstMachines[Model-Spec],PrévisionBoris[[#This Row],[Spec]],LstMachines[Status],PrévisionBoris[[#This Row],[Status]],LstMachines[MoisLivr],AR$1)</f>
        <v>0</v>
      </c>
      <c r="AS293" s="207">
        <f>SUMIFS(LstMachines[Nbre],LstMachines[Model-Spec],PrévisionBoris[[#This Row],[Spec]],LstMachines[Status],PrévisionBoris[[#This Row],[Status]],LstMachines[MoisLivr],AS$1)</f>
        <v>0</v>
      </c>
      <c r="AT293" s="207">
        <f>SUMIFS(LstMachines[Nbre],LstMachines[Model-Spec],PrévisionBoris[[#This Row],[Spec]],LstMachines[Status],PrévisionBoris[[#This Row],[Status]],LstMachines[MoisLivr],AT$1)</f>
        <v>0</v>
      </c>
      <c r="AU293" s="206">
        <f>SUMIFS(LstMachines[Nbre],LstMachines[Model-Spec],PrévisionBoris[[#This Row],[Spec]],LstMachines[Status],PrévisionBoris[[#This Row],[Status]],LstMachines[MoisLivr],AU$1)</f>
        <v>0</v>
      </c>
      <c r="AV293" s="233">
        <f>SUMIFS(LstMachines[Nbre],LstMachines[Model-Spec],PrévisionBoris[[#This Row],[Spec]],LstMachines[Status],PrévisionBoris[[#This Row],[Status]],LstMachines[MoisLivr],AV$1)</f>
        <v>0</v>
      </c>
      <c r="AW293" s="208">
        <f>SUMIFS(LstMachines[Nbre],LstMachines[Model-Spec],PrévisionBoris[[#This Row],[Spec]],LstMachines[Status],PrévisionBoris[[#This Row],[Status]],LstMachines[MoisLivr],AW$1)</f>
        <v>0</v>
      </c>
      <c r="AX293" s="225"/>
      <c r="AY293" s="211">
        <f t="shared" si="67"/>
        <v>0</v>
      </c>
      <c r="AZ293" s="212">
        <f t="shared" si="68"/>
        <v>1</v>
      </c>
      <c r="BA293" s="212">
        <f t="shared" si="69"/>
        <v>0</v>
      </c>
      <c r="BB293" s="213">
        <f t="shared" si="70"/>
        <v>0</v>
      </c>
      <c r="BC293" s="225">
        <f t="shared" si="71"/>
        <v>1</v>
      </c>
      <c r="BD293" s="211">
        <f t="shared" si="72"/>
        <v>0</v>
      </c>
      <c r="BE293" s="212">
        <f t="shared" si="73"/>
        <v>0</v>
      </c>
      <c r="BF293" s="212">
        <f t="shared" si="74"/>
        <v>0</v>
      </c>
      <c r="BG293" s="213">
        <f t="shared" si="75"/>
        <v>0</v>
      </c>
      <c r="BH293" s="225">
        <f t="shared" si="76"/>
        <v>0</v>
      </c>
      <c r="BI293" s="214">
        <f t="shared" si="77"/>
        <v>0</v>
      </c>
      <c r="BJ293" s="215">
        <f t="shared" si="78"/>
        <v>0</v>
      </c>
      <c r="BK293" s="215">
        <f t="shared" si="79"/>
        <v>0</v>
      </c>
      <c r="BL293" s="216">
        <f t="shared" si="80"/>
        <v>0</v>
      </c>
      <c r="BM293" s="225">
        <f t="shared" si="81"/>
        <v>0</v>
      </c>
      <c r="BN293" s="225"/>
      <c r="BO293" s="234"/>
      <c r="BP293" s="218">
        <f t="shared" si="82"/>
        <v>1</v>
      </c>
    </row>
    <row r="294" spans="1:68">
      <c r="A294" s="170">
        <v>287</v>
      </c>
      <c r="B294" s="170" t="s">
        <v>85</v>
      </c>
      <c r="C294" s="200">
        <v>300</v>
      </c>
      <c r="D294" s="170" t="s">
        <v>212</v>
      </c>
      <c r="E294" s="170" t="s">
        <v>215</v>
      </c>
      <c r="F294" s="200">
        <f>VLOOKUP(PrévisionBoris[[#This Row],[Spec]],TabModelSpecs[[ModelSpec]:[Price]],2,FALSE)</f>
        <v>175</v>
      </c>
      <c r="G294" s="170" t="s">
        <v>462</v>
      </c>
      <c r="H294" s="219">
        <f>SUMIFS(LstMachines[Nbre],LstMachines[Model-Spec],PrévisionBoris[[#This Row],[Spec]],LstMachines[Status],PrévisionBoris[[#This Row],[Status]],LstMachines[MoisLivr],H$1)</f>
        <v>0</v>
      </c>
      <c r="I294" s="220">
        <f>SUMIFS(LstMachines[Nbre],LstMachines[Model-Spec],PrévisionBoris[[#This Row],[Spec]],LstMachines[Status],PrévisionBoris[[#This Row],[Status]],LstMachines[MoisLivr],I$1)</f>
        <v>0</v>
      </c>
      <c r="J294" s="221">
        <f>SUMIFS(LstMachines[Nbre],LstMachines[Model-Spec],PrévisionBoris[[#This Row],[Spec]],LstMachines[Status],PrévisionBoris[[#This Row],[Status]],LstMachines[MoisLivr],J$1)</f>
        <v>0</v>
      </c>
      <c r="K294" s="219">
        <f>SUMIFS(LstMachines[Nbre],LstMachines[Model-Spec],PrévisionBoris[[#This Row],[Spec]],LstMachines[Status],PrévisionBoris[[#This Row],[Status]],LstMachines[MoisLivr],K$1)</f>
        <v>0</v>
      </c>
      <c r="L294" s="220">
        <f>SUMIFS(LstMachines[Nbre],LstMachines[Model-Spec],PrévisionBoris[[#This Row],[Spec]],LstMachines[Status],PrévisionBoris[[#This Row],[Status]],LstMachines[MoisLivr],L$1)</f>
        <v>0</v>
      </c>
      <c r="M294" s="221">
        <f>SUMIFS(LstMachines[Nbre],LstMachines[Model-Spec],PrévisionBoris[[#This Row],[Spec]],LstMachines[Status],PrévisionBoris[[#This Row],[Status]],LstMachines[MoisLivr],M$1)</f>
        <v>0</v>
      </c>
      <c r="N294" s="219">
        <f>SUMIFS(LstMachines[Nbre],LstMachines[Model-Spec],PrévisionBoris[[#This Row],[Spec]],LstMachines[Status],PrévisionBoris[[#This Row],[Status]],LstMachines[MoisLivr],N$1)</f>
        <v>0</v>
      </c>
      <c r="O294" s="220">
        <f>SUMIFS(LstMachines[Nbre],LstMachines[Model-Spec],PrévisionBoris[[#This Row],[Spec]],LstMachines[Status],PrévisionBoris[[#This Row],[Status]],LstMachines[MoisLivr],O$1)</f>
        <v>0</v>
      </c>
      <c r="P294" s="221">
        <f>SUMIFS(LstMachines[Nbre],LstMachines[Model-Spec],PrévisionBoris[[#This Row],[Spec]],LstMachines[Status],PrévisionBoris[[#This Row],[Status]],LstMachines[MoisLivr],P$1)</f>
        <v>0</v>
      </c>
      <c r="Q294" s="222">
        <f>SUMIFS(LstMachines[Nbre],LstMachines[Model-Spec],PrévisionBoris[[#This Row],[Spec]],LstMachines[Status],PrévisionBoris[[#This Row],[Status]],LstMachines[MoisLivr],Q$1)</f>
        <v>0</v>
      </c>
      <c r="R294" s="220">
        <f>SUMIFS(LstMachines[Nbre],LstMachines[Model-Spec],PrévisionBoris[[#This Row],[Spec]],LstMachines[Status],PrévisionBoris[[#This Row],[Status]],LstMachines[MoisLivr],R$1)</f>
        <v>0</v>
      </c>
      <c r="S294" s="220">
        <f>SUMIFS(LstMachines[Nbre],LstMachines[Model-Spec],PrévisionBoris[[#This Row],[Spec]],LstMachines[Status],PrévisionBoris[[#This Row],[Status]],LstMachines[MoisLivr],S$1)</f>
        <v>0</v>
      </c>
      <c r="T294" s="219">
        <f>SUMIFS(LstMachines[Nbre],LstMachines[Model-Spec],PrévisionBoris[[#This Row],[Spec]],LstMachines[Status],PrévisionBoris[[#This Row],[Status]],LstMachines[MoisLivr],T$1)</f>
        <v>0</v>
      </c>
      <c r="U294" s="220">
        <f>SUMIFS(LstMachines[Nbre],LstMachines[Model-Spec],PrévisionBoris[[#This Row],[Spec]],LstMachines[Status],PrévisionBoris[[#This Row],[Status]],LstMachines[MoisLivr],U$1)</f>
        <v>0</v>
      </c>
      <c r="V294" s="220">
        <f>SUMIFS(LstMachines[Nbre],LstMachines[Model-Spec],PrévisionBoris[[#This Row],[Spec]],LstMachines[Status],PrévisionBoris[[#This Row],[Status]],LstMachines[MoisLivr],V$1)</f>
        <v>0</v>
      </c>
      <c r="W294" s="219">
        <f>SUMIFS(LstMachines[Nbre],LstMachines[Model-Spec],PrévisionBoris[[#This Row],[Spec]],LstMachines[Status],PrévisionBoris[[#This Row],[Status]],LstMachines[MoisLivr],W$1)</f>
        <v>0</v>
      </c>
      <c r="X294" s="220">
        <f>SUMIFS(LstMachines[Nbre],LstMachines[Model-Spec],PrévisionBoris[[#This Row],[Spec]],LstMachines[Status],PrévisionBoris[[#This Row],[Status]],LstMachines[MoisLivr],X$1)</f>
        <v>0</v>
      </c>
      <c r="Y294" s="220">
        <f>SUMIFS(LstMachines[Nbre],LstMachines[Model-Spec],PrévisionBoris[[#This Row],[Spec]],LstMachines[Status],PrévisionBoris[[#This Row],[Status]],LstMachines[MoisLivr],Y$1)</f>
        <v>0</v>
      </c>
      <c r="Z294" s="219">
        <f>SUMIFS(LstMachines[Nbre],LstMachines[Model-Spec],PrévisionBoris[[#This Row],[Spec]],LstMachines[Status],PrévisionBoris[[#This Row],[Status]],LstMachines[MoisLivr],Z$1)</f>
        <v>0</v>
      </c>
      <c r="AA294" s="220">
        <f>SUMIFS(LstMachines[Nbre],LstMachines[Model-Spec],PrévisionBoris[[#This Row],[Spec]],LstMachines[Status],PrévisionBoris[[#This Row],[Status]],LstMachines[MoisLivr],AA$1)</f>
        <v>0</v>
      </c>
      <c r="AB294" s="220">
        <f>SUMIFS(LstMachines[Nbre],LstMachines[Model-Spec],PrévisionBoris[[#This Row],[Spec]],LstMachines[Status],PrévisionBoris[[#This Row],[Status]],LstMachines[MoisLivr],AB$1)</f>
        <v>0</v>
      </c>
      <c r="AC294" s="219">
        <f>SUMIFS(LstMachines[Nbre],LstMachines[Model-Spec],PrévisionBoris[[#This Row],[Spec]],LstMachines[Status],PrévisionBoris[[#This Row],[Status]],LstMachines[MoisLivr],AC$1)</f>
        <v>0</v>
      </c>
      <c r="AD294" s="220">
        <f>SUMIFS(LstMachines[Nbre],LstMachines[Model-Spec],PrévisionBoris[[#This Row],[Spec]],LstMachines[Status],PrévisionBoris[[#This Row],[Status]],LstMachines[MoisLivr],AD$1)</f>
        <v>0</v>
      </c>
      <c r="AE294" s="220">
        <f>SUMIFS(LstMachines[Nbre],LstMachines[Model-Spec],PrévisionBoris[[#This Row],[Spec]],LstMachines[Status],PrévisionBoris[[#This Row],[Status]],LstMachines[MoisLivr],AE$1)</f>
        <v>0</v>
      </c>
      <c r="AF294" s="219">
        <f>SUMIFS(LstMachines[Nbre],LstMachines[Model-Spec],PrévisionBoris[[#This Row],[Spec]],LstMachines[Status],PrévisionBoris[[#This Row],[Status]],LstMachines[MoisLivr],AF$1)</f>
        <v>0</v>
      </c>
      <c r="AG294" s="220">
        <f>SUMIFS(LstMachines[Nbre],LstMachines[Model-Spec],PrévisionBoris[[#This Row],[Spec]],LstMachines[Status],PrévisionBoris[[#This Row],[Status]],LstMachines[MoisLivr],AG$1)</f>
        <v>0</v>
      </c>
      <c r="AH294" s="220">
        <f>SUMIFS(LstMachines[Nbre],LstMachines[Model-Spec],PrévisionBoris[[#This Row],[Spec]],LstMachines[Status],PrévisionBoris[[#This Row],[Status]],LstMachines[MoisLivr],AH$1)</f>
        <v>0</v>
      </c>
      <c r="AI294" s="219">
        <f>SUMIFS(LstMachines[Nbre],LstMachines[Model-Spec],PrévisionBoris[[#This Row],[Spec]],LstMachines[Status],PrévisionBoris[[#This Row],[Status]],LstMachines[MoisLivr],AI$1)</f>
        <v>0</v>
      </c>
      <c r="AJ294" s="220">
        <f>SUMIFS(LstMachines[Nbre],LstMachines[Model-Spec],PrévisionBoris[[#This Row],[Spec]],LstMachines[Status],PrévisionBoris[[#This Row],[Status]],LstMachines[MoisLivr],AJ$1)</f>
        <v>0</v>
      </c>
      <c r="AK294" s="220">
        <f>SUMIFS(LstMachines[Nbre],LstMachines[Model-Spec],PrévisionBoris[[#This Row],[Spec]],LstMachines[Status],PrévisionBoris[[#This Row],[Status]],LstMachines[MoisLivr],AK$1)</f>
        <v>0</v>
      </c>
      <c r="AL294" s="219">
        <f>SUMIFS(LstMachines[Nbre],LstMachines[Model-Spec],PrévisionBoris[[#This Row],[Spec]],LstMachines[Status],PrévisionBoris[[#This Row],[Status]],LstMachines[MoisLivr],AL$1)</f>
        <v>0</v>
      </c>
      <c r="AM294" s="220">
        <f>SUMIFS(LstMachines[Nbre],LstMachines[Model-Spec],PrévisionBoris[[#This Row],[Spec]],LstMachines[Status],PrévisionBoris[[#This Row],[Status]],LstMachines[MoisLivr],AM$1)</f>
        <v>0</v>
      </c>
      <c r="AN294" s="220">
        <f>SUMIFS(LstMachines[Nbre],LstMachines[Model-Spec],PrévisionBoris[[#This Row],[Spec]],LstMachines[Status],PrévisionBoris[[#This Row],[Status]],LstMachines[MoisLivr],AN$1)</f>
        <v>0</v>
      </c>
      <c r="AO294" s="219">
        <f>SUMIFS(LstMachines[Nbre],LstMachines[Model-Spec],PrévisionBoris[[#This Row],[Spec]],LstMachines[Status],PrévisionBoris[[#This Row],[Status]],LstMachines[MoisLivr],AO$1)</f>
        <v>0</v>
      </c>
      <c r="AP294" s="220">
        <f>SUMIFS(LstMachines[Nbre],LstMachines[Model-Spec],PrévisionBoris[[#This Row],[Spec]],LstMachines[Status],PrévisionBoris[[#This Row],[Status]],LstMachines[MoisLivr],AP$1)</f>
        <v>0</v>
      </c>
      <c r="AQ294" s="220">
        <f>SUMIFS(LstMachines[Nbre],LstMachines[Model-Spec],PrévisionBoris[[#This Row],[Spec]],LstMachines[Status],PrévisionBoris[[#This Row],[Status]],LstMachines[MoisLivr],AQ$1)</f>
        <v>0</v>
      </c>
      <c r="AR294" s="219">
        <f>SUMIFS(LstMachines[Nbre],LstMachines[Model-Spec],PrévisionBoris[[#This Row],[Spec]],LstMachines[Status],PrévisionBoris[[#This Row],[Status]],LstMachines[MoisLivr],AR$1)</f>
        <v>0</v>
      </c>
      <c r="AS294" s="220">
        <f>SUMIFS(LstMachines[Nbre],LstMachines[Model-Spec],PrévisionBoris[[#This Row],[Spec]],LstMachines[Status],PrévisionBoris[[#This Row],[Status]],LstMachines[MoisLivr],AS$1)</f>
        <v>0</v>
      </c>
      <c r="AT294" s="220">
        <f>SUMIFS(LstMachines[Nbre],LstMachines[Model-Spec],PrévisionBoris[[#This Row],[Spec]],LstMachines[Status],PrévisionBoris[[#This Row],[Status]],LstMachines[MoisLivr],AT$1)</f>
        <v>0</v>
      </c>
      <c r="AU294" s="219">
        <f>SUMIFS(LstMachines[Nbre],LstMachines[Model-Spec],PrévisionBoris[[#This Row],[Spec]],LstMachines[Status],PrévisionBoris[[#This Row],[Status]],LstMachines[MoisLivr],AU$1)</f>
        <v>0</v>
      </c>
      <c r="AV294" s="223">
        <f>SUMIFS(LstMachines[Nbre],LstMachines[Model-Spec],PrévisionBoris[[#This Row],[Spec]],LstMachines[Status],PrévisionBoris[[#This Row],[Status]],LstMachines[MoisLivr],AV$1)</f>
        <v>0</v>
      </c>
      <c r="AW294" s="224">
        <f>SUMIFS(LstMachines[Nbre],LstMachines[Model-Spec],PrévisionBoris[[#This Row],[Spec]],LstMachines[Status],PrévisionBoris[[#This Row],[Status]],LstMachines[MoisLivr],AW$1)</f>
        <v>0</v>
      </c>
      <c r="AX294" s="210"/>
      <c r="AY294" s="211">
        <f t="shared" si="67"/>
        <v>0</v>
      </c>
      <c r="AZ294" s="212">
        <f t="shared" si="68"/>
        <v>0</v>
      </c>
      <c r="BA294" s="212">
        <f t="shared" si="69"/>
        <v>0</v>
      </c>
      <c r="BB294" s="213">
        <f t="shared" si="70"/>
        <v>0</v>
      </c>
      <c r="BC294" s="225">
        <f t="shared" si="71"/>
        <v>0</v>
      </c>
      <c r="BD294" s="211">
        <f t="shared" si="72"/>
        <v>0</v>
      </c>
      <c r="BE294" s="212">
        <f t="shared" si="73"/>
        <v>0</v>
      </c>
      <c r="BF294" s="212">
        <f t="shared" si="74"/>
        <v>0</v>
      </c>
      <c r="BG294" s="213">
        <f t="shared" si="75"/>
        <v>0</v>
      </c>
      <c r="BH294" s="225">
        <f t="shared" si="76"/>
        <v>0</v>
      </c>
      <c r="BI294" s="214">
        <f t="shared" si="77"/>
        <v>0</v>
      </c>
      <c r="BJ294" s="215">
        <f t="shared" si="78"/>
        <v>0</v>
      </c>
      <c r="BK294" s="215">
        <f t="shared" si="79"/>
        <v>0</v>
      </c>
      <c r="BL294" s="216">
        <f t="shared" si="80"/>
        <v>0</v>
      </c>
      <c r="BM294" s="225">
        <f t="shared" si="81"/>
        <v>0</v>
      </c>
      <c r="BN294" s="225"/>
      <c r="BO294" s="217"/>
      <c r="BP294" s="218">
        <f t="shared" si="82"/>
        <v>0</v>
      </c>
    </row>
    <row r="295" spans="1:68">
      <c r="A295" s="171">
        <v>288</v>
      </c>
      <c r="B295" s="171" t="s">
        <v>85</v>
      </c>
      <c r="C295" s="201">
        <v>300</v>
      </c>
      <c r="D295" s="171" t="s">
        <v>212</v>
      </c>
      <c r="E295" s="171" t="s">
        <v>215</v>
      </c>
      <c r="F295" s="201">
        <f>VLOOKUP(PrévisionBoris[[#This Row],[Spec]],TabModelSpecs[[ModelSpec]:[Price]],2,FALSE)</f>
        <v>175</v>
      </c>
      <c r="G295" s="171" t="s">
        <v>463</v>
      </c>
      <c r="H295" s="226">
        <f>SUMIFS(LstMachines[Nbre],LstMachines[Model-Spec],PrévisionBoris[[#This Row],[Spec]],LstMachines[Status],PrévisionBoris[[#This Row],[Status]],LstMachines[MoisLivr],H$1)</f>
        <v>0</v>
      </c>
      <c r="I295" s="227">
        <f>SUMIFS(LstMachines[Nbre],LstMachines[Model-Spec],PrévisionBoris[[#This Row],[Spec]],LstMachines[Status],PrévisionBoris[[#This Row],[Status]],LstMachines[MoisLivr],I$1)</f>
        <v>0</v>
      </c>
      <c r="J295" s="228">
        <f>SUMIFS(LstMachines[Nbre],LstMachines[Model-Spec],PrévisionBoris[[#This Row],[Spec]],LstMachines[Status],PrévisionBoris[[#This Row],[Status]],LstMachines[MoisLivr],J$1)</f>
        <v>0</v>
      </c>
      <c r="K295" s="226">
        <f>SUMIFS(LstMachines[Nbre],LstMachines[Model-Spec],PrévisionBoris[[#This Row],[Spec]],LstMachines[Status],PrévisionBoris[[#This Row],[Status]],LstMachines[MoisLivr],K$1)</f>
        <v>0</v>
      </c>
      <c r="L295" s="227">
        <f>SUMIFS(LstMachines[Nbre],LstMachines[Model-Spec],PrévisionBoris[[#This Row],[Spec]],LstMachines[Status],PrévisionBoris[[#This Row],[Status]],LstMachines[MoisLivr],L$1)</f>
        <v>0</v>
      </c>
      <c r="M295" s="228">
        <f>SUMIFS(LstMachines[Nbre],LstMachines[Model-Spec],PrévisionBoris[[#This Row],[Spec]],LstMachines[Status],PrévisionBoris[[#This Row],[Status]],LstMachines[MoisLivr],M$1)</f>
        <v>0</v>
      </c>
      <c r="N295" s="226">
        <f>SUMIFS(LstMachines[Nbre],LstMachines[Model-Spec],PrévisionBoris[[#This Row],[Spec]],LstMachines[Status],PrévisionBoris[[#This Row],[Status]],LstMachines[MoisLivr],N$1)</f>
        <v>0</v>
      </c>
      <c r="O295" s="227">
        <f>SUMIFS(LstMachines[Nbre],LstMachines[Model-Spec],PrévisionBoris[[#This Row],[Spec]],LstMachines[Status],PrévisionBoris[[#This Row],[Status]],LstMachines[MoisLivr],O$1)</f>
        <v>0</v>
      </c>
      <c r="P295" s="228">
        <f>SUMIFS(LstMachines[Nbre],LstMachines[Model-Spec],PrévisionBoris[[#This Row],[Spec]],LstMachines[Status],PrévisionBoris[[#This Row],[Status]],LstMachines[MoisLivr],P$1)</f>
        <v>0</v>
      </c>
      <c r="Q295" s="229">
        <f>SUMIFS(LstMachines[Nbre],LstMachines[Model-Spec],PrévisionBoris[[#This Row],[Spec]],LstMachines[Status],PrévisionBoris[[#This Row],[Status]],LstMachines[MoisLivr],Q$1)</f>
        <v>0</v>
      </c>
      <c r="R295" s="227">
        <f>SUMIFS(LstMachines[Nbre],LstMachines[Model-Spec],PrévisionBoris[[#This Row],[Spec]],LstMachines[Status],PrévisionBoris[[#This Row],[Status]],LstMachines[MoisLivr],R$1)</f>
        <v>0</v>
      </c>
      <c r="S295" s="227">
        <f>SUMIFS(LstMachines[Nbre],LstMachines[Model-Spec],PrévisionBoris[[#This Row],[Spec]],LstMachines[Status],PrévisionBoris[[#This Row],[Status]],LstMachines[MoisLivr],S$1)</f>
        <v>0</v>
      </c>
      <c r="T295" s="226">
        <f>SUMIFS(LstMachines[Nbre],LstMachines[Model-Spec],PrévisionBoris[[#This Row],[Spec]],LstMachines[Status],PrévisionBoris[[#This Row],[Status]],LstMachines[MoisLivr],T$1)</f>
        <v>0</v>
      </c>
      <c r="U295" s="227">
        <f>SUMIFS(LstMachines[Nbre],LstMachines[Model-Spec],PrévisionBoris[[#This Row],[Spec]],LstMachines[Status],PrévisionBoris[[#This Row],[Status]],LstMachines[MoisLivr],U$1)</f>
        <v>0</v>
      </c>
      <c r="V295" s="227">
        <f>SUMIFS(LstMachines[Nbre],LstMachines[Model-Spec],PrévisionBoris[[#This Row],[Spec]],LstMachines[Status],PrévisionBoris[[#This Row],[Status]],LstMachines[MoisLivr],V$1)</f>
        <v>0</v>
      </c>
      <c r="W295" s="226">
        <f>SUMIFS(LstMachines[Nbre],LstMachines[Model-Spec],PrévisionBoris[[#This Row],[Spec]],LstMachines[Status],PrévisionBoris[[#This Row],[Status]],LstMachines[MoisLivr],W$1)</f>
        <v>0</v>
      </c>
      <c r="X295" s="227">
        <f>SUMIFS(LstMachines[Nbre],LstMachines[Model-Spec],PrévisionBoris[[#This Row],[Spec]],LstMachines[Status],PrévisionBoris[[#This Row],[Status]],LstMachines[MoisLivr],X$1)</f>
        <v>0</v>
      </c>
      <c r="Y295" s="227">
        <f>SUMIFS(LstMachines[Nbre],LstMachines[Model-Spec],PrévisionBoris[[#This Row],[Spec]],LstMachines[Status],PrévisionBoris[[#This Row],[Status]],LstMachines[MoisLivr],Y$1)</f>
        <v>0</v>
      </c>
      <c r="Z295" s="226">
        <f>SUMIFS(LstMachines[Nbre],LstMachines[Model-Spec],PrévisionBoris[[#This Row],[Spec]],LstMachines[Status],PrévisionBoris[[#This Row],[Status]],LstMachines[MoisLivr],Z$1)</f>
        <v>0</v>
      </c>
      <c r="AA295" s="227">
        <f>SUMIFS(LstMachines[Nbre],LstMachines[Model-Spec],PrévisionBoris[[#This Row],[Spec]],LstMachines[Status],PrévisionBoris[[#This Row],[Status]],LstMachines[MoisLivr],AA$1)</f>
        <v>0</v>
      </c>
      <c r="AB295" s="227">
        <f>SUMIFS(LstMachines[Nbre],LstMachines[Model-Spec],PrévisionBoris[[#This Row],[Spec]],LstMachines[Status],PrévisionBoris[[#This Row],[Status]],LstMachines[MoisLivr],AB$1)</f>
        <v>1</v>
      </c>
      <c r="AC295" s="226">
        <f>SUMIFS(LstMachines[Nbre],LstMachines[Model-Spec],PrévisionBoris[[#This Row],[Spec]],LstMachines[Status],PrévisionBoris[[#This Row],[Status]],LstMachines[MoisLivr],AC$1)</f>
        <v>0</v>
      </c>
      <c r="AD295" s="227">
        <f>SUMIFS(LstMachines[Nbre],LstMachines[Model-Spec],PrévisionBoris[[#This Row],[Spec]],LstMachines[Status],PrévisionBoris[[#This Row],[Status]],LstMachines[MoisLivr],AD$1)</f>
        <v>0</v>
      </c>
      <c r="AE295" s="227">
        <f>SUMIFS(LstMachines[Nbre],LstMachines[Model-Spec],PrévisionBoris[[#This Row],[Spec]],LstMachines[Status],PrévisionBoris[[#This Row],[Status]],LstMachines[MoisLivr],AE$1)</f>
        <v>0</v>
      </c>
      <c r="AF295" s="226">
        <f>SUMIFS(LstMachines[Nbre],LstMachines[Model-Spec],PrévisionBoris[[#This Row],[Spec]],LstMachines[Status],PrévisionBoris[[#This Row],[Status]],LstMachines[MoisLivr],AF$1)</f>
        <v>0</v>
      </c>
      <c r="AG295" s="227">
        <f>SUMIFS(LstMachines[Nbre],LstMachines[Model-Spec],PrévisionBoris[[#This Row],[Spec]],LstMachines[Status],PrévisionBoris[[#This Row],[Status]],LstMachines[MoisLivr],AG$1)</f>
        <v>0</v>
      </c>
      <c r="AH295" s="227">
        <f>SUMIFS(LstMachines[Nbre],LstMachines[Model-Spec],PrévisionBoris[[#This Row],[Spec]],LstMachines[Status],PrévisionBoris[[#This Row],[Status]],LstMachines[MoisLivr],AH$1)</f>
        <v>0</v>
      </c>
      <c r="AI295" s="226">
        <f>SUMIFS(LstMachines[Nbre],LstMachines[Model-Spec],PrévisionBoris[[#This Row],[Spec]],LstMachines[Status],PrévisionBoris[[#This Row],[Status]],LstMachines[MoisLivr],AI$1)</f>
        <v>0</v>
      </c>
      <c r="AJ295" s="227">
        <f>SUMIFS(LstMachines[Nbre],LstMachines[Model-Spec],PrévisionBoris[[#This Row],[Spec]],LstMachines[Status],PrévisionBoris[[#This Row],[Status]],LstMachines[MoisLivr],AJ$1)</f>
        <v>0</v>
      </c>
      <c r="AK295" s="227">
        <f>SUMIFS(LstMachines[Nbre],LstMachines[Model-Spec],PrévisionBoris[[#This Row],[Spec]],LstMachines[Status],PrévisionBoris[[#This Row],[Status]],LstMachines[MoisLivr],AK$1)</f>
        <v>0</v>
      </c>
      <c r="AL295" s="226">
        <f>SUMIFS(LstMachines[Nbre],LstMachines[Model-Spec],PrévisionBoris[[#This Row],[Spec]],LstMachines[Status],PrévisionBoris[[#This Row],[Status]],LstMachines[MoisLivr],AL$1)</f>
        <v>0</v>
      </c>
      <c r="AM295" s="227">
        <f>SUMIFS(LstMachines[Nbre],LstMachines[Model-Spec],PrévisionBoris[[#This Row],[Spec]],LstMachines[Status],PrévisionBoris[[#This Row],[Status]],LstMachines[MoisLivr],AM$1)</f>
        <v>0</v>
      </c>
      <c r="AN295" s="227">
        <f>SUMIFS(LstMachines[Nbre],LstMachines[Model-Spec],PrévisionBoris[[#This Row],[Spec]],LstMachines[Status],PrévisionBoris[[#This Row],[Status]],LstMachines[MoisLivr],AN$1)</f>
        <v>0</v>
      </c>
      <c r="AO295" s="226">
        <f>SUMIFS(LstMachines[Nbre],LstMachines[Model-Spec],PrévisionBoris[[#This Row],[Spec]],LstMachines[Status],PrévisionBoris[[#This Row],[Status]],LstMachines[MoisLivr],AO$1)</f>
        <v>0</v>
      </c>
      <c r="AP295" s="227">
        <f>SUMIFS(LstMachines[Nbre],LstMachines[Model-Spec],PrévisionBoris[[#This Row],[Spec]],LstMachines[Status],PrévisionBoris[[#This Row],[Status]],LstMachines[MoisLivr],AP$1)</f>
        <v>0</v>
      </c>
      <c r="AQ295" s="227">
        <f>SUMIFS(LstMachines[Nbre],LstMachines[Model-Spec],PrévisionBoris[[#This Row],[Spec]],LstMachines[Status],PrévisionBoris[[#This Row],[Status]],LstMachines[MoisLivr],AQ$1)</f>
        <v>0</v>
      </c>
      <c r="AR295" s="226">
        <f>SUMIFS(LstMachines[Nbre],LstMachines[Model-Spec],PrévisionBoris[[#This Row],[Spec]],LstMachines[Status],PrévisionBoris[[#This Row],[Status]],LstMachines[MoisLivr],AR$1)</f>
        <v>0</v>
      </c>
      <c r="AS295" s="227">
        <f>SUMIFS(LstMachines[Nbre],LstMachines[Model-Spec],PrévisionBoris[[#This Row],[Spec]],LstMachines[Status],PrévisionBoris[[#This Row],[Status]],LstMachines[MoisLivr],AS$1)</f>
        <v>0</v>
      </c>
      <c r="AT295" s="227">
        <f>SUMIFS(LstMachines[Nbre],LstMachines[Model-Spec],PrévisionBoris[[#This Row],[Spec]],LstMachines[Status],PrévisionBoris[[#This Row],[Status]],LstMachines[MoisLivr],AT$1)</f>
        <v>0</v>
      </c>
      <c r="AU295" s="226">
        <f>SUMIFS(LstMachines[Nbre],LstMachines[Model-Spec],PrévisionBoris[[#This Row],[Spec]],LstMachines[Status],PrévisionBoris[[#This Row],[Status]],LstMachines[MoisLivr],AU$1)</f>
        <v>0</v>
      </c>
      <c r="AV295" s="230">
        <f>SUMIFS(LstMachines[Nbre],LstMachines[Model-Spec],PrévisionBoris[[#This Row],[Spec]],LstMachines[Status],PrévisionBoris[[#This Row],[Status]],LstMachines[MoisLivr],AV$1)</f>
        <v>0</v>
      </c>
      <c r="AW295" s="231">
        <f>SUMIFS(LstMachines[Nbre],LstMachines[Model-Spec],PrévisionBoris[[#This Row],[Spec]],LstMachines[Status],PrévisionBoris[[#This Row],[Status]],LstMachines[MoisLivr],AW$1)</f>
        <v>0</v>
      </c>
      <c r="AX295" s="232"/>
      <c r="AY295" s="211">
        <f t="shared" si="67"/>
        <v>0</v>
      </c>
      <c r="AZ295" s="212">
        <f t="shared" si="68"/>
        <v>0</v>
      </c>
      <c r="BA295" s="212">
        <f t="shared" si="69"/>
        <v>0</v>
      </c>
      <c r="BB295" s="213">
        <f t="shared" si="70"/>
        <v>0</v>
      </c>
      <c r="BC295" s="225">
        <f t="shared" si="71"/>
        <v>0</v>
      </c>
      <c r="BD295" s="211">
        <f t="shared" si="72"/>
        <v>0</v>
      </c>
      <c r="BE295" s="212">
        <f t="shared" si="73"/>
        <v>1</v>
      </c>
      <c r="BF295" s="212">
        <f t="shared" si="74"/>
        <v>0</v>
      </c>
      <c r="BG295" s="213">
        <f t="shared" si="75"/>
        <v>0</v>
      </c>
      <c r="BH295" s="225">
        <f t="shared" si="76"/>
        <v>1</v>
      </c>
      <c r="BI295" s="214">
        <f t="shared" si="77"/>
        <v>0</v>
      </c>
      <c r="BJ295" s="215">
        <f t="shared" si="78"/>
        <v>0</v>
      </c>
      <c r="BK295" s="215">
        <f t="shared" si="79"/>
        <v>0</v>
      </c>
      <c r="BL295" s="216">
        <f t="shared" si="80"/>
        <v>0</v>
      </c>
      <c r="BM295" s="225">
        <f t="shared" si="81"/>
        <v>0</v>
      </c>
      <c r="BN295" s="225"/>
      <c r="BO295" s="217"/>
      <c r="BP295" s="218">
        <f t="shared" si="82"/>
        <v>1</v>
      </c>
    </row>
    <row r="296" spans="1:68">
      <c r="A296" s="172">
        <v>289</v>
      </c>
      <c r="B296" s="172" t="s">
        <v>85</v>
      </c>
      <c r="C296" s="202">
        <v>300</v>
      </c>
      <c r="D296" s="172" t="s">
        <v>212</v>
      </c>
      <c r="E296" s="172" t="s">
        <v>216</v>
      </c>
      <c r="F296" s="202">
        <f>VLOOKUP(PrévisionBoris[[#This Row],[Spec]],TabModelSpecs[[ModelSpec]:[Price]],2,FALSE)</f>
        <v>160</v>
      </c>
      <c r="G296" s="172" t="s">
        <v>461</v>
      </c>
      <c r="H296" s="206">
        <f>SUMIFS(LstMachines[Nbre],LstMachines[Model-Spec],PrévisionBoris[[#This Row],[Spec]],LstMachines[Status],PrévisionBoris[[#This Row],[Status]],LstMachines[MoisLivr],H$1)</f>
        <v>0</v>
      </c>
      <c r="I296" s="207">
        <f>SUMIFS(LstMachines[Nbre],LstMachines[Model-Spec],PrévisionBoris[[#This Row],[Spec]],LstMachines[Status],PrévisionBoris[[#This Row],[Status]],LstMachines[MoisLivr],I$1)</f>
        <v>0</v>
      </c>
      <c r="J296" s="208">
        <f>SUMIFS(LstMachines[Nbre],LstMachines[Model-Spec],PrévisionBoris[[#This Row],[Spec]],LstMachines[Status],PrévisionBoris[[#This Row],[Status]],LstMachines[MoisLivr],J$1)</f>
        <v>0</v>
      </c>
      <c r="K296" s="206">
        <f>SUMIFS(LstMachines[Nbre],LstMachines[Model-Spec],PrévisionBoris[[#This Row],[Spec]],LstMachines[Status],PrévisionBoris[[#This Row],[Status]],LstMachines[MoisLivr],K$1)</f>
        <v>0</v>
      </c>
      <c r="L296" s="207">
        <f>SUMIFS(LstMachines[Nbre],LstMachines[Model-Spec],PrévisionBoris[[#This Row],[Spec]],LstMachines[Status],PrévisionBoris[[#This Row],[Status]],LstMachines[MoisLivr],L$1)</f>
        <v>0</v>
      </c>
      <c r="M296" s="208">
        <f>SUMIFS(LstMachines[Nbre],LstMachines[Model-Spec],PrévisionBoris[[#This Row],[Spec]],LstMachines[Status],PrévisionBoris[[#This Row],[Status]],LstMachines[MoisLivr],M$1)</f>
        <v>0</v>
      </c>
      <c r="N296" s="206">
        <f>SUMIFS(LstMachines[Nbre],LstMachines[Model-Spec],PrévisionBoris[[#This Row],[Spec]],LstMachines[Status],PrévisionBoris[[#This Row],[Status]],LstMachines[MoisLivr],N$1)</f>
        <v>0</v>
      </c>
      <c r="O296" s="207">
        <f>SUMIFS(LstMachines[Nbre],LstMachines[Model-Spec],PrévisionBoris[[#This Row],[Spec]],LstMachines[Status],PrévisionBoris[[#This Row],[Status]],LstMachines[MoisLivr],O$1)</f>
        <v>0</v>
      </c>
      <c r="P296" s="208">
        <f>SUMIFS(LstMachines[Nbre],LstMachines[Model-Spec],PrévisionBoris[[#This Row],[Spec]],LstMachines[Status],PrévisionBoris[[#This Row],[Status]],LstMachines[MoisLivr],P$1)</f>
        <v>1</v>
      </c>
      <c r="Q296" s="209">
        <f>SUMIFS(LstMachines[Nbre],LstMachines[Model-Spec],PrévisionBoris[[#This Row],[Spec]],LstMachines[Status],PrévisionBoris[[#This Row],[Status]],LstMachines[MoisLivr],Q$1)</f>
        <v>0</v>
      </c>
      <c r="R296" s="207">
        <f>SUMIFS(LstMachines[Nbre],LstMachines[Model-Spec],PrévisionBoris[[#This Row],[Spec]],LstMachines[Status],PrévisionBoris[[#This Row],[Status]],LstMachines[MoisLivr],R$1)</f>
        <v>0</v>
      </c>
      <c r="S296" s="207">
        <f>SUMIFS(LstMachines[Nbre],LstMachines[Model-Spec],PrévisionBoris[[#This Row],[Spec]],LstMachines[Status],PrévisionBoris[[#This Row],[Status]],LstMachines[MoisLivr],S$1)</f>
        <v>0</v>
      </c>
      <c r="T296" s="206">
        <f>SUMIFS(LstMachines[Nbre],LstMachines[Model-Spec],PrévisionBoris[[#This Row],[Spec]],LstMachines[Status],PrévisionBoris[[#This Row],[Status]],LstMachines[MoisLivr],T$1)</f>
        <v>0</v>
      </c>
      <c r="U296" s="207">
        <f>SUMIFS(LstMachines[Nbre],LstMachines[Model-Spec],PrévisionBoris[[#This Row],[Spec]],LstMachines[Status],PrévisionBoris[[#This Row],[Status]],LstMachines[MoisLivr],U$1)</f>
        <v>0</v>
      </c>
      <c r="V296" s="207">
        <f>SUMIFS(LstMachines[Nbre],LstMachines[Model-Spec],PrévisionBoris[[#This Row],[Spec]],LstMachines[Status],PrévisionBoris[[#This Row],[Status]],LstMachines[MoisLivr],V$1)</f>
        <v>0</v>
      </c>
      <c r="W296" s="206">
        <f>SUMIFS(LstMachines[Nbre],LstMachines[Model-Spec],PrévisionBoris[[#This Row],[Spec]],LstMachines[Status],PrévisionBoris[[#This Row],[Status]],LstMachines[MoisLivr],W$1)</f>
        <v>0</v>
      </c>
      <c r="X296" s="207">
        <f>SUMIFS(LstMachines[Nbre],LstMachines[Model-Spec],PrévisionBoris[[#This Row],[Spec]],LstMachines[Status],PrévisionBoris[[#This Row],[Status]],LstMachines[MoisLivr],X$1)</f>
        <v>0</v>
      </c>
      <c r="Y296" s="207">
        <f>SUMIFS(LstMachines[Nbre],LstMachines[Model-Spec],PrévisionBoris[[#This Row],[Spec]],LstMachines[Status],PrévisionBoris[[#This Row],[Status]],LstMachines[MoisLivr],Y$1)</f>
        <v>0</v>
      </c>
      <c r="Z296" s="206">
        <f>SUMIFS(LstMachines[Nbre],LstMachines[Model-Spec],PrévisionBoris[[#This Row],[Spec]],LstMachines[Status],PrévisionBoris[[#This Row],[Status]],LstMachines[MoisLivr],Z$1)</f>
        <v>0</v>
      </c>
      <c r="AA296" s="207">
        <f>SUMIFS(LstMachines[Nbre],LstMachines[Model-Spec],PrévisionBoris[[#This Row],[Spec]],LstMachines[Status],PrévisionBoris[[#This Row],[Status]],LstMachines[MoisLivr],AA$1)</f>
        <v>0</v>
      </c>
      <c r="AB296" s="207">
        <f>SUMIFS(LstMachines[Nbre],LstMachines[Model-Spec],PrévisionBoris[[#This Row],[Spec]],LstMachines[Status],PrévisionBoris[[#This Row],[Status]],LstMachines[MoisLivr],AB$1)</f>
        <v>0</v>
      </c>
      <c r="AC296" s="206">
        <f>SUMIFS(LstMachines[Nbre],LstMachines[Model-Spec],PrévisionBoris[[#This Row],[Spec]],LstMachines[Status],PrévisionBoris[[#This Row],[Status]],LstMachines[MoisLivr],AC$1)</f>
        <v>0</v>
      </c>
      <c r="AD296" s="207">
        <f>SUMIFS(LstMachines[Nbre],LstMachines[Model-Spec],PrévisionBoris[[#This Row],[Spec]],LstMachines[Status],PrévisionBoris[[#This Row],[Status]],LstMachines[MoisLivr],AD$1)</f>
        <v>0</v>
      </c>
      <c r="AE296" s="207">
        <f>SUMIFS(LstMachines[Nbre],LstMachines[Model-Spec],PrévisionBoris[[#This Row],[Spec]],LstMachines[Status],PrévisionBoris[[#This Row],[Status]],LstMachines[MoisLivr],AE$1)</f>
        <v>0</v>
      </c>
      <c r="AF296" s="206">
        <f>SUMIFS(LstMachines[Nbre],LstMachines[Model-Spec],PrévisionBoris[[#This Row],[Spec]],LstMachines[Status],PrévisionBoris[[#This Row],[Status]],LstMachines[MoisLivr],AF$1)</f>
        <v>0</v>
      </c>
      <c r="AG296" s="207">
        <f>SUMIFS(LstMachines[Nbre],LstMachines[Model-Spec],PrévisionBoris[[#This Row],[Spec]],LstMachines[Status],PrévisionBoris[[#This Row],[Status]],LstMachines[MoisLivr],AG$1)</f>
        <v>0</v>
      </c>
      <c r="AH296" s="207">
        <f>SUMIFS(LstMachines[Nbre],LstMachines[Model-Spec],PrévisionBoris[[#This Row],[Spec]],LstMachines[Status],PrévisionBoris[[#This Row],[Status]],LstMachines[MoisLivr],AH$1)</f>
        <v>0</v>
      </c>
      <c r="AI296" s="206">
        <f>SUMIFS(LstMachines[Nbre],LstMachines[Model-Spec],PrévisionBoris[[#This Row],[Spec]],LstMachines[Status],PrévisionBoris[[#This Row],[Status]],LstMachines[MoisLivr],AI$1)</f>
        <v>0</v>
      </c>
      <c r="AJ296" s="207">
        <f>SUMIFS(LstMachines[Nbre],LstMachines[Model-Spec],PrévisionBoris[[#This Row],[Spec]],LstMachines[Status],PrévisionBoris[[#This Row],[Status]],LstMachines[MoisLivr],AJ$1)</f>
        <v>0</v>
      </c>
      <c r="AK296" s="207">
        <f>SUMIFS(LstMachines[Nbre],LstMachines[Model-Spec],PrévisionBoris[[#This Row],[Spec]],LstMachines[Status],PrévisionBoris[[#This Row],[Status]],LstMachines[MoisLivr],AK$1)</f>
        <v>0</v>
      </c>
      <c r="AL296" s="206">
        <f>SUMIFS(LstMachines[Nbre],LstMachines[Model-Spec],PrévisionBoris[[#This Row],[Spec]],LstMachines[Status],PrévisionBoris[[#This Row],[Status]],LstMachines[MoisLivr],AL$1)</f>
        <v>0</v>
      </c>
      <c r="AM296" s="207">
        <f>SUMIFS(LstMachines[Nbre],LstMachines[Model-Spec],PrévisionBoris[[#This Row],[Spec]],LstMachines[Status],PrévisionBoris[[#This Row],[Status]],LstMachines[MoisLivr],AM$1)</f>
        <v>0</v>
      </c>
      <c r="AN296" s="207">
        <f>SUMIFS(LstMachines[Nbre],LstMachines[Model-Spec],PrévisionBoris[[#This Row],[Spec]],LstMachines[Status],PrévisionBoris[[#This Row],[Status]],LstMachines[MoisLivr],AN$1)</f>
        <v>0</v>
      </c>
      <c r="AO296" s="206">
        <f>SUMIFS(LstMachines[Nbre],LstMachines[Model-Spec],PrévisionBoris[[#This Row],[Spec]],LstMachines[Status],PrévisionBoris[[#This Row],[Status]],LstMachines[MoisLivr],AO$1)</f>
        <v>0</v>
      </c>
      <c r="AP296" s="207">
        <f>SUMIFS(LstMachines[Nbre],LstMachines[Model-Spec],PrévisionBoris[[#This Row],[Spec]],LstMachines[Status],PrévisionBoris[[#This Row],[Status]],LstMachines[MoisLivr],AP$1)</f>
        <v>0</v>
      </c>
      <c r="AQ296" s="207">
        <f>SUMIFS(LstMachines[Nbre],LstMachines[Model-Spec],PrévisionBoris[[#This Row],[Spec]],LstMachines[Status],PrévisionBoris[[#This Row],[Status]],LstMachines[MoisLivr],AQ$1)</f>
        <v>0</v>
      </c>
      <c r="AR296" s="206">
        <f>SUMIFS(LstMachines[Nbre],LstMachines[Model-Spec],PrévisionBoris[[#This Row],[Spec]],LstMachines[Status],PrévisionBoris[[#This Row],[Status]],LstMachines[MoisLivr],AR$1)</f>
        <v>0</v>
      </c>
      <c r="AS296" s="207">
        <f>SUMIFS(LstMachines[Nbre],LstMachines[Model-Spec],PrévisionBoris[[#This Row],[Spec]],LstMachines[Status],PrévisionBoris[[#This Row],[Status]],LstMachines[MoisLivr],AS$1)</f>
        <v>0</v>
      </c>
      <c r="AT296" s="207">
        <f>SUMIFS(LstMachines[Nbre],LstMachines[Model-Spec],PrévisionBoris[[#This Row],[Spec]],LstMachines[Status],PrévisionBoris[[#This Row],[Status]],LstMachines[MoisLivr],AT$1)</f>
        <v>0</v>
      </c>
      <c r="AU296" s="206">
        <f>SUMIFS(LstMachines[Nbre],LstMachines[Model-Spec],PrévisionBoris[[#This Row],[Spec]],LstMachines[Status],PrévisionBoris[[#This Row],[Status]],LstMachines[MoisLivr],AU$1)</f>
        <v>0</v>
      </c>
      <c r="AV296" s="233">
        <f>SUMIFS(LstMachines[Nbre],LstMachines[Model-Spec],PrévisionBoris[[#This Row],[Spec]],LstMachines[Status],PrévisionBoris[[#This Row],[Status]],LstMachines[MoisLivr],AV$1)</f>
        <v>0</v>
      </c>
      <c r="AW296" s="208">
        <f>SUMIFS(LstMachines[Nbre],LstMachines[Model-Spec],PrévisionBoris[[#This Row],[Spec]],LstMachines[Status],PrévisionBoris[[#This Row],[Status]],LstMachines[MoisLivr],AW$1)</f>
        <v>0</v>
      </c>
      <c r="AX296" s="225"/>
      <c r="AY296" s="211">
        <f t="shared" si="67"/>
        <v>0</v>
      </c>
      <c r="AZ296" s="212">
        <f t="shared" si="68"/>
        <v>1</v>
      </c>
      <c r="BA296" s="212">
        <f t="shared" si="69"/>
        <v>0</v>
      </c>
      <c r="BB296" s="213">
        <f t="shared" si="70"/>
        <v>0</v>
      </c>
      <c r="BC296" s="225">
        <f t="shared" si="71"/>
        <v>1</v>
      </c>
      <c r="BD296" s="211">
        <f t="shared" si="72"/>
        <v>0</v>
      </c>
      <c r="BE296" s="212">
        <f t="shared" si="73"/>
        <v>0</v>
      </c>
      <c r="BF296" s="212">
        <f t="shared" si="74"/>
        <v>0</v>
      </c>
      <c r="BG296" s="213">
        <f t="shared" si="75"/>
        <v>0</v>
      </c>
      <c r="BH296" s="225">
        <f t="shared" si="76"/>
        <v>0</v>
      </c>
      <c r="BI296" s="214">
        <f t="shared" si="77"/>
        <v>0</v>
      </c>
      <c r="BJ296" s="215">
        <f t="shared" si="78"/>
        <v>0</v>
      </c>
      <c r="BK296" s="215">
        <f t="shared" si="79"/>
        <v>0</v>
      </c>
      <c r="BL296" s="216">
        <f t="shared" si="80"/>
        <v>0</v>
      </c>
      <c r="BM296" s="225">
        <f t="shared" si="81"/>
        <v>0</v>
      </c>
      <c r="BN296" s="225"/>
      <c r="BO296" s="234"/>
      <c r="BP296" s="218">
        <f t="shared" si="82"/>
        <v>1</v>
      </c>
    </row>
    <row r="297" spans="1:68">
      <c r="A297" s="170">
        <v>290</v>
      </c>
      <c r="B297" s="170" t="s">
        <v>85</v>
      </c>
      <c r="C297" s="200">
        <v>300</v>
      </c>
      <c r="D297" s="170" t="s">
        <v>212</v>
      </c>
      <c r="E297" s="170" t="s">
        <v>216</v>
      </c>
      <c r="F297" s="200">
        <f>VLOOKUP(PrévisionBoris[[#This Row],[Spec]],TabModelSpecs[[ModelSpec]:[Price]],2,FALSE)</f>
        <v>160</v>
      </c>
      <c r="G297" s="170" t="s">
        <v>462</v>
      </c>
      <c r="H297" s="219">
        <f>SUMIFS(LstMachines[Nbre],LstMachines[Model-Spec],PrévisionBoris[[#This Row],[Spec]],LstMachines[Status],PrévisionBoris[[#This Row],[Status]],LstMachines[MoisLivr],H$1)</f>
        <v>0</v>
      </c>
      <c r="I297" s="220">
        <f>SUMIFS(LstMachines[Nbre],LstMachines[Model-Spec],PrévisionBoris[[#This Row],[Spec]],LstMachines[Status],PrévisionBoris[[#This Row],[Status]],LstMachines[MoisLivr],I$1)</f>
        <v>0</v>
      </c>
      <c r="J297" s="221">
        <f>SUMIFS(LstMachines[Nbre],LstMachines[Model-Spec],PrévisionBoris[[#This Row],[Spec]],LstMachines[Status],PrévisionBoris[[#This Row],[Status]],LstMachines[MoisLivr],J$1)</f>
        <v>0</v>
      </c>
      <c r="K297" s="219">
        <f>SUMIFS(LstMachines[Nbre],LstMachines[Model-Spec],PrévisionBoris[[#This Row],[Spec]],LstMachines[Status],PrévisionBoris[[#This Row],[Status]],LstMachines[MoisLivr],K$1)</f>
        <v>0</v>
      </c>
      <c r="L297" s="220">
        <f>SUMIFS(LstMachines[Nbre],LstMachines[Model-Spec],PrévisionBoris[[#This Row],[Spec]],LstMachines[Status],PrévisionBoris[[#This Row],[Status]],LstMachines[MoisLivr],L$1)</f>
        <v>0</v>
      </c>
      <c r="M297" s="221">
        <f>SUMIFS(LstMachines[Nbre],LstMachines[Model-Spec],PrévisionBoris[[#This Row],[Spec]],LstMachines[Status],PrévisionBoris[[#This Row],[Status]],LstMachines[MoisLivr],M$1)</f>
        <v>0</v>
      </c>
      <c r="N297" s="219">
        <f>SUMIFS(LstMachines[Nbre],LstMachines[Model-Spec],PrévisionBoris[[#This Row],[Spec]],LstMachines[Status],PrévisionBoris[[#This Row],[Status]],LstMachines[MoisLivr],N$1)</f>
        <v>0</v>
      </c>
      <c r="O297" s="220">
        <f>SUMIFS(LstMachines[Nbre],LstMachines[Model-Spec],PrévisionBoris[[#This Row],[Spec]],LstMachines[Status],PrévisionBoris[[#This Row],[Status]],LstMachines[MoisLivr],O$1)</f>
        <v>0</v>
      </c>
      <c r="P297" s="221">
        <f>SUMIFS(LstMachines[Nbre],LstMachines[Model-Spec],PrévisionBoris[[#This Row],[Spec]],LstMachines[Status],PrévisionBoris[[#This Row],[Status]],LstMachines[MoisLivr],P$1)</f>
        <v>0</v>
      </c>
      <c r="Q297" s="222">
        <f>SUMIFS(LstMachines[Nbre],LstMachines[Model-Spec],PrévisionBoris[[#This Row],[Spec]],LstMachines[Status],PrévisionBoris[[#This Row],[Status]],LstMachines[MoisLivr],Q$1)</f>
        <v>0</v>
      </c>
      <c r="R297" s="220">
        <f>SUMIFS(LstMachines[Nbre],LstMachines[Model-Spec],PrévisionBoris[[#This Row],[Spec]],LstMachines[Status],PrévisionBoris[[#This Row],[Status]],LstMachines[MoisLivr],R$1)</f>
        <v>0</v>
      </c>
      <c r="S297" s="220">
        <f>SUMIFS(LstMachines[Nbre],LstMachines[Model-Spec],PrévisionBoris[[#This Row],[Spec]],LstMachines[Status],PrévisionBoris[[#This Row],[Status]],LstMachines[MoisLivr],S$1)</f>
        <v>0</v>
      </c>
      <c r="T297" s="219">
        <f>SUMIFS(LstMachines[Nbre],LstMachines[Model-Spec],PrévisionBoris[[#This Row],[Spec]],LstMachines[Status],PrévisionBoris[[#This Row],[Status]],LstMachines[MoisLivr],T$1)</f>
        <v>0</v>
      </c>
      <c r="U297" s="220">
        <f>SUMIFS(LstMachines[Nbre],LstMachines[Model-Spec],PrévisionBoris[[#This Row],[Spec]],LstMachines[Status],PrévisionBoris[[#This Row],[Status]],LstMachines[MoisLivr],U$1)</f>
        <v>0</v>
      </c>
      <c r="V297" s="220">
        <f>SUMIFS(LstMachines[Nbre],LstMachines[Model-Spec],PrévisionBoris[[#This Row],[Spec]],LstMachines[Status],PrévisionBoris[[#This Row],[Status]],LstMachines[MoisLivr],V$1)</f>
        <v>0</v>
      </c>
      <c r="W297" s="219">
        <f>SUMIFS(LstMachines[Nbre],LstMachines[Model-Spec],PrévisionBoris[[#This Row],[Spec]],LstMachines[Status],PrévisionBoris[[#This Row],[Status]],LstMachines[MoisLivr],W$1)</f>
        <v>0</v>
      </c>
      <c r="X297" s="220">
        <f>SUMIFS(LstMachines[Nbre],LstMachines[Model-Spec],PrévisionBoris[[#This Row],[Spec]],LstMachines[Status],PrévisionBoris[[#This Row],[Status]],LstMachines[MoisLivr],X$1)</f>
        <v>0</v>
      </c>
      <c r="Y297" s="220">
        <f>SUMIFS(LstMachines[Nbre],LstMachines[Model-Spec],PrévisionBoris[[#This Row],[Spec]],LstMachines[Status],PrévisionBoris[[#This Row],[Status]],LstMachines[MoisLivr],Y$1)</f>
        <v>0</v>
      </c>
      <c r="Z297" s="219">
        <f>SUMIFS(LstMachines[Nbre],LstMachines[Model-Spec],PrévisionBoris[[#This Row],[Spec]],LstMachines[Status],PrévisionBoris[[#This Row],[Status]],LstMachines[MoisLivr],Z$1)</f>
        <v>0</v>
      </c>
      <c r="AA297" s="220">
        <f>SUMIFS(LstMachines[Nbre],LstMachines[Model-Spec],PrévisionBoris[[#This Row],[Spec]],LstMachines[Status],PrévisionBoris[[#This Row],[Status]],LstMachines[MoisLivr],AA$1)</f>
        <v>0</v>
      </c>
      <c r="AB297" s="220">
        <f>SUMIFS(LstMachines[Nbre],LstMachines[Model-Spec],PrévisionBoris[[#This Row],[Spec]],LstMachines[Status],PrévisionBoris[[#This Row],[Status]],LstMachines[MoisLivr],AB$1)</f>
        <v>0</v>
      </c>
      <c r="AC297" s="219">
        <f>SUMIFS(LstMachines[Nbre],LstMachines[Model-Spec],PrévisionBoris[[#This Row],[Spec]],LstMachines[Status],PrévisionBoris[[#This Row],[Status]],LstMachines[MoisLivr],AC$1)</f>
        <v>0</v>
      </c>
      <c r="AD297" s="220">
        <f>SUMIFS(LstMachines[Nbre],LstMachines[Model-Spec],PrévisionBoris[[#This Row],[Spec]],LstMachines[Status],PrévisionBoris[[#This Row],[Status]],LstMachines[MoisLivr],AD$1)</f>
        <v>0</v>
      </c>
      <c r="AE297" s="220">
        <f>SUMIFS(LstMachines[Nbre],LstMachines[Model-Spec],PrévisionBoris[[#This Row],[Spec]],LstMachines[Status],PrévisionBoris[[#This Row],[Status]],LstMachines[MoisLivr],AE$1)</f>
        <v>0</v>
      </c>
      <c r="AF297" s="219">
        <f>SUMIFS(LstMachines[Nbre],LstMachines[Model-Spec],PrévisionBoris[[#This Row],[Spec]],LstMachines[Status],PrévisionBoris[[#This Row],[Status]],LstMachines[MoisLivr],AF$1)</f>
        <v>0</v>
      </c>
      <c r="AG297" s="220">
        <f>SUMIFS(LstMachines[Nbre],LstMachines[Model-Spec],PrévisionBoris[[#This Row],[Spec]],LstMachines[Status],PrévisionBoris[[#This Row],[Status]],LstMachines[MoisLivr],AG$1)</f>
        <v>0</v>
      </c>
      <c r="AH297" s="220">
        <f>SUMIFS(LstMachines[Nbre],LstMachines[Model-Spec],PrévisionBoris[[#This Row],[Spec]],LstMachines[Status],PrévisionBoris[[#This Row],[Status]],LstMachines[MoisLivr],AH$1)</f>
        <v>0</v>
      </c>
      <c r="AI297" s="219">
        <f>SUMIFS(LstMachines[Nbre],LstMachines[Model-Spec],PrévisionBoris[[#This Row],[Spec]],LstMachines[Status],PrévisionBoris[[#This Row],[Status]],LstMachines[MoisLivr],AI$1)</f>
        <v>0</v>
      </c>
      <c r="AJ297" s="220">
        <f>SUMIFS(LstMachines[Nbre],LstMachines[Model-Spec],PrévisionBoris[[#This Row],[Spec]],LstMachines[Status],PrévisionBoris[[#This Row],[Status]],LstMachines[MoisLivr],AJ$1)</f>
        <v>0</v>
      </c>
      <c r="AK297" s="220">
        <f>SUMIFS(LstMachines[Nbre],LstMachines[Model-Spec],PrévisionBoris[[#This Row],[Spec]],LstMachines[Status],PrévisionBoris[[#This Row],[Status]],LstMachines[MoisLivr],AK$1)</f>
        <v>0</v>
      </c>
      <c r="AL297" s="219">
        <f>SUMIFS(LstMachines[Nbre],LstMachines[Model-Spec],PrévisionBoris[[#This Row],[Spec]],LstMachines[Status],PrévisionBoris[[#This Row],[Status]],LstMachines[MoisLivr],AL$1)</f>
        <v>0</v>
      </c>
      <c r="AM297" s="220">
        <f>SUMIFS(LstMachines[Nbre],LstMachines[Model-Spec],PrévisionBoris[[#This Row],[Spec]],LstMachines[Status],PrévisionBoris[[#This Row],[Status]],LstMachines[MoisLivr],AM$1)</f>
        <v>0</v>
      </c>
      <c r="AN297" s="220">
        <f>SUMIFS(LstMachines[Nbre],LstMachines[Model-Spec],PrévisionBoris[[#This Row],[Spec]],LstMachines[Status],PrévisionBoris[[#This Row],[Status]],LstMachines[MoisLivr],AN$1)</f>
        <v>0</v>
      </c>
      <c r="AO297" s="219">
        <f>SUMIFS(LstMachines[Nbre],LstMachines[Model-Spec],PrévisionBoris[[#This Row],[Spec]],LstMachines[Status],PrévisionBoris[[#This Row],[Status]],LstMachines[MoisLivr],AO$1)</f>
        <v>0</v>
      </c>
      <c r="AP297" s="220">
        <f>SUMIFS(LstMachines[Nbre],LstMachines[Model-Spec],PrévisionBoris[[#This Row],[Spec]],LstMachines[Status],PrévisionBoris[[#This Row],[Status]],LstMachines[MoisLivr],AP$1)</f>
        <v>0</v>
      </c>
      <c r="AQ297" s="220">
        <f>SUMIFS(LstMachines[Nbre],LstMachines[Model-Spec],PrévisionBoris[[#This Row],[Spec]],LstMachines[Status],PrévisionBoris[[#This Row],[Status]],LstMachines[MoisLivr],AQ$1)</f>
        <v>0</v>
      </c>
      <c r="AR297" s="219">
        <f>SUMIFS(LstMachines[Nbre],LstMachines[Model-Spec],PrévisionBoris[[#This Row],[Spec]],LstMachines[Status],PrévisionBoris[[#This Row],[Status]],LstMachines[MoisLivr],AR$1)</f>
        <v>0</v>
      </c>
      <c r="AS297" s="220">
        <f>SUMIFS(LstMachines[Nbre],LstMachines[Model-Spec],PrévisionBoris[[#This Row],[Spec]],LstMachines[Status],PrévisionBoris[[#This Row],[Status]],LstMachines[MoisLivr],AS$1)</f>
        <v>0</v>
      </c>
      <c r="AT297" s="220">
        <f>SUMIFS(LstMachines[Nbre],LstMachines[Model-Spec],PrévisionBoris[[#This Row],[Spec]],LstMachines[Status],PrévisionBoris[[#This Row],[Status]],LstMachines[MoisLivr],AT$1)</f>
        <v>0</v>
      </c>
      <c r="AU297" s="219">
        <f>SUMIFS(LstMachines[Nbre],LstMachines[Model-Spec],PrévisionBoris[[#This Row],[Spec]],LstMachines[Status],PrévisionBoris[[#This Row],[Status]],LstMachines[MoisLivr],AU$1)</f>
        <v>0</v>
      </c>
      <c r="AV297" s="223">
        <f>SUMIFS(LstMachines[Nbre],LstMachines[Model-Spec],PrévisionBoris[[#This Row],[Spec]],LstMachines[Status],PrévisionBoris[[#This Row],[Status]],LstMachines[MoisLivr],AV$1)</f>
        <v>0</v>
      </c>
      <c r="AW297" s="224">
        <f>SUMIFS(LstMachines[Nbre],LstMachines[Model-Spec],PrévisionBoris[[#This Row],[Spec]],LstMachines[Status],PrévisionBoris[[#This Row],[Status]],LstMachines[MoisLivr],AW$1)</f>
        <v>0</v>
      </c>
      <c r="AX297" s="210"/>
      <c r="AY297" s="211">
        <f t="shared" si="67"/>
        <v>0</v>
      </c>
      <c r="AZ297" s="212">
        <f t="shared" si="68"/>
        <v>0</v>
      </c>
      <c r="BA297" s="212">
        <f t="shared" si="69"/>
        <v>0</v>
      </c>
      <c r="BB297" s="213">
        <f t="shared" si="70"/>
        <v>0</v>
      </c>
      <c r="BC297" s="225">
        <f t="shared" si="71"/>
        <v>0</v>
      </c>
      <c r="BD297" s="211">
        <f t="shared" si="72"/>
        <v>0</v>
      </c>
      <c r="BE297" s="212">
        <f t="shared" si="73"/>
        <v>0</v>
      </c>
      <c r="BF297" s="212">
        <f t="shared" si="74"/>
        <v>0</v>
      </c>
      <c r="BG297" s="213">
        <f t="shared" si="75"/>
        <v>0</v>
      </c>
      <c r="BH297" s="225">
        <f t="shared" si="76"/>
        <v>0</v>
      </c>
      <c r="BI297" s="214">
        <f t="shared" si="77"/>
        <v>0</v>
      </c>
      <c r="BJ297" s="215">
        <f t="shared" si="78"/>
        <v>0</v>
      </c>
      <c r="BK297" s="215">
        <f t="shared" si="79"/>
        <v>0</v>
      </c>
      <c r="BL297" s="216">
        <f t="shared" si="80"/>
        <v>0</v>
      </c>
      <c r="BM297" s="225">
        <f t="shared" si="81"/>
        <v>0</v>
      </c>
      <c r="BN297" s="225"/>
      <c r="BO297" s="217"/>
      <c r="BP297" s="218">
        <f t="shared" si="82"/>
        <v>0</v>
      </c>
    </row>
    <row r="298" spans="1:68">
      <c r="A298" s="171">
        <v>291</v>
      </c>
      <c r="B298" s="171" t="s">
        <v>85</v>
      </c>
      <c r="C298" s="201">
        <v>300</v>
      </c>
      <c r="D298" s="171" t="s">
        <v>212</v>
      </c>
      <c r="E298" s="171" t="s">
        <v>216</v>
      </c>
      <c r="F298" s="201">
        <f>VLOOKUP(PrévisionBoris[[#This Row],[Spec]],TabModelSpecs[[ModelSpec]:[Price]],2,FALSE)</f>
        <v>160</v>
      </c>
      <c r="G298" s="171" t="s">
        <v>463</v>
      </c>
      <c r="H298" s="226">
        <f>SUMIFS(LstMachines[Nbre],LstMachines[Model-Spec],PrévisionBoris[[#This Row],[Spec]],LstMachines[Status],PrévisionBoris[[#This Row],[Status]],LstMachines[MoisLivr],H$1)</f>
        <v>0</v>
      </c>
      <c r="I298" s="227">
        <f>SUMIFS(LstMachines[Nbre],LstMachines[Model-Spec],PrévisionBoris[[#This Row],[Spec]],LstMachines[Status],PrévisionBoris[[#This Row],[Status]],LstMachines[MoisLivr],I$1)</f>
        <v>0</v>
      </c>
      <c r="J298" s="228">
        <f>SUMIFS(LstMachines[Nbre],LstMachines[Model-Spec],PrévisionBoris[[#This Row],[Spec]],LstMachines[Status],PrévisionBoris[[#This Row],[Status]],LstMachines[MoisLivr],J$1)</f>
        <v>0</v>
      </c>
      <c r="K298" s="226">
        <f>SUMIFS(LstMachines[Nbre],LstMachines[Model-Spec],PrévisionBoris[[#This Row],[Spec]],LstMachines[Status],PrévisionBoris[[#This Row],[Status]],LstMachines[MoisLivr],K$1)</f>
        <v>0</v>
      </c>
      <c r="L298" s="227">
        <f>SUMIFS(LstMachines[Nbre],LstMachines[Model-Spec],PrévisionBoris[[#This Row],[Spec]],LstMachines[Status],PrévisionBoris[[#This Row],[Status]],LstMachines[MoisLivr],L$1)</f>
        <v>0</v>
      </c>
      <c r="M298" s="228">
        <f>SUMIFS(LstMachines[Nbre],LstMachines[Model-Spec],PrévisionBoris[[#This Row],[Spec]],LstMachines[Status],PrévisionBoris[[#This Row],[Status]],LstMachines[MoisLivr],M$1)</f>
        <v>0</v>
      </c>
      <c r="N298" s="226">
        <f>SUMIFS(LstMachines[Nbre],LstMachines[Model-Spec],PrévisionBoris[[#This Row],[Spec]],LstMachines[Status],PrévisionBoris[[#This Row],[Status]],LstMachines[MoisLivr],N$1)</f>
        <v>1</v>
      </c>
      <c r="O298" s="227">
        <f>SUMIFS(LstMachines[Nbre],LstMachines[Model-Spec],PrévisionBoris[[#This Row],[Spec]],LstMachines[Status],PrévisionBoris[[#This Row],[Status]],LstMachines[MoisLivr],O$1)</f>
        <v>0</v>
      </c>
      <c r="P298" s="228">
        <f>SUMIFS(LstMachines[Nbre],LstMachines[Model-Spec],PrévisionBoris[[#This Row],[Spec]],LstMachines[Status],PrévisionBoris[[#This Row],[Status]],LstMachines[MoisLivr],P$1)</f>
        <v>0</v>
      </c>
      <c r="Q298" s="229">
        <f>SUMIFS(LstMachines[Nbre],LstMachines[Model-Spec],PrévisionBoris[[#This Row],[Spec]],LstMachines[Status],PrévisionBoris[[#This Row],[Status]],LstMachines[MoisLivr],Q$1)</f>
        <v>0</v>
      </c>
      <c r="R298" s="227">
        <f>SUMIFS(LstMachines[Nbre],LstMachines[Model-Spec],PrévisionBoris[[#This Row],[Spec]],LstMachines[Status],PrévisionBoris[[#This Row],[Status]],LstMachines[MoisLivr],R$1)</f>
        <v>0</v>
      </c>
      <c r="S298" s="227">
        <f>SUMIFS(LstMachines[Nbre],LstMachines[Model-Spec],PrévisionBoris[[#This Row],[Spec]],LstMachines[Status],PrévisionBoris[[#This Row],[Status]],LstMachines[MoisLivr],S$1)</f>
        <v>0</v>
      </c>
      <c r="T298" s="226">
        <f>SUMIFS(LstMachines[Nbre],LstMachines[Model-Spec],PrévisionBoris[[#This Row],[Spec]],LstMachines[Status],PrévisionBoris[[#This Row],[Status]],LstMachines[MoisLivr],T$1)</f>
        <v>0</v>
      </c>
      <c r="U298" s="227">
        <f>SUMIFS(LstMachines[Nbre],LstMachines[Model-Spec],PrévisionBoris[[#This Row],[Spec]],LstMachines[Status],PrévisionBoris[[#This Row],[Status]],LstMachines[MoisLivr],U$1)</f>
        <v>0</v>
      </c>
      <c r="V298" s="227">
        <f>SUMIFS(LstMachines[Nbre],LstMachines[Model-Spec],PrévisionBoris[[#This Row],[Spec]],LstMachines[Status],PrévisionBoris[[#This Row],[Status]],LstMachines[MoisLivr],V$1)</f>
        <v>0</v>
      </c>
      <c r="W298" s="226">
        <f>SUMIFS(LstMachines[Nbre],LstMachines[Model-Spec],PrévisionBoris[[#This Row],[Spec]],LstMachines[Status],PrévisionBoris[[#This Row],[Status]],LstMachines[MoisLivr],W$1)</f>
        <v>0</v>
      </c>
      <c r="X298" s="227">
        <f>SUMIFS(LstMachines[Nbre],LstMachines[Model-Spec],PrévisionBoris[[#This Row],[Spec]],LstMachines[Status],PrévisionBoris[[#This Row],[Status]],LstMachines[MoisLivr],X$1)</f>
        <v>1</v>
      </c>
      <c r="Y298" s="227">
        <f>SUMIFS(LstMachines[Nbre],LstMachines[Model-Spec],PrévisionBoris[[#This Row],[Spec]],LstMachines[Status],PrévisionBoris[[#This Row],[Status]],LstMachines[MoisLivr],Y$1)</f>
        <v>0</v>
      </c>
      <c r="Z298" s="226">
        <f>SUMIFS(LstMachines[Nbre],LstMachines[Model-Spec],PrévisionBoris[[#This Row],[Spec]],LstMachines[Status],PrévisionBoris[[#This Row],[Status]],LstMachines[MoisLivr],Z$1)</f>
        <v>0</v>
      </c>
      <c r="AA298" s="227">
        <f>SUMIFS(LstMachines[Nbre],LstMachines[Model-Spec],PrévisionBoris[[#This Row],[Spec]],LstMachines[Status],PrévisionBoris[[#This Row],[Status]],LstMachines[MoisLivr],AA$1)</f>
        <v>0</v>
      </c>
      <c r="AB298" s="227">
        <f>SUMIFS(LstMachines[Nbre],LstMachines[Model-Spec],PrévisionBoris[[#This Row],[Spec]],LstMachines[Status],PrévisionBoris[[#This Row],[Status]],LstMachines[MoisLivr],AB$1)</f>
        <v>0</v>
      </c>
      <c r="AC298" s="226">
        <f>SUMIFS(LstMachines[Nbre],LstMachines[Model-Spec],PrévisionBoris[[#This Row],[Spec]],LstMachines[Status],PrévisionBoris[[#This Row],[Status]],LstMachines[MoisLivr],AC$1)</f>
        <v>0</v>
      </c>
      <c r="AD298" s="227">
        <f>SUMIFS(LstMachines[Nbre],LstMachines[Model-Spec],PrévisionBoris[[#This Row],[Spec]],LstMachines[Status],PrévisionBoris[[#This Row],[Status]],LstMachines[MoisLivr],AD$1)</f>
        <v>0</v>
      </c>
      <c r="AE298" s="227">
        <f>SUMIFS(LstMachines[Nbre],LstMachines[Model-Spec],PrévisionBoris[[#This Row],[Spec]],LstMachines[Status],PrévisionBoris[[#This Row],[Status]],LstMachines[MoisLivr],AE$1)</f>
        <v>0</v>
      </c>
      <c r="AF298" s="226">
        <f>SUMIFS(LstMachines[Nbre],LstMachines[Model-Spec],PrévisionBoris[[#This Row],[Spec]],LstMachines[Status],PrévisionBoris[[#This Row],[Status]],LstMachines[MoisLivr],AF$1)</f>
        <v>0</v>
      </c>
      <c r="AG298" s="227">
        <f>SUMIFS(LstMachines[Nbre],LstMachines[Model-Spec],PrévisionBoris[[#This Row],[Spec]],LstMachines[Status],PrévisionBoris[[#This Row],[Status]],LstMachines[MoisLivr],AG$1)</f>
        <v>0</v>
      </c>
      <c r="AH298" s="227">
        <f>SUMIFS(LstMachines[Nbre],LstMachines[Model-Spec],PrévisionBoris[[#This Row],[Spec]],LstMachines[Status],PrévisionBoris[[#This Row],[Status]],LstMachines[MoisLivr],AH$1)</f>
        <v>0</v>
      </c>
      <c r="AI298" s="226">
        <f>SUMIFS(LstMachines[Nbre],LstMachines[Model-Spec],PrévisionBoris[[#This Row],[Spec]],LstMachines[Status],PrévisionBoris[[#This Row],[Status]],LstMachines[MoisLivr],AI$1)</f>
        <v>0</v>
      </c>
      <c r="AJ298" s="227">
        <f>SUMIFS(LstMachines[Nbre],LstMachines[Model-Spec],PrévisionBoris[[#This Row],[Spec]],LstMachines[Status],PrévisionBoris[[#This Row],[Status]],LstMachines[MoisLivr],AJ$1)</f>
        <v>0</v>
      </c>
      <c r="AK298" s="227">
        <f>SUMIFS(LstMachines[Nbre],LstMachines[Model-Spec],PrévisionBoris[[#This Row],[Spec]],LstMachines[Status],PrévisionBoris[[#This Row],[Status]],LstMachines[MoisLivr],AK$1)</f>
        <v>0</v>
      </c>
      <c r="AL298" s="226">
        <f>SUMIFS(LstMachines[Nbre],LstMachines[Model-Spec],PrévisionBoris[[#This Row],[Spec]],LstMachines[Status],PrévisionBoris[[#This Row],[Status]],LstMachines[MoisLivr],AL$1)</f>
        <v>0</v>
      </c>
      <c r="AM298" s="227">
        <f>SUMIFS(LstMachines[Nbre],LstMachines[Model-Spec],PrévisionBoris[[#This Row],[Spec]],LstMachines[Status],PrévisionBoris[[#This Row],[Status]],LstMachines[MoisLivr],AM$1)</f>
        <v>0</v>
      </c>
      <c r="AN298" s="227">
        <f>SUMIFS(LstMachines[Nbre],LstMachines[Model-Spec],PrévisionBoris[[#This Row],[Spec]],LstMachines[Status],PrévisionBoris[[#This Row],[Status]],LstMachines[MoisLivr],AN$1)</f>
        <v>0</v>
      </c>
      <c r="AO298" s="226">
        <f>SUMIFS(LstMachines[Nbre],LstMachines[Model-Spec],PrévisionBoris[[#This Row],[Spec]],LstMachines[Status],PrévisionBoris[[#This Row],[Status]],LstMachines[MoisLivr],AO$1)</f>
        <v>0</v>
      </c>
      <c r="AP298" s="227">
        <f>SUMIFS(LstMachines[Nbre],LstMachines[Model-Spec],PrévisionBoris[[#This Row],[Spec]],LstMachines[Status],PrévisionBoris[[#This Row],[Status]],LstMachines[MoisLivr],AP$1)</f>
        <v>0</v>
      </c>
      <c r="AQ298" s="227">
        <f>SUMIFS(LstMachines[Nbre],LstMachines[Model-Spec],PrévisionBoris[[#This Row],[Spec]],LstMachines[Status],PrévisionBoris[[#This Row],[Status]],LstMachines[MoisLivr],AQ$1)</f>
        <v>0</v>
      </c>
      <c r="AR298" s="226">
        <f>SUMIFS(LstMachines[Nbre],LstMachines[Model-Spec],PrévisionBoris[[#This Row],[Spec]],LstMachines[Status],PrévisionBoris[[#This Row],[Status]],LstMachines[MoisLivr],AR$1)</f>
        <v>0</v>
      </c>
      <c r="AS298" s="227">
        <f>SUMIFS(LstMachines[Nbre],LstMachines[Model-Spec],PrévisionBoris[[#This Row],[Spec]],LstMachines[Status],PrévisionBoris[[#This Row],[Status]],LstMachines[MoisLivr],AS$1)</f>
        <v>0</v>
      </c>
      <c r="AT298" s="227">
        <f>SUMIFS(LstMachines[Nbre],LstMachines[Model-Spec],PrévisionBoris[[#This Row],[Spec]],LstMachines[Status],PrévisionBoris[[#This Row],[Status]],LstMachines[MoisLivr],AT$1)</f>
        <v>0</v>
      </c>
      <c r="AU298" s="226">
        <f>SUMIFS(LstMachines[Nbre],LstMachines[Model-Spec],PrévisionBoris[[#This Row],[Spec]],LstMachines[Status],PrévisionBoris[[#This Row],[Status]],LstMachines[MoisLivr],AU$1)</f>
        <v>0</v>
      </c>
      <c r="AV298" s="230">
        <f>SUMIFS(LstMachines[Nbre],LstMachines[Model-Spec],PrévisionBoris[[#This Row],[Spec]],LstMachines[Status],PrévisionBoris[[#This Row],[Status]],LstMachines[MoisLivr],AV$1)</f>
        <v>0</v>
      </c>
      <c r="AW298" s="231">
        <f>SUMIFS(LstMachines[Nbre],LstMachines[Model-Spec],PrévisionBoris[[#This Row],[Spec]],LstMachines[Status],PrévisionBoris[[#This Row],[Status]],LstMachines[MoisLivr],AW$1)</f>
        <v>0</v>
      </c>
      <c r="AX298" s="232"/>
      <c r="AY298" s="211">
        <f t="shared" si="67"/>
        <v>0</v>
      </c>
      <c r="AZ298" s="212">
        <f t="shared" si="68"/>
        <v>1</v>
      </c>
      <c r="BA298" s="212">
        <f t="shared" si="69"/>
        <v>0</v>
      </c>
      <c r="BB298" s="213">
        <f t="shared" si="70"/>
        <v>0</v>
      </c>
      <c r="BC298" s="225">
        <f t="shared" si="71"/>
        <v>1</v>
      </c>
      <c r="BD298" s="211">
        <f t="shared" si="72"/>
        <v>1</v>
      </c>
      <c r="BE298" s="212">
        <f t="shared" si="73"/>
        <v>0</v>
      </c>
      <c r="BF298" s="212">
        <f t="shared" si="74"/>
        <v>0</v>
      </c>
      <c r="BG298" s="213">
        <f t="shared" si="75"/>
        <v>0</v>
      </c>
      <c r="BH298" s="225">
        <f t="shared" si="76"/>
        <v>1</v>
      </c>
      <c r="BI298" s="214">
        <f t="shared" si="77"/>
        <v>0</v>
      </c>
      <c r="BJ298" s="215">
        <f t="shared" si="78"/>
        <v>0</v>
      </c>
      <c r="BK298" s="215">
        <f t="shared" si="79"/>
        <v>0</v>
      </c>
      <c r="BL298" s="216">
        <f t="shared" si="80"/>
        <v>0</v>
      </c>
      <c r="BM298" s="225">
        <f t="shared" si="81"/>
        <v>0</v>
      </c>
      <c r="BN298" s="225"/>
      <c r="BO298" s="217"/>
      <c r="BP298" s="218">
        <f t="shared" si="82"/>
        <v>2</v>
      </c>
    </row>
    <row r="299" spans="1:68">
      <c r="A299" s="172">
        <v>292</v>
      </c>
      <c r="B299" s="172" t="s">
        <v>85</v>
      </c>
      <c r="C299" s="202">
        <v>350</v>
      </c>
      <c r="D299" s="172" t="s">
        <v>90</v>
      </c>
      <c r="E299" s="172" t="s">
        <v>217</v>
      </c>
      <c r="F299" s="202">
        <f>VLOOKUP(PrévisionBoris[[#This Row],[Spec]],TabModelSpecs[[ModelSpec]:[Price]],2,FALSE)</f>
        <v>200</v>
      </c>
      <c r="G299" s="172" t="s">
        <v>461</v>
      </c>
      <c r="H299" s="206">
        <f>SUMIFS(LstMachines[Nbre],LstMachines[Model-Spec],PrévisionBoris[[#This Row],[Spec]],LstMachines[Status],PrévisionBoris[[#This Row],[Status]],LstMachines[MoisLivr],H$1)</f>
        <v>0</v>
      </c>
      <c r="I299" s="207">
        <f>SUMIFS(LstMachines[Nbre],LstMachines[Model-Spec],PrévisionBoris[[#This Row],[Spec]],LstMachines[Status],PrévisionBoris[[#This Row],[Status]],LstMachines[MoisLivr],I$1)</f>
        <v>0</v>
      </c>
      <c r="J299" s="208">
        <f>SUMIFS(LstMachines[Nbre],LstMachines[Model-Spec],PrévisionBoris[[#This Row],[Spec]],LstMachines[Status],PrévisionBoris[[#This Row],[Status]],LstMachines[MoisLivr],J$1)</f>
        <v>0</v>
      </c>
      <c r="K299" s="206">
        <f>SUMIFS(LstMachines[Nbre],LstMachines[Model-Spec],PrévisionBoris[[#This Row],[Spec]],LstMachines[Status],PrévisionBoris[[#This Row],[Status]],LstMachines[MoisLivr],K$1)</f>
        <v>0</v>
      </c>
      <c r="L299" s="207">
        <f>SUMIFS(LstMachines[Nbre],LstMachines[Model-Spec],PrévisionBoris[[#This Row],[Spec]],LstMachines[Status],PrévisionBoris[[#This Row],[Status]],LstMachines[MoisLivr],L$1)</f>
        <v>0</v>
      </c>
      <c r="M299" s="208">
        <f>SUMIFS(LstMachines[Nbre],LstMachines[Model-Spec],PrévisionBoris[[#This Row],[Spec]],LstMachines[Status],PrévisionBoris[[#This Row],[Status]],LstMachines[MoisLivr],M$1)</f>
        <v>0</v>
      </c>
      <c r="N299" s="206">
        <f>SUMIFS(LstMachines[Nbre],LstMachines[Model-Spec],PrévisionBoris[[#This Row],[Spec]],LstMachines[Status],PrévisionBoris[[#This Row],[Status]],LstMachines[MoisLivr],N$1)</f>
        <v>0</v>
      </c>
      <c r="O299" s="207">
        <f>SUMIFS(LstMachines[Nbre],LstMachines[Model-Spec],PrévisionBoris[[#This Row],[Spec]],LstMachines[Status],PrévisionBoris[[#This Row],[Status]],LstMachines[MoisLivr],O$1)</f>
        <v>0</v>
      </c>
      <c r="P299" s="208">
        <f>SUMIFS(LstMachines[Nbre],LstMachines[Model-Spec],PrévisionBoris[[#This Row],[Spec]],LstMachines[Status],PrévisionBoris[[#This Row],[Status]],LstMachines[MoisLivr],P$1)</f>
        <v>0</v>
      </c>
      <c r="Q299" s="209">
        <f>SUMIFS(LstMachines[Nbre],LstMachines[Model-Spec],PrévisionBoris[[#This Row],[Spec]],LstMachines[Status],PrévisionBoris[[#This Row],[Status]],LstMachines[MoisLivr],Q$1)</f>
        <v>0</v>
      </c>
      <c r="R299" s="207">
        <f>SUMIFS(LstMachines[Nbre],LstMachines[Model-Spec],PrévisionBoris[[#This Row],[Spec]],LstMachines[Status],PrévisionBoris[[#This Row],[Status]],LstMachines[MoisLivr],R$1)</f>
        <v>0</v>
      </c>
      <c r="S299" s="207">
        <f>SUMIFS(LstMachines[Nbre],LstMachines[Model-Spec],PrévisionBoris[[#This Row],[Spec]],LstMachines[Status],PrévisionBoris[[#This Row],[Status]],LstMachines[MoisLivr],S$1)</f>
        <v>0</v>
      </c>
      <c r="T299" s="206">
        <f>SUMIFS(LstMachines[Nbre],LstMachines[Model-Spec],PrévisionBoris[[#This Row],[Spec]],LstMachines[Status],PrévisionBoris[[#This Row],[Status]],LstMachines[MoisLivr],T$1)</f>
        <v>0</v>
      </c>
      <c r="U299" s="207">
        <f>SUMIFS(LstMachines[Nbre],LstMachines[Model-Spec],PrévisionBoris[[#This Row],[Spec]],LstMachines[Status],PrévisionBoris[[#This Row],[Status]],LstMachines[MoisLivr],U$1)</f>
        <v>0</v>
      </c>
      <c r="V299" s="207">
        <f>SUMIFS(LstMachines[Nbre],LstMachines[Model-Spec],PrévisionBoris[[#This Row],[Spec]],LstMachines[Status],PrévisionBoris[[#This Row],[Status]],LstMachines[MoisLivr],V$1)</f>
        <v>0</v>
      </c>
      <c r="W299" s="206">
        <f>SUMIFS(LstMachines[Nbre],LstMachines[Model-Spec],PrévisionBoris[[#This Row],[Spec]],LstMachines[Status],PrévisionBoris[[#This Row],[Status]],LstMachines[MoisLivr],W$1)</f>
        <v>0</v>
      </c>
      <c r="X299" s="207">
        <f>SUMIFS(LstMachines[Nbre],LstMachines[Model-Spec],PrévisionBoris[[#This Row],[Spec]],LstMachines[Status],PrévisionBoris[[#This Row],[Status]],LstMachines[MoisLivr],X$1)</f>
        <v>0</v>
      </c>
      <c r="Y299" s="207">
        <f>SUMIFS(LstMachines[Nbre],LstMachines[Model-Spec],PrévisionBoris[[#This Row],[Spec]],LstMachines[Status],PrévisionBoris[[#This Row],[Status]],LstMachines[MoisLivr],Y$1)</f>
        <v>0</v>
      </c>
      <c r="Z299" s="206">
        <f>SUMIFS(LstMachines[Nbre],LstMachines[Model-Spec],PrévisionBoris[[#This Row],[Spec]],LstMachines[Status],PrévisionBoris[[#This Row],[Status]],LstMachines[MoisLivr],Z$1)</f>
        <v>0</v>
      </c>
      <c r="AA299" s="207">
        <f>SUMIFS(LstMachines[Nbre],LstMachines[Model-Spec],PrévisionBoris[[#This Row],[Spec]],LstMachines[Status],PrévisionBoris[[#This Row],[Status]],LstMachines[MoisLivr],AA$1)</f>
        <v>0</v>
      </c>
      <c r="AB299" s="207">
        <f>SUMIFS(LstMachines[Nbre],LstMachines[Model-Spec],PrévisionBoris[[#This Row],[Spec]],LstMachines[Status],PrévisionBoris[[#This Row],[Status]],LstMachines[MoisLivr],AB$1)</f>
        <v>0</v>
      </c>
      <c r="AC299" s="206">
        <f>SUMIFS(LstMachines[Nbre],LstMachines[Model-Spec],PrévisionBoris[[#This Row],[Spec]],LstMachines[Status],PrévisionBoris[[#This Row],[Status]],LstMachines[MoisLivr],AC$1)</f>
        <v>0</v>
      </c>
      <c r="AD299" s="207">
        <f>SUMIFS(LstMachines[Nbre],LstMachines[Model-Spec],PrévisionBoris[[#This Row],[Spec]],LstMachines[Status],PrévisionBoris[[#This Row],[Status]],LstMachines[MoisLivr],AD$1)</f>
        <v>0</v>
      </c>
      <c r="AE299" s="207">
        <f>SUMIFS(LstMachines[Nbre],LstMachines[Model-Spec],PrévisionBoris[[#This Row],[Spec]],LstMachines[Status],PrévisionBoris[[#This Row],[Status]],LstMachines[MoisLivr],AE$1)</f>
        <v>0</v>
      </c>
      <c r="AF299" s="206">
        <f>SUMIFS(LstMachines[Nbre],LstMachines[Model-Spec],PrévisionBoris[[#This Row],[Spec]],LstMachines[Status],PrévisionBoris[[#This Row],[Status]],LstMachines[MoisLivr],AF$1)</f>
        <v>0</v>
      </c>
      <c r="AG299" s="207">
        <f>SUMIFS(LstMachines[Nbre],LstMachines[Model-Spec],PrévisionBoris[[#This Row],[Spec]],LstMachines[Status],PrévisionBoris[[#This Row],[Status]],LstMachines[MoisLivr],AG$1)</f>
        <v>0</v>
      </c>
      <c r="AH299" s="207">
        <f>SUMIFS(LstMachines[Nbre],LstMachines[Model-Spec],PrévisionBoris[[#This Row],[Spec]],LstMachines[Status],PrévisionBoris[[#This Row],[Status]],LstMachines[MoisLivr],AH$1)</f>
        <v>0</v>
      </c>
      <c r="AI299" s="206">
        <f>SUMIFS(LstMachines[Nbre],LstMachines[Model-Spec],PrévisionBoris[[#This Row],[Spec]],LstMachines[Status],PrévisionBoris[[#This Row],[Status]],LstMachines[MoisLivr],AI$1)</f>
        <v>0</v>
      </c>
      <c r="AJ299" s="207">
        <f>SUMIFS(LstMachines[Nbre],LstMachines[Model-Spec],PrévisionBoris[[#This Row],[Spec]],LstMachines[Status],PrévisionBoris[[#This Row],[Status]],LstMachines[MoisLivr],AJ$1)</f>
        <v>0</v>
      </c>
      <c r="AK299" s="207">
        <f>SUMIFS(LstMachines[Nbre],LstMachines[Model-Spec],PrévisionBoris[[#This Row],[Spec]],LstMachines[Status],PrévisionBoris[[#This Row],[Status]],LstMachines[MoisLivr],AK$1)</f>
        <v>0</v>
      </c>
      <c r="AL299" s="206">
        <f>SUMIFS(LstMachines[Nbre],LstMachines[Model-Spec],PrévisionBoris[[#This Row],[Spec]],LstMachines[Status],PrévisionBoris[[#This Row],[Status]],LstMachines[MoisLivr],AL$1)</f>
        <v>0</v>
      </c>
      <c r="AM299" s="207">
        <f>SUMIFS(LstMachines[Nbre],LstMachines[Model-Spec],PrévisionBoris[[#This Row],[Spec]],LstMachines[Status],PrévisionBoris[[#This Row],[Status]],LstMachines[MoisLivr],AM$1)</f>
        <v>0</v>
      </c>
      <c r="AN299" s="207">
        <f>SUMIFS(LstMachines[Nbre],LstMachines[Model-Spec],PrévisionBoris[[#This Row],[Spec]],LstMachines[Status],PrévisionBoris[[#This Row],[Status]],LstMachines[MoisLivr],AN$1)</f>
        <v>0</v>
      </c>
      <c r="AO299" s="206">
        <f>SUMIFS(LstMachines[Nbre],LstMachines[Model-Spec],PrévisionBoris[[#This Row],[Spec]],LstMachines[Status],PrévisionBoris[[#This Row],[Status]],LstMachines[MoisLivr],AO$1)</f>
        <v>0</v>
      </c>
      <c r="AP299" s="207">
        <f>SUMIFS(LstMachines[Nbre],LstMachines[Model-Spec],PrévisionBoris[[#This Row],[Spec]],LstMachines[Status],PrévisionBoris[[#This Row],[Status]],LstMachines[MoisLivr],AP$1)</f>
        <v>0</v>
      </c>
      <c r="AQ299" s="207">
        <f>SUMIFS(LstMachines[Nbre],LstMachines[Model-Spec],PrévisionBoris[[#This Row],[Spec]],LstMachines[Status],PrévisionBoris[[#This Row],[Status]],LstMachines[MoisLivr],AQ$1)</f>
        <v>0</v>
      </c>
      <c r="AR299" s="206">
        <f>SUMIFS(LstMachines[Nbre],LstMachines[Model-Spec],PrévisionBoris[[#This Row],[Spec]],LstMachines[Status],PrévisionBoris[[#This Row],[Status]],LstMachines[MoisLivr],AR$1)</f>
        <v>0</v>
      </c>
      <c r="AS299" s="207">
        <f>SUMIFS(LstMachines[Nbre],LstMachines[Model-Spec],PrévisionBoris[[#This Row],[Spec]],LstMachines[Status],PrévisionBoris[[#This Row],[Status]],LstMachines[MoisLivr],AS$1)</f>
        <v>0</v>
      </c>
      <c r="AT299" s="207">
        <f>SUMIFS(LstMachines[Nbre],LstMachines[Model-Spec],PrévisionBoris[[#This Row],[Spec]],LstMachines[Status],PrévisionBoris[[#This Row],[Status]],LstMachines[MoisLivr],AT$1)</f>
        <v>0</v>
      </c>
      <c r="AU299" s="206">
        <f>SUMIFS(LstMachines[Nbre],LstMachines[Model-Spec],PrévisionBoris[[#This Row],[Spec]],LstMachines[Status],PrévisionBoris[[#This Row],[Status]],LstMachines[MoisLivr],AU$1)</f>
        <v>0</v>
      </c>
      <c r="AV299" s="233">
        <f>SUMIFS(LstMachines[Nbre],LstMachines[Model-Spec],PrévisionBoris[[#This Row],[Spec]],LstMachines[Status],PrévisionBoris[[#This Row],[Status]],LstMachines[MoisLivr],AV$1)</f>
        <v>0</v>
      </c>
      <c r="AW299" s="208">
        <f>SUMIFS(LstMachines[Nbre],LstMachines[Model-Spec],PrévisionBoris[[#This Row],[Spec]],LstMachines[Status],PrévisionBoris[[#This Row],[Status]],LstMachines[MoisLivr],AW$1)</f>
        <v>0</v>
      </c>
      <c r="AX299" s="225"/>
      <c r="AY299" s="211">
        <f t="shared" si="67"/>
        <v>0</v>
      </c>
      <c r="AZ299" s="212">
        <f t="shared" si="68"/>
        <v>0</v>
      </c>
      <c r="BA299" s="212">
        <f t="shared" si="69"/>
        <v>0</v>
      </c>
      <c r="BB299" s="213">
        <f t="shared" si="70"/>
        <v>0</v>
      </c>
      <c r="BC299" s="225">
        <f t="shared" si="71"/>
        <v>0</v>
      </c>
      <c r="BD299" s="211">
        <f t="shared" si="72"/>
        <v>0</v>
      </c>
      <c r="BE299" s="212">
        <f t="shared" si="73"/>
        <v>0</v>
      </c>
      <c r="BF299" s="212">
        <f t="shared" si="74"/>
        <v>0</v>
      </c>
      <c r="BG299" s="213">
        <f t="shared" si="75"/>
        <v>0</v>
      </c>
      <c r="BH299" s="225">
        <f t="shared" si="76"/>
        <v>0</v>
      </c>
      <c r="BI299" s="214">
        <f t="shared" si="77"/>
        <v>0</v>
      </c>
      <c r="BJ299" s="215">
        <f t="shared" si="78"/>
        <v>0</v>
      </c>
      <c r="BK299" s="215">
        <f t="shared" si="79"/>
        <v>0</v>
      </c>
      <c r="BL299" s="216">
        <f t="shared" si="80"/>
        <v>0</v>
      </c>
      <c r="BM299" s="225">
        <f t="shared" si="81"/>
        <v>0</v>
      </c>
      <c r="BN299" s="225"/>
      <c r="BO299" s="234"/>
      <c r="BP299" s="218">
        <f t="shared" si="82"/>
        <v>0</v>
      </c>
    </row>
    <row r="300" spans="1:68">
      <c r="A300" s="170">
        <v>293</v>
      </c>
      <c r="B300" s="170" t="s">
        <v>85</v>
      </c>
      <c r="C300" s="200">
        <v>350</v>
      </c>
      <c r="D300" s="170" t="s">
        <v>90</v>
      </c>
      <c r="E300" s="170" t="s">
        <v>217</v>
      </c>
      <c r="F300" s="200">
        <f>VLOOKUP(PrévisionBoris[[#This Row],[Spec]],TabModelSpecs[[ModelSpec]:[Price]],2,FALSE)</f>
        <v>200</v>
      </c>
      <c r="G300" s="170" t="s">
        <v>462</v>
      </c>
      <c r="H300" s="219">
        <f>SUMIFS(LstMachines[Nbre],LstMachines[Model-Spec],PrévisionBoris[[#This Row],[Spec]],LstMachines[Status],PrévisionBoris[[#This Row],[Status]],LstMachines[MoisLivr],H$1)</f>
        <v>0</v>
      </c>
      <c r="I300" s="220">
        <f>SUMIFS(LstMachines[Nbre],LstMachines[Model-Spec],PrévisionBoris[[#This Row],[Spec]],LstMachines[Status],PrévisionBoris[[#This Row],[Status]],LstMachines[MoisLivr],I$1)</f>
        <v>0</v>
      </c>
      <c r="J300" s="221">
        <f>SUMIFS(LstMachines[Nbre],LstMachines[Model-Spec],PrévisionBoris[[#This Row],[Spec]],LstMachines[Status],PrévisionBoris[[#This Row],[Status]],LstMachines[MoisLivr],J$1)</f>
        <v>0</v>
      </c>
      <c r="K300" s="219">
        <f>SUMIFS(LstMachines[Nbre],LstMachines[Model-Spec],PrévisionBoris[[#This Row],[Spec]],LstMachines[Status],PrévisionBoris[[#This Row],[Status]],LstMachines[MoisLivr],K$1)</f>
        <v>0</v>
      </c>
      <c r="L300" s="220">
        <f>SUMIFS(LstMachines[Nbre],LstMachines[Model-Spec],PrévisionBoris[[#This Row],[Spec]],LstMachines[Status],PrévisionBoris[[#This Row],[Status]],LstMachines[MoisLivr],L$1)</f>
        <v>0</v>
      </c>
      <c r="M300" s="221">
        <f>SUMIFS(LstMachines[Nbre],LstMachines[Model-Spec],PrévisionBoris[[#This Row],[Spec]],LstMachines[Status],PrévisionBoris[[#This Row],[Status]],LstMachines[MoisLivr],M$1)</f>
        <v>0</v>
      </c>
      <c r="N300" s="219">
        <f>SUMIFS(LstMachines[Nbre],LstMachines[Model-Spec],PrévisionBoris[[#This Row],[Spec]],LstMachines[Status],PrévisionBoris[[#This Row],[Status]],LstMachines[MoisLivr],N$1)</f>
        <v>0</v>
      </c>
      <c r="O300" s="220">
        <f>SUMIFS(LstMachines[Nbre],LstMachines[Model-Spec],PrévisionBoris[[#This Row],[Spec]],LstMachines[Status],PrévisionBoris[[#This Row],[Status]],LstMachines[MoisLivr],O$1)</f>
        <v>0</v>
      </c>
      <c r="P300" s="221">
        <f>SUMIFS(LstMachines[Nbre],LstMachines[Model-Spec],PrévisionBoris[[#This Row],[Spec]],LstMachines[Status],PrévisionBoris[[#This Row],[Status]],LstMachines[MoisLivr],P$1)</f>
        <v>0</v>
      </c>
      <c r="Q300" s="222">
        <f>SUMIFS(LstMachines[Nbre],LstMachines[Model-Spec],PrévisionBoris[[#This Row],[Spec]],LstMachines[Status],PrévisionBoris[[#This Row],[Status]],LstMachines[MoisLivr],Q$1)</f>
        <v>0</v>
      </c>
      <c r="R300" s="220">
        <f>SUMIFS(LstMachines[Nbre],LstMachines[Model-Spec],PrévisionBoris[[#This Row],[Spec]],LstMachines[Status],PrévisionBoris[[#This Row],[Status]],LstMachines[MoisLivr],R$1)</f>
        <v>0</v>
      </c>
      <c r="S300" s="220">
        <f>SUMIFS(LstMachines[Nbre],LstMachines[Model-Spec],PrévisionBoris[[#This Row],[Spec]],LstMachines[Status],PrévisionBoris[[#This Row],[Status]],LstMachines[MoisLivr],S$1)</f>
        <v>0</v>
      </c>
      <c r="T300" s="219">
        <f>SUMIFS(LstMachines[Nbre],LstMachines[Model-Spec],PrévisionBoris[[#This Row],[Spec]],LstMachines[Status],PrévisionBoris[[#This Row],[Status]],LstMachines[MoisLivr],T$1)</f>
        <v>0</v>
      </c>
      <c r="U300" s="220">
        <f>SUMIFS(LstMachines[Nbre],LstMachines[Model-Spec],PrévisionBoris[[#This Row],[Spec]],LstMachines[Status],PrévisionBoris[[#This Row],[Status]],LstMachines[MoisLivr],U$1)</f>
        <v>0</v>
      </c>
      <c r="V300" s="220">
        <f>SUMIFS(LstMachines[Nbre],LstMachines[Model-Spec],PrévisionBoris[[#This Row],[Spec]],LstMachines[Status],PrévisionBoris[[#This Row],[Status]],LstMachines[MoisLivr],V$1)</f>
        <v>0</v>
      </c>
      <c r="W300" s="219">
        <f>SUMIFS(LstMachines[Nbre],LstMachines[Model-Spec],PrévisionBoris[[#This Row],[Spec]],LstMachines[Status],PrévisionBoris[[#This Row],[Status]],LstMachines[MoisLivr],W$1)</f>
        <v>0</v>
      </c>
      <c r="X300" s="220">
        <f>SUMIFS(LstMachines[Nbre],LstMachines[Model-Spec],PrévisionBoris[[#This Row],[Spec]],LstMachines[Status],PrévisionBoris[[#This Row],[Status]],LstMachines[MoisLivr],X$1)</f>
        <v>0</v>
      </c>
      <c r="Y300" s="220">
        <f>SUMIFS(LstMachines[Nbre],LstMachines[Model-Spec],PrévisionBoris[[#This Row],[Spec]],LstMachines[Status],PrévisionBoris[[#This Row],[Status]],LstMachines[MoisLivr],Y$1)</f>
        <v>0</v>
      </c>
      <c r="Z300" s="219">
        <f>SUMIFS(LstMachines[Nbre],LstMachines[Model-Spec],PrévisionBoris[[#This Row],[Spec]],LstMachines[Status],PrévisionBoris[[#This Row],[Status]],LstMachines[MoisLivr],Z$1)</f>
        <v>0</v>
      </c>
      <c r="AA300" s="220">
        <f>SUMIFS(LstMachines[Nbre],LstMachines[Model-Spec],PrévisionBoris[[#This Row],[Spec]],LstMachines[Status],PrévisionBoris[[#This Row],[Status]],LstMachines[MoisLivr],AA$1)</f>
        <v>0</v>
      </c>
      <c r="AB300" s="220">
        <f>SUMIFS(LstMachines[Nbre],LstMachines[Model-Spec],PrévisionBoris[[#This Row],[Spec]],LstMachines[Status],PrévisionBoris[[#This Row],[Status]],LstMachines[MoisLivr],AB$1)</f>
        <v>0</v>
      </c>
      <c r="AC300" s="219">
        <f>SUMIFS(LstMachines[Nbre],LstMachines[Model-Spec],PrévisionBoris[[#This Row],[Spec]],LstMachines[Status],PrévisionBoris[[#This Row],[Status]],LstMachines[MoisLivr],AC$1)</f>
        <v>0</v>
      </c>
      <c r="AD300" s="220">
        <f>SUMIFS(LstMachines[Nbre],LstMachines[Model-Spec],PrévisionBoris[[#This Row],[Spec]],LstMachines[Status],PrévisionBoris[[#This Row],[Status]],LstMachines[MoisLivr],AD$1)</f>
        <v>0</v>
      </c>
      <c r="AE300" s="220">
        <f>SUMIFS(LstMachines[Nbre],LstMachines[Model-Spec],PrévisionBoris[[#This Row],[Spec]],LstMachines[Status],PrévisionBoris[[#This Row],[Status]],LstMachines[MoisLivr],AE$1)</f>
        <v>0</v>
      </c>
      <c r="AF300" s="219">
        <f>SUMIFS(LstMachines[Nbre],LstMachines[Model-Spec],PrévisionBoris[[#This Row],[Spec]],LstMachines[Status],PrévisionBoris[[#This Row],[Status]],LstMachines[MoisLivr],AF$1)</f>
        <v>0</v>
      </c>
      <c r="AG300" s="220">
        <f>SUMIFS(LstMachines[Nbre],LstMachines[Model-Spec],PrévisionBoris[[#This Row],[Spec]],LstMachines[Status],PrévisionBoris[[#This Row],[Status]],LstMachines[MoisLivr],AG$1)</f>
        <v>0</v>
      </c>
      <c r="AH300" s="220">
        <f>SUMIFS(LstMachines[Nbre],LstMachines[Model-Spec],PrévisionBoris[[#This Row],[Spec]],LstMachines[Status],PrévisionBoris[[#This Row],[Status]],LstMachines[MoisLivr],AH$1)</f>
        <v>0</v>
      </c>
      <c r="AI300" s="219">
        <f>SUMIFS(LstMachines[Nbre],LstMachines[Model-Spec],PrévisionBoris[[#This Row],[Spec]],LstMachines[Status],PrévisionBoris[[#This Row],[Status]],LstMachines[MoisLivr],AI$1)</f>
        <v>0</v>
      </c>
      <c r="AJ300" s="220">
        <f>SUMIFS(LstMachines[Nbre],LstMachines[Model-Spec],PrévisionBoris[[#This Row],[Spec]],LstMachines[Status],PrévisionBoris[[#This Row],[Status]],LstMachines[MoisLivr],AJ$1)</f>
        <v>0</v>
      </c>
      <c r="AK300" s="220">
        <f>SUMIFS(LstMachines[Nbre],LstMachines[Model-Spec],PrévisionBoris[[#This Row],[Spec]],LstMachines[Status],PrévisionBoris[[#This Row],[Status]],LstMachines[MoisLivr],AK$1)</f>
        <v>0</v>
      </c>
      <c r="AL300" s="219">
        <f>SUMIFS(LstMachines[Nbre],LstMachines[Model-Spec],PrévisionBoris[[#This Row],[Spec]],LstMachines[Status],PrévisionBoris[[#This Row],[Status]],LstMachines[MoisLivr],AL$1)</f>
        <v>0</v>
      </c>
      <c r="AM300" s="220">
        <f>SUMIFS(LstMachines[Nbre],LstMachines[Model-Spec],PrévisionBoris[[#This Row],[Spec]],LstMachines[Status],PrévisionBoris[[#This Row],[Status]],LstMachines[MoisLivr],AM$1)</f>
        <v>0</v>
      </c>
      <c r="AN300" s="220">
        <f>SUMIFS(LstMachines[Nbre],LstMachines[Model-Spec],PrévisionBoris[[#This Row],[Spec]],LstMachines[Status],PrévisionBoris[[#This Row],[Status]],LstMachines[MoisLivr],AN$1)</f>
        <v>0</v>
      </c>
      <c r="AO300" s="219">
        <f>SUMIFS(LstMachines[Nbre],LstMachines[Model-Spec],PrévisionBoris[[#This Row],[Spec]],LstMachines[Status],PrévisionBoris[[#This Row],[Status]],LstMachines[MoisLivr],AO$1)</f>
        <v>0</v>
      </c>
      <c r="AP300" s="220">
        <f>SUMIFS(LstMachines[Nbre],LstMachines[Model-Spec],PrévisionBoris[[#This Row],[Spec]],LstMachines[Status],PrévisionBoris[[#This Row],[Status]],LstMachines[MoisLivr],AP$1)</f>
        <v>0</v>
      </c>
      <c r="AQ300" s="220">
        <f>SUMIFS(LstMachines[Nbre],LstMachines[Model-Spec],PrévisionBoris[[#This Row],[Spec]],LstMachines[Status],PrévisionBoris[[#This Row],[Status]],LstMachines[MoisLivr],AQ$1)</f>
        <v>0</v>
      </c>
      <c r="AR300" s="219">
        <f>SUMIFS(LstMachines[Nbre],LstMachines[Model-Spec],PrévisionBoris[[#This Row],[Spec]],LstMachines[Status],PrévisionBoris[[#This Row],[Status]],LstMachines[MoisLivr],AR$1)</f>
        <v>0</v>
      </c>
      <c r="AS300" s="220">
        <f>SUMIFS(LstMachines[Nbre],LstMachines[Model-Spec],PrévisionBoris[[#This Row],[Spec]],LstMachines[Status],PrévisionBoris[[#This Row],[Status]],LstMachines[MoisLivr],AS$1)</f>
        <v>0</v>
      </c>
      <c r="AT300" s="220">
        <f>SUMIFS(LstMachines[Nbre],LstMachines[Model-Spec],PrévisionBoris[[#This Row],[Spec]],LstMachines[Status],PrévisionBoris[[#This Row],[Status]],LstMachines[MoisLivr],AT$1)</f>
        <v>0</v>
      </c>
      <c r="AU300" s="219">
        <f>SUMIFS(LstMachines[Nbre],LstMachines[Model-Spec],PrévisionBoris[[#This Row],[Spec]],LstMachines[Status],PrévisionBoris[[#This Row],[Status]],LstMachines[MoisLivr],AU$1)</f>
        <v>0</v>
      </c>
      <c r="AV300" s="223">
        <f>SUMIFS(LstMachines[Nbre],LstMachines[Model-Spec],PrévisionBoris[[#This Row],[Spec]],LstMachines[Status],PrévisionBoris[[#This Row],[Status]],LstMachines[MoisLivr],AV$1)</f>
        <v>0</v>
      </c>
      <c r="AW300" s="224">
        <f>SUMIFS(LstMachines[Nbre],LstMachines[Model-Spec],PrévisionBoris[[#This Row],[Spec]],LstMachines[Status],PrévisionBoris[[#This Row],[Status]],LstMachines[MoisLivr],AW$1)</f>
        <v>0</v>
      </c>
      <c r="AX300" s="210"/>
      <c r="AY300" s="211">
        <f t="shared" si="67"/>
        <v>0</v>
      </c>
      <c r="AZ300" s="212">
        <f t="shared" si="68"/>
        <v>0</v>
      </c>
      <c r="BA300" s="212">
        <f t="shared" si="69"/>
        <v>0</v>
      </c>
      <c r="BB300" s="213">
        <f t="shared" si="70"/>
        <v>0</v>
      </c>
      <c r="BC300" s="225">
        <f t="shared" si="71"/>
        <v>0</v>
      </c>
      <c r="BD300" s="211">
        <f t="shared" si="72"/>
        <v>0</v>
      </c>
      <c r="BE300" s="212">
        <f t="shared" si="73"/>
        <v>0</v>
      </c>
      <c r="BF300" s="212">
        <f t="shared" si="74"/>
        <v>0</v>
      </c>
      <c r="BG300" s="213">
        <f t="shared" si="75"/>
        <v>0</v>
      </c>
      <c r="BH300" s="225">
        <f t="shared" si="76"/>
        <v>0</v>
      </c>
      <c r="BI300" s="214">
        <f t="shared" si="77"/>
        <v>0</v>
      </c>
      <c r="BJ300" s="215">
        <f t="shared" si="78"/>
        <v>0</v>
      </c>
      <c r="BK300" s="215">
        <f t="shared" si="79"/>
        <v>0</v>
      </c>
      <c r="BL300" s="216">
        <f t="shared" si="80"/>
        <v>0</v>
      </c>
      <c r="BM300" s="225">
        <f t="shared" si="81"/>
        <v>0</v>
      </c>
      <c r="BN300" s="225"/>
      <c r="BO300" s="217"/>
      <c r="BP300" s="218">
        <f t="shared" si="82"/>
        <v>0</v>
      </c>
    </row>
    <row r="301" spans="1:68">
      <c r="A301" s="171">
        <v>294</v>
      </c>
      <c r="B301" s="171" t="s">
        <v>85</v>
      </c>
      <c r="C301" s="201">
        <v>350</v>
      </c>
      <c r="D301" s="171" t="s">
        <v>90</v>
      </c>
      <c r="E301" s="171" t="s">
        <v>217</v>
      </c>
      <c r="F301" s="201">
        <f>VLOOKUP(PrévisionBoris[[#This Row],[Spec]],TabModelSpecs[[ModelSpec]:[Price]],2,FALSE)</f>
        <v>200</v>
      </c>
      <c r="G301" s="171" t="s">
        <v>463</v>
      </c>
      <c r="H301" s="226">
        <f>SUMIFS(LstMachines[Nbre],LstMachines[Model-Spec],PrévisionBoris[[#This Row],[Spec]],LstMachines[Status],PrévisionBoris[[#This Row],[Status]],LstMachines[MoisLivr],H$1)</f>
        <v>0</v>
      </c>
      <c r="I301" s="227">
        <f>SUMIFS(LstMachines[Nbre],LstMachines[Model-Spec],PrévisionBoris[[#This Row],[Spec]],LstMachines[Status],PrévisionBoris[[#This Row],[Status]],LstMachines[MoisLivr],I$1)</f>
        <v>0</v>
      </c>
      <c r="J301" s="228">
        <f>SUMIFS(LstMachines[Nbre],LstMachines[Model-Spec],PrévisionBoris[[#This Row],[Spec]],LstMachines[Status],PrévisionBoris[[#This Row],[Status]],LstMachines[MoisLivr],J$1)</f>
        <v>0</v>
      </c>
      <c r="K301" s="226">
        <f>SUMIFS(LstMachines[Nbre],LstMachines[Model-Spec],PrévisionBoris[[#This Row],[Spec]],LstMachines[Status],PrévisionBoris[[#This Row],[Status]],LstMachines[MoisLivr],K$1)</f>
        <v>0</v>
      </c>
      <c r="L301" s="227">
        <f>SUMIFS(LstMachines[Nbre],LstMachines[Model-Spec],PrévisionBoris[[#This Row],[Spec]],LstMachines[Status],PrévisionBoris[[#This Row],[Status]],LstMachines[MoisLivr],L$1)</f>
        <v>0</v>
      </c>
      <c r="M301" s="228">
        <f>SUMIFS(LstMachines[Nbre],LstMachines[Model-Spec],PrévisionBoris[[#This Row],[Spec]],LstMachines[Status],PrévisionBoris[[#This Row],[Status]],LstMachines[MoisLivr],M$1)</f>
        <v>0</v>
      </c>
      <c r="N301" s="226">
        <f>SUMIFS(LstMachines[Nbre],LstMachines[Model-Spec],PrévisionBoris[[#This Row],[Spec]],LstMachines[Status],PrévisionBoris[[#This Row],[Status]],LstMachines[MoisLivr],N$1)</f>
        <v>0</v>
      </c>
      <c r="O301" s="227">
        <f>SUMIFS(LstMachines[Nbre],LstMachines[Model-Spec],PrévisionBoris[[#This Row],[Spec]],LstMachines[Status],PrévisionBoris[[#This Row],[Status]],LstMachines[MoisLivr],O$1)</f>
        <v>0</v>
      </c>
      <c r="P301" s="228">
        <f>SUMIFS(LstMachines[Nbre],LstMachines[Model-Spec],PrévisionBoris[[#This Row],[Spec]],LstMachines[Status],PrévisionBoris[[#This Row],[Status]],LstMachines[MoisLivr],P$1)</f>
        <v>0</v>
      </c>
      <c r="Q301" s="229">
        <f>SUMIFS(LstMachines[Nbre],LstMachines[Model-Spec],PrévisionBoris[[#This Row],[Spec]],LstMachines[Status],PrévisionBoris[[#This Row],[Status]],LstMachines[MoisLivr],Q$1)</f>
        <v>0</v>
      </c>
      <c r="R301" s="227">
        <f>SUMIFS(LstMachines[Nbre],LstMachines[Model-Spec],PrévisionBoris[[#This Row],[Spec]],LstMachines[Status],PrévisionBoris[[#This Row],[Status]],LstMachines[MoisLivr],R$1)</f>
        <v>0</v>
      </c>
      <c r="S301" s="227">
        <f>SUMIFS(LstMachines[Nbre],LstMachines[Model-Spec],PrévisionBoris[[#This Row],[Spec]],LstMachines[Status],PrévisionBoris[[#This Row],[Status]],LstMachines[MoisLivr],S$1)</f>
        <v>0</v>
      </c>
      <c r="T301" s="226">
        <f>SUMIFS(LstMachines[Nbre],LstMachines[Model-Spec],PrévisionBoris[[#This Row],[Spec]],LstMachines[Status],PrévisionBoris[[#This Row],[Status]],LstMachines[MoisLivr],T$1)</f>
        <v>0</v>
      </c>
      <c r="U301" s="227">
        <f>SUMIFS(LstMachines[Nbre],LstMachines[Model-Spec],PrévisionBoris[[#This Row],[Spec]],LstMachines[Status],PrévisionBoris[[#This Row],[Status]],LstMachines[MoisLivr],U$1)</f>
        <v>0</v>
      </c>
      <c r="V301" s="227">
        <f>SUMIFS(LstMachines[Nbre],LstMachines[Model-Spec],PrévisionBoris[[#This Row],[Spec]],LstMachines[Status],PrévisionBoris[[#This Row],[Status]],LstMachines[MoisLivr],V$1)</f>
        <v>0</v>
      </c>
      <c r="W301" s="226">
        <f>SUMIFS(LstMachines[Nbre],LstMachines[Model-Spec],PrévisionBoris[[#This Row],[Spec]],LstMachines[Status],PrévisionBoris[[#This Row],[Status]],LstMachines[MoisLivr],W$1)</f>
        <v>0</v>
      </c>
      <c r="X301" s="227">
        <f>SUMIFS(LstMachines[Nbre],LstMachines[Model-Spec],PrévisionBoris[[#This Row],[Spec]],LstMachines[Status],PrévisionBoris[[#This Row],[Status]],LstMachines[MoisLivr],X$1)</f>
        <v>0</v>
      </c>
      <c r="Y301" s="227">
        <f>SUMIFS(LstMachines[Nbre],LstMachines[Model-Spec],PrévisionBoris[[#This Row],[Spec]],LstMachines[Status],PrévisionBoris[[#This Row],[Status]],LstMachines[MoisLivr],Y$1)</f>
        <v>0</v>
      </c>
      <c r="Z301" s="226">
        <f>SUMIFS(LstMachines[Nbre],LstMachines[Model-Spec],PrévisionBoris[[#This Row],[Spec]],LstMachines[Status],PrévisionBoris[[#This Row],[Status]],LstMachines[MoisLivr],Z$1)</f>
        <v>0</v>
      </c>
      <c r="AA301" s="227">
        <f>SUMIFS(LstMachines[Nbre],LstMachines[Model-Spec],PrévisionBoris[[#This Row],[Spec]],LstMachines[Status],PrévisionBoris[[#This Row],[Status]],LstMachines[MoisLivr],AA$1)</f>
        <v>0</v>
      </c>
      <c r="AB301" s="227">
        <f>SUMIFS(LstMachines[Nbre],LstMachines[Model-Spec],PrévisionBoris[[#This Row],[Spec]],LstMachines[Status],PrévisionBoris[[#This Row],[Status]],LstMachines[MoisLivr],AB$1)</f>
        <v>0</v>
      </c>
      <c r="AC301" s="226">
        <f>SUMIFS(LstMachines[Nbre],LstMachines[Model-Spec],PrévisionBoris[[#This Row],[Spec]],LstMachines[Status],PrévisionBoris[[#This Row],[Status]],LstMachines[MoisLivr],AC$1)</f>
        <v>0</v>
      </c>
      <c r="AD301" s="227">
        <f>SUMIFS(LstMachines[Nbre],LstMachines[Model-Spec],PrévisionBoris[[#This Row],[Spec]],LstMachines[Status],PrévisionBoris[[#This Row],[Status]],LstMachines[MoisLivr],AD$1)</f>
        <v>0</v>
      </c>
      <c r="AE301" s="227">
        <f>SUMIFS(LstMachines[Nbre],LstMachines[Model-Spec],PrévisionBoris[[#This Row],[Spec]],LstMachines[Status],PrévisionBoris[[#This Row],[Status]],LstMachines[MoisLivr],AE$1)</f>
        <v>0</v>
      </c>
      <c r="AF301" s="226">
        <f>SUMIFS(LstMachines[Nbre],LstMachines[Model-Spec],PrévisionBoris[[#This Row],[Spec]],LstMachines[Status],PrévisionBoris[[#This Row],[Status]],LstMachines[MoisLivr],AF$1)</f>
        <v>0</v>
      </c>
      <c r="AG301" s="227">
        <f>SUMIFS(LstMachines[Nbre],LstMachines[Model-Spec],PrévisionBoris[[#This Row],[Spec]],LstMachines[Status],PrévisionBoris[[#This Row],[Status]],LstMachines[MoisLivr],AG$1)</f>
        <v>0</v>
      </c>
      <c r="AH301" s="227">
        <f>SUMIFS(LstMachines[Nbre],LstMachines[Model-Spec],PrévisionBoris[[#This Row],[Spec]],LstMachines[Status],PrévisionBoris[[#This Row],[Status]],LstMachines[MoisLivr],AH$1)</f>
        <v>0</v>
      </c>
      <c r="AI301" s="226">
        <f>SUMIFS(LstMachines[Nbre],LstMachines[Model-Spec],PrévisionBoris[[#This Row],[Spec]],LstMachines[Status],PrévisionBoris[[#This Row],[Status]],LstMachines[MoisLivr],AI$1)</f>
        <v>0</v>
      </c>
      <c r="AJ301" s="227">
        <f>SUMIFS(LstMachines[Nbre],LstMachines[Model-Spec],PrévisionBoris[[#This Row],[Spec]],LstMachines[Status],PrévisionBoris[[#This Row],[Status]],LstMachines[MoisLivr],AJ$1)</f>
        <v>0</v>
      </c>
      <c r="AK301" s="227">
        <f>SUMIFS(LstMachines[Nbre],LstMachines[Model-Spec],PrévisionBoris[[#This Row],[Spec]],LstMachines[Status],PrévisionBoris[[#This Row],[Status]],LstMachines[MoisLivr],AK$1)</f>
        <v>0</v>
      </c>
      <c r="AL301" s="226">
        <f>SUMIFS(LstMachines[Nbre],LstMachines[Model-Spec],PrévisionBoris[[#This Row],[Spec]],LstMachines[Status],PrévisionBoris[[#This Row],[Status]],LstMachines[MoisLivr],AL$1)</f>
        <v>0</v>
      </c>
      <c r="AM301" s="227">
        <f>SUMIFS(LstMachines[Nbre],LstMachines[Model-Spec],PrévisionBoris[[#This Row],[Spec]],LstMachines[Status],PrévisionBoris[[#This Row],[Status]],LstMachines[MoisLivr],AM$1)</f>
        <v>0</v>
      </c>
      <c r="AN301" s="227">
        <f>SUMIFS(LstMachines[Nbre],LstMachines[Model-Spec],PrévisionBoris[[#This Row],[Spec]],LstMachines[Status],PrévisionBoris[[#This Row],[Status]],LstMachines[MoisLivr],AN$1)</f>
        <v>0</v>
      </c>
      <c r="AO301" s="226">
        <f>SUMIFS(LstMachines[Nbre],LstMachines[Model-Spec],PrévisionBoris[[#This Row],[Spec]],LstMachines[Status],PrévisionBoris[[#This Row],[Status]],LstMachines[MoisLivr],AO$1)</f>
        <v>0</v>
      </c>
      <c r="AP301" s="227">
        <f>SUMIFS(LstMachines[Nbre],LstMachines[Model-Spec],PrévisionBoris[[#This Row],[Spec]],LstMachines[Status],PrévisionBoris[[#This Row],[Status]],LstMachines[MoisLivr],AP$1)</f>
        <v>0</v>
      </c>
      <c r="AQ301" s="227">
        <f>SUMIFS(LstMachines[Nbre],LstMachines[Model-Spec],PrévisionBoris[[#This Row],[Spec]],LstMachines[Status],PrévisionBoris[[#This Row],[Status]],LstMachines[MoisLivr],AQ$1)</f>
        <v>0</v>
      </c>
      <c r="AR301" s="226">
        <f>SUMIFS(LstMachines[Nbre],LstMachines[Model-Spec],PrévisionBoris[[#This Row],[Spec]],LstMachines[Status],PrévisionBoris[[#This Row],[Status]],LstMachines[MoisLivr],AR$1)</f>
        <v>0</v>
      </c>
      <c r="AS301" s="227">
        <f>SUMIFS(LstMachines[Nbre],LstMachines[Model-Spec],PrévisionBoris[[#This Row],[Spec]],LstMachines[Status],PrévisionBoris[[#This Row],[Status]],LstMachines[MoisLivr],AS$1)</f>
        <v>0</v>
      </c>
      <c r="AT301" s="227">
        <f>SUMIFS(LstMachines[Nbre],LstMachines[Model-Spec],PrévisionBoris[[#This Row],[Spec]],LstMachines[Status],PrévisionBoris[[#This Row],[Status]],LstMachines[MoisLivr],AT$1)</f>
        <v>0</v>
      </c>
      <c r="AU301" s="226">
        <f>SUMIFS(LstMachines[Nbre],LstMachines[Model-Spec],PrévisionBoris[[#This Row],[Spec]],LstMachines[Status],PrévisionBoris[[#This Row],[Status]],LstMachines[MoisLivr],AU$1)</f>
        <v>0</v>
      </c>
      <c r="AV301" s="230">
        <f>SUMIFS(LstMachines[Nbre],LstMachines[Model-Spec],PrévisionBoris[[#This Row],[Spec]],LstMachines[Status],PrévisionBoris[[#This Row],[Status]],LstMachines[MoisLivr],AV$1)</f>
        <v>0</v>
      </c>
      <c r="AW301" s="231">
        <f>SUMIFS(LstMachines[Nbre],LstMachines[Model-Spec],PrévisionBoris[[#This Row],[Spec]],LstMachines[Status],PrévisionBoris[[#This Row],[Status]],LstMachines[MoisLivr],AW$1)</f>
        <v>0</v>
      </c>
      <c r="AX301" s="232"/>
      <c r="AY301" s="211">
        <f t="shared" si="67"/>
        <v>0</v>
      </c>
      <c r="AZ301" s="212">
        <f t="shared" si="68"/>
        <v>0</v>
      </c>
      <c r="BA301" s="212">
        <f t="shared" si="69"/>
        <v>0</v>
      </c>
      <c r="BB301" s="213">
        <f t="shared" si="70"/>
        <v>0</v>
      </c>
      <c r="BC301" s="225">
        <f t="shared" si="71"/>
        <v>0</v>
      </c>
      <c r="BD301" s="211">
        <f t="shared" si="72"/>
        <v>0</v>
      </c>
      <c r="BE301" s="212">
        <f t="shared" si="73"/>
        <v>0</v>
      </c>
      <c r="BF301" s="212">
        <f t="shared" si="74"/>
        <v>0</v>
      </c>
      <c r="BG301" s="213">
        <f t="shared" si="75"/>
        <v>0</v>
      </c>
      <c r="BH301" s="225">
        <f t="shared" si="76"/>
        <v>0</v>
      </c>
      <c r="BI301" s="214">
        <f t="shared" si="77"/>
        <v>0</v>
      </c>
      <c r="BJ301" s="215">
        <f t="shared" si="78"/>
        <v>0</v>
      </c>
      <c r="BK301" s="215">
        <f t="shared" si="79"/>
        <v>0</v>
      </c>
      <c r="BL301" s="216">
        <f t="shared" si="80"/>
        <v>0</v>
      </c>
      <c r="BM301" s="225">
        <f t="shared" si="81"/>
        <v>0</v>
      </c>
      <c r="BN301" s="225"/>
      <c r="BO301" s="217"/>
      <c r="BP301" s="218">
        <f t="shared" si="82"/>
        <v>0</v>
      </c>
    </row>
    <row r="302" spans="1:68">
      <c r="A302" s="172">
        <v>295</v>
      </c>
      <c r="B302" s="172" t="s">
        <v>85</v>
      </c>
      <c r="C302" s="202">
        <v>350</v>
      </c>
      <c r="D302" s="172" t="s">
        <v>90</v>
      </c>
      <c r="E302" s="172" t="s">
        <v>218</v>
      </c>
      <c r="F302" s="202">
        <f>VLOOKUP(PrévisionBoris[[#This Row],[Spec]],TabModelSpecs[[ModelSpec]:[Price]],2,FALSE)</f>
        <v>175</v>
      </c>
      <c r="G302" s="172" t="s">
        <v>461</v>
      </c>
      <c r="H302" s="206">
        <f>SUMIFS(LstMachines[Nbre],LstMachines[Model-Spec],PrévisionBoris[[#This Row],[Spec]],LstMachines[Status],PrévisionBoris[[#This Row],[Status]],LstMachines[MoisLivr],H$1)</f>
        <v>0</v>
      </c>
      <c r="I302" s="207">
        <f>SUMIFS(LstMachines[Nbre],LstMachines[Model-Spec],PrévisionBoris[[#This Row],[Spec]],LstMachines[Status],PrévisionBoris[[#This Row],[Status]],LstMachines[MoisLivr],I$1)</f>
        <v>0</v>
      </c>
      <c r="J302" s="208">
        <f>SUMIFS(LstMachines[Nbre],LstMachines[Model-Spec],PrévisionBoris[[#This Row],[Spec]],LstMachines[Status],PrévisionBoris[[#This Row],[Status]],LstMachines[MoisLivr],J$1)</f>
        <v>0</v>
      </c>
      <c r="K302" s="206">
        <f>SUMIFS(LstMachines[Nbre],LstMachines[Model-Spec],PrévisionBoris[[#This Row],[Spec]],LstMachines[Status],PrévisionBoris[[#This Row],[Status]],LstMachines[MoisLivr],K$1)</f>
        <v>0</v>
      </c>
      <c r="L302" s="207">
        <f>SUMIFS(LstMachines[Nbre],LstMachines[Model-Spec],PrévisionBoris[[#This Row],[Spec]],LstMachines[Status],PrévisionBoris[[#This Row],[Status]],LstMachines[MoisLivr],L$1)</f>
        <v>0</v>
      </c>
      <c r="M302" s="208">
        <f>SUMIFS(LstMachines[Nbre],LstMachines[Model-Spec],PrévisionBoris[[#This Row],[Spec]],LstMachines[Status],PrévisionBoris[[#This Row],[Status]],LstMachines[MoisLivr],M$1)</f>
        <v>0</v>
      </c>
      <c r="N302" s="206">
        <f>SUMIFS(LstMachines[Nbre],LstMachines[Model-Spec],PrévisionBoris[[#This Row],[Spec]],LstMachines[Status],PrévisionBoris[[#This Row],[Status]],LstMachines[MoisLivr],N$1)</f>
        <v>2</v>
      </c>
      <c r="O302" s="207">
        <f>SUMIFS(LstMachines[Nbre],LstMachines[Model-Spec],PrévisionBoris[[#This Row],[Spec]],LstMachines[Status],PrévisionBoris[[#This Row],[Status]],LstMachines[MoisLivr],O$1)</f>
        <v>0</v>
      </c>
      <c r="P302" s="208">
        <f>SUMIFS(LstMachines[Nbre],LstMachines[Model-Spec],PrévisionBoris[[#This Row],[Spec]],LstMachines[Status],PrévisionBoris[[#This Row],[Status]],LstMachines[MoisLivr],P$1)</f>
        <v>0</v>
      </c>
      <c r="Q302" s="209">
        <f>SUMIFS(LstMachines[Nbre],LstMachines[Model-Spec],PrévisionBoris[[#This Row],[Spec]],LstMachines[Status],PrévisionBoris[[#This Row],[Status]],LstMachines[MoisLivr],Q$1)</f>
        <v>2</v>
      </c>
      <c r="R302" s="207">
        <f>SUMIFS(LstMachines[Nbre],LstMachines[Model-Spec],PrévisionBoris[[#This Row],[Spec]],LstMachines[Status],PrévisionBoris[[#This Row],[Status]],LstMachines[MoisLivr],R$1)</f>
        <v>0</v>
      </c>
      <c r="S302" s="207">
        <f>SUMIFS(LstMachines[Nbre],LstMachines[Model-Spec],PrévisionBoris[[#This Row],[Spec]],LstMachines[Status],PrévisionBoris[[#This Row],[Status]],LstMachines[MoisLivr],S$1)</f>
        <v>0</v>
      </c>
      <c r="T302" s="206">
        <f>SUMIFS(LstMachines[Nbre],LstMachines[Model-Spec],PrévisionBoris[[#This Row],[Spec]],LstMachines[Status],PrévisionBoris[[#This Row],[Status]],LstMachines[MoisLivr],T$1)</f>
        <v>0</v>
      </c>
      <c r="U302" s="207">
        <f>SUMIFS(LstMachines[Nbre],LstMachines[Model-Spec],PrévisionBoris[[#This Row],[Spec]],LstMachines[Status],PrévisionBoris[[#This Row],[Status]],LstMachines[MoisLivr],U$1)</f>
        <v>1</v>
      </c>
      <c r="V302" s="207">
        <f>SUMIFS(LstMachines[Nbre],LstMachines[Model-Spec],PrévisionBoris[[#This Row],[Spec]],LstMachines[Status],PrévisionBoris[[#This Row],[Status]],LstMachines[MoisLivr],V$1)</f>
        <v>0</v>
      </c>
      <c r="W302" s="206">
        <f>SUMIFS(LstMachines[Nbre],LstMachines[Model-Spec],PrévisionBoris[[#This Row],[Spec]],LstMachines[Status],PrévisionBoris[[#This Row],[Status]],LstMachines[MoisLivr],W$1)</f>
        <v>0</v>
      </c>
      <c r="X302" s="207">
        <f>SUMIFS(LstMachines[Nbre],LstMachines[Model-Spec],PrévisionBoris[[#This Row],[Spec]],LstMachines[Status],PrévisionBoris[[#This Row],[Status]],LstMachines[MoisLivr],X$1)</f>
        <v>0</v>
      </c>
      <c r="Y302" s="207">
        <f>SUMIFS(LstMachines[Nbre],LstMachines[Model-Spec],PrévisionBoris[[#This Row],[Spec]],LstMachines[Status],PrévisionBoris[[#This Row],[Status]],LstMachines[MoisLivr],Y$1)</f>
        <v>0</v>
      </c>
      <c r="Z302" s="206">
        <f>SUMIFS(LstMachines[Nbre],LstMachines[Model-Spec],PrévisionBoris[[#This Row],[Spec]],LstMachines[Status],PrévisionBoris[[#This Row],[Status]],LstMachines[MoisLivr],Z$1)</f>
        <v>0</v>
      </c>
      <c r="AA302" s="207">
        <f>SUMIFS(LstMachines[Nbre],LstMachines[Model-Spec],PrévisionBoris[[#This Row],[Spec]],LstMachines[Status],PrévisionBoris[[#This Row],[Status]],LstMachines[MoisLivr],AA$1)</f>
        <v>0</v>
      </c>
      <c r="AB302" s="207">
        <f>SUMIFS(LstMachines[Nbre],LstMachines[Model-Spec],PrévisionBoris[[#This Row],[Spec]],LstMachines[Status],PrévisionBoris[[#This Row],[Status]],LstMachines[MoisLivr],AB$1)</f>
        <v>1</v>
      </c>
      <c r="AC302" s="206">
        <f>SUMIFS(LstMachines[Nbre],LstMachines[Model-Spec],PrévisionBoris[[#This Row],[Spec]],LstMachines[Status],PrévisionBoris[[#This Row],[Status]],LstMachines[MoisLivr],AC$1)</f>
        <v>0</v>
      </c>
      <c r="AD302" s="207">
        <f>SUMIFS(LstMachines[Nbre],LstMachines[Model-Spec],PrévisionBoris[[#This Row],[Spec]],LstMachines[Status],PrévisionBoris[[#This Row],[Status]],LstMachines[MoisLivr],AD$1)</f>
        <v>0</v>
      </c>
      <c r="AE302" s="207">
        <f>SUMIFS(LstMachines[Nbre],LstMachines[Model-Spec],PrévisionBoris[[#This Row],[Spec]],LstMachines[Status],PrévisionBoris[[#This Row],[Status]],LstMachines[MoisLivr],AE$1)</f>
        <v>0</v>
      </c>
      <c r="AF302" s="206">
        <f>SUMIFS(LstMachines[Nbre],LstMachines[Model-Spec],PrévisionBoris[[#This Row],[Spec]],LstMachines[Status],PrévisionBoris[[#This Row],[Status]],LstMachines[MoisLivr],AF$1)</f>
        <v>0</v>
      </c>
      <c r="AG302" s="207">
        <f>SUMIFS(LstMachines[Nbre],LstMachines[Model-Spec],PrévisionBoris[[#This Row],[Spec]],LstMachines[Status],PrévisionBoris[[#This Row],[Status]],LstMachines[MoisLivr],AG$1)</f>
        <v>0</v>
      </c>
      <c r="AH302" s="207">
        <f>SUMIFS(LstMachines[Nbre],LstMachines[Model-Spec],PrévisionBoris[[#This Row],[Spec]],LstMachines[Status],PrévisionBoris[[#This Row],[Status]],LstMachines[MoisLivr],AH$1)</f>
        <v>0</v>
      </c>
      <c r="AI302" s="206">
        <f>SUMIFS(LstMachines[Nbre],LstMachines[Model-Spec],PrévisionBoris[[#This Row],[Spec]],LstMachines[Status],PrévisionBoris[[#This Row],[Status]],LstMachines[MoisLivr],AI$1)</f>
        <v>0</v>
      </c>
      <c r="AJ302" s="207">
        <f>SUMIFS(LstMachines[Nbre],LstMachines[Model-Spec],PrévisionBoris[[#This Row],[Spec]],LstMachines[Status],PrévisionBoris[[#This Row],[Status]],LstMachines[MoisLivr],AJ$1)</f>
        <v>0</v>
      </c>
      <c r="AK302" s="207">
        <f>SUMIFS(LstMachines[Nbre],LstMachines[Model-Spec],PrévisionBoris[[#This Row],[Spec]],LstMachines[Status],PrévisionBoris[[#This Row],[Status]],LstMachines[MoisLivr],AK$1)</f>
        <v>0</v>
      </c>
      <c r="AL302" s="206">
        <f>SUMIFS(LstMachines[Nbre],LstMachines[Model-Spec],PrévisionBoris[[#This Row],[Spec]],LstMachines[Status],PrévisionBoris[[#This Row],[Status]],LstMachines[MoisLivr],AL$1)</f>
        <v>0</v>
      </c>
      <c r="AM302" s="207">
        <f>SUMIFS(LstMachines[Nbre],LstMachines[Model-Spec],PrévisionBoris[[#This Row],[Spec]],LstMachines[Status],PrévisionBoris[[#This Row],[Status]],LstMachines[MoisLivr],AM$1)</f>
        <v>0</v>
      </c>
      <c r="AN302" s="207">
        <f>SUMIFS(LstMachines[Nbre],LstMachines[Model-Spec],PrévisionBoris[[#This Row],[Spec]],LstMachines[Status],PrévisionBoris[[#This Row],[Status]],LstMachines[MoisLivr],AN$1)</f>
        <v>1</v>
      </c>
      <c r="AO302" s="206">
        <f>SUMIFS(LstMachines[Nbre],LstMachines[Model-Spec],PrévisionBoris[[#This Row],[Spec]],LstMachines[Status],PrévisionBoris[[#This Row],[Status]],LstMachines[MoisLivr],AO$1)</f>
        <v>0</v>
      </c>
      <c r="AP302" s="207">
        <f>SUMIFS(LstMachines[Nbre],LstMachines[Model-Spec],PrévisionBoris[[#This Row],[Spec]],LstMachines[Status],PrévisionBoris[[#This Row],[Status]],LstMachines[MoisLivr],AP$1)</f>
        <v>0</v>
      </c>
      <c r="AQ302" s="207">
        <f>SUMIFS(LstMachines[Nbre],LstMachines[Model-Spec],PrévisionBoris[[#This Row],[Spec]],LstMachines[Status],PrévisionBoris[[#This Row],[Status]],LstMachines[MoisLivr],AQ$1)</f>
        <v>0</v>
      </c>
      <c r="AR302" s="206">
        <f>SUMIFS(LstMachines[Nbre],LstMachines[Model-Spec],PrévisionBoris[[#This Row],[Spec]],LstMachines[Status],PrévisionBoris[[#This Row],[Status]],LstMachines[MoisLivr],AR$1)</f>
        <v>0</v>
      </c>
      <c r="AS302" s="207">
        <f>SUMIFS(LstMachines[Nbre],LstMachines[Model-Spec],PrévisionBoris[[#This Row],[Spec]],LstMachines[Status],PrévisionBoris[[#This Row],[Status]],LstMachines[MoisLivr],AS$1)</f>
        <v>0</v>
      </c>
      <c r="AT302" s="207">
        <f>SUMIFS(LstMachines[Nbre],LstMachines[Model-Spec],PrévisionBoris[[#This Row],[Spec]],LstMachines[Status],PrévisionBoris[[#This Row],[Status]],LstMachines[MoisLivr],AT$1)</f>
        <v>0</v>
      </c>
      <c r="AU302" s="206">
        <f>SUMIFS(LstMachines[Nbre],LstMachines[Model-Spec],PrévisionBoris[[#This Row],[Spec]],LstMachines[Status],PrévisionBoris[[#This Row],[Status]],LstMachines[MoisLivr],AU$1)</f>
        <v>0</v>
      </c>
      <c r="AV302" s="233">
        <f>SUMIFS(LstMachines[Nbre],LstMachines[Model-Spec],PrévisionBoris[[#This Row],[Spec]],LstMachines[Status],PrévisionBoris[[#This Row],[Status]],LstMachines[MoisLivr],AV$1)</f>
        <v>0</v>
      </c>
      <c r="AW302" s="208">
        <f>SUMIFS(LstMachines[Nbre],LstMachines[Model-Spec],PrévisionBoris[[#This Row],[Spec]],LstMachines[Status],PrévisionBoris[[#This Row],[Status]],LstMachines[MoisLivr],AW$1)</f>
        <v>0</v>
      </c>
      <c r="AX302" s="225"/>
      <c r="AY302" s="211">
        <f t="shared" si="67"/>
        <v>0</v>
      </c>
      <c r="AZ302" s="212">
        <f t="shared" si="68"/>
        <v>2</v>
      </c>
      <c r="BA302" s="212">
        <f t="shared" si="69"/>
        <v>2</v>
      </c>
      <c r="BB302" s="213">
        <f t="shared" si="70"/>
        <v>1</v>
      </c>
      <c r="BC302" s="225">
        <f t="shared" si="71"/>
        <v>5</v>
      </c>
      <c r="BD302" s="211">
        <f t="shared" si="72"/>
        <v>0</v>
      </c>
      <c r="BE302" s="212">
        <f t="shared" si="73"/>
        <v>1</v>
      </c>
      <c r="BF302" s="212">
        <f t="shared" si="74"/>
        <v>0</v>
      </c>
      <c r="BG302" s="213">
        <f t="shared" si="75"/>
        <v>0</v>
      </c>
      <c r="BH302" s="225">
        <f t="shared" si="76"/>
        <v>1</v>
      </c>
      <c r="BI302" s="214">
        <f t="shared" si="77"/>
        <v>0</v>
      </c>
      <c r="BJ302" s="215">
        <f t="shared" si="78"/>
        <v>1</v>
      </c>
      <c r="BK302" s="215">
        <f t="shared" si="79"/>
        <v>0</v>
      </c>
      <c r="BL302" s="216">
        <f t="shared" si="80"/>
        <v>0</v>
      </c>
      <c r="BM302" s="225">
        <f t="shared" si="81"/>
        <v>1</v>
      </c>
      <c r="BN302" s="225"/>
      <c r="BO302" s="234"/>
      <c r="BP302" s="218">
        <f t="shared" si="82"/>
        <v>7</v>
      </c>
    </row>
    <row r="303" spans="1:68">
      <c r="A303" s="170">
        <v>296</v>
      </c>
      <c r="B303" s="170" t="s">
        <v>85</v>
      </c>
      <c r="C303" s="200">
        <v>350</v>
      </c>
      <c r="D303" s="170" t="s">
        <v>90</v>
      </c>
      <c r="E303" s="170" t="s">
        <v>218</v>
      </c>
      <c r="F303" s="200">
        <f>VLOOKUP(PrévisionBoris[[#This Row],[Spec]],TabModelSpecs[[ModelSpec]:[Price]],2,FALSE)</f>
        <v>175</v>
      </c>
      <c r="G303" s="170" t="s">
        <v>462</v>
      </c>
      <c r="H303" s="219">
        <f>SUMIFS(LstMachines[Nbre],LstMachines[Model-Spec],PrévisionBoris[[#This Row],[Spec]],LstMachines[Status],PrévisionBoris[[#This Row],[Status]],LstMachines[MoisLivr],H$1)</f>
        <v>0</v>
      </c>
      <c r="I303" s="220">
        <f>SUMIFS(LstMachines[Nbre],LstMachines[Model-Spec],PrévisionBoris[[#This Row],[Spec]],LstMachines[Status],PrévisionBoris[[#This Row],[Status]],LstMachines[MoisLivr],I$1)</f>
        <v>0</v>
      </c>
      <c r="J303" s="221">
        <f>SUMIFS(LstMachines[Nbre],LstMachines[Model-Spec],PrévisionBoris[[#This Row],[Spec]],LstMachines[Status],PrévisionBoris[[#This Row],[Status]],LstMachines[MoisLivr],J$1)</f>
        <v>0</v>
      </c>
      <c r="K303" s="219">
        <f>SUMIFS(LstMachines[Nbre],LstMachines[Model-Spec],PrévisionBoris[[#This Row],[Spec]],LstMachines[Status],PrévisionBoris[[#This Row],[Status]],LstMachines[MoisLivr],K$1)</f>
        <v>0</v>
      </c>
      <c r="L303" s="220">
        <f>SUMIFS(LstMachines[Nbre],LstMachines[Model-Spec],PrévisionBoris[[#This Row],[Spec]],LstMachines[Status],PrévisionBoris[[#This Row],[Status]],LstMachines[MoisLivr],L$1)</f>
        <v>0</v>
      </c>
      <c r="M303" s="221">
        <f>SUMIFS(LstMachines[Nbre],LstMachines[Model-Spec],PrévisionBoris[[#This Row],[Spec]],LstMachines[Status],PrévisionBoris[[#This Row],[Status]],LstMachines[MoisLivr],M$1)</f>
        <v>0</v>
      </c>
      <c r="N303" s="219">
        <f>SUMIFS(LstMachines[Nbre],LstMachines[Model-Spec],PrévisionBoris[[#This Row],[Spec]],LstMachines[Status],PrévisionBoris[[#This Row],[Status]],LstMachines[MoisLivr],N$1)</f>
        <v>0</v>
      </c>
      <c r="O303" s="220">
        <f>SUMIFS(LstMachines[Nbre],LstMachines[Model-Spec],PrévisionBoris[[#This Row],[Spec]],LstMachines[Status],PrévisionBoris[[#This Row],[Status]],LstMachines[MoisLivr],O$1)</f>
        <v>0</v>
      </c>
      <c r="P303" s="221">
        <f>SUMIFS(LstMachines[Nbre],LstMachines[Model-Spec],PrévisionBoris[[#This Row],[Spec]],LstMachines[Status],PrévisionBoris[[#This Row],[Status]],LstMachines[MoisLivr],P$1)</f>
        <v>0</v>
      </c>
      <c r="Q303" s="222">
        <f>SUMIFS(LstMachines[Nbre],LstMachines[Model-Spec],PrévisionBoris[[#This Row],[Spec]],LstMachines[Status],PrévisionBoris[[#This Row],[Status]],LstMachines[MoisLivr],Q$1)</f>
        <v>0</v>
      </c>
      <c r="R303" s="220">
        <f>SUMIFS(LstMachines[Nbre],LstMachines[Model-Spec],PrévisionBoris[[#This Row],[Spec]],LstMachines[Status],PrévisionBoris[[#This Row],[Status]],LstMachines[MoisLivr],R$1)</f>
        <v>0</v>
      </c>
      <c r="S303" s="220">
        <f>SUMIFS(LstMachines[Nbre],LstMachines[Model-Spec],PrévisionBoris[[#This Row],[Spec]],LstMachines[Status],PrévisionBoris[[#This Row],[Status]],LstMachines[MoisLivr],S$1)</f>
        <v>0</v>
      </c>
      <c r="T303" s="219">
        <f>SUMIFS(LstMachines[Nbre],LstMachines[Model-Spec],PrévisionBoris[[#This Row],[Spec]],LstMachines[Status],PrévisionBoris[[#This Row],[Status]],LstMachines[MoisLivr],T$1)</f>
        <v>0</v>
      </c>
      <c r="U303" s="220">
        <f>SUMIFS(LstMachines[Nbre],LstMachines[Model-Spec],PrévisionBoris[[#This Row],[Spec]],LstMachines[Status],PrévisionBoris[[#This Row],[Status]],LstMachines[MoisLivr],U$1)</f>
        <v>0</v>
      </c>
      <c r="V303" s="220">
        <f>SUMIFS(LstMachines[Nbre],LstMachines[Model-Spec],PrévisionBoris[[#This Row],[Spec]],LstMachines[Status],PrévisionBoris[[#This Row],[Status]],LstMachines[MoisLivr],V$1)</f>
        <v>0</v>
      </c>
      <c r="W303" s="219">
        <f>SUMIFS(LstMachines[Nbre],LstMachines[Model-Spec],PrévisionBoris[[#This Row],[Spec]],LstMachines[Status],PrévisionBoris[[#This Row],[Status]],LstMachines[MoisLivr],W$1)</f>
        <v>0</v>
      </c>
      <c r="X303" s="220">
        <f>SUMIFS(LstMachines[Nbre],LstMachines[Model-Spec],PrévisionBoris[[#This Row],[Spec]],LstMachines[Status],PrévisionBoris[[#This Row],[Status]],LstMachines[MoisLivr],X$1)</f>
        <v>0</v>
      </c>
      <c r="Y303" s="220">
        <f>SUMIFS(LstMachines[Nbre],LstMachines[Model-Spec],PrévisionBoris[[#This Row],[Spec]],LstMachines[Status],PrévisionBoris[[#This Row],[Status]],LstMachines[MoisLivr],Y$1)</f>
        <v>0</v>
      </c>
      <c r="Z303" s="219">
        <f>SUMIFS(LstMachines[Nbre],LstMachines[Model-Spec],PrévisionBoris[[#This Row],[Spec]],LstMachines[Status],PrévisionBoris[[#This Row],[Status]],LstMachines[MoisLivr],Z$1)</f>
        <v>0</v>
      </c>
      <c r="AA303" s="220">
        <f>SUMIFS(LstMachines[Nbre],LstMachines[Model-Spec],PrévisionBoris[[#This Row],[Spec]],LstMachines[Status],PrévisionBoris[[#This Row],[Status]],LstMachines[MoisLivr],AA$1)</f>
        <v>0</v>
      </c>
      <c r="AB303" s="220">
        <f>SUMIFS(LstMachines[Nbre],LstMachines[Model-Spec],PrévisionBoris[[#This Row],[Spec]],LstMachines[Status],PrévisionBoris[[#This Row],[Status]],LstMachines[MoisLivr],AB$1)</f>
        <v>0</v>
      </c>
      <c r="AC303" s="219">
        <f>SUMIFS(LstMachines[Nbre],LstMachines[Model-Spec],PrévisionBoris[[#This Row],[Spec]],LstMachines[Status],PrévisionBoris[[#This Row],[Status]],LstMachines[MoisLivr],AC$1)</f>
        <v>0</v>
      </c>
      <c r="AD303" s="220">
        <f>SUMIFS(LstMachines[Nbre],LstMachines[Model-Spec],PrévisionBoris[[#This Row],[Spec]],LstMachines[Status],PrévisionBoris[[#This Row],[Status]],LstMachines[MoisLivr],AD$1)</f>
        <v>0</v>
      </c>
      <c r="AE303" s="220">
        <f>SUMIFS(LstMachines[Nbre],LstMachines[Model-Spec],PrévisionBoris[[#This Row],[Spec]],LstMachines[Status],PrévisionBoris[[#This Row],[Status]],LstMachines[MoisLivr],AE$1)</f>
        <v>0</v>
      </c>
      <c r="AF303" s="219">
        <f>SUMIFS(LstMachines[Nbre],LstMachines[Model-Spec],PrévisionBoris[[#This Row],[Spec]],LstMachines[Status],PrévisionBoris[[#This Row],[Status]],LstMachines[MoisLivr],AF$1)</f>
        <v>0</v>
      </c>
      <c r="AG303" s="220">
        <f>SUMIFS(LstMachines[Nbre],LstMachines[Model-Spec],PrévisionBoris[[#This Row],[Spec]],LstMachines[Status],PrévisionBoris[[#This Row],[Status]],LstMachines[MoisLivr],AG$1)</f>
        <v>0</v>
      </c>
      <c r="AH303" s="220">
        <f>SUMIFS(LstMachines[Nbre],LstMachines[Model-Spec],PrévisionBoris[[#This Row],[Spec]],LstMachines[Status],PrévisionBoris[[#This Row],[Status]],LstMachines[MoisLivr],AH$1)</f>
        <v>0</v>
      </c>
      <c r="AI303" s="219">
        <f>SUMIFS(LstMachines[Nbre],LstMachines[Model-Spec],PrévisionBoris[[#This Row],[Spec]],LstMachines[Status],PrévisionBoris[[#This Row],[Status]],LstMachines[MoisLivr],AI$1)</f>
        <v>0</v>
      </c>
      <c r="AJ303" s="220">
        <f>SUMIFS(LstMachines[Nbre],LstMachines[Model-Spec],PrévisionBoris[[#This Row],[Spec]],LstMachines[Status],PrévisionBoris[[#This Row],[Status]],LstMachines[MoisLivr],AJ$1)</f>
        <v>0</v>
      </c>
      <c r="AK303" s="220">
        <f>SUMIFS(LstMachines[Nbre],LstMachines[Model-Spec],PrévisionBoris[[#This Row],[Spec]],LstMachines[Status],PrévisionBoris[[#This Row],[Status]],LstMachines[MoisLivr],AK$1)</f>
        <v>0</v>
      </c>
      <c r="AL303" s="219">
        <f>SUMIFS(LstMachines[Nbre],LstMachines[Model-Spec],PrévisionBoris[[#This Row],[Spec]],LstMachines[Status],PrévisionBoris[[#This Row],[Status]],LstMachines[MoisLivr],AL$1)</f>
        <v>0</v>
      </c>
      <c r="AM303" s="220">
        <f>SUMIFS(LstMachines[Nbre],LstMachines[Model-Spec],PrévisionBoris[[#This Row],[Spec]],LstMachines[Status],PrévisionBoris[[#This Row],[Status]],LstMachines[MoisLivr],AM$1)</f>
        <v>0</v>
      </c>
      <c r="AN303" s="220">
        <f>SUMIFS(LstMachines[Nbre],LstMachines[Model-Spec],PrévisionBoris[[#This Row],[Spec]],LstMachines[Status],PrévisionBoris[[#This Row],[Status]],LstMachines[MoisLivr],AN$1)</f>
        <v>0</v>
      </c>
      <c r="AO303" s="219">
        <f>SUMIFS(LstMachines[Nbre],LstMachines[Model-Spec],PrévisionBoris[[#This Row],[Spec]],LstMachines[Status],PrévisionBoris[[#This Row],[Status]],LstMachines[MoisLivr],AO$1)</f>
        <v>0</v>
      </c>
      <c r="AP303" s="220">
        <f>SUMIFS(LstMachines[Nbre],LstMachines[Model-Spec],PrévisionBoris[[#This Row],[Spec]],LstMachines[Status],PrévisionBoris[[#This Row],[Status]],LstMachines[MoisLivr],AP$1)</f>
        <v>0</v>
      </c>
      <c r="AQ303" s="220">
        <f>SUMIFS(LstMachines[Nbre],LstMachines[Model-Spec],PrévisionBoris[[#This Row],[Spec]],LstMachines[Status],PrévisionBoris[[#This Row],[Status]],LstMachines[MoisLivr],AQ$1)</f>
        <v>0</v>
      </c>
      <c r="AR303" s="219">
        <f>SUMIFS(LstMachines[Nbre],LstMachines[Model-Spec],PrévisionBoris[[#This Row],[Spec]],LstMachines[Status],PrévisionBoris[[#This Row],[Status]],LstMachines[MoisLivr],AR$1)</f>
        <v>0</v>
      </c>
      <c r="AS303" s="220">
        <f>SUMIFS(LstMachines[Nbre],LstMachines[Model-Spec],PrévisionBoris[[#This Row],[Spec]],LstMachines[Status],PrévisionBoris[[#This Row],[Status]],LstMachines[MoisLivr],AS$1)</f>
        <v>0</v>
      </c>
      <c r="AT303" s="220">
        <f>SUMIFS(LstMachines[Nbre],LstMachines[Model-Spec],PrévisionBoris[[#This Row],[Spec]],LstMachines[Status],PrévisionBoris[[#This Row],[Status]],LstMachines[MoisLivr],AT$1)</f>
        <v>0</v>
      </c>
      <c r="AU303" s="219">
        <f>SUMIFS(LstMachines[Nbre],LstMachines[Model-Spec],PrévisionBoris[[#This Row],[Spec]],LstMachines[Status],PrévisionBoris[[#This Row],[Status]],LstMachines[MoisLivr],AU$1)</f>
        <v>0</v>
      </c>
      <c r="AV303" s="223">
        <f>SUMIFS(LstMachines[Nbre],LstMachines[Model-Spec],PrévisionBoris[[#This Row],[Spec]],LstMachines[Status],PrévisionBoris[[#This Row],[Status]],LstMachines[MoisLivr],AV$1)</f>
        <v>0</v>
      </c>
      <c r="AW303" s="224">
        <f>SUMIFS(LstMachines[Nbre],LstMachines[Model-Spec],PrévisionBoris[[#This Row],[Spec]],LstMachines[Status],PrévisionBoris[[#This Row],[Status]],LstMachines[MoisLivr],AW$1)</f>
        <v>0</v>
      </c>
      <c r="AX303" s="210"/>
      <c r="AY303" s="211">
        <f t="shared" si="67"/>
        <v>0</v>
      </c>
      <c r="AZ303" s="212">
        <f t="shared" si="68"/>
        <v>0</v>
      </c>
      <c r="BA303" s="212">
        <f t="shared" si="69"/>
        <v>0</v>
      </c>
      <c r="BB303" s="213">
        <f t="shared" si="70"/>
        <v>0</v>
      </c>
      <c r="BC303" s="225">
        <f t="shared" si="71"/>
        <v>0</v>
      </c>
      <c r="BD303" s="211">
        <f t="shared" si="72"/>
        <v>0</v>
      </c>
      <c r="BE303" s="212">
        <f t="shared" si="73"/>
        <v>0</v>
      </c>
      <c r="BF303" s="212">
        <f t="shared" si="74"/>
        <v>0</v>
      </c>
      <c r="BG303" s="213">
        <f t="shared" si="75"/>
        <v>0</v>
      </c>
      <c r="BH303" s="225">
        <f t="shared" si="76"/>
        <v>0</v>
      </c>
      <c r="BI303" s="214">
        <f t="shared" si="77"/>
        <v>0</v>
      </c>
      <c r="BJ303" s="215">
        <f t="shared" si="78"/>
        <v>0</v>
      </c>
      <c r="BK303" s="215">
        <f t="shared" si="79"/>
        <v>0</v>
      </c>
      <c r="BL303" s="216">
        <f t="shared" si="80"/>
        <v>0</v>
      </c>
      <c r="BM303" s="225">
        <f t="shared" si="81"/>
        <v>0</v>
      </c>
      <c r="BN303" s="225"/>
      <c r="BO303" s="217"/>
      <c r="BP303" s="218">
        <f t="shared" si="82"/>
        <v>0</v>
      </c>
    </row>
    <row r="304" spans="1:68">
      <c r="A304" s="171">
        <v>297</v>
      </c>
      <c r="B304" s="171" t="s">
        <v>85</v>
      </c>
      <c r="C304" s="201">
        <v>350</v>
      </c>
      <c r="D304" s="171" t="s">
        <v>90</v>
      </c>
      <c r="E304" s="171" t="s">
        <v>218</v>
      </c>
      <c r="F304" s="201">
        <f>VLOOKUP(PrévisionBoris[[#This Row],[Spec]],TabModelSpecs[[ModelSpec]:[Price]],2,FALSE)</f>
        <v>175</v>
      </c>
      <c r="G304" s="171" t="s">
        <v>463</v>
      </c>
      <c r="H304" s="226">
        <f>SUMIFS(LstMachines[Nbre],LstMachines[Model-Spec],PrévisionBoris[[#This Row],[Spec]],LstMachines[Status],PrévisionBoris[[#This Row],[Status]],LstMachines[MoisLivr],H$1)</f>
        <v>0</v>
      </c>
      <c r="I304" s="227">
        <f>SUMIFS(LstMachines[Nbre],LstMachines[Model-Spec],PrévisionBoris[[#This Row],[Spec]],LstMachines[Status],PrévisionBoris[[#This Row],[Status]],LstMachines[MoisLivr],I$1)</f>
        <v>0</v>
      </c>
      <c r="J304" s="228">
        <f>SUMIFS(LstMachines[Nbre],LstMachines[Model-Spec],PrévisionBoris[[#This Row],[Spec]],LstMachines[Status],PrévisionBoris[[#This Row],[Status]],LstMachines[MoisLivr],J$1)</f>
        <v>0</v>
      </c>
      <c r="K304" s="226">
        <f>SUMIFS(LstMachines[Nbre],LstMachines[Model-Spec],PrévisionBoris[[#This Row],[Spec]],LstMachines[Status],PrévisionBoris[[#This Row],[Status]],LstMachines[MoisLivr],K$1)</f>
        <v>0</v>
      </c>
      <c r="L304" s="227">
        <f>SUMIFS(LstMachines[Nbre],LstMachines[Model-Spec],PrévisionBoris[[#This Row],[Spec]],LstMachines[Status],PrévisionBoris[[#This Row],[Status]],LstMachines[MoisLivr],L$1)</f>
        <v>0</v>
      </c>
      <c r="M304" s="228">
        <f>SUMIFS(LstMachines[Nbre],LstMachines[Model-Spec],PrévisionBoris[[#This Row],[Spec]],LstMachines[Status],PrévisionBoris[[#This Row],[Status]],LstMachines[MoisLivr],M$1)</f>
        <v>0</v>
      </c>
      <c r="N304" s="226">
        <f>SUMIFS(LstMachines[Nbre],LstMachines[Model-Spec],PrévisionBoris[[#This Row],[Spec]],LstMachines[Status],PrévisionBoris[[#This Row],[Status]],LstMachines[MoisLivr],N$1)</f>
        <v>0</v>
      </c>
      <c r="O304" s="227">
        <f>SUMIFS(LstMachines[Nbre],LstMachines[Model-Spec],PrévisionBoris[[#This Row],[Spec]],LstMachines[Status],PrévisionBoris[[#This Row],[Status]],LstMachines[MoisLivr],O$1)</f>
        <v>0</v>
      </c>
      <c r="P304" s="228">
        <f>SUMIFS(LstMachines[Nbre],LstMachines[Model-Spec],PrévisionBoris[[#This Row],[Spec]],LstMachines[Status],PrévisionBoris[[#This Row],[Status]],LstMachines[MoisLivr],P$1)</f>
        <v>0</v>
      </c>
      <c r="Q304" s="229">
        <f>SUMIFS(LstMachines[Nbre],LstMachines[Model-Spec],PrévisionBoris[[#This Row],[Spec]],LstMachines[Status],PrévisionBoris[[#This Row],[Status]],LstMachines[MoisLivr],Q$1)</f>
        <v>0</v>
      </c>
      <c r="R304" s="227">
        <f>SUMIFS(LstMachines[Nbre],LstMachines[Model-Spec],PrévisionBoris[[#This Row],[Spec]],LstMachines[Status],PrévisionBoris[[#This Row],[Status]],LstMachines[MoisLivr],R$1)</f>
        <v>0</v>
      </c>
      <c r="S304" s="227">
        <f>SUMIFS(LstMachines[Nbre],LstMachines[Model-Spec],PrévisionBoris[[#This Row],[Spec]],LstMachines[Status],PrévisionBoris[[#This Row],[Status]],LstMachines[MoisLivr],S$1)</f>
        <v>0</v>
      </c>
      <c r="T304" s="226">
        <f>SUMIFS(LstMachines[Nbre],LstMachines[Model-Spec],PrévisionBoris[[#This Row],[Spec]],LstMachines[Status],PrévisionBoris[[#This Row],[Status]],LstMachines[MoisLivr],T$1)</f>
        <v>0</v>
      </c>
      <c r="U304" s="227">
        <f>SUMIFS(LstMachines[Nbre],LstMachines[Model-Spec],PrévisionBoris[[#This Row],[Spec]],LstMachines[Status],PrévisionBoris[[#This Row],[Status]],LstMachines[MoisLivr],U$1)</f>
        <v>1</v>
      </c>
      <c r="V304" s="227">
        <f>SUMIFS(LstMachines[Nbre],LstMachines[Model-Spec],PrévisionBoris[[#This Row],[Spec]],LstMachines[Status],PrévisionBoris[[#This Row],[Status]],LstMachines[MoisLivr],V$1)</f>
        <v>0</v>
      </c>
      <c r="W304" s="226">
        <f>SUMIFS(LstMachines[Nbre],LstMachines[Model-Spec],PrévisionBoris[[#This Row],[Spec]],LstMachines[Status],PrévisionBoris[[#This Row],[Status]],LstMachines[MoisLivr],W$1)</f>
        <v>0</v>
      </c>
      <c r="X304" s="227">
        <f>SUMIFS(LstMachines[Nbre],LstMachines[Model-Spec],PrévisionBoris[[#This Row],[Spec]],LstMachines[Status],PrévisionBoris[[#This Row],[Status]],LstMachines[MoisLivr],X$1)</f>
        <v>0</v>
      </c>
      <c r="Y304" s="227">
        <f>SUMIFS(LstMachines[Nbre],LstMachines[Model-Spec],PrévisionBoris[[#This Row],[Spec]],LstMachines[Status],PrévisionBoris[[#This Row],[Status]],LstMachines[MoisLivr],Y$1)</f>
        <v>0</v>
      </c>
      <c r="Z304" s="226">
        <f>SUMIFS(LstMachines[Nbre],LstMachines[Model-Spec],PrévisionBoris[[#This Row],[Spec]],LstMachines[Status],PrévisionBoris[[#This Row],[Status]],LstMachines[MoisLivr],Z$1)</f>
        <v>0</v>
      </c>
      <c r="AA304" s="227">
        <f>SUMIFS(LstMachines[Nbre],LstMachines[Model-Spec],PrévisionBoris[[#This Row],[Spec]],LstMachines[Status],PrévisionBoris[[#This Row],[Status]],LstMachines[MoisLivr],AA$1)</f>
        <v>0</v>
      </c>
      <c r="AB304" s="227">
        <f>SUMIFS(LstMachines[Nbre],LstMachines[Model-Spec],PrévisionBoris[[#This Row],[Spec]],LstMachines[Status],PrévisionBoris[[#This Row],[Status]],LstMachines[MoisLivr],AB$1)</f>
        <v>0</v>
      </c>
      <c r="AC304" s="226">
        <f>SUMIFS(LstMachines[Nbre],LstMachines[Model-Spec],PrévisionBoris[[#This Row],[Spec]],LstMachines[Status],PrévisionBoris[[#This Row],[Status]],LstMachines[MoisLivr],AC$1)</f>
        <v>0</v>
      </c>
      <c r="AD304" s="227">
        <f>SUMIFS(LstMachines[Nbre],LstMachines[Model-Spec],PrévisionBoris[[#This Row],[Spec]],LstMachines[Status],PrévisionBoris[[#This Row],[Status]],LstMachines[MoisLivr],AD$1)</f>
        <v>0</v>
      </c>
      <c r="AE304" s="227">
        <f>SUMIFS(LstMachines[Nbre],LstMachines[Model-Spec],PrévisionBoris[[#This Row],[Spec]],LstMachines[Status],PrévisionBoris[[#This Row],[Status]],LstMachines[MoisLivr],AE$1)</f>
        <v>0</v>
      </c>
      <c r="AF304" s="226">
        <f>SUMIFS(LstMachines[Nbre],LstMachines[Model-Spec],PrévisionBoris[[#This Row],[Spec]],LstMachines[Status],PrévisionBoris[[#This Row],[Status]],LstMachines[MoisLivr],AF$1)</f>
        <v>0</v>
      </c>
      <c r="AG304" s="227">
        <f>SUMIFS(LstMachines[Nbre],LstMachines[Model-Spec],PrévisionBoris[[#This Row],[Spec]],LstMachines[Status],PrévisionBoris[[#This Row],[Status]],LstMachines[MoisLivr],AG$1)</f>
        <v>0</v>
      </c>
      <c r="AH304" s="227">
        <f>SUMIFS(LstMachines[Nbre],LstMachines[Model-Spec],PrévisionBoris[[#This Row],[Spec]],LstMachines[Status],PrévisionBoris[[#This Row],[Status]],LstMachines[MoisLivr],AH$1)</f>
        <v>0</v>
      </c>
      <c r="AI304" s="226">
        <f>SUMIFS(LstMachines[Nbre],LstMachines[Model-Spec],PrévisionBoris[[#This Row],[Spec]],LstMachines[Status],PrévisionBoris[[#This Row],[Status]],LstMachines[MoisLivr],AI$1)</f>
        <v>0</v>
      </c>
      <c r="AJ304" s="227">
        <f>SUMIFS(LstMachines[Nbre],LstMachines[Model-Spec],PrévisionBoris[[#This Row],[Spec]],LstMachines[Status],PrévisionBoris[[#This Row],[Status]],LstMachines[MoisLivr],AJ$1)</f>
        <v>0</v>
      </c>
      <c r="AK304" s="227">
        <f>SUMIFS(LstMachines[Nbre],LstMachines[Model-Spec],PrévisionBoris[[#This Row],[Spec]],LstMachines[Status],PrévisionBoris[[#This Row],[Status]],LstMachines[MoisLivr],AK$1)</f>
        <v>0</v>
      </c>
      <c r="AL304" s="226">
        <f>SUMIFS(LstMachines[Nbre],LstMachines[Model-Spec],PrévisionBoris[[#This Row],[Spec]],LstMachines[Status],PrévisionBoris[[#This Row],[Status]],LstMachines[MoisLivr],AL$1)</f>
        <v>0</v>
      </c>
      <c r="AM304" s="227">
        <f>SUMIFS(LstMachines[Nbre],LstMachines[Model-Spec],PrévisionBoris[[#This Row],[Spec]],LstMachines[Status],PrévisionBoris[[#This Row],[Status]],LstMachines[MoisLivr],AM$1)</f>
        <v>0</v>
      </c>
      <c r="AN304" s="227">
        <f>SUMIFS(LstMachines[Nbre],LstMachines[Model-Spec],PrévisionBoris[[#This Row],[Spec]],LstMachines[Status],PrévisionBoris[[#This Row],[Status]],LstMachines[MoisLivr],AN$1)</f>
        <v>0</v>
      </c>
      <c r="AO304" s="226">
        <f>SUMIFS(LstMachines[Nbre],LstMachines[Model-Spec],PrévisionBoris[[#This Row],[Spec]],LstMachines[Status],PrévisionBoris[[#This Row],[Status]],LstMachines[MoisLivr],AO$1)</f>
        <v>0</v>
      </c>
      <c r="AP304" s="227">
        <f>SUMIFS(LstMachines[Nbre],LstMachines[Model-Spec],PrévisionBoris[[#This Row],[Spec]],LstMachines[Status],PrévisionBoris[[#This Row],[Status]],LstMachines[MoisLivr],AP$1)</f>
        <v>0</v>
      </c>
      <c r="AQ304" s="227">
        <f>SUMIFS(LstMachines[Nbre],LstMachines[Model-Spec],PrévisionBoris[[#This Row],[Spec]],LstMachines[Status],PrévisionBoris[[#This Row],[Status]],LstMachines[MoisLivr],AQ$1)</f>
        <v>0</v>
      </c>
      <c r="AR304" s="226">
        <f>SUMIFS(LstMachines[Nbre],LstMachines[Model-Spec],PrévisionBoris[[#This Row],[Spec]],LstMachines[Status],PrévisionBoris[[#This Row],[Status]],LstMachines[MoisLivr],AR$1)</f>
        <v>0</v>
      </c>
      <c r="AS304" s="227">
        <f>SUMIFS(LstMachines[Nbre],LstMachines[Model-Spec],PrévisionBoris[[#This Row],[Spec]],LstMachines[Status],PrévisionBoris[[#This Row],[Status]],LstMachines[MoisLivr],AS$1)</f>
        <v>0</v>
      </c>
      <c r="AT304" s="227">
        <f>SUMIFS(LstMachines[Nbre],LstMachines[Model-Spec],PrévisionBoris[[#This Row],[Spec]],LstMachines[Status],PrévisionBoris[[#This Row],[Status]],LstMachines[MoisLivr],AT$1)</f>
        <v>0</v>
      </c>
      <c r="AU304" s="226">
        <f>SUMIFS(LstMachines[Nbre],LstMachines[Model-Spec],PrévisionBoris[[#This Row],[Spec]],LstMachines[Status],PrévisionBoris[[#This Row],[Status]],LstMachines[MoisLivr],AU$1)</f>
        <v>0</v>
      </c>
      <c r="AV304" s="230">
        <f>SUMIFS(LstMachines[Nbre],LstMachines[Model-Spec],PrévisionBoris[[#This Row],[Spec]],LstMachines[Status],PrévisionBoris[[#This Row],[Status]],LstMachines[MoisLivr],AV$1)</f>
        <v>0</v>
      </c>
      <c r="AW304" s="231">
        <f>SUMIFS(LstMachines[Nbre],LstMachines[Model-Spec],PrévisionBoris[[#This Row],[Spec]],LstMachines[Status],PrévisionBoris[[#This Row],[Status]],LstMachines[MoisLivr],AW$1)</f>
        <v>0</v>
      </c>
      <c r="AX304" s="232"/>
      <c r="AY304" s="211">
        <f t="shared" si="67"/>
        <v>0</v>
      </c>
      <c r="AZ304" s="212">
        <f t="shared" si="68"/>
        <v>0</v>
      </c>
      <c r="BA304" s="212">
        <f t="shared" si="69"/>
        <v>0</v>
      </c>
      <c r="BB304" s="213">
        <f t="shared" si="70"/>
        <v>1</v>
      </c>
      <c r="BC304" s="225">
        <f t="shared" si="71"/>
        <v>1</v>
      </c>
      <c r="BD304" s="211">
        <f t="shared" si="72"/>
        <v>0</v>
      </c>
      <c r="BE304" s="212">
        <f t="shared" si="73"/>
        <v>0</v>
      </c>
      <c r="BF304" s="212">
        <f t="shared" si="74"/>
        <v>0</v>
      </c>
      <c r="BG304" s="213">
        <f t="shared" si="75"/>
        <v>0</v>
      </c>
      <c r="BH304" s="225">
        <f t="shared" si="76"/>
        <v>0</v>
      </c>
      <c r="BI304" s="214">
        <f t="shared" si="77"/>
        <v>0</v>
      </c>
      <c r="BJ304" s="215">
        <f t="shared" si="78"/>
        <v>0</v>
      </c>
      <c r="BK304" s="215">
        <f t="shared" si="79"/>
        <v>0</v>
      </c>
      <c r="BL304" s="216">
        <f t="shared" si="80"/>
        <v>0</v>
      </c>
      <c r="BM304" s="225">
        <f t="shared" si="81"/>
        <v>0</v>
      </c>
      <c r="BN304" s="225"/>
      <c r="BO304" s="217"/>
      <c r="BP304" s="218">
        <f t="shared" si="82"/>
        <v>1</v>
      </c>
    </row>
    <row r="305" spans="1:68">
      <c r="A305" s="172">
        <v>298</v>
      </c>
      <c r="B305" s="172" t="s">
        <v>85</v>
      </c>
      <c r="C305" s="202">
        <v>350</v>
      </c>
      <c r="D305" s="172" t="s">
        <v>90</v>
      </c>
      <c r="E305" s="172" t="s">
        <v>219</v>
      </c>
      <c r="F305" s="202">
        <f>VLOOKUP(PrévisionBoris[[#This Row],[Spec]],TabModelSpecs[[ModelSpec]:[Price]],2,FALSE)</f>
        <v>200</v>
      </c>
      <c r="G305" s="172" t="s">
        <v>461</v>
      </c>
      <c r="H305" s="206">
        <f>SUMIFS(LstMachines[Nbre],LstMachines[Model-Spec],PrévisionBoris[[#This Row],[Spec]],LstMachines[Status],PrévisionBoris[[#This Row],[Status]],LstMachines[MoisLivr],H$1)</f>
        <v>0</v>
      </c>
      <c r="I305" s="207">
        <f>SUMIFS(LstMachines[Nbre],LstMachines[Model-Spec],PrévisionBoris[[#This Row],[Spec]],LstMachines[Status],PrévisionBoris[[#This Row],[Status]],LstMachines[MoisLivr],I$1)</f>
        <v>0</v>
      </c>
      <c r="J305" s="208">
        <f>SUMIFS(LstMachines[Nbre],LstMachines[Model-Spec],PrévisionBoris[[#This Row],[Spec]],LstMachines[Status],PrévisionBoris[[#This Row],[Status]],LstMachines[MoisLivr],J$1)</f>
        <v>0</v>
      </c>
      <c r="K305" s="206">
        <f>SUMIFS(LstMachines[Nbre],LstMachines[Model-Spec],PrévisionBoris[[#This Row],[Spec]],LstMachines[Status],PrévisionBoris[[#This Row],[Status]],LstMachines[MoisLivr],K$1)</f>
        <v>0</v>
      </c>
      <c r="L305" s="207">
        <f>SUMIFS(LstMachines[Nbre],LstMachines[Model-Spec],PrévisionBoris[[#This Row],[Spec]],LstMachines[Status],PrévisionBoris[[#This Row],[Status]],LstMachines[MoisLivr],L$1)</f>
        <v>0</v>
      </c>
      <c r="M305" s="208">
        <f>SUMIFS(LstMachines[Nbre],LstMachines[Model-Spec],PrévisionBoris[[#This Row],[Spec]],LstMachines[Status],PrévisionBoris[[#This Row],[Status]],LstMachines[MoisLivr],M$1)</f>
        <v>0</v>
      </c>
      <c r="N305" s="206">
        <f>SUMIFS(LstMachines[Nbre],LstMachines[Model-Spec],PrévisionBoris[[#This Row],[Spec]],LstMachines[Status],PrévisionBoris[[#This Row],[Status]],LstMachines[MoisLivr],N$1)</f>
        <v>0</v>
      </c>
      <c r="O305" s="207">
        <f>SUMIFS(LstMachines[Nbre],LstMachines[Model-Spec],PrévisionBoris[[#This Row],[Spec]],LstMachines[Status],PrévisionBoris[[#This Row],[Status]],LstMachines[MoisLivr],O$1)</f>
        <v>0</v>
      </c>
      <c r="P305" s="208">
        <f>SUMIFS(LstMachines[Nbre],LstMachines[Model-Spec],PrévisionBoris[[#This Row],[Spec]],LstMachines[Status],PrévisionBoris[[#This Row],[Status]],LstMachines[MoisLivr],P$1)</f>
        <v>0</v>
      </c>
      <c r="Q305" s="209">
        <f>SUMIFS(LstMachines[Nbre],LstMachines[Model-Spec],PrévisionBoris[[#This Row],[Spec]],LstMachines[Status],PrévisionBoris[[#This Row],[Status]],LstMachines[MoisLivr],Q$1)</f>
        <v>0</v>
      </c>
      <c r="R305" s="207">
        <f>SUMIFS(LstMachines[Nbre],LstMachines[Model-Spec],PrévisionBoris[[#This Row],[Spec]],LstMachines[Status],PrévisionBoris[[#This Row],[Status]],LstMachines[MoisLivr],R$1)</f>
        <v>0</v>
      </c>
      <c r="S305" s="207">
        <f>SUMIFS(LstMachines[Nbre],LstMachines[Model-Spec],PrévisionBoris[[#This Row],[Spec]],LstMachines[Status],PrévisionBoris[[#This Row],[Status]],LstMachines[MoisLivr],S$1)</f>
        <v>0</v>
      </c>
      <c r="T305" s="206">
        <f>SUMIFS(LstMachines[Nbre],LstMachines[Model-Spec],PrévisionBoris[[#This Row],[Spec]],LstMachines[Status],PrévisionBoris[[#This Row],[Status]],LstMachines[MoisLivr],T$1)</f>
        <v>0</v>
      </c>
      <c r="U305" s="207">
        <f>SUMIFS(LstMachines[Nbre],LstMachines[Model-Spec],PrévisionBoris[[#This Row],[Spec]],LstMachines[Status],PrévisionBoris[[#This Row],[Status]],LstMachines[MoisLivr],U$1)</f>
        <v>0</v>
      </c>
      <c r="V305" s="207">
        <f>SUMIFS(LstMachines[Nbre],LstMachines[Model-Spec],PrévisionBoris[[#This Row],[Spec]],LstMachines[Status],PrévisionBoris[[#This Row],[Status]],LstMachines[MoisLivr],V$1)</f>
        <v>0</v>
      </c>
      <c r="W305" s="206">
        <f>SUMIFS(LstMachines[Nbre],LstMachines[Model-Spec],PrévisionBoris[[#This Row],[Spec]],LstMachines[Status],PrévisionBoris[[#This Row],[Status]],LstMachines[MoisLivr],W$1)</f>
        <v>0</v>
      </c>
      <c r="X305" s="207">
        <f>SUMIFS(LstMachines[Nbre],LstMachines[Model-Spec],PrévisionBoris[[#This Row],[Spec]],LstMachines[Status],PrévisionBoris[[#This Row],[Status]],LstMachines[MoisLivr],X$1)</f>
        <v>0</v>
      </c>
      <c r="Y305" s="207">
        <f>SUMIFS(LstMachines[Nbre],LstMachines[Model-Spec],PrévisionBoris[[#This Row],[Spec]],LstMachines[Status],PrévisionBoris[[#This Row],[Status]],LstMachines[MoisLivr],Y$1)</f>
        <v>0</v>
      </c>
      <c r="Z305" s="206">
        <f>SUMIFS(LstMachines[Nbre],LstMachines[Model-Spec],PrévisionBoris[[#This Row],[Spec]],LstMachines[Status],PrévisionBoris[[#This Row],[Status]],LstMachines[MoisLivr],Z$1)</f>
        <v>0</v>
      </c>
      <c r="AA305" s="207">
        <f>SUMIFS(LstMachines[Nbre],LstMachines[Model-Spec],PrévisionBoris[[#This Row],[Spec]],LstMachines[Status],PrévisionBoris[[#This Row],[Status]],LstMachines[MoisLivr],AA$1)</f>
        <v>0</v>
      </c>
      <c r="AB305" s="207">
        <f>SUMIFS(LstMachines[Nbre],LstMachines[Model-Spec],PrévisionBoris[[#This Row],[Spec]],LstMachines[Status],PrévisionBoris[[#This Row],[Status]],LstMachines[MoisLivr],AB$1)</f>
        <v>0</v>
      </c>
      <c r="AC305" s="206">
        <f>SUMIFS(LstMachines[Nbre],LstMachines[Model-Spec],PrévisionBoris[[#This Row],[Spec]],LstMachines[Status],PrévisionBoris[[#This Row],[Status]],LstMachines[MoisLivr],AC$1)</f>
        <v>0</v>
      </c>
      <c r="AD305" s="207">
        <f>SUMIFS(LstMachines[Nbre],LstMachines[Model-Spec],PrévisionBoris[[#This Row],[Spec]],LstMachines[Status],PrévisionBoris[[#This Row],[Status]],LstMachines[MoisLivr],AD$1)</f>
        <v>0</v>
      </c>
      <c r="AE305" s="207">
        <f>SUMIFS(LstMachines[Nbre],LstMachines[Model-Spec],PrévisionBoris[[#This Row],[Spec]],LstMachines[Status],PrévisionBoris[[#This Row],[Status]],LstMachines[MoisLivr],AE$1)</f>
        <v>0</v>
      </c>
      <c r="AF305" s="206">
        <f>SUMIFS(LstMachines[Nbre],LstMachines[Model-Spec],PrévisionBoris[[#This Row],[Spec]],LstMachines[Status],PrévisionBoris[[#This Row],[Status]],LstMachines[MoisLivr],AF$1)</f>
        <v>0</v>
      </c>
      <c r="AG305" s="207">
        <f>SUMIFS(LstMachines[Nbre],LstMachines[Model-Spec],PrévisionBoris[[#This Row],[Spec]],LstMachines[Status],PrévisionBoris[[#This Row],[Status]],LstMachines[MoisLivr],AG$1)</f>
        <v>0</v>
      </c>
      <c r="AH305" s="207">
        <f>SUMIFS(LstMachines[Nbre],LstMachines[Model-Spec],PrévisionBoris[[#This Row],[Spec]],LstMachines[Status],PrévisionBoris[[#This Row],[Status]],LstMachines[MoisLivr],AH$1)</f>
        <v>0</v>
      </c>
      <c r="AI305" s="206">
        <f>SUMIFS(LstMachines[Nbre],LstMachines[Model-Spec],PrévisionBoris[[#This Row],[Spec]],LstMachines[Status],PrévisionBoris[[#This Row],[Status]],LstMachines[MoisLivr],AI$1)</f>
        <v>0</v>
      </c>
      <c r="AJ305" s="207">
        <f>SUMIFS(LstMachines[Nbre],LstMachines[Model-Spec],PrévisionBoris[[#This Row],[Spec]],LstMachines[Status],PrévisionBoris[[#This Row],[Status]],LstMachines[MoisLivr],AJ$1)</f>
        <v>0</v>
      </c>
      <c r="AK305" s="207">
        <f>SUMIFS(LstMachines[Nbre],LstMachines[Model-Spec],PrévisionBoris[[#This Row],[Spec]],LstMachines[Status],PrévisionBoris[[#This Row],[Status]],LstMachines[MoisLivr],AK$1)</f>
        <v>0</v>
      </c>
      <c r="AL305" s="206">
        <f>SUMIFS(LstMachines[Nbre],LstMachines[Model-Spec],PrévisionBoris[[#This Row],[Spec]],LstMachines[Status],PrévisionBoris[[#This Row],[Status]],LstMachines[MoisLivr],AL$1)</f>
        <v>0</v>
      </c>
      <c r="AM305" s="207">
        <f>SUMIFS(LstMachines[Nbre],LstMachines[Model-Spec],PrévisionBoris[[#This Row],[Spec]],LstMachines[Status],PrévisionBoris[[#This Row],[Status]],LstMachines[MoisLivr],AM$1)</f>
        <v>0</v>
      </c>
      <c r="AN305" s="207">
        <f>SUMIFS(LstMachines[Nbre],LstMachines[Model-Spec],PrévisionBoris[[#This Row],[Spec]],LstMachines[Status],PrévisionBoris[[#This Row],[Status]],LstMachines[MoisLivr],AN$1)</f>
        <v>0</v>
      </c>
      <c r="AO305" s="206">
        <f>SUMIFS(LstMachines[Nbre],LstMachines[Model-Spec],PrévisionBoris[[#This Row],[Spec]],LstMachines[Status],PrévisionBoris[[#This Row],[Status]],LstMachines[MoisLivr],AO$1)</f>
        <v>0</v>
      </c>
      <c r="AP305" s="207">
        <f>SUMIFS(LstMachines[Nbre],LstMachines[Model-Spec],PrévisionBoris[[#This Row],[Spec]],LstMachines[Status],PrévisionBoris[[#This Row],[Status]],LstMachines[MoisLivr],AP$1)</f>
        <v>0</v>
      </c>
      <c r="AQ305" s="207">
        <f>SUMIFS(LstMachines[Nbre],LstMachines[Model-Spec],PrévisionBoris[[#This Row],[Spec]],LstMachines[Status],PrévisionBoris[[#This Row],[Status]],LstMachines[MoisLivr],AQ$1)</f>
        <v>0</v>
      </c>
      <c r="AR305" s="206">
        <f>SUMIFS(LstMachines[Nbre],LstMachines[Model-Spec],PrévisionBoris[[#This Row],[Spec]],LstMachines[Status],PrévisionBoris[[#This Row],[Status]],LstMachines[MoisLivr],AR$1)</f>
        <v>0</v>
      </c>
      <c r="AS305" s="207">
        <f>SUMIFS(LstMachines[Nbre],LstMachines[Model-Spec],PrévisionBoris[[#This Row],[Spec]],LstMachines[Status],PrévisionBoris[[#This Row],[Status]],LstMachines[MoisLivr],AS$1)</f>
        <v>0</v>
      </c>
      <c r="AT305" s="207">
        <f>SUMIFS(LstMachines[Nbre],LstMachines[Model-Spec],PrévisionBoris[[#This Row],[Spec]],LstMachines[Status],PrévisionBoris[[#This Row],[Status]],LstMachines[MoisLivr],AT$1)</f>
        <v>0</v>
      </c>
      <c r="AU305" s="206">
        <f>SUMIFS(LstMachines[Nbre],LstMachines[Model-Spec],PrévisionBoris[[#This Row],[Spec]],LstMachines[Status],PrévisionBoris[[#This Row],[Status]],LstMachines[MoisLivr],AU$1)</f>
        <v>0</v>
      </c>
      <c r="AV305" s="233">
        <f>SUMIFS(LstMachines[Nbre],LstMachines[Model-Spec],PrévisionBoris[[#This Row],[Spec]],LstMachines[Status],PrévisionBoris[[#This Row],[Status]],LstMachines[MoisLivr],AV$1)</f>
        <v>0</v>
      </c>
      <c r="AW305" s="208">
        <f>SUMIFS(LstMachines[Nbre],LstMachines[Model-Spec],PrévisionBoris[[#This Row],[Spec]],LstMachines[Status],PrévisionBoris[[#This Row],[Status]],LstMachines[MoisLivr],AW$1)</f>
        <v>0</v>
      </c>
      <c r="AX305" s="225"/>
      <c r="AY305" s="211">
        <f t="shared" si="67"/>
        <v>0</v>
      </c>
      <c r="AZ305" s="212">
        <f t="shared" si="68"/>
        <v>0</v>
      </c>
      <c r="BA305" s="212">
        <f t="shared" si="69"/>
        <v>0</v>
      </c>
      <c r="BB305" s="213">
        <f t="shared" si="70"/>
        <v>0</v>
      </c>
      <c r="BC305" s="225">
        <f t="shared" si="71"/>
        <v>0</v>
      </c>
      <c r="BD305" s="211">
        <f t="shared" si="72"/>
        <v>0</v>
      </c>
      <c r="BE305" s="212">
        <f t="shared" si="73"/>
        <v>0</v>
      </c>
      <c r="BF305" s="212">
        <f t="shared" si="74"/>
        <v>0</v>
      </c>
      <c r="BG305" s="213">
        <f t="shared" si="75"/>
        <v>0</v>
      </c>
      <c r="BH305" s="225">
        <f t="shared" si="76"/>
        <v>0</v>
      </c>
      <c r="BI305" s="214">
        <f t="shared" si="77"/>
        <v>0</v>
      </c>
      <c r="BJ305" s="215">
        <f t="shared" si="78"/>
        <v>0</v>
      </c>
      <c r="BK305" s="215">
        <f t="shared" si="79"/>
        <v>0</v>
      </c>
      <c r="BL305" s="216">
        <f t="shared" si="80"/>
        <v>0</v>
      </c>
      <c r="BM305" s="225">
        <f t="shared" si="81"/>
        <v>0</v>
      </c>
      <c r="BN305" s="225"/>
      <c r="BO305" s="234"/>
      <c r="BP305" s="218">
        <f t="shared" si="82"/>
        <v>0</v>
      </c>
    </row>
    <row r="306" spans="1:68">
      <c r="A306" s="170">
        <v>299</v>
      </c>
      <c r="B306" s="170" t="s">
        <v>85</v>
      </c>
      <c r="C306" s="200">
        <v>350</v>
      </c>
      <c r="D306" s="170" t="s">
        <v>90</v>
      </c>
      <c r="E306" s="170" t="s">
        <v>219</v>
      </c>
      <c r="F306" s="200">
        <f>VLOOKUP(PrévisionBoris[[#This Row],[Spec]],TabModelSpecs[[ModelSpec]:[Price]],2,FALSE)</f>
        <v>200</v>
      </c>
      <c r="G306" s="170" t="s">
        <v>462</v>
      </c>
      <c r="H306" s="219">
        <f>SUMIFS(LstMachines[Nbre],LstMachines[Model-Spec],PrévisionBoris[[#This Row],[Spec]],LstMachines[Status],PrévisionBoris[[#This Row],[Status]],LstMachines[MoisLivr],H$1)</f>
        <v>0</v>
      </c>
      <c r="I306" s="220">
        <f>SUMIFS(LstMachines[Nbre],LstMachines[Model-Spec],PrévisionBoris[[#This Row],[Spec]],LstMachines[Status],PrévisionBoris[[#This Row],[Status]],LstMachines[MoisLivr],I$1)</f>
        <v>0</v>
      </c>
      <c r="J306" s="221">
        <f>SUMIFS(LstMachines[Nbre],LstMachines[Model-Spec],PrévisionBoris[[#This Row],[Spec]],LstMachines[Status],PrévisionBoris[[#This Row],[Status]],LstMachines[MoisLivr],J$1)</f>
        <v>0</v>
      </c>
      <c r="K306" s="219">
        <f>SUMIFS(LstMachines[Nbre],LstMachines[Model-Spec],PrévisionBoris[[#This Row],[Spec]],LstMachines[Status],PrévisionBoris[[#This Row],[Status]],LstMachines[MoisLivr],K$1)</f>
        <v>0</v>
      </c>
      <c r="L306" s="220">
        <f>SUMIFS(LstMachines[Nbre],LstMachines[Model-Spec],PrévisionBoris[[#This Row],[Spec]],LstMachines[Status],PrévisionBoris[[#This Row],[Status]],LstMachines[MoisLivr],L$1)</f>
        <v>0</v>
      </c>
      <c r="M306" s="221">
        <f>SUMIFS(LstMachines[Nbre],LstMachines[Model-Spec],PrévisionBoris[[#This Row],[Spec]],LstMachines[Status],PrévisionBoris[[#This Row],[Status]],LstMachines[MoisLivr],M$1)</f>
        <v>0</v>
      </c>
      <c r="N306" s="219">
        <f>SUMIFS(LstMachines[Nbre],LstMachines[Model-Spec],PrévisionBoris[[#This Row],[Spec]],LstMachines[Status],PrévisionBoris[[#This Row],[Status]],LstMachines[MoisLivr],N$1)</f>
        <v>0</v>
      </c>
      <c r="O306" s="220">
        <f>SUMIFS(LstMachines[Nbre],LstMachines[Model-Spec],PrévisionBoris[[#This Row],[Spec]],LstMachines[Status],PrévisionBoris[[#This Row],[Status]],LstMachines[MoisLivr],O$1)</f>
        <v>0</v>
      </c>
      <c r="P306" s="221">
        <f>SUMIFS(LstMachines[Nbre],LstMachines[Model-Spec],PrévisionBoris[[#This Row],[Spec]],LstMachines[Status],PrévisionBoris[[#This Row],[Status]],LstMachines[MoisLivr],P$1)</f>
        <v>0</v>
      </c>
      <c r="Q306" s="222">
        <f>SUMIFS(LstMachines[Nbre],LstMachines[Model-Spec],PrévisionBoris[[#This Row],[Spec]],LstMachines[Status],PrévisionBoris[[#This Row],[Status]],LstMachines[MoisLivr],Q$1)</f>
        <v>0</v>
      </c>
      <c r="R306" s="220">
        <f>SUMIFS(LstMachines[Nbre],LstMachines[Model-Spec],PrévisionBoris[[#This Row],[Spec]],LstMachines[Status],PrévisionBoris[[#This Row],[Status]],LstMachines[MoisLivr],R$1)</f>
        <v>0</v>
      </c>
      <c r="S306" s="220">
        <f>SUMIFS(LstMachines[Nbre],LstMachines[Model-Spec],PrévisionBoris[[#This Row],[Spec]],LstMachines[Status],PrévisionBoris[[#This Row],[Status]],LstMachines[MoisLivr],S$1)</f>
        <v>0</v>
      </c>
      <c r="T306" s="219">
        <f>SUMIFS(LstMachines[Nbre],LstMachines[Model-Spec],PrévisionBoris[[#This Row],[Spec]],LstMachines[Status],PrévisionBoris[[#This Row],[Status]],LstMachines[MoisLivr],T$1)</f>
        <v>0</v>
      </c>
      <c r="U306" s="220">
        <f>SUMIFS(LstMachines[Nbre],LstMachines[Model-Spec],PrévisionBoris[[#This Row],[Spec]],LstMachines[Status],PrévisionBoris[[#This Row],[Status]],LstMachines[MoisLivr],U$1)</f>
        <v>0</v>
      </c>
      <c r="V306" s="220">
        <f>SUMIFS(LstMachines[Nbre],LstMachines[Model-Spec],PrévisionBoris[[#This Row],[Spec]],LstMachines[Status],PrévisionBoris[[#This Row],[Status]],LstMachines[MoisLivr],V$1)</f>
        <v>0</v>
      </c>
      <c r="W306" s="219">
        <f>SUMIFS(LstMachines[Nbre],LstMachines[Model-Spec],PrévisionBoris[[#This Row],[Spec]],LstMachines[Status],PrévisionBoris[[#This Row],[Status]],LstMachines[MoisLivr],W$1)</f>
        <v>0</v>
      </c>
      <c r="X306" s="220">
        <f>SUMIFS(LstMachines[Nbre],LstMachines[Model-Spec],PrévisionBoris[[#This Row],[Spec]],LstMachines[Status],PrévisionBoris[[#This Row],[Status]],LstMachines[MoisLivr],X$1)</f>
        <v>0</v>
      </c>
      <c r="Y306" s="220">
        <f>SUMIFS(LstMachines[Nbre],LstMachines[Model-Spec],PrévisionBoris[[#This Row],[Spec]],LstMachines[Status],PrévisionBoris[[#This Row],[Status]],LstMachines[MoisLivr],Y$1)</f>
        <v>0</v>
      </c>
      <c r="Z306" s="219">
        <f>SUMIFS(LstMachines[Nbre],LstMachines[Model-Spec],PrévisionBoris[[#This Row],[Spec]],LstMachines[Status],PrévisionBoris[[#This Row],[Status]],LstMachines[MoisLivr],Z$1)</f>
        <v>0</v>
      </c>
      <c r="AA306" s="220">
        <f>SUMIFS(LstMachines[Nbre],LstMachines[Model-Spec],PrévisionBoris[[#This Row],[Spec]],LstMachines[Status],PrévisionBoris[[#This Row],[Status]],LstMachines[MoisLivr],AA$1)</f>
        <v>0</v>
      </c>
      <c r="AB306" s="220">
        <f>SUMIFS(LstMachines[Nbre],LstMachines[Model-Spec],PrévisionBoris[[#This Row],[Spec]],LstMachines[Status],PrévisionBoris[[#This Row],[Status]],LstMachines[MoisLivr],AB$1)</f>
        <v>0</v>
      </c>
      <c r="AC306" s="219">
        <f>SUMIFS(LstMachines[Nbre],LstMachines[Model-Spec],PrévisionBoris[[#This Row],[Spec]],LstMachines[Status],PrévisionBoris[[#This Row],[Status]],LstMachines[MoisLivr],AC$1)</f>
        <v>0</v>
      </c>
      <c r="AD306" s="220">
        <f>SUMIFS(LstMachines[Nbre],LstMachines[Model-Spec],PrévisionBoris[[#This Row],[Spec]],LstMachines[Status],PrévisionBoris[[#This Row],[Status]],LstMachines[MoisLivr],AD$1)</f>
        <v>0</v>
      </c>
      <c r="AE306" s="220">
        <f>SUMIFS(LstMachines[Nbre],LstMachines[Model-Spec],PrévisionBoris[[#This Row],[Spec]],LstMachines[Status],PrévisionBoris[[#This Row],[Status]],LstMachines[MoisLivr],AE$1)</f>
        <v>0</v>
      </c>
      <c r="AF306" s="219">
        <f>SUMIFS(LstMachines[Nbre],LstMachines[Model-Spec],PrévisionBoris[[#This Row],[Spec]],LstMachines[Status],PrévisionBoris[[#This Row],[Status]],LstMachines[MoisLivr],AF$1)</f>
        <v>0</v>
      </c>
      <c r="AG306" s="220">
        <f>SUMIFS(LstMachines[Nbre],LstMachines[Model-Spec],PrévisionBoris[[#This Row],[Spec]],LstMachines[Status],PrévisionBoris[[#This Row],[Status]],LstMachines[MoisLivr],AG$1)</f>
        <v>0</v>
      </c>
      <c r="AH306" s="220">
        <f>SUMIFS(LstMachines[Nbre],LstMachines[Model-Spec],PrévisionBoris[[#This Row],[Spec]],LstMachines[Status],PrévisionBoris[[#This Row],[Status]],LstMachines[MoisLivr],AH$1)</f>
        <v>0</v>
      </c>
      <c r="AI306" s="219">
        <f>SUMIFS(LstMachines[Nbre],LstMachines[Model-Spec],PrévisionBoris[[#This Row],[Spec]],LstMachines[Status],PrévisionBoris[[#This Row],[Status]],LstMachines[MoisLivr],AI$1)</f>
        <v>0</v>
      </c>
      <c r="AJ306" s="220">
        <f>SUMIFS(LstMachines[Nbre],LstMachines[Model-Spec],PrévisionBoris[[#This Row],[Spec]],LstMachines[Status],PrévisionBoris[[#This Row],[Status]],LstMachines[MoisLivr],AJ$1)</f>
        <v>0</v>
      </c>
      <c r="AK306" s="220">
        <f>SUMIFS(LstMachines[Nbre],LstMachines[Model-Spec],PrévisionBoris[[#This Row],[Spec]],LstMachines[Status],PrévisionBoris[[#This Row],[Status]],LstMachines[MoisLivr],AK$1)</f>
        <v>0</v>
      </c>
      <c r="AL306" s="219">
        <f>SUMIFS(LstMachines[Nbre],LstMachines[Model-Spec],PrévisionBoris[[#This Row],[Spec]],LstMachines[Status],PrévisionBoris[[#This Row],[Status]],LstMachines[MoisLivr],AL$1)</f>
        <v>0</v>
      </c>
      <c r="AM306" s="220">
        <f>SUMIFS(LstMachines[Nbre],LstMachines[Model-Spec],PrévisionBoris[[#This Row],[Spec]],LstMachines[Status],PrévisionBoris[[#This Row],[Status]],LstMachines[MoisLivr],AM$1)</f>
        <v>0</v>
      </c>
      <c r="AN306" s="220">
        <f>SUMIFS(LstMachines[Nbre],LstMachines[Model-Spec],PrévisionBoris[[#This Row],[Spec]],LstMachines[Status],PrévisionBoris[[#This Row],[Status]],LstMachines[MoisLivr],AN$1)</f>
        <v>0</v>
      </c>
      <c r="AO306" s="219">
        <f>SUMIFS(LstMachines[Nbre],LstMachines[Model-Spec],PrévisionBoris[[#This Row],[Spec]],LstMachines[Status],PrévisionBoris[[#This Row],[Status]],LstMachines[MoisLivr],AO$1)</f>
        <v>0</v>
      </c>
      <c r="AP306" s="220">
        <f>SUMIFS(LstMachines[Nbre],LstMachines[Model-Spec],PrévisionBoris[[#This Row],[Spec]],LstMachines[Status],PrévisionBoris[[#This Row],[Status]],LstMachines[MoisLivr],AP$1)</f>
        <v>0</v>
      </c>
      <c r="AQ306" s="220">
        <f>SUMIFS(LstMachines[Nbre],LstMachines[Model-Spec],PrévisionBoris[[#This Row],[Spec]],LstMachines[Status],PrévisionBoris[[#This Row],[Status]],LstMachines[MoisLivr],AQ$1)</f>
        <v>0</v>
      </c>
      <c r="AR306" s="219">
        <f>SUMIFS(LstMachines[Nbre],LstMachines[Model-Spec],PrévisionBoris[[#This Row],[Spec]],LstMachines[Status],PrévisionBoris[[#This Row],[Status]],LstMachines[MoisLivr],AR$1)</f>
        <v>0</v>
      </c>
      <c r="AS306" s="220">
        <f>SUMIFS(LstMachines[Nbre],LstMachines[Model-Spec],PrévisionBoris[[#This Row],[Spec]],LstMachines[Status],PrévisionBoris[[#This Row],[Status]],LstMachines[MoisLivr],AS$1)</f>
        <v>0</v>
      </c>
      <c r="AT306" s="220">
        <f>SUMIFS(LstMachines[Nbre],LstMachines[Model-Spec],PrévisionBoris[[#This Row],[Spec]],LstMachines[Status],PrévisionBoris[[#This Row],[Status]],LstMachines[MoisLivr],AT$1)</f>
        <v>0</v>
      </c>
      <c r="AU306" s="219">
        <f>SUMIFS(LstMachines[Nbre],LstMachines[Model-Spec],PrévisionBoris[[#This Row],[Spec]],LstMachines[Status],PrévisionBoris[[#This Row],[Status]],LstMachines[MoisLivr],AU$1)</f>
        <v>0</v>
      </c>
      <c r="AV306" s="223">
        <f>SUMIFS(LstMachines[Nbre],LstMachines[Model-Spec],PrévisionBoris[[#This Row],[Spec]],LstMachines[Status],PrévisionBoris[[#This Row],[Status]],LstMachines[MoisLivr],AV$1)</f>
        <v>0</v>
      </c>
      <c r="AW306" s="224">
        <f>SUMIFS(LstMachines[Nbre],LstMachines[Model-Spec],PrévisionBoris[[#This Row],[Spec]],LstMachines[Status],PrévisionBoris[[#This Row],[Status]],LstMachines[MoisLivr],AW$1)</f>
        <v>0</v>
      </c>
      <c r="AX306" s="210"/>
      <c r="AY306" s="211">
        <f t="shared" si="67"/>
        <v>0</v>
      </c>
      <c r="AZ306" s="212">
        <f t="shared" si="68"/>
        <v>0</v>
      </c>
      <c r="BA306" s="212">
        <f t="shared" si="69"/>
        <v>0</v>
      </c>
      <c r="BB306" s="213">
        <f t="shared" si="70"/>
        <v>0</v>
      </c>
      <c r="BC306" s="225">
        <f t="shared" si="71"/>
        <v>0</v>
      </c>
      <c r="BD306" s="211">
        <f t="shared" si="72"/>
        <v>0</v>
      </c>
      <c r="BE306" s="212">
        <f t="shared" si="73"/>
        <v>0</v>
      </c>
      <c r="BF306" s="212">
        <f t="shared" si="74"/>
        <v>0</v>
      </c>
      <c r="BG306" s="213">
        <f t="shared" si="75"/>
        <v>0</v>
      </c>
      <c r="BH306" s="225">
        <f t="shared" si="76"/>
        <v>0</v>
      </c>
      <c r="BI306" s="214">
        <f t="shared" si="77"/>
        <v>0</v>
      </c>
      <c r="BJ306" s="215">
        <f t="shared" si="78"/>
        <v>0</v>
      </c>
      <c r="BK306" s="215">
        <f t="shared" si="79"/>
        <v>0</v>
      </c>
      <c r="BL306" s="216">
        <f t="shared" si="80"/>
        <v>0</v>
      </c>
      <c r="BM306" s="225">
        <f t="shared" si="81"/>
        <v>0</v>
      </c>
      <c r="BN306" s="225"/>
      <c r="BO306" s="217"/>
      <c r="BP306" s="218">
        <f t="shared" si="82"/>
        <v>0</v>
      </c>
    </row>
    <row r="307" spans="1:68">
      <c r="A307" s="171">
        <v>300</v>
      </c>
      <c r="B307" s="171" t="s">
        <v>85</v>
      </c>
      <c r="C307" s="201">
        <v>350</v>
      </c>
      <c r="D307" s="171" t="s">
        <v>90</v>
      </c>
      <c r="E307" s="171" t="s">
        <v>219</v>
      </c>
      <c r="F307" s="201">
        <f>VLOOKUP(PrévisionBoris[[#This Row],[Spec]],TabModelSpecs[[ModelSpec]:[Price]],2,FALSE)</f>
        <v>200</v>
      </c>
      <c r="G307" s="171" t="s">
        <v>463</v>
      </c>
      <c r="H307" s="226">
        <f>SUMIFS(LstMachines[Nbre],LstMachines[Model-Spec],PrévisionBoris[[#This Row],[Spec]],LstMachines[Status],PrévisionBoris[[#This Row],[Status]],LstMachines[MoisLivr],H$1)</f>
        <v>0</v>
      </c>
      <c r="I307" s="227">
        <f>SUMIFS(LstMachines[Nbre],LstMachines[Model-Spec],PrévisionBoris[[#This Row],[Spec]],LstMachines[Status],PrévisionBoris[[#This Row],[Status]],LstMachines[MoisLivr],I$1)</f>
        <v>0</v>
      </c>
      <c r="J307" s="228">
        <f>SUMIFS(LstMachines[Nbre],LstMachines[Model-Spec],PrévisionBoris[[#This Row],[Spec]],LstMachines[Status],PrévisionBoris[[#This Row],[Status]],LstMachines[MoisLivr],J$1)</f>
        <v>0</v>
      </c>
      <c r="K307" s="226">
        <f>SUMIFS(LstMachines[Nbre],LstMachines[Model-Spec],PrévisionBoris[[#This Row],[Spec]],LstMachines[Status],PrévisionBoris[[#This Row],[Status]],LstMachines[MoisLivr],K$1)</f>
        <v>0</v>
      </c>
      <c r="L307" s="227">
        <f>SUMIFS(LstMachines[Nbre],LstMachines[Model-Spec],PrévisionBoris[[#This Row],[Spec]],LstMachines[Status],PrévisionBoris[[#This Row],[Status]],LstMachines[MoisLivr],L$1)</f>
        <v>0</v>
      </c>
      <c r="M307" s="228">
        <f>SUMIFS(LstMachines[Nbre],LstMachines[Model-Spec],PrévisionBoris[[#This Row],[Spec]],LstMachines[Status],PrévisionBoris[[#This Row],[Status]],LstMachines[MoisLivr],M$1)</f>
        <v>0</v>
      </c>
      <c r="N307" s="226">
        <f>SUMIFS(LstMachines[Nbre],LstMachines[Model-Spec],PrévisionBoris[[#This Row],[Spec]],LstMachines[Status],PrévisionBoris[[#This Row],[Status]],LstMachines[MoisLivr],N$1)</f>
        <v>0</v>
      </c>
      <c r="O307" s="227">
        <f>SUMIFS(LstMachines[Nbre],LstMachines[Model-Spec],PrévisionBoris[[#This Row],[Spec]],LstMachines[Status],PrévisionBoris[[#This Row],[Status]],LstMachines[MoisLivr],O$1)</f>
        <v>0</v>
      </c>
      <c r="P307" s="228">
        <f>SUMIFS(LstMachines[Nbre],LstMachines[Model-Spec],PrévisionBoris[[#This Row],[Spec]],LstMachines[Status],PrévisionBoris[[#This Row],[Status]],LstMachines[MoisLivr],P$1)</f>
        <v>0</v>
      </c>
      <c r="Q307" s="229">
        <f>SUMIFS(LstMachines[Nbre],LstMachines[Model-Spec],PrévisionBoris[[#This Row],[Spec]],LstMachines[Status],PrévisionBoris[[#This Row],[Status]],LstMachines[MoisLivr],Q$1)</f>
        <v>0</v>
      </c>
      <c r="R307" s="227">
        <f>SUMIFS(LstMachines[Nbre],LstMachines[Model-Spec],PrévisionBoris[[#This Row],[Spec]],LstMachines[Status],PrévisionBoris[[#This Row],[Status]],LstMachines[MoisLivr],R$1)</f>
        <v>0</v>
      </c>
      <c r="S307" s="227">
        <f>SUMIFS(LstMachines[Nbre],LstMachines[Model-Spec],PrévisionBoris[[#This Row],[Spec]],LstMachines[Status],PrévisionBoris[[#This Row],[Status]],LstMachines[MoisLivr],S$1)</f>
        <v>0</v>
      </c>
      <c r="T307" s="226">
        <f>SUMIFS(LstMachines[Nbre],LstMachines[Model-Spec],PrévisionBoris[[#This Row],[Spec]],LstMachines[Status],PrévisionBoris[[#This Row],[Status]],LstMachines[MoisLivr],T$1)</f>
        <v>0</v>
      </c>
      <c r="U307" s="227">
        <f>SUMIFS(LstMachines[Nbre],LstMachines[Model-Spec],PrévisionBoris[[#This Row],[Spec]],LstMachines[Status],PrévisionBoris[[#This Row],[Status]],LstMachines[MoisLivr],U$1)</f>
        <v>0</v>
      </c>
      <c r="V307" s="227">
        <f>SUMIFS(LstMachines[Nbre],LstMachines[Model-Spec],PrévisionBoris[[#This Row],[Spec]],LstMachines[Status],PrévisionBoris[[#This Row],[Status]],LstMachines[MoisLivr],V$1)</f>
        <v>0</v>
      </c>
      <c r="W307" s="226">
        <f>SUMIFS(LstMachines[Nbre],LstMachines[Model-Spec],PrévisionBoris[[#This Row],[Spec]],LstMachines[Status],PrévisionBoris[[#This Row],[Status]],LstMachines[MoisLivr],W$1)</f>
        <v>0</v>
      </c>
      <c r="X307" s="227">
        <f>SUMIFS(LstMachines[Nbre],LstMachines[Model-Spec],PrévisionBoris[[#This Row],[Spec]],LstMachines[Status],PrévisionBoris[[#This Row],[Status]],LstMachines[MoisLivr],X$1)</f>
        <v>0</v>
      </c>
      <c r="Y307" s="227">
        <f>SUMIFS(LstMachines[Nbre],LstMachines[Model-Spec],PrévisionBoris[[#This Row],[Spec]],LstMachines[Status],PrévisionBoris[[#This Row],[Status]],LstMachines[MoisLivr],Y$1)</f>
        <v>0</v>
      </c>
      <c r="Z307" s="226">
        <f>SUMIFS(LstMachines[Nbre],LstMachines[Model-Spec],PrévisionBoris[[#This Row],[Spec]],LstMachines[Status],PrévisionBoris[[#This Row],[Status]],LstMachines[MoisLivr],Z$1)</f>
        <v>0</v>
      </c>
      <c r="AA307" s="227">
        <f>SUMIFS(LstMachines[Nbre],LstMachines[Model-Spec],PrévisionBoris[[#This Row],[Spec]],LstMachines[Status],PrévisionBoris[[#This Row],[Status]],LstMachines[MoisLivr],AA$1)</f>
        <v>0</v>
      </c>
      <c r="AB307" s="227">
        <f>SUMIFS(LstMachines[Nbre],LstMachines[Model-Spec],PrévisionBoris[[#This Row],[Spec]],LstMachines[Status],PrévisionBoris[[#This Row],[Status]],LstMachines[MoisLivr],AB$1)</f>
        <v>0</v>
      </c>
      <c r="AC307" s="226">
        <f>SUMIFS(LstMachines[Nbre],LstMachines[Model-Spec],PrévisionBoris[[#This Row],[Spec]],LstMachines[Status],PrévisionBoris[[#This Row],[Status]],LstMachines[MoisLivr],AC$1)</f>
        <v>0</v>
      </c>
      <c r="AD307" s="227">
        <f>SUMIFS(LstMachines[Nbre],LstMachines[Model-Spec],PrévisionBoris[[#This Row],[Spec]],LstMachines[Status],PrévisionBoris[[#This Row],[Status]],LstMachines[MoisLivr],AD$1)</f>
        <v>0</v>
      </c>
      <c r="AE307" s="227">
        <f>SUMIFS(LstMachines[Nbre],LstMachines[Model-Spec],PrévisionBoris[[#This Row],[Spec]],LstMachines[Status],PrévisionBoris[[#This Row],[Status]],LstMachines[MoisLivr],AE$1)</f>
        <v>0</v>
      </c>
      <c r="AF307" s="226">
        <f>SUMIFS(LstMachines[Nbre],LstMachines[Model-Spec],PrévisionBoris[[#This Row],[Spec]],LstMachines[Status],PrévisionBoris[[#This Row],[Status]],LstMachines[MoisLivr],AF$1)</f>
        <v>0</v>
      </c>
      <c r="AG307" s="227">
        <f>SUMIFS(LstMachines[Nbre],LstMachines[Model-Spec],PrévisionBoris[[#This Row],[Spec]],LstMachines[Status],PrévisionBoris[[#This Row],[Status]],LstMachines[MoisLivr],AG$1)</f>
        <v>0</v>
      </c>
      <c r="AH307" s="227">
        <f>SUMIFS(LstMachines[Nbre],LstMachines[Model-Spec],PrévisionBoris[[#This Row],[Spec]],LstMachines[Status],PrévisionBoris[[#This Row],[Status]],LstMachines[MoisLivr],AH$1)</f>
        <v>0</v>
      </c>
      <c r="AI307" s="226">
        <f>SUMIFS(LstMachines[Nbre],LstMachines[Model-Spec],PrévisionBoris[[#This Row],[Spec]],LstMachines[Status],PrévisionBoris[[#This Row],[Status]],LstMachines[MoisLivr],AI$1)</f>
        <v>0</v>
      </c>
      <c r="AJ307" s="227">
        <f>SUMIFS(LstMachines[Nbre],LstMachines[Model-Spec],PrévisionBoris[[#This Row],[Spec]],LstMachines[Status],PrévisionBoris[[#This Row],[Status]],LstMachines[MoisLivr],AJ$1)</f>
        <v>0</v>
      </c>
      <c r="AK307" s="227">
        <f>SUMIFS(LstMachines[Nbre],LstMachines[Model-Spec],PrévisionBoris[[#This Row],[Spec]],LstMachines[Status],PrévisionBoris[[#This Row],[Status]],LstMachines[MoisLivr],AK$1)</f>
        <v>0</v>
      </c>
      <c r="AL307" s="226">
        <f>SUMIFS(LstMachines[Nbre],LstMachines[Model-Spec],PrévisionBoris[[#This Row],[Spec]],LstMachines[Status],PrévisionBoris[[#This Row],[Status]],LstMachines[MoisLivr],AL$1)</f>
        <v>0</v>
      </c>
      <c r="AM307" s="227">
        <f>SUMIFS(LstMachines[Nbre],LstMachines[Model-Spec],PrévisionBoris[[#This Row],[Spec]],LstMachines[Status],PrévisionBoris[[#This Row],[Status]],LstMachines[MoisLivr],AM$1)</f>
        <v>0</v>
      </c>
      <c r="AN307" s="227">
        <f>SUMIFS(LstMachines[Nbre],LstMachines[Model-Spec],PrévisionBoris[[#This Row],[Spec]],LstMachines[Status],PrévisionBoris[[#This Row],[Status]],LstMachines[MoisLivr],AN$1)</f>
        <v>0</v>
      </c>
      <c r="AO307" s="226">
        <f>SUMIFS(LstMachines[Nbre],LstMachines[Model-Spec],PrévisionBoris[[#This Row],[Spec]],LstMachines[Status],PrévisionBoris[[#This Row],[Status]],LstMachines[MoisLivr],AO$1)</f>
        <v>0</v>
      </c>
      <c r="AP307" s="227">
        <f>SUMIFS(LstMachines[Nbre],LstMachines[Model-Spec],PrévisionBoris[[#This Row],[Spec]],LstMachines[Status],PrévisionBoris[[#This Row],[Status]],LstMachines[MoisLivr],AP$1)</f>
        <v>0</v>
      </c>
      <c r="AQ307" s="227">
        <f>SUMIFS(LstMachines[Nbre],LstMachines[Model-Spec],PrévisionBoris[[#This Row],[Spec]],LstMachines[Status],PrévisionBoris[[#This Row],[Status]],LstMachines[MoisLivr],AQ$1)</f>
        <v>0</v>
      </c>
      <c r="AR307" s="226">
        <f>SUMIFS(LstMachines[Nbre],LstMachines[Model-Spec],PrévisionBoris[[#This Row],[Spec]],LstMachines[Status],PrévisionBoris[[#This Row],[Status]],LstMachines[MoisLivr],AR$1)</f>
        <v>0</v>
      </c>
      <c r="AS307" s="227">
        <f>SUMIFS(LstMachines[Nbre],LstMachines[Model-Spec],PrévisionBoris[[#This Row],[Spec]],LstMachines[Status],PrévisionBoris[[#This Row],[Status]],LstMachines[MoisLivr],AS$1)</f>
        <v>0</v>
      </c>
      <c r="AT307" s="227">
        <f>SUMIFS(LstMachines[Nbre],LstMachines[Model-Spec],PrévisionBoris[[#This Row],[Spec]],LstMachines[Status],PrévisionBoris[[#This Row],[Status]],LstMachines[MoisLivr],AT$1)</f>
        <v>0</v>
      </c>
      <c r="AU307" s="226">
        <f>SUMIFS(LstMachines[Nbre],LstMachines[Model-Spec],PrévisionBoris[[#This Row],[Spec]],LstMachines[Status],PrévisionBoris[[#This Row],[Status]],LstMachines[MoisLivr],AU$1)</f>
        <v>0</v>
      </c>
      <c r="AV307" s="230">
        <f>SUMIFS(LstMachines[Nbre],LstMachines[Model-Spec],PrévisionBoris[[#This Row],[Spec]],LstMachines[Status],PrévisionBoris[[#This Row],[Status]],LstMachines[MoisLivr],AV$1)</f>
        <v>0</v>
      </c>
      <c r="AW307" s="231">
        <f>SUMIFS(LstMachines[Nbre],LstMachines[Model-Spec],PrévisionBoris[[#This Row],[Spec]],LstMachines[Status],PrévisionBoris[[#This Row],[Status]],LstMachines[MoisLivr],AW$1)</f>
        <v>0</v>
      </c>
      <c r="AX307" s="232"/>
      <c r="AY307" s="211">
        <f t="shared" si="67"/>
        <v>0</v>
      </c>
      <c r="AZ307" s="212">
        <f t="shared" si="68"/>
        <v>0</v>
      </c>
      <c r="BA307" s="212">
        <f t="shared" si="69"/>
        <v>0</v>
      </c>
      <c r="BB307" s="213">
        <f t="shared" si="70"/>
        <v>0</v>
      </c>
      <c r="BC307" s="225">
        <f t="shared" si="71"/>
        <v>0</v>
      </c>
      <c r="BD307" s="211">
        <f t="shared" si="72"/>
        <v>0</v>
      </c>
      <c r="BE307" s="212">
        <f t="shared" si="73"/>
        <v>0</v>
      </c>
      <c r="BF307" s="212">
        <f t="shared" si="74"/>
        <v>0</v>
      </c>
      <c r="BG307" s="213">
        <f t="shared" si="75"/>
        <v>0</v>
      </c>
      <c r="BH307" s="225">
        <f t="shared" si="76"/>
        <v>0</v>
      </c>
      <c r="BI307" s="214">
        <f t="shared" si="77"/>
        <v>0</v>
      </c>
      <c r="BJ307" s="215">
        <f t="shared" si="78"/>
        <v>0</v>
      </c>
      <c r="BK307" s="215">
        <f t="shared" si="79"/>
        <v>0</v>
      </c>
      <c r="BL307" s="216">
        <f t="shared" si="80"/>
        <v>0</v>
      </c>
      <c r="BM307" s="225">
        <f t="shared" si="81"/>
        <v>0</v>
      </c>
      <c r="BN307" s="225"/>
      <c r="BO307" s="217"/>
      <c r="BP307" s="218">
        <f t="shared" si="82"/>
        <v>0</v>
      </c>
    </row>
    <row r="308" spans="1:68">
      <c r="A308" s="172">
        <v>301</v>
      </c>
      <c r="B308" s="172" t="s">
        <v>85</v>
      </c>
      <c r="C308" s="202">
        <v>350</v>
      </c>
      <c r="D308" s="172" t="s">
        <v>90</v>
      </c>
      <c r="E308" s="172" t="s">
        <v>91</v>
      </c>
      <c r="F308" s="202">
        <f>VLOOKUP(PrévisionBoris[[#This Row],[Spec]],TabModelSpecs[[ModelSpec]:[Price]],2,FALSE)</f>
        <v>175</v>
      </c>
      <c r="G308" s="172" t="s">
        <v>461</v>
      </c>
      <c r="H308" s="206">
        <f>SUMIFS(LstMachines[Nbre],LstMachines[Model-Spec],PrévisionBoris[[#This Row],[Spec]],LstMachines[Status],PrévisionBoris[[#This Row],[Status]],LstMachines[MoisLivr],H$1)</f>
        <v>0</v>
      </c>
      <c r="I308" s="207">
        <f>SUMIFS(LstMachines[Nbre],LstMachines[Model-Spec],PrévisionBoris[[#This Row],[Spec]],LstMachines[Status],PrévisionBoris[[#This Row],[Status]],LstMachines[MoisLivr],I$1)</f>
        <v>0</v>
      </c>
      <c r="J308" s="208">
        <f>SUMIFS(LstMachines[Nbre],LstMachines[Model-Spec],PrévisionBoris[[#This Row],[Spec]],LstMachines[Status],PrévisionBoris[[#This Row],[Status]],LstMachines[MoisLivr],J$1)</f>
        <v>0</v>
      </c>
      <c r="K308" s="206">
        <f>SUMIFS(LstMachines[Nbre],LstMachines[Model-Spec],PrévisionBoris[[#This Row],[Spec]],LstMachines[Status],PrévisionBoris[[#This Row],[Status]],LstMachines[MoisLivr],K$1)</f>
        <v>0</v>
      </c>
      <c r="L308" s="207">
        <f>SUMIFS(LstMachines[Nbre],LstMachines[Model-Spec],PrévisionBoris[[#This Row],[Spec]],LstMachines[Status],PrévisionBoris[[#This Row],[Status]],LstMachines[MoisLivr],L$1)</f>
        <v>0</v>
      </c>
      <c r="M308" s="208">
        <f>SUMIFS(LstMachines[Nbre],LstMachines[Model-Spec],PrévisionBoris[[#This Row],[Spec]],LstMachines[Status],PrévisionBoris[[#This Row],[Status]],LstMachines[MoisLivr],M$1)</f>
        <v>0</v>
      </c>
      <c r="N308" s="206">
        <f>SUMIFS(LstMachines[Nbre],LstMachines[Model-Spec],PrévisionBoris[[#This Row],[Spec]],LstMachines[Status],PrévisionBoris[[#This Row],[Status]],LstMachines[MoisLivr],N$1)</f>
        <v>0</v>
      </c>
      <c r="O308" s="207">
        <f>SUMIFS(LstMachines[Nbre],LstMachines[Model-Spec],PrévisionBoris[[#This Row],[Spec]],LstMachines[Status],PrévisionBoris[[#This Row],[Status]],LstMachines[MoisLivr],O$1)</f>
        <v>0</v>
      </c>
      <c r="P308" s="208">
        <f>SUMIFS(LstMachines[Nbre],LstMachines[Model-Spec],PrévisionBoris[[#This Row],[Spec]],LstMachines[Status],PrévisionBoris[[#This Row],[Status]],LstMachines[MoisLivr],P$1)</f>
        <v>0</v>
      </c>
      <c r="Q308" s="209">
        <f>SUMIFS(LstMachines[Nbre],LstMachines[Model-Spec],PrévisionBoris[[#This Row],[Spec]],LstMachines[Status],PrévisionBoris[[#This Row],[Status]],LstMachines[MoisLivr],Q$1)</f>
        <v>0</v>
      </c>
      <c r="R308" s="207">
        <f>SUMIFS(LstMachines[Nbre],LstMachines[Model-Spec],PrévisionBoris[[#This Row],[Spec]],LstMachines[Status],PrévisionBoris[[#This Row],[Status]],LstMachines[MoisLivr],R$1)</f>
        <v>0</v>
      </c>
      <c r="S308" s="207">
        <f>SUMIFS(LstMachines[Nbre],LstMachines[Model-Spec],PrévisionBoris[[#This Row],[Spec]],LstMachines[Status],PrévisionBoris[[#This Row],[Status]],LstMachines[MoisLivr],S$1)</f>
        <v>0</v>
      </c>
      <c r="T308" s="206">
        <f>SUMIFS(LstMachines[Nbre],LstMachines[Model-Spec],PrévisionBoris[[#This Row],[Spec]],LstMachines[Status],PrévisionBoris[[#This Row],[Status]],LstMachines[MoisLivr],T$1)</f>
        <v>0</v>
      </c>
      <c r="U308" s="207">
        <f>SUMIFS(LstMachines[Nbre],LstMachines[Model-Spec],PrévisionBoris[[#This Row],[Spec]],LstMachines[Status],PrévisionBoris[[#This Row],[Status]],LstMachines[MoisLivr],U$1)</f>
        <v>0</v>
      </c>
      <c r="V308" s="207">
        <f>SUMIFS(LstMachines[Nbre],LstMachines[Model-Spec],PrévisionBoris[[#This Row],[Spec]],LstMachines[Status],PrévisionBoris[[#This Row],[Status]],LstMachines[MoisLivr],V$1)</f>
        <v>0</v>
      </c>
      <c r="W308" s="206">
        <f>SUMIFS(LstMachines[Nbre],LstMachines[Model-Spec],PrévisionBoris[[#This Row],[Spec]],LstMachines[Status],PrévisionBoris[[#This Row],[Status]],LstMachines[MoisLivr],W$1)</f>
        <v>0</v>
      </c>
      <c r="X308" s="207">
        <f>SUMIFS(LstMachines[Nbre],LstMachines[Model-Spec],PrévisionBoris[[#This Row],[Spec]],LstMachines[Status],PrévisionBoris[[#This Row],[Status]],LstMachines[MoisLivr],X$1)</f>
        <v>0</v>
      </c>
      <c r="Y308" s="207">
        <f>SUMIFS(LstMachines[Nbre],LstMachines[Model-Spec],PrévisionBoris[[#This Row],[Spec]],LstMachines[Status],PrévisionBoris[[#This Row],[Status]],LstMachines[MoisLivr],Y$1)</f>
        <v>0</v>
      </c>
      <c r="Z308" s="206">
        <f>SUMIFS(LstMachines[Nbre],LstMachines[Model-Spec],PrévisionBoris[[#This Row],[Spec]],LstMachines[Status],PrévisionBoris[[#This Row],[Status]],LstMachines[MoisLivr],Z$1)</f>
        <v>0</v>
      </c>
      <c r="AA308" s="207">
        <f>SUMIFS(LstMachines[Nbre],LstMachines[Model-Spec],PrévisionBoris[[#This Row],[Spec]],LstMachines[Status],PrévisionBoris[[#This Row],[Status]],LstMachines[MoisLivr],AA$1)</f>
        <v>0</v>
      </c>
      <c r="AB308" s="207">
        <f>SUMIFS(LstMachines[Nbre],LstMachines[Model-Spec],PrévisionBoris[[#This Row],[Spec]],LstMachines[Status],PrévisionBoris[[#This Row],[Status]],LstMachines[MoisLivr],AB$1)</f>
        <v>0</v>
      </c>
      <c r="AC308" s="206">
        <f>SUMIFS(LstMachines[Nbre],LstMachines[Model-Spec],PrévisionBoris[[#This Row],[Spec]],LstMachines[Status],PrévisionBoris[[#This Row],[Status]],LstMachines[MoisLivr],AC$1)</f>
        <v>0</v>
      </c>
      <c r="AD308" s="207">
        <f>SUMIFS(LstMachines[Nbre],LstMachines[Model-Spec],PrévisionBoris[[#This Row],[Spec]],LstMachines[Status],PrévisionBoris[[#This Row],[Status]],LstMachines[MoisLivr],AD$1)</f>
        <v>0</v>
      </c>
      <c r="AE308" s="207">
        <f>SUMIFS(LstMachines[Nbre],LstMachines[Model-Spec],PrévisionBoris[[#This Row],[Spec]],LstMachines[Status],PrévisionBoris[[#This Row],[Status]],LstMachines[MoisLivr],AE$1)</f>
        <v>0</v>
      </c>
      <c r="AF308" s="206">
        <f>SUMIFS(LstMachines[Nbre],LstMachines[Model-Spec],PrévisionBoris[[#This Row],[Spec]],LstMachines[Status],PrévisionBoris[[#This Row],[Status]],LstMachines[MoisLivr],AF$1)</f>
        <v>0</v>
      </c>
      <c r="AG308" s="207">
        <f>SUMIFS(LstMachines[Nbre],LstMachines[Model-Spec],PrévisionBoris[[#This Row],[Spec]],LstMachines[Status],PrévisionBoris[[#This Row],[Status]],LstMachines[MoisLivr],AG$1)</f>
        <v>0</v>
      </c>
      <c r="AH308" s="207">
        <f>SUMIFS(LstMachines[Nbre],LstMachines[Model-Spec],PrévisionBoris[[#This Row],[Spec]],LstMachines[Status],PrévisionBoris[[#This Row],[Status]],LstMachines[MoisLivr],AH$1)</f>
        <v>0</v>
      </c>
      <c r="AI308" s="206">
        <f>SUMIFS(LstMachines[Nbre],LstMachines[Model-Spec],PrévisionBoris[[#This Row],[Spec]],LstMachines[Status],PrévisionBoris[[#This Row],[Status]],LstMachines[MoisLivr],AI$1)</f>
        <v>0</v>
      </c>
      <c r="AJ308" s="207">
        <f>SUMIFS(LstMachines[Nbre],LstMachines[Model-Spec],PrévisionBoris[[#This Row],[Spec]],LstMachines[Status],PrévisionBoris[[#This Row],[Status]],LstMachines[MoisLivr],AJ$1)</f>
        <v>0</v>
      </c>
      <c r="AK308" s="207">
        <f>SUMIFS(LstMachines[Nbre],LstMachines[Model-Spec],PrévisionBoris[[#This Row],[Spec]],LstMachines[Status],PrévisionBoris[[#This Row],[Status]],LstMachines[MoisLivr],AK$1)</f>
        <v>0</v>
      </c>
      <c r="AL308" s="206">
        <f>SUMIFS(LstMachines[Nbre],LstMachines[Model-Spec],PrévisionBoris[[#This Row],[Spec]],LstMachines[Status],PrévisionBoris[[#This Row],[Status]],LstMachines[MoisLivr],AL$1)</f>
        <v>0</v>
      </c>
      <c r="AM308" s="207">
        <f>SUMIFS(LstMachines[Nbre],LstMachines[Model-Spec],PrévisionBoris[[#This Row],[Spec]],LstMachines[Status],PrévisionBoris[[#This Row],[Status]],LstMachines[MoisLivr],AM$1)</f>
        <v>0</v>
      </c>
      <c r="AN308" s="207">
        <f>SUMIFS(LstMachines[Nbre],LstMachines[Model-Spec],PrévisionBoris[[#This Row],[Spec]],LstMachines[Status],PrévisionBoris[[#This Row],[Status]],LstMachines[MoisLivr],AN$1)</f>
        <v>0</v>
      </c>
      <c r="AO308" s="206">
        <f>SUMIFS(LstMachines[Nbre],LstMachines[Model-Spec],PrévisionBoris[[#This Row],[Spec]],LstMachines[Status],PrévisionBoris[[#This Row],[Status]],LstMachines[MoisLivr],AO$1)</f>
        <v>0</v>
      </c>
      <c r="AP308" s="207">
        <f>SUMIFS(LstMachines[Nbre],LstMachines[Model-Spec],PrévisionBoris[[#This Row],[Spec]],LstMachines[Status],PrévisionBoris[[#This Row],[Status]],LstMachines[MoisLivr],AP$1)</f>
        <v>0</v>
      </c>
      <c r="AQ308" s="207">
        <f>SUMIFS(LstMachines[Nbre],LstMachines[Model-Spec],PrévisionBoris[[#This Row],[Spec]],LstMachines[Status],PrévisionBoris[[#This Row],[Status]],LstMachines[MoisLivr],AQ$1)</f>
        <v>0</v>
      </c>
      <c r="AR308" s="206">
        <f>SUMIFS(LstMachines[Nbre],LstMachines[Model-Spec],PrévisionBoris[[#This Row],[Spec]],LstMachines[Status],PrévisionBoris[[#This Row],[Status]],LstMachines[MoisLivr],AR$1)</f>
        <v>0</v>
      </c>
      <c r="AS308" s="207">
        <f>SUMIFS(LstMachines[Nbre],LstMachines[Model-Spec],PrévisionBoris[[#This Row],[Spec]],LstMachines[Status],PrévisionBoris[[#This Row],[Status]],LstMachines[MoisLivr],AS$1)</f>
        <v>0</v>
      </c>
      <c r="AT308" s="207">
        <f>SUMIFS(LstMachines[Nbre],LstMachines[Model-Spec],PrévisionBoris[[#This Row],[Spec]],LstMachines[Status],PrévisionBoris[[#This Row],[Status]],LstMachines[MoisLivr],AT$1)</f>
        <v>0</v>
      </c>
      <c r="AU308" s="206">
        <f>SUMIFS(LstMachines[Nbre],LstMachines[Model-Spec],PrévisionBoris[[#This Row],[Spec]],LstMachines[Status],PrévisionBoris[[#This Row],[Status]],LstMachines[MoisLivr],AU$1)</f>
        <v>0</v>
      </c>
      <c r="AV308" s="233">
        <f>SUMIFS(LstMachines[Nbre],LstMachines[Model-Spec],PrévisionBoris[[#This Row],[Spec]],LstMachines[Status],PrévisionBoris[[#This Row],[Status]],LstMachines[MoisLivr],AV$1)</f>
        <v>0</v>
      </c>
      <c r="AW308" s="208">
        <f>SUMIFS(LstMachines[Nbre],LstMachines[Model-Spec],PrévisionBoris[[#This Row],[Spec]],LstMachines[Status],PrévisionBoris[[#This Row],[Status]],LstMachines[MoisLivr],AW$1)</f>
        <v>0</v>
      </c>
      <c r="AX308" s="225"/>
      <c r="AY308" s="211">
        <f t="shared" si="67"/>
        <v>0</v>
      </c>
      <c r="AZ308" s="212">
        <f t="shared" si="68"/>
        <v>0</v>
      </c>
      <c r="BA308" s="212">
        <f t="shared" si="69"/>
        <v>0</v>
      </c>
      <c r="BB308" s="213">
        <f t="shared" si="70"/>
        <v>0</v>
      </c>
      <c r="BC308" s="225">
        <f t="shared" si="71"/>
        <v>0</v>
      </c>
      <c r="BD308" s="211">
        <f t="shared" si="72"/>
        <v>0</v>
      </c>
      <c r="BE308" s="212">
        <f t="shared" si="73"/>
        <v>0</v>
      </c>
      <c r="BF308" s="212">
        <f t="shared" si="74"/>
        <v>0</v>
      </c>
      <c r="BG308" s="213">
        <f t="shared" si="75"/>
        <v>0</v>
      </c>
      <c r="BH308" s="225">
        <f t="shared" si="76"/>
        <v>0</v>
      </c>
      <c r="BI308" s="214">
        <f t="shared" si="77"/>
        <v>0</v>
      </c>
      <c r="BJ308" s="215">
        <f t="shared" si="78"/>
        <v>0</v>
      </c>
      <c r="BK308" s="215">
        <f t="shared" si="79"/>
        <v>0</v>
      </c>
      <c r="BL308" s="216">
        <f t="shared" si="80"/>
        <v>0</v>
      </c>
      <c r="BM308" s="225">
        <f t="shared" si="81"/>
        <v>0</v>
      </c>
      <c r="BN308" s="225"/>
      <c r="BO308" s="234"/>
      <c r="BP308" s="218">
        <f t="shared" si="82"/>
        <v>0</v>
      </c>
    </row>
    <row r="309" spans="1:68">
      <c r="A309" s="170">
        <v>302</v>
      </c>
      <c r="B309" s="170" t="s">
        <v>85</v>
      </c>
      <c r="C309" s="200">
        <v>350</v>
      </c>
      <c r="D309" s="170" t="s">
        <v>90</v>
      </c>
      <c r="E309" s="170" t="s">
        <v>91</v>
      </c>
      <c r="F309" s="200">
        <f>VLOOKUP(PrévisionBoris[[#This Row],[Spec]],TabModelSpecs[[ModelSpec]:[Price]],2,FALSE)</f>
        <v>175</v>
      </c>
      <c r="G309" s="170" t="s">
        <v>462</v>
      </c>
      <c r="H309" s="219">
        <f>SUMIFS(LstMachines[Nbre],LstMachines[Model-Spec],PrévisionBoris[[#This Row],[Spec]],LstMachines[Status],PrévisionBoris[[#This Row],[Status]],LstMachines[MoisLivr],H$1)</f>
        <v>0</v>
      </c>
      <c r="I309" s="220">
        <f>SUMIFS(LstMachines[Nbre],LstMachines[Model-Spec],PrévisionBoris[[#This Row],[Spec]],LstMachines[Status],PrévisionBoris[[#This Row],[Status]],LstMachines[MoisLivr],I$1)</f>
        <v>0</v>
      </c>
      <c r="J309" s="221">
        <f>SUMIFS(LstMachines[Nbre],LstMachines[Model-Spec],PrévisionBoris[[#This Row],[Spec]],LstMachines[Status],PrévisionBoris[[#This Row],[Status]],LstMachines[MoisLivr],J$1)</f>
        <v>0</v>
      </c>
      <c r="K309" s="219">
        <f>SUMIFS(LstMachines[Nbre],LstMachines[Model-Spec],PrévisionBoris[[#This Row],[Spec]],LstMachines[Status],PrévisionBoris[[#This Row],[Status]],LstMachines[MoisLivr],K$1)</f>
        <v>0</v>
      </c>
      <c r="L309" s="220">
        <f>SUMIFS(LstMachines[Nbre],LstMachines[Model-Spec],PrévisionBoris[[#This Row],[Spec]],LstMachines[Status],PrévisionBoris[[#This Row],[Status]],LstMachines[MoisLivr],L$1)</f>
        <v>0</v>
      </c>
      <c r="M309" s="221">
        <f>SUMIFS(LstMachines[Nbre],LstMachines[Model-Spec],PrévisionBoris[[#This Row],[Spec]],LstMachines[Status],PrévisionBoris[[#This Row],[Status]],LstMachines[MoisLivr],M$1)</f>
        <v>0</v>
      </c>
      <c r="N309" s="219">
        <f>SUMIFS(LstMachines[Nbre],LstMachines[Model-Spec],PrévisionBoris[[#This Row],[Spec]],LstMachines[Status],PrévisionBoris[[#This Row],[Status]],LstMachines[MoisLivr],N$1)</f>
        <v>0</v>
      </c>
      <c r="O309" s="220">
        <f>SUMIFS(LstMachines[Nbre],LstMachines[Model-Spec],PrévisionBoris[[#This Row],[Spec]],LstMachines[Status],PrévisionBoris[[#This Row],[Status]],LstMachines[MoisLivr],O$1)</f>
        <v>0</v>
      </c>
      <c r="P309" s="221">
        <f>SUMIFS(LstMachines[Nbre],LstMachines[Model-Spec],PrévisionBoris[[#This Row],[Spec]],LstMachines[Status],PrévisionBoris[[#This Row],[Status]],LstMachines[MoisLivr],P$1)</f>
        <v>0</v>
      </c>
      <c r="Q309" s="222">
        <f>SUMIFS(LstMachines[Nbre],LstMachines[Model-Spec],PrévisionBoris[[#This Row],[Spec]],LstMachines[Status],PrévisionBoris[[#This Row],[Status]],LstMachines[MoisLivr],Q$1)</f>
        <v>0</v>
      </c>
      <c r="R309" s="220">
        <f>SUMIFS(LstMachines[Nbre],LstMachines[Model-Spec],PrévisionBoris[[#This Row],[Spec]],LstMachines[Status],PrévisionBoris[[#This Row],[Status]],LstMachines[MoisLivr],R$1)</f>
        <v>0</v>
      </c>
      <c r="S309" s="220">
        <f>SUMIFS(LstMachines[Nbre],LstMachines[Model-Spec],PrévisionBoris[[#This Row],[Spec]],LstMachines[Status],PrévisionBoris[[#This Row],[Status]],LstMachines[MoisLivr],S$1)</f>
        <v>0</v>
      </c>
      <c r="T309" s="219">
        <f>SUMIFS(LstMachines[Nbre],LstMachines[Model-Spec],PrévisionBoris[[#This Row],[Spec]],LstMachines[Status],PrévisionBoris[[#This Row],[Status]],LstMachines[MoisLivr],T$1)</f>
        <v>0</v>
      </c>
      <c r="U309" s="220">
        <f>SUMIFS(LstMachines[Nbre],LstMachines[Model-Spec],PrévisionBoris[[#This Row],[Spec]],LstMachines[Status],PrévisionBoris[[#This Row],[Status]],LstMachines[MoisLivr],U$1)</f>
        <v>0</v>
      </c>
      <c r="V309" s="220">
        <f>SUMIFS(LstMachines[Nbre],LstMachines[Model-Spec],PrévisionBoris[[#This Row],[Spec]],LstMachines[Status],PrévisionBoris[[#This Row],[Status]],LstMachines[MoisLivr],V$1)</f>
        <v>0</v>
      </c>
      <c r="W309" s="219">
        <f>SUMIFS(LstMachines[Nbre],LstMachines[Model-Spec],PrévisionBoris[[#This Row],[Spec]],LstMachines[Status],PrévisionBoris[[#This Row],[Status]],LstMachines[MoisLivr],W$1)</f>
        <v>0</v>
      </c>
      <c r="X309" s="220">
        <f>SUMIFS(LstMachines[Nbre],LstMachines[Model-Spec],PrévisionBoris[[#This Row],[Spec]],LstMachines[Status],PrévisionBoris[[#This Row],[Status]],LstMachines[MoisLivr],X$1)</f>
        <v>0</v>
      </c>
      <c r="Y309" s="220">
        <f>SUMIFS(LstMachines[Nbre],LstMachines[Model-Spec],PrévisionBoris[[#This Row],[Spec]],LstMachines[Status],PrévisionBoris[[#This Row],[Status]],LstMachines[MoisLivr],Y$1)</f>
        <v>0</v>
      </c>
      <c r="Z309" s="219">
        <f>SUMIFS(LstMachines[Nbre],LstMachines[Model-Spec],PrévisionBoris[[#This Row],[Spec]],LstMachines[Status],PrévisionBoris[[#This Row],[Status]],LstMachines[MoisLivr],Z$1)</f>
        <v>0</v>
      </c>
      <c r="AA309" s="220">
        <f>SUMIFS(LstMachines[Nbre],LstMachines[Model-Spec],PrévisionBoris[[#This Row],[Spec]],LstMachines[Status],PrévisionBoris[[#This Row],[Status]],LstMachines[MoisLivr],AA$1)</f>
        <v>0</v>
      </c>
      <c r="AB309" s="220">
        <f>SUMIFS(LstMachines[Nbre],LstMachines[Model-Spec],PrévisionBoris[[#This Row],[Spec]],LstMachines[Status],PrévisionBoris[[#This Row],[Status]],LstMachines[MoisLivr],AB$1)</f>
        <v>0</v>
      </c>
      <c r="AC309" s="219">
        <f>SUMIFS(LstMachines[Nbre],LstMachines[Model-Spec],PrévisionBoris[[#This Row],[Spec]],LstMachines[Status],PrévisionBoris[[#This Row],[Status]],LstMachines[MoisLivr],AC$1)</f>
        <v>0</v>
      </c>
      <c r="AD309" s="220">
        <f>SUMIFS(LstMachines[Nbre],LstMachines[Model-Spec],PrévisionBoris[[#This Row],[Spec]],LstMachines[Status],PrévisionBoris[[#This Row],[Status]],LstMachines[MoisLivr],AD$1)</f>
        <v>0</v>
      </c>
      <c r="AE309" s="220">
        <f>SUMIFS(LstMachines[Nbre],LstMachines[Model-Spec],PrévisionBoris[[#This Row],[Spec]],LstMachines[Status],PrévisionBoris[[#This Row],[Status]],LstMachines[MoisLivr],AE$1)</f>
        <v>0</v>
      </c>
      <c r="AF309" s="219">
        <f>SUMIFS(LstMachines[Nbre],LstMachines[Model-Spec],PrévisionBoris[[#This Row],[Spec]],LstMachines[Status],PrévisionBoris[[#This Row],[Status]],LstMachines[MoisLivr],AF$1)</f>
        <v>0</v>
      </c>
      <c r="AG309" s="220">
        <f>SUMIFS(LstMachines[Nbre],LstMachines[Model-Spec],PrévisionBoris[[#This Row],[Spec]],LstMachines[Status],PrévisionBoris[[#This Row],[Status]],LstMachines[MoisLivr],AG$1)</f>
        <v>0</v>
      </c>
      <c r="AH309" s="220">
        <f>SUMIFS(LstMachines[Nbre],LstMachines[Model-Spec],PrévisionBoris[[#This Row],[Spec]],LstMachines[Status],PrévisionBoris[[#This Row],[Status]],LstMachines[MoisLivr],AH$1)</f>
        <v>0</v>
      </c>
      <c r="AI309" s="219">
        <f>SUMIFS(LstMachines[Nbre],LstMachines[Model-Spec],PrévisionBoris[[#This Row],[Spec]],LstMachines[Status],PrévisionBoris[[#This Row],[Status]],LstMachines[MoisLivr],AI$1)</f>
        <v>0</v>
      </c>
      <c r="AJ309" s="220">
        <f>SUMIFS(LstMachines[Nbre],LstMachines[Model-Spec],PrévisionBoris[[#This Row],[Spec]],LstMachines[Status],PrévisionBoris[[#This Row],[Status]],LstMachines[MoisLivr],AJ$1)</f>
        <v>0</v>
      </c>
      <c r="AK309" s="220">
        <f>SUMIFS(LstMachines[Nbre],LstMachines[Model-Spec],PrévisionBoris[[#This Row],[Spec]],LstMachines[Status],PrévisionBoris[[#This Row],[Status]],LstMachines[MoisLivr],AK$1)</f>
        <v>0</v>
      </c>
      <c r="AL309" s="219">
        <f>SUMIFS(LstMachines[Nbre],LstMachines[Model-Spec],PrévisionBoris[[#This Row],[Spec]],LstMachines[Status],PrévisionBoris[[#This Row],[Status]],LstMachines[MoisLivr],AL$1)</f>
        <v>0</v>
      </c>
      <c r="AM309" s="220">
        <f>SUMIFS(LstMachines[Nbre],LstMachines[Model-Spec],PrévisionBoris[[#This Row],[Spec]],LstMachines[Status],PrévisionBoris[[#This Row],[Status]],LstMachines[MoisLivr],AM$1)</f>
        <v>0</v>
      </c>
      <c r="AN309" s="220">
        <f>SUMIFS(LstMachines[Nbre],LstMachines[Model-Spec],PrévisionBoris[[#This Row],[Spec]],LstMachines[Status],PrévisionBoris[[#This Row],[Status]],LstMachines[MoisLivr],AN$1)</f>
        <v>0</v>
      </c>
      <c r="AO309" s="219">
        <f>SUMIFS(LstMachines[Nbre],LstMachines[Model-Spec],PrévisionBoris[[#This Row],[Spec]],LstMachines[Status],PrévisionBoris[[#This Row],[Status]],LstMachines[MoisLivr],AO$1)</f>
        <v>0</v>
      </c>
      <c r="AP309" s="220">
        <f>SUMIFS(LstMachines[Nbre],LstMachines[Model-Spec],PrévisionBoris[[#This Row],[Spec]],LstMachines[Status],PrévisionBoris[[#This Row],[Status]],LstMachines[MoisLivr],AP$1)</f>
        <v>0</v>
      </c>
      <c r="AQ309" s="220">
        <f>SUMIFS(LstMachines[Nbre],LstMachines[Model-Spec],PrévisionBoris[[#This Row],[Spec]],LstMachines[Status],PrévisionBoris[[#This Row],[Status]],LstMachines[MoisLivr],AQ$1)</f>
        <v>0</v>
      </c>
      <c r="AR309" s="219">
        <f>SUMIFS(LstMachines[Nbre],LstMachines[Model-Spec],PrévisionBoris[[#This Row],[Spec]],LstMachines[Status],PrévisionBoris[[#This Row],[Status]],LstMachines[MoisLivr],AR$1)</f>
        <v>0</v>
      </c>
      <c r="AS309" s="220">
        <f>SUMIFS(LstMachines[Nbre],LstMachines[Model-Spec],PrévisionBoris[[#This Row],[Spec]],LstMachines[Status],PrévisionBoris[[#This Row],[Status]],LstMachines[MoisLivr],AS$1)</f>
        <v>0</v>
      </c>
      <c r="AT309" s="220">
        <f>SUMIFS(LstMachines[Nbre],LstMachines[Model-Spec],PrévisionBoris[[#This Row],[Spec]],LstMachines[Status],PrévisionBoris[[#This Row],[Status]],LstMachines[MoisLivr],AT$1)</f>
        <v>0</v>
      </c>
      <c r="AU309" s="219">
        <f>SUMIFS(LstMachines[Nbre],LstMachines[Model-Spec],PrévisionBoris[[#This Row],[Spec]],LstMachines[Status],PrévisionBoris[[#This Row],[Status]],LstMachines[MoisLivr],AU$1)</f>
        <v>0</v>
      </c>
      <c r="AV309" s="223">
        <f>SUMIFS(LstMachines[Nbre],LstMachines[Model-Spec],PrévisionBoris[[#This Row],[Spec]],LstMachines[Status],PrévisionBoris[[#This Row],[Status]],LstMachines[MoisLivr],AV$1)</f>
        <v>0</v>
      </c>
      <c r="AW309" s="224">
        <f>SUMIFS(LstMachines[Nbre],LstMachines[Model-Spec],PrévisionBoris[[#This Row],[Spec]],LstMachines[Status],PrévisionBoris[[#This Row],[Status]],LstMachines[MoisLivr],AW$1)</f>
        <v>0</v>
      </c>
      <c r="AX309" s="210"/>
      <c r="AY309" s="211">
        <f t="shared" si="67"/>
        <v>0</v>
      </c>
      <c r="AZ309" s="212">
        <f t="shared" si="68"/>
        <v>0</v>
      </c>
      <c r="BA309" s="212">
        <f t="shared" si="69"/>
        <v>0</v>
      </c>
      <c r="BB309" s="213">
        <f t="shared" si="70"/>
        <v>0</v>
      </c>
      <c r="BC309" s="225">
        <f t="shared" si="71"/>
        <v>0</v>
      </c>
      <c r="BD309" s="211">
        <f t="shared" si="72"/>
        <v>0</v>
      </c>
      <c r="BE309" s="212">
        <f t="shared" si="73"/>
        <v>0</v>
      </c>
      <c r="BF309" s="212">
        <f t="shared" si="74"/>
        <v>0</v>
      </c>
      <c r="BG309" s="213">
        <f t="shared" si="75"/>
        <v>0</v>
      </c>
      <c r="BH309" s="225">
        <f t="shared" si="76"/>
        <v>0</v>
      </c>
      <c r="BI309" s="214">
        <f t="shared" si="77"/>
        <v>0</v>
      </c>
      <c r="BJ309" s="215">
        <f t="shared" si="78"/>
        <v>0</v>
      </c>
      <c r="BK309" s="215">
        <f t="shared" si="79"/>
        <v>0</v>
      </c>
      <c r="BL309" s="216">
        <f t="shared" si="80"/>
        <v>0</v>
      </c>
      <c r="BM309" s="225">
        <f t="shared" si="81"/>
        <v>0</v>
      </c>
      <c r="BN309" s="225"/>
      <c r="BO309" s="217"/>
      <c r="BP309" s="218">
        <f t="shared" si="82"/>
        <v>0</v>
      </c>
    </row>
    <row r="310" spans="1:68">
      <c r="A310" s="171">
        <v>303</v>
      </c>
      <c r="B310" s="171" t="s">
        <v>85</v>
      </c>
      <c r="C310" s="201">
        <v>350</v>
      </c>
      <c r="D310" s="171" t="s">
        <v>90</v>
      </c>
      <c r="E310" s="171" t="s">
        <v>91</v>
      </c>
      <c r="F310" s="201">
        <f>VLOOKUP(PrévisionBoris[[#This Row],[Spec]],TabModelSpecs[[ModelSpec]:[Price]],2,FALSE)</f>
        <v>175</v>
      </c>
      <c r="G310" s="171" t="s">
        <v>463</v>
      </c>
      <c r="H310" s="226">
        <f>SUMIFS(LstMachines[Nbre],LstMachines[Model-Spec],PrévisionBoris[[#This Row],[Spec]],LstMachines[Status],PrévisionBoris[[#This Row],[Status]],LstMachines[MoisLivr],H$1)</f>
        <v>0</v>
      </c>
      <c r="I310" s="227">
        <f>SUMIFS(LstMachines[Nbre],LstMachines[Model-Spec],PrévisionBoris[[#This Row],[Spec]],LstMachines[Status],PrévisionBoris[[#This Row],[Status]],LstMachines[MoisLivr],I$1)</f>
        <v>1</v>
      </c>
      <c r="J310" s="228">
        <f>SUMIFS(LstMachines[Nbre],LstMachines[Model-Spec],PrévisionBoris[[#This Row],[Spec]],LstMachines[Status],PrévisionBoris[[#This Row],[Status]],LstMachines[MoisLivr],J$1)</f>
        <v>0</v>
      </c>
      <c r="K310" s="226">
        <f>SUMIFS(LstMachines[Nbre],LstMachines[Model-Spec],PrévisionBoris[[#This Row],[Spec]],LstMachines[Status],PrévisionBoris[[#This Row],[Status]],LstMachines[MoisLivr],K$1)</f>
        <v>0</v>
      </c>
      <c r="L310" s="227">
        <f>SUMIFS(LstMachines[Nbre],LstMachines[Model-Spec],PrévisionBoris[[#This Row],[Spec]],LstMachines[Status],PrévisionBoris[[#This Row],[Status]],LstMachines[MoisLivr],L$1)</f>
        <v>0</v>
      </c>
      <c r="M310" s="228">
        <f>SUMIFS(LstMachines[Nbre],LstMachines[Model-Spec],PrévisionBoris[[#This Row],[Spec]],LstMachines[Status],PrévisionBoris[[#This Row],[Status]],LstMachines[MoisLivr],M$1)</f>
        <v>0</v>
      </c>
      <c r="N310" s="226">
        <f>SUMIFS(LstMachines[Nbre],LstMachines[Model-Spec],PrévisionBoris[[#This Row],[Spec]],LstMachines[Status],PrévisionBoris[[#This Row],[Status]],LstMachines[MoisLivr],N$1)</f>
        <v>0</v>
      </c>
      <c r="O310" s="227">
        <f>SUMIFS(LstMachines[Nbre],LstMachines[Model-Spec],PrévisionBoris[[#This Row],[Spec]],LstMachines[Status],PrévisionBoris[[#This Row],[Status]],LstMachines[MoisLivr],O$1)</f>
        <v>0</v>
      </c>
      <c r="P310" s="228">
        <f>SUMIFS(LstMachines[Nbre],LstMachines[Model-Spec],PrévisionBoris[[#This Row],[Spec]],LstMachines[Status],PrévisionBoris[[#This Row],[Status]],LstMachines[MoisLivr],P$1)</f>
        <v>0</v>
      </c>
      <c r="Q310" s="229">
        <f>SUMIFS(LstMachines[Nbre],LstMachines[Model-Spec],PrévisionBoris[[#This Row],[Spec]],LstMachines[Status],PrévisionBoris[[#This Row],[Status]],LstMachines[MoisLivr],Q$1)</f>
        <v>0</v>
      </c>
      <c r="R310" s="227">
        <f>SUMIFS(LstMachines[Nbre],LstMachines[Model-Spec],PrévisionBoris[[#This Row],[Spec]],LstMachines[Status],PrévisionBoris[[#This Row],[Status]],LstMachines[MoisLivr],R$1)</f>
        <v>0</v>
      </c>
      <c r="S310" s="227">
        <f>SUMIFS(LstMachines[Nbre],LstMachines[Model-Spec],PrévisionBoris[[#This Row],[Spec]],LstMachines[Status],PrévisionBoris[[#This Row],[Status]],LstMachines[MoisLivr],S$1)</f>
        <v>0</v>
      </c>
      <c r="T310" s="226">
        <f>SUMIFS(LstMachines[Nbre],LstMachines[Model-Spec],PrévisionBoris[[#This Row],[Spec]],LstMachines[Status],PrévisionBoris[[#This Row],[Status]],LstMachines[MoisLivr],T$1)</f>
        <v>0</v>
      </c>
      <c r="U310" s="227">
        <f>SUMIFS(LstMachines[Nbre],LstMachines[Model-Spec],PrévisionBoris[[#This Row],[Spec]],LstMachines[Status],PrévisionBoris[[#This Row],[Status]],LstMachines[MoisLivr],U$1)</f>
        <v>0</v>
      </c>
      <c r="V310" s="227">
        <f>SUMIFS(LstMachines[Nbre],LstMachines[Model-Spec],PrévisionBoris[[#This Row],[Spec]],LstMachines[Status],PrévisionBoris[[#This Row],[Status]],LstMachines[MoisLivr],V$1)</f>
        <v>0</v>
      </c>
      <c r="W310" s="226">
        <f>SUMIFS(LstMachines[Nbre],LstMachines[Model-Spec],PrévisionBoris[[#This Row],[Spec]],LstMachines[Status],PrévisionBoris[[#This Row],[Status]],LstMachines[MoisLivr],W$1)</f>
        <v>0</v>
      </c>
      <c r="X310" s="227">
        <f>SUMIFS(LstMachines[Nbre],LstMachines[Model-Spec],PrévisionBoris[[#This Row],[Spec]],LstMachines[Status],PrévisionBoris[[#This Row],[Status]],LstMachines[MoisLivr],X$1)</f>
        <v>0</v>
      </c>
      <c r="Y310" s="227">
        <f>SUMIFS(LstMachines[Nbre],LstMachines[Model-Spec],PrévisionBoris[[#This Row],[Spec]],LstMachines[Status],PrévisionBoris[[#This Row],[Status]],LstMachines[MoisLivr],Y$1)</f>
        <v>0</v>
      </c>
      <c r="Z310" s="226">
        <f>SUMIFS(LstMachines[Nbre],LstMachines[Model-Spec],PrévisionBoris[[#This Row],[Spec]],LstMachines[Status],PrévisionBoris[[#This Row],[Status]],LstMachines[MoisLivr],Z$1)</f>
        <v>0</v>
      </c>
      <c r="AA310" s="227">
        <f>SUMIFS(LstMachines[Nbre],LstMachines[Model-Spec],PrévisionBoris[[#This Row],[Spec]],LstMachines[Status],PrévisionBoris[[#This Row],[Status]],LstMachines[MoisLivr],AA$1)</f>
        <v>0</v>
      </c>
      <c r="AB310" s="227">
        <f>SUMIFS(LstMachines[Nbre],LstMachines[Model-Spec],PrévisionBoris[[#This Row],[Spec]],LstMachines[Status],PrévisionBoris[[#This Row],[Status]],LstMachines[MoisLivr],AB$1)</f>
        <v>0</v>
      </c>
      <c r="AC310" s="226">
        <f>SUMIFS(LstMachines[Nbre],LstMachines[Model-Spec],PrévisionBoris[[#This Row],[Spec]],LstMachines[Status],PrévisionBoris[[#This Row],[Status]],LstMachines[MoisLivr],AC$1)</f>
        <v>0</v>
      </c>
      <c r="AD310" s="227">
        <f>SUMIFS(LstMachines[Nbre],LstMachines[Model-Spec],PrévisionBoris[[#This Row],[Spec]],LstMachines[Status],PrévisionBoris[[#This Row],[Status]],LstMachines[MoisLivr],AD$1)</f>
        <v>0</v>
      </c>
      <c r="AE310" s="227">
        <f>SUMIFS(LstMachines[Nbre],LstMachines[Model-Spec],PrévisionBoris[[#This Row],[Spec]],LstMachines[Status],PrévisionBoris[[#This Row],[Status]],LstMachines[MoisLivr],AE$1)</f>
        <v>0</v>
      </c>
      <c r="AF310" s="226">
        <f>SUMIFS(LstMachines[Nbre],LstMachines[Model-Spec],PrévisionBoris[[#This Row],[Spec]],LstMachines[Status],PrévisionBoris[[#This Row],[Status]],LstMachines[MoisLivr],AF$1)</f>
        <v>0</v>
      </c>
      <c r="AG310" s="227">
        <f>SUMIFS(LstMachines[Nbre],LstMachines[Model-Spec],PrévisionBoris[[#This Row],[Spec]],LstMachines[Status],PrévisionBoris[[#This Row],[Status]],LstMachines[MoisLivr],AG$1)</f>
        <v>0</v>
      </c>
      <c r="AH310" s="227">
        <f>SUMIFS(LstMachines[Nbre],LstMachines[Model-Spec],PrévisionBoris[[#This Row],[Spec]],LstMachines[Status],PrévisionBoris[[#This Row],[Status]],LstMachines[MoisLivr],AH$1)</f>
        <v>0</v>
      </c>
      <c r="AI310" s="226">
        <f>SUMIFS(LstMachines[Nbre],LstMachines[Model-Spec],PrévisionBoris[[#This Row],[Spec]],LstMachines[Status],PrévisionBoris[[#This Row],[Status]],LstMachines[MoisLivr],AI$1)</f>
        <v>0</v>
      </c>
      <c r="AJ310" s="227">
        <f>SUMIFS(LstMachines[Nbre],LstMachines[Model-Spec],PrévisionBoris[[#This Row],[Spec]],LstMachines[Status],PrévisionBoris[[#This Row],[Status]],LstMachines[MoisLivr],AJ$1)</f>
        <v>0</v>
      </c>
      <c r="AK310" s="227">
        <f>SUMIFS(LstMachines[Nbre],LstMachines[Model-Spec],PrévisionBoris[[#This Row],[Spec]],LstMachines[Status],PrévisionBoris[[#This Row],[Status]],LstMachines[MoisLivr],AK$1)</f>
        <v>0</v>
      </c>
      <c r="AL310" s="226">
        <f>SUMIFS(LstMachines[Nbre],LstMachines[Model-Spec],PrévisionBoris[[#This Row],[Spec]],LstMachines[Status],PrévisionBoris[[#This Row],[Status]],LstMachines[MoisLivr],AL$1)</f>
        <v>0</v>
      </c>
      <c r="AM310" s="227">
        <f>SUMIFS(LstMachines[Nbre],LstMachines[Model-Spec],PrévisionBoris[[#This Row],[Spec]],LstMachines[Status],PrévisionBoris[[#This Row],[Status]],LstMachines[MoisLivr],AM$1)</f>
        <v>0</v>
      </c>
      <c r="AN310" s="227">
        <f>SUMIFS(LstMachines[Nbre],LstMachines[Model-Spec],PrévisionBoris[[#This Row],[Spec]],LstMachines[Status],PrévisionBoris[[#This Row],[Status]],LstMachines[MoisLivr],AN$1)</f>
        <v>0</v>
      </c>
      <c r="AO310" s="226">
        <f>SUMIFS(LstMachines[Nbre],LstMachines[Model-Spec],PrévisionBoris[[#This Row],[Spec]],LstMachines[Status],PrévisionBoris[[#This Row],[Status]],LstMachines[MoisLivr],AO$1)</f>
        <v>0</v>
      </c>
      <c r="AP310" s="227">
        <f>SUMIFS(LstMachines[Nbre],LstMachines[Model-Spec],PrévisionBoris[[#This Row],[Spec]],LstMachines[Status],PrévisionBoris[[#This Row],[Status]],LstMachines[MoisLivr],AP$1)</f>
        <v>0</v>
      </c>
      <c r="AQ310" s="227">
        <f>SUMIFS(LstMachines[Nbre],LstMachines[Model-Spec],PrévisionBoris[[#This Row],[Spec]],LstMachines[Status],PrévisionBoris[[#This Row],[Status]],LstMachines[MoisLivr],AQ$1)</f>
        <v>0</v>
      </c>
      <c r="AR310" s="226">
        <f>SUMIFS(LstMachines[Nbre],LstMachines[Model-Spec],PrévisionBoris[[#This Row],[Spec]],LstMachines[Status],PrévisionBoris[[#This Row],[Status]],LstMachines[MoisLivr],AR$1)</f>
        <v>0</v>
      </c>
      <c r="AS310" s="227">
        <f>SUMIFS(LstMachines[Nbre],LstMachines[Model-Spec],PrévisionBoris[[#This Row],[Spec]],LstMachines[Status],PrévisionBoris[[#This Row],[Status]],LstMachines[MoisLivr],AS$1)</f>
        <v>0</v>
      </c>
      <c r="AT310" s="227">
        <f>SUMIFS(LstMachines[Nbre],LstMachines[Model-Spec],PrévisionBoris[[#This Row],[Spec]],LstMachines[Status],PrévisionBoris[[#This Row],[Status]],LstMachines[MoisLivr],AT$1)</f>
        <v>0</v>
      </c>
      <c r="AU310" s="226">
        <f>SUMIFS(LstMachines[Nbre],LstMachines[Model-Spec],PrévisionBoris[[#This Row],[Spec]],LstMachines[Status],PrévisionBoris[[#This Row],[Status]],LstMachines[MoisLivr],AU$1)</f>
        <v>0</v>
      </c>
      <c r="AV310" s="230">
        <f>SUMIFS(LstMachines[Nbre],LstMachines[Model-Spec],PrévisionBoris[[#This Row],[Spec]],LstMachines[Status],PrévisionBoris[[#This Row],[Status]],LstMachines[MoisLivr],AV$1)</f>
        <v>0</v>
      </c>
      <c r="AW310" s="231">
        <f>SUMIFS(LstMachines[Nbre],LstMachines[Model-Spec],PrévisionBoris[[#This Row],[Spec]],LstMachines[Status],PrévisionBoris[[#This Row],[Status]],LstMachines[MoisLivr],AW$1)</f>
        <v>0</v>
      </c>
      <c r="AX310" s="232"/>
      <c r="AY310" s="211">
        <f t="shared" si="67"/>
        <v>0</v>
      </c>
      <c r="AZ310" s="212">
        <f t="shared" si="68"/>
        <v>0</v>
      </c>
      <c r="BA310" s="212">
        <f t="shared" si="69"/>
        <v>0</v>
      </c>
      <c r="BB310" s="213">
        <f t="shared" si="70"/>
        <v>0</v>
      </c>
      <c r="BC310" s="225">
        <f t="shared" si="71"/>
        <v>0</v>
      </c>
      <c r="BD310" s="211">
        <f t="shared" si="72"/>
        <v>0</v>
      </c>
      <c r="BE310" s="212">
        <f t="shared" si="73"/>
        <v>0</v>
      </c>
      <c r="BF310" s="212">
        <f t="shared" si="74"/>
        <v>0</v>
      </c>
      <c r="BG310" s="213">
        <f t="shared" si="75"/>
        <v>0</v>
      </c>
      <c r="BH310" s="225">
        <f t="shared" si="76"/>
        <v>0</v>
      </c>
      <c r="BI310" s="214">
        <f t="shared" si="77"/>
        <v>0</v>
      </c>
      <c r="BJ310" s="215">
        <f t="shared" si="78"/>
        <v>0</v>
      </c>
      <c r="BK310" s="215">
        <f t="shared" si="79"/>
        <v>0</v>
      </c>
      <c r="BL310" s="216">
        <f t="shared" si="80"/>
        <v>0</v>
      </c>
      <c r="BM310" s="225">
        <f t="shared" si="81"/>
        <v>0</v>
      </c>
      <c r="BN310" s="225"/>
      <c r="BO310" s="217"/>
      <c r="BP310" s="218">
        <f t="shared" si="82"/>
        <v>1</v>
      </c>
    </row>
    <row r="311" spans="1:68">
      <c r="A311" s="172">
        <v>304</v>
      </c>
      <c r="B311" s="172" t="s">
        <v>85</v>
      </c>
      <c r="C311" s="202">
        <v>490</v>
      </c>
      <c r="D311" s="172" t="s">
        <v>92</v>
      </c>
      <c r="E311" s="172" t="s">
        <v>360</v>
      </c>
      <c r="F311" s="202">
        <f>VLOOKUP(PrévisionBoris[[#This Row],[Spec]],TabModelSpecs[[ModelSpec]:[Price]],2,FALSE)</f>
        <v>260</v>
      </c>
      <c r="G311" s="172" t="s">
        <v>461</v>
      </c>
      <c r="H311" s="206">
        <f>SUMIFS(LstMachines[Nbre],LstMachines[Model-Spec],PrévisionBoris[[#This Row],[Spec]],LstMachines[Status],PrévisionBoris[[#This Row],[Status]],LstMachines[MoisLivr],H$1)</f>
        <v>0</v>
      </c>
      <c r="I311" s="207">
        <f>SUMIFS(LstMachines[Nbre],LstMachines[Model-Spec],PrévisionBoris[[#This Row],[Spec]],LstMachines[Status],PrévisionBoris[[#This Row],[Status]],LstMachines[MoisLivr],I$1)</f>
        <v>0</v>
      </c>
      <c r="J311" s="208">
        <f>SUMIFS(LstMachines[Nbre],LstMachines[Model-Spec],PrévisionBoris[[#This Row],[Spec]],LstMachines[Status],PrévisionBoris[[#This Row],[Status]],LstMachines[MoisLivr],J$1)</f>
        <v>0</v>
      </c>
      <c r="K311" s="206">
        <f>SUMIFS(LstMachines[Nbre],LstMachines[Model-Spec],PrévisionBoris[[#This Row],[Spec]],LstMachines[Status],PrévisionBoris[[#This Row],[Status]],LstMachines[MoisLivr],K$1)</f>
        <v>0</v>
      </c>
      <c r="L311" s="207">
        <f>SUMIFS(LstMachines[Nbre],LstMachines[Model-Spec],PrévisionBoris[[#This Row],[Spec]],LstMachines[Status],PrévisionBoris[[#This Row],[Status]],LstMachines[MoisLivr],L$1)</f>
        <v>0</v>
      </c>
      <c r="M311" s="208">
        <f>SUMIFS(LstMachines[Nbre],LstMachines[Model-Spec],PrévisionBoris[[#This Row],[Spec]],LstMachines[Status],PrévisionBoris[[#This Row],[Status]],LstMachines[MoisLivr],M$1)</f>
        <v>0</v>
      </c>
      <c r="N311" s="206">
        <f>SUMIFS(LstMachines[Nbre],LstMachines[Model-Spec],PrévisionBoris[[#This Row],[Spec]],LstMachines[Status],PrévisionBoris[[#This Row],[Status]],LstMachines[MoisLivr],N$1)</f>
        <v>0</v>
      </c>
      <c r="O311" s="207">
        <f>SUMIFS(LstMachines[Nbre],LstMachines[Model-Spec],PrévisionBoris[[#This Row],[Spec]],LstMachines[Status],PrévisionBoris[[#This Row],[Status]],LstMachines[MoisLivr],O$1)</f>
        <v>0</v>
      </c>
      <c r="P311" s="208">
        <f>SUMIFS(LstMachines[Nbre],LstMachines[Model-Spec],PrévisionBoris[[#This Row],[Spec]],LstMachines[Status],PrévisionBoris[[#This Row],[Status]],LstMachines[MoisLivr],P$1)</f>
        <v>0</v>
      </c>
      <c r="Q311" s="209">
        <f>SUMIFS(LstMachines[Nbre],LstMachines[Model-Spec],PrévisionBoris[[#This Row],[Spec]],LstMachines[Status],PrévisionBoris[[#This Row],[Status]],LstMachines[MoisLivr],Q$1)</f>
        <v>1</v>
      </c>
      <c r="R311" s="207">
        <f>SUMIFS(LstMachines[Nbre],LstMachines[Model-Spec],PrévisionBoris[[#This Row],[Spec]],LstMachines[Status],PrévisionBoris[[#This Row],[Status]],LstMachines[MoisLivr],R$1)</f>
        <v>0</v>
      </c>
      <c r="S311" s="207">
        <f>SUMIFS(LstMachines[Nbre],LstMachines[Model-Spec],PrévisionBoris[[#This Row],[Spec]],LstMachines[Status],PrévisionBoris[[#This Row],[Status]],LstMachines[MoisLivr],S$1)</f>
        <v>0</v>
      </c>
      <c r="T311" s="206">
        <f>SUMIFS(LstMachines[Nbre],LstMachines[Model-Spec],PrévisionBoris[[#This Row],[Spec]],LstMachines[Status],PrévisionBoris[[#This Row],[Status]],LstMachines[MoisLivr],T$1)</f>
        <v>1</v>
      </c>
      <c r="U311" s="207">
        <f>SUMIFS(LstMachines[Nbre],LstMachines[Model-Spec],PrévisionBoris[[#This Row],[Spec]],LstMachines[Status],PrévisionBoris[[#This Row],[Status]],LstMachines[MoisLivr],U$1)</f>
        <v>0</v>
      </c>
      <c r="V311" s="207">
        <f>SUMIFS(LstMachines[Nbre],LstMachines[Model-Spec],PrévisionBoris[[#This Row],[Spec]],LstMachines[Status],PrévisionBoris[[#This Row],[Status]],LstMachines[MoisLivr],V$1)</f>
        <v>0</v>
      </c>
      <c r="W311" s="206">
        <f>SUMIFS(LstMachines[Nbre],LstMachines[Model-Spec],PrévisionBoris[[#This Row],[Spec]],LstMachines[Status],PrévisionBoris[[#This Row],[Status]],LstMachines[MoisLivr],W$1)</f>
        <v>0</v>
      </c>
      <c r="X311" s="207">
        <f>SUMIFS(LstMachines[Nbre],LstMachines[Model-Spec],PrévisionBoris[[#This Row],[Spec]],LstMachines[Status],PrévisionBoris[[#This Row],[Status]],LstMachines[MoisLivr],X$1)</f>
        <v>0</v>
      </c>
      <c r="Y311" s="207">
        <f>SUMIFS(LstMachines[Nbre],LstMachines[Model-Spec],PrévisionBoris[[#This Row],[Spec]],LstMachines[Status],PrévisionBoris[[#This Row],[Status]],LstMachines[MoisLivr],Y$1)</f>
        <v>0</v>
      </c>
      <c r="Z311" s="206">
        <f>SUMIFS(LstMachines[Nbre],LstMachines[Model-Spec],PrévisionBoris[[#This Row],[Spec]],LstMachines[Status],PrévisionBoris[[#This Row],[Status]],LstMachines[MoisLivr],Z$1)</f>
        <v>1</v>
      </c>
      <c r="AA311" s="207">
        <f>SUMIFS(LstMachines[Nbre],LstMachines[Model-Spec],PrévisionBoris[[#This Row],[Spec]],LstMachines[Status],PrévisionBoris[[#This Row],[Status]],LstMachines[MoisLivr],AA$1)</f>
        <v>0</v>
      </c>
      <c r="AB311" s="207">
        <f>SUMIFS(LstMachines[Nbre],LstMachines[Model-Spec],PrévisionBoris[[#This Row],[Spec]],LstMachines[Status],PrévisionBoris[[#This Row],[Status]],LstMachines[MoisLivr],AB$1)</f>
        <v>4</v>
      </c>
      <c r="AC311" s="206">
        <f>SUMIFS(LstMachines[Nbre],LstMachines[Model-Spec],PrévisionBoris[[#This Row],[Spec]],LstMachines[Status],PrévisionBoris[[#This Row],[Status]],LstMachines[MoisLivr],AC$1)</f>
        <v>0</v>
      </c>
      <c r="AD311" s="207">
        <f>SUMIFS(LstMachines[Nbre],LstMachines[Model-Spec],PrévisionBoris[[#This Row],[Spec]],LstMachines[Status],PrévisionBoris[[#This Row],[Status]],LstMachines[MoisLivr],AD$1)</f>
        <v>0</v>
      </c>
      <c r="AE311" s="207">
        <f>SUMIFS(LstMachines[Nbre],LstMachines[Model-Spec],PrévisionBoris[[#This Row],[Spec]],LstMachines[Status],PrévisionBoris[[#This Row],[Status]],LstMachines[MoisLivr],AE$1)</f>
        <v>0</v>
      </c>
      <c r="AF311" s="206">
        <f>SUMIFS(LstMachines[Nbre],LstMachines[Model-Spec],PrévisionBoris[[#This Row],[Spec]],LstMachines[Status],PrévisionBoris[[#This Row],[Status]],LstMachines[MoisLivr],AF$1)</f>
        <v>0</v>
      </c>
      <c r="AG311" s="207">
        <f>SUMIFS(LstMachines[Nbre],LstMachines[Model-Spec],PrévisionBoris[[#This Row],[Spec]],LstMachines[Status],PrévisionBoris[[#This Row],[Status]],LstMachines[MoisLivr],AG$1)</f>
        <v>0</v>
      </c>
      <c r="AH311" s="207">
        <f>SUMIFS(LstMachines[Nbre],LstMachines[Model-Spec],PrévisionBoris[[#This Row],[Spec]],LstMachines[Status],PrévisionBoris[[#This Row],[Status]],LstMachines[MoisLivr],AH$1)</f>
        <v>0</v>
      </c>
      <c r="AI311" s="206">
        <f>SUMIFS(LstMachines[Nbre],LstMachines[Model-Spec],PrévisionBoris[[#This Row],[Spec]],LstMachines[Status],PrévisionBoris[[#This Row],[Status]],LstMachines[MoisLivr],AI$1)</f>
        <v>0</v>
      </c>
      <c r="AJ311" s="207">
        <f>SUMIFS(LstMachines[Nbre],LstMachines[Model-Spec],PrévisionBoris[[#This Row],[Spec]],LstMachines[Status],PrévisionBoris[[#This Row],[Status]],LstMachines[MoisLivr],AJ$1)</f>
        <v>0</v>
      </c>
      <c r="AK311" s="207">
        <f>SUMIFS(LstMachines[Nbre],LstMachines[Model-Spec],PrévisionBoris[[#This Row],[Spec]],LstMachines[Status],PrévisionBoris[[#This Row],[Status]],LstMachines[MoisLivr],AK$1)</f>
        <v>0</v>
      </c>
      <c r="AL311" s="206">
        <f>SUMIFS(LstMachines[Nbre],LstMachines[Model-Spec],PrévisionBoris[[#This Row],[Spec]],LstMachines[Status],PrévisionBoris[[#This Row],[Status]],LstMachines[MoisLivr],AL$1)</f>
        <v>0</v>
      </c>
      <c r="AM311" s="207">
        <f>SUMIFS(LstMachines[Nbre],LstMachines[Model-Spec],PrévisionBoris[[#This Row],[Spec]],LstMachines[Status],PrévisionBoris[[#This Row],[Status]],LstMachines[MoisLivr],AM$1)</f>
        <v>0</v>
      </c>
      <c r="AN311" s="207">
        <f>SUMIFS(LstMachines[Nbre],LstMachines[Model-Spec],PrévisionBoris[[#This Row],[Spec]],LstMachines[Status],PrévisionBoris[[#This Row],[Status]],LstMachines[MoisLivr],AN$1)</f>
        <v>5</v>
      </c>
      <c r="AO311" s="206">
        <f>SUMIFS(LstMachines[Nbre],LstMachines[Model-Spec],PrévisionBoris[[#This Row],[Spec]],LstMachines[Status],PrévisionBoris[[#This Row],[Status]],LstMachines[MoisLivr],AO$1)</f>
        <v>0</v>
      </c>
      <c r="AP311" s="207">
        <f>SUMIFS(LstMachines[Nbre],LstMachines[Model-Spec],PrévisionBoris[[#This Row],[Spec]],LstMachines[Status],PrévisionBoris[[#This Row],[Status]],LstMachines[MoisLivr],AP$1)</f>
        <v>0</v>
      </c>
      <c r="AQ311" s="207">
        <f>SUMIFS(LstMachines[Nbre],LstMachines[Model-Spec],PrévisionBoris[[#This Row],[Spec]],LstMachines[Status],PrévisionBoris[[#This Row],[Status]],LstMachines[MoisLivr],AQ$1)</f>
        <v>0</v>
      </c>
      <c r="AR311" s="206">
        <f>SUMIFS(LstMachines[Nbre],LstMachines[Model-Spec],PrévisionBoris[[#This Row],[Spec]],LstMachines[Status],PrévisionBoris[[#This Row],[Status]],LstMachines[MoisLivr],AR$1)</f>
        <v>0</v>
      </c>
      <c r="AS311" s="207">
        <f>SUMIFS(LstMachines[Nbre],LstMachines[Model-Spec],PrévisionBoris[[#This Row],[Spec]],LstMachines[Status],PrévisionBoris[[#This Row],[Status]],LstMachines[MoisLivr],AS$1)</f>
        <v>0</v>
      </c>
      <c r="AT311" s="207">
        <f>SUMIFS(LstMachines[Nbre],LstMachines[Model-Spec],PrévisionBoris[[#This Row],[Spec]],LstMachines[Status],PrévisionBoris[[#This Row],[Status]],LstMachines[MoisLivr],AT$1)</f>
        <v>0</v>
      </c>
      <c r="AU311" s="206">
        <f>SUMIFS(LstMachines[Nbre],LstMachines[Model-Spec],PrévisionBoris[[#This Row],[Spec]],LstMachines[Status],PrévisionBoris[[#This Row],[Status]],LstMachines[MoisLivr],AU$1)</f>
        <v>0</v>
      </c>
      <c r="AV311" s="233">
        <f>SUMIFS(LstMachines[Nbre],LstMachines[Model-Spec],PrévisionBoris[[#This Row],[Spec]],LstMachines[Status],PrévisionBoris[[#This Row],[Status]],LstMachines[MoisLivr],AV$1)</f>
        <v>0</v>
      </c>
      <c r="AW311" s="208">
        <f>SUMIFS(LstMachines[Nbre],LstMachines[Model-Spec],PrévisionBoris[[#This Row],[Spec]],LstMachines[Status],PrévisionBoris[[#This Row],[Status]],LstMachines[MoisLivr],AW$1)</f>
        <v>0</v>
      </c>
      <c r="AX311" s="225"/>
      <c r="AY311" s="211">
        <f t="shared" si="67"/>
        <v>0</v>
      </c>
      <c r="AZ311" s="212">
        <f t="shared" si="68"/>
        <v>0</v>
      </c>
      <c r="BA311" s="212">
        <f t="shared" si="69"/>
        <v>1</v>
      </c>
      <c r="BB311" s="213">
        <f t="shared" si="70"/>
        <v>1</v>
      </c>
      <c r="BC311" s="225">
        <f t="shared" si="71"/>
        <v>2</v>
      </c>
      <c r="BD311" s="211">
        <f t="shared" si="72"/>
        <v>0</v>
      </c>
      <c r="BE311" s="212">
        <f t="shared" si="73"/>
        <v>5</v>
      </c>
      <c r="BF311" s="212">
        <f t="shared" si="74"/>
        <v>0</v>
      </c>
      <c r="BG311" s="213">
        <f t="shared" si="75"/>
        <v>0</v>
      </c>
      <c r="BH311" s="225">
        <f t="shared" si="76"/>
        <v>5</v>
      </c>
      <c r="BI311" s="214">
        <f t="shared" si="77"/>
        <v>0</v>
      </c>
      <c r="BJ311" s="215">
        <f t="shared" si="78"/>
        <v>5</v>
      </c>
      <c r="BK311" s="215">
        <f t="shared" si="79"/>
        <v>0</v>
      </c>
      <c r="BL311" s="216">
        <f t="shared" si="80"/>
        <v>0</v>
      </c>
      <c r="BM311" s="225">
        <f t="shared" si="81"/>
        <v>5</v>
      </c>
      <c r="BN311" s="225"/>
      <c r="BO311" s="234"/>
      <c r="BP311" s="218">
        <f t="shared" si="82"/>
        <v>12</v>
      </c>
    </row>
    <row r="312" spans="1:68">
      <c r="A312" s="170">
        <v>305</v>
      </c>
      <c r="B312" s="170" t="s">
        <v>85</v>
      </c>
      <c r="C312" s="200">
        <v>490</v>
      </c>
      <c r="D312" s="170" t="s">
        <v>92</v>
      </c>
      <c r="E312" s="170" t="s">
        <v>360</v>
      </c>
      <c r="F312" s="200">
        <f>VLOOKUP(PrévisionBoris[[#This Row],[Spec]],TabModelSpecs[[ModelSpec]:[Price]],2,FALSE)</f>
        <v>260</v>
      </c>
      <c r="G312" s="170" t="s">
        <v>462</v>
      </c>
      <c r="H312" s="219">
        <f>SUMIFS(LstMachines[Nbre],LstMachines[Model-Spec],PrévisionBoris[[#This Row],[Spec]],LstMachines[Status],PrévisionBoris[[#This Row],[Status]],LstMachines[MoisLivr],H$1)</f>
        <v>0</v>
      </c>
      <c r="I312" s="220">
        <f>SUMIFS(LstMachines[Nbre],LstMachines[Model-Spec],PrévisionBoris[[#This Row],[Spec]],LstMachines[Status],PrévisionBoris[[#This Row],[Status]],LstMachines[MoisLivr],I$1)</f>
        <v>0</v>
      </c>
      <c r="J312" s="221">
        <f>SUMIFS(LstMachines[Nbre],LstMachines[Model-Spec],PrévisionBoris[[#This Row],[Spec]],LstMachines[Status],PrévisionBoris[[#This Row],[Status]],LstMachines[MoisLivr],J$1)</f>
        <v>0</v>
      </c>
      <c r="K312" s="219">
        <f>SUMIFS(LstMachines[Nbre],LstMachines[Model-Spec],PrévisionBoris[[#This Row],[Spec]],LstMachines[Status],PrévisionBoris[[#This Row],[Status]],LstMachines[MoisLivr],K$1)</f>
        <v>0</v>
      </c>
      <c r="L312" s="220">
        <f>SUMIFS(LstMachines[Nbre],LstMachines[Model-Spec],PrévisionBoris[[#This Row],[Spec]],LstMachines[Status],PrévisionBoris[[#This Row],[Status]],LstMachines[MoisLivr],L$1)</f>
        <v>0</v>
      </c>
      <c r="M312" s="221">
        <f>SUMIFS(LstMachines[Nbre],LstMachines[Model-Spec],PrévisionBoris[[#This Row],[Spec]],LstMachines[Status],PrévisionBoris[[#This Row],[Status]],LstMachines[MoisLivr],M$1)</f>
        <v>0</v>
      </c>
      <c r="N312" s="219">
        <f>SUMIFS(LstMachines[Nbre],LstMachines[Model-Spec],PrévisionBoris[[#This Row],[Spec]],LstMachines[Status],PrévisionBoris[[#This Row],[Status]],LstMachines[MoisLivr],N$1)</f>
        <v>0</v>
      </c>
      <c r="O312" s="220">
        <f>SUMIFS(LstMachines[Nbre],LstMachines[Model-Spec],PrévisionBoris[[#This Row],[Spec]],LstMachines[Status],PrévisionBoris[[#This Row],[Status]],LstMachines[MoisLivr],O$1)</f>
        <v>0</v>
      </c>
      <c r="P312" s="221">
        <f>SUMIFS(LstMachines[Nbre],LstMachines[Model-Spec],PrévisionBoris[[#This Row],[Spec]],LstMachines[Status],PrévisionBoris[[#This Row],[Status]],LstMachines[MoisLivr],P$1)</f>
        <v>0</v>
      </c>
      <c r="Q312" s="222">
        <f>SUMIFS(LstMachines[Nbre],LstMachines[Model-Spec],PrévisionBoris[[#This Row],[Spec]],LstMachines[Status],PrévisionBoris[[#This Row],[Status]],LstMachines[MoisLivr],Q$1)</f>
        <v>0</v>
      </c>
      <c r="R312" s="220">
        <f>SUMIFS(LstMachines[Nbre],LstMachines[Model-Spec],PrévisionBoris[[#This Row],[Spec]],LstMachines[Status],PrévisionBoris[[#This Row],[Status]],LstMachines[MoisLivr],R$1)</f>
        <v>0</v>
      </c>
      <c r="S312" s="220">
        <f>SUMIFS(LstMachines[Nbre],LstMachines[Model-Spec],PrévisionBoris[[#This Row],[Spec]],LstMachines[Status],PrévisionBoris[[#This Row],[Status]],LstMachines[MoisLivr],S$1)</f>
        <v>0</v>
      </c>
      <c r="T312" s="219">
        <f>SUMIFS(LstMachines[Nbre],LstMachines[Model-Spec],PrévisionBoris[[#This Row],[Spec]],LstMachines[Status],PrévisionBoris[[#This Row],[Status]],LstMachines[MoisLivr],T$1)</f>
        <v>0</v>
      </c>
      <c r="U312" s="220">
        <f>SUMIFS(LstMachines[Nbre],LstMachines[Model-Spec],PrévisionBoris[[#This Row],[Spec]],LstMachines[Status],PrévisionBoris[[#This Row],[Status]],LstMachines[MoisLivr],U$1)</f>
        <v>0</v>
      </c>
      <c r="V312" s="220">
        <f>SUMIFS(LstMachines[Nbre],LstMachines[Model-Spec],PrévisionBoris[[#This Row],[Spec]],LstMachines[Status],PrévisionBoris[[#This Row],[Status]],LstMachines[MoisLivr],V$1)</f>
        <v>0</v>
      </c>
      <c r="W312" s="219">
        <f>SUMIFS(LstMachines[Nbre],LstMachines[Model-Spec],PrévisionBoris[[#This Row],[Spec]],LstMachines[Status],PrévisionBoris[[#This Row],[Status]],LstMachines[MoisLivr],W$1)</f>
        <v>0</v>
      </c>
      <c r="X312" s="220">
        <f>SUMIFS(LstMachines[Nbre],LstMachines[Model-Spec],PrévisionBoris[[#This Row],[Spec]],LstMachines[Status],PrévisionBoris[[#This Row],[Status]],LstMachines[MoisLivr],X$1)</f>
        <v>0</v>
      </c>
      <c r="Y312" s="220">
        <f>SUMIFS(LstMachines[Nbre],LstMachines[Model-Spec],PrévisionBoris[[#This Row],[Spec]],LstMachines[Status],PrévisionBoris[[#This Row],[Status]],LstMachines[MoisLivr],Y$1)</f>
        <v>0</v>
      </c>
      <c r="Z312" s="219">
        <f>SUMIFS(LstMachines[Nbre],LstMachines[Model-Spec],PrévisionBoris[[#This Row],[Spec]],LstMachines[Status],PrévisionBoris[[#This Row],[Status]],LstMachines[MoisLivr],Z$1)</f>
        <v>0</v>
      </c>
      <c r="AA312" s="220">
        <f>SUMIFS(LstMachines[Nbre],LstMachines[Model-Spec],PrévisionBoris[[#This Row],[Spec]],LstMachines[Status],PrévisionBoris[[#This Row],[Status]],LstMachines[MoisLivr],AA$1)</f>
        <v>0</v>
      </c>
      <c r="AB312" s="220">
        <f>SUMIFS(LstMachines[Nbre],LstMachines[Model-Spec],PrévisionBoris[[#This Row],[Spec]],LstMachines[Status],PrévisionBoris[[#This Row],[Status]],LstMachines[MoisLivr],AB$1)</f>
        <v>0</v>
      </c>
      <c r="AC312" s="219">
        <f>SUMIFS(LstMachines[Nbre],LstMachines[Model-Spec],PrévisionBoris[[#This Row],[Spec]],LstMachines[Status],PrévisionBoris[[#This Row],[Status]],LstMachines[MoisLivr],AC$1)</f>
        <v>0</v>
      </c>
      <c r="AD312" s="220">
        <f>SUMIFS(LstMachines[Nbre],LstMachines[Model-Spec],PrévisionBoris[[#This Row],[Spec]],LstMachines[Status],PrévisionBoris[[#This Row],[Status]],LstMachines[MoisLivr],AD$1)</f>
        <v>0</v>
      </c>
      <c r="AE312" s="220">
        <f>SUMIFS(LstMachines[Nbre],LstMachines[Model-Spec],PrévisionBoris[[#This Row],[Spec]],LstMachines[Status],PrévisionBoris[[#This Row],[Status]],LstMachines[MoisLivr],AE$1)</f>
        <v>0</v>
      </c>
      <c r="AF312" s="219">
        <f>SUMIFS(LstMachines[Nbre],LstMachines[Model-Spec],PrévisionBoris[[#This Row],[Spec]],LstMachines[Status],PrévisionBoris[[#This Row],[Status]],LstMachines[MoisLivr],AF$1)</f>
        <v>0</v>
      </c>
      <c r="AG312" s="220">
        <f>SUMIFS(LstMachines[Nbre],LstMachines[Model-Spec],PrévisionBoris[[#This Row],[Spec]],LstMachines[Status],PrévisionBoris[[#This Row],[Status]],LstMachines[MoisLivr],AG$1)</f>
        <v>0</v>
      </c>
      <c r="AH312" s="220">
        <f>SUMIFS(LstMachines[Nbre],LstMachines[Model-Spec],PrévisionBoris[[#This Row],[Spec]],LstMachines[Status],PrévisionBoris[[#This Row],[Status]],LstMachines[MoisLivr],AH$1)</f>
        <v>0</v>
      </c>
      <c r="AI312" s="219">
        <f>SUMIFS(LstMachines[Nbre],LstMachines[Model-Spec],PrévisionBoris[[#This Row],[Spec]],LstMachines[Status],PrévisionBoris[[#This Row],[Status]],LstMachines[MoisLivr],AI$1)</f>
        <v>0</v>
      </c>
      <c r="AJ312" s="220">
        <f>SUMIFS(LstMachines[Nbre],LstMachines[Model-Spec],PrévisionBoris[[#This Row],[Spec]],LstMachines[Status],PrévisionBoris[[#This Row],[Status]],LstMachines[MoisLivr],AJ$1)</f>
        <v>0</v>
      </c>
      <c r="AK312" s="220">
        <f>SUMIFS(LstMachines[Nbre],LstMachines[Model-Spec],PrévisionBoris[[#This Row],[Spec]],LstMachines[Status],PrévisionBoris[[#This Row],[Status]],LstMachines[MoisLivr],AK$1)</f>
        <v>0</v>
      </c>
      <c r="AL312" s="219">
        <f>SUMIFS(LstMachines[Nbre],LstMachines[Model-Spec],PrévisionBoris[[#This Row],[Spec]],LstMachines[Status],PrévisionBoris[[#This Row],[Status]],LstMachines[MoisLivr],AL$1)</f>
        <v>0</v>
      </c>
      <c r="AM312" s="220">
        <f>SUMIFS(LstMachines[Nbre],LstMachines[Model-Spec],PrévisionBoris[[#This Row],[Spec]],LstMachines[Status],PrévisionBoris[[#This Row],[Status]],LstMachines[MoisLivr],AM$1)</f>
        <v>0</v>
      </c>
      <c r="AN312" s="220">
        <f>SUMIFS(LstMachines[Nbre],LstMachines[Model-Spec],PrévisionBoris[[#This Row],[Spec]],LstMachines[Status],PrévisionBoris[[#This Row],[Status]],LstMachines[MoisLivr],AN$1)</f>
        <v>0</v>
      </c>
      <c r="AO312" s="219">
        <f>SUMIFS(LstMachines[Nbre],LstMachines[Model-Spec],PrévisionBoris[[#This Row],[Spec]],LstMachines[Status],PrévisionBoris[[#This Row],[Status]],LstMachines[MoisLivr],AO$1)</f>
        <v>0</v>
      </c>
      <c r="AP312" s="220">
        <f>SUMIFS(LstMachines[Nbre],LstMachines[Model-Spec],PrévisionBoris[[#This Row],[Spec]],LstMachines[Status],PrévisionBoris[[#This Row],[Status]],LstMachines[MoisLivr],AP$1)</f>
        <v>0</v>
      </c>
      <c r="AQ312" s="220">
        <f>SUMIFS(LstMachines[Nbre],LstMachines[Model-Spec],PrévisionBoris[[#This Row],[Spec]],LstMachines[Status],PrévisionBoris[[#This Row],[Status]],LstMachines[MoisLivr],AQ$1)</f>
        <v>0</v>
      </c>
      <c r="AR312" s="219">
        <f>SUMIFS(LstMachines[Nbre],LstMachines[Model-Spec],PrévisionBoris[[#This Row],[Spec]],LstMachines[Status],PrévisionBoris[[#This Row],[Status]],LstMachines[MoisLivr],AR$1)</f>
        <v>0</v>
      </c>
      <c r="AS312" s="220">
        <f>SUMIFS(LstMachines[Nbre],LstMachines[Model-Spec],PrévisionBoris[[#This Row],[Spec]],LstMachines[Status],PrévisionBoris[[#This Row],[Status]],LstMachines[MoisLivr],AS$1)</f>
        <v>0</v>
      </c>
      <c r="AT312" s="220">
        <f>SUMIFS(LstMachines[Nbre],LstMachines[Model-Spec],PrévisionBoris[[#This Row],[Spec]],LstMachines[Status],PrévisionBoris[[#This Row],[Status]],LstMachines[MoisLivr],AT$1)</f>
        <v>0</v>
      </c>
      <c r="AU312" s="219">
        <f>SUMIFS(LstMachines[Nbre],LstMachines[Model-Spec],PrévisionBoris[[#This Row],[Spec]],LstMachines[Status],PrévisionBoris[[#This Row],[Status]],LstMachines[MoisLivr],AU$1)</f>
        <v>0</v>
      </c>
      <c r="AV312" s="223">
        <f>SUMIFS(LstMachines[Nbre],LstMachines[Model-Spec],PrévisionBoris[[#This Row],[Spec]],LstMachines[Status],PrévisionBoris[[#This Row],[Status]],LstMachines[MoisLivr],AV$1)</f>
        <v>0</v>
      </c>
      <c r="AW312" s="224">
        <f>SUMIFS(LstMachines[Nbre],LstMachines[Model-Spec],PrévisionBoris[[#This Row],[Spec]],LstMachines[Status],PrévisionBoris[[#This Row],[Status]],LstMachines[MoisLivr],AW$1)</f>
        <v>0</v>
      </c>
      <c r="AX312" s="210"/>
      <c r="AY312" s="211">
        <f t="shared" si="67"/>
        <v>0</v>
      </c>
      <c r="AZ312" s="212">
        <f t="shared" si="68"/>
        <v>0</v>
      </c>
      <c r="BA312" s="212">
        <f t="shared" si="69"/>
        <v>0</v>
      </c>
      <c r="BB312" s="213">
        <f t="shared" si="70"/>
        <v>0</v>
      </c>
      <c r="BC312" s="225">
        <f t="shared" si="71"/>
        <v>0</v>
      </c>
      <c r="BD312" s="211">
        <f t="shared" si="72"/>
        <v>0</v>
      </c>
      <c r="BE312" s="212">
        <f t="shared" si="73"/>
        <v>0</v>
      </c>
      <c r="BF312" s="212">
        <f t="shared" si="74"/>
        <v>0</v>
      </c>
      <c r="BG312" s="213">
        <f t="shared" si="75"/>
        <v>0</v>
      </c>
      <c r="BH312" s="225">
        <f t="shared" si="76"/>
        <v>0</v>
      </c>
      <c r="BI312" s="214">
        <f t="shared" si="77"/>
        <v>0</v>
      </c>
      <c r="BJ312" s="215">
        <f t="shared" si="78"/>
        <v>0</v>
      </c>
      <c r="BK312" s="215">
        <f t="shared" si="79"/>
        <v>0</v>
      </c>
      <c r="BL312" s="216">
        <f t="shared" si="80"/>
        <v>0</v>
      </c>
      <c r="BM312" s="225">
        <f t="shared" si="81"/>
        <v>0</v>
      </c>
      <c r="BN312" s="225"/>
      <c r="BO312" s="217"/>
      <c r="BP312" s="218">
        <f t="shared" si="82"/>
        <v>0</v>
      </c>
    </row>
    <row r="313" spans="1:68">
      <c r="A313" s="171">
        <v>306</v>
      </c>
      <c r="B313" s="171" t="s">
        <v>85</v>
      </c>
      <c r="C313" s="201">
        <v>490</v>
      </c>
      <c r="D313" s="171" t="s">
        <v>92</v>
      </c>
      <c r="E313" s="171" t="s">
        <v>360</v>
      </c>
      <c r="F313" s="201">
        <f>VLOOKUP(PrévisionBoris[[#This Row],[Spec]],TabModelSpecs[[ModelSpec]:[Price]],2,FALSE)</f>
        <v>260</v>
      </c>
      <c r="G313" s="171" t="s">
        <v>463</v>
      </c>
      <c r="H313" s="226">
        <f>SUMIFS(LstMachines[Nbre],LstMachines[Model-Spec],PrévisionBoris[[#This Row],[Spec]],LstMachines[Status],PrévisionBoris[[#This Row],[Status]],LstMachines[MoisLivr],H$1)</f>
        <v>0</v>
      </c>
      <c r="I313" s="227">
        <f>SUMIFS(LstMachines[Nbre],LstMachines[Model-Spec],PrévisionBoris[[#This Row],[Spec]],LstMachines[Status],PrévisionBoris[[#This Row],[Status]],LstMachines[MoisLivr],I$1)</f>
        <v>1</v>
      </c>
      <c r="J313" s="228">
        <f>SUMIFS(LstMachines[Nbre],LstMachines[Model-Spec],PrévisionBoris[[#This Row],[Spec]],LstMachines[Status],PrévisionBoris[[#This Row],[Status]],LstMachines[MoisLivr],J$1)</f>
        <v>0</v>
      </c>
      <c r="K313" s="226">
        <f>SUMIFS(LstMachines[Nbre],LstMachines[Model-Spec],PrévisionBoris[[#This Row],[Spec]],LstMachines[Status],PrévisionBoris[[#This Row],[Status]],LstMachines[MoisLivr],K$1)</f>
        <v>0</v>
      </c>
      <c r="L313" s="227">
        <f>SUMIFS(LstMachines[Nbre],LstMachines[Model-Spec],PrévisionBoris[[#This Row],[Spec]],LstMachines[Status],PrévisionBoris[[#This Row],[Status]],LstMachines[MoisLivr],L$1)</f>
        <v>0</v>
      </c>
      <c r="M313" s="228">
        <f>SUMIFS(LstMachines[Nbre],LstMachines[Model-Spec],PrévisionBoris[[#This Row],[Spec]],LstMachines[Status],PrévisionBoris[[#This Row],[Status]],LstMachines[MoisLivr],M$1)</f>
        <v>0</v>
      </c>
      <c r="N313" s="226">
        <f>SUMIFS(LstMachines[Nbre],LstMachines[Model-Spec],PrévisionBoris[[#This Row],[Spec]],LstMachines[Status],PrévisionBoris[[#This Row],[Status]],LstMachines[MoisLivr],N$1)</f>
        <v>0</v>
      </c>
      <c r="O313" s="227">
        <f>SUMIFS(LstMachines[Nbre],LstMachines[Model-Spec],PrévisionBoris[[#This Row],[Spec]],LstMachines[Status],PrévisionBoris[[#This Row],[Status]],LstMachines[MoisLivr],O$1)</f>
        <v>0</v>
      </c>
      <c r="P313" s="228">
        <f>SUMIFS(LstMachines[Nbre],LstMachines[Model-Spec],PrévisionBoris[[#This Row],[Spec]],LstMachines[Status],PrévisionBoris[[#This Row],[Status]],LstMachines[MoisLivr],P$1)</f>
        <v>0</v>
      </c>
      <c r="Q313" s="229">
        <f>SUMIFS(LstMachines[Nbre],LstMachines[Model-Spec],PrévisionBoris[[#This Row],[Spec]],LstMachines[Status],PrévisionBoris[[#This Row],[Status]],LstMachines[MoisLivr],Q$1)</f>
        <v>0</v>
      </c>
      <c r="R313" s="227">
        <f>SUMIFS(LstMachines[Nbre],LstMachines[Model-Spec],PrévisionBoris[[#This Row],[Spec]],LstMachines[Status],PrévisionBoris[[#This Row],[Status]],LstMachines[MoisLivr],R$1)</f>
        <v>0</v>
      </c>
      <c r="S313" s="227">
        <f>SUMIFS(LstMachines[Nbre],LstMachines[Model-Spec],PrévisionBoris[[#This Row],[Spec]],LstMachines[Status],PrévisionBoris[[#This Row],[Status]],LstMachines[MoisLivr],S$1)</f>
        <v>0</v>
      </c>
      <c r="T313" s="226">
        <f>SUMIFS(LstMachines[Nbre],LstMachines[Model-Spec],PrévisionBoris[[#This Row],[Spec]],LstMachines[Status],PrévisionBoris[[#This Row],[Status]],LstMachines[MoisLivr],T$1)</f>
        <v>0</v>
      </c>
      <c r="U313" s="227">
        <f>SUMIFS(LstMachines[Nbre],LstMachines[Model-Spec],PrévisionBoris[[#This Row],[Spec]],LstMachines[Status],PrévisionBoris[[#This Row],[Status]],LstMachines[MoisLivr],U$1)</f>
        <v>0</v>
      </c>
      <c r="V313" s="227">
        <f>SUMIFS(LstMachines[Nbre],LstMachines[Model-Spec],PrévisionBoris[[#This Row],[Spec]],LstMachines[Status],PrévisionBoris[[#This Row],[Status]],LstMachines[MoisLivr],V$1)</f>
        <v>0</v>
      </c>
      <c r="W313" s="226">
        <f>SUMIFS(LstMachines[Nbre],LstMachines[Model-Spec],PrévisionBoris[[#This Row],[Spec]],LstMachines[Status],PrévisionBoris[[#This Row],[Status]],LstMachines[MoisLivr],W$1)</f>
        <v>0</v>
      </c>
      <c r="X313" s="227">
        <f>SUMIFS(LstMachines[Nbre],LstMachines[Model-Spec],PrévisionBoris[[#This Row],[Spec]],LstMachines[Status],PrévisionBoris[[#This Row],[Status]],LstMachines[MoisLivr],X$1)</f>
        <v>0</v>
      </c>
      <c r="Y313" s="227">
        <f>SUMIFS(LstMachines[Nbre],LstMachines[Model-Spec],PrévisionBoris[[#This Row],[Spec]],LstMachines[Status],PrévisionBoris[[#This Row],[Status]],LstMachines[MoisLivr],Y$1)</f>
        <v>0</v>
      </c>
      <c r="Z313" s="226">
        <f>SUMIFS(LstMachines[Nbre],LstMachines[Model-Spec],PrévisionBoris[[#This Row],[Spec]],LstMachines[Status],PrévisionBoris[[#This Row],[Status]],LstMachines[MoisLivr],Z$1)</f>
        <v>0</v>
      </c>
      <c r="AA313" s="227">
        <f>SUMIFS(LstMachines[Nbre],LstMachines[Model-Spec],PrévisionBoris[[#This Row],[Spec]],LstMachines[Status],PrévisionBoris[[#This Row],[Status]],LstMachines[MoisLivr],AA$1)</f>
        <v>0</v>
      </c>
      <c r="AB313" s="227">
        <f>SUMIFS(LstMachines[Nbre],LstMachines[Model-Spec],PrévisionBoris[[#This Row],[Spec]],LstMachines[Status],PrévisionBoris[[#This Row],[Status]],LstMachines[MoisLivr],AB$1)</f>
        <v>0</v>
      </c>
      <c r="AC313" s="226">
        <f>SUMIFS(LstMachines[Nbre],LstMachines[Model-Spec],PrévisionBoris[[#This Row],[Spec]],LstMachines[Status],PrévisionBoris[[#This Row],[Status]],LstMachines[MoisLivr],AC$1)</f>
        <v>0</v>
      </c>
      <c r="AD313" s="227">
        <f>SUMIFS(LstMachines[Nbre],LstMachines[Model-Spec],PrévisionBoris[[#This Row],[Spec]],LstMachines[Status],PrévisionBoris[[#This Row],[Status]],LstMachines[MoisLivr],AD$1)</f>
        <v>0</v>
      </c>
      <c r="AE313" s="227">
        <f>SUMIFS(LstMachines[Nbre],LstMachines[Model-Spec],PrévisionBoris[[#This Row],[Spec]],LstMachines[Status],PrévisionBoris[[#This Row],[Status]],LstMachines[MoisLivr],AE$1)</f>
        <v>0</v>
      </c>
      <c r="AF313" s="226">
        <f>SUMIFS(LstMachines[Nbre],LstMachines[Model-Spec],PrévisionBoris[[#This Row],[Spec]],LstMachines[Status],PrévisionBoris[[#This Row],[Status]],LstMachines[MoisLivr],AF$1)</f>
        <v>0</v>
      </c>
      <c r="AG313" s="227">
        <f>SUMIFS(LstMachines[Nbre],LstMachines[Model-Spec],PrévisionBoris[[#This Row],[Spec]],LstMachines[Status],PrévisionBoris[[#This Row],[Status]],LstMachines[MoisLivr],AG$1)</f>
        <v>0</v>
      </c>
      <c r="AH313" s="227">
        <f>SUMIFS(LstMachines[Nbre],LstMachines[Model-Spec],PrévisionBoris[[#This Row],[Spec]],LstMachines[Status],PrévisionBoris[[#This Row],[Status]],LstMachines[MoisLivr],AH$1)</f>
        <v>0</v>
      </c>
      <c r="AI313" s="226">
        <f>SUMIFS(LstMachines[Nbre],LstMachines[Model-Spec],PrévisionBoris[[#This Row],[Spec]],LstMachines[Status],PrévisionBoris[[#This Row],[Status]],LstMachines[MoisLivr],AI$1)</f>
        <v>0</v>
      </c>
      <c r="AJ313" s="227">
        <f>SUMIFS(LstMachines[Nbre],LstMachines[Model-Spec],PrévisionBoris[[#This Row],[Spec]],LstMachines[Status],PrévisionBoris[[#This Row],[Status]],LstMachines[MoisLivr],AJ$1)</f>
        <v>0</v>
      </c>
      <c r="AK313" s="227">
        <f>SUMIFS(LstMachines[Nbre],LstMachines[Model-Spec],PrévisionBoris[[#This Row],[Spec]],LstMachines[Status],PrévisionBoris[[#This Row],[Status]],LstMachines[MoisLivr],AK$1)</f>
        <v>0</v>
      </c>
      <c r="AL313" s="226">
        <f>SUMIFS(LstMachines[Nbre],LstMachines[Model-Spec],PrévisionBoris[[#This Row],[Spec]],LstMachines[Status],PrévisionBoris[[#This Row],[Status]],LstMachines[MoisLivr],AL$1)</f>
        <v>0</v>
      </c>
      <c r="AM313" s="227">
        <f>SUMIFS(LstMachines[Nbre],LstMachines[Model-Spec],PrévisionBoris[[#This Row],[Spec]],LstMachines[Status],PrévisionBoris[[#This Row],[Status]],LstMachines[MoisLivr],AM$1)</f>
        <v>0</v>
      </c>
      <c r="AN313" s="227">
        <f>SUMIFS(LstMachines[Nbre],LstMachines[Model-Spec],PrévisionBoris[[#This Row],[Spec]],LstMachines[Status],PrévisionBoris[[#This Row],[Status]],LstMachines[MoisLivr],AN$1)</f>
        <v>0</v>
      </c>
      <c r="AO313" s="226">
        <f>SUMIFS(LstMachines[Nbre],LstMachines[Model-Spec],PrévisionBoris[[#This Row],[Spec]],LstMachines[Status],PrévisionBoris[[#This Row],[Status]],LstMachines[MoisLivr],AO$1)</f>
        <v>0</v>
      </c>
      <c r="AP313" s="227">
        <f>SUMIFS(LstMachines[Nbre],LstMachines[Model-Spec],PrévisionBoris[[#This Row],[Spec]],LstMachines[Status],PrévisionBoris[[#This Row],[Status]],LstMachines[MoisLivr],AP$1)</f>
        <v>0</v>
      </c>
      <c r="AQ313" s="227">
        <f>SUMIFS(LstMachines[Nbre],LstMachines[Model-Spec],PrévisionBoris[[#This Row],[Spec]],LstMachines[Status],PrévisionBoris[[#This Row],[Status]],LstMachines[MoisLivr],AQ$1)</f>
        <v>0</v>
      </c>
      <c r="AR313" s="226">
        <f>SUMIFS(LstMachines[Nbre],LstMachines[Model-Spec],PrévisionBoris[[#This Row],[Spec]],LstMachines[Status],PrévisionBoris[[#This Row],[Status]],LstMachines[MoisLivr],AR$1)</f>
        <v>0</v>
      </c>
      <c r="AS313" s="227">
        <f>SUMIFS(LstMachines[Nbre],LstMachines[Model-Spec],PrévisionBoris[[#This Row],[Spec]],LstMachines[Status],PrévisionBoris[[#This Row],[Status]],LstMachines[MoisLivr],AS$1)</f>
        <v>0</v>
      </c>
      <c r="AT313" s="227">
        <f>SUMIFS(LstMachines[Nbre],LstMachines[Model-Spec],PrévisionBoris[[#This Row],[Spec]],LstMachines[Status],PrévisionBoris[[#This Row],[Status]],LstMachines[MoisLivr],AT$1)</f>
        <v>0</v>
      </c>
      <c r="AU313" s="226">
        <f>SUMIFS(LstMachines[Nbre],LstMachines[Model-Spec],PrévisionBoris[[#This Row],[Spec]],LstMachines[Status],PrévisionBoris[[#This Row],[Status]],LstMachines[MoisLivr],AU$1)</f>
        <v>0</v>
      </c>
      <c r="AV313" s="230">
        <f>SUMIFS(LstMachines[Nbre],LstMachines[Model-Spec],PrévisionBoris[[#This Row],[Spec]],LstMachines[Status],PrévisionBoris[[#This Row],[Status]],LstMachines[MoisLivr],AV$1)</f>
        <v>0</v>
      </c>
      <c r="AW313" s="231">
        <f>SUMIFS(LstMachines[Nbre],LstMachines[Model-Spec],PrévisionBoris[[#This Row],[Spec]],LstMachines[Status],PrévisionBoris[[#This Row],[Status]],LstMachines[MoisLivr],AW$1)</f>
        <v>0</v>
      </c>
      <c r="AX313" s="232"/>
      <c r="AY313" s="211">
        <f t="shared" si="67"/>
        <v>0</v>
      </c>
      <c r="AZ313" s="212">
        <f t="shared" si="68"/>
        <v>0</v>
      </c>
      <c r="BA313" s="212">
        <f t="shared" si="69"/>
        <v>0</v>
      </c>
      <c r="BB313" s="213">
        <f t="shared" si="70"/>
        <v>0</v>
      </c>
      <c r="BC313" s="225">
        <f t="shared" si="71"/>
        <v>0</v>
      </c>
      <c r="BD313" s="211">
        <f t="shared" si="72"/>
        <v>0</v>
      </c>
      <c r="BE313" s="212">
        <f t="shared" si="73"/>
        <v>0</v>
      </c>
      <c r="BF313" s="212">
        <f t="shared" si="74"/>
        <v>0</v>
      </c>
      <c r="BG313" s="213">
        <f t="shared" si="75"/>
        <v>0</v>
      </c>
      <c r="BH313" s="225">
        <f t="shared" si="76"/>
        <v>0</v>
      </c>
      <c r="BI313" s="214">
        <f t="shared" si="77"/>
        <v>0</v>
      </c>
      <c r="BJ313" s="215">
        <f t="shared" si="78"/>
        <v>0</v>
      </c>
      <c r="BK313" s="215">
        <f t="shared" si="79"/>
        <v>0</v>
      </c>
      <c r="BL313" s="216">
        <f t="shared" si="80"/>
        <v>0</v>
      </c>
      <c r="BM313" s="225">
        <f t="shared" si="81"/>
        <v>0</v>
      </c>
      <c r="BN313" s="225"/>
      <c r="BO313" s="217"/>
      <c r="BP313" s="218">
        <f t="shared" si="82"/>
        <v>1</v>
      </c>
    </row>
    <row r="314" spans="1:68">
      <c r="A314" s="172">
        <v>307</v>
      </c>
      <c r="B314" s="172" t="s">
        <v>85</v>
      </c>
      <c r="C314" s="202">
        <v>490</v>
      </c>
      <c r="D314" s="172" t="s">
        <v>92</v>
      </c>
      <c r="E314" s="172" t="s">
        <v>439</v>
      </c>
      <c r="F314" s="202">
        <f>VLOOKUP(PrévisionBoris[[#This Row],[Spec]],TabModelSpecs[[ModelSpec]:[Price]],2,FALSE)</f>
        <v>260</v>
      </c>
      <c r="G314" s="172" t="s">
        <v>461</v>
      </c>
      <c r="H314" s="206">
        <f>SUMIFS(LstMachines[Nbre],LstMachines[Model-Spec],PrévisionBoris[[#This Row],[Spec]],LstMachines[Status],PrévisionBoris[[#This Row],[Status]],LstMachines[MoisLivr],H$1)</f>
        <v>0</v>
      </c>
      <c r="I314" s="207">
        <f>SUMIFS(LstMachines[Nbre],LstMachines[Model-Spec],PrévisionBoris[[#This Row],[Spec]],LstMachines[Status],PrévisionBoris[[#This Row],[Status]],LstMachines[MoisLivr],I$1)</f>
        <v>0</v>
      </c>
      <c r="J314" s="208">
        <f>SUMIFS(LstMachines[Nbre],LstMachines[Model-Spec],PrévisionBoris[[#This Row],[Spec]],LstMachines[Status],PrévisionBoris[[#This Row],[Status]],LstMachines[MoisLivr],J$1)</f>
        <v>0</v>
      </c>
      <c r="K314" s="206">
        <f>SUMIFS(LstMachines[Nbre],LstMachines[Model-Spec],PrévisionBoris[[#This Row],[Spec]],LstMachines[Status],PrévisionBoris[[#This Row],[Status]],LstMachines[MoisLivr],K$1)</f>
        <v>0</v>
      </c>
      <c r="L314" s="207">
        <f>SUMIFS(LstMachines[Nbre],LstMachines[Model-Spec],PrévisionBoris[[#This Row],[Spec]],LstMachines[Status],PrévisionBoris[[#This Row],[Status]],LstMachines[MoisLivr],L$1)</f>
        <v>0</v>
      </c>
      <c r="M314" s="208">
        <f>SUMIFS(LstMachines[Nbre],LstMachines[Model-Spec],PrévisionBoris[[#This Row],[Spec]],LstMachines[Status],PrévisionBoris[[#This Row],[Status]],LstMachines[MoisLivr],M$1)</f>
        <v>0</v>
      </c>
      <c r="N314" s="206">
        <f>SUMIFS(LstMachines[Nbre],LstMachines[Model-Spec],PrévisionBoris[[#This Row],[Spec]],LstMachines[Status],PrévisionBoris[[#This Row],[Status]],LstMachines[MoisLivr],N$1)</f>
        <v>0</v>
      </c>
      <c r="O314" s="207">
        <f>SUMIFS(LstMachines[Nbre],LstMachines[Model-Spec],PrévisionBoris[[#This Row],[Spec]],LstMachines[Status],PrévisionBoris[[#This Row],[Status]],LstMachines[MoisLivr],O$1)</f>
        <v>0</v>
      </c>
      <c r="P314" s="208">
        <f>SUMIFS(LstMachines[Nbre],LstMachines[Model-Spec],PrévisionBoris[[#This Row],[Spec]],LstMachines[Status],PrévisionBoris[[#This Row],[Status]],LstMachines[MoisLivr],P$1)</f>
        <v>0</v>
      </c>
      <c r="Q314" s="209">
        <f>SUMIFS(LstMachines[Nbre],LstMachines[Model-Spec],PrévisionBoris[[#This Row],[Spec]],LstMachines[Status],PrévisionBoris[[#This Row],[Status]],LstMachines[MoisLivr],Q$1)</f>
        <v>0</v>
      </c>
      <c r="R314" s="207">
        <f>SUMIFS(LstMachines[Nbre],LstMachines[Model-Spec],PrévisionBoris[[#This Row],[Spec]],LstMachines[Status],PrévisionBoris[[#This Row],[Status]],LstMachines[MoisLivr],R$1)</f>
        <v>0</v>
      </c>
      <c r="S314" s="207">
        <f>SUMIFS(LstMachines[Nbre],LstMachines[Model-Spec],PrévisionBoris[[#This Row],[Spec]],LstMachines[Status],PrévisionBoris[[#This Row],[Status]],LstMachines[MoisLivr],S$1)</f>
        <v>0</v>
      </c>
      <c r="T314" s="206">
        <f>SUMIFS(LstMachines[Nbre],LstMachines[Model-Spec],PrévisionBoris[[#This Row],[Spec]],LstMachines[Status],PrévisionBoris[[#This Row],[Status]],LstMachines[MoisLivr],T$1)</f>
        <v>0</v>
      </c>
      <c r="U314" s="207">
        <f>SUMIFS(LstMachines[Nbre],LstMachines[Model-Spec],PrévisionBoris[[#This Row],[Spec]],LstMachines[Status],PrévisionBoris[[#This Row],[Status]],LstMachines[MoisLivr],U$1)</f>
        <v>0</v>
      </c>
      <c r="V314" s="207">
        <f>SUMIFS(LstMachines[Nbre],LstMachines[Model-Spec],PrévisionBoris[[#This Row],[Spec]],LstMachines[Status],PrévisionBoris[[#This Row],[Status]],LstMachines[MoisLivr],V$1)</f>
        <v>0</v>
      </c>
      <c r="W314" s="206">
        <f>SUMIFS(LstMachines[Nbre],LstMachines[Model-Spec],PrévisionBoris[[#This Row],[Spec]],LstMachines[Status],PrévisionBoris[[#This Row],[Status]],LstMachines[MoisLivr],W$1)</f>
        <v>0</v>
      </c>
      <c r="X314" s="207">
        <f>SUMIFS(LstMachines[Nbre],LstMachines[Model-Spec],PrévisionBoris[[#This Row],[Spec]],LstMachines[Status],PrévisionBoris[[#This Row],[Status]],LstMachines[MoisLivr],X$1)</f>
        <v>0</v>
      </c>
      <c r="Y314" s="207">
        <f>SUMIFS(LstMachines[Nbre],LstMachines[Model-Spec],PrévisionBoris[[#This Row],[Spec]],LstMachines[Status],PrévisionBoris[[#This Row],[Status]],LstMachines[MoisLivr],Y$1)</f>
        <v>0</v>
      </c>
      <c r="Z314" s="206">
        <f>SUMIFS(LstMachines[Nbre],LstMachines[Model-Spec],PrévisionBoris[[#This Row],[Spec]],LstMachines[Status],PrévisionBoris[[#This Row],[Status]],LstMachines[MoisLivr],Z$1)</f>
        <v>0</v>
      </c>
      <c r="AA314" s="207">
        <f>SUMIFS(LstMachines[Nbre],LstMachines[Model-Spec],PrévisionBoris[[#This Row],[Spec]],LstMachines[Status],PrévisionBoris[[#This Row],[Status]],LstMachines[MoisLivr],AA$1)</f>
        <v>0</v>
      </c>
      <c r="AB314" s="207">
        <f>SUMIFS(LstMachines[Nbre],LstMachines[Model-Spec],PrévisionBoris[[#This Row],[Spec]],LstMachines[Status],PrévisionBoris[[#This Row],[Status]],LstMachines[MoisLivr],AB$1)</f>
        <v>0</v>
      </c>
      <c r="AC314" s="206">
        <f>SUMIFS(LstMachines[Nbre],LstMachines[Model-Spec],PrévisionBoris[[#This Row],[Spec]],LstMachines[Status],PrévisionBoris[[#This Row],[Status]],LstMachines[MoisLivr],AC$1)</f>
        <v>0</v>
      </c>
      <c r="AD314" s="207">
        <f>SUMIFS(LstMachines[Nbre],LstMachines[Model-Spec],PrévisionBoris[[#This Row],[Spec]],LstMachines[Status],PrévisionBoris[[#This Row],[Status]],LstMachines[MoisLivr],AD$1)</f>
        <v>0</v>
      </c>
      <c r="AE314" s="207">
        <f>SUMIFS(LstMachines[Nbre],LstMachines[Model-Spec],PrévisionBoris[[#This Row],[Spec]],LstMachines[Status],PrévisionBoris[[#This Row],[Status]],LstMachines[MoisLivr],AE$1)</f>
        <v>0</v>
      </c>
      <c r="AF314" s="206">
        <f>SUMIFS(LstMachines[Nbre],LstMachines[Model-Spec],PrévisionBoris[[#This Row],[Spec]],LstMachines[Status],PrévisionBoris[[#This Row],[Status]],LstMachines[MoisLivr],AF$1)</f>
        <v>0</v>
      </c>
      <c r="AG314" s="207">
        <f>SUMIFS(LstMachines[Nbre],LstMachines[Model-Spec],PrévisionBoris[[#This Row],[Spec]],LstMachines[Status],PrévisionBoris[[#This Row],[Status]],LstMachines[MoisLivr],AG$1)</f>
        <v>0</v>
      </c>
      <c r="AH314" s="207">
        <f>SUMIFS(LstMachines[Nbre],LstMachines[Model-Spec],PrévisionBoris[[#This Row],[Spec]],LstMachines[Status],PrévisionBoris[[#This Row],[Status]],LstMachines[MoisLivr],AH$1)</f>
        <v>0</v>
      </c>
      <c r="AI314" s="206">
        <f>SUMIFS(LstMachines[Nbre],LstMachines[Model-Spec],PrévisionBoris[[#This Row],[Spec]],LstMachines[Status],PrévisionBoris[[#This Row],[Status]],LstMachines[MoisLivr],AI$1)</f>
        <v>0</v>
      </c>
      <c r="AJ314" s="207">
        <f>SUMIFS(LstMachines[Nbre],LstMachines[Model-Spec],PrévisionBoris[[#This Row],[Spec]],LstMachines[Status],PrévisionBoris[[#This Row],[Status]],LstMachines[MoisLivr],AJ$1)</f>
        <v>0</v>
      </c>
      <c r="AK314" s="207">
        <f>SUMIFS(LstMachines[Nbre],LstMachines[Model-Spec],PrévisionBoris[[#This Row],[Spec]],LstMachines[Status],PrévisionBoris[[#This Row],[Status]],LstMachines[MoisLivr],AK$1)</f>
        <v>0</v>
      </c>
      <c r="AL314" s="206">
        <f>SUMIFS(LstMachines[Nbre],LstMachines[Model-Spec],PrévisionBoris[[#This Row],[Spec]],LstMachines[Status],PrévisionBoris[[#This Row],[Status]],LstMachines[MoisLivr],AL$1)</f>
        <v>0</v>
      </c>
      <c r="AM314" s="207">
        <f>SUMIFS(LstMachines[Nbre],LstMachines[Model-Spec],PrévisionBoris[[#This Row],[Spec]],LstMachines[Status],PrévisionBoris[[#This Row],[Status]],LstMachines[MoisLivr],AM$1)</f>
        <v>0</v>
      </c>
      <c r="AN314" s="207">
        <f>SUMIFS(LstMachines[Nbre],LstMachines[Model-Spec],PrévisionBoris[[#This Row],[Spec]],LstMachines[Status],PrévisionBoris[[#This Row],[Status]],LstMachines[MoisLivr],AN$1)</f>
        <v>0</v>
      </c>
      <c r="AO314" s="206">
        <f>SUMIFS(LstMachines[Nbre],LstMachines[Model-Spec],PrévisionBoris[[#This Row],[Spec]],LstMachines[Status],PrévisionBoris[[#This Row],[Status]],LstMachines[MoisLivr],AO$1)</f>
        <v>0</v>
      </c>
      <c r="AP314" s="207">
        <f>SUMIFS(LstMachines[Nbre],LstMachines[Model-Spec],PrévisionBoris[[#This Row],[Spec]],LstMachines[Status],PrévisionBoris[[#This Row],[Status]],LstMachines[MoisLivr],AP$1)</f>
        <v>0</v>
      </c>
      <c r="AQ314" s="207">
        <f>SUMIFS(LstMachines[Nbre],LstMachines[Model-Spec],PrévisionBoris[[#This Row],[Spec]],LstMachines[Status],PrévisionBoris[[#This Row],[Status]],LstMachines[MoisLivr],AQ$1)</f>
        <v>0</v>
      </c>
      <c r="AR314" s="206">
        <f>SUMIFS(LstMachines[Nbre],LstMachines[Model-Spec],PrévisionBoris[[#This Row],[Spec]],LstMachines[Status],PrévisionBoris[[#This Row],[Status]],LstMachines[MoisLivr],AR$1)</f>
        <v>0</v>
      </c>
      <c r="AS314" s="207">
        <f>SUMIFS(LstMachines[Nbre],LstMachines[Model-Spec],PrévisionBoris[[#This Row],[Spec]],LstMachines[Status],PrévisionBoris[[#This Row],[Status]],LstMachines[MoisLivr],AS$1)</f>
        <v>0</v>
      </c>
      <c r="AT314" s="207">
        <f>SUMIFS(LstMachines[Nbre],LstMachines[Model-Spec],PrévisionBoris[[#This Row],[Spec]],LstMachines[Status],PrévisionBoris[[#This Row],[Status]],LstMachines[MoisLivr],AT$1)</f>
        <v>0</v>
      </c>
      <c r="AU314" s="206">
        <f>SUMIFS(LstMachines[Nbre],LstMachines[Model-Spec],PrévisionBoris[[#This Row],[Spec]],LstMachines[Status],PrévisionBoris[[#This Row],[Status]],LstMachines[MoisLivr],AU$1)</f>
        <v>0</v>
      </c>
      <c r="AV314" s="233">
        <f>SUMIFS(LstMachines[Nbre],LstMachines[Model-Spec],PrévisionBoris[[#This Row],[Spec]],LstMachines[Status],PrévisionBoris[[#This Row],[Status]],LstMachines[MoisLivr],AV$1)</f>
        <v>0</v>
      </c>
      <c r="AW314" s="208">
        <f>SUMIFS(LstMachines[Nbre],LstMachines[Model-Spec],PrévisionBoris[[#This Row],[Spec]],LstMachines[Status],PrévisionBoris[[#This Row],[Status]],LstMachines[MoisLivr],AW$1)</f>
        <v>0</v>
      </c>
      <c r="AX314" s="225"/>
      <c r="AY314" s="211">
        <f t="shared" si="67"/>
        <v>0</v>
      </c>
      <c r="AZ314" s="212">
        <f t="shared" si="68"/>
        <v>0</v>
      </c>
      <c r="BA314" s="212">
        <f t="shared" si="69"/>
        <v>0</v>
      </c>
      <c r="BB314" s="213">
        <f t="shared" si="70"/>
        <v>0</v>
      </c>
      <c r="BC314" s="225">
        <f t="shared" si="71"/>
        <v>0</v>
      </c>
      <c r="BD314" s="211">
        <f t="shared" si="72"/>
        <v>0</v>
      </c>
      <c r="BE314" s="212">
        <f t="shared" si="73"/>
        <v>0</v>
      </c>
      <c r="BF314" s="212">
        <f t="shared" si="74"/>
        <v>0</v>
      </c>
      <c r="BG314" s="213">
        <f t="shared" si="75"/>
        <v>0</v>
      </c>
      <c r="BH314" s="225">
        <f t="shared" si="76"/>
        <v>0</v>
      </c>
      <c r="BI314" s="214">
        <f t="shared" si="77"/>
        <v>0</v>
      </c>
      <c r="BJ314" s="215">
        <f t="shared" si="78"/>
        <v>0</v>
      </c>
      <c r="BK314" s="215">
        <f t="shared" si="79"/>
        <v>0</v>
      </c>
      <c r="BL314" s="216">
        <f t="shared" si="80"/>
        <v>0</v>
      </c>
      <c r="BM314" s="225">
        <f t="shared" si="81"/>
        <v>0</v>
      </c>
      <c r="BN314" s="225"/>
      <c r="BO314" s="234"/>
      <c r="BP314" s="218">
        <f t="shared" si="82"/>
        <v>0</v>
      </c>
    </row>
    <row r="315" spans="1:68">
      <c r="A315" s="170">
        <v>308</v>
      </c>
      <c r="B315" s="170" t="s">
        <v>85</v>
      </c>
      <c r="C315" s="200">
        <v>490</v>
      </c>
      <c r="D315" s="170" t="s">
        <v>92</v>
      </c>
      <c r="E315" s="170" t="s">
        <v>439</v>
      </c>
      <c r="F315" s="200">
        <f>VLOOKUP(PrévisionBoris[[#This Row],[Spec]],TabModelSpecs[[ModelSpec]:[Price]],2,FALSE)</f>
        <v>260</v>
      </c>
      <c r="G315" s="170" t="s">
        <v>462</v>
      </c>
      <c r="H315" s="219">
        <f>SUMIFS(LstMachines[Nbre],LstMachines[Model-Spec],PrévisionBoris[[#This Row],[Spec]],LstMachines[Status],PrévisionBoris[[#This Row],[Status]],LstMachines[MoisLivr],H$1)</f>
        <v>0</v>
      </c>
      <c r="I315" s="220">
        <f>SUMIFS(LstMachines[Nbre],LstMachines[Model-Spec],PrévisionBoris[[#This Row],[Spec]],LstMachines[Status],PrévisionBoris[[#This Row],[Status]],LstMachines[MoisLivr],I$1)</f>
        <v>0</v>
      </c>
      <c r="J315" s="221">
        <f>SUMIFS(LstMachines[Nbre],LstMachines[Model-Spec],PrévisionBoris[[#This Row],[Spec]],LstMachines[Status],PrévisionBoris[[#This Row],[Status]],LstMachines[MoisLivr],J$1)</f>
        <v>0</v>
      </c>
      <c r="K315" s="219">
        <f>SUMIFS(LstMachines[Nbre],LstMachines[Model-Spec],PrévisionBoris[[#This Row],[Spec]],LstMachines[Status],PrévisionBoris[[#This Row],[Status]],LstMachines[MoisLivr],K$1)</f>
        <v>0</v>
      </c>
      <c r="L315" s="220">
        <f>SUMIFS(LstMachines[Nbre],LstMachines[Model-Spec],PrévisionBoris[[#This Row],[Spec]],LstMachines[Status],PrévisionBoris[[#This Row],[Status]],LstMachines[MoisLivr],L$1)</f>
        <v>0</v>
      </c>
      <c r="M315" s="221">
        <f>SUMIFS(LstMachines[Nbre],LstMachines[Model-Spec],PrévisionBoris[[#This Row],[Spec]],LstMachines[Status],PrévisionBoris[[#This Row],[Status]],LstMachines[MoisLivr],M$1)</f>
        <v>0</v>
      </c>
      <c r="N315" s="219">
        <f>SUMIFS(LstMachines[Nbre],LstMachines[Model-Spec],PrévisionBoris[[#This Row],[Spec]],LstMachines[Status],PrévisionBoris[[#This Row],[Status]],LstMachines[MoisLivr],N$1)</f>
        <v>0</v>
      </c>
      <c r="O315" s="220">
        <f>SUMIFS(LstMachines[Nbre],LstMachines[Model-Spec],PrévisionBoris[[#This Row],[Spec]],LstMachines[Status],PrévisionBoris[[#This Row],[Status]],LstMachines[MoisLivr],O$1)</f>
        <v>0</v>
      </c>
      <c r="P315" s="221">
        <f>SUMIFS(LstMachines[Nbre],LstMachines[Model-Spec],PrévisionBoris[[#This Row],[Spec]],LstMachines[Status],PrévisionBoris[[#This Row],[Status]],LstMachines[MoisLivr],P$1)</f>
        <v>0</v>
      </c>
      <c r="Q315" s="222">
        <f>SUMIFS(LstMachines[Nbre],LstMachines[Model-Spec],PrévisionBoris[[#This Row],[Spec]],LstMachines[Status],PrévisionBoris[[#This Row],[Status]],LstMachines[MoisLivr],Q$1)</f>
        <v>0</v>
      </c>
      <c r="R315" s="220">
        <f>SUMIFS(LstMachines[Nbre],LstMachines[Model-Spec],PrévisionBoris[[#This Row],[Spec]],LstMachines[Status],PrévisionBoris[[#This Row],[Status]],LstMachines[MoisLivr],R$1)</f>
        <v>0</v>
      </c>
      <c r="S315" s="220">
        <f>SUMIFS(LstMachines[Nbre],LstMachines[Model-Spec],PrévisionBoris[[#This Row],[Spec]],LstMachines[Status],PrévisionBoris[[#This Row],[Status]],LstMachines[MoisLivr],S$1)</f>
        <v>0</v>
      </c>
      <c r="T315" s="219">
        <f>SUMIFS(LstMachines[Nbre],LstMachines[Model-Spec],PrévisionBoris[[#This Row],[Spec]],LstMachines[Status],PrévisionBoris[[#This Row],[Status]],LstMachines[MoisLivr],T$1)</f>
        <v>0</v>
      </c>
      <c r="U315" s="220">
        <f>SUMIFS(LstMachines[Nbre],LstMachines[Model-Spec],PrévisionBoris[[#This Row],[Spec]],LstMachines[Status],PrévisionBoris[[#This Row],[Status]],LstMachines[MoisLivr],U$1)</f>
        <v>0</v>
      </c>
      <c r="V315" s="220">
        <f>SUMIFS(LstMachines[Nbre],LstMachines[Model-Spec],PrévisionBoris[[#This Row],[Spec]],LstMachines[Status],PrévisionBoris[[#This Row],[Status]],LstMachines[MoisLivr],V$1)</f>
        <v>0</v>
      </c>
      <c r="W315" s="219">
        <f>SUMIFS(LstMachines[Nbre],LstMachines[Model-Spec],PrévisionBoris[[#This Row],[Spec]],LstMachines[Status],PrévisionBoris[[#This Row],[Status]],LstMachines[MoisLivr],W$1)</f>
        <v>0</v>
      </c>
      <c r="X315" s="220">
        <f>SUMIFS(LstMachines[Nbre],LstMachines[Model-Spec],PrévisionBoris[[#This Row],[Spec]],LstMachines[Status],PrévisionBoris[[#This Row],[Status]],LstMachines[MoisLivr],X$1)</f>
        <v>0</v>
      </c>
      <c r="Y315" s="220">
        <f>SUMIFS(LstMachines[Nbre],LstMachines[Model-Spec],PrévisionBoris[[#This Row],[Spec]],LstMachines[Status],PrévisionBoris[[#This Row],[Status]],LstMachines[MoisLivr],Y$1)</f>
        <v>0</v>
      </c>
      <c r="Z315" s="219">
        <f>SUMIFS(LstMachines[Nbre],LstMachines[Model-Spec],PrévisionBoris[[#This Row],[Spec]],LstMachines[Status],PrévisionBoris[[#This Row],[Status]],LstMachines[MoisLivr],Z$1)</f>
        <v>0</v>
      </c>
      <c r="AA315" s="220">
        <f>SUMIFS(LstMachines[Nbre],LstMachines[Model-Spec],PrévisionBoris[[#This Row],[Spec]],LstMachines[Status],PrévisionBoris[[#This Row],[Status]],LstMachines[MoisLivr],AA$1)</f>
        <v>0</v>
      </c>
      <c r="AB315" s="220">
        <f>SUMIFS(LstMachines[Nbre],LstMachines[Model-Spec],PrévisionBoris[[#This Row],[Spec]],LstMachines[Status],PrévisionBoris[[#This Row],[Status]],LstMachines[MoisLivr],AB$1)</f>
        <v>0</v>
      </c>
      <c r="AC315" s="219">
        <f>SUMIFS(LstMachines[Nbre],LstMachines[Model-Spec],PrévisionBoris[[#This Row],[Spec]],LstMachines[Status],PrévisionBoris[[#This Row],[Status]],LstMachines[MoisLivr],AC$1)</f>
        <v>0</v>
      </c>
      <c r="AD315" s="220">
        <f>SUMIFS(LstMachines[Nbre],LstMachines[Model-Spec],PrévisionBoris[[#This Row],[Spec]],LstMachines[Status],PrévisionBoris[[#This Row],[Status]],LstMachines[MoisLivr],AD$1)</f>
        <v>0</v>
      </c>
      <c r="AE315" s="220">
        <f>SUMIFS(LstMachines[Nbre],LstMachines[Model-Spec],PrévisionBoris[[#This Row],[Spec]],LstMachines[Status],PrévisionBoris[[#This Row],[Status]],LstMachines[MoisLivr],AE$1)</f>
        <v>0</v>
      </c>
      <c r="AF315" s="219">
        <f>SUMIFS(LstMachines[Nbre],LstMachines[Model-Spec],PrévisionBoris[[#This Row],[Spec]],LstMachines[Status],PrévisionBoris[[#This Row],[Status]],LstMachines[MoisLivr],AF$1)</f>
        <v>0</v>
      </c>
      <c r="AG315" s="220">
        <f>SUMIFS(LstMachines[Nbre],LstMachines[Model-Spec],PrévisionBoris[[#This Row],[Spec]],LstMachines[Status],PrévisionBoris[[#This Row],[Status]],LstMachines[MoisLivr],AG$1)</f>
        <v>0</v>
      </c>
      <c r="AH315" s="220">
        <f>SUMIFS(LstMachines[Nbre],LstMachines[Model-Spec],PrévisionBoris[[#This Row],[Spec]],LstMachines[Status],PrévisionBoris[[#This Row],[Status]],LstMachines[MoisLivr],AH$1)</f>
        <v>0</v>
      </c>
      <c r="AI315" s="219">
        <f>SUMIFS(LstMachines[Nbre],LstMachines[Model-Spec],PrévisionBoris[[#This Row],[Spec]],LstMachines[Status],PrévisionBoris[[#This Row],[Status]],LstMachines[MoisLivr],AI$1)</f>
        <v>0</v>
      </c>
      <c r="AJ315" s="220">
        <f>SUMIFS(LstMachines[Nbre],LstMachines[Model-Spec],PrévisionBoris[[#This Row],[Spec]],LstMachines[Status],PrévisionBoris[[#This Row],[Status]],LstMachines[MoisLivr],AJ$1)</f>
        <v>0</v>
      </c>
      <c r="AK315" s="220">
        <f>SUMIFS(LstMachines[Nbre],LstMachines[Model-Spec],PrévisionBoris[[#This Row],[Spec]],LstMachines[Status],PrévisionBoris[[#This Row],[Status]],LstMachines[MoisLivr],AK$1)</f>
        <v>0</v>
      </c>
      <c r="AL315" s="219">
        <f>SUMIFS(LstMachines[Nbre],LstMachines[Model-Spec],PrévisionBoris[[#This Row],[Spec]],LstMachines[Status],PrévisionBoris[[#This Row],[Status]],LstMachines[MoisLivr],AL$1)</f>
        <v>0</v>
      </c>
      <c r="AM315" s="220">
        <f>SUMIFS(LstMachines[Nbre],LstMachines[Model-Spec],PrévisionBoris[[#This Row],[Spec]],LstMachines[Status],PrévisionBoris[[#This Row],[Status]],LstMachines[MoisLivr],AM$1)</f>
        <v>0</v>
      </c>
      <c r="AN315" s="220">
        <f>SUMIFS(LstMachines[Nbre],LstMachines[Model-Spec],PrévisionBoris[[#This Row],[Spec]],LstMachines[Status],PrévisionBoris[[#This Row],[Status]],LstMachines[MoisLivr],AN$1)</f>
        <v>0</v>
      </c>
      <c r="AO315" s="219">
        <f>SUMIFS(LstMachines[Nbre],LstMachines[Model-Spec],PrévisionBoris[[#This Row],[Spec]],LstMachines[Status],PrévisionBoris[[#This Row],[Status]],LstMachines[MoisLivr],AO$1)</f>
        <v>0</v>
      </c>
      <c r="AP315" s="220">
        <f>SUMIFS(LstMachines[Nbre],LstMachines[Model-Spec],PrévisionBoris[[#This Row],[Spec]],LstMachines[Status],PrévisionBoris[[#This Row],[Status]],LstMachines[MoisLivr],AP$1)</f>
        <v>0</v>
      </c>
      <c r="AQ315" s="220">
        <f>SUMIFS(LstMachines[Nbre],LstMachines[Model-Spec],PrévisionBoris[[#This Row],[Spec]],LstMachines[Status],PrévisionBoris[[#This Row],[Status]],LstMachines[MoisLivr],AQ$1)</f>
        <v>0</v>
      </c>
      <c r="AR315" s="219">
        <f>SUMIFS(LstMachines[Nbre],LstMachines[Model-Spec],PrévisionBoris[[#This Row],[Spec]],LstMachines[Status],PrévisionBoris[[#This Row],[Status]],LstMachines[MoisLivr],AR$1)</f>
        <v>0</v>
      </c>
      <c r="AS315" s="220">
        <f>SUMIFS(LstMachines[Nbre],LstMachines[Model-Spec],PrévisionBoris[[#This Row],[Spec]],LstMachines[Status],PrévisionBoris[[#This Row],[Status]],LstMachines[MoisLivr],AS$1)</f>
        <v>0</v>
      </c>
      <c r="AT315" s="220">
        <f>SUMIFS(LstMachines[Nbre],LstMachines[Model-Spec],PrévisionBoris[[#This Row],[Spec]],LstMachines[Status],PrévisionBoris[[#This Row],[Status]],LstMachines[MoisLivr],AT$1)</f>
        <v>0</v>
      </c>
      <c r="AU315" s="219">
        <f>SUMIFS(LstMachines[Nbre],LstMachines[Model-Spec],PrévisionBoris[[#This Row],[Spec]],LstMachines[Status],PrévisionBoris[[#This Row],[Status]],LstMachines[MoisLivr],AU$1)</f>
        <v>0</v>
      </c>
      <c r="AV315" s="223">
        <f>SUMIFS(LstMachines[Nbre],LstMachines[Model-Spec],PrévisionBoris[[#This Row],[Spec]],LstMachines[Status],PrévisionBoris[[#This Row],[Status]],LstMachines[MoisLivr],AV$1)</f>
        <v>0</v>
      </c>
      <c r="AW315" s="224">
        <f>SUMIFS(LstMachines[Nbre],LstMachines[Model-Spec],PrévisionBoris[[#This Row],[Spec]],LstMachines[Status],PrévisionBoris[[#This Row],[Status]],LstMachines[MoisLivr],AW$1)</f>
        <v>0</v>
      </c>
      <c r="AX315" s="210"/>
      <c r="AY315" s="211">
        <f t="shared" si="67"/>
        <v>0</v>
      </c>
      <c r="AZ315" s="212">
        <f t="shared" si="68"/>
        <v>0</v>
      </c>
      <c r="BA315" s="212">
        <f t="shared" si="69"/>
        <v>0</v>
      </c>
      <c r="BB315" s="213">
        <f t="shared" si="70"/>
        <v>0</v>
      </c>
      <c r="BC315" s="225">
        <f t="shared" si="71"/>
        <v>0</v>
      </c>
      <c r="BD315" s="211">
        <f t="shared" si="72"/>
        <v>0</v>
      </c>
      <c r="BE315" s="212">
        <f t="shared" si="73"/>
        <v>0</v>
      </c>
      <c r="BF315" s="212">
        <f t="shared" si="74"/>
        <v>0</v>
      </c>
      <c r="BG315" s="213">
        <f t="shared" si="75"/>
        <v>0</v>
      </c>
      <c r="BH315" s="225">
        <f t="shared" si="76"/>
        <v>0</v>
      </c>
      <c r="BI315" s="214">
        <f t="shared" si="77"/>
        <v>0</v>
      </c>
      <c r="BJ315" s="215">
        <f t="shared" si="78"/>
        <v>0</v>
      </c>
      <c r="BK315" s="215">
        <f t="shared" si="79"/>
        <v>0</v>
      </c>
      <c r="BL315" s="216">
        <f t="shared" si="80"/>
        <v>0</v>
      </c>
      <c r="BM315" s="225">
        <f t="shared" si="81"/>
        <v>0</v>
      </c>
      <c r="BN315" s="225"/>
      <c r="BO315" s="217"/>
      <c r="BP315" s="218">
        <f t="shared" si="82"/>
        <v>0</v>
      </c>
    </row>
    <row r="316" spans="1:68">
      <c r="A316" s="171">
        <v>309</v>
      </c>
      <c r="B316" s="171" t="s">
        <v>85</v>
      </c>
      <c r="C316" s="201">
        <v>490</v>
      </c>
      <c r="D316" s="171" t="s">
        <v>92</v>
      </c>
      <c r="E316" s="171" t="s">
        <v>439</v>
      </c>
      <c r="F316" s="201">
        <f>VLOOKUP(PrévisionBoris[[#This Row],[Spec]],TabModelSpecs[[ModelSpec]:[Price]],2,FALSE)</f>
        <v>260</v>
      </c>
      <c r="G316" s="171" t="s">
        <v>463</v>
      </c>
      <c r="H316" s="226">
        <f>SUMIFS(LstMachines[Nbre],LstMachines[Model-Spec],PrévisionBoris[[#This Row],[Spec]],LstMachines[Status],PrévisionBoris[[#This Row],[Status]],LstMachines[MoisLivr],H$1)</f>
        <v>0</v>
      </c>
      <c r="I316" s="227">
        <f>SUMIFS(LstMachines[Nbre],LstMachines[Model-Spec],PrévisionBoris[[#This Row],[Spec]],LstMachines[Status],PrévisionBoris[[#This Row],[Status]],LstMachines[MoisLivr],I$1)</f>
        <v>0</v>
      </c>
      <c r="J316" s="228">
        <f>SUMIFS(LstMachines[Nbre],LstMachines[Model-Spec],PrévisionBoris[[#This Row],[Spec]],LstMachines[Status],PrévisionBoris[[#This Row],[Status]],LstMachines[MoisLivr],J$1)</f>
        <v>0</v>
      </c>
      <c r="K316" s="226">
        <f>SUMIFS(LstMachines[Nbre],LstMachines[Model-Spec],PrévisionBoris[[#This Row],[Spec]],LstMachines[Status],PrévisionBoris[[#This Row],[Status]],LstMachines[MoisLivr],K$1)</f>
        <v>0</v>
      </c>
      <c r="L316" s="227">
        <f>SUMIFS(LstMachines[Nbre],LstMachines[Model-Spec],PrévisionBoris[[#This Row],[Spec]],LstMachines[Status],PrévisionBoris[[#This Row],[Status]],LstMachines[MoisLivr],L$1)</f>
        <v>0</v>
      </c>
      <c r="M316" s="228">
        <f>SUMIFS(LstMachines[Nbre],LstMachines[Model-Spec],PrévisionBoris[[#This Row],[Spec]],LstMachines[Status],PrévisionBoris[[#This Row],[Status]],LstMachines[MoisLivr],M$1)</f>
        <v>0</v>
      </c>
      <c r="N316" s="226">
        <f>SUMIFS(LstMachines[Nbre],LstMachines[Model-Spec],PrévisionBoris[[#This Row],[Spec]],LstMachines[Status],PrévisionBoris[[#This Row],[Status]],LstMachines[MoisLivr],N$1)</f>
        <v>0</v>
      </c>
      <c r="O316" s="227">
        <f>SUMIFS(LstMachines[Nbre],LstMachines[Model-Spec],PrévisionBoris[[#This Row],[Spec]],LstMachines[Status],PrévisionBoris[[#This Row],[Status]],LstMachines[MoisLivr],O$1)</f>
        <v>0</v>
      </c>
      <c r="P316" s="228">
        <f>SUMIFS(LstMachines[Nbre],LstMachines[Model-Spec],PrévisionBoris[[#This Row],[Spec]],LstMachines[Status],PrévisionBoris[[#This Row],[Status]],LstMachines[MoisLivr],P$1)</f>
        <v>0</v>
      </c>
      <c r="Q316" s="229">
        <f>SUMIFS(LstMachines[Nbre],LstMachines[Model-Spec],PrévisionBoris[[#This Row],[Spec]],LstMachines[Status],PrévisionBoris[[#This Row],[Status]],LstMachines[MoisLivr],Q$1)</f>
        <v>0</v>
      </c>
      <c r="R316" s="227">
        <f>SUMIFS(LstMachines[Nbre],LstMachines[Model-Spec],PrévisionBoris[[#This Row],[Spec]],LstMachines[Status],PrévisionBoris[[#This Row],[Status]],LstMachines[MoisLivr],R$1)</f>
        <v>0</v>
      </c>
      <c r="S316" s="227">
        <f>SUMIFS(LstMachines[Nbre],LstMachines[Model-Spec],PrévisionBoris[[#This Row],[Spec]],LstMachines[Status],PrévisionBoris[[#This Row],[Status]],LstMachines[MoisLivr],S$1)</f>
        <v>0</v>
      </c>
      <c r="T316" s="226">
        <f>SUMIFS(LstMachines[Nbre],LstMachines[Model-Spec],PrévisionBoris[[#This Row],[Spec]],LstMachines[Status],PrévisionBoris[[#This Row],[Status]],LstMachines[MoisLivr],T$1)</f>
        <v>0</v>
      </c>
      <c r="U316" s="227">
        <f>SUMIFS(LstMachines[Nbre],LstMachines[Model-Spec],PrévisionBoris[[#This Row],[Spec]],LstMachines[Status],PrévisionBoris[[#This Row],[Status]],LstMachines[MoisLivr],U$1)</f>
        <v>0</v>
      </c>
      <c r="V316" s="227">
        <f>SUMIFS(LstMachines[Nbre],LstMachines[Model-Spec],PrévisionBoris[[#This Row],[Spec]],LstMachines[Status],PrévisionBoris[[#This Row],[Status]],LstMachines[MoisLivr],V$1)</f>
        <v>0</v>
      </c>
      <c r="W316" s="226">
        <f>SUMIFS(LstMachines[Nbre],LstMachines[Model-Spec],PrévisionBoris[[#This Row],[Spec]],LstMachines[Status],PrévisionBoris[[#This Row],[Status]],LstMachines[MoisLivr],W$1)</f>
        <v>0</v>
      </c>
      <c r="X316" s="227">
        <f>SUMIFS(LstMachines[Nbre],LstMachines[Model-Spec],PrévisionBoris[[#This Row],[Spec]],LstMachines[Status],PrévisionBoris[[#This Row],[Status]],LstMachines[MoisLivr],X$1)</f>
        <v>0</v>
      </c>
      <c r="Y316" s="227">
        <f>SUMIFS(LstMachines[Nbre],LstMachines[Model-Spec],PrévisionBoris[[#This Row],[Spec]],LstMachines[Status],PrévisionBoris[[#This Row],[Status]],LstMachines[MoisLivr],Y$1)</f>
        <v>0</v>
      </c>
      <c r="Z316" s="226">
        <f>SUMIFS(LstMachines[Nbre],LstMachines[Model-Spec],PrévisionBoris[[#This Row],[Spec]],LstMachines[Status],PrévisionBoris[[#This Row],[Status]],LstMachines[MoisLivr],Z$1)</f>
        <v>0</v>
      </c>
      <c r="AA316" s="227">
        <f>SUMIFS(LstMachines[Nbre],LstMachines[Model-Spec],PrévisionBoris[[#This Row],[Spec]],LstMachines[Status],PrévisionBoris[[#This Row],[Status]],LstMachines[MoisLivr],AA$1)</f>
        <v>0</v>
      </c>
      <c r="AB316" s="227">
        <f>SUMIFS(LstMachines[Nbre],LstMachines[Model-Spec],PrévisionBoris[[#This Row],[Spec]],LstMachines[Status],PrévisionBoris[[#This Row],[Status]],LstMachines[MoisLivr],AB$1)</f>
        <v>0</v>
      </c>
      <c r="AC316" s="226">
        <f>SUMIFS(LstMachines[Nbre],LstMachines[Model-Spec],PrévisionBoris[[#This Row],[Spec]],LstMachines[Status],PrévisionBoris[[#This Row],[Status]],LstMachines[MoisLivr],AC$1)</f>
        <v>0</v>
      </c>
      <c r="AD316" s="227">
        <f>SUMIFS(LstMachines[Nbre],LstMachines[Model-Spec],PrévisionBoris[[#This Row],[Spec]],LstMachines[Status],PrévisionBoris[[#This Row],[Status]],LstMachines[MoisLivr],AD$1)</f>
        <v>0</v>
      </c>
      <c r="AE316" s="227">
        <f>SUMIFS(LstMachines[Nbre],LstMachines[Model-Spec],PrévisionBoris[[#This Row],[Spec]],LstMachines[Status],PrévisionBoris[[#This Row],[Status]],LstMachines[MoisLivr],AE$1)</f>
        <v>0</v>
      </c>
      <c r="AF316" s="226">
        <f>SUMIFS(LstMachines[Nbre],LstMachines[Model-Spec],PrévisionBoris[[#This Row],[Spec]],LstMachines[Status],PrévisionBoris[[#This Row],[Status]],LstMachines[MoisLivr],AF$1)</f>
        <v>0</v>
      </c>
      <c r="AG316" s="227">
        <f>SUMIFS(LstMachines[Nbre],LstMachines[Model-Spec],PrévisionBoris[[#This Row],[Spec]],LstMachines[Status],PrévisionBoris[[#This Row],[Status]],LstMachines[MoisLivr],AG$1)</f>
        <v>0</v>
      </c>
      <c r="AH316" s="227">
        <f>SUMIFS(LstMachines[Nbre],LstMachines[Model-Spec],PrévisionBoris[[#This Row],[Spec]],LstMachines[Status],PrévisionBoris[[#This Row],[Status]],LstMachines[MoisLivr],AH$1)</f>
        <v>0</v>
      </c>
      <c r="AI316" s="226">
        <f>SUMIFS(LstMachines[Nbre],LstMachines[Model-Spec],PrévisionBoris[[#This Row],[Spec]],LstMachines[Status],PrévisionBoris[[#This Row],[Status]],LstMachines[MoisLivr],AI$1)</f>
        <v>0</v>
      </c>
      <c r="AJ316" s="227">
        <f>SUMIFS(LstMachines[Nbre],LstMachines[Model-Spec],PrévisionBoris[[#This Row],[Spec]],LstMachines[Status],PrévisionBoris[[#This Row],[Status]],LstMachines[MoisLivr],AJ$1)</f>
        <v>0</v>
      </c>
      <c r="AK316" s="227">
        <f>SUMIFS(LstMachines[Nbre],LstMachines[Model-Spec],PrévisionBoris[[#This Row],[Spec]],LstMachines[Status],PrévisionBoris[[#This Row],[Status]],LstMachines[MoisLivr],AK$1)</f>
        <v>0</v>
      </c>
      <c r="AL316" s="226">
        <f>SUMIFS(LstMachines[Nbre],LstMachines[Model-Spec],PrévisionBoris[[#This Row],[Spec]],LstMachines[Status],PrévisionBoris[[#This Row],[Status]],LstMachines[MoisLivr],AL$1)</f>
        <v>0</v>
      </c>
      <c r="AM316" s="227">
        <f>SUMIFS(LstMachines[Nbre],LstMachines[Model-Spec],PrévisionBoris[[#This Row],[Spec]],LstMachines[Status],PrévisionBoris[[#This Row],[Status]],LstMachines[MoisLivr],AM$1)</f>
        <v>0</v>
      </c>
      <c r="AN316" s="227">
        <f>SUMIFS(LstMachines[Nbre],LstMachines[Model-Spec],PrévisionBoris[[#This Row],[Spec]],LstMachines[Status],PrévisionBoris[[#This Row],[Status]],LstMachines[MoisLivr],AN$1)</f>
        <v>0</v>
      </c>
      <c r="AO316" s="226">
        <f>SUMIFS(LstMachines[Nbre],LstMachines[Model-Spec],PrévisionBoris[[#This Row],[Spec]],LstMachines[Status],PrévisionBoris[[#This Row],[Status]],LstMachines[MoisLivr],AO$1)</f>
        <v>0</v>
      </c>
      <c r="AP316" s="227">
        <f>SUMIFS(LstMachines[Nbre],LstMachines[Model-Spec],PrévisionBoris[[#This Row],[Spec]],LstMachines[Status],PrévisionBoris[[#This Row],[Status]],LstMachines[MoisLivr],AP$1)</f>
        <v>0</v>
      </c>
      <c r="AQ316" s="227">
        <f>SUMIFS(LstMachines[Nbre],LstMachines[Model-Spec],PrévisionBoris[[#This Row],[Spec]],LstMachines[Status],PrévisionBoris[[#This Row],[Status]],LstMachines[MoisLivr],AQ$1)</f>
        <v>0</v>
      </c>
      <c r="AR316" s="226">
        <f>SUMIFS(LstMachines[Nbre],LstMachines[Model-Spec],PrévisionBoris[[#This Row],[Spec]],LstMachines[Status],PrévisionBoris[[#This Row],[Status]],LstMachines[MoisLivr],AR$1)</f>
        <v>0</v>
      </c>
      <c r="AS316" s="227">
        <f>SUMIFS(LstMachines[Nbre],LstMachines[Model-Spec],PrévisionBoris[[#This Row],[Spec]],LstMachines[Status],PrévisionBoris[[#This Row],[Status]],LstMachines[MoisLivr],AS$1)</f>
        <v>0</v>
      </c>
      <c r="AT316" s="227">
        <f>SUMIFS(LstMachines[Nbre],LstMachines[Model-Spec],PrévisionBoris[[#This Row],[Spec]],LstMachines[Status],PrévisionBoris[[#This Row],[Status]],LstMachines[MoisLivr],AT$1)</f>
        <v>0</v>
      </c>
      <c r="AU316" s="226">
        <f>SUMIFS(LstMachines[Nbre],LstMachines[Model-Spec],PrévisionBoris[[#This Row],[Spec]],LstMachines[Status],PrévisionBoris[[#This Row],[Status]],LstMachines[MoisLivr],AU$1)</f>
        <v>0</v>
      </c>
      <c r="AV316" s="230">
        <f>SUMIFS(LstMachines[Nbre],LstMachines[Model-Spec],PrévisionBoris[[#This Row],[Spec]],LstMachines[Status],PrévisionBoris[[#This Row],[Status]],LstMachines[MoisLivr],AV$1)</f>
        <v>0</v>
      </c>
      <c r="AW316" s="231">
        <f>SUMIFS(LstMachines[Nbre],LstMachines[Model-Spec],PrévisionBoris[[#This Row],[Spec]],LstMachines[Status],PrévisionBoris[[#This Row],[Status]],LstMachines[MoisLivr],AW$1)</f>
        <v>0</v>
      </c>
      <c r="AX316" s="232"/>
      <c r="AY316" s="211">
        <f t="shared" si="67"/>
        <v>0</v>
      </c>
      <c r="AZ316" s="212">
        <f t="shared" si="68"/>
        <v>0</v>
      </c>
      <c r="BA316" s="212">
        <f t="shared" si="69"/>
        <v>0</v>
      </c>
      <c r="BB316" s="213">
        <f t="shared" si="70"/>
        <v>0</v>
      </c>
      <c r="BC316" s="225">
        <f t="shared" si="71"/>
        <v>0</v>
      </c>
      <c r="BD316" s="211">
        <f t="shared" si="72"/>
        <v>0</v>
      </c>
      <c r="BE316" s="212">
        <f t="shared" si="73"/>
        <v>0</v>
      </c>
      <c r="BF316" s="212">
        <f t="shared" si="74"/>
        <v>0</v>
      </c>
      <c r="BG316" s="213">
        <f t="shared" si="75"/>
        <v>0</v>
      </c>
      <c r="BH316" s="225">
        <f t="shared" si="76"/>
        <v>0</v>
      </c>
      <c r="BI316" s="214">
        <f t="shared" si="77"/>
        <v>0</v>
      </c>
      <c r="BJ316" s="215">
        <f t="shared" si="78"/>
        <v>0</v>
      </c>
      <c r="BK316" s="215">
        <f t="shared" si="79"/>
        <v>0</v>
      </c>
      <c r="BL316" s="216">
        <f t="shared" si="80"/>
        <v>0</v>
      </c>
      <c r="BM316" s="225">
        <f t="shared" si="81"/>
        <v>0</v>
      </c>
      <c r="BN316" s="225"/>
      <c r="BO316" s="217"/>
      <c r="BP316" s="218">
        <f t="shared" si="82"/>
        <v>0</v>
      </c>
    </row>
    <row r="317" spans="1:68">
      <c r="A317" s="172">
        <v>310</v>
      </c>
      <c r="B317" s="172" t="s">
        <v>85</v>
      </c>
      <c r="C317" s="202">
        <v>530</v>
      </c>
      <c r="D317" s="172" t="s">
        <v>368</v>
      </c>
      <c r="E317" s="172" t="s">
        <v>370</v>
      </c>
      <c r="F317" s="202">
        <f>VLOOKUP(PrévisionBoris[[#This Row],[Spec]],TabModelSpecs[[ModelSpec]:[Price]],2,FALSE)</f>
        <v>290</v>
      </c>
      <c r="G317" s="172" t="s">
        <v>461</v>
      </c>
      <c r="H317" s="206">
        <f>SUMIFS(LstMachines[Nbre],LstMachines[Model-Spec],PrévisionBoris[[#This Row],[Spec]],LstMachines[Status],PrévisionBoris[[#This Row],[Status]],LstMachines[MoisLivr],H$1)</f>
        <v>0</v>
      </c>
      <c r="I317" s="207">
        <f>SUMIFS(LstMachines[Nbre],LstMachines[Model-Spec],PrévisionBoris[[#This Row],[Spec]],LstMachines[Status],PrévisionBoris[[#This Row],[Status]],LstMachines[MoisLivr],I$1)</f>
        <v>0</v>
      </c>
      <c r="J317" s="208">
        <f>SUMIFS(LstMachines[Nbre],LstMachines[Model-Spec],PrévisionBoris[[#This Row],[Spec]],LstMachines[Status],PrévisionBoris[[#This Row],[Status]],LstMachines[MoisLivr],J$1)</f>
        <v>0</v>
      </c>
      <c r="K317" s="206">
        <f>SUMIFS(LstMachines[Nbre],LstMachines[Model-Spec],PrévisionBoris[[#This Row],[Spec]],LstMachines[Status],PrévisionBoris[[#This Row],[Status]],LstMachines[MoisLivr],K$1)</f>
        <v>0</v>
      </c>
      <c r="L317" s="207">
        <f>SUMIFS(LstMachines[Nbre],LstMachines[Model-Spec],PrévisionBoris[[#This Row],[Spec]],LstMachines[Status],PrévisionBoris[[#This Row],[Status]],LstMachines[MoisLivr],L$1)</f>
        <v>0</v>
      </c>
      <c r="M317" s="208">
        <f>SUMIFS(LstMachines[Nbre],LstMachines[Model-Spec],PrévisionBoris[[#This Row],[Spec]],LstMachines[Status],PrévisionBoris[[#This Row],[Status]],LstMachines[MoisLivr],M$1)</f>
        <v>0</v>
      </c>
      <c r="N317" s="206">
        <f>SUMIFS(LstMachines[Nbre],LstMachines[Model-Spec],PrévisionBoris[[#This Row],[Spec]],LstMachines[Status],PrévisionBoris[[#This Row],[Status]],LstMachines[MoisLivr],N$1)</f>
        <v>0</v>
      </c>
      <c r="O317" s="207">
        <f>SUMIFS(LstMachines[Nbre],LstMachines[Model-Spec],PrévisionBoris[[#This Row],[Spec]],LstMachines[Status],PrévisionBoris[[#This Row],[Status]],LstMachines[MoisLivr],O$1)</f>
        <v>0</v>
      </c>
      <c r="P317" s="208">
        <f>SUMIFS(LstMachines[Nbre],LstMachines[Model-Spec],PrévisionBoris[[#This Row],[Spec]],LstMachines[Status],PrévisionBoris[[#This Row],[Status]],LstMachines[MoisLivr],P$1)</f>
        <v>0</v>
      </c>
      <c r="Q317" s="209">
        <f>SUMIFS(LstMachines[Nbre],LstMachines[Model-Spec],PrévisionBoris[[#This Row],[Spec]],LstMachines[Status],PrévisionBoris[[#This Row],[Status]],LstMachines[MoisLivr],Q$1)</f>
        <v>0</v>
      </c>
      <c r="R317" s="207">
        <f>SUMIFS(LstMachines[Nbre],LstMachines[Model-Spec],PrévisionBoris[[#This Row],[Spec]],LstMachines[Status],PrévisionBoris[[#This Row],[Status]],LstMachines[MoisLivr],R$1)</f>
        <v>0</v>
      </c>
      <c r="S317" s="207">
        <f>SUMIFS(LstMachines[Nbre],LstMachines[Model-Spec],PrévisionBoris[[#This Row],[Spec]],LstMachines[Status],PrévisionBoris[[#This Row],[Status]],LstMachines[MoisLivr],S$1)</f>
        <v>0</v>
      </c>
      <c r="T317" s="206">
        <f>SUMIFS(LstMachines[Nbre],LstMachines[Model-Spec],PrévisionBoris[[#This Row],[Spec]],LstMachines[Status],PrévisionBoris[[#This Row],[Status]],LstMachines[MoisLivr],T$1)</f>
        <v>0</v>
      </c>
      <c r="U317" s="207">
        <f>SUMIFS(LstMachines[Nbre],LstMachines[Model-Spec],PrévisionBoris[[#This Row],[Spec]],LstMachines[Status],PrévisionBoris[[#This Row],[Status]],LstMachines[MoisLivr],U$1)</f>
        <v>0</v>
      </c>
      <c r="V317" s="207">
        <f>SUMIFS(LstMachines[Nbre],LstMachines[Model-Spec],PrévisionBoris[[#This Row],[Spec]],LstMachines[Status],PrévisionBoris[[#This Row],[Status]],LstMachines[MoisLivr],V$1)</f>
        <v>0</v>
      </c>
      <c r="W317" s="206">
        <f>SUMIFS(LstMachines[Nbre],LstMachines[Model-Spec],PrévisionBoris[[#This Row],[Spec]],LstMachines[Status],PrévisionBoris[[#This Row],[Status]],LstMachines[MoisLivr],W$1)</f>
        <v>0</v>
      </c>
      <c r="X317" s="207">
        <f>SUMIFS(LstMachines[Nbre],LstMachines[Model-Spec],PrévisionBoris[[#This Row],[Spec]],LstMachines[Status],PrévisionBoris[[#This Row],[Status]],LstMachines[MoisLivr],X$1)</f>
        <v>0</v>
      </c>
      <c r="Y317" s="207">
        <f>SUMIFS(LstMachines[Nbre],LstMachines[Model-Spec],PrévisionBoris[[#This Row],[Spec]],LstMachines[Status],PrévisionBoris[[#This Row],[Status]],LstMachines[MoisLivr],Y$1)</f>
        <v>0</v>
      </c>
      <c r="Z317" s="206">
        <f>SUMIFS(LstMachines[Nbre],LstMachines[Model-Spec],PrévisionBoris[[#This Row],[Spec]],LstMachines[Status],PrévisionBoris[[#This Row],[Status]],LstMachines[MoisLivr],Z$1)</f>
        <v>0</v>
      </c>
      <c r="AA317" s="207">
        <f>SUMIFS(LstMachines[Nbre],LstMachines[Model-Spec],PrévisionBoris[[#This Row],[Spec]],LstMachines[Status],PrévisionBoris[[#This Row],[Status]],LstMachines[MoisLivr],AA$1)</f>
        <v>0</v>
      </c>
      <c r="AB317" s="207">
        <f>SUMIFS(LstMachines[Nbre],LstMachines[Model-Spec],PrévisionBoris[[#This Row],[Spec]],LstMachines[Status],PrévisionBoris[[#This Row],[Status]],LstMachines[MoisLivr],AB$1)</f>
        <v>0</v>
      </c>
      <c r="AC317" s="206">
        <f>SUMIFS(LstMachines[Nbre],LstMachines[Model-Spec],PrévisionBoris[[#This Row],[Spec]],LstMachines[Status],PrévisionBoris[[#This Row],[Status]],LstMachines[MoisLivr],AC$1)</f>
        <v>0</v>
      </c>
      <c r="AD317" s="207">
        <f>SUMIFS(LstMachines[Nbre],LstMachines[Model-Spec],PrévisionBoris[[#This Row],[Spec]],LstMachines[Status],PrévisionBoris[[#This Row],[Status]],LstMachines[MoisLivr],AD$1)</f>
        <v>0</v>
      </c>
      <c r="AE317" s="207">
        <f>SUMIFS(LstMachines[Nbre],LstMachines[Model-Spec],PrévisionBoris[[#This Row],[Spec]],LstMachines[Status],PrévisionBoris[[#This Row],[Status]],LstMachines[MoisLivr],AE$1)</f>
        <v>0</v>
      </c>
      <c r="AF317" s="206">
        <f>SUMIFS(LstMachines[Nbre],LstMachines[Model-Spec],PrévisionBoris[[#This Row],[Spec]],LstMachines[Status],PrévisionBoris[[#This Row],[Status]],LstMachines[MoisLivr],AF$1)</f>
        <v>0</v>
      </c>
      <c r="AG317" s="207">
        <f>SUMIFS(LstMachines[Nbre],LstMachines[Model-Spec],PrévisionBoris[[#This Row],[Spec]],LstMachines[Status],PrévisionBoris[[#This Row],[Status]],LstMachines[MoisLivr],AG$1)</f>
        <v>0</v>
      </c>
      <c r="AH317" s="207">
        <f>SUMIFS(LstMachines[Nbre],LstMachines[Model-Spec],PrévisionBoris[[#This Row],[Spec]],LstMachines[Status],PrévisionBoris[[#This Row],[Status]],LstMachines[MoisLivr],AH$1)</f>
        <v>0</v>
      </c>
      <c r="AI317" s="206">
        <f>SUMIFS(LstMachines[Nbre],LstMachines[Model-Spec],PrévisionBoris[[#This Row],[Spec]],LstMachines[Status],PrévisionBoris[[#This Row],[Status]],LstMachines[MoisLivr],AI$1)</f>
        <v>0</v>
      </c>
      <c r="AJ317" s="207">
        <f>SUMIFS(LstMachines[Nbre],LstMachines[Model-Spec],PrévisionBoris[[#This Row],[Spec]],LstMachines[Status],PrévisionBoris[[#This Row],[Status]],LstMachines[MoisLivr],AJ$1)</f>
        <v>0</v>
      </c>
      <c r="AK317" s="207">
        <f>SUMIFS(LstMachines[Nbre],LstMachines[Model-Spec],PrévisionBoris[[#This Row],[Spec]],LstMachines[Status],PrévisionBoris[[#This Row],[Status]],LstMachines[MoisLivr],AK$1)</f>
        <v>0</v>
      </c>
      <c r="AL317" s="206">
        <f>SUMIFS(LstMachines[Nbre],LstMachines[Model-Spec],PrévisionBoris[[#This Row],[Spec]],LstMachines[Status],PrévisionBoris[[#This Row],[Status]],LstMachines[MoisLivr],AL$1)</f>
        <v>0</v>
      </c>
      <c r="AM317" s="207">
        <f>SUMIFS(LstMachines[Nbre],LstMachines[Model-Spec],PrévisionBoris[[#This Row],[Spec]],LstMachines[Status],PrévisionBoris[[#This Row],[Status]],LstMachines[MoisLivr],AM$1)</f>
        <v>0</v>
      </c>
      <c r="AN317" s="207">
        <f>SUMIFS(LstMachines[Nbre],LstMachines[Model-Spec],PrévisionBoris[[#This Row],[Spec]],LstMachines[Status],PrévisionBoris[[#This Row],[Status]],LstMachines[MoisLivr],AN$1)</f>
        <v>0</v>
      </c>
      <c r="AO317" s="206">
        <f>SUMIFS(LstMachines[Nbre],LstMachines[Model-Spec],PrévisionBoris[[#This Row],[Spec]],LstMachines[Status],PrévisionBoris[[#This Row],[Status]],LstMachines[MoisLivr],AO$1)</f>
        <v>0</v>
      </c>
      <c r="AP317" s="207">
        <f>SUMIFS(LstMachines[Nbre],LstMachines[Model-Spec],PrévisionBoris[[#This Row],[Spec]],LstMachines[Status],PrévisionBoris[[#This Row],[Status]],LstMachines[MoisLivr],AP$1)</f>
        <v>0</v>
      </c>
      <c r="AQ317" s="207">
        <f>SUMIFS(LstMachines[Nbre],LstMachines[Model-Spec],PrévisionBoris[[#This Row],[Spec]],LstMachines[Status],PrévisionBoris[[#This Row],[Status]],LstMachines[MoisLivr],AQ$1)</f>
        <v>0</v>
      </c>
      <c r="AR317" s="206">
        <f>SUMIFS(LstMachines[Nbre],LstMachines[Model-Spec],PrévisionBoris[[#This Row],[Spec]],LstMachines[Status],PrévisionBoris[[#This Row],[Status]],LstMachines[MoisLivr],AR$1)</f>
        <v>0</v>
      </c>
      <c r="AS317" s="207">
        <f>SUMIFS(LstMachines[Nbre],LstMachines[Model-Spec],PrévisionBoris[[#This Row],[Spec]],LstMachines[Status],PrévisionBoris[[#This Row],[Status]],LstMachines[MoisLivr],AS$1)</f>
        <v>0</v>
      </c>
      <c r="AT317" s="207">
        <f>SUMIFS(LstMachines[Nbre],LstMachines[Model-Spec],PrévisionBoris[[#This Row],[Spec]],LstMachines[Status],PrévisionBoris[[#This Row],[Status]],LstMachines[MoisLivr],AT$1)</f>
        <v>0</v>
      </c>
      <c r="AU317" s="206">
        <f>SUMIFS(LstMachines[Nbre],LstMachines[Model-Spec],PrévisionBoris[[#This Row],[Spec]],LstMachines[Status],PrévisionBoris[[#This Row],[Status]],LstMachines[MoisLivr],AU$1)</f>
        <v>0</v>
      </c>
      <c r="AV317" s="233">
        <f>SUMIFS(LstMachines[Nbre],LstMachines[Model-Spec],PrévisionBoris[[#This Row],[Spec]],LstMachines[Status],PrévisionBoris[[#This Row],[Status]],LstMachines[MoisLivr],AV$1)</f>
        <v>0</v>
      </c>
      <c r="AW317" s="208">
        <f>SUMIFS(LstMachines[Nbre],LstMachines[Model-Spec],PrévisionBoris[[#This Row],[Spec]],LstMachines[Status],PrévisionBoris[[#This Row],[Status]],LstMachines[MoisLivr],AW$1)</f>
        <v>0</v>
      </c>
      <c r="AX317" s="225"/>
      <c r="AY317" s="211">
        <f t="shared" si="67"/>
        <v>0</v>
      </c>
      <c r="AZ317" s="212">
        <f t="shared" si="68"/>
        <v>0</v>
      </c>
      <c r="BA317" s="212">
        <f t="shared" si="69"/>
        <v>0</v>
      </c>
      <c r="BB317" s="213">
        <f t="shared" si="70"/>
        <v>0</v>
      </c>
      <c r="BC317" s="225">
        <f t="shared" si="71"/>
        <v>0</v>
      </c>
      <c r="BD317" s="211">
        <f t="shared" si="72"/>
        <v>0</v>
      </c>
      <c r="BE317" s="212">
        <f t="shared" si="73"/>
        <v>0</v>
      </c>
      <c r="BF317" s="212">
        <f t="shared" si="74"/>
        <v>0</v>
      </c>
      <c r="BG317" s="213">
        <f t="shared" si="75"/>
        <v>0</v>
      </c>
      <c r="BH317" s="225">
        <f t="shared" si="76"/>
        <v>0</v>
      </c>
      <c r="BI317" s="214">
        <f t="shared" si="77"/>
        <v>0</v>
      </c>
      <c r="BJ317" s="215">
        <f t="shared" si="78"/>
        <v>0</v>
      </c>
      <c r="BK317" s="215">
        <f t="shared" si="79"/>
        <v>0</v>
      </c>
      <c r="BL317" s="216">
        <f t="shared" si="80"/>
        <v>0</v>
      </c>
      <c r="BM317" s="225">
        <f t="shared" si="81"/>
        <v>0</v>
      </c>
      <c r="BN317" s="225"/>
      <c r="BO317" s="234"/>
      <c r="BP317" s="218">
        <f t="shared" si="82"/>
        <v>0</v>
      </c>
    </row>
    <row r="318" spans="1:68">
      <c r="A318" s="170">
        <v>311</v>
      </c>
      <c r="B318" s="170" t="s">
        <v>85</v>
      </c>
      <c r="C318" s="200">
        <v>530</v>
      </c>
      <c r="D318" s="170" t="s">
        <v>368</v>
      </c>
      <c r="E318" s="170" t="s">
        <v>370</v>
      </c>
      <c r="F318" s="200">
        <f>VLOOKUP(PrévisionBoris[[#This Row],[Spec]],TabModelSpecs[[ModelSpec]:[Price]],2,FALSE)</f>
        <v>290</v>
      </c>
      <c r="G318" s="170" t="s">
        <v>462</v>
      </c>
      <c r="H318" s="219">
        <f>SUMIFS(LstMachines[Nbre],LstMachines[Model-Spec],PrévisionBoris[[#This Row],[Spec]],LstMachines[Status],PrévisionBoris[[#This Row],[Status]],LstMachines[MoisLivr],H$1)</f>
        <v>0</v>
      </c>
      <c r="I318" s="220">
        <f>SUMIFS(LstMachines[Nbre],LstMachines[Model-Spec],PrévisionBoris[[#This Row],[Spec]],LstMachines[Status],PrévisionBoris[[#This Row],[Status]],LstMachines[MoisLivr],I$1)</f>
        <v>0</v>
      </c>
      <c r="J318" s="221">
        <f>SUMIFS(LstMachines[Nbre],LstMachines[Model-Spec],PrévisionBoris[[#This Row],[Spec]],LstMachines[Status],PrévisionBoris[[#This Row],[Status]],LstMachines[MoisLivr],J$1)</f>
        <v>0</v>
      </c>
      <c r="K318" s="219">
        <f>SUMIFS(LstMachines[Nbre],LstMachines[Model-Spec],PrévisionBoris[[#This Row],[Spec]],LstMachines[Status],PrévisionBoris[[#This Row],[Status]],LstMachines[MoisLivr],K$1)</f>
        <v>0</v>
      </c>
      <c r="L318" s="220">
        <f>SUMIFS(LstMachines[Nbre],LstMachines[Model-Spec],PrévisionBoris[[#This Row],[Spec]],LstMachines[Status],PrévisionBoris[[#This Row],[Status]],LstMachines[MoisLivr],L$1)</f>
        <v>0</v>
      </c>
      <c r="M318" s="221">
        <f>SUMIFS(LstMachines[Nbre],LstMachines[Model-Spec],PrévisionBoris[[#This Row],[Spec]],LstMachines[Status],PrévisionBoris[[#This Row],[Status]],LstMachines[MoisLivr],M$1)</f>
        <v>0</v>
      </c>
      <c r="N318" s="219">
        <f>SUMIFS(LstMachines[Nbre],LstMachines[Model-Spec],PrévisionBoris[[#This Row],[Spec]],LstMachines[Status],PrévisionBoris[[#This Row],[Status]],LstMachines[MoisLivr],N$1)</f>
        <v>0</v>
      </c>
      <c r="O318" s="220">
        <f>SUMIFS(LstMachines[Nbre],LstMachines[Model-Spec],PrévisionBoris[[#This Row],[Spec]],LstMachines[Status],PrévisionBoris[[#This Row],[Status]],LstMachines[MoisLivr],O$1)</f>
        <v>0</v>
      </c>
      <c r="P318" s="221">
        <f>SUMIFS(LstMachines[Nbre],LstMachines[Model-Spec],PrévisionBoris[[#This Row],[Spec]],LstMachines[Status],PrévisionBoris[[#This Row],[Status]],LstMachines[MoisLivr],P$1)</f>
        <v>0</v>
      </c>
      <c r="Q318" s="222">
        <f>SUMIFS(LstMachines[Nbre],LstMachines[Model-Spec],PrévisionBoris[[#This Row],[Spec]],LstMachines[Status],PrévisionBoris[[#This Row],[Status]],LstMachines[MoisLivr],Q$1)</f>
        <v>0</v>
      </c>
      <c r="R318" s="220">
        <f>SUMIFS(LstMachines[Nbre],LstMachines[Model-Spec],PrévisionBoris[[#This Row],[Spec]],LstMachines[Status],PrévisionBoris[[#This Row],[Status]],LstMachines[MoisLivr],R$1)</f>
        <v>0</v>
      </c>
      <c r="S318" s="220">
        <f>SUMIFS(LstMachines[Nbre],LstMachines[Model-Spec],PrévisionBoris[[#This Row],[Spec]],LstMachines[Status],PrévisionBoris[[#This Row],[Status]],LstMachines[MoisLivr],S$1)</f>
        <v>0</v>
      </c>
      <c r="T318" s="219">
        <f>SUMIFS(LstMachines[Nbre],LstMachines[Model-Spec],PrévisionBoris[[#This Row],[Spec]],LstMachines[Status],PrévisionBoris[[#This Row],[Status]],LstMachines[MoisLivr],T$1)</f>
        <v>0</v>
      </c>
      <c r="U318" s="220">
        <f>SUMIFS(LstMachines[Nbre],LstMachines[Model-Spec],PrévisionBoris[[#This Row],[Spec]],LstMachines[Status],PrévisionBoris[[#This Row],[Status]],LstMachines[MoisLivr],U$1)</f>
        <v>0</v>
      </c>
      <c r="V318" s="220">
        <f>SUMIFS(LstMachines[Nbre],LstMachines[Model-Spec],PrévisionBoris[[#This Row],[Spec]],LstMachines[Status],PrévisionBoris[[#This Row],[Status]],LstMachines[MoisLivr],V$1)</f>
        <v>0</v>
      </c>
      <c r="W318" s="219">
        <f>SUMIFS(LstMachines[Nbre],LstMachines[Model-Spec],PrévisionBoris[[#This Row],[Spec]],LstMachines[Status],PrévisionBoris[[#This Row],[Status]],LstMachines[MoisLivr],W$1)</f>
        <v>0</v>
      </c>
      <c r="X318" s="220">
        <f>SUMIFS(LstMachines[Nbre],LstMachines[Model-Spec],PrévisionBoris[[#This Row],[Spec]],LstMachines[Status],PrévisionBoris[[#This Row],[Status]],LstMachines[MoisLivr],X$1)</f>
        <v>0</v>
      </c>
      <c r="Y318" s="220">
        <f>SUMIFS(LstMachines[Nbre],LstMachines[Model-Spec],PrévisionBoris[[#This Row],[Spec]],LstMachines[Status],PrévisionBoris[[#This Row],[Status]],LstMachines[MoisLivr],Y$1)</f>
        <v>0</v>
      </c>
      <c r="Z318" s="219">
        <f>SUMIFS(LstMachines[Nbre],LstMachines[Model-Spec],PrévisionBoris[[#This Row],[Spec]],LstMachines[Status],PrévisionBoris[[#This Row],[Status]],LstMachines[MoisLivr],Z$1)</f>
        <v>0</v>
      </c>
      <c r="AA318" s="220">
        <f>SUMIFS(LstMachines[Nbre],LstMachines[Model-Spec],PrévisionBoris[[#This Row],[Spec]],LstMachines[Status],PrévisionBoris[[#This Row],[Status]],LstMachines[MoisLivr],AA$1)</f>
        <v>0</v>
      </c>
      <c r="AB318" s="220">
        <f>SUMIFS(LstMachines[Nbre],LstMachines[Model-Spec],PrévisionBoris[[#This Row],[Spec]],LstMachines[Status],PrévisionBoris[[#This Row],[Status]],LstMachines[MoisLivr],AB$1)</f>
        <v>0</v>
      </c>
      <c r="AC318" s="219">
        <f>SUMIFS(LstMachines[Nbre],LstMachines[Model-Spec],PrévisionBoris[[#This Row],[Spec]],LstMachines[Status],PrévisionBoris[[#This Row],[Status]],LstMachines[MoisLivr],AC$1)</f>
        <v>0</v>
      </c>
      <c r="AD318" s="220">
        <f>SUMIFS(LstMachines[Nbre],LstMachines[Model-Spec],PrévisionBoris[[#This Row],[Spec]],LstMachines[Status],PrévisionBoris[[#This Row],[Status]],LstMachines[MoisLivr],AD$1)</f>
        <v>0</v>
      </c>
      <c r="AE318" s="220">
        <f>SUMIFS(LstMachines[Nbre],LstMachines[Model-Spec],PrévisionBoris[[#This Row],[Spec]],LstMachines[Status],PrévisionBoris[[#This Row],[Status]],LstMachines[MoisLivr],AE$1)</f>
        <v>0</v>
      </c>
      <c r="AF318" s="219">
        <f>SUMIFS(LstMachines[Nbre],LstMachines[Model-Spec],PrévisionBoris[[#This Row],[Spec]],LstMachines[Status],PrévisionBoris[[#This Row],[Status]],LstMachines[MoisLivr],AF$1)</f>
        <v>0</v>
      </c>
      <c r="AG318" s="220">
        <f>SUMIFS(LstMachines[Nbre],LstMachines[Model-Spec],PrévisionBoris[[#This Row],[Spec]],LstMachines[Status],PrévisionBoris[[#This Row],[Status]],LstMachines[MoisLivr],AG$1)</f>
        <v>0</v>
      </c>
      <c r="AH318" s="220">
        <f>SUMIFS(LstMachines[Nbre],LstMachines[Model-Spec],PrévisionBoris[[#This Row],[Spec]],LstMachines[Status],PrévisionBoris[[#This Row],[Status]],LstMachines[MoisLivr],AH$1)</f>
        <v>0</v>
      </c>
      <c r="AI318" s="219">
        <f>SUMIFS(LstMachines[Nbre],LstMachines[Model-Spec],PrévisionBoris[[#This Row],[Spec]],LstMachines[Status],PrévisionBoris[[#This Row],[Status]],LstMachines[MoisLivr],AI$1)</f>
        <v>0</v>
      </c>
      <c r="AJ318" s="220">
        <f>SUMIFS(LstMachines[Nbre],LstMachines[Model-Spec],PrévisionBoris[[#This Row],[Spec]],LstMachines[Status],PrévisionBoris[[#This Row],[Status]],LstMachines[MoisLivr],AJ$1)</f>
        <v>0</v>
      </c>
      <c r="AK318" s="220">
        <f>SUMIFS(LstMachines[Nbre],LstMachines[Model-Spec],PrévisionBoris[[#This Row],[Spec]],LstMachines[Status],PrévisionBoris[[#This Row],[Status]],LstMachines[MoisLivr],AK$1)</f>
        <v>0</v>
      </c>
      <c r="AL318" s="219">
        <f>SUMIFS(LstMachines[Nbre],LstMachines[Model-Spec],PrévisionBoris[[#This Row],[Spec]],LstMachines[Status],PrévisionBoris[[#This Row],[Status]],LstMachines[MoisLivr],AL$1)</f>
        <v>0</v>
      </c>
      <c r="AM318" s="220">
        <f>SUMIFS(LstMachines[Nbre],LstMachines[Model-Spec],PrévisionBoris[[#This Row],[Spec]],LstMachines[Status],PrévisionBoris[[#This Row],[Status]],LstMachines[MoisLivr],AM$1)</f>
        <v>0</v>
      </c>
      <c r="AN318" s="220">
        <f>SUMIFS(LstMachines[Nbre],LstMachines[Model-Spec],PrévisionBoris[[#This Row],[Spec]],LstMachines[Status],PrévisionBoris[[#This Row],[Status]],LstMachines[MoisLivr],AN$1)</f>
        <v>0</v>
      </c>
      <c r="AO318" s="219">
        <f>SUMIFS(LstMachines[Nbre],LstMachines[Model-Spec],PrévisionBoris[[#This Row],[Spec]],LstMachines[Status],PrévisionBoris[[#This Row],[Status]],LstMachines[MoisLivr],AO$1)</f>
        <v>0</v>
      </c>
      <c r="AP318" s="220">
        <f>SUMIFS(LstMachines[Nbre],LstMachines[Model-Spec],PrévisionBoris[[#This Row],[Spec]],LstMachines[Status],PrévisionBoris[[#This Row],[Status]],LstMachines[MoisLivr],AP$1)</f>
        <v>0</v>
      </c>
      <c r="AQ318" s="220">
        <f>SUMIFS(LstMachines[Nbre],LstMachines[Model-Spec],PrévisionBoris[[#This Row],[Spec]],LstMachines[Status],PrévisionBoris[[#This Row],[Status]],LstMachines[MoisLivr],AQ$1)</f>
        <v>0</v>
      </c>
      <c r="AR318" s="219">
        <f>SUMIFS(LstMachines[Nbre],LstMachines[Model-Spec],PrévisionBoris[[#This Row],[Spec]],LstMachines[Status],PrévisionBoris[[#This Row],[Status]],LstMachines[MoisLivr],AR$1)</f>
        <v>0</v>
      </c>
      <c r="AS318" s="220">
        <f>SUMIFS(LstMachines[Nbre],LstMachines[Model-Spec],PrévisionBoris[[#This Row],[Spec]],LstMachines[Status],PrévisionBoris[[#This Row],[Status]],LstMachines[MoisLivr],AS$1)</f>
        <v>0</v>
      </c>
      <c r="AT318" s="220">
        <f>SUMIFS(LstMachines[Nbre],LstMachines[Model-Spec],PrévisionBoris[[#This Row],[Spec]],LstMachines[Status],PrévisionBoris[[#This Row],[Status]],LstMachines[MoisLivr],AT$1)</f>
        <v>0</v>
      </c>
      <c r="AU318" s="219">
        <f>SUMIFS(LstMachines[Nbre],LstMachines[Model-Spec],PrévisionBoris[[#This Row],[Spec]],LstMachines[Status],PrévisionBoris[[#This Row],[Status]],LstMachines[MoisLivr],AU$1)</f>
        <v>0</v>
      </c>
      <c r="AV318" s="223">
        <f>SUMIFS(LstMachines[Nbre],LstMachines[Model-Spec],PrévisionBoris[[#This Row],[Spec]],LstMachines[Status],PrévisionBoris[[#This Row],[Status]],LstMachines[MoisLivr],AV$1)</f>
        <v>0</v>
      </c>
      <c r="AW318" s="224">
        <f>SUMIFS(LstMachines[Nbre],LstMachines[Model-Spec],PrévisionBoris[[#This Row],[Spec]],LstMachines[Status],PrévisionBoris[[#This Row],[Status]],LstMachines[MoisLivr],AW$1)</f>
        <v>0</v>
      </c>
      <c r="AX318" s="210"/>
      <c r="AY318" s="211">
        <f t="shared" si="67"/>
        <v>0</v>
      </c>
      <c r="AZ318" s="212">
        <f t="shared" si="68"/>
        <v>0</v>
      </c>
      <c r="BA318" s="212">
        <f t="shared" si="69"/>
        <v>0</v>
      </c>
      <c r="BB318" s="213">
        <f t="shared" si="70"/>
        <v>0</v>
      </c>
      <c r="BC318" s="225">
        <f t="shared" si="71"/>
        <v>0</v>
      </c>
      <c r="BD318" s="211">
        <f t="shared" si="72"/>
        <v>0</v>
      </c>
      <c r="BE318" s="212">
        <f t="shared" si="73"/>
        <v>0</v>
      </c>
      <c r="BF318" s="212">
        <f t="shared" si="74"/>
        <v>0</v>
      </c>
      <c r="BG318" s="213">
        <f t="shared" si="75"/>
        <v>0</v>
      </c>
      <c r="BH318" s="225">
        <f t="shared" si="76"/>
        <v>0</v>
      </c>
      <c r="BI318" s="214">
        <f t="shared" si="77"/>
        <v>0</v>
      </c>
      <c r="BJ318" s="215">
        <f t="shared" si="78"/>
        <v>0</v>
      </c>
      <c r="BK318" s="215">
        <f t="shared" si="79"/>
        <v>0</v>
      </c>
      <c r="BL318" s="216">
        <f t="shared" si="80"/>
        <v>0</v>
      </c>
      <c r="BM318" s="225">
        <f t="shared" si="81"/>
        <v>0</v>
      </c>
      <c r="BN318" s="225"/>
      <c r="BO318" s="217"/>
      <c r="BP318" s="218">
        <f t="shared" si="82"/>
        <v>0</v>
      </c>
    </row>
    <row r="319" spans="1:68">
      <c r="A319" s="171">
        <v>312</v>
      </c>
      <c r="B319" s="171" t="s">
        <v>85</v>
      </c>
      <c r="C319" s="201">
        <v>530</v>
      </c>
      <c r="D319" s="171" t="s">
        <v>368</v>
      </c>
      <c r="E319" s="171" t="s">
        <v>370</v>
      </c>
      <c r="F319" s="201">
        <f>VLOOKUP(PrévisionBoris[[#This Row],[Spec]],TabModelSpecs[[ModelSpec]:[Price]],2,FALSE)</f>
        <v>290</v>
      </c>
      <c r="G319" s="171" t="s">
        <v>463</v>
      </c>
      <c r="H319" s="226">
        <f>SUMIFS(LstMachines[Nbre],LstMachines[Model-Spec],PrévisionBoris[[#This Row],[Spec]],LstMachines[Status],PrévisionBoris[[#This Row],[Status]],LstMachines[MoisLivr],H$1)</f>
        <v>0</v>
      </c>
      <c r="I319" s="227">
        <f>SUMIFS(LstMachines[Nbre],LstMachines[Model-Spec],PrévisionBoris[[#This Row],[Spec]],LstMachines[Status],PrévisionBoris[[#This Row],[Status]],LstMachines[MoisLivr],I$1)</f>
        <v>0</v>
      </c>
      <c r="J319" s="228">
        <f>SUMIFS(LstMachines[Nbre],LstMachines[Model-Spec],PrévisionBoris[[#This Row],[Spec]],LstMachines[Status],PrévisionBoris[[#This Row],[Status]],LstMachines[MoisLivr],J$1)</f>
        <v>0</v>
      </c>
      <c r="K319" s="226">
        <f>SUMIFS(LstMachines[Nbre],LstMachines[Model-Spec],PrévisionBoris[[#This Row],[Spec]],LstMachines[Status],PrévisionBoris[[#This Row],[Status]],LstMachines[MoisLivr],K$1)</f>
        <v>0</v>
      </c>
      <c r="L319" s="227">
        <f>SUMIFS(LstMachines[Nbre],LstMachines[Model-Spec],PrévisionBoris[[#This Row],[Spec]],LstMachines[Status],PrévisionBoris[[#This Row],[Status]],LstMachines[MoisLivr],L$1)</f>
        <v>0</v>
      </c>
      <c r="M319" s="228">
        <f>SUMIFS(LstMachines[Nbre],LstMachines[Model-Spec],PrévisionBoris[[#This Row],[Spec]],LstMachines[Status],PrévisionBoris[[#This Row],[Status]],LstMachines[MoisLivr],M$1)</f>
        <v>0</v>
      </c>
      <c r="N319" s="226">
        <f>SUMIFS(LstMachines[Nbre],LstMachines[Model-Spec],PrévisionBoris[[#This Row],[Spec]],LstMachines[Status],PrévisionBoris[[#This Row],[Status]],LstMachines[MoisLivr],N$1)</f>
        <v>1</v>
      </c>
      <c r="O319" s="227">
        <f>SUMIFS(LstMachines[Nbre],LstMachines[Model-Spec],PrévisionBoris[[#This Row],[Spec]],LstMachines[Status],PrévisionBoris[[#This Row],[Status]],LstMachines[MoisLivr],O$1)</f>
        <v>0</v>
      </c>
      <c r="P319" s="228">
        <f>SUMIFS(LstMachines[Nbre],LstMachines[Model-Spec],PrévisionBoris[[#This Row],[Spec]],LstMachines[Status],PrévisionBoris[[#This Row],[Status]],LstMachines[MoisLivr],P$1)</f>
        <v>0</v>
      </c>
      <c r="Q319" s="229">
        <f>SUMIFS(LstMachines[Nbre],LstMachines[Model-Spec],PrévisionBoris[[#This Row],[Spec]],LstMachines[Status],PrévisionBoris[[#This Row],[Status]],LstMachines[MoisLivr],Q$1)</f>
        <v>0</v>
      </c>
      <c r="R319" s="227">
        <f>SUMIFS(LstMachines[Nbre],LstMachines[Model-Spec],PrévisionBoris[[#This Row],[Spec]],LstMachines[Status],PrévisionBoris[[#This Row],[Status]],LstMachines[MoisLivr],R$1)</f>
        <v>0</v>
      </c>
      <c r="S319" s="227">
        <f>SUMIFS(LstMachines[Nbre],LstMachines[Model-Spec],PrévisionBoris[[#This Row],[Spec]],LstMachines[Status],PrévisionBoris[[#This Row],[Status]],LstMachines[MoisLivr],S$1)</f>
        <v>0</v>
      </c>
      <c r="T319" s="226">
        <f>SUMIFS(LstMachines[Nbre],LstMachines[Model-Spec],PrévisionBoris[[#This Row],[Spec]],LstMachines[Status],PrévisionBoris[[#This Row],[Status]],LstMachines[MoisLivr],T$1)</f>
        <v>0</v>
      </c>
      <c r="U319" s="227">
        <f>SUMIFS(LstMachines[Nbre],LstMachines[Model-Spec],PrévisionBoris[[#This Row],[Spec]],LstMachines[Status],PrévisionBoris[[#This Row],[Status]],LstMachines[MoisLivr],U$1)</f>
        <v>0</v>
      </c>
      <c r="V319" s="227">
        <f>SUMIFS(LstMachines[Nbre],LstMachines[Model-Spec],PrévisionBoris[[#This Row],[Spec]],LstMachines[Status],PrévisionBoris[[#This Row],[Status]],LstMachines[MoisLivr],V$1)</f>
        <v>0</v>
      </c>
      <c r="W319" s="226">
        <f>SUMIFS(LstMachines[Nbre],LstMachines[Model-Spec],PrévisionBoris[[#This Row],[Spec]],LstMachines[Status],PrévisionBoris[[#This Row],[Status]],LstMachines[MoisLivr],W$1)</f>
        <v>0</v>
      </c>
      <c r="X319" s="227">
        <f>SUMIFS(LstMachines[Nbre],LstMachines[Model-Spec],PrévisionBoris[[#This Row],[Spec]],LstMachines[Status],PrévisionBoris[[#This Row],[Status]],LstMachines[MoisLivr],X$1)</f>
        <v>0</v>
      </c>
      <c r="Y319" s="227">
        <f>SUMIFS(LstMachines[Nbre],LstMachines[Model-Spec],PrévisionBoris[[#This Row],[Spec]],LstMachines[Status],PrévisionBoris[[#This Row],[Status]],LstMachines[MoisLivr],Y$1)</f>
        <v>0</v>
      </c>
      <c r="Z319" s="226">
        <f>SUMIFS(LstMachines[Nbre],LstMachines[Model-Spec],PrévisionBoris[[#This Row],[Spec]],LstMachines[Status],PrévisionBoris[[#This Row],[Status]],LstMachines[MoisLivr],Z$1)</f>
        <v>0</v>
      </c>
      <c r="AA319" s="227">
        <f>SUMIFS(LstMachines[Nbre],LstMachines[Model-Spec],PrévisionBoris[[#This Row],[Spec]],LstMachines[Status],PrévisionBoris[[#This Row],[Status]],LstMachines[MoisLivr],AA$1)</f>
        <v>0</v>
      </c>
      <c r="AB319" s="227">
        <f>SUMIFS(LstMachines[Nbre],LstMachines[Model-Spec],PrévisionBoris[[#This Row],[Spec]],LstMachines[Status],PrévisionBoris[[#This Row],[Status]],LstMachines[MoisLivr],AB$1)</f>
        <v>0</v>
      </c>
      <c r="AC319" s="226">
        <f>SUMIFS(LstMachines[Nbre],LstMachines[Model-Spec],PrévisionBoris[[#This Row],[Spec]],LstMachines[Status],PrévisionBoris[[#This Row],[Status]],LstMachines[MoisLivr],AC$1)</f>
        <v>0</v>
      </c>
      <c r="AD319" s="227">
        <f>SUMIFS(LstMachines[Nbre],LstMachines[Model-Spec],PrévisionBoris[[#This Row],[Spec]],LstMachines[Status],PrévisionBoris[[#This Row],[Status]],LstMachines[MoisLivr],AD$1)</f>
        <v>0</v>
      </c>
      <c r="AE319" s="227">
        <f>SUMIFS(LstMachines[Nbre],LstMachines[Model-Spec],PrévisionBoris[[#This Row],[Spec]],LstMachines[Status],PrévisionBoris[[#This Row],[Status]],LstMachines[MoisLivr],AE$1)</f>
        <v>0</v>
      </c>
      <c r="AF319" s="226">
        <f>SUMIFS(LstMachines[Nbre],LstMachines[Model-Spec],PrévisionBoris[[#This Row],[Spec]],LstMachines[Status],PrévisionBoris[[#This Row],[Status]],LstMachines[MoisLivr],AF$1)</f>
        <v>0</v>
      </c>
      <c r="AG319" s="227">
        <f>SUMIFS(LstMachines[Nbre],LstMachines[Model-Spec],PrévisionBoris[[#This Row],[Spec]],LstMachines[Status],PrévisionBoris[[#This Row],[Status]],LstMachines[MoisLivr],AG$1)</f>
        <v>0</v>
      </c>
      <c r="AH319" s="227">
        <f>SUMIFS(LstMachines[Nbre],LstMachines[Model-Spec],PrévisionBoris[[#This Row],[Spec]],LstMachines[Status],PrévisionBoris[[#This Row],[Status]],LstMachines[MoisLivr],AH$1)</f>
        <v>0</v>
      </c>
      <c r="AI319" s="226">
        <f>SUMIFS(LstMachines[Nbre],LstMachines[Model-Spec],PrévisionBoris[[#This Row],[Spec]],LstMachines[Status],PrévisionBoris[[#This Row],[Status]],LstMachines[MoisLivr],AI$1)</f>
        <v>0</v>
      </c>
      <c r="AJ319" s="227">
        <f>SUMIFS(LstMachines[Nbre],LstMachines[Model-Spec],PrévisionBoris[[#This Row],[Spec]],LstMachines[Status],PrévisionBoris[[#This Row],[Status]],LstMachines[MoisLivr],AJ$1)</f>
        <v>0</v>
      </c>
      <c r="AK319" s="227">
        <f>SUMIFS(LstMachines[Nbre],LstMachines[Model-Spec],PrévisionBoris[[#This Row],[Spec]],LstMachines[Status],PrévisionBoris[[#This Row],[Status]],LstMachines[MoisLivr],AK$1)</f>
        <v>0</v>
      </c>
      <c r="AL319" s="226">
        <f>SUMIFS(LstMachines[Nbre],LstMachines[Model-Spec],PrévisionBoris[[#This Row],[Spec]],LstMachines[Status],PrévisionBoris[[#This Row],[Status]],LstMachines[MoisLivr],AL$1)</f>
        <v>0</v>
      </c>
      <c r="AM319" s="227">
        <f>SUMIFS(LstMachines[Nbre],LstMachines[Model-Spec],PrévisionBoris[[#This Row],[Spec]],LstMachines[Status],PrévisionBoris[[#This Row],[Status]],LstMachines[MoisLivr],AM$1)</f>
        <v>0</v>
      </c>
      <c r="AN319" s="227">
        <f>SUMIFS(LstMachines[Nbre],LstMachines[Model-Spec],PrévisionBoris[[#This Row],[Spec]],LstMachines[Status],PrévisionBoris[[#This Row],[Status]],LstMachines[MoisLivr],AN$1)</f>
        <v>0</v>
      </c>
      <c r="AO319" s="226">
        <f>SUMIFS(LstMachines[Nbre],LstMachines[Model-Spec],PrévisionBoris[[#This Row],[Spec]],LstMachines[Status],PrévisionBoris[[#This Row],[Status]],LstMachines[MoisLivr],AO$1)</f>
        <v>0</v>
      </c>
      <c r="AP319" s="227">
        <f>SUMIFS(LstMachines[Nbre],LstMachines[Model-Spec],PrévisionBoris[[#This Row],[Spec]],LstMachines[Status],PrévisionBoris[[#This Row],[Status]],LstMachines[MoisLivr],AP$1)</f>
        <v>0</v>
      </c>
      <c r="AQ319" s="227">
        <f>SUMIFS(LstMachines[Nbre],LstMachines[Model-Spec],PrévisionBoris[[#This Row],[Spec]],LstMachines[Status],PrévisionBoris[[#This Row],[Status]],LstMachines[MoisLivr],AQ$1)</f>
        <v>0</v>
      </c>
      <c r="AR319" s="226">
        <f>SUMIFS(LstMachines[Nbre],LstMachines[Model-Spec],PrévisionBoris[[#This Row],[Spec]],LstMachines[Status],PrévisionBoris[[#This Row],[Status]],LstMachines[MoisLivr],AR$1)</f>
        <v>0</v>
      </c>
      <c r="AS319" s="227">
        <f>SUMIFS(LstMachines[Nbre],LstMachines[Model-Spec],PrévisionBoris[[#This Row],[Spec]],LstMachines[Status],PrévisionBoris[[#This Row],[Status]],LstMachines[MoisLivr],AS$1)</f>
        <v>0</v>
      </c>
      <c r="AT319" s="227">
        <f>SUMIFS(LstMachines[Nbre],LstMachines[Model-Spec],PrévisionBoris[[#This Row],[Spec]],LstMachines[Status],PrévisionBoris[[#This Row],[Status]],LstMachines[MoisLivr],AT$1)</f>
        <v>0</v>
      </c>
      <c r="AU319" s="226">
        <f>SUMIFS(LstMachines[Nbre],LstMachines[Model-Spec],PrévisionBoris[[#This Row],[Spec]],LstMachines[Status],PrévisionBoris[[#This Row],[Status]],LstMachines[MoisLivr],AU$1)</f>
        <v>0</v>
      </c>
      <c r="AV319" s="230">
        <f>SUMIFS(LstMachines[Nbre],LstMachines[Model-Spec],PrévisionBoris[[#This Row],[Spec]],LstMachines[Status],PrévisionBoris[[#This Row],[Status]],LstMachines[MoisLivr],AV$1)</f>
        <v>0</v>
      </c>
      <c r="AW319" s="231">
        <f>SUMIFS(LstMachines[Nbre],LstMachines[Model-Spec],PrévisionBoris[[#This Row],[Spec]],LstMachines[Status],PrévisionBoris[[#This Row],[Status]],LstMachines[MoisLivr],AW$1)</f>
        <v>0</v>
      </c>
      <c r="AX319" s="232"/>
      <c r="AY319" s="211">
        <f t="shared" si="67"/>
        <v>0</v>
      </c>
      <c r="AZ319" s="212">
        <f t="shared" si="68"/>
        <v>1</v>
      </c>
      <c r="BA319" s="212">
        <f t="shared" si="69"/>
        <v>0</v>
      </c>
      <c r="BB319" s="213">
        <f t="shared" si="70"/>
        <v>0</v>
      </c>
      <c r="BC319" s="225">
        <f t="shared" si="71"/>
        <v>1</v>
      </c>
      <c r="BD319" s="211">
        <f t="shared" si="72"/>
        <v>0</v>
      </c>
      <c r="BE319" s="212">
        <f t="shared" si="73"/>
        <v>0</v>
      </c>
      <c r="BF319" s="212">
        <f t="shared" si="74"/>
        <v>0</v>
      </c>
      <c r="BG319" s="213">
        <f t="shared" si="75"/>
        <v>0</v>
      </c>
      <c r="BH319" s="225">
        <f t="shared" si="76"/>
        <v>0</v>
      </c>
      <c r="BI319" s="214">
        <f t="shared" si="77"/>
        <v>0</v>
      </c>
      <c r="BJ319" s="215">
        <f t="shared" si="78"/>
        <v>0</v>
      </c>
      <c r="BK319" s="215">
        <f t="shared" si="79"/>
        <v>0</v>
      </c>
      <c r="BL319" s="216">
        <f t="shared" si="80"/>
        <v>0</v>
      </c>
      <c r="BM319" s="225">
        <f t="shared" si="81"/>
        <v>0</v>
      </c>
      <c r="BN319" s="225"/>
      <c r="BO319" s="217"/>
      <c r="BP319" s="218">
        <f t="shared" si="82"/>
        <v>1</v>
      </c>
    </row>
    <row r="320" spans="1:68">
      <c r="A320" s="172">
        <v>313</v>
      </c>
      <c r="B320" s="172" t="s">
        <v>223</v>
      </c>
      <c r="C320" s="202">
        <v>140</v>
      </c>
      <c r="D320" s="172" t="s">
        <v>224</v>
      </c>
      <c r="E320" s="172" t="s">
        <v>225</v>
      </c>
      <c r="F320" s="202">
        <f>VLOOKUP(PrévisionBoris[[#This Row],[Spec]],TabModelSpecs[[ModelSpec]:[Price]],2,FALSE)</f>
        <v>115</v>
      </c>
      <c r="G320" s="172" t="s">
        <v>461</v>
      </c>
      <c r="H320" s="206">
        <f>SUMIFS(LstMachines[Nbre],LstMachines[Model-Spec],PrévisionBoris[[#This Row],[Spec]],LstMachines[Status],PrévisionBoris[[#This Row],[Status]],LstMachines[MoisLivr],H$1)</f>
        <v>0</v>
      </c>
      <c r="I320" s="207">
        <f>SUMIFS(LstMachines[Nbre],LstMachines[Model-Spec],PrévisionBoris[[#This Row],[Spec]],LstMachines[Status],PrévisionBoris[[#This Row],[Status]],LstMachines[MoisLivr],I$1)</f>
        <v>0</v>
      </c>
      <c r="J320" s="208">
        <f>SUMIFS(LstMachines[Nbre],LstMachines[Model-Spec],PrévisionBoris[[#This Row],[Spec]],LstMachines[Status],PrévisionBoris[[#This Row],[Status]],LstMachines[MoisLivr],J$1)</f>
        <v>0</v>
      </c>
      <c r="K320" s="206">
        <f>SUMIFS(LstMachines[Nbre],LstMachines[Model-Spec],PrévisionBoris[[#This Row],[Spec]],LstMachines[Status],PrévisionBoris[[#This Row],[Status]],LstMachines[MoisLivr],K$1)</f>
        <v>0</v>
      </c>
      <c r="L320" s="207">
        <f>SUMIFS(LstMachines[Nbre],LstMachines[Model-Spec],PrévisionBoris[[#This Row],[Spec]],LstMachines[Status],PrévisionBoris[[#This Row],[Status]],LstMachines[MoisLivr],L$1)</f>
        <v>0</v>
      </c>
      <c r="M320" s="208">
        <f>SUMIFS(LstMachines[Nbre],LstMachines[Model-Spec],PrévisionBoris[[#This Row],[Spec]],LstMachines[Status],PrévisionBoris[[#This Row],[Status]],LstMachines[MoisLivr],M$1)</f>
        <v>0</v>
      </c>
      <c r="N320" s="206">
        <f>SUMIFS(LstMachines[Nbre],LstMachines[Model-Spec],PrévisionBoris[[#This Row],[Spec]],LstMachines[Status],PrévisionBoris[[#This Row],[Status]],LstMachines[MoisLivr],N$1)</f>
        <v>0</v>
      </c>
      <c r="O320" s="207">
        <f>SUMIFS(LstMachines[Nbre],LstMachines[Model-Spec],PrévisionBoris[[#This Row],[Spec]],LstMachines[Status],PrévisionBoris[[#This Row],[Status]],LstMachines[MoisLivr],O$1)</f>
        <v>0</v>
      </c>
      <c r="P320" s="208">
        <f>SUMIFS(LstMachines[Nbre],LstMachines[Model-Spec],PrévisionBoris[[#This Row],[Spec]],LstMachines[Status],PrévisionBoris[[#This Row],[Status]],LstMachines[MoisLivr],P$1)</f>
        <v>0</v>
      </c>
      <c r="Q320" s="209">
        <f>SUMIFS(LstMachines[Nbre],LstMachines[Model-Spec],PrévisionBoris[[#This Row],[Spec]],LstMachines[Status],PrévisionBoris[[#This Row],[Status]],LstMachines[MoisLivr],Q$1)</f>
        <v>0</v>
      </c>
      <c r="R320" s="207">
        <f>SUMIFS(LstMachines[Nbre],LstMachines[Model-Spec],PrévisionBoris[[#This Row],[Spec]],LstMachines[Status],PrévisionBoris[[#This Row],[Status]],LstMachines[MoisLivr],R$1)</f>
        <v>0</v>
      </c>
      <c r="S320" s="207">
        <f>SUMIFS(LstMachines[Nbre],LstMachines[Model-Spec],PrévisionBoris[[#This Row],[Spec]],LstMachines[Status],PrévisionBoris[[#This Row],[Status]],LstMachines[MoisLivr],S$1)</f>
        <v>0</v>
      </c>
      <c r="T320" s="206">
        <f>SUMIFS(LstMachines[Nbre],LstMachines[Model-Spec],PrévisionBoris[[#This Row],[Spec]],LstMachines[Status],PrévisionBoris[[#This Row],[Status]],LstMachines[MoisLivr],T$1)</f>
        <v>0</v>
      </c>
      <c r="U320" s="207">
        <f>SUMIFS(LstMachines[Nbre],LstMachines[Model-Spec],PrévisionBoris[[#This Row],[Spec]],LstMachines[Status],PrévisionBoris[[#This Row],[Status]],LstMachines[MoisLivr],U$1)</f>
        <v>0</v>
      </c>
      <c r="V320" s="207">
        <f>SUMIFS(LstMachines[Nbre],LstMachines[Model-Spec],PrévisionBoris[[#This Row],[Spec]],LstMachines[Status],PrévisionBoris[[#This Row],[Status]],LstMachines[MoisLivr],V$1)</f>
        <v>0</v>
      </c>
      <c r="W320" s="206">
        <f>SUMIFS(LstMachines[Nbre],LstMachines[Model-Spec],PrévisionBoris[[#This Row],[Spec]],LstMachines[Status],PrévisionBoris[[#This Row],[Status]],LstMachines[MoisLivr],W$1)</f>
        <v>0</v>
      </c>
      <c r="X320" s="207">
        <f>SUMIFS(LstMachines[Nbre],LstMachines[Model-Spec],PrévisionBoris[[#This Row],[Spec]],LstMachines[Status],PrévisionBoris[[#This Row],[Status]],LstMachines[MoisLivr],X$1)</f>
        <v>0</v>
      </c>
      <c r="Y320" s="207">
        <f>SUMIFS(LstMachines[Nbre],LstMachines[Model-Spec],PrévisionBoris[[#This Row],[Spec]],LstMachines[Status],PrévisionBoris[[#This Row],[Status]],LstMachines[MoisLivr],Y$1)</f>
        <v>0</v>
      </c>
      <c r="Z320" s="206">
        <f>SUMIFS(LstMachines[Nbre],LstMachines[Model-Spec],PrévisionBoris[[#This Row],[Spec]],LstMachines[Status],PrévisionBoris[[#This Row],[Status]],LstMachines[MoisLivr],Z$1)</f>
        <v>0</v>
      </c>
      <c r="AA320" s="207">
        <f>SUMIFS(LstMachines[Nbre],LstMachines[Model-Spec],PrévisionBoris[[#This Row],[Spec]],LstMachines[Status],PrévisionBoris[[#This Row],[Status]],LstMachines[MoisLivr],AA$1)</f>
        <v>0</v>
      </c>
      <c r="AB320" s="207">
        <f>SUMIFS(LstMachines[Nbre],LstMachines[Model-Spec],PrévisionBoris[[#This Row],[Spec]],LstMachines[Status],PrévisionBoris[[#This Row],[Status]],LstMachines[MoisLivr],AB$1)</f>
        <v>0</v>
      </c>
      <c r="AC320" s="206">
        <f>SUMIFS(LstMachines[Nbre],LstMachines[Model-Spec],PrévisionBoris[[#This Row],[Spec]],LstMachines[Status],PrévisionBoris[[#This Row],[Status]],LstMachines[MoisLivr],AC$1)</f>
        <v>0</v>
      </c>
      <c r="AD320" s="207">
        <f>SUMIFS(LstMachines[Nbre],LstMachines[Model-Spec],PrévisionBoris[[#This Row],[Spec]],LstMachines[Status],PrévisionBoris[[#This Row],[Status]],LstMachines[MoisLivr],AD$1)</f>
        <v>0</v>
      </c>
      <c r="AE320" s="207">
        <f>SUMIFS(LstMachines[Nbre],LstMachines[Model-Spec],PrévisionBoris[[#This Row],[Spec]],LstMachines[Status],PrévisionBoris[[#This Row],[Status]],LstMachines[MoisLivr],AE$1)</f>
        <v>0</v>
      </c>
      <c r="AF320" s="206">
        <f>SUMIFS(LstMachines[Nbre],LstMachines[Model-Spec],PrévisionBoris[[#This Row],[Spec]],LstMachines[Status],PrévisionBoris[[#This Row],[Status]],LstMachines[MoisLivr],AF$1)</f>
        <v>0</v>
      </c>
      <c r="AG320" s="207">
        <f>SUMIFS(LstMachines[Nbre],LstMachines[Model-Spec],PrévisionBoris[[#This Row],[Spec]],LstMachines[Status],PrévisionBoris[[#This Row],[Status]],LstMachines[MoisLivr],AG$1)</f>
        <v>0</v>
      </c>
      <c r="AH320" s="207">
        <f>SUMIFS(LstMachines[Nbre],LstMachines[Model-Spec],PrévisionBoris[[#This Row],[Spec]],LstMachines[Status],PrévisionBoris[[#This Row],[Status]],LstMachines[MoisLivr],AH$1)</f>
        <v>0</v>
      </c>
      <c r="AI320" s="206">
        <f>SUMIFS(LstMachines[Nbre],LstMachines[Model-Spec],PrévisionBoris[[#This Row],[Spec]],LstMachines[Status],PrévisionBoris[[#This Row],[Status]],LstMachines[MoisLivr],AI$1)</f>
        <v>0</v>
      </c>
      <c r="AJ320" s="207">
        <f>SUMIFS(LstMachines[Nbre],LstMachines[Model-Spec],PrévisionBoris[[#This Row],[Spec]],LstMachines[Status],PrévisionBoris[[#This Row],[Status]],LstMachines[MoisLivr],AJ$1)</f>
        <v>0</v>
      </c>
      <c r="AK320" s="207">
        <f>SUMIFS(LstMachines[Nbre],LstMachines[Model-Spec],PrévisionBoris[[#This Row],[Spec]],LstMachines[Status],PrévisionBoris[[#This Row],[Status]],LstMachines[MoisLivr],AK$1)</f>
        <v>0</v>
      </c>
      <c r="AL320" s="206">
        <f>SUMIFS(LstMachines[Nbre],LstMachines[Model-Spec],PrévisionBoris[[#This Row],[Spec]],LstMachines[Status],PrévisionBoris[[#This Row],[Status]],LstMachines[MoisLivr],AL$1)</f>
        <v>0</v>
      </c>
      <c r="AM320" s="207">
        <f>SUMIFS(LstMachines[Nbre],LstMachines[Model-Spec],PrévisionBoris[[#This Row],[Spec]],LstMachines[Status],PrévisionBoris[[#This Row],[Status]],LstMachines[MoisLivr],AM$1)</f>
        <v>0</v>
      </c>
      <c r="AN320" s="207">
        <f>SUMIFS(LstMachines[Nbre],LstMachines[Model-Spec],PrévisionBoris[[#This Row],[Spec]],LstMachines[Status],PrévisionBoris[[#This Row],[Status]],LstMachines[MoisLivr],AN$1)</f>
        <v>0</v>
      </c>
      <c r="AO320" s="206">
        <f>SUMIFS(LstMachines[Nbre],LstMachines[Model-Spec],PrévisionBoris[[#This Row],[Spec]],LstMachines[Status],PrévisionBoris[[#This Row],[Status]],LstMachines[MoisLivr],AO$1)</f>
        <v>0</v>
      </c>
      <c r="AP320" s="207">
        <f>SUMIFS(LstMachines[Nbre],LstMachines[Model-Spec],PrévisionBoris[[#This Row],[Spec]],LstMachines[Status],PrévisionBoris[[#This Row],[Status]],LstMachines[MoisLivr],AP$1)</f>
        <v>0</v>
      </c>
      <c r="AQ320" s="207">
        <f>SUMIFS(LstMachines[Nbre],LstMachines[Model-Spec],PrévisionBoris[[#This Row],[Spec]],LstMachines[Status],PrévisionBoris[[#This Row],[Status]],LstMachines[MoisLivr],AQ$1)</f>
        <v>0</v>
      </c>
      <c r="AR320" s="206">
        <f>SUMIFS(LstMachines[Nbre],LstMachines[Model-Spec],PrévisionBoris[[#This Row],[Spec]],LstMachines[Status],PrévisionBoris[[#This Row],[Status]],LstMachines[MoisLivr],AR$1)</f>
        <v>0</v>
      </c>
      <c r="AS320" s="207">
        <f>SUMIFS(LstMachines[Nbre],LstMachines[Model-Spec],PrévisionBoris[[#This Row],[Spec]],LstMachines[Status],PrévisionBoris[[#This Row],[Status]],LstMachines[MoisLivr],AS$1)</f>
        <v>0</v>
      </c>
      <c r="AT320" s="207">
        <f>SUMIFS(LstMachines[Nbre],LstMachines[Model-Spec],PrévisionBoris[[#This Row],[Spec]],LstMachines[Status],PrévisionBoris[[#This Row],[Status]],LstMachines[MoisLivr],AT$1)</f>
        <v>0</v>
      </c>
      <c r="AU320" s="206">
        <f>SUMIFS(LstMachines[Nbre],LstMachines[Model-Spec],PrévisionBoris[[#This Row],[Spec]],LstMachines[Status],PrévisionBoris[[#This Row],[Status]],LstMachines[MoisLivr],AU$1)</f>
        <v>0</v>
      </c>
      <c r="AV320" s="233">
        <f>SUMIFS(LstMachines[Nbre],LstMachines[Model-Spec],PrévisionBoris[[#This Row],[Spec]],LstMachines[Status],PrévisionBoris[[#This Row],[Status]],LstMachines[MoisLivr],AV$1)</f>
        <v>0</v>
      </c>
      <c r="AW320" s="208">
        <f>SUMIFS(LstMachines[Nbre],LstMachines[Model-Spec],PrévisionBoris[[#This Row],[Spec]],LstMachines[Status],PrévisionBoris[[#This Row],[Status]],LstMachines[MoisLivr],AW$1)</f>
        <v>0</v>
      </c>
      <c r="AX320" s="225"/>
      <c r="AY320" s="211">
        <f t="shared" si="67"/>
        <v>0</v>
      </c>
      <c r="AZ320" s="212">
        <f t="shared" si="68"/>
        <v>0</v>
      </c>
      <c r="BA320" s="212">
        <f t="shared" si="69"/>
        <v>0</v>
      </c>
      <c r="BB320" s="213">
        <f t="shared" si="70"/>
        <v>0</v>
      </c>
      <c r="BC320" s="225">
        <f t="shared" si="71"/>
        <v>0</v>
      </c>
      <c r="BD320" s="211">
        <f t="shared" si="72"/>
        <v>0</v>
      </c>
      <c r="BE320" s="212">
        <f t="shared" si="73"/>
        <v>0</v>
      </c>
      <c r="BF320" s="212">
        <f t="shared" si="74"/>
        <v>0</v>
      </c>
      <c r="BG320" s="213">
        <f t="shared" si="75"/>
        <v>0</v>
      </c>
      <c r="BH320" s="225">
        <f t="shared" si="76"/>
        <v>0</v>
      </c>
      <c r="BI320" s="214">
        <f t="shared" si="77"/>
        <v>0</v>
      </c>
      <c r="BJ320" s="215">
        <f t="shared" si="78"/>
        <v>0</v>
      </c>
      <c r="BK320" s="215">
        <f t="shared" si="79"/>
        <v>0</v>
      </c>
      <c r="BL320" s="216">
        <f t="shared" si="80"/>
        <v>0</v>
      </c>
      <c r="BM320" s="225">
        <f t="shared" si="81"/>
        <v>0</v>
      </c>
      <c r="BN320" s="225"/>
      <c r="BO320" s="234"/>
      <c r="BP320" s="218">
        <f t="shared" si="82"/>
        <v>0</v>
      </c>
    </row>
    <row r="321" spans="1:68">
      <c r="A321" s="170">
        <v>314</v>
      </c>
      <c r="B321" s="170" t="s">
        <v>223</v>
      </c>
      <c r="C321" s="200">
        <v>140</v>
      </c>
      <c r="D321" s="170" t="s">
        <v>224</v>
      </c>
      <c r="E321" s="170" t="s">
        <v>225</v>
      </c>
      <c r="F321" s="200">
        <f>VLOOKUP(PrévisionBoris[[#This Row],[Spec]],TabModelSpecs[[ModelSpec]:[Price]],2,FALSE)</f>
        <v>115</v>
      </c>
      <c r="G321" s="170" t="s">
        <v>462</v>
      </c>
      <c r="H321" s="219">
        <f>SUMIFS(LstMachines[Nbre],LstMachines[Model-Spec],PrévisionBoris[[#This Row],[Spec]],LstMachines[Status],PrévisionBoris[[#This Row],[Status]],LstMachines[MoisLivr],H$1)</f>
        <v>0</v>
      </c>
      <c r="I321" s="220">
        <f>SUMIFS(LstMachines[Nbre],LstMachines[Model-Spec],PrévisionBoris[[#This Row],[Spec]],LstMachines[Status],PrévisionBoris[[#This Row],[Status]],LstMachines[MoisLivr],I$1)</f>
        <v>0</v>
      </c>
      <c r="J321" s="221">
        <f>SUMIFS(LstMachines[Nbre],LstMachines[Model-Spec],PrévisionBoris[[#This Row],[Spec]],LstMachines[Status],PrévisionBoris[[#This Row],[Status]],LstMachines[MoisLivr],J$1)</f>
        <v>0</v>
      </c>
      <c r="K321" s="219">
        <f>SUMIFS(LstMachines[Nbre],LstMachines[Model-Spec],PrévisionBoris[[#This Row],[Spec]],LstMachines[Status],PrévisionBoris[[#This Row],[Status]],LstMachines[MoisLivr],K$1)</f>
        <v>0</v>
      </c>
      <c r="L321" s="220">
        <f>SUMIFS(LstMachines[Nbre],LstMachines[Model-Spec],PrévisionBoris[[#This Row],[Spec]],LstMachines[Status],PrévisionBoris[[#This Row],[Status]],LstMachines[MoisLivr],L$1)</f>
        <v>0</v>
      </c>
      <c r="M321" s="221">
        <f>SUMIFS(LstMachines[Nbre],LstMachines[Model-Spec],PrévisionBoris[[#This Row],[Spec]],LstMachines[Status],PrévisionBoris[[#This Row],[Status]],LstMachines[MoisLivr],M$1)</f>
        <v>0</v>
      </c>
      <c r="N321" s="219">
        <f>SUMIFS(LstMachines[Nbre],LstMachines[Model-Spec],PrévisionBoris[[#This Row],[Spec]],LstMachines[Status],PrévisionBoris[[#This Row],[Status]],LstMachines[MoisLivr],N$1)</f>
        <v>0</v>
      </c>
      <c r="O321" s="220">
        <f>SUMIFS(LstMachines[Nbre],LstMachines[Model-Spec],PrévisionBoris[[#This Row],[Spec]],LstMachines[Status],PrévisionBoris[[#This Row],[Status]],LstMachines[MoisLivr],O$1)</f>
        <v>0</v>
      </c>
      <c r="P321" s="221">
        <f>SUMIFS(LstMachines[Nbre],LstMachines[Model-Spec],PrévisionBoris[[#This Row],[Spec]],LstMachines[Status],PrévisionBoris[[#This Row],[Status]],LstMachines[MoisLivr],P$1)</f>
        <v>0</v>
      </c>
      <c r="Q321" s="222">
        <f>SUMIFS(LstMachines[Nbre],LstMachines[Model-Spec],PrévisionBoris[[#This Row],[Spec]],LstMachines[Status],PrévisionBoris[[#This Row],[Status]],LstMachines[MoisLivr],Q$1)</f>
        <v>0</v>
      </c>
      <c r="R321" s="220">
        <f>SUMIFS(LstMachines[Nbre],LstMachines[Model-Spec],PrévisionBoris[[#This Row],[Spec]],LstMachines[Status],PrévisionBoris[[#This Row],[Status]],LstMachines[MoisLivr],R$1)</f>
        <v>0</v>
      </c>
      <c r="S321" s="220">
        <f>SUMIFS(LstMachines[Nbre],LstMachines[Model-Spec],PrévisionBoris[[#This Row],[Spec]],LstMachines[Status],PrévisionBoris[[#This Row],[Status]],LstMachines[MoisLivr],S$1)</f>
        <v>0</v>
      </c>
      <c r="T321" s="219">
        <f>SUMIFS(LstMachines[Nbre],LstMachines[Model-Spec],PrévisionBoris[[#This Row],[Spec]],LstMachines[Status],PrévisionBoris[[#This Row],[Status]],LstMachines[MoisLivr],T$1)</f>
        <v>0</v>
      </c>
      <c r="U321" s="220">
        <f>SUMIFS(LstMachines[Nbre],LstMachines[Model-Spec],PrévisionBoris[[#This Row],[Spec]],LstMachines[Status],PrévisionBoris[[#This Row],[Status]],LstMachines[MoisLivr],U$1)</f>
        <v>0</v>
      </c>
      <c r="V321" s="220">
        <f>SUMIFS(LstMachines[Nbre],LstMachines[Model-Spec],PrévisionBoris[[#This Row],[Spec]],LstMachines[Status],PrévisionBoris[[#This Row],[Status]],LstMachines[MoisLivr],V$1)</f>
        <v>0</v>
      </c>
      <c r="W321" s="219">
        <f>SUMIFS(LstMachines[Nbre],LstMachines[Model-Spec],PrévisionBoris[[#This Row],[Spec]],LstMachines[Status],PrévisionBoris[[#This Row],[Status]],LstMachines[MoisLivr],W$1)</f>
        <v>0</v>
      </c>
      <c r="X321" s="220">
        <f>SUMIFS(LstMachines[Nbre],LstMachines[Model-Spec],PrévisionBoris[[#This Row],[Spec]],LstMachines[Status],PrévisionBoris[[#This Row],[Status]],LstMachines[MoisLivr],X$1)</f>
        <v>0</v>
      </c>
      <c r="Y321" s="220">
        <f>SUMIFS(LstMachines[Nbre],LstMachines[Model-Spec],PrévisionBoris[[#This Row],[Spec]],LstMachines[Status],PrévisionBoris[[#This Row],[Status]],LstMachines[MoisLivr],Y$1)</f>
        <v>0</v>
      </c>
      <c r="Z321" s="219">
        <f>SUMIFS(LstMachines[Nbre],LstMachines[Model-Spec],PrévisionBoris[[#This Row],[Spec]],LstMachines[Status],PrévisionBoris[[#This Row],[Status]],LstMachines[MoisLivr],Z$1)</f>
        <v>0</v>
      </c>
      <c r="AA321" s="220">
        <f>SUMIFS(LstMachines[Nbre],LstMachines[Model-Spec],PrévisionBoris[[#This Row],[Spec]],LstMachines[Status],PrévisionBoris[[#This Row],[Status]],LstMachines[MoisLivr],AA$1)</f>
        <v>0</v>
      </c>
      <c r="AB321" s="220">
        <f>SUMIFS(LstMachines[Nbre],LstMachines[Model-Spec],PrévisionBoris[[#This Row],[Spec]],LstMachines[Status],PrévisionBoris[[#This Row],[Status]],LstMachines[MoisLivr],AB$1)</f>
        <v>0</v>
      </c>
      <c r="AC321" s="219">
        <f>SUMIFS(LstMachines[Nbre],LstMachines[Model-Spec],PrévisionBoris[[#This Row],[Spec]],LstMachines[Status],PrévisionBoris[[#This Row],[Status]],LstMachines[MoisLivr],AC$1)</f>
        <v>0</v>
      </c>
      <c r="AD321" s="220">
        <f>SUMIFS(LstMachines[Nbre],LstMachines[Model-Spec],PrévisionBoris[[#This Row],[Spec]],LstMachines[Status],PrévisionBoris[[#This Row],[Status]],LstMachines[MoisLivr],AD$1)</f>
        <v>0</v>
      </c>
      <c r="AE321" s="220">
        <f>SUMIFS(LstMachines[Nbre],LstMachines[Model-Spec],PrévisionBoris[[#This Row],[Spec]],LstMachines[Status],PrévisionBoris[[#This Row],[Status]],LstMachines[MoisLivr],AE$1)</f>
        <v>0</v>
      </c>
      <c r="AF321" s="219">
        <f>SUMIFS(LstMachines[Nbre],LstMachines[Model-Spec],PrévisionBoris[[#This Row],[Spec]],LstMachines[Status],PrévisionBoris[[#This Row],[Status]],LstMachines[MoisLivr],AF$1)</f>
        <v>0</v>
      </c>
      <c r="AG321" s="220">
        <f>SUMIFS(LstMachines[Nbre],LstMachines[Model-Spec],PrévisionBoris[[#This Row],[Spec]],LstMachines[Status],PrévisionBoris[[#This Row],[Status]],LstMachines[MoisLivr],AG$1)</f>
        <v>0</v>
      </c>
      <c r="AH321" s="220">
        <f>SUMIFS(LstMachines[Nbre],LstMachines[Model-Spec],PrévisionBoris[[#This Row],[Spec]],LstMachines[Status],PrévisionBoris[[#This Row],[Status]],LstMachines[MoisLivr],AH$1)</f>
        <v>0</v>
      </c>
      <c r="AI321" s="219">
        <f>SUMIFS(LstMachines[Nbre],LstMachines[Model-Spec],PrévisionBoris[[#This Row],[Spec]],LstMachines[Status],PrévisionBoris[[#This Row],[Status]],LstMachines[MoisLivr],AI$1)</f>
        <v>0</v>
      </c>
      <c r="AJ321" s="220">
        <f>SUMIFS(LstMachines[Nbre],LstMachines[Model-Spec],PrévisionBoris[[#This Row],[Spec]],LstMachines[Status],PrévisionBoris[[#This Row],[Status]],LstMachines[MoisLivr],AJ$1)</f>
        <v>0</v>
      </c>
      <c r="AK321" s="220">
        <f>SUMIFS(LstMachines[Nbre],LstMachines[Model-Spec],PrévisionBoris[[#This Row],[Spec]],LstMachines[Status],PrévisionBoris[[#This Row],[Status]],LstMachines[MoisLivr],AK$1)</f>
        <v>0</v>
      </c>
      <c r="AL321" s="219">
        <f>SUMIFS(LstMachines[Nbre],LstMachines[Model-Spec],PrévisionBoris[[#This Row],[Spec]],LstMachines[Status],PrévisionBoris[[#This Row],[Status]],LstMachines[MoisLivr],AL$1)</f>
        <v>0</v>
      </c>
      <c r="AM321" s="220">
        <f>SUMIFS(LstMachines[Nbre],LstMachines[Model-Spec],PrévisionBoris[[#This Row],[Spec]],LstMachines[Status],PrévisionBoris[[#This Row],[Status]],LstMachines[MoisLivr],AM$1)</f>
        <v>0</v>
      </c>
      <c r="AN321" s="220">
        <f>SUMIFS(LstMachines[Nbre],LstMachines[Model-Spec],PrévisionBoris[[#This Row],[Spec]],LstMachines[Status],PrévisionBoris[[#This Row],[Status]],LstMachines[MoisLivr],AN$1)</f>
        <v>0</v>
      </c>
      <c r="AO321" s="219">
        <f>SUMIFS(LstMachines[Nbre],LstMachines[Model-Spec],PrévisionBoris[[#This Row],[Spec]],LstMachines[Status],PrévisionBoris[[#This Row],[Status]],LstMachines[MoisLivr],AO$1)</f>
        <v>0</v>
      </c>
      <c r="AP321" s="220">
        <f>SUMIFS(LstMachines[Nbre],LstMachines[Model-Spec],PrévisionBoris[[#This Row],[Spec]],LstMachines[Status],PrévisionBoris[[#This Row],[Status]],LstMachines[MoisLivr],AP$1)</f>
        <v>0</v>
      </c>
      <c r="AQ321" s="220">
        <f>SUMIFS(LstMachines[Nbre],LstMachines[Model-Spec],PrévisionBoris[[#This Row],[Spec]],LstMachines[Status],PrévisionBoris[[#This Row],[Status]],LstMachines[MoisLivr],AQ$1)</f>
        <v>0</v>
      </c>
      <c r="AR321" s="219">
        <f>SUMIFS(LstMachines[Nbre],LstMachines[Model-Spec],PrévisionBoris[[#This Row],[Spec]],LstMachines[Status],PrévisionBoris[[#This Row],[Status]],LstMachines[MoisLivr],AR$1)</f>
        <v>0</v>
      </c>
      <c r="AS321" s="220">
        <f>SUMIFS(LstMachines[Nbre],LstMachines[Model-Spec],PrévisionBoris[[#This Row],[Spec]],LstMachines[Status],PrévisionBoris[[#This Row],[Status]],LstMachines[MoisLivr],AS$1)</f>
        <v>0</v>
      </c>
      <c r="AT321" s="220">
        <f>SUMIFS(LstMachines[Nbre],LstMachines[Model-Spec],PrévisionBoris[[#This Row],[Spec]],LstMachines[Status],PrévisionBoris[[#This Row],[Status]],LstMachines[MoisLivr],AT$1)</f>
        <v>0</v>
      </c>
      <c r="AU321" s="219">
        <f>SUMIFS(LstMachines[Nbre],LstMachines[Model-Spec],PrévisionBoris[[#This Row],[Spec]],LstMachines[Status],PrévisionBoris[[#This Row],[Status]],LstMachines[MoisLivr],AU$1)</f>
        <v>0</v>
      </c>
      <c r="AV321" s="223">
        <f>SUMIFS(LstMachines[Nbre],LstMachines[Model-Spec],PrévisionBoris[[#This Row],[Spec]],LstMachines[Status],PrévisionBoris[[#This Row],[Status]],LstMachines[MoisLivr],AV$1)</f>
        <v>0</v>
      </c>
      <c r="AW321" s="224">
        <f>SUMIFS(LstMachines[Nbre],LstMachines[Model-Spec],PrévisionBoris[[#This Row],[Spec]],LstMachines[Status],PrévisionBoris[[#This Row],[Status]],LstMachines[MoisLivr],AW$1)</f>
        <v>0</v>
      </c>
      <c r="AX321" s="210"/>
      <c r="AY321" s="211">
        <f t="shared" si="67"/>
        <v>0</v>
      </c>
      <c r="AZ321" s="212">
        <f t="shared" si="68"/>
        <v>0</v>
      </c>
      <c r="BA321" s="212">
        <f t="shared" si="69"/>
        <v>0</v>
      </c>
      <c r="BB321" s="213">
        <f t="shared" si="70"/>
        <v>0</v>
      </c>
      <c r="BC321" s="225">
        <f t="shared" si="71"/>
        <v>0</v>
      </c>
      <c r="BD321" s="211">
        <f t="shared" si="72"/>
        <v>0</v>
      </c>
      <c r="BE321" s="212">
        <f t="shared" si="73"/>
        <v>0</v>
      </c>
      <c r="BF321" s="212">
        <f t="shared" si="74"/>
        <v>0</v>
      </c>
      <c r="BG321" s="213">
        <f t="shared" si="75"/>
        <v>0</v>
      </c>
      <c r="BH321" s="225">
        <f t="shared" si="76"/>
        <v>0</v>
      </c>
      <c r="BI321" s="214">
        <f t="shared" si="77"/>
        <v>0</v>
      </c>
      <c r="BJ321" s="215">
        <f t="shared" si="78"/>
        <v>0</v>
      </c>
      <c r="BK321" s="215">
        <f t="shared" si="79"/>
        <v>0</v>
      </c>
      <c r="BL321" s="216">
        <f t="shared" si="80"/>
        <v>0</v>
      </c>
      <c r="BM321" s="225">
        <f t="shared" si="81"/>
        <v>0</v>
      </c>
      <c r="BN321" s="225"/>
      <c r="BO321" s="217"/>
      <c r="BP321" s="218">
        <f t="shared" si="82"/>
        <v>0</v>
      </c>
    </row>
    <row r="322" spans="1:68">
      <c r="A322" s="171">
        <v>315</v>
      </c>
      <c r="B322" s="171" t="s">
        <v>223</v>
      </c>
      <c r="C322" s="201">
        <v>140</v>
      </c>
      <c r="D322" s="171" t="s">
        <v>224</v>
      </c>
      <c r="E322" s="171" t="s">
        <v>225</v>
      </c>
      <c r="F322" s="201">
        <f>VLOOKUP(PrévisionBoris[[#This Row],[Spec]],TabModelSpecs[[ModelSpec]:[Price]],2,FALSE)</f>
        <v>115</v>
      </c>
      <c r="G322" s="171" t="s">
        <v>463</v>
      </c>
      <c r="H322" s="226">
        <f>SUMIFS(LstMachines[Nbre],LstMachines[Model-Spec],PrévisionBoris[[#This Row],[Spec]],LstMachines[Status],PrévisionBoris[[#This Row],[Status]],LstMachines[MoisLivr],H$1)</f>
        <v>0</v>
      </c>
      <c r="I322" s="227">
        <f>SUMIFS(LstMachines[Nbre],LstMachines[Model-Spec],PrévisionBoris[[#This Row],[Spec]],LstMachines[Status],PrévisionBoris[[#This Row],[Status]],LstMachines[MoisLivr],I$1)</f>
        <v>0</v>
      </c>
      <c r="J322" s="228">
        <f>SUMIFS(LstMachines[Nbre],LstMachines[Model-Spec],PrévisionBoris[[#This Row],[Spec]],LstMachines[Status],PrévisionBoris[[#This Row],[Status]],LstMachines[MoisLivr],J$1)</f>
        <v>0</v>
      </c>
      <c r="K322" s="226">
        <f>SUMIFS(LstMachines[Nbre],LstMachines[Model-Spec],PrévisionBoris[[#This Row],[Spec]],LstMachines[Status],PrévisionBoris[[#This Row],[Status]],LstMachines[MoisLivr],K$1)</f>
        <v>0</v>
      </c>
      <c r="L322" s="227">
        <f>SUMIFS(LstMachines[Nbre],LstMachines[Model-Spec],PrévisionBoris[[#This Row],[Spec]],LstMachines[Status],PrévisionBoris[[#This Row],[Status]],LstMachines[MoisLivr],L$1)</f>
        <v>0</v>
      </c>
      <c r="M322" s="228">
        <f>SUMIFS(LstMachines[Nbre],LstMachines[Model-Spec],PrévisionBoris[[#This Row],[Spec]],LstMachines[Status],PrévisionBoris[[#This Row],[Status]],LstMachines[MoisLivr],M$1)</f>
        <v>0</v>
      </c>
      <c r="N322" s="226">
        <f>SUMIFS(LstMachines[Nbre],LstMachines[Model-Spec],PrévisionBoris[[#This Row],[Spec]],LstMachines[Status],PrévisionBoris[[#This Row],[Status]],LstMachines[MoisLivr],N$1)</f>
        <v>0</v>
      </c>
      <c r="O322" s="227">
        <f>SUMIFS(LstMachines[Nbre],LstMachines[Model-Spec],PrévisionBoris[[#This Row],[Spec]],LstMachines[Status],PrévisionBoris[[#This Row],[Status]],LstMachines[MoisLivr],O$1)</f>
        <v>0</v>
      </c>
      <c r="P322" s="228">
        <f>SUMIFS(LstMachines[Nbre],LstMachines[Model-Spec],PrévisionBoris[[#This Row],[Spec]],LstMachines[Status],PrévisionBoris[[#This Row],[Status]],LstMachines[MoisLivr],P$1)</f>
        <v>0</v>
      </c>
      <c r="Q322" s="229">
        <f>SUMIFS(LstMachines[Nbre],LstMachines[Model-Spec],PrévisionBoris[[#This Row],[Spec]],LstMachines[Status],PrévisionBoris[[#This Row],[Status]],LstMachines[MoisLivr],Q$1)</f>
        <v>0</v>
      </c>
      <c r="R322" s="227">
        <f>SUMIFS(LstMachines[Nbre],LstMachines[Model-Spec],PrévisionBoris[[#This Row],[Spec]],LstMachines[Status],PrévisionBoris[[#This Row],[Status]],LstMachines[MoisLivr],R$1)</f>
        <v>0</v>
      </c>
      <c r="S322" s="227">
        <f>SUMIFS(LstMachines[Nbre],LstMachines[Model-Spec],PrévisionBoris[[#This Row],[Spec]],LstMachines[Status],PrévisionBoris[[#This Row],[Status]],LstMachines[MoisLivr],S$1)</f>
        <v>0</v>
      </c>
      <c r="T322" s="226">
        <f>SUMIFS(LstMachines[Nbre],LstMachines[Model-Spec],PrévisionBoris[[#This Row],[Spec]],LstMachines[Status],PrévisionBoris[[#This Row],[Status]],LstMachines[MoisLivr],T$1)</f>
        <v>0</v>
      </c>
      <c r="U322" s="227">
        <f>SUMIFS(LstMachines[Nbre],LstMachines[Model-Spec],PrévisionBoris[[#This Row],[Spec]],LstMachines[Status],PrévisionBoris[[#This Row],[Status]],LstMachines[MoisLivr],U$1)</f>
        <v>0</v>
      </c>
      <c r="V322" s="227">
        <f>SUMIFS(LstMachines[Nbre],LstMachines[Model-Spec],PrévisionBoris[[#This Row],[Spec]],LstMachines[Status],PrévisionBoris[[#This Row],[Status]],LstMachines[MoisLivr],V$1)</f>
        <v>0</v>
      </c>
      <c r="W322" s="226">
        <f>SUMIFS(LstMachines[Nbre],LstMachines[Model-Spec],PrévisionBoris[[#This Row],[Spec]],LstMachines[Status],PrévisionBoris[[#This Row],[Status]],LstMachines[MoisLivr],W$1)</f>
        <v>0</v>
      </c>
      <c r="X322" s="227">
        <f>SUMIFS(LstMachines[Nbre],LstMachines[Model-Spec],PrévisionBoris[[#This Row],[Spec]],LstMachines[Status],PrévisionBoris[[#This Row],[Status]],LstMachines[MoisLivr],X$1)</f>
        <v>0</v>
      </c>
      <c r="Y322" s="227">
        <f>SUMIFS(LstMachines[Nbre],LstMachines[Model-Spec],PrévisionBoris[[#This Row],[Spec]],LstMachines[Status],PrévisionBoris[[#This Row],[Status]],LstMachines[MoisLivr],Y$1)</f>
        <v>0</v>
      </c>
      <c r="Z322" s="226">
        <f>SUMIFS(LstMachines[Nbre],LstMachines[Model-Spec],PrévisionBoris[[#This Row],[Spec]],LstMachines[Status],PrévisionBoris[[#This Row],[Status]],LstMachines[MoisLivr],Z$1)</f>
        <v>0</v>
      </c>
      <c r="AA322" s="227">
        <f>SUMIFS(LstMachines[Nbre],LstMachines[Model-Spec],PrévisionBoris[[#This Row],[Spec]],LstMachines[Status],PrévisionBoris[[#This Row],[Status]],LstMachines[MoisLivr],AA$1)</f>
        <v>0</v>
      </c>
      <c r="AB322" s="227">
        <f>SUMIFS(LstMachines[Nbre],LstMachines[Model-Spec],PrévisionBoris[[#This Row],[Spec]],LstMachines[Status],PrévisionBoris[[#This Row],[Status]],LstMachines[MoisLivr],AB$1)</f>
        <v>0</v>
      </c>
      <c r="AC322" s="226">
        <f>SUMIFS(LstMachines[Nbre],LstMachines[Model-Spec],PrévisionBoris[[#This Row],[Spec]],LstMachines[Status],PrévisionBoris[[#This Row],[Status]],LstMachines[MoisLivr],AC$1)</f>
        <v>0</v>
      </c>
      <c r="AD322" s="227">
        <f>SUMIFS(LstMachines[Nbre],LstMachines[Model-Spec],PrévisionBoris[[#This Row],[Spec]],LstMachines[Status],PrévisionBoris[[#This Row],[Status]],LstMachines[MoisLivr],AD$1)</f>
        <v>0</v>
      </c>
      <c r="AE322" s="227">
        <f>SUMIFS(LstMachines[Nbre],LstMachines[Model-Spec],PrévisionBoris[[#This Row],[Spec]],LstMachines[Status],PrévisionBoris[[#This Row],[Status]],LstMachines[MoisLivr],AE$1)</f>
        <v>0</v>
      </c>
      <c r="AF322" s="226">
        <f>SUMIFS(LstMachines[Nbre],LstMachines[Model-Spec],PrévisionBoris[[#This Row],[Spec]],LstMachines[Status],PrévisionBoris[[#This Row],[Status]],LstMachines[MoisLivr],AF$1)</f>
        <v>0</v>
      </c>
      <c r="AG322" s="227">
        <f>SUMIFS(LstMachines[Nbre],LstMachines[Model-Spec],PrévisionBoris[[#This Row],[Spec]],LstMachines[Status],PrévisionBoris[[#This Row],[Status]],LstMachines[MoisLivr],AG$1)</f>
        <v>0</v>
      </c>
      <c r="AH322" s="227">
        <f>SUMIFS(LstMachines[Nbre],LstMachines[Model-Spec],PrévisionBoris[[#This Row],[Spec]],LstMachines[Status],PrévisionBoris[[#This Row],[Status]],LstMachines[MoisLivr],AH$1)</f>
        <v>0</v>
      </c>
      <c r="AI322" s="226">
        <f>SUMIFS(LstMachines[Nbre],LstMachines[Model-Spec],PrévisionBoris[[#This Row],[Spec]],LstMachines[Status],PrévisionBoris[[#This Row],[Status]],LstMachines[MoisLivr],AI$1)</f>
        <v>0</v>
      </c>
      <c r="AJ322" s="227">
        <f>SUMIFS(LstMachines[Nbre],LstMachines[Model-Spec],PrévisionBoris[[#This Row],[Spec]],LstMachines[Status],PrévisionBoris[[#This Row],[Status]],LstMachines[MoisLivr],AJ$1)</f>
        <v>0</v>
      </c>
      <c r="AK322" s="227">
        <f>SUMIFS(LstMachines[Nbre],LstMachines[Model-Spec],PrévisionBoris[[#This Row],[Spec]],LstMachines[Status],PrévisionBoris[[#This Row],[Status]],LstMachines[MoisLivr],AK$1)</f>
        <v>0</v>
      </c>
      <c r="AL322" s="226">
        <f>SUMIFS(LstMachines[Nbre],LstMachines[Model-Spec],PrévisionBoris[[#This Row],[Spec]],LstMachines[Status],PrévisionBoris[[#This Row],[Status]],LstMachines[MoisLivr],AL$1)</f>
        <v>0</v>
      </c>
      <c r="AM322" s="227">
        <f>SUMIFS(LstMachines[Nbre],LstMachines[Model-Spec],PrévisionBoris[[#This Row],[Spec]],LstMachines[Status],PrévisionBoris[[#This Row],[Status]],LstMachines[MoisLivr],AM$1)</f>
        <v>0</v>
      </c>
      <c r="AN322" s="227">
        <f>SUMIFS(LstMachines[Nbre],LstMachines[Model-Spec],PrévisionBoris[[#This Row],[Spec]],LstMachines[Status],PrévisionBoris[[#This Row],[Status]],LstMachines[MoisLivr],AN$1)</f>
        <v>0</v>
      </c>
      <c r="AO322" s="226">
        <f>SUMIFS(LstMachines[Nbre],LstMachines[Model-Spec],PrévisionBoris[[#This Row],[Spec]],LstMachines[Status],PrévisionBoris[[#This Row],[Status]],LstMachines[MoisLivr],AO$1)</f>
        <v>0</v>
      </c>
      <c r="AP322" s="227">
        <f>SUMIFS(LstMachines[Nbre],LstMachines[Model-Spec],PrévisionBoris[[#This Row],[Spec]],LstMachines[Status],PrévisionBoris[[#This Row],[Status]],LstMachines[MoisLivr],AP$1)</f>
        <v>0</v>
      </c>
      <c r="AQ322" s="227">
        <f>SUMIFS(LstMachines[Nbre],LstMachines[Model-Spec],PrévisionBoris[[#This Row],[Spec]],LstMachines[Status],PrévisionBoris[[#This Row],[Status]],LstMachines[MoisLivr],AQ$1)</f>
        <v>0</v>
      </c>
      <c r="AR322" s="226">
        <f>SUMIFS(LstMachines[Nbre],LstMachines[Model-Spec],PrévisionBoris[[#This Row],[Spec]],LstMachines[Status],PrévisionBoris[[#This Row],[Status]],LstMachines[MoisLivr],AR$1)</f>
        <v>0</v>
      </c>
      <c r="AS322" s="227">
        <f>SUMIFS(LstMachines[Nbre],LstMachines[Model-Spec],PrévisionBoris[[#This Row],[Spec]],LstMachines[Status],PrévisionBoris[[#This Row],[Status]],LstMachines[MoisLivr],AS$1)</f>
        <v>0</v>
      </c>
      <c r="AT322" s="227">
        <f>SUMIFS(LstMachines[Nbre],LstMachines[Model-Spec],PrévisionBoris[[#This Row],[Spec]],LstMachines[Status],PrévisionBoris[[#This Row],[Status]],LstMachines[MoisLivr],AT$1)</f>
        <v>0</v>
      </c>
      <c r="AU322" s="226">
        <f>SUMIFS(LstMachines[Nbre],LstMachines[Model-Spec],PrévisionBoris[[#This Row],[Spec]],LstMachines[Status],PrévisionBoris[[#This Row],[Status]],LstMachines[MoisLivr],AU$1)</f>
        <v>0</v>
      </c>
      <c r="AV322" s="230">
        <f>SUMIFS(LstMachines[Nbre],LstMachines[Model-Spec],PrévisionBoris[[#This Row],[Spec]],LstMachines[Status],PrévisionBoris[[#This Row],[Status]],LstMachines[MoisLivr],AV$1)</f>
        <v>0</v>
      </c>
      <c r="AW322" s="231">
        <f>SUMIFS(LstMachines[Nbre],LstMachines[Model-Spec],PrévisionBoris[[#This Row],[Spec]],LstMachines[Status],PrévisionBoris[[#This Row],[Status]],LstMachines[MoisLivr],AW$1)</f>
        <v>0</v>
      </c>
      <c r="AX322" s="232"/>
      <c r="AY322" s="211">
        <f t="shared" si="67"/>
        <v>0</v>
      </c>
      <c r="AZ322" s="212">
        <f t="shared" si="68"/>
        <v>0</v>
      </c>
      <c r="BA322" s="212">
        <f t="shared" si="69"/>
        <v>0</v>
      </c>
      <c r="BB322" s="213">
        <f t="shared" si="70"/>
        <v>0</v>
      </c>
      <c r="BC322" s="225">
        <f t="shared" si="71"/>
        <v>0</v>
      </c>
      <c r="BD322" s="211">
        <f t="shared" si="72"/>
        <v>0</v>
      </c>
      <c r="BE322" s="212">
        <f t="shared" si="73"/>
        <v>0</v>
      </c>
      <c r="BF322" s="212">
        <f t="shared" si="74"/>
        <v>0</v>
      </c>
      <c r="BG322" s="213">
        <f t="shared" si="75"/>
        <v>0</v>
      </c>
      <c r="BH322" s="225">
        <f t="shared" si="76"/>
        <v>0</v>
      </c>
      <c r="BI322" s="214">
        <f t="shared" si="77"/>
        <v>0</v>
      </c>
      <c r="BJ322" s="215">
        <f t="shared" si="78"/>
        <v>0</v>
      </c>
      <c r="BK322" s="215">
        <f t="shared" si="79"/>
        <v>0</v>
      </c>
      <c r="BL322" s="216">
        <f t="shared" si="80"/>
        <v>0</v>
      </c>
      <c r="BM322" s="225">
        <f t="shared" si="81"/>
        <v>0</v>
      </c>
      <c r="BN322" s="225"/>
      <c r="BO322" s="217"/>
      <c r="BP322" s="218">
        <f t="shared" si="82"/>
        <v>0</v>
      </c>
    </row>
    <row r="323" spans="1:68">
      <c r="A323" s="172">
        <v>316</v>
      </c>
      <c r="B323" s="172" t="s">
        <v>223</v>
      </c>
      <c r="C323" s="202">
        <v>140</v>
      </c>
      <c r="D323" s="172" t="s">
        <v>224</v>
      </c>
      <c r="E323" s="172" t="s">
        <v>226</v>
      </c>
      <c r="F323" s="202">
        <f>VLOOKUP(PrévisionBoris[[#This Row],[Spec]],TabModelSpecs[[ModelSpec]:[Price]],2,FALSE)</f>
        <v>110</v>
      </c>
      <c r="G323" s="172" t="s">
        <v>461</v>
      </c>
      <c r="H323" s="206">
        <f>SUMIFS(LstMachines[Nbre],LstMachines[Model-Spec],PrévisionBoris[[#This Row],[Spec]],LstMachines[Status],PrévisionBoris[[#This Row],[Status]],LstMachines[MoisLivr],H$1)</f>
        <v>0</v>
      </c>
      <c r="I323" s="207">
        <f>SUMIFS(LstMachines[Nbre],LstMachines[Model-Spec],PrévisionBoris[[#This Row],[Spec]],LstMachines[Status],PrévisionBoris[[#This Row],[Status]],LstMachines[MoisLivr],I$1)</f>
        <v>0</v>
      </c>
      <c r="J323" s="208">
        <f>SUMIFS(LstMachines[Nbre],LstMachines[Model-Spec],PrévisionBoris[[#This Row],[Spec]],LstMachines[Status],PrévisionBoris[[#This Row],[Status]],LstMachines[MoisLivr],J$1)</f>
        <v>0</v>
      </c>
      <c r="K323" s="206">
        <f>SUMIFS(LstMachines[Nbre],LstMachines[Model-Spec],PrévisionBoris[[#This Row],[Spec]],LstMachines[Status],PrévisionBoris[[#This Row],[Status]],LstMachines[MoisLivr],K$1)</f>
        <v>0</v>
      </c>
      <c r="L323" s="207">
        <f>SUMIFS(LstMachines[Nbre],LstMachines[Model-Spec],PrévisionBoris[[#This Row],[Spec]],LstMachines[Status],PrévisionBoris[[#This Row],[Status]],LstMachines[MoisLivr],L$1)</f>
        <v>0</v>
      </c>
      <c r="M323" s="208">
        <f>SUMIFS(LstMachines[Nbre],LstMachines[Model-Spec],PrévisionBoris[[#This Row],[Spec]],LstMachines[Status],PrévisionBoris[[#This Row],[Status]],LstMachines[MoisLivr],M$1)</f>
        <v>0</v>
      </c>
      <c r="N323" s="206">
        <f>SUMIFS(LstMachines[Nbre],LstMachines[Model-Spec],PrévisionBoris[[#This Row],[Spec]],LstMachines[Status],PrévisionBoris[[#This Row],[Status]],LstMachines[MoisLivr],N$1)</f>
        <v>0</v>
      </c>
      <c r="O323" s="207">
        <f>SUMIFS(LstMachines[Nbre],LstMachines[Model-Spec],PrévisionBoris[[#This Row],[Spec]],LstMachines[Status],PrévisionBoris[[#This Row],[Status]],LstMachines[MoisLivr],O$1)</f>
        <v>0</v>
      </c>
      <c r="P323" s="208">
        <f>SUMIFS(LstMachines[Nbre],LstMachines[Model-Spec],PrévisionBoris[[#This Row],[Spec]],LstMachines[Status],PrévisionBoris[[#This Row],[Status]],LstMachines[MoisLivr],P$1)</f>
        <v>0</v>
      </c>
      <c r="Q323" s="209">
        <f>SUMIFS(LstMachines[Nbre],LstMachines[Model-Spec],PrévisionBoris[[#This Row],[Spec]],LstMachines[Status],PrévisionBoris[[#This Row],[Status]],LstMachines[MoisLivr],Q$1)</f>
        <v>0</v>
      </c>
      <c r="R323" s="207">
        <f>SUMIFS(LstMachines[Nbre],LstMachines[Model-Spec],PrévisionBoris[[#This Row],[Spec]],LstMachines[Status],PrévisionBoris[[#This Row],[Status]],LstMachines[MoisLivr],R$1)</f>
        <v>0</v>
      </c>
      <c r="S323" s="207">
        <f>SUMIFS(LstMachines[Nbre],LstMachines[Model-Spec],PrévisionBoris[[#This Row],[Spec]],LstMachines[Status],PrévisionBoris[[#This Row],[Status]],LstMachines[MoisLivr],S$1)</f>
        <v>0</v>
      </c>
      <c r="T323" s="206">
        <f>SUMIFS(LstMachines[Nbre],LstMachines[Model-Spec],PrévisionBoris[[#This Row],[Spec]],LstMachines[Status],PrévisionBoris[[#This Row],[Status]],LstMachines[MoisLivr],T$1)</f>
        <v>0</v>
      </c>
      <c r="U323" s="207">
        <f>SUMIFS(LstMachines[Nbre],LstMachines[Model-Spec],PrévisionBoris[[#This Row],[Spec]],LstMachines[Status],PrévisionBoris[[#This Row],[Status]],LstMachines[MoisLivr],U$1)</f>
        <v>0</v>
      </c>
      <c r="V323" s="207">
        <f>SUMIFS(LstMachines[Nbre],LstMachines[Model-Spec],PrévisionBoris[[#This Row],[Spec]],LstMachines[Status],PrévisionBoris[[#This Row],[Status]],LstMachines[MoisLivr],V$1)</f>
        <v>0</v>
      </c>
      <c r="W323" s="206">
        <f>SUMIFS(LstMachines[Nbre],LstMachines[Model-Spec],PrévisionBoris[[#This Row],[Spec]],LstMachines[Status],PrévisionBoris[[#This Row],[Status]],LstMachines[MoisLivr],W$1)</f>
        <v>0</v>
      </c>
      <c r="X323" s="207">
        <f>SUMIFS(LstMachines[Nbre],LstMachines[Model-Spec],PrévisionBoris[[#This Row],[Spec]],LstMachines[Status],PrévisionBoris[[#This Row],[Status]],LstMachines[MoisLivr],X$1)</f>
        <v>0</v>
      </c>
      <c r="Y323" s="207">
        <f>SUMIFS(LstMachines[Nbre],LstMachines[Model-Spec],PrévisionBoris[[#This Row],[Spec]],LstMachines[Status],PrévisionBoris[[#This Row],[Status]],LstMachines[MoisLivr],Y$1)</f>
        <v>0</v>
      </c>
      <c r="Z323" s="206">
        <f>SUMIFS(LstMachines[Nbre],LstMachines[Model-Spec],PrévisionBoris[[#This Row],[Spec]],LstMachines[Status],PrévisionBoris[[#This Row],[Status]],LstMachines[MoisLivr],Z$1)</f>
        <v>0</v>
      </c>
      <c r="AA323" s="207">
        <f>SUMIFS(LstMachines[Nbre],LstMachines[Model-Spec],PrévisionBoris[[#This Row],[Spec]],LstMachines[Status],PrévisionBoris[[#This Row],[Status]],LstMachines[MoisLivr],AA$1)</f>
        <v>0</v>
      </c>
      <c r="AB323" s="207">
        <f>SUMIFS(LstMachines[Nbre],LstMachines[Model-Spec],PrévisionBoris[[#This Row],[Spec]],LstMachines[Status],PrévisionBoris[[#This Row],[Status]],LstMachines[MoisLivr],AB$1)</f>
        <v>0</v>
      </c>
      <c r="AC323" s="206">
        <f>SUMIFS(LstMachines[Nbre],LstMachines[Model-Spec],PrévisionBoris[[#This Row],[Spec]],LstMachines[Status],PrévisionBoris[[#This Row],[Status]],LstMachines[MoisLivr],AC$1)</f>
        <v>0</v>
      </c>
      <c r="AD323" s="207">
        <f>SUMIFS(LstMachines[Nbre],LstMachines[Model-Spec],PrévisionBoris[[#This Row],[Spec]],LstMachines[Status],PrévisionBoris[[#This Row],[Status]],LstMachines[MoisLivr],AD$1)</f>
        <v>0</v>
      </c>
      <c r="AE323" s="207">
        <f>SUMIFS(LstMachines[Nbre],LstMachines[Model-Spec],PrévisionBoris[[#This Row],[Spec]],LstMachines[Status],PrévisionBoris[[#This Row],[Status]],LstMachines[MoisLivr],AE$1)</f>
        <v>0</v>
      </c>
      <c r="AF323" s="206">
        <f>SUMIFS(LstMachines[Nbre],LstMachines[Model-Spec],PrévisionBoris[[#This Row],[Spec]],LstMachines[Status],PrévisionBoris[[#This Row],[Status]],LstMachines[MoisLivr],AF$1)</f>
        <v>0</v>
      </c>
      <c r="AG323" s="207">
        <f>SUMIFS(LstMachines[Nbre],LstMachines[Model-Spec],PrévisionBoris[[#This Row],[Spec]],LstMachines[Status],PrévisionBoris[[#This Row],[Status]],LstMachines[MoisLivr],AG$1)</f>
        <v>0</v>
      </c>
      <c r="AH323" s="207">
        <f>SUMIFS(LstMachines[Nbre],LstMachines[Model-Spec],PrévisionBoris[[#This Row],[Spec]],LstMachines[Status],PrévisionBoris[[#This Row],[Status]],LstMachines[MoisLivr],AH$1)</f>
        <v>0</v>
      </c>
      <c r="AI323" s="206">
        <f>SUMIFS(LstMachines[Nbre],LstMachines[Model-Spec],PrévisionBoris[[#This Row],[Spec]],LstMachines[Status],PrévisionBoris[[#This Row],[Status]],LstMachines[MoisLivr],AI$1)</f>
        <v>0</v>
      </c>
      <c r="AJ323" s="207">
        <f>SUMIFS(LstMachines[Nbre],LstMachines[Model-Spec],PrévisionBoris[[#This Row],[Spec]],LstMachines[Status],PrévisionBoris[[#This Row],[Status]],LstMachines[MoisLivr],AJ$1)</f>
        <v>0</v>
      </c>
      <c r="AK323" s="207">
        <f>SUMIFS(LstMachines[Nbre],LstMachines[Model-Spec],PrévisionBoris[[#This Row],[Spec]],LstMachines[Status],PrévisionBoris[[#This Row],[Status]],LstMachines[MoisLivr],AK$1)</f>
        <v>0</v>
      </c>
      <c r="AL323" s="206">
        <f>SUMIFS(LstMachines[Nbre],LstMachines[Model-Spec],PrévisionBoris[[#This Row],[Spec]],LstMachines[Status],PrévisionBoris[[#This Row],[Status]],LstMachines[MoisLivr],AL$1)</f>
        <v>0</v>
      </c>
      <c r="AM323" s="207">
        <f>SUMIFS(LstMachines[Nbre],LstMachines[Model-Spec],PrévisionBoris[[#This Row],[Spec]],LstMachines[Status],PrévisionBoris[[#This Row],[Status]],LstMachines[MoisLivr],AM$1)</f>
        <v>0</v>
      </c>
      <c r="AN323" s="207">
        <f>SUMIFS(LstMachines[Nbre],LstMachines[Model-Spec],PrévisionBoris[[#This Row],[Spec]],LstMachines[Status],PrévisionBoris[[#This Row],[Status]],LstMachines[MoisLivr],AN$1)</f>
        <v>0</v>
      </c>
      <c r="AO323" s="206">
        <f>SUMIFS(LstMachines[Nbre],LstMachines[Model-Spec],PrévisionBoris[[#This Row],[Spec]],LstMachines[Status],PrévisionBoris[[#This Row],[Status]],LstMachines[MoisLivr],AO$1)</f>
        <v>0</v>
      </c>
      <c r="AP323" s="207">
        <f>SUMIFS(LstMachines[Nbre],LstMachines[Model-Spec],PrévisionBoris[[#This Row],[Spec]],LstMachines[Status],PrévisionBoris[[#This Row],[Status]],LstMachines[MoisLivr],AP$1)</f>
        <v>0</v>
      </c>
      <c r="AQ323" s="207">
        <f>SUMIFS(LstMachines[Nbre],LstMachines[Model-Spec],PrévisionBoris[[#This Row],[Spec]],LstMachines[Status],PrévisionBoris[[#This Row],[Status]],LstMachines[MoisLivr],AQ$1)</f>
        <v>0</v>
      </c>
      <c r="AR323" s="206">
        <f>SUMIFS(LstMachines[Nbre],LstMachines[Model-Spec],PrévisionBoris[[#This Row],[Spec]],LstMachines[Status],PrévisionBoris[[#This Row],[Status]],LstMachines[MoisLivr],AR$1)</f>
        <v>0</v>
      </c>
      <c r="AS323" s="207">
        <f>SUMIFS(LstMachines[Nbre],LstMachines[Model-Spec],PrévisionBoris[[#This Row],[Spec]],LstMachines[Status],PrévisionBoris[[#This Row],[Status]],LstMachines[MoisLivr],AS$1)</f>
        <v>0</v>
      </c>
      <c r="AT323" s="207">
        <f>SUMIFS(LstMachines[Nbre],LstMachines[Model-Spec],PrévisionBoris[[#This Row],[Spec]],LstMachines[Status],PrévisionBoris[[#This Row],[Status]],LstMachines[MoisLivr],AT$1)</f>
        <v>0</v>
      </c>
      <c r="AU323" s="206">
        <f>SUMIFS(LstMachines[Nbre],LstMachines[Model-Spec],PrévisionBoris[[#This Row],[Spec]],LstMachines[Status],PrévisionBoris[[#This Row],[Status]],LstMachines[MoisLivr],AU$1)</f>
        <v>0</v>
      </c>
      <c r="AV323" s="233">
        <f>SUMIFS(LstMachines[Nbre],LstMachines[Model-Spec],PrévisionBoris[[#This Row],[Spec]],LstMachines[Status],PrévisionBoris[[#This Row],[Status]],LstMachines[MoisLivr],AV$1)</f>
        <v>0</v>
      </c>
      <c r="AW323" s="208">
        <f>SUMIFS(LstMachines[Nbre],LstMachines[Model-Spec],PrévisionBoris[[#This Row],[Spec]],LstMachines[Status],PrévisionBoris[[#This Row],[Status]],LstMachines[MoisLivr],AW$1)</f>
        <v>0</v>
      </c>
      <c r="AX323" s="225"/>
      <c r="AY323" s="211">
        <f t="shared" si="67"/>
        <v>0</v>
      </c>
      <c r="AZ323" s="212">
        <f t="shared" si="68"/>
        <v>0</v>
      </c>
      <c r="BA323" s="212">
        <f t="shared" si="69"/>
        <v>0</v>
      </c>
      <c r="BB323" s="213">
        <f t="shared" si="70"/>
        <v>0</v>
      </c>
      <c r="BC323" s="225">
        <f t="shared" si="71"/>
        <v>0</v>
      </c>
      <c r="BD323" s="211">
        <f t="shared" si="72"/>
        <v>0</v>
      </c>
      <c r="BE323" s="212">
        <f t="shared" si="73"/>
        <v>0</v>
      </c>
      <c r="BF323" s="212">
        <f t="shared" si="74"/>
        <v>0</v>
      </c>
      <c r="BG323" s="213">
        <f t="shared" si="75"/>
        <v>0</v>
      </c>
      <c r="BH323" s="225">
        <f t="shared" si="76"/>
        <v>0</v>
      </c>
      <c r="BI323" s="214">
        <f t="shared" si="77"/>
        <v>0</v>
      </c>
      <c r="BJ323" s="215">
        <f t="shared" si="78"/>
        <v>0</v>
      </c>
      <c r="BK323" s="215">
        <f t="shared" si="79"/>
        <v>0</v>
      </c>
      <c r="BL323" s="216">
        <f t="shared" si="80"/>
        <v>0</v>
      </c>
      <c r="BM323" s="225">
        <f t="shared" si="81"/>
        <v>0</v>
      </c>
      <c r="BN323" s="225"/>
      <c r="BO323" s="234"/>
      <c r="BP323" s="218">
        <f t="shared" si="82"/>
        <v>0</v>
      </c>
    </row>
    <row r="324" spans="1:68">
      <c r="A324" s="170">
        <v>317</v>
      </c>
      <c r="B324" s="170" t="s">
        <v>223</v>
      </c>
      <c r="C324" s="200">
        <v>140</v>
      </c>
      <c r="D324" s="170" t="s">
        <v>224</v>
      </c>
      <c r="E324" s="170" t="s">
        <v>226</v>
      </c>
      <c r="F324" s="200">
        <f>VLOOKUP(PrévisionBoris[[#This Row],[Spec]],TabModelSpecs[[ModelSpec]:[Price]],2,FALSE)</f>
        <v>110</v>
      </c>
      <c r="G324" s="170" t="s">
        <v>462</v>
      </c>
      <c r="H324" s="219">
        <f>SUMIFS(LstMachines[Nbre],LstMachines[Model-Spec],PrévisionBoris[[#This Row],[Spec]],LstMachines[Status],PrévisionBoris[[#This Row],[Status]],LstMachines[MoisLivr],H$1)</f>
        <v>0</v>
      </c>
      <c r="I324" s="220">
        <f>SUMIFS(LstMachines[Nbre],LstMachines[Model-Spec],PrévisionBoris[[#This Row],[Spec]],LstMachines[Status],PrévisionBoris[[#This Row],[Status]],LstMachines[MoisLivr],I$1)</f>
        <v>0</v>
      </c>
      <c r="J324" s="221">
        <f>SUMIFS(LstMachines[Nbre],LstMachines[Model-Spec],PrévisionBoris[[#This Row],[Spec]],LstMachines[Status],PrévisionBoris[[#This Row],[Status]],LstMachines[MoisLivr],J$1)</f>
        <v>0</v>
      </c>
      <c r="K324" s="219">
        <f>SUMIFS(LstMachines[Nbre],LstMachines[Model-Spec],PrévisionBoris[[#This Row],[Spec]],LstMachines[Status],PrévisionBoris[[#This Row],[Status]],LstMachines[MoisLivr],K$1)</f>
        <v>0</v>
      </c>
      <c r="L324" s="220">
        <f>SUMIFS(LstMachines[Nbre],LstMachines[Model-Spec],PrévisionBoris[[#This Row],[Spec]],LstMachines[Status],PrévisionBoris[[#This Row],[Status]],LstMachines[MoisLivr],L$1)</f>
        <v>0</v>
      </c>
      <c r="M324" s="221">
        <f>SUMIFS(LstMachines[Nbre],LstMachines[Model-Spec],PrévisionBoris[[#This Row],[Spec]],LstMachines[Status],PrévisionBoris[[#This Row],[Status]],LstMachines[MoisLivr],M$1)</f>
        <v>0</v>
      </c>
      <c r="N324" s="219">
        <f>SUMIFS(LstMachines[Nbre],LstMachines[Model-Spec],PrévisionBoris[[#This Row],[Spec]],LstMachines[Status],PrévisionBoris[[#This Row],[Status]],LstMachines[MoisLivr],N$1)</f>
        <v>0</v>
      </c>
      <c r="O324" s="220">
        <f>SUMIFS(LstMachines[Nbre],LstMachines[Model-Spec],PrévisionBoris[[#This Row],[Spec]],LstMachines[Status],PrévisionBoris[[#This Row],[Status]],LstMachines[MoisLivr],O$1)</f>
        <v>0</v>
      </c>
      <c r="P324" s="221">
        <f>SUMIFS(LstMachines[Nbre],LstMachines[Model-Spec],PrévisionBoris[[#This Row],[Spec]],LstMachines[Status],PrévisionBoris[[#This Row],[Status]],LstMachines[MoisLivr],P$1)</f>
        <v>0</v>
      </c>
      <c r="Q324" s="222">
        <f>SUMIFS(LstMachines[Nbre],LstMachines[Model-Spec],PrévisionBoris[[#This Row],[Spec]],LstMachines[Status],PrévisionBoris[[#This Row],[Status]],LstMachines[MoisLivr],Q$1)</f>
        <v>0</v>
      </c>
      <c r="R324" s="220">
        <f>SUMIFS(LstMachines[Nbre],LstMachines[Model-Spec],PrévisionBoris[[#This Row],[Spec]],LstMachines[Status],PrévisionBoris[[#This Row],[Status]],LstMachines[MoisLivr],R$1)</f>
        <v>0</v>
      </c>
      <c r="S324" s="220">
        <f>SUMIFS(LstMachines[Nbre],LstMachines[Model-Spec],PrévisionBoris[[#This Row],[Spec]],LstMachines[Status],PrévisionBoris[[#This Row],[Status]],LstMachines[MoisLivr],S$1)</f>
        <v>0</v>
      </c>
      <c r="T324" s="219">
        <f>SUMIFS(LstMachines[Nbre],LstMachines[Model-Spec],PrévisionBoris[[#This Row],[Spec]],LstMachines[Status],PrévisionBoris[[#This Row],[Status]],LstMachines[MoisLivr],T$1)</f>
        <v>0</v>
      </c>
      <c r="U324" s="220">
        <f>SUMIFS(LstMachines[Nbre],LstMachines[Model-Spec],PrévisionBoris[[#This Row],[Spec]],LstMachines[Status],PrévisionBoris[[#This Row],[Status]],LstMachines[MoisLivr],U$1)</f>
        <v>0</v>
      </c>
      <c r="V324" s="220">
        <f>SUMIFS(LstMachines[Nbre],LstMachines[Model-Spec],PrévisionBoris[[#This Row],[Spec]],LstMachines[Status],PrévisionBoris[[#This Row],[Status]],LstMachines[MoisLivr],V$1)</f>
        <v>0</v>
      </c>
      <c r="W324" s="219">
        <f>SUMIFS(LstMachines[Nbre],LstMachines[Model-Spec],PrévisionBoris[[#This Row],[Spec]],LstMachines[Status],PrévisionBoris[[#This Row],[Status]],LstMachines[MoisLivr],W$1)</f>
        <v>0</v>
      </c>
      <c r="X324" s="220">
        <f>SUMIFS(LstMachines[Nbre],LstMachines[Model-Spec],PrévisionBoris[[#This Row],[Spec]],LstMachines[Status],PrévisionBoris[[#This Row],[Status]],LstMachines[MoisLivr],X$1)</f>
        <v>0</v>
      </c>
      <c r="Y324" s="220">
        <f>SUMIFS(LstMachines[Nbre],LstMachines[Model-Spec],PrévisionBoris[[#This Row],[Spec]],LstMachines[Status],PrévisionBoris[[#This Row],[Status]],LstMachines[MoisLivr],Y$1)</f>
        <v>0</v>
      </c>
      <c r="Z324" s="219">
        <f>SUMIFS(LstMachines[Nbre],LstMachines[Model-Spec],PrévisionBoris[[#This Row],[Spec]],LstMachines[Status],PrévisionBoris[[#This Row],[Status]],LstMachines[MoisLivr],Z$1)</f>
        <v>0</v>
      </c>
      <c r="AA324" s="220">
        <f>SUMIFS(LstMachines[Nbre],LstMachines[Model-Spec],PrévisionBoris[[#This Row],[Spec]],LstMachines[Status],PrévisionBoris[[#This Row],[Status]],LstMachines[MoisLivr],AA$1)</f>
        <v>0</v>
      </c>
      <c r="AB324" s="220">
        <f>SUMIFS(LstMachines[Nbre],LstMachines[Model-Spec],PrévisionBoris[[#This Row],[Spec]],LstMachines[Status],PrévisionBoris[[#This Row],[Status]],LstMachines[MoisLivr],AB$1)</f>
        <v>0</v>
      </c>
      <c r="AC324" s="219">
        <f>SUMIFS(LstMachines[Nbre],LstMachines[Model-Spec],PrévisionBoris[[#This Row],[Spec]],LstMachines[Status],PrévisionBoris[[#This Row],[Status]],LstMachines[MoisLivr],AC$1)</f>
        <v>0</v>
      </c>
      <c r="AD324" s="220">
        <f>SUMIFS(LstMachines[Nbre],LstMachines[Model-Spec],PrévisionBoris[[#This Row],[Spec]],LstMachines[Status],PrévisionBoris[[#This Row],[Status]],LstMachines[MoisLivr],AD$1)</f>
        <v>0</v>
      </c>
      <c r="AE324" s="220">
        <f>SUMIFS(LstMachines[Nbre],LstMachines[Model-Spec],PrévisionBoris[[#This Row],[Spec]],LstMachines[Status],PrévisionBoris[[#This Row],[Status]],LstMachines[MoisLivr],AE$1)</f>
        <v>0</v>
      </c>
      <c r="AF324" s="219">
        <f>SUMIFS(LstMachines[Nbre],LstMachines[Model-Spec],PrévisionBoris[[#This Row],[Spec]],LstMachines[Status],PrévisionBoris[[#This Row],[Status]],LstMachines[MoisLivr],AF$1)</f>
        <v>0</v>
      </c>
      <c r="AG324" s="220">
        <f>SUMIFS(LstMachines[Nbre],LstMachines[Model-Spec],PrévisionBoris[[#This Row],[Spec]],LstMachines[Status],PrévisionBoris[[#This Row],[Status]],LstMachines[MoisLivr],AG$1)</f>
        <v>0</v>
      </c>
      <c r="AH324" s="220">
        <f>SUMIFS(LstMachines[Nbre],LstMachines[Model-Spec],PrévisionBoris[[#This Row],[Spec]],LstMachines[Status],PrévisionBoris[[#This Row],[Status]],LstMachines[MoisLivr],AH$1)</f>
        <v>0</v>
      </c>
      <c r="AI324" s="219">
        <f>SUMIFS(LstMachines[Nbre],LstMachines[Model-Spec],PrévisionBoris[[#This Row],[Spec]],LstMachines[Status],PrévisionBoris[[#This Row],[Status]],LstMachines[MoisLivr],AI$1)</f>
        <v>0</v>
      </c>
      <c r="AJ324" s="220">
        <f>SUMIFS(LstMachines[Nbre],LstMachines[Model-Spec],PrévisionBoris[[#This Row],[Spec]],LstMachines[Status],PrévisionBoris[[#This Row],[Status]],LstMachines[MoisLivr],AJ$1)</f>
        <v>0</v>
      </c>
      <c r="AK324" s="220">
        <f>SUMIFS(LstMachines[Nbre],LstMachines[Model-Spec],PrévisionBoris[[#This Row],[Spec]],LstMachines[Status],PrévisionBoris[[#This Row],[Status]],LstMachines[MoisLivr],AK$1)</f>
        <v>0</v>
      </c>
      <c r="AL324" s="219">
        <f>SUMIFS(LstMachines[Nbre],LstMachines[Model-Spec],PrévisionBoris[[#This Row],[Spec]],LstMachines[Status],PrévisionBoris[[#This Row],[Status]],LstMachines[MoisLivr],AL$1)</f>
        <v>0</v>
      </c>
      <c r="AM324" s="220">
        <f>SUMIFS(LstMachines[Nbre],LstMachines[Model-Spec],PrévisionBoris[[#This Row],[Spec]],LstMachines[Status],PrévisionBoris[[#This Row],[Status]],LstMachines[MoisLivr],AM$1)</f>
        <v>0</v>
      </c>
      <c r="AN324" s="220">
        <f>SUMIFS(LstMachines[Nbre],LstMachines[Model-Spec],PrévisionBoris[[#This Row],[Spec]],LstMachines[Status],PrévisionBoris[[#This Row],[Status]],LstMachines[MoisLivr],AN$1)</f>
        <v>0</v>
      </c>
      <c r="AO324" s="219">
        <f>SUMIFS(LstMachines[Nbre],LstMachines[Model-Spec],PrévisionBoris[[#This Row],[Spec]],LstMachines[Status],PrévisionBoris[[#This Row],[Status]],LstMachines[MoisLivr],AO$1)</f>
        <v>0</v>
      </c>
      <c r="AP324" s="220">
        <f>SUMIFS(LstMachines[Nbre],LstMachines[Model-Spec],PrévisionBoris[[#This Row],[Spec]],LstMachines[Status],PrévisionBoris[[#This Row],[Status]],LstMachines[MoisLivr],AP$1)</f>
        <v>0</v>
      </c>
      <c r="AQ324" s="220">
        <f>SUMIFS(LstMachines[Nbre],LstMachines[Model-Spec],PrévisionBoris[[#This Row],[Spec]],LstMachines[Status],PrévisionBoris[[#This Row],[Status]],LstMachines[MoisLivr],AQ$1)</f>
        <v>0</v>
      </c>
      <c r="AR324" s="219">
        <f>SUMIFS(LstMachines[Nbre],LstMachines[Model-Spec],PrévisionBoris[[#This Row],[Spec]],LstMachines[Status],PrévisionBoris[[#This Row],[Status]],LstMachines[MoisLivr],AR$1)</f>
        <v>0</v>
      </c>
      <c r="AS324" s="220">
        <f>SUMIFS(LstMachines[Nbre],LstMachines[Model-Spec],PrévisionBoris[[#This Row],[Spec]],LstMachines[Status],PrévisionBoris[[#This Row],[Status]],LstMachines[MoisLivr],AS$1)</f>
        <v>0</v>
      </c>
      <c r="AT324" s="220">
        <f>SUMIFS(LstMachines[Nbre],LstMachines[Model-Spec],PrévisionBoris[[#This Row],[Spec]],LstMachines[Status],PrévisionBoris[[#This Row],[Status]],LstMachines[MoisLivr],AT$1)</f>
        <v>0</v>
      </c>
      <c r="AU324" s="219">
        <f>SUMIFS(LstMachines[Nbre],LstMachines[Model-Spec],PrévisionBoris[[#This Row],[Spec]],LstMachines[Status],PrévisionBoris[[#This Row],[Status]],LstMachines[MoisLivr],AU$1)</f>
        <v>0</v>
      </c>
      <c r="AV324" s="223">
        <f>SUMIFS(LstMachines[Nbre],LstMachines[Model-Spec],PrévisionBoris[[#This Row],[Spec]],LstMachines[Status],PrévisionBoris[[#This Row],[Status]],LstMachines[MoisLivr],AV$1)</f>
        <v>0</v>
      </c>
      <c r="AW324" s="224">
        <f>SUMIFS(LstMachines[Nbre],LstMachines[Model-Spec],PrévisionBoris[[#This Row],[Spec]],LstMachines[Status],PrévisionBoris[[#This Row],[Status]],LstMachines[MoisLivr],AW$1)</f>
        <v>0</v>
      </c>
      <c r="AX324" s="210"/>
      <c r="AY324" s="211">
        <f t="shared" si="67"/>
        <v>0</v>
      </c>
      <c r="AZ324" s="212">
        <f t="shared" si="68"/>
        <v>0</v>
      </c>
      <c r="BA324" s="212">
        <f t="shared" si="69"/>
        <v>0</v>
      </c>
      <c r="BB324" s="213">
        <f t="shared" si="70"/>
        <v>0</v>
      </c>
      <c r="BC324" s="225">
        <f t="shared" si="71"/>
        <v>0</v>
      </c>
      <c r="BD324" s="211">
        <f t="shared" si="72"/>
        <v>0</v>
      </c>
      <c r="BE324" s="212">
        <f t="shared" si="73"/>
        <v>0</v>
      </c>
      <c r="BF324" s="212">
        <f t="shared" si="74"/>
        <v>0</v>
      </c>
      <c r="BG324" s="213">
        <f t="shared" si="75"/>
        <v>0</v>
      </c>
      <c r="BH324" s="225">
        <f t="shared" si="76"/>
        <v>0</v>
      </c>
      <c r="BI324" s="214">
        <f t="shared" si="77"/>
        <v>0</v>
      </c>
      <c r="BJ324" s="215">
        <f t="shared" si="78"/>
        <v>0</v>
      </c>
      <c r="BK324" s="215">
        <f t="shared" si="79"/>
        <v>0</v>
      </c>
      <c r="BL324" s="216">
        <f t="shared" si="80"/>
        <v>0</v>
      </c>
      <c r="BM324" s="225">
        <f t="shared" si="81"/>
        <v>0</v>
      </c>
      <c r="BN324" s="225"/>
      <c r="BO324" s="217"/>
      <c r="BP324" s="218">
        <f t="shared" si="82"/>
        <v>0</v>
      </c>
    </row>
    <row r="325" spans="1:68">
      <c r="A325" s="171">
        <v>318</v>
      </c>
      <c r="B325" s="171" t="s">
        <v>223</v>
      </c>
      <c r="C325" s="201">
        <v>140</v>
      </c>
      <c r="D325" s="171" t="s">
        <v>224</v>
      </c>
      <c r="E325" s="171" t="s">
        <v>226</v>
      </c>
      <c r="F325" s="201">
        <f>VLOOKUP(PrévisionBoris[[#This Row],[Spec]],TabModelSpecs[[ModelSpec]:[Price]],2,FALSE)</f>
        <v>110</v>
      </c>
      <c r="G325" s="171" t="s">
        <v>463</v>
      </c>
      <c r="H325" s="226">
        <f>SUMIFS(LstMachines[Nbre],LstMachines[Model-Spec],PrévisionBoris[[#This Row],[Spec]],LstMachines[Status],PrévisionBoris[[#This Row],[Status]],LstMachines[MoisLivr],H$1)</f>
        <v>0</v>
      </c>
      <c r="I325" s="227">
        <f>SUMIFS(LstMachines[Nbre],LstMachines[Model-Spec],PrévisionBoris[[#This Row],[Spec]],LstMachines[Status],PrévisionBoris[[#This Row],[Status]],LstMachines[MoisLivr],I$1)</f>
        <v>0</v>
      </c>
      <c r="J325" s="228">
        <f>SUMIFS(LstMachines[Nbre],LstMachines[Model-Spec],PrévisionBoris[[#This Row],[Spec]],LstMachines[Status],PrévisionBoris[[#This Row],[Status]],LstMachines[MoisLivr],J$1)</f>
        <v>0</v>
      </c>
      <c r="K325" s="226">
        <f>SUMIFS(LstMachines[Nbre],LstMachines[Model-Spec],PrévisionBoris[[#This Row],[Spec]],LstMachines[Status],PrévisionBoris[[#This Row],[Status]],LstMachines[MoisLivr],K$1)</f>
        <v>0</v>
      </c>
      <c r="L325" s="227">
        <f>SUMIFS(LstMachines[Nbre],LstMachines[Model-Spec],PrévisionBoris[[#This Row],[Spec]],LstMachines[Status],PrévisionBoris[[#This Row],[Status]],LstMachines[MoisLivr],L$1)</f>
        <v>0</v>
      </c>
      <c r="M325" s="228">
        <f>SUMIFS(LstMachines[Nbre],LstMachines[Model-Spec],PrévisionBoris[[#This Row],[Spec]],LstMachines[Status],PrévisionBoris[[#This Row],[Status]],LstMachines[MoisLivr],M$1)</f>
        <v>0</v>
      </c>
      <c r="N325" s="226">
        <f>SUMIFS(LstMachines[Nbre],LstMachines[Model-Spec],PrévisionBoris[[#This Row],[Spec]],LstMachines[Status],PrévisionBoris[[#This Row],[Status]],LstMachines[MoisLivr],N$1)</f>
        <v>0</v>
      </c>
      <c r="O325" s="227">
        <f>SUMIFS(LstMachines[Nbre],LstMachines[Model-Spec],PrévisionBoris[[#This Row],[Spec]],LstMachines[Status],PrévisionBoris[[#This Row],[Status]],LstMachines[MoisLivr],O$1)</f>
        <v>0</v>
      </c>
      <c r="P325" s="228">
        <f>SUMIFS(LstMachines[Nbre],LstMachines[Model-Spec],PrévisionBoris[[#This Row],[Spec]],LstMachines[Status],PrévisionBoris[[#This Row],[Status]],LstMachines[MoisLivr],P$1)</f>
        <v>0</v>
      </c>
      <c r="Q325" s="229">
        <f>SUMIFS(LstMachines[Nbre],LstMachines[Model-Spec],PrévisionBoris[[#This Row],[Spec]],LstMachines[Status],PrévisionBoris[[#This Row],[Status]],LstMachines[MoisLivr],Q$1)</f>
        <v>0</v>
      </c>
      <c r="R325" s="227">
        <f>SUMIFS(LstMachines[Nbre],LstMachines[Model-Spec],PrévisionBoris[[#This Row],[Spec]],LstMachines[Status],PrévisionBoris[[#This Row],[Status]],LstMachines[MoisLivr],R$1)</f>
        <v>0</v>
      </c>
      <c r="S325" s="227">
        <f>SUMIFS(LstMachines[Nbre],LstMachines[Model-Spec],PrévisionBoris[[#This Row],[Spec]],LstMachines[Status],PrévisionBoris[[#This Row],[Status]],LstMachines[MoisLivr],S$1)</f>
        <v>0</v>
      </c>
      <c r="T325" s="226">
        <f>SUMIFS(LstMachines[Nbre],LstMachines[Model-Spec],PrévisionBoris[[#This Row],[Spec]],LstMachines[Status],PrévisionBoris[[#This Row],[Status]],LstMachines[MoisLivr],T$1)</f>
        <v>0</v>
      </c>
      <c r="U325" s="227">
        <f>SUMIFS(LstMachines[Nbre],LstMachines[Model-Spec],PrévisionBoris[[#This Row],[Spec]],LstMachines[Status],PrévisionBoris[[#This Row],[Status]],LstMachines[MoisLivr],U$1)</f>
        <v>0</v>
      </c>
      <c r="V325" s="227">
        <f>SUMIFS(LstMachines[Nbre],LstMachines[Model-Spec],PrévisionBoris[[#This Row],[Spec]],LstMachines[Status],PrévisionBoris[[#This Row],[Status]],LstMachines[MoisLivr],V$1)</f>
        <v>0</v>
      </c>
      <c r="W325" s="226">
        <f>SUMIFS(LstMachines[Nbre],LstMachines[Model-Spec],PrévisionBoris[[#This Row],[Spec]],LstMachines[Status],PrévisionBoris[[#This Row],[Status]],LstMachines[MoisLivr],W$1)</f>
        <v>0</v>
      </c>
      <c r="X325" s="227">
        <f>SUMIFS(LstMachines[Nbre],LstMachines[Model-Spec],PrévisionBoris[[#This Row],[Spec]],LstMachines[Status],PrévisionBoris[[#This Row],[Status]],LstMachines[MoisLivr],X$1)</f>
        <v>0</v>
      </c>
      <c r="Y325" s="227">
        <f>SUMIFS(LstMachines[Nbre],LstMachines[Model-Spec],PrévisionBoris[[#This Row],[Spec]],LstMachines[Status],PrévisionBoris[[#This Row],[Status]],LstMachines[MoisLivr],Y$1)</f>
        <v>0</v>
      </c>
      <c r="Z325" s="226">
        <f>SUMIFS(LstMachines[Nbre],LstMachines[Model-Spec],PrévisionBoris[[#This Row],[Spec]],LstMachines[Status],PrévisionBoris[[#This Row],[Status]],LstMachines[MoisLivr],Z$1)</f>
        <v>0</v>
      </c>
      <c r="AA325" s="227">
        <f>SUMIFS(LstMachines[Nbre],LstMachines[Model-Spec],PrévisionBoris[[#This Row],[Spec]],LstMachines[Status],PrévisionBoris[[#This Row],[Status]],LstMachines[MoisLivr],AA$1)</f>
        <v>0</v>
      </c>
      <c r="AB325" s="227">
        <f>SUMIFS(LstMachines[Nbre],LstMachines[Model-Spec],PrévisionBoris[[#This Row],[Spec]],LstMachines[Status],PrévisionBoris[[#This Row],[Status]],LstMachines[MoisLivr],AB$1)</f>
        <v>0</v>
      </c>
      <c r="AC325" s="226">
        <f>SUMIFS(LstMachines[Nbre],LstMachines[Model-Spec],PrévisionBoris[[#This Row],[Spec]],LstMachines[Status],PrévisionBoris[[#This Row],[Status]],LstMachines[MoisLivr],AC$1)</f>
        <v>0</v>
      </c>
      <c r="AD325" s="227">
        <f>SUMIFS(LstMachines[Nbre],LstMachines[Model-Spec],PrévisionBoris[[#This Row],[Spec]],LstMachines[Status],PrévisionBoris[[#This Row],[Status]],LstMachines[MoisLivr],AD$1)</f>
        <v>0</v>
      </c>
      <c r="AE325" s="227">
        <f>SUMIFS(LstMachines[Nbre],LstMachines[Model-Spec],PrévisionBoris[[#This Row],[Spec]],LstMachines[Status],PrévisionBoris[[#This Row],[Status]],LstMachines[MoisLivr],AE$1)</f>
        <v>0</v>
      </c>
      <c r="AF325" s="226">
        <f>SUMIFS(LstMachines[Nbre],LstMachines[Model-Spec],PrévisionBoris[[#This Row],[Spec]],LstMachines[Status],PrévisionBoris[[#This Row],[Status]],LstMachines[MoisLivr],AF$1)</f>
        <v>0</v>
      </c>
      <c r="AG325" s="227">
        <f>SUMIFS(LstMachines[Nbre],LstMachines[Model-Spec],PrévisionBoris[[#This Row],[Spec]],LstMachines[Status],PrévisionBoris[[#This Row],[Status]],LstMachines[MoisLivr],AG$1)</f>
        <v>0</v>
      </c>
      <c r="AH325" s="227">
        <f>SUMIFS(LstMachines[Nbre],LstMachines[Model-Spec],PrévisionBoris[[#This Row],[Spec]],LstMachines[Status],PrévisionBoris[[#This Row],[Status]],LstMachines[MoisLivr],AH$1)</f>
        <v>0</v>
      </c>
      <c r="AI325" s="226">
        <f>SUMIFS(LstMachines[Nbre],LstMachines[Model-Spec],PrévisionBoris[[#This Row],[Spec]],LstMachines[Status],PrévisionBoris[[#This Row],[Status]],LstMachines[MoisLivr],AI$1)</f>
        <v>0</v>
      </c>
      <c r="AJ325" s="227">
        <f>SUMIFS(LstMachines[Nbre],LstMachines[Model-Spec],PrévisionBoris[[#This Row],[Spec]],LstMachines[Status],PrévisionBoris[[#This Row],[Status]],LstMachines[MoisLivr],AJ$1)</f>
        <v>0</v>
      </c>
      <c r="AK325" s="227">
        <f>SUMIFS(LstMachines[Nbre],LstMachines[Model-Spec],PrévisionBoris[[#This Row],[Spec]],LstMachines[Status],PrévisionBoris[[#This Row],[Status]],LstMachines[MoisLivr],AK$1)</f>
        <v>0</v>
      </c>
      <c r="AL325" s="226">
        <f>SUMIFS(LstMachines[Nbre],LstMachines[Model-Spec],PrévisionBoris[[#This Row],[Spec]],LstMachines[Status],PrévisionBoris[[#This Row],[Status]],LstMachines[MoisLivr],AL$1)</f>
        <v>0</v>
      </c>
      <c r="AM325" s="227">
        <f>SUMIFS(LstMachines[Nbre],LstMachines[Model-Spec],PrévisionBoris[[#This Row],[Spec]],LstMachines[Status],PrévisionBoris[[#This Row],[Status]],LstMachines[MoisLivr],AM$1)</f>
        <v>0</v>
      </c>
      <c r="AN325" s="227">
        <f>SUMIFS(LstMachines[Nbre],LstMachines[Model-Spec],PrévisionBoris[[#This Row],[Spec]],LstMachines[Status],PrévisionBoris[[#This Row],[Status]],LstMachines[MoisLivr],AN$1)</f>
        <v>0</v>
      </c>
      <c r="AO325" s="226">
        <f>SUMIFS(LstMachines[Nbre],LstMachines[Model-Spec],PrévisionBoris[[#This Row],[Spec]],LstMachines[Status],PrévisionBoris[[#This Row],[Status]],LstMachines[MoisLivr],AO$1)</f>
        <v>0</v>
      </c>
      <c r="AP325" s="227">
        <f>SUMIFS(LstMachines[Nbre],LstMachines[Model-Spec],PrévisionBoris[[#This Row],[Spec]],LstMachines[Status],PrévisionBoris[[#This Row],[Status]],LstMachines[MoisLivr],AP$1)</f>
        <v>0</v>
      </c>
      <c r="AQ325" s="227">
        <f>SUMIFS(LstMachines[Nbre],LstMachines[Model-Spec],PrévisionBoris[[#This Row],[Spec]],LstMachines[Status],PrévisionBoris[[#This Row],[Status]],LstMachines[MoisLivr],AQ$1)</f>
        <v>0</v>
      </c>
      <c r="AR325" s="226">
        <f>SUMIFS(LstMachines[Nbre],LstMachines[Model-Spec],PrévisionBoris[[#This Row],[Spec]],LstMachines[Status],PrévisionBoris[[#This Row],[Status]],LstMachines[MoisLivr],AR$1)</f>
        <v>0</v>
      </c>
      <c r="AS325" s="227">
        <f>SUMIFS(LstMachines[Nbre],LstMachines[Model-Spec],PrévisionBoris[[#This Row],[Spec]],LstMachines[Status],PrévisionBoris[[#This Row],[Status]],LstMachines[MoisLivr],AS$1)</f>
        <v>0</v>
      </c>
      <c r="AT325" s="227">
        <f>SUMIFS(LstMachines[Nbre],LstMachines[Model-Spec],PrévisionBoris[[#This Row],[Spec]],LstMachines[Status],PrévisionBoris[[#This Row],[Status]],LstMachines[MoisLivr],AT$1)</f>
        <v>0</v>
      </c>
      <c r="AU325" s="226">
        <f>SUMIFS(LstMachines[Nbre],LstMachines[Model-Spec],PrévisionBoris[[#This Row],[Spec]],LstMachines[Status],PrévisionBoris[[#This Row],[Status]],LstMachines[MoisLivr],AU$1)</f>
        <v>0</v>
      </c>
      <c r="AV325" s="230">
        <f>SUMIFS(LstMachines[Nbre],LstMachines[Model-Spec],PrévisionBoris[[#This Row],[Spec]],LstMachines[Status],PrévisionBoris[[#This Row],[Status]],LstMachines[MoisLivr],AV$1)</f>
        <v>0</v>
      </c>
      <c r="AW325" s="231">
        <f>SUMIFS(LstMachines[Nbre],LstMachines[Model-Spec],PrévisionBoris[[#This Row],[Spec]],LstMachines[Status],PrévisionBoris[[#This Row],[Status]],LstMachines[MoisLivr],AW$1)</f>
        <v>0</v>
      </c>
      <c r="AX325" s="232"/>
      <c r="AY325" s="211">
        <f t="shared" si="67"/>
        <v>0</v>
      </c>
      <c r="AZ325" s="212">
        <f t="shared" si="68"/>
        <v>0</v>
      </c>
      <c r="BA325" s="212">
        <f t="shared" si="69"/>
        <v>0</v>
      </c>
      <c r="BB325" s="213">
        <f t="shared" si="70"/>
        <v>0</v>
      </c>
      <c r="BC325" s="225">
        <f t="shared" si="71"/>
        <v>0</v>
      </c>
      <c r="BD325" s="211">
        <f t="shared" si="72"/>
        <v>0</v>
      </c>
      <c r="BE325" s="212">
        <f t="shared" si="73"/>
        <v>0</v>
      </c>
      <c r="BF325" s="212">
        <f t="shared" si="74"/>
        <v>0</v>
      </c>
      <c r="BG325" s="213">
        <f t="shared" si="75"/>
        <v>0</v>
      </c>
      <c r="BH325" s="225">
        <f t="shared" si="76"/>
        <v>0</v>
      </c>
      <c r="BI325" s="214">
        <f t="shared" si="77"/>
        <v>0</v>
      </c>
      <c r="BJ325" s="215">
        <f t="shared" si="78"/>
        <v>0</v>
      </c>
      <c r="BK325" s="215">
        <f t="shared" si="79"/>
        <v>0</v>
      </c>
      <c r="BL325" s="216">
        <f t="shared" si="80"/>
        <v>0</v>
      </c>
      <c r="BM325" s="225">
        <f t="shared" si="81"/>
        <v>0</v>
      </c>
      <c r="BN325" s="225"/>
      <c r="BO325" s="217"/>
      <c r="BP325" s="218">
        <f t="shared" si="82"/>
        <v>0</v>
      </c>
    </row>
    <row r="326" spans="1:68">
      <c r="A326" s="172">
        <v>319</v>
      </c>
      <c r="B326" s="172" t="s">
        <v>223</v>
      </c>
      <c r="C326" s="202">
        <v>145</v>
      </c>
      <c r="D326" s="172" t="s">
        <v>227</v>
      </c>
      <c r="E326" s="172" t="s">
        <v>228</v>
      </c>
      <c r="F326" s="202">
        <f>VLOOKUP(PrévisionBoris[[#This Row],[Spec]],TabModelSpecs[[ModelSpec]:[Price]],2,FALSE)</f>
        <v>115</v>
      </c>
      <c r="G326" s="172" t="s">
        <v>461</v>
      </c>
      <c r="H326" s="206">
        <f>SUMIFS(LstMachines[Nbre],LstMachines[Model-Spec],PrévisionBoris[[#This Row],[Spec]],LstMachines[Status],PrévisionBoris[[#This Row],[Status]],LstMachines[MoisLivr],H$1)</f>
        <v>0</v>
      </c>
      <c r="I326" s="207">
        <f>SUMIFS(LstMachines[Nbre],LstMachines[Model-Spec],PrévisionBoris[[#This Row],[Spec]],LstMachines[Status],PrévisionBoris[[#This Row],[Status]],LstMachines[MoisLivr],I$1)</f>
        <v>0</v>
      </c>
      <c r="J326" s="208">
        <f>SUMIFS(LstMachines[Nbre],LstMachines[Model-Spec],PrévisionBoris[[#This Row],[Spec]],LstMachines[Status],PrévisionBoris[[#This Row],[Status]],LstMachines[MoisLivr],J$1)</f>
        <v>0</v>
      </c>
      <c r="K326" s="206">
        <f>SUMIFS(LstMachines[Nbre],LstMachines[Model-Spec],PrévisionBoris[[#This Row],[Spec]],LstMachines[Status],PrévisionBoris[[#This Row],[Status]],LstMachines[MoisLivr],K$1)</f>
        <v>0</v>
      </c>
      <c r="L326" s="207">
        <f>SUMIFS(LstMachines[Nbre],LstMachines[Model-Spec],PrévisionBoris[[#This Row],[Spec]],LstMachines[Status],PrévisionBoris[[#This Row],[Status]],LstMachines[MoisLivr],L$1)</f>
        <v>0</v>
      </c>
      <c r="M326" s="208">
        <f>SUMIFS(LstMachines[Nbre],LstMachines[Model-Spec],PrévisionBoris[[#This Row],[Spec]],LstMachines[Status],PrévisionBoris[[#This Row],[Status]],LstMachines[MoisLivr],M$1)</f>
        <v>0</v>
      </c>
      <c r="N326" s="206">
        <f>SUMIFS(LstMachines[Nbre],LstMachines[Model-Spec],PrévisionBoris[[#This Row],[Spec]],LstMachines[Status],PrévisionBoris[[#This Row],[Status]],LstMachines[MoisLivr],N$1)</f>
        <v>0</v>
      </c>
      <c r="O326" s="207">
        <f>SUMIFS(LstMachines[Nbre],LstMachines[Model-Spec],PrévisionBoris[[#This Row],[Spec]],LstMachines[Status],PrévisionBoris[[#This Row],[Status]],LstMachines[MoisLivr],O$1)</f>
        <v>2</v>
      </c>
      <c r="P326" s="208">
        <f>SUMIFS(LstMachines[Nbre],LstMachines[Model-Spec],PrévisionBoris[[#This Row],[Spec]],LstMachines[Status],PrévisionBoris[[#This Row],[Status]],LstMachines[MoisLivr],P$1)</f>
        <v>0</v>
      </c>
      <c r="Q326" s="209">
        <f>SUMIFS(LstMachines[Nbre],LstMachines[Model-Spec],PrévisionBoris[[#This Row],[Spec]],LstMachines[Status],PrévisionBoris[[#This Row],[Status]],LstMachines[MoisLivr],Q$1)</f>
        <v>1</v>
      </c>
      <c r="R326" s="207">
        <f>SUMIFS(LstMachines[Nbre],LstMachines[Model-Spec],PrévisionBoris[[#This Row],[Spec]],LstMachines[Status],PrévisionBoris[[#This Row],[Status]],LstMachines[MoisLivr],R$1)</f>
        <v>0</v>
      </c>
      <c r="S326" s="207">
        <f>SUMIFS(LstMachines[Nbre],LstMachines[Model-Spec],PrévisionBoris[[#This Row],[Spec]],LstMachines[Status],PrévisionBoris[[#This Row],[Status]],LstMachines[MoisLivr],S$1)</f>
        <v>1</v>
      </c>
      <c r="T326" s="206">
        <f>SUMIFS(LstMachines[Nbre],LstMachines[Model-Spec],PrévisionBoris[[#This Row],[Spec]],LstMachines[Status],PrévisionBoris[[#This Row],[Status]],LstMachines[MoisLivr],T$1)</f>
        <v>1</v>
      </c>
      <c r="U326" s="207">
        <f>SUMIFS(LstMachines[Nbre],LstMachines[Model-Spec],PrévisionBoris[[#This Row],[Spec]],LstMachines[Status],PrévisionBoris[[#This Row],[Status]],LstMachines[MoisLivr],U$1)</f>
        <v>0</v>
      </c>
      <c r="V326" s="207">
        <f>SUMIFS(LstMachines[Nbre],LstMachines[Model-Spec],PrévisionBoris[[#This Row],[Spec]],LstMachines[Status],PrévisionBoris[[#This Row],[Status]],LstMachines[MoisLivr],V$1)</f>
        <v>0</v>
      </c>
      <c r="W326" s="206">
        <f>SUMIFS(LstMachines[Nbre],LstMachines[Model-Spec],PrévisionBoris[[#This Row],[Spec]],LstMachines[Status],PrévisionBoris[[#This Row],[Status]],LstMachines[MoisLivr],W$1)</f>
        <v>0</v>
      </c>
      <c r="X326" s="207">
        <f>SUMIFS(LstMachines[Nbre],LstMachines[Model-Spec],PrévisionBoris[[#This Row],[Spec]],LstMachines[Status],PrévisionBoris[[#This Row],[Status]],LstMachines[MoisLivr],X$1)</f>
        <v>0</v>
      </c>
      <c r="Y326" s="207">
        <f>SUMIFS(LstMachines[Nbre],LstMachines[Model-Spec],PrévisionBoris[[#This Row],[Spec]],LstMachines[Status],PrévisionBoris[[#This Row],[Status]],LstMachines[MoisLivr],Y$1)</f>
        <v>0</v>
      </c>
      <c r="Z326" s="206">
        <f>SUMIFS(LstMachines[Nbre],LstMachines[Model-Spec],PrévisionBoris[[#This Row],[Spec]],LstMachines[Status],PrévisionBoris[[#This Row],[Status]],LstMachines[MoisLivr],Z$1)</f>
        <v>0</v>
      </c>
      <c r="AA326" s="207">
        <f>SUMIFS(LstMachines[Nbre],LstMachines[Model-Spec],PrévisionBoris[[#This Row],[Spec]],LstMachines[Status],PrévisionBoris[[#This Row],[Status]],LstMachines[MoisLivr],AA$1)</f>
        <v>0</v>
      </c>
      <c r="AB326" s="207">
        <f>SUMIFS(LstMachines[Nbre],LstMachines[Model-Spec],PrévisionBoris[[#This Row],[Spec]],LstMachines[Status],PrévisionBoris[[#This Row],[Status]],LstMachines[MoisLivr],AB$1)</f>
        <v>6</v>
      </c>
      <c r="AC326" s="206">
        <f>SUMIFS(LstMachines[Nbre],LstMachines[Model-Spec],PrévisionBoris[[#This Row],[Spec]],LstMachines[Status],PrévisionBoris[[#This Row],[Status]],LstMachines[MoisLivr],AC$1)</f>
        <v>0</v>
      </c>
      <c r="AD326" s="207">
        <f>SUMIFS(LstMachines[Nbre],LstMachines[Model-Spec],PrévisionBoris[[#This Row],[Spec]],LstMachines[Status],PrévisionBoris[[#This Row],[Status]],LstMachines[MoisLivr],AD$1)</f>
        <v>0</v>
      </c>
      <c r="AE326" s="207">
        <f>SUMIFS(LstMachines[Nbre],LstMachines[Model-Spec],PrévisionBoris[[#This Row],[Spec]],LstMachines[Status],PrévisionBoris[[#This Row],[Status]],LstMachines[MoisLivr],AE$1)</f>
        <v>0</v>
      </c>
      <c r="AF326" s="206">
        <f>SUMIFS(LstMachines[Nbre],LstMachines[Model-Spec],PrévisionBoris[[#This Row],[Spec]],LstMachines[Status],PrévisionBoris[[#This Row],[Status]],LstMachines[MoisLivr],AF$1)</f>
        <v>0</v>
      </c>
      <c r="AG326" s="207">
        <f>SUMIFS(LstMachines[Nbre],LstMachines[Model-Spec],PrévisionBoris[[#This Row],[Spec]],LstMachines[Status],PrévisionBoris[[#This Row],[Status]],LstMachines[MoisLivr],AG$1)</f>
        <v>0</v>
      </c>
      <c r="AH326" s="207">
        <f>SUMIFS(LstMachines[Nbre],LstMachines[Model-Spec],PrévisionBoris[[#This Row],[Spec]],LstMachines[Status],PrévisionBoris[[#This Row],[Status]],LstMachines[MoisLivr],AH$1)</f>
        <v>0</v>
      </c>
      <c r="AI326" s="206">
        <f>SUMIFS(LstMachines[Nbre],LstMachines[Model-Spec],PrévisionBoris[[#This Row],[Spec]],LstMachines[Status],PrévisionBoris[[#This Row],[Status]],LstMachines[MoisLivr],AI$1)</f>
        <v>0</v>
      </c>
      <c r="AJ326" s="207">
        <f>SUMIFS(LstMachines[Nbre],LstMachines[Model-Spec],PrévisionBoris[[#This Row],[Spec]],LstMachines[Status],PrévisionBoris[[#This Row],[Status]],LstMachines[MoisLivr],AJ$1)</f>
        <v>0</v>
      </c>
      <c r="AK326" s="207">
        <f>SUMIFS(LstMachines[Nbre],LstMachines[Model-Spec],PrévisionBoris[[#This Row],[Spec]],LstMachines[Status],PrévisionBoris[[#This Row],[Status]],LstMachines[MoisLivr],AK$1)</f>
        <v>0</v>
      </c>
      <c r="AL326" s="206">
        <f>SUMIFS(LstMachines[Nbre],LstMachines[Model-Spec],PrévisionBoris[[#This Row],[Spec]],LstMachines[Status],PrévisionBoris[[#This Row],[Status]],LstMachines[MoisLivr],AL$1)</f>
        <v>0</v>
      </c>
      <c r="AM326" s="207">
        <f>SUMIFS(LstMachines[Nbre],LstMachines[Model-Spec],PrévisionBoris[[#This Row],[Spec]],LstMachines[Status],PrévisionBoris[[#This Row],[Status]],LstMachines[MoisLivr],AM$1)</f>
        <v>0</v>
      </c>
      <c r="AN326" s="207">
        <f>SUMIFS(LstMachines[Nbre],LstMachines[Model-Spec],PrévisionBoris[[#This Row],[Spec]],LstMachines[Status],PrévisionBoris[[#This Row],[Status]],LstMachines[MoisLivr],AN$1)</f>
        <v>5</v>
      </c>
      <c r="AO326" s="206">
        <f>SUMIFS(LstMachines[Nbre],LstMachines[Model-Spec],PrévisionBoris[[#This Row],[Spec]],LstMachines[Status],PrévisionBoris[[#This Row],[Status]],LstMachines[MoisLivr],AO$1)</f>
        <v>0</v>
      </c>
      <c r="AP326" s="207">
        <f>SUMIFS(LstMachines[Nbre],LstMachines[Model-Spec],PrévisionBoris[[#This Row],[Spec]],LstMachines[Status],PrévisionBoris[[#This Row],[Status]],LstMachines[MoisLivr],AP$1)</f>
        <v>0</v>
      </c>
      <c r="AQ326" s="207">
        <f>SUMIFS(LstMachines[Nbre],LstMachines[Model-Spec],PrévisionBoris[[#This Row],[Spec]],LstMachines[Status],PrévisionBoris[[#This Row],[Status]],LstMachines[MoisLivr],AQ$1)</f>
        <v>0</v>
      </c>
      <c r="AR326" s="206">
        <f>SUMIFS(LstMachines[Nbre],LstMachines[Model-Spec],PrévisionBoris[[#This Row],[Spec]],LstMachines[Status],PrévisionBoris[[#This Row],[Status]],LstMachines[MoisLivr],AR$1)</f>
        <v>0</v>
      </c>
      <c r="AS326" s="207">
        <f>SUMIFS(LstMachines[Nbre],LstMachines[Model-Spec],PrévisionBoris[[#This Row],[Spec]],LstMachines[Status],PrévisionBoris[[#This Row],[Status]],LstMachines[MoisLivr],AS$1)</f>
        <v>0</v>
      </c>
      <c r="AT326" s="207">
        <f>SUMIFS(LstMachines[Nbre],LstMachines[Model-Spec],PrévisionBoris[[#This Row],[Spec]],LstMachines[Status],PrévisionBoris[[#This Row],[Status]],LstMachines[MoisLivr],AT$1)</f>
        <v>0</v>
      </c>
      <c r="AU326" s="206">
        <f>SUMIFS(LstMachines[Nbre],LstMachines[Model-Spec],PrévisionBoris[[#This Row],[Spec]],LstMachines[Status],PrévisionBoris[[#This Row],[Status]],LstMachines[MoisLivr],AU$1)</f>
        <v>0</v>
      </c>
      <c r="AV326" s="233">
        <f>SUMIFS(LstMachines[Nbre],LstMachines[Model-Spec],PrévisionBoris[[#This Row],[Spec]],LstMachines[Status],PrévisionBoris[[#This Row],[Status]],LstMachines[MoisLivr],AV$1)</f>
        <v>0</v>
      </c>
      <c r="AW326" s="208">
        <f>SUMIFS(LstMachines[Nbre],LstMachines[Model-Spec],PrévisionBoris[[#This Row],[Spec]],LstMachines[Status],PrévisionBoris[[#This Row],[Status]],LstMachines[MoisLivr],AW$1)</f>
        <v>0</v>
      </c>
      <c r="AX326" s="225"/>
      <c r="AY326" s="211">
        <f t="shared" si="67"/>
        <v>0</v>
      </c>
      <c r="AZ326" s="212">
        <f t="shared" si="68"/>
        <v>2</v>
      </c>
      <c r="BA326" s="212">
        <f t="shared" si="69"/>
        <v>2</v>
      </c>
      <c r="BB326" s="213">
        <f t="shared" si="70"/>
        <v>1</v>
      </c>
      <c r="BC326" s="225">
        <f t="shared" si="71"/>
        <v>5</v>
      </c>
      <c r="BD326" s="211">
        <f t="shared" si="72"/>
        <v>0</v>
      </c>
      <c r="BE326" s="212">
        <f t="shared" si="73"/>
        <v>6</v>
      </c>
      <c r="BF326" s="212">
        <f t="shared" si="74"/>
        <v>0</v>
      </c>
      <c r="BG326" s="213">
        <f t="shared" si="75"/>
        <v>0</v>
      </c>
      <c r="BH326" s="225">
        <f t="shared" si="76"/>
        <v>6</v>
      </c>
      <c r="BI326" s="214">
        <f t="shared" si="77"/>
        <v>0</v>
      </c>
      <c r="BJ326" s="215">
        <f t="shared" si="78"/>
        <v>5</v>
      </c>
      <c r="BK326" s="215">
        <f t="shared" si="79"/>
        <v>0</v>
      </c>
      <c r="BL326" s="216">
        <f t="shared" si="80"/>
        <v>0</v>
      </c>
      <c r="BM326" s="225">
        <f t="shared" si="81"/>
        <v>5</v>
      </c>
      <c r="BN326" s="225"/>
      <c r="BO326" s="234"/>
      <c r="BP326" s="218">
        <f t="shared" si="82"/>
        <v>16</v>
      </c>
    </row>
    <row r="327" spans="1:68">
      <c r="A327" s="170">
        <v>320</v>
      </c>
      <c r="B327" s="170" t="s">
        <v>223</v>
      </c>
      <c r="C327" s="200">
        <v>145</v>
      </c>
      <c r="D327" s="170" t="s">
        <v>227</v>
      </c>
      <c r="E327" s="170" t="s">
        <v>228</v>
      </c>
      <c r="F327" s="200">
        <f>VLOOKUP(PrévisionBoris[[#This Row],[Spec]],TabModelSpecs[[ModelSpec]:[Price]],2,FALSE)</f>
        <v>115</v>
      </c>
      <c r="G327" s="170" t="s">
        <v>462</v>
      </c>
      <c r="H327" s="219">
        <f>SUMIFS(LstMachines[Nbre],LstMachines[Model-Spec],PrévisionBoris[[#This Row],[Spec]],LstMachines[Status],PrévisionBoris[[#This Row],[Status]],LstMachines[MoisLivr],H$1)</f>
        <v>0</v>
      </c>
      <c r="I327" s="220">
        <f>SUMIFS(LstMachines[Nbre],LstMachines[Model-Spec],PrévisionBoris[[#This Row],[Spec]],LstMachines[Status],PrévisionBoris[[#This Row],[Status]],LstMachines[MoisLivr],I$1)</f>
        <v>0</v>
      </c>
      <c r="J327" s="221">
        <f>SUMIFS(LstMachines[Nbre],LstMachines[Model-Spec],PrévisionBoris[[#This Row],[Spec]],LstMachines[Status],PrévisionBoris[[#This Row],[Status]],LstMachines[MoisLivr],J$1)</f>
        <v>0</v>
      </c>
      <c r="K327" s="219">
        <f>SUMIFS(LstMachines[Nbre],LstMachines[Model-Spec],PrévisionBoris[[#This Row],[Spec]],LstMachines[Status],PrévisionBoris[[#This Row],[Status]],LstMachines[MoisLivr],K$1)</f>
        <v>0</v>
      </c>
      <c r="L327" s="220">
        <f>SUMIFS(LstMachines[Nbre],LstMachines[Model-Spec],PrévisionBoris[[#This Row],[Spec]],LstMachines[Status],PrévisionBoris[[#This Row],[Status]],LstMachines[MoisLivr],L$1)</f>
        <v>0</v>
      </c>
      <c r="M327" s="221">
        <f>SUMIFS(LstMachines[Nbre],LstMachines[Model-Spec],PrévisionBoris[[#This Row],[Spec]],LstMachines[Status],PrévisionBoris[[#This Row],[Status]],LstMachines[MoisLivr],M$1)</f>
        <v>0</v>
      </c>
      <c r="N327" s="219">
        <f>SUMIFS(LstMachines[Nbre],LstMachines[Model-Spec],PrévisionBoris[[#This Row],[Spec]],LstMachines[Status],PrévisionBoris[[#This Row],[Status]],LstMachines[MoisLivr],N$1)</f>
        <v>0</v>
      </c>
      <c r="O327" s="220">
        <f>SUMIFS(LstMachines[Nbre],LstMachines[Model-Spec],PrévisionBoris[[#This Row],[Spec]],LstMachines[Status],PrévisionBoris[[#This Row],[Status]],LstMachines[MoisLivr],O$1)</f>
        <v>0</v>
      </c>
      <c r="P327" s="221">
        <f>SUMIFS(LstMachines[Nbre],LstMachines[Model-Spec],PrévisionBoris[[#This Row],[Spec]],LstMachines[Status],PrévisionBoris[[#This Row],[Status]],LstMachines[MoisLivr],P$1)</f>
        <v>0</v>
      </c>
      <c r="Q327" s="222">
        <f>SUMIFS(LstMachines[Nbre],LstMachines[Model-Spec],PrévisionBoris[[#This Row],[Spec]],LstMachines[Status],PrévisionBoris[[#This Row],[Status]],LstMachines[MoisLivr],Q$1)</f>
        <v>0</v>
      </c>
      <c r="R327" s="220">
        <f>SUMIFS(LstMachines[Nbre],LstMachines[Model-Spec],PrévisionBoris[[#This Row],[Spec]],LstMachines[Status],PrévisionBoris[[#This Row],[Status]],LstMachines[MoisLivr],R$1)</f>
        <v>0</v>
      </c>
      <c r="S327" s="220">
        <f>SUMIFS(LstMachines[Nbre],LstMachines[Model-Spec],PrévisionBoris[[#This Row],[Spec]],LstMachines[Status],PrévisionBoris[[#This Row],[Status]],LstMachines[MoisLivr],S$1)</f>
        <v>0</v>
      </c>
      <c r="T327" s="219">
        <f>SUMIFS(LstMachines[Nbre],LstMachines[Model-Spec],PrévisionBoris[[#This Row],[Spec]],LstMachines[Status],PrévisionBoris[[#This Row],[Status]],LstMachines[MoisLivr],T$1)</f>
        <v>0</v>
      </c>
      <c r="U327" s="220">
        <f>SUMIFS(LstMachines[Nbre],LstMachines[Model-Spec],PrévisionBoris[[#This Row],[Spec]],LstMachines[Status],PrévisionBoris[[#This Row],[Status]],LstMachines[MoisLivr],U$1)</f>
        <v>0</v>
      </c>
      <c r="V327" s="220">
        <f>SUMIFS(LstMachines[Nbre],LstMachines[Model-Spec],PrévisionBoris[[#This Row],[Spec]],LstMachines[Status],PrévisionBoris[[#This Row],[Status]],LstMachines[MoisLivr],V$1)</f>
        <v>0</v>
      </c>
      <c r="W327" s="219">
        <f>SUMIFS(LstMachines[Nbre],LstMachines[Model-Spec],PrévisionBoris[[#This Row],[Spec]],LstMachines[Status],PrévisionBoris[[#This Row],[Status]],LstMachines[MoisLivr],W$1)</f>
        <v>0</v>
      </c>
      <c r="X327" s="220">
        <f>SUMIFS(LstMachines[Nbre],LstMachines[Model-Spec],PrévisionBoris[[#This Row],[Spec]],LstMachines[Status],PrévisionBoris[[#This Row],[Status]],LstMachines[MoisLivr],X$1)</f>
        <v>0</v>
      </c>
      <c r="Y327" s="220">
        <f>SUMIFS(LstMachines[Nbre],LstMachines[Model-Spec],PrévisionBoris[[#This Row],[Spec]],LstMachines[Status],PrévisionBoris[[#This Row],[Status]],LstMachines[MoisLivr],Y$1)</f>
        <v>0</v>
      </c>
      <c r="Z327" s="219">
        <f>SUMIFS(LstMachines[Nbre],LstMachines[Model-Spec],PrévisionBoris[[#This Row],[Spec]],LstMachines[Status],PrévisionBoris[[#This Row],[Status]],LstMachines[MoisLivr],Z$1)</f>
        <v>0</v>
      </c>
      <c r="AA327" s="220">
        <f>SUMIFS(LstMachines[Nbre],LstMachines[Model-Spec],PrévisionBoris[[#This Row],[Spec]],LstMachines[Status],PrévisionBoris[[#This Row],[Status]],LstMachines[MoisLivr],AA$1)</f>
        <v>0</v>
      </c>
      <c r="AB327" s="220">
        <f>SUMIFS(LstMachines[Nbre],LstMachines[Model-Spec],PrévisionBoris[[#This Row],[Spec]],LstMachines[Status],PrévisionBoris[[#This Row],[Status]],LstMachines[MoisLivr],AB$1)</f>
        <v>0</v>
      </c>
      <c r="AC327" s="219">
        <f>SUMIFS(LstMachines[Nbre],LstMachines[Model-Spec],PrévisionBoris[[#This Row],[Spec]],LstMachines[Status],PrévisionBoris[[#This Row],[Status]],LstMachines[MoisLivr],AC$1)</f>
        <v>0</v>
      </c>
      <c r="AD327" s="220">
        <f>SUMIFS(LstMachines[Nbre],LstMachines[Model-Spec],PrévisionBoris[[#This Row],[Spec]],LstMachines[Status],PrévisionBoris[[#This Row],[Status]],LstMachines[MoisLivr],AD$1)</f>
        <v>0</v>
      </c>
      <c r="AE327" s="220">
        <f>SUMIFS(LstMachines[Nbre],LstMachines[Model-Spec],PrévisionBoris[[#This Row],[Spec]],LstMachines[Status],PrévisionBoris[[#This Row],[Status]],LstMachines[MoisLivr],AE$1)</f>
        <v>0</v>
      </c>
      <c r="AF327" s="219">
        <f>SUMIFS(LstMachines[Nbre],LstMachines[Model-Spec],PrévisionBoris[[#This Row],[Spec]],LstMachines[Status],PrévisionBoris[[#This Row],[Status]],LstMachines[MoisLivr],AF$1)</f>
        <v>0</v>
      </c>
      <c r="AG327" s="220">
        <f>SUMIFS(LstMachines[Nbre],LstMachines[Model-Spec],PrévisionBoris[[#This Row],[Spec]],LstMachines[Status],PrévisionBoris[[#This Row],[Status]],LstMachines[MoisLivr],AG$1)</f>
        <v>0</v>
      </c>
      <c r="AH327" s="220">
        <f>SUMIFS(LstMachines[Nbre],LstMachines[Model-Spec],PrévisionBoris[[#This Row],[Spec]],LstMachines[Status],PrévisionBoris[[#This Row],[Status]],LstMachines[MoisLivr],AH$1)</f>
        <v>0</v>
      </c>
      <c r="AI327" s="219">
        <f>SUMIFS(LstMachines[Nbre],LstMachines[Model-Spec],PrévisionBoris[[#This Row],[Spec]],LstMachines[Status],PrévisionBoris[[#This Row],[Status]],LstMachines[MoisLivr],AI$1)</f>
        <v>0</v>
      </c>
      <c r="AJ327" s="220">
        <f>SUMIFS(LstMachines[Nbre],LstMachines[Model-Spec],PrévisionBoris[[#This Row],[Spec]],LstMachines[Status],PrévisionBoris[[#This Row],[Status]],LstMachines[MoisLivr],AJ$1)</f>
        <v>0</v>
      </c>
      <c r="AK327" s="220">
        <f>SUMIFS(LstMachines[Nbre],LstMachines[Model-Spec],PrévisionBoris[[#This Row],[Spec]],LstMachines[Status],PrévisionBoris[[#This Row],[Status]],LstMachines[MoisLivr],AK$1)</f>
        <v>0</v>
      </c>
      <c r="AL327" s="219">
        <f>SUMIFS(LstMachines[Nbre],LstMachines[Model-Spec],PrévisionBoris[[#This Row],[Spec]],LstMachines[Status],PrévisionBoris[[#This Row],[Status]],LstMachines[MoisLivr],AL$1)</f>
        <v>0</v>
      </c>
      <c r="AM327" s="220">
        <f>SUMIFS(LstMachines[Nbre],LstMachines[Model-Spec],PrévisionBoris[[#This Row],[Spec]],LstMachines[Status],PrévisionBoris[[#This Row],[Status]],LstMachines[MoisLivr],AM$1)</f>
        <v>0</v>
      </c>
      <c r="AN327" s="220">
        <f>SUMIFS(LstMachines[Nbre],LstMachines[Model-Spec],PrévisionBoris[[#This Row],[Spec]],LstMachines[Status],PrévisionBoris[[#This Row],[Status]],LstMachines[MoisLivr],AN$1)</f>
        <v>0</v>
      </c>
      <c r="AO327" s="219">
        <f>SUMIFS(LstMachines[Nbre],LstMachines[Model-Spec],PrévisionBoris[[#This Row],[Spec]],LstMachines[Status],PrévisionBoris[[#This Row],[Status]],LstMachines[MoisLivr],AO$1)</f>
        <v>0</v>
      </c>
      <c r="AP327" s="220">
        <f>SUMIFS(LstMachines[Nbre],LstMachines[Model-Spec],PrévisionBoris[[#This Row],[Spec]],LstMachines[Status],PrévisionBoris[[#This Row],[Status]],LstMachines[MoisLivr],AP$1)</f>
        <v>0</v>
      </c>
      <c r="AQ327" s="220">
        <f>SUMIFS(LstMachines[Nbre],LstMachines[Model-Spec],PrévisionBoris[[#This Row],[Spec]],LstMachines[Status],PrévisionBoris[[#This Row],[Status]],LstMachines[MoisLivr],AQ$1)</f>
        <v>0</v>
      </c>
      <c r="AR327" s="219">
        <f>SUMIFS(LstMachines[Nbre],LstMachines[Model-Spec],PrévisionBoris[[#This Row],[Spec]],LstMachines[Status],PrévisionBoris[[#This Row],[Status]],LstMachines[MoisLivr],AR$1)</f>
        <v>0</v>
      </c>
      <c r="AS327" s="220">
        <f>SUMIFS(LstMachines[Nbre],LstMachines[Model-Spec],PrévisionBoris[[#This Row],[Spec]],LstMachines[Status],PrévisionBoris[[#This Row],[Status]],LstMachines[MoisLivr],AS$1)</f>
        <v>0</v>
      </c>
      <c r="AT327" s="220">
        <f>SUMIFS(LstMachines[Nbre],LstMachines[Model-Spec],PrévisionBoris[[#This Row],[Spec]],LstMachines[Status],PrévisionBoris[[#This Row],[Status]],LstMachines[MoisLivr],AT$1)</f>
        <v>0</v>
      </c>
      <c r="AU327" s="219">
        <f>SUMIFS(LstMachines[Nbre],LstMachines[Model-Spec],PrévisionBoris[[#This Row],[Spec]],LstMachines[Status],PrévisionBoris[[#This Row],[Status]],LstMachines[MoisLivr],AU$1)</f>
        <v>0</v>
      </c>
      <c r="AV327" s="223">
        <f>SUMIFS(LstMachines[Nbre],LstMachines[Model-Spec],PrévisionBoris[[#This Row],[Spec]],LstMachines[Status],PrévisionBoris[[#This Row],[Status]],LstMachines[MoisLivr],AV$1)</f>
        <v>0</v>
      </c>
      <c r="AW327" s="224">
        <f>SUMIFS(LstMachines[Nbre],LstMachines[Model-Spec],PrévisionBoris[[#This Row],[Spec]],LstMachines[Status],PrévisionBoris[[#This Row],[Status]],LstMachines[MoisLivr],AW$1)</f>
        <v>0</v>
      </c>
      <c r="AX327" s="210"/>
      <c r="AY327" s="211">
        <f t="shared" si="67"/>
        <v>0</v>
      </c>
      <c r="AZ327" s="212">
        <f t="shared" si="68"/>
        <v>0</v>
      </c>
      <c r="BA327" s="212">
        <f t="shared" si="69"/>
        <v>0</v>
      </c>
      <c r="BB327" s="213">
        <f t="shared" si="70"/>
        <v>0</v>
      </c>
      <c r="BC327" s="225">
        <f t="shared" si="71"/>
        <v>0</v>
      </c>
      <c r="BD327" s="211">
        <f t="shared" si="72"/>
        <v>0</v>
      </c>
      <c r="BE327" s="212">
        <f t="shared" si="73"/>
        <v>0</v>
      </c>
      <c r="BF327" s="212">
        <f t="shared" si="74"/>
        <v>0</v>
      </c>
      <c r="BG327" s="213">
        <f t="shared" si="75"/>
        <v>0</v>
      </c>
      <c r="BH327" s="225">
        <f t="shared" si="76"/>
        <v>0</v>
      </c>
      <c r="BI327" s="214">
        <f t="shared" si="77"/>
        <v>0</v>
      </c>
      <c r="BJ327" s="215">
        <f t="shared" si="78"/>
        <v>0</v>
      </c>
      <c r="BK327" s="215">
        <f t="shared" si="79"/>
        <v>0</v>
      </c>
      <c r="BL327" s="216">
        <f t="shared" si="80"/>
        <v>0</v>
      </c>
      <c r="BM327" s="225">
        <f t="shared" si="81"/>
        <v>0</v>
      </c>
      <c r="BN327" s="225"/>
      <c r="BO327" s="217"/>
      <c r="BP327" s="218">
        <f t="shared" si="82"/>
        <v>0</v>
      </c>
    </row>
    <row r="328" spans="1:68">
      <c r="A328" s="171">
        <v>321</v>
      </c>
      <c r="B328" s="171" t="s">
        <v>223</v>
      </c>
      <c r="C328" s="201">
        <v>145</v>
      </c>
      <c r="D328" s="171" t="s">
        <v>227</v>
      </c>
      <c r="E328" s="171" t="s">
        <v>228</v>
      </c>
      <c r="F328" s="201">
        <f>VLOOKUP(PrévisionBoris[[#This Row],[Spec]],TabModelSpecs[[ModelSpec]:[Price]],2,FALSE)</f>
        <v>115</v>
      </c>
      <c r="G328" s="171" t="s">
        <v>463</v>
      </c>
      <c r="H328" s="226">
        <f>SUMIFS(LstMachines[Nbre],LstMachines[Model-Spec],PrévisionBoris[[#This Row],[Spec]],LstMachines[Status],PrévisionBoris[[#This Row],[Status]],LstMachines[MoisLivr],H$1)</f>
        <v>0</v>
      </c>
      <c r="I328" s="227">
        <f>SUMIFS(LstMachines[Nbre],LstMachines[Model-Spec],PrévisionBoris[[#This Row],[Spec]],LstMachines[Status],PrévisionBoris[[#This Row],[Status]],LstMachines[MoisLivr],I$1)</f>
        <v>0</v>
      </c>
      <c r="J328" s="228">
        <f>SUMIFS(LstMachines[Nbre],LstMachines[Model-Spec],PrévisionBoris[[#This Row],[Spec]],LstMachines[Status],PrévisionBoris[[#This Row],[Status]],LstMachines[MoisLivr],J$1)</f>
        <v>0</v>
      </c>
      <c r="K328" s="226">
        <f>SUMIFS(LstMachines[Nbre],LstMachines[Model-Spec],PrévisionBoris[[#This Row],[Spec]],LstMachines[Status],PrévisionBoris[[#This Row],[Status]],LstMachines[MoisLivr],K$1)</f>
        <v>0</v>
      </c>
      <c r="L328" s="227">
        <f>SUMIFS(LstMachines[Nbre],LstMachines[Model-Spec],PrévisionBoris[[#This Row],[Spec]],LstMachines[Status],PrévisionBoris[[#This Row],[Status]],LstMachines[MoisLivr],L$1)</f>
        <v>1</v>
      </c>
      <c r="M328" s="228">
        <f>SUMIFS(LstMachines[Nbre],LstMachines[Model-Spec],PrévisionBoris[[#This Row],[Spec]],LstMachines[Status],PrévisionBoris[[#This Row],[Status]],LstMachines[MoisLivr],M$1)</f>
        <v>0</v>
      </c>
      <c r="N328" s="226">
        <f>SUMIFS(LstMachines[Nbre],LstMachines[Model-Spec],PrévisionBoris[[#This Row],[Spec]],LstMachines[Status],PrévisionBoris[[#This Row],[Status]],LstMachines[MoisLivr],N$1)</f>
        <v>3</v>
      </c>
      <c r="O328" s="227">
        <f>SUMIFS(LstMachines[Nbre],LstMachines[Model-Spec],PrévisionBoris[[#This Row],[Spec]],LstMachines[Status],PrévisionBoris[[#This Row],[Status]],LstMachines[MoisLivr],O$1)</f>
        <v>0</v>
      </c>
      <c r="P328" s="228">
        <f>SUMIFS(LstMachines[Nbre],LstMachines[Model-Spec],PrévisionBoris[[#This Row],[Spec]],LstMachines[Status],PrévisionBoris[[#This Row],[Status]],LstMachines[MoisLivr],P$1)</f>
        <v>2</v>
      </c>
      <c r="Q328" s="229">
        <f>SUMIFS(LstMachines[Nbre],LstMachines[Model-Spec],PrévisionBoris[[#This Row],[Spec]],LstMachines[Status],PrévisionBoris[[#This Row],[Status]],LstMachines[MoisLivr],Q$1)</f>
        <v>0</v>
      </c>
      <c r="R328" s="227">
        <f>SUMIFS(LstMachines[Nbre],LstMachines[Model-Spec],PrévisionBoris[[#This Row],[Spec]],LstMachines[Status],PrévisionBoris[[#This Row],[Status]],LstMachines[MoisLivr],R$1)</f>
        <v>0</v>
      </c>
      <c r="S328" s="227">
        <f>SUMIFS(LstMachines[Nbre],LstMachines[Model-Spec],PrévisionBoris[[#This Row],[Spec]],LstMachines[Status],PrévisionBoris[[#This Row],[Status]],LstMachines[MoisLivr],S$1)</f>
        <v>0</v>
      </c>
      <c r="T328" s="226">
        <f>SUMIFS(LstMachines[Nbre],LstMachines[Model-Spec],PrévisionBoris[[#This Row],[Spec]],LstMachines[Status],PrévisionBoris[[#This Row],[Status]],LstMachines[MoisLivr],T$1)</f>
        <v>0</v>
      </c>
      <c r="U328" s="227">
        <f>SUMIFS(LstMachines[Nbre],LstMachines[Model-Spec],PrévisionBoris[[#This Row],[Spec]],LstMachines[Status],PrévisionBoris[[#This Row],[Status]],LstMachines[MoisLivr],U$1)</f>
        <v>3</v>
      </c>
      <c r="V328" s="227">
        <f>SUMIFS(LstMachines[Nbre],LstMachines[Model-Spec],PrévisionBoris[[#This Row],[Spec]],LstMachines[Status],PrévisionBoris[[#This Row],[Status]],LstMachines[MoisLivr],V$1)</f>
        <v>0</v>
      </c>
      <c r="W328" s="226">
        <f>SUMIFS(LstMachines[Nbre],LstMachines[Model-Spec],PrévisionBoris[[#This Row],[Spec]],LstMachines[Status],PrévisionBoris[[#This Row],[Status]],LstMachines[MoisLivr],W$1)</f>
        <v>0</v>
      </c>
      <c r="X328" s="227">
        <f>SUMIFS(LstMachines[Nbre],LstMachines[Model-Spec],PrévisionBoris[[#This Row],[Spec]],LstMachines[Status],PrévisionBoris[[#This Row],[Status]],LstMachines[MoisLivr],X$1)</f>
        <v>0</v>
      </c>
      <c r="Y328" s="227">
        <f>SUMIFS(LstMachines[Nbre],LstMachines[Model-Spec],PrévisionBoris[[#This Row],[Spec]],LstMachines[Status],PrévisionBoris[[#This Row],[Status]],LstMachines[MoisLivr],Y$1)</f>
        <v>0</v>
      </c>
      <c r="Z328" s="226">
        <f>SUMIFS(LstMachines[Nbre],LstMachines[Model-Spec],PrévisionBoris[[#This Row],[Spec]],LstMachines[Status],PrévisionBoris[[#This Row],[Status]],LstMachines[MoisLivr],Z$1)</f>
        <v>0</v>
      </c>
      <c r="AA328" s="227">
        <f>SUMIFS(LstMachines[Nbre],LstMachines[Model-Spec],PrévisionBoris[[#This Row],[Spec]],LstMachines[Status],PrévisionBoris[[#This Row],[Status]],LstMachines[MoisLivr],AA$1)</f>
        <v>0</v>
      </c>
      <c r="AB328" s="227">
        <f>SUMIFS(LstMachines[Nbre],LstMachines[Model-Spec],PrévisionBoris[[#This Row],[Spec]],LstMachines[Status],PrévisionBoris[[#This Row],[Status]],LstMachines[MoisLivr],AB$1)</f>
        <v>0</v>
      </c>
      <c r="AC328" s="226">
        <f>SUMIFS(LstMachines[Nbre],LstMachines[Model-Spec],PrévisionBoris[[#This Row],[Spec]],LstMachines[Status],PrévisionBoris[[#This Row],[Status]],LstMachines[MoisLivr],AC$1)</f>
        <v>0</v>
      </c>
      <c r="AD328" s="227">
        <f>SUMIFS(LstMachines[Nbre],LstMachines[Model-Spec],PrévisionBoris[[#This Row],[Spec]],LstMachines[Status],PrévisionBoris[[#This Row],[Status]],LstMachines[MoisLivr],AD$1)</f>
        <v>0</v>
      </c>
      <c r="AE328" s="227">
        <f>SUMIFS(LstMachines[Nbre],LstMachines[Model-Spec],PrévisionBoris[[#This Row],[Spec]],LstMachines[Status],PrévisionBoris[[#This Row],[Status]],LstMachines[MoisLivr],AE$1)</f>
        <v>0</v>
      </c>
      <c r="AF328" s="226">
        <f>SUMIFS(LstMachines[Nbre],LstMachines[Model-Spec],PrévisionBoris[[#This Row],[Spec]],LstMachines[Status],PrévisionBoris[[#This Row],[Status]],LstMachines[MoisLivr],AF$1)</f>
        <v>0</v>
      </c>
      <c r="AG328" s="227">
        <f>SUMIFS(LstMachines[Nbre],LstMachines[Model-Spec],PrévisionBoris[[#This Row],[Spec]],LstMachines[Status],PrévisionBoris[[#This Row],[Status]],LstMachines[MoisLivr],AG$1)</f>
        <v>0</v>
      </c>
      <c r="AH328" s="227">
        <f>SUMIFS(LstMachines[Nbre],LstMachines[Model-Spec],PrévisionBoris[[#This Row],[Spec]],LstMachines[Status],PrévisionBoris[[#This Row],[Status]],LstMachines[MoisLivr],AH$1)</f>
        <v>0</v>
      </c>
      <c r="AI328" s="226">
        <f>SUMIFS(LstMachines[Nbre],LstMachines[Model-Spec],PrévisionBoris[[#This Row],[Spec]],LstMachines[Status],PrévisionBoris[[#This Row],[Status]],LstMachines[MoisLivr],AI$1)</f>
        <v>0</v>
      </c>
      <c r="AJ328" s="227">
        <f>SUMIFS(LstMachines[Nbre],LstMachines[Model-Spec],PrévisionBoris[[#This Row],[Spec]],LstMachines[Status],PrévisionBoris[[#This Row],[Status]],LstMachines[MoisLivr],AJ$1)</f>
        <v>0</v>
      </c>
      <c r="AK328" s="227">
        <f>SUMIFS(LstMachines[Nbre],LstMachines[Model-Spec],PrévisionBoris[[#This Row],[Spec]],LstMachines[Status],PrévisionBoris[[#This Row],[Status]],LstMachines[MoisLivr],AK$1)</f>
        <v>0</v>
      </c>
      <c r="AL328" s="226">
        <f>SUMIFS(LstMachines[Nbre],LstMachines[Model-Spec],PrévisionBoris[[#This Row],[Spec]],LstMachines[Status],PrévisionBoris[[#This Row],[Status]],LstMachines[MoisLivr],AL$1)</f>
        <v>0</v>
      </c>
      <c r="AM328" s="227">
        <f>SUMIFS(LstMachines[Nbre],LstMachines[Model-Spec],PrévisionBoris[[#This Row],[Spec]],LstMachines[Status],PrévisionBoris[[#This Row],[Status]],LstMachines[MoisLivr],AM$1)</f>
        <v>0</v>
      </c>
      <c r="AN328" s="227">
        <f>SUMIFS(LstMachines[Nbre],LstMachines[Model-Spec],PrévisionBoris[[#This Row],[Spec]],LstMachines[Status],PrévisionBoris[[#This Row],[Status]],LstMachines[MoisLivr],AN$1)</f>
        <v>0</v>
      </c>
      <c r="AO328" s="226">
        <f>SUMIFS(LstMachines[Nbre],LstMachines[Model-Spec],PrévisionBoris[[#This Row],[Spec]],LstMachines[Status],PrévisionBoris[[#This Row],[Status]],LstMachines[MoisLivr],AO$1)</f>
        <v>0</v>
      </c>
      <c r="AP328" s="227">
        <f>SUMIFS(LstMachines[Nbre],LstMachines[Model-Spec],PrévisionBoris[[#This Row],[Spec]],LstMachines[Status],PrévisionBoris[[#This Row],[Status]],LstMachines[MoisLivr],AP$1)</f>
        <v>0</v>
      </c>
      <c r="AQ328" s="227">
        <f>SUMIFS(LstMachines[Nbre],LstMachines[Model-Spec],PrévisionBoris[[#This Row],[Spec]],LstMachines[Status],PrévisionBoris[[#This Row],[Status]],LstMachines[MoisLivr],AQ$1)</f>
        <v>0</v>
      </c>
      <c r="AR328" s="226">
        <f>SUMIFS(LstMachines[Nbre],LstMachines[Model-Spec],PrévisionBoris[[#This Row],[Spec]],LstMachines[Status],PrévisionBoris[[#This Row],[Status]],LstMachines[MoisLivr],AR$1)</f>
        <v>0</v>
      </c>
      <c r="AS328" s="227">
        <f>SUMIFS(LstMachines[Nbre],LstMachines[Model-Spec],PrévisionBoris[[#This Row],[Spec]],LstMachines[Status],PrévisionBoris[[#This Row],[Status]],LstMachines[MoisLivr],AS$1)</f>
        <v>0</v>
      </c>
      <c r="AT328" s="227">
        <f>SUMIFS(LstMachines[Nbre],LstMachines[Model-Spec],PrévisionBoris[[#This Row],[Spec]],LstMachines[Status],PrévisionBoris[[#This Row],[Status]],LstMachines[MoisLivr],AT$1)</f>
        <v>0</v>
      </c>
      <c r="AU328" s="226">
        <f>SUMIFS(LstMachines[Nbre],LstMachines[Model-Spec],PrévisionBoris[[#This Row],[Spec]],LstMachines[Status],PrévisionBoris[[#This Row],[Status]],LstMachines[MoisLivr],AU$1)</f>
        <v>0</v>
      </c>
      <c r="AV328" s="230">
        <f>SUMIFS(LstMachines[Nbre],LstMachines[Model-Spec],PrévisionBoris[[#This Row],[Spec]],LstMachines[Status],PrévisionBoris[[#This Row],[Status]],LstMachines[MoisLivr],AV$1)</f>
        <v>0</v>
      </c>
      <c r="AW328" s="231">
        <f>SUMIFS(LstMachines[Nbre],LstMachines[Model-Spec],PrévisionBoris[[#This Row],[Spec]],LstMachines[Status],PrévisionBoris[[#This Row],[Status]],LstMachines[MoisLivr],AW$1)</f>
        <v>0</v>
      </c>
      <c r="AX328" s="232"/>
      <c r="AY328" s="211">
        <f t="shared" ref="AY328:AY340" si="83">SUM(K328:M328)</f>
        <v>1</v>
      </c>
      <c r="AZ328" s="212">
        <f t="shared" ref="AZ328:AZ340" si="84">SUM(N328:P328)</f>
        <v>5</v>
      </c>
      <c r="BA328" s="212">
        <f t="shared" ref="BA328:BA340" si="85">SUM(Q328:S328)</f>
        <v>0</v>
      </c>
      <c r="BB328" s="213">
        <f t="shared" ref="BB328:BB340" si="86">SUM(T328:V328)</f>
        <v>3</v>
      </c>
      <c r="BC328" s="225">
        <f t="shared" ref="BC328:BC340" si="87">SUM(AY328:BB328)</f>
        <v>9</v>
      </c>
      <c r="BD328" s="211">
        <f t="shared" ref="BD328:BD340" si="88">SUM(W328:Y328)</f>
        <v>0</v>
      </c>
      <c r="BE328" s="212">
        <f t="shared" ref="BE328:BE340" si="89">SUM(Z328:AB328)</f>
        <v>0</v>
      </c>
      <c r="BF328" s="212">
        <f t="shared" ref="BF328:BF340" si="90">SUM(AC328:AE328)</f>
        <v>0</v>
      </c>
      <c r="BG328" s="213">
        <f t="shared" ref="BG328:BG340" si="91">SUM(AF328:AH328)</f>
        <v>0</v>
      </c>
      <c r="BH328" s="225">
        <f t="shared" ref="BH328:BH340" si="92">SUM(BD328:BG328)</f>
        <v>0</v>
      </c>
      <c r="BI328" s="214">
        <f t="shared" ref="BI328:BI340" si="93">SUM(AI328:AK328)</f>
        <v>0</v>
      </c>
      <c r="BJ328" s="215">
        <f t="shared" ref="BJ328:BJ340" si="94">SUM(AL328:AN328)</f>
        <v>0</v>
      </c>
      <c r="BK328" s="215">
        <f t="shared" ref="BK328:BK340" si="95">SUM(AO328:AQ328)</f>
        <v>0</v>
      </c>
      <c r="BL328" s="216">
        <f t="shared" ref="BL328:BL340" si="96">SUM(AR328:AT328)</f>
        <v>0</v>
      </c>
      <c r="BM328" s="225">
        <f t="shared" ref="BM328:BM340" si="97">SUM(BI328:BL328)</f>
        <v>0</v>
      </c>
      <c r="BN328" s="225"/>
      <c r="BO328" s="217"/>
      <c r="BP328" s="218">
        <f t="shared" ref="BP328:BP340" si="98">SUM(H328:AU328)</f>
        <v>9</v>
      </c>
    </row>
    <row r="329" spans="1:68">
      <c r="A329" s="172">
        <v>322</v>
      </c>
      <c r="B329" s="172" t="s">
        <v>223</v>
      </c>
      <c r="C329" s="202">
        <v>170</v>
      </c>
      <c r="D329" s="172" t="s">
        <v>229</v>
      </c>
      <c r="E329" s="172" t="s">
        <v>230</v>
      </c>
      <c r="F329" s="202">
        <f>VLOOKUP(PrévisionBoris[[#This Row],[Spec]],TabModelSpecs[[ModelSpec]:[Price]],2,FALSE)</f>
        <v>125</v>
      </c>
      <c r="G329" s="172" t="s">
        <v>461</v>
      </c>
      <c r="H329" s="206">
        <f>SUMIFS(LstMachines[Nbre],LstMachines[Model-Spec],PrévisionBoris[[#This Row],[Spec]],LstMachines[Status],PrévisionBoris[[#This Row],[Status]],LstMachines[MoisLivr],H$1)</f>
        <v>0</v>
      </c>
      <c r="I329" s="207">
        <f>SUMIFS(LstMachines[Nbre],LstMachines[Model-Spec],PrévisionBoris[[#This Row],[Spec]],LstMachines[Status],PrévisionBoris[[#This Row],[Status]],LstMachines[MoisLivr],I$1)</f>
        <v>0</v>
      </c>
      <c r="J329" s="208">
        <f>SUMIFS(LstMachines[Nbre],LstMachines[Model-Spec],PrévisionBoris[[#This Row],[Spec]],LstMachines[Status],PrévisionBoris[[#This Row],[Status]],LstMachines[MoisLivr],J$1)</f>
        <v>0</v>
      </c>
      <c r="K329" s="206">
        <f>SUMIFS(LstMachines[Nbre],LstMachines[Model-Spec],PrévisionBoris[[#This Row],[Spec]],LstMachines[Status],PrévisionBoris[[#This Row],[Status]],LstMachines[MoisLivr],K$1)</f>
        <v>0</v>
      </c>
      <c r="L329" s="207">
        <f>SUMIFS(LstMachines[Nbre],LstMachines[Model-Spec],PrévisionBoris[[#This Row],[Spec]],LstMachines[Status],PrévisionBoris[[#This Row],[Status]],LstMachines[MoisLivr],L$1)</f>
        <v>0</v>
      </c>
      <c r="M329" s="208">
        <f>SUMIFS(LstMachines[Nbre],LstMachines[Model-Spec],PrévisionBoris[[#This Row],[Spec]],LstMachines[Status],PrévisionBoris[[#This Row],[Status]],LstMachines[MoisLivr],M$1)</f>
        <v>0</v>
      </c>
      <c r="N329" s="206">
        <f>SUMIFS(LstMachines[Nbre],LstMachines[Model-Spec],PrévisionBoris[[#This Row],[Spec]],LstMachines[Status],PrévisionBoris[[#This Row],[Status]],LstMachines[MoisLivr],N$1)</f>
        <v>0</v>
      </c>
      <c r="O329" s="207">
        <f>SUMIFS(LstMachines[Nbre],LstMachines[Model-Spec],PrévisionBoris[[#This Row],[Spec]],LstMachines[Status],PrévisionBoris[[#This Row],[Status]],LstMachines[MoisLivr],O$1)</f>
        <v>0</v>
      </c>
      <c r="P329" s="208">
        <f>SUMIFS(LstMachines[Nbre],LstMachines[Model-Spec],PrévisionBoris[[#This Row],[Spec]],LstMachines[Status],PrévisionBoris[[#This Row],[Status]],LstMachines[MoisLivr],P$1)</f>
        <v>0</v>
      </c>
      <c r="Q329" s="209">
        <f>SUMIFS(LstMachines[Nbre],LstMachines[Model-Spec],PrévisionBoris[[#This Row],[Spec]],LstMachines[Status],PrévisionBoris[[#This Row],[Status]],LstMachines[MoisLivr],Q$1)</f>
        <v>0</v>
      </c>
      <c r="R329" s="207">
        <f>SUMIFS(LstMachines[Nbre],LstMachines[Model-Spec],PrévisionBoris[[#This Row],[Spec]],LstMachines[Status],PrévisionBoris[[#This Row],[Status]],LstMachines[MoisLivr],R$1)</f>
        <v>0</v>
      </c>
      <c r="S329" s="207">
        <f>SUMIFS(LstMachines[Nbre],LstMachines[Model-Spec],PrévisionBoris[[#This Row],[Spec]],LstMachines[Status],PrévisionBoris[[#This Row],[Status]],LstMachines[MoisLivr],S$1)</f>
        <v>0</v>
      </c>
      <c r="T329" s="206">
        <f>SUMIFS(LstMachines[Nbre],LstMachines[Model-Spec],PrévisionBoris[[#This Row],[Spec]],LstMachines[Status],PrévisionBoris[[#This Row],[Status]],LstMachines[MoisLivr],T$1)</f>
        <v>0</v>
      </c>
      <c r="U329" s="207">
        <f>SUMIFS(LstMachines[Nbre],LstMachines[Model-Spec],PrévisionBoris[[#This Row],[Spec]],LstMachines[Status],PrévisionBoris[[#This Row],[Status]],LstMachines[MoisLivr],U$1)</f>
        <v>0</v>
      </c>
      <c r="V329" s="207">
        <f>SUMIFS(LstMachines[Nbre],LstMachines[Model-Spec],PrévisionBoris[[#This Row],[Spec]],LstMachines[Status],PrévisionBoris[[#This Row],[Status]],LstMachines[MoisLivr],V$1)</f>
        <v>0</v>
      </c>
      <c r="W329" s="206">
        <f>SUMIFS(LstMachines[Nbre],LstMachines[Model-Spec],PrévisionBoris[[#This Row],[Spec]],LstMachines[Status],PrévisionBoris[[#This Row],[Status]],LstMachines[MoisLivr],W$1)</f>
        <v>0</v>
      </c>
      <c r="X329" s="207">
        <f>SUMIFS(LstMachines[Nbre],LstMachines[Model-Spec],PrévisionBoris[[#This Row],[Spec]],LstMachines[Status],PrévisionBoris[[#This Row],[Status]],LstMachines[MoisLivr],X$1)</f>
        <v>0</v>
      </c>
      <c r="Y329" s="207">
        <f>SUMIFS(LstMachines[Nbre],LstMachines[Model-Spec],PrévisionBoris[[#This Row],[Spec]],LstMachines[Status],PrévisionBoris[[#This Row],[Status]],LstMachines[MoisLivr],Y$1)</f>
        <v>0</v>
      </c>
      <c r="Z329" s="206">
        <f>SUMIFS(LstMachines[Nbre],LstMachines[Model-Spec],PrévisionBoris[[#This Row],[Spec]],LstMachines[Status],PrévisionBoris[[#This Row],[Status]],LstMachines[MoisLivr],Z$1)</f>
        <v>0</v>
      </c>
      <c r="AA329" s="207">
        <f>SUMIFS(LstMachines[Nbre],LstMachines[Model-Spec],PrévisionBoris[[#This Row],[Spec]],LstMachines[Status],PrévisionBoris[[#This Row],[Status]],LstMachines[MoisLivr],AA$1)</f>
        <v>0</v>
      </c>
      <c r="AB329" s="207">
        <f>SUMIFS(LstMachines[Nbre],LstMachines[Model-Spec],PrévisionBoris[[#This Row],[Spec]],LstMachines[Status],PrévisionBoris[[#This Row],[Status]],LstMachines[MoisLivr],AB$1)</f>
        <v>0</v>
      </c>
      <c r="AC329" s="206">
        <f>SUMIFS(LstMachines[Nbre],LstMachines[Model-Spec],PrévisionBoris[[#This Row],[Spec]],LstMachines[Status],PrévisionBoris[[#This Row],[Status]],LstMachines[MoisLivr],AC$1)</f>
        <v>0</v>
      </c>
      <c r="AD329" s="207">
        <f>SUMIFS(LstMachines[Nbre],LstMachines[Model-Spec],PrévisionBoris[[#This Row],[Spec]],LstMachines[Status],PrévisionBoris[[#This Row],[Status]],LstMachines[MoisLivr],AD$1)</f>
        <v>0</v>
      </c>
      <c r="AE329" s="207">
        <f>SUMIFS(LstMachines[Nbre],LstMachines[Model-Spec],PrévisionBoris[[#This Row],[Spec]],LstMachines[Status],PrévisionBoris[[#This Row],[Status]],LstMachines[MoisLivr],AE$1)</f>
        <v>0</v>
      </c>
      <c r="AF329" s="206">
        <f>SUMIFS(LstMachines[Nbre],LstMachines[Model-Spec],PrévisionBoris[[#This Row],[Spec]],LstMachines[Status],PrévisionBoris[[#This Row],[Status]],LstMachines[MoisLivr],AF$1)</f>
        <v>0</v>
      </c>
      <c r="AG329" s="207">
        <f>SUMIFS(LstMachines[Nbre],LstMachines[Model-Spec],PrévisionBoris[[#This Row],[Spec]],LstMachines[Status],PrévisionBoris[[#This Row],[Status]],LstMachines[MoisLivr],AG$1)</f>
        <v>0</v>
      </c>
      <c r="AH329" s="207">
        <f>SUMIFS(LstMachines[Nbre],LstMachines[Model-Spec],PrévisionBoris[[#This Row],[Spec]],LstMachines[Status],PrévisionBoris[[#This Row],[Status]],LstMachines[MoisLivr],AH$1)</f>
        <v>0</v>
      </c>
      <c r="AI329" s="206">
        <f>SUMIFS(LstMachines[Nbre],LstMachines[Model-Spec],PrévisionBoris[[#This Row],[Spec]],LstMachines[Status],PrévisionBoris[[#This Row],[Status]],LstMachines[MoisLivr],AI$1)</f>
        <v>0</v>
      </c>
      <c r="AJ329" s="207">
        <f>SUMIFS(LstMachines[Nbre],LstMachines[Model-Spec],PrévisionBoris[[#This Row],[Spec]],LstMachines[Status],PrévisionBoris[[#This Row],[Status]],LstMachines[MoisLivr],AJ$1)</f>
        <v>0</v>
      </c>
      <c r="AK329" s="207">
        <f>SUMIFS(LstMachines[Nbre],LstMachines[Model-Spec],PrévisionBoris[[#This Row],[Spec]],LstMachines[Status],PrévisionBoris[[#This Row],[Status]],LstMachines[MoisLivr],AK$1)</f>
        <v>0</v>
      </c>
      <c r="AL329" s="206">
        <f>SUMIFS(LstMachines[Nbre],LstMachines[Model-Spec],PrévisionBoris[[#This Row],[Spec]],LstMachines[Status],PrévisionBoris[[#This Row],[Status]],LstMachines[MoisLivr],AL$1)</f>
        <v>0</v>
      </c>
      <c r="AM329" s="207">
        <f>SUMIFS(LstMachines[Nbre],LstMachines[Model-Spec],PrévisionBoris[[#This Row],[Spec]],LstMachines[Status],PrévisionBoris[[#This Row],[Status]],LstMachines[MoisLivr],AM$1)</f>
        <v>0</v>
      </c>
      <c r="AN329" s="207">
        <f>SUMIFS(LstMachines[Nbre],LstMachines[Model-Spec],PrévisionBoris[[#This Row],[Spec]],LstMachines[Status],PrévisionBoris[[#This Row],[Status]],LstMachines[MoisLivr],AN$1)</f>
        <v>0</v>
      </c>
      <c r="AO329" s="206">
        <f>SUMIFS(LstMachines[Nbre],LstMachines[Model-Spec],PrévisionBoris[[#This Row],[Spec]],LstMachines[Status],PrévisionBoris[[#This Row],[Status]],LstMachines[MoisLivr],AO$1)</f>
        <v>0</v>
      </c>
      <c r="AP329" s="207">
        <f>SUMIFS(LstMachines[Nbre],LstMachines[Model-Spec],PrévisionBoris[[#This Row],[Spec]],LstMachines[Status],PrévisionBoris[[#This Row],[Status]],LstMachines[MoisLivr],AP$1)</f>
        <v>0</v>
      </c>
      <c r="AQ329" s="207">
        <f>SUMIFS(LstMachines[Nbre],LstMachines[Model-Spec],PrévisionBoris[[#This Row],[Spec]],LstMachines[Status],PrévisionBoris[[#This Row],[Status]],LstMachines[MoisLivr],AQ$1)</f>
        <v>0</v>
      </c>
      <c r="AR329" s="206">
        <f>SUMIFS(LstMachines[Nbre],LstMachines[Model-Spec],PrévisionBoris[[#This Row],[Spec]],LstMachines[Status],PrévisionBoris[[#This Row],[Status]],LstMachines[MoisLivr],AR$1)</f>
        <v>0</v>
      </c>
      <c r="AS329" s="207">
        <f>SUMIFS(LstMachines[Nbre],LstMachines[Model-Spec],PrévisionBoris[[#This Row],[Spec]],LstMachines[Status],PrévisionBoris[[#This Row],[Status]],LstMachines[MoisLivr],AS$1)</f>
        <v>0</v>
      </c>
      <c r="AT329" s="207">
        <f>SUMIFS(LstMachines[Nbre],LstMachines[Model-Spec],PrévisionBoris[[#This Row],[Spec]],LstMachines[Status],PrévisionBoris[[#This Row],[Status]],LstMachines[MoisLivr],AT$1)</f>
        <v>0</v>
      </c>
      <c r="AU329" s="206">
        <f>SUMIFS(LstMachines[Nbre],LstMachines[Model-Spec],PrévisionBoris[[#This Row],[Spec]],LstMachines[Status],PrévisionBoris[[#This Row],[Status]],LstMachines[MoisLivr],AU$1)</f>
        <v>0</v>
      </c>
      <c r="AV329" s="233">
        <f>SUMIFS(LstMachines[Nbre],LstMachines[Model-Spec],PrévisionBoris[[#This Row],[Spec]],LstMachines[Status],PrévisionBoris[[#This Row],[Status]],LstMachines[MoisLivr],AV$1)</f>
        <v>0</v>
      </c>
      <c r="AW329" s="208">
        <f>SUMIFS(LstMachines[Nbre],LstMachines[Model-Spec],PrévisionBoris[[#This Row],[Spec]],LstMachines[Status],PrévisionBoris[[#This Row],[Status]],LstMachines[MoisLivr],AW$1)</f>
        <v>0</v>
      </c>
      <c r="AX329" s="225"/>
      <c r="AY329" s="211">
        <f t="shared" si="83"/>
        <v>0</v>
      </c>
      <c r="AZ329" s="212">
        <f t="shared" si="84"/>
        <v>0</v>
      </c>
      <c r="BA329" s="212">
        <f t="shared" si="85"/>
        <v>0</v>
      </c>
      <c r="BB329" s="213">
        <f t="shared" si="86"/>
        <v>0</v>
      </c>
      <c r="BC329" s="225">
        <f t="shared" si="87"/>
        <v>0</v>
      </c>
      <c r="BD329" s="211">
        <f t="shared" si="88"/>
        <v>0</v>
      </c>
      <c r="BE329" s="212">
        <f t="shared" si="89"/>
        <v>0</v>
      </c>
      <c r="BF329" s="212">
        <f t="shared" si="90"/>
        <v>0</v>
      </c>
      <c r="BG329" s="213">
        <f t="shared" si="91"/>
        <v>0</v>
      </c>
      <c r="BH329" s="225">
        <f t="shared" si="92"/>
        <v>0</v>
      </c>
      <c r="BI329" s="214">
        <f t="shared" si="93"/>
        <v>0</v>
      </c>
      <c r="BJ329" s="215">
        <f t="shared" si="94"/>
        <v>0</v>
      </c>
      <c r="BK329" s="215">
        <f t="shared" si="95"/>
        <v>0</v>
      </c>
      <c r="BL329" s="216">
        <f t="shared" si="96"/>
        <v>0</v>
      </c>
      <c r="BM329" s="225">
        <f t="shared" si="97"/>
        <v>0</v>
      </c>
      <c r="BN329" s="225"/>
      <c r="BO329" s="234"/>
      <c r="BP329" s="218">
        <f t="shared" si="98"/>
        <v>0</v>
      </c>
    </row>
    <row r="330" spans="1:68">
      <c r="A330" s="170">
        <v>323</v>
      </c>
      <c r="B330" s="170" t="s">
        <v>223</v>
      </c>
      <c r="C330" s="200">
        <v>170</v>
      </c>
      <c r="D330" s="170" t="s">
        <v>229</v>
      </c>
      <c r="E330" s="170" t="s">
        <v>230</v>
      </c>
      <c r="F330" s="200">
        <f>VLOOKUP(PrévisionBoris[[#This Row],[Spec]],TabModelSpecs[[ModelSpec]:[Price]],2,FALSE)</f>
        <v>125</v>
      </c>
      <c r="G330" s="170" t="s">
        <v>462</v>
      </c>
      <c r="H330" s="219">
        <f>SUMIFS(LstMachines[Nbre],LstMachines[Model-Spec],PrévisionBoris[[#This Row],[Spec]],LstMachines[Status],PrévisionBoris[[#This Row],[Status]],LstMachines[MoisLivr],H$1)</f>
        <v>0</v>
      </c>
      <c r="I330" s="220">
        <f>SUMIFS(LstMachines[Nbre],LstMachines[Model-Spec],PrévisionBoris[[#This Row],[Spec]],LstMachines[Status],PrévisionBoris[[#This Row],[Status]],LstMachines[MoisLivr],I$1)</f>
        <v>0</v>
      </c>
      <c r="J330" s="221">
        <f>SUMIFS(LstMachines[Nbre],LstMachines[Model-Spec],PrévisionBoris[[#This Row],[Spec]],LstMachines[Status],PrévisionBoris[[#This Row],[Status]],LstMachines[MoisLivr],J$1)</f>
        <v>0</v>
      </c>
      <c r="K330" s="219">
        <f>SUMIFS(LstMachines[Nbre],LstMachines[Model-Spec],PrévisionBoris[[#This Row],[Spec]],LstMachines[Status],PrévisionBoris[[#This Row],[Status]],LstMachines[MoisLivr],K$1)</f>
        <v>0</v>
      </c>
      <c r="L330" s="220">
        <f>SUMIFS(LstMachines[Nbre],LstMachines[Model-Spec],PrévisionBoris[[#This Row],[Spec]],LstMachines[Status],PrévisionBoris[[#This Row],[Status]],LstMachines[MoisLivr],L$1)</f>
        <v>0</v>
      </c>
      <c r="M330" s="221">
        <f>SUMIFS(LstMachines[Nbre],LstMachines[Model-Spec],PrévisionBoris[[#This Row],[Spec]],LstMachines[Status],PrévisionBoris[[#This Row],[Status]],LstMachines[MoisLivr],M$1)</f>
        <v>0</v>
      </c>
      <c r="N330" s="219">
        <f>SUMIFS(LstMachines[Nbre],LstMachines[Model-Spec],PrévisionBoris[[#This Row],[Spec]],LstMachines[Status],PrévisionBoris[[#This Row],[Status]],LstMachines[MoisLivr],N$1)</f>
        <v>0</v>
      </c>
      <c r="O330" s="220">
        <f>SUMIFS(LstMachines[Nbre],LstMachines[Model-Spec],PrévisionBoris[[#This Row],[Spec]],LstMachines[Status],PrévisionBoris[[#This Row],[Status]],LstMachines[MoisLivr],O$1)</f>
        <v>0</v>
      </c>
      <c r="P330" s="221">
        <f>SUMIFS(LstMachines[Nbre],LstMachines[Model-Spec],PrévisionBoris[[#This Row],[Spec]],LstMachines[Status],PrévisionBoris[[#This Row],[Status]],LstMachines[MoisLivr],P$1)</f>
        <v>0</v>
      </c>
      <c r="Q330" s="222">
        <f>SUMIFS(LstMachines[Nbre],LstMachines[Model-Spec],PrévisionBoris[[#This Row],[Spec]],LstMachines[Status],PrévisionBoris[[#This Row],[Status]],LstMachines[MoisLivr],Q$1)</f>
        <v>0</v>
      </c>
      <c r="R330" s="220">
        <f>SUMIFS(LstMachines[Nbre],LstMachines[Model-Spec],PrévisionBoris[[#This Row],[Spec]],LstMachines[Status],PrévisionBoris[[#This Row],[Status]],LstMachines[MoisLivr],R$1)</f>
        <v>0</v>
      </c>
      <c r="S330" s="220">
        <f>SUMIFS(LstMachines[Nbre],LstMachines[Model-Spec],PrévisionBoris[[#This Row],[Spec]],LstMachines[Status],PrévisionBoris[[#This Row],[Status]],LstMachines[MoisLivr],S$1)</f>
        <v>0</v>
      </c>
      <c r="T330" s="219">
        <f>SUMIFS(LstMachines[Nbre],LstMachines[Model-Spec],PrévisionBoris[[#This Row],[Spec]],LstMachines[Status],PrévisionBoris[[#This Row],[Status]],LstMachines[MoisLivr],T$1)</f>
        <v>0</v>
      </c>
      <c r="U330" s="220">
        <f>SUMIFS(LstMachines[Nbre],LstMachines[Model-Spec],PrévisionBoris[[#This Row],[Spec]],LstMachines[Status],PrévisionBoris[[#This Row],[Status]],LstMachines[MoisLivr],U$1)</f>
        <v>0</v>
      </c>
      <c r="V330" s="220">
        <f>SUMIFS(LstMachines[Nbre],LstMachines[Model-Spec],PrévisionBoris[[#This Row],[Spec]],LstMachines[Status],PrévisionBoris[[#This Row],[Status]],LstMachines[MoisLivr],V$1)</f>
        <v>0</v>
      </c>
      <c r="W330" s="219">
        <f>SUMIFS(LstMachines[Nbre],LstMachines[Model-Spec],PrévisionBoris[[#This Row],[Spec]],LstMachines[Status],PrévisionBoris[[#This Row],[Status]],LstMachines[MoisLivr],W$1)</f>
        <v>0</v>
      </c>
      <c r="X330" s="220">
        <f>SUMIFS(LstMachines[Nbre],LstMachines[Model-Spec],PrévisionBoris[[#This Row],[Spec]],LstMachines[Status],PrévisionBoris[[#This Row],[Status]],LstMachines[MoisLivr],X$1)</f>
        <v>0</v>
      </c>
      <c r="Y330" s="220">
        <f>SUMIFS(LstMachines[Nbre],LstMachines[Model-Spec],PrévisionBoris[[#This Row],[Spec]],LstMachines[Status],PrévisionBoris[[#This Row],[Status]],LstMachines[MoisLivr],Y$1)</f>
        <v>0</v>
      </c>
      <c r="Z330" s="219">
        <f>SUMIFS(LstMachines[Nbre],LstMachines[Model-Spec],PrévisionBoris[[#This Row],[Spec]],LstMachines[Status],PrévisionBoris[[#This Row],[Status]],LstMachines[MoisLivr],Z$1)</f>
        <v>0</v>
      </c>
      <c r="AA330" s="220">
        <f>SUMIFS(LstMachines[Nbre],LstMachines[Model-Spec],PrévisionBoris[[#This Row],[Spec]],LstMachines[Status],PrévisionBoris[[#This Row],[Status]],LstMachines[MoisLivr],AA$1)</f>
        <v>0</v>
      </c>
      <c r="AB330" s="220">
        <f>SUMIFS(LstMachines[Nbre],LstMachines[Model-Spec],PrévisionBoris[[#This Row],[Spec]],LstMachines[Status],PrévisionBoris[[#This Row],[Status]],LstMachines[MoisLivr],AB$1)</f>
        <v>0</v>
      </c>
      <c r="AC330" s="219">
        <f>SUMIFS(LstMachines[Nbre],LstMachines[Model-Spec],PrévisionBoris[[#This Row],[Spec]],LstMachines[Status],PrévisionBoris[[#This Row],[Status]],LstMachines[MoisLivr],AC$1)</f>
        <v>0</v>
      </c>
      <c r="AD330" s="220">
        <f>SUMIFS(LstMachines[Nbre],LstMachines[Model-Spec],PrévisionBoris[[#This Row],[Spec]],LstMachines[Status],PrévisionBoris[[#This Row],[Status]],LstMachines[MoisLivr],AD$1)</f>
        <v>0</v>
      </c>
      <c r="AE330" s="220">
        <f>SUMIFS(LstMachines[Nbre],LstMachines[Model-Spec],PrévisionBoris[[#This Row],[Spec]],LstMachines[Status],PrévisionBoris[[#This Row],[Status]],LstMachines[MoisLivr],AE$1)</f>
        <v>0</v>
      </c>
      <c r="AF330" s="219">
        <f>SUMIFS(LstMachines[Nbre],LstMachines[Model-Spec],PrévisionBoris[[#This Row],[Spec]],LstMachines[Status],PrévisionBoris[[#This Row],[Status]],LstMachines[MoisLivr],AF$1)</f>
        <v>0</v>
      </c>
      <c r="AG330" s="220">
        <f>SUMIFS(LstMachines[Nbre],LstMachines[Model-Spec],PrévisionBoris[[#This Row],[Spec]],LstMachines[Status],PrévisionBoris[[#This Row],[Status]],LstMachines[MoisLivr],AG$1)</f>
        <v>0</v>
      </c>
      <c r="AH330" s="220">
        <f>SUMIFS(LstMachines[Nbre],LstMachines[Model-Spec],PrévisionBoris[[#This Row],[Spec]],LstMachines[Status],PrévisionBoris[[#This Row],[Status]],LstMachines[MoisLivr],AH$1)</f>
        <v>0</v>
      </c>
      <c r="AI330" s="219">
        <f>SUMIFS(LstMachines[Nbre],LstMachines[Model-Spec],PrévisionBoris[[#This Row],[Spec]],LstMachines[Status],PrévisionBoris[[#This Row],[Status]],LstMachines[MoisLivr],AI$1)</f>
        <v>0</v>
      </c>
      <c r="AJ330" s="220">
        <f>SUMIFS(LstMachines[Nbre],LstMachines[Model-Spec],PrévisionBoris[[#This Row],[Spec]],LstMachines[Status],PrévisionBoris[[#This Row],[Status]],LstMachines[MoisLivr],AJ$1)</f>
        <v>0</v>
      </c>
      <c r="AK330" s="220">
        <f>SUMIFS(LstMachines[Nbre],LstMachines[Model-Spec],PrévisionBoris[[#This Row],[Spec]],LstMachines[Status],PrévisionBoris[[#This Row],[Status]],LstMachines[MoisLivr],AK$1)</f>
        <v>0</v>
      </c>
      <c r="AL330" s="219">
        <f>SUMIFS(LstMachines[Nbre],LstMachines[Model-Spec],PrévisionBoris[[#This Row],[Spec]],LstMachines[Status],PrévisionBoris[[#This Row],[Status]],LstMachines[MoisLivr],AL$1)</f>
        <v>0</v>
      </c>
      <c r="AM330" s="220">
        <f>SUMIFS(LstMachines[Nbre],LstMachines[Model-Spec],PrévisionBoris[[#This Row],[Spec]],LstMachines[Status],PrévisionBoris[[#This Row],[Status]],LstMachines[MoisLivr],AM$1)</f>
        <v>0</v>
      </c>
      <c r="AN330" s="220">
        <f>SUMIFS(LstMachines[Nbre],LstMachines[Model-Spec],PrévisionBoris[[#This Row],[Spec]],LstMachines[Status],PrévisionBoris[[#This Row],[Status]],LstMachines[MoisLivr],AN$1)</f>
        <v>0</v>
      </c>
      <c r="AO330" s="219">
        <f>SUMIFS(LstMachines[Nbre],LstMachines[Model-Spec],PrévisionBoris[[#This Row],[Spec]],LstMachines[Status],PrévisionBoris[[#This Row],[Status]],LstMachines[MoisLivr],AO$1)</f>
        <v>0</v>
      </c>
      <c r="AP330" s="220">
        <f>SUMIFS(LstMachines[Nbre],LstMachines[Model-Spec],PrévisionBoris[[#This Row],[Spec]],LstMachines[Status],PrévisionBoris[[#This Row],[Status]],LstMachines[MoisLivr],AP$1)</f>
        <v>0</v>
      </c>
      <c r="AQ330" s="220">
        <f>SUMIFS(LstMachines[Nbre],LstMachines[Model-Spec],PrévisionBoris[[#This Row],[Spec]],LstMachines[Status],PrévisionBoris[[#This Row],[Status]],LstMachines[MoisLivr],AQ$1)</f>
        <v>0</v>
      </c>
      <c r="AR330" s="219">
        <f>SUMIFS(LstMachines[Nbre],LstMachines[Model-Spec],PrévisionBoris[[#This Row],[Spec]],LstMachines[Status],PrévisionBoris[[#This Row],[Status]],LstMachines[MoisLivr],AR$1)</f>
        <v>0</v>
      </c>
      <c r="AS330" s="220">
        <f>SUMIFS(LstMachines[Nbre],LstMachines[Model-Spec],PrévisionBoris[[#This Row],[Spec]],LstMachines[Status],PrévisionBoris[[#This Row],[Status]],LstMachines[MoisLivr],AS$1)</f>
        <v>0</v>
      </c>
      <c r="AT330" s="220">
        <f>SUMIFS(LstMachines[Nbre],LstMachines[Model-Spec],PrévisionBoris[[#This Row],[Spec]],LstMachines[Status],PrévisionBoris[[#This Row],[Status]],LstMachines[MoisLivr],AT$1)</f>
        <v>0</v>
      </c>
      <c r="AU330" s="219">
        <f>SUMIFS(LstMachines[Nbre],LstMachines[Model-Spec],PrévisionBoris[[#This Row],[Spec]],LstMachines[Status],PrévisionBoris[[#This Row],[Status]],LstMachines[MoisLivr],AU$1)</f>
        <v>0</v>
      </c>
      <c r="AV330" s="223">
        <f>SUMIFS(LstMachines[Nbre],LstMachines[Model-Spec],PrévisionBoris[[#This Row],[Spec]],LstMachines[Status],PrévisionBoris[[#This Row],[Status]],LstMachines[MoisLivr],AV$1)</f>
        <v>0</v>
      </c>
      <c r="AW330" s="224">
        <f>SUMIFS(LstMachines[Nbre],LstMachines[Model-Spec],PrévisionBoris[[#This Row],[Spec]],LstMachines[Status],PrévisionBoris[[#This Row],[Status]],LstMachines[MoisLivr],AW$1)</f>
        <v>0</v>
      </c>
      <c r="AX330" s="210"/>
      <c r="AY330" s="211">
        <f t="shared" si="83"/>
        <v>0</v>
      </c>
      <c r="AZ330" s="212">
        <f t="shared" si="84"/>
        <v>0</v>
      </c>
      <c r="BA330" s="212">
        <f t="shared" si="85"/>
        <v>0</v>
      </c>
      <c r="BB330" s="213">
        <f t="shared" si="86"/>
        <v>0</v>
      </c>
      <c r="BC330" s="225">
        <f t="shared" si="87"/>
        <v>0</v>
      </c>
      <c r="BD330" s="211">
        <f t="shared" si="88"/>
        <v>0</v>
      </c>
      <c r="BE330" s="212">
        <f t="shared" si="89"/>
        <v>0</v>
      </c>
      <c r="BF330" s="212">
        <f t="shared" si="90"/>
        <v>0</v>
      </c>
      <c r="BG330" s="213">
        <f t="shared" si="91"/>
        <v>0</v>
      </c>
      <c r="BH330" s="225">
        <f t="shared" si="92"/>
        <v>0</v>
      </c>
      <c r="BI330" s="214">
        <f t="shared" si="93"/>
        <v>0</v>
      </c>
      <c r="BJ330" s="215">
        <f t="shared" si="94"/>
        <v>0</v>
      </c>
      <c r="BK330" s="215">
        <f t="shared" si="95"/>
        <v>0</v>
      </c>
      <c r="BL330" s="216">
        <f t="shared" si="96"/>
        <v>0</v>
      </c>
      <c r="BM330" s="225">
        <f t="shared" si="97"/>
        <v>0</v>
      </c>
      <c r="BN330" s="225"/>
      <c r="BO330" s="217"/>
      <c r="BP330" s="218">
        <f t="shared" si="98"/>
        <v>0</v>
      </c>
    </row>
    <row r="331" spans="1:68">
      <c r="A331" s="171">
        <v>324</v>
      </c>
      <c r="B331" s="171" t="s">
        <v>223</v>
      </c>
      <c r="C331" s="201">
        <v>170</v>
      </c>
      <c r="D331" s="171" t="s">
        <v>229</v>
      </c>
      <c r="E331" s="171" t="s">
        <v>230</v>
      </c>
      <c r="F331" s="201">
        <f>VLOOKUP(PrévisionBoris[[#This Row],[Spec]],TabModelSpecs[[ModelSpec]:[Price]],2,FALSE)</f>
        <v>125</v>
      </c>
      <c r="G331" s="171" t="s">
        <v>463</v>
      </c>
      <c r="H331" s="226">
        <f>SUMIFS(LstMachines[Nbre],LstMachines[Model-Spec],PrévisionBoris[[#This Row],[Spec]],LstMachines[Status],PrévisionBoris[[#This Row],[Status]],LstMachines[MoisLivr],H$1)</f>
        <v>0</v>
      </c>
      <c r="I331" s="227">
        <f>SUMIFS(LstMachines[Nbre],LstMachines[Model-Spec],PrévisionBoris[[#This Row],[Spec]],LstMachines[Status],PrévisionBoris[[#This Row],[Status]],LstMachines[MoisLivr],I$1)</f>
        <v>0</v>
      </c>
      <c r="J331" s="228">
        <f>SUMIFS(LstMachines[Nbre],LstMachines[Model-Spec],PrévisionBoris[[#This Row],[Spec]],LstMachines[Status],PrévisionBoris[[#This Row],[Status]],LstMachines[MoisLivr],J$1)</f>
        <v>0</v>
      </c>
      <c r="K331" s="226">
        <f>SUMIFS(LstMachines[Nbre],LstMachines[Model-Spec],PrévisionBoris[[#This Row],[Spec]],LstMachines[Status],PrévisionBoris[[#This Row],[Status]],LstMachines[MoisLivr],K$1)</f>
        <v>0</v>
      </c>
      <c r="L331" s="227">
        <f>SUMIFS(LstMachines[Nbre],LstMachines[Model-Spec],PrévisionBoris[[#This Row],[Spec]],LstMachines[Status],PrévisionBoris[[#This Row],[Status]],LstMachines[MoisLivr],L$1)</f>
        <v>0</v>
      </c>
      <c r="M331" s="228">
        <f>SUMIFS(LstMachines[Nbre],LstMachines[Model-Spec],PrévisionBoris[[#This Row],[Spec]],LstMachines[Status],PrévisionBoris[[#This Row],[Status]],LstMachines[MoisLivr],M$1)</f>
        <v>0</v>
      </c>
      <c r="N331" s="226">
        <f>SUMIFS(LstMachines[Nbre],LstMachines[Model-Spec],PrévisionBoris[[#This Row],[Spec]],LstMachines[Status],PrévisionBoris[[#This Row],[Status]],LstMachines[MoisLivr],N$1)</f>
        <v>0</v>
      </c>
      <c r="O331" s="227">
        <f>SUMIFS(LstMachines[Nbre],LstMachines[Model-Spec],PrévisionBoris[[#This Row],[Spec]],LstMachines[Status],PrévisionBoris[[#This Row],[Status]],LstMachines[MoisLivr],O$1)</f>
        <v>0</v>
      </c>
      <c r="P331" s="228">
        <f>SUMIFS(LstMachines[Nbre],LstMachines[Model-Spec],PrévisionBoris[[#This Row],[Spec]],LstMachines[Status],PrévisionBoris[[#This Row],[Status]],LstMachines[MoisLivr],P$1)</f>
        <v>0</v>
      </c>
      <c r="Q331" s="229">
        <f>SUMIFS(LstMachines[Nbre],LstMachines[Model-Spec],PrévisionBoris[[#This Row],[Spec]],LstMachines[Status],PrévisionBoris[[#This Row],[Status]],LstMachines[MoisLivr],Q$1)</f>
        <v>0</v>
      </c>
      <c r="R331" s="227">
        <f>SUMIFS(LstMachines[Nbre],LstMachines[Model-Spec],PrévisionBoris[[#This Row],[Spec]],LstMachines[Status],PrévisionBoris[[#This Row],[Status]],LstMachines[MoisLivr],R$1)</f>
        <v>0</v>
      </c>
      <c r="S331" s="227">
        <f>SUMIFS(LstMachines[Nbre],LstMachines[Model-Spec],PrévisionBoris[[#This Row],[Spec]],LstMachines[Status],PrévisionBoris[[#This Row],[Status]],LstMachines[MoisLivr],S$1)</f>
        <v>0</v>
      </c>
      <c r="T331" s="226">
        <f>SUMIFS(LstMachines[Nbre],LstMachines[Model-Spec],PrévisionBoris[[#This Row],[Spec]],LstMachines[Status],PrévisionBoris[[#This Row],[Status]],LstMachines[MoisLivr],T$1)</f>
        <v>0</v>
      </c>
      <c r="U331" s="227">
        <f>SUMIFS(LstMachines[Nbre],LstMachines[Model-Spec],PrévisionBoris[[#This Row],[Spec]],LstMachines[Status],PrévisionBoris[[#This Row],[Status]],LstMachines[MoisLivr],U$1)</f>
        <v>0</v>
      </c>
      <c r="V331" s="227">
        <f>SUMIFS(LstMachines[Nbre],LstMachines[Model-Spec],PrévisionBoris[[#This Row],[Spec]],LstMachines[Status],PrévisionBoris[[#This Row],[Status]],LstMachines[MoisLivr],V$1)</f>
        <v>0</v>
      </c>
      <c r="W331" s="226">
        <f>SUMIFS(LstMachines[Nbre],LstMachines[Model-Spec],PrévisionBoris[[#This Row],[Spec]],LstMachines[Status],PrévisionBoris[[#This Row],[Status]],LstMachines[MoisLivr],W$1)</f>
        <v>0</v>
      </c>
      <c r="X331" s="227">
        <f>SUMIFS(LstMachines[Nbre],LstMachines[Model-Spec],PrévisionBoris[[#This Row],[Spec]],LstMachines[Status],PrévisionBoris[[#This Row],[Status]],LstMachines[MoisLivr],X$1)</f>
        <v>0</v>
      </c>
      <c r="Y331" s="227">
        <f>SUMIFS(LstMachines[Nbre],LstMachines[Model-Spec],PrévisionBoris[[#This Row],[Spec]],LstMachines[Status],PrévisionBoris[[#This Row],[Status]],LstMachines[MoisLivr],Y$1)</f>
        <v>0</v>
      </c>
      <c r="Z331" s="226">
        <f>SUMIFS(LstMachines[Nbre],LstMachines[Model-Spec],PrévisionBoris[[#This Row],[Spec]],LstMachines[Status],PrévisionBoris[[#This Row],[Status]],LstMachines[MoisLivr],Z$1)</f>
        <v>0</v>
      </c>
      <c r="AA331" s="227">
        <f>SUMIFS(LstMachines[Nbre],LstMachines[Model-Spec],PrévisionBoris[[#This Row],[Spec]],LstMachines[Status],PrévisionBoris[[#This Row],[Status]],LstMachines[MoisLivr],AA$1)</f>
        <v>0</v>
      </c>
      <c r="AB331" s="227">
        <f>SUMIFS(LstMachines[Nbre],LstMachines[Model-Spec],PrévisionBoris[[#This Row],[Spec]],LstMachines[Status],PrévisionBoris[[#This Row],[Status]],LstMachines[MoisLivr],AB$1)</f>
        <v>0</v>
      </c>
      <c r="AC331" s="226">
        <f>SUMIFS(LstMachines[Nbre],LstMachines[Model-Spec],PrévisionBoris[[#This Row],[Spec]],LstMachines[Status],PrévisionBoris[[#This Row],[Status]],LstMachines[MoisLivr],AC$1)</f>
        <v>0</v>
      </c>
      <c r="AD331" s="227">
        <f>SUMIFS(LstMachines[Nbre],LstMachines[Model-Spec],PrévisionBoris[[#This Row],[Spec]],LstMachines[Status],PrévisionBoris[[#This Row],[Status]],LstMachines[MoisLivr],AD$1)</f>
        <v>0</v>
      </c>
      <c r="AE331" s="227">
        <f>SUMIFS(LstMachines[Nbre],LstMachines[Model-Spec],PrévisionBoris[[#This Row],[Spec]],LstMachines[Status],PrévisionBoris[[#This Row],[Status]],LstMachines[MoisLivr],AE$1)</f>
        <v>0</v>
      </c>
      <c r="AF331" s="226">
        <f>SUMIFS(LstMachines[Nbre],LstMachines[Model-Spec],PrévisionBoris[[#This Row],[Spec]],LstMachines[Status],PrévisionBoris[[#This Row],[Status]],LstMachines[MoisLivr],AF$1)</f>
        <v>0</v>
      </c>
      <c r="AG331" s="227">
        <f>SUMIFS(LstMachines[Nbre],LstMachines[Model-Spec],PrévisionBoris[[#This Row],[Spec]],LstMachines[Status],PrévisionBoris[[#This Row],[Status]],LstMachines[MoisLivr],AG$1)</f>
        <v>0</v>
      </c>
      <c r="AH331" s="227">
        <f>SUMIFS(LstMachines[Nbre],LstMachines[Model-Spec],PrévisionBoris[[#This Row],[Spec]],LstMachines[Status],PrévisionBoris[[#This Row],[Status]],LstMachines[MoisLivr],AH$1)</f>
        <v>0</v>
      </c>
      <c r="AI331" s="226">
        <f>SUMIFS(LstMachines[Nbre],LstMachines[Model-Spec],PrévisionBoris[[#This Row],[Spec]],LstMachines[Status],PrévisionBoris[[#This Row],[Status]],LstMachines[MoisLivr],AI$1)</f>
        <v>0</v>
      </c>
      <c r="AJ331" s="227">
        <f>SUMIFS(LstMachines[Nbre],LstMachines[Model-Spec],PrévisionBoris[[#This Row],[Spec]],LstMachines[Status],PrévisionBoris[[#This Row],[Status]],LstMachines[MoisLivr],AJ$1)</f>
        <v>0</v>
      </c>
      <c r="AK331" s="227">
        <f>SUMIFS(LstMachines[Nbre],LstMachines[Model-Spec],PrévisionBoris[[#This Row],[Spec]],LstMachines[Status],PrévisionBoris[[#This Row],[Status]],LstMachines[MoisLivr],AK$1)</f>
        <v>0</v>
      </c>
      <c r="AL331" s="226">
        <f>SUMIFS(LstMachines[Nbre],LstMachines[Model-Spec],PrévisionBoris[[#This Row],[Spec]],LstMachines[Status],PrévisionBoris[[#This Row],[Status]],LstMachines[MoisLivr],AL$1)</f>
        <v>0</v>
      </c>
      <c r="AM331" s="227">
        <f>SUMIFS(LstMachines[Nbre],LstMachines[Model-Spec],PrévisionBoris[[#This Row],[Spec]],LstMachines[Status],PrévisionBoris[[#This Row],[Status]],LstMachines[MoisLivr],AM$1)</f>
        <v>0</v>
      </c>
      <c r="AN331" s="227">
        <f>SUMIFS(LstMachines[Nbre],LstMachines[Model-Spec],PrévisionBoris[[#This Row],[Spec]],LstMachines[Status],PrévisionBoris[[#This Row],[Status]],LstMachines[MoisLivr],AN$1)</f>
        <v>0</v>
      </c>
      <c r="AO331" s="226">
        <f>SUMIFS(LstMachines[Nbre],LstMachines[Model-Spec],PrévisionBoris[[#This Row],[Spec]],LstMachines[Status],PrévisionBoris[[#This Row],[Status]],LstMachines[MoisLivr],AO$1)</f>
        <v>0</v>
      </c>
      <c r="AP331" s="227">
        <f>SUMIFS(LstMachines[Nbre],LstMachines[Model-Spec],PrévisionBoris[[#This Row],[Spec]],LstMachines[Status],PrévisionBoris[[#This Row],[Status]],LstMachines[MoisLivr],AP$1)</f>
        <v>0</v>
      </c>
      <c r="AQ331" s="227">
        <f>SUMIFS(LstMachines[Nbre],LstMachines[Model-Spec],PrévisionBoris[[#This Row],[Spec]],LstMachines[Status],PrévisionBoris[[#This Row],[Status]],LstMachines[MoisLivr],AQ$1)</f>
        <v>0</v>
      </c>
      <c r="AR331" s="226">
        <f>SUMIFS(LstMachines[Nbre],LstMachines[Model-Spec],PrévisionBoris[[#This Row],[Spec]],LstMachines[Status],PrévisionBoris[[#This Row],[Status]],LstMachines[MoisLivr],AR$1)</f>
        <v>0</v>
      </c>
      <c r="AS331" s="227">
        <f>SUMIFS(LstMachines[Nbre],LstMachines[Model-Spec],PrévisionBoris[[#This Row],[Spec]],LstMachines[Status],PrévisionBoris[[#This Row],[Status]],LstMachines[MoisLivr],AS$1)</f>
        <v>0</v>
      </c>
      <c r="AT331" s="227">
        <f>SUMIFS(LstMachines[Nbre],LstMachines[Model-Spec],PrévisionBoris[[#This Row],[Spec]],LstMachines[Status],PrévisionBoris[[#This Row],[Status]],LstMachines[MoisLivr],AT$1)</f>
        <v>0</v>
      </c>
      <c r="AU331" s="226">
        <f>SUMIFS(LstMachines[Nbre],LstMachines[Model-Spec],PrévisionBoris[[#This Row],[Spec]],LstMachines[Status],PrévisionBoris[[#This Row],[Status]],LstMachines[MoisLivr],AU$1)</f>
        <v>0</v>
      </c>
      <c r="AV331" s="230">
        <f>SUMIFS(LstMachines[Nbre],LstMachines[Model-Spec],PrévisionBoris[[#This Row],[Spec]],LstMachines[Status],PrévisionBoris[[#This Row],[Status]],LstMachines[MoisLivr],AV$1)</f>
        <v>0</v>
      </c>
      <c r="AW331" s="231">
        <f>SUMIFS(LstMachines[Nbre],LstMachines[Model-Spec],PrévisionBoris[[#This Row],[Spec]],LstMachines[Status],PrévisionBoris[[#This Row],[Status]],LstMachines[MoisLivr],AW$1)</f>
        <v>0</v>
      </c>
      <c r="AX331" s="232"/>
      <c r="AY331" s="211">
        <f t="shared" si="83"/>
        <v>0</v>
      </c>
      <c r="AZ331" s="212">
        <f t="shared" si="84"/>
        <v>0</v>
      </c>
      <c r="BA331" s="212">
        <f t="shared" si="85"/>
        <v>0</v>
      </c>
      <c r="BB331" s="213">
        <f t="shared" si="86"/>
        <v>0</v>
      </c>
      <c r="BC331" s="225">
        <f t="shared" si="87"/>
        <v>0</v>
      </c>
      <c r="BD331" s="211">
        <f t="shared" si="88"/>
        <v>0</v>
      </c>
      <c r="BE331" s="212">
        <f t="shared" si="89"/>
        <v>0</v>
      </c>
      <c r="BF331" s="212">
        <f t="shared" si="90"/>
        <v>0</v>
      </c>
      <c r="BG331" s="213">
        <f t="shared" si="91"/>
        <v>0</v>
      </c>
      <c r="BH331" s="225">
        <f t="shared" si="92"/>
        <v>0</v>
      </c>
      <c r="BI331" s="214">
        <f t="shared" si="93"/>
        <v>0</v>
      </c>
      <c r="BJ331" s="215">
        <f t="shared" si="94"/>
        <v>0</v>
      </c>
      <c r="BK331" s="215">
        <f t="shared" si="95"/>
        <v>0</v>
      </c>
      <c r="BL331" s="216">
        <f t="shared" si="96"/>
        <v>0</v>
      </c>
      <c r="BM331" s="225">
        <f t="shared" si="97"/>
        <v>0</v>
      </c>
      <c r="BN331" s="225"/>
      <c r="BO331" s="217"/>
      <c r="BP331" s="218">
        <f t="shared" si="98"/>
        <v>0</v>
      </c>
    </row>
    <row r="332" spans="1:68">
      <c r="A332" s="172">
        <v>325</v>
      </c>
      <c r="B332" s="172" t="s">
        <v>223</v>
      </c>
      <c r="C332" s="202">
        <v>170</v>
      </c>
      <c r="D332" s="172" t="s">
        <v>229</v>
      </c>
      <c r="E332" s="172" t="s">
        <v>231</v>
      </c>
      <c r="F332" s="202">
        <f>VLOOKUP(PrévisionBoris[[#This Row],[Spec]],TabModelSpecs[[ModelSpec]:[Price]],2,FALSE)</f>
        <v>115</v>
      </c>
      <c r="G332" s="172" t="s">
        <v>461</v>
      </c>
      <c r="H332" s="206">
        <f>SUMIFS(LstMachines[Nbre],LstMachines[Model-Spec],PrévisionBoris[[#This Row],[Spec]],LstMachines[Status],PrévisionBoris[[#This Row],[Status]],LstMachines[MoisLivr],H$1)</f>
        <v>0</v>
      </c>
      <c r="I332" s="207">
        <f>SUMIFS(LstMachines[Nbre],LstMachines[Model-Spec],PrévisionBoris[[#This Row],[Spec]],LstMachines[Status],PrévisionBoris[[#This Row],[Status]],LstMachines[MoisLivr],I$1)</f>
        <v>0</v>
      </c>
      <c r="J332" s="208">
        <f>SUMIFS(LstMachines[Nbre],LstMachines[Model-Spec],PrévisionBoris[[#This Row],[Spec]],LstMachines[Status],PrévisionBoris[[#This Row],[Status]],LstMachines[MoisLivr],J$1)</f>
        <v>0</v>
      </c>
      <c r="K332" s="206">
        <f>SUMIFS(LstMachines[Nbre],LstMachines[Model-Spec],PrévisionBoris[[#This Row],[Spec]],LstMachines[Status],PrévisionBoris[[#This Row],[Status]],LstMachines[MoisLivr],K$1)</f>
        <v>0</v>
      </c>
      <c r="L332" s="207">
        <f>SUMIFS(LstMachines[Nbre],LstMachines[Model-Spec],PrévisionBoris[[#This Row],[Spec]],LstMachines[Status],PrévisionBoris[[#This Row],[Status]],LstMachines[MoisLivr],L$1)</f>
        <v>0</v>
      </c>
      <c r="M332" s="208">
        <f>SUMIFS(LstMachines[Nbre],LstMachines[Model-Spec],PrévisionBoris[[#This Row],[Spec]],LstMachines[Status],PrévisionBoris[[#This Row],[Status]],LstMachines[MoisLivr],M$1)</f>
        <v>0</v>
      </c>
      <c r="N332" s="206">
        <f>SUMIFS(LstMachines[Nbre],LstMachines[Model-Spec],PrévisionBoris[[#This Row],[Spec]],LstMachines[Status],PrévisionBoris[[#This Row],[Status]],LstMachines[MoisLivr],N$1)</f>
        <v>0</v>
      </c>
      <c r="O332" s="207">
        <f>SUMIFS(LstMachines[Nbre],LstMachines[Model-Spec],PrévisionBoris[[#This Row],[Spec]],LstMachines[Status],PrévisionBoris[[#This Row],[Status]],LstMachines[MoisLivr],O$1)</f>
        <v>0</v>
      </c>
      <c r="P332" s="208">
        <f>SUMIFS(LstMachines[Nbre],LstMachines[Model-Spec],PrévisionBoris[[#This Row],[Spec]],LstMachines[Status],PrévisionBoris[[#This Row],[Status]],LstMachines[MoisLivr],P$1)</f>
        <v>0</v>
      </c>
      <c r="Q332" s="209">
        <f>SUMIFS(LstMachines[Nbre],LstMachines[Model-Spec],PrévisionBoris[[#This Row],[Spec]],LstMachines[Status],PrévisionBoris[[#This Row],[Status]],LstMachines[MoisLivr],Q$1)</f>
        <v>0</v>
      </c>
      <c r="R332" s="207">
        <f>SUMIFS(LstMachines[Nbre],LstMachines[Model-Spec],PrévisionBoris[[#This Row],[Spec]],LstMachines[Status],PrévisionBoris[[#This Row],[Status]],LstMachines[MoisLivr],R$1)</f>
        <v>0</v>
      </c>
      <c r="S332" s="207">
        <f>SUMIFS(LstMachines[Nbre],LstMachines[Model-Spec],PrévisionBoris[[#This Row],[Spec]],LstMachines[Status],PrévisionBoris[[#This Row],[Status]],LstMachines[MoisLivr],S$1)</f>
        <v>0</v>
      </c>
      <c r="T332" s="206">
        <f>SUMIFS(LstMachines[Nbre],LstMachines[Model-Spec],PrévisionBoris[[#This Row],[Spec]],LstMachines[Status],PrévisionBoris[[#This Row],[Status]],LstMachines[MoisLivr],T$1)</f>
        <v>0</v>
      </c>
      <c r="U332" s="207">
        <f>SUMIFS(LstMachines[Nbre],LstMachines[Model-Spec],PrévisionBoris[[#This Row],[Spec]],LstMachines[Status],PrévisionBoris[[#This Row],[Status]],LstMachines[MoisLivr],U$1)</f>
        <v>0</v>
      </c>
      <c r="V332" s="207">
        <f>SUMIFS(LstMachines[Nbre],LstMachines[Model-Spec],PrévisionBoris[[#This Row],[Spec]],LstMachines[Status],PrévisionBoris[[#This Row],[Status]],LstMachines[MoisLivr],V$1)</f>
        <v>0</v>
      </c>
      <c r="W332" s="206">
        <f>SUMIFS(LstMachines[Nbre],LstMachines[Model-Spec],PrévisionBoris[[#This Row],[Spec]],LstMachines[Status],PrévisionBoris[[#This Row],[Status]],LstMachines[MoisLivr],W$1)</f>
        <v>0</v>
      </c>
      <c r="X332" s="207">
        <f>SUMIFS(LstMachines[Nbre],LstMachines[Model-Spec],PrévisionBoris[[#This Row],[Spec]],LstMachines[Status],PrévisionBoris[[#This Row],[Status]],LstMachines[MoisLivr],X$1)</f>
        <v>0</v>
      </c>
      <c r="Y332" s="207">
        <f>SUMIFS(LstMachines[Nbre],LstMachines[Model-Spec],PrévisionBoris[[#This Row],[Spec]],LstMachines[Status],PrévisionBoris[[#This Row],[Status]],LstMachines[MoisLivr],Y$1)</f>
        <v>0</v>
      </c>
      <c r="Z332" s="206">
        <f>SUMIFS(LstMachines[Nbre],LstMachines[Model-Spec],PrévisionBoris[[#This Row],[Spec]],LstMachines[Status],PrévisionBoris[[#This Row],[Status]],LstMachines[MoisLivr],Z$1)</f>
        <v>0</v>
      </c>
      <c r="AA332" s="207">
        <f>SUMIFS(LstMachines[Nbre],LstMachines[Model-Spec],PrévisionBoris[[#This Row],[Spec]],LstMachines[Status],PrévisionBoris[[#This Row],[Status]],LstMachines[MoisLivr],AA$1)</f>
        <v>0</v>
      </c>
      <c r="AB332" s="207">
        <f>SUMIFS(LstMachines[Nbre],LstMachines[Model-Spec],PrévisionBoris[[#This Row],[Spec]],LstMachines[Status],PrévisionBoris[[#This Row],[Status]],LstMachines[MoisLivr],AB$1)</f>
        <v>0</v>
      </c>
      <c r="AC332" s="206">
        <f>SUMIFS(LstMachines[Nbre],LstMachines[Model-Spec],PrévisionBoris[[#This Row],[Spec]],LstMachines[Status],PrévisionBoris[[#This Row],[Status]],LstMachines[MoisLivr],AC$1)</f>
        <v>0</v>
      </c>
      <c r="AD332" s="207">
        <f>SUMIFS(LstMachines[Nbre],LstMachines[Model-Spec],PrévisionBoris[[#This Row],[Spec]],LstMachines[Status],PrévisionBoris[[#This Row],[Status]],LstMachines[MoisLivr],AD$1)</f>
        <v>0</v>
      </c>
      <c r="AE332" s="207">
        <f>SUMIFS(LstMachines[Nbre],LstMachines[Model-Spec],PrévisionBoris[[#This Row],[Spec]],LstMachines[Status],PrévisionBoris[[#This Row],[Status]],LstMachines[MoisLivr],AE$1)</f>
        <v>0</v>
      </c>
      <c r="AF332" s="206">
        <f>SUMIFS(LstMachines[Nbre],LstMachines[Model-Spec],PrévisionBoris[[#This Row],[Spec]],LstMachines[Status],PrévisionBoris[[#This Row],[Status]],LstMachines[MoisLivr],AF$1)</f>
        <v>0</v>
      </c>
      <c r="AG332" s="207">
        <f>SUMIFS(LstMachines[Nbre],LstMachines[Model-Spec],PrévisionBoris[[#This Row],[Spec]],LstMachines[Status],PrévisionBoris[[#This Row],[Status]],LstMachines[MoisLivr],AG$1)</f>
        <v>0</v>
      </c>
      <c r="AH332" s="207">
        <f>SUMIFS(LstMachines[Nbre],LstMachines[Model-Spec],PrévisionBoris[[#This Row],[Spec]],LstMachines[Status],PrévisionBoris[[#This Row],[Status]],LstMachines[MoisLivr],AH$1)</f>
        <v>0</v>
      </c>
      <c r="AI332" s="206">
        <f>SUMIFS(LstMachines[Nbre],LstMachines[Model-Spec],PrévisionBoris[[#This Row],[Spec]],LstMachines[Status],PrévisionBoris[[#This Row],[Status]],LstMachines[MoisLivr],AI$1)</f>
        <v>0</v>
      </c>
      <c r="AJ332" s="207">
        <f>SUMIFS(LstMachines[Nbre],LstMachines[Model-Spec],PrévisionBoris[[#This Row],[Spec]],LstMachines[Status],PrévisionBoris[[#This Row],[Status]],LstMachines[MoisLivr],AJ$1)</f>
        <v>0</v>
      </c>
      <c r="AK332" s="207">
        <f>SUMIFS(LstMachines[Nbre],LstMachines[Model-Spec],PrévisionBoris[[#This Row],[Spec]],LstMachines[Status],PrévisionBoris[[#This Row],[Status]],LstMachines[MoisLivr],AK$1)</f>
        <v>0</v>
      </c>
      <c r="AL332" s="206">
        <f>SUMIFS(LstMachines[Nbre],LstMachines[Model-Spec],PrévisionBoris[[#This Row],[Spec]],LstMachines[Status],PrévisionBoris[[#This Row],[Status]],LstMachines[MoisLivr],AL$1)</f>
        <v>0</v>
      </c>
      <c r="AM332" s="207">
        <f>SUMIFS(LstMachines[Nbre],LstMachines[Model-Spec],PrévisionBoris[[#This Row],[Spec]],LstMachines[Status],PrévisionBoris[[#This Row],[Status]],LstMachines[MoisLivr],AM$1)</f>
        <v>0</v>
      </c>
      <c r="AN332" s="207">
        <f>SUMIFS(LstMachines[Nbre],LstMachines[Model-Spec],PrévisionBoris[[#This Row],[Spec]],LstMachines[Status],PrévisionBoris[[#This Row],[Status]],LstMachines[MoisLivr],AN$1)</f>
        <v>0</v>
      </c>
      <c r="AO332" s="206">
        <f>SUMIFS(LstMachines[Nbre],LstMachines[Model-Spec],PrévisionBoris[[#This Row],[Spec]],LstMachines[Status],PrévisionBoris[[#This Row],[Status]],LstMachines[MoisLivr],AO$1)</f>
        <v>0</v>
      </c>
      <c r="AP332" s="207">
        <f>SUMIFS(LstMachines[Nbre],LstMachines[Model-Spec],PrévisionBoris[[#This Row],[Spec]],LstMachines[Status],PrévisionBoris[[#This Row],[Status]],LstMachines[MoisLivr],AP$1)</f>
        <v>0</v>
      </c>
      <c r="AQ332" s="207">
        <f>SUMIFS(LstMachines[Nbre],LstMachines[Model-Spec],PrévisionBoris[[#This Row],[Spec]],LstMachines[Status],PrévisionBoris[[#This Row],[Status]],LstMachines[MoisLivr],AQ$1)</f>
        <v>0</v>
      </c>
      <c r="AR332" s="206">
        <f>SUMIFS(LstMachines[Nbre],LstMachines[Model-Spec],PrévisionBoris[[#This Row],[Spec]],LstMachines[Status],PrévisionBoris[[#This Row],[Status]],LstMachines[MoisLivr],AR$1)</f>
        <v>0</v>
      </c>
      <c r="AS332" s="207">
        <f>SUMIFS(LstMachines[Nbre],LstMachines[Model-Spec],PrévisionBoris[[#This Row],[Spec]],LstMachines[Status],PrévisionBoris[[#This Row],[Status]],LstMachines[MoisLivr],AS$1)</f>
        <v>0</v>
      </c>
      <c r="AT332" s="207">
        <f>SUMIFS(LstMachines[Nbre],LstMachines[Model-Spec],PrévisionBoris[[#This Row],[Spec]],LstMachines[Status],PrévisionBoris[[#This Row],[Status]],LstMachines[MoisLivr],AT$1)</f>
        <v>0</v>
      </c>
      <c r="AU332" s="206">
        <f>SUMIFS(LstMachines[Nbre],LstMachines[Model-Spec],PrévisionBoris[[#This Row],[Spec]],LstMachines[Status],PrévisionBoris[[#This Row],[Status]],LstMachines[MoisLivr],AU$1)</f>
        <v>0</v>
      </c>
      <c r="AV332" s="233">
        <f>SUMIFS(LstMachines[Nbre],LstMachines[Model-Spec],PrévisionBoris[[#This Row],[Spec]],LstMachines[Status],PrévisionBoris[[#This Row],[Status]],LstMachines[MoisLivr],AV$1)</f>
        <v>0</v>
      </c>
      <c r="AW332" s="208">
        <f>SUMIFS(LstMachines[Nbre],LstMachines[Model-Spec],PrévisionBoris[[#This Row],[Spec]],LstMachines[Status],PrévisionBoris[[#This Row],[Status]],LstMachines[MoisLivr],AW$1)</f>
        <v>0</v>
      </c>
      <c r="AX332" s="225"/>
      <c r="AY332" s="211">
        <f t="shared" si="83"/>
        <v>0</v>
      </c>
      <c r="AZ332" s="212">
        <f t="shared" si="84"/>
        <v>0</v>
      </c>
      <c r="BA332" s="212">
        <f t="shared" si="85"/>
        <v>0</v>
      </c>
      <c r="BB332" s="213">
        <f t="shared" si="86"/>
        <v>0</v>
      </c>
      <c r="BC332" s="225">
        <f t="shared" si="87"/>
        <v>0</v>
      </c>
      <c r="BD332" s="211">
        <f t="shared" si="88"/>
        <v>0</v>
      </c>
      <c r="BE332" s="212">
        <f t="shared" si="89"/>
        <v>0</v>
      </c>
      <c r="BF332" s="212">
        <f t="shared" si="90"/>
        <v>0</v>
      </c>
      <c r="BG332" s="213">
        <f t="shared" si="91"/>
        <v>0</v>
      </c>
      <c r="BH332" s="225">
        <f t="shared" si="92"/>
        <v>0</v>
      </c>
      <c r="BI332" s="214">
        <f t="shared" si="93"/>
        <v>0</v>
      </c>
      <c r="BJ332" s="215">
        <f t="shared" si="94"/>
        <v>0</v>
      </c>
      <c r="BK332" s="215">
        <f t="shared" si="95"/>
        <v>0</v>
      </c>
      <c r="BL332" s="216">
        <f t="shared" si="96"/>
        <v>0</v>
      </c>
      <c r="BM332" s="225">
        <f t="shared" si="97"/>
        <v>0</v>
      </c>
      <c r="BN332" s="225"/>
      <c r="BO332" s="234"/>
      <c r="BP332" s="218">
        <f t="shared" si="98"/>
        <v>0</v>
      </c>
    </row>
    <row r="333" spans="1:68">
      <c r="A333" s="170">
        <v>326</v>
      </c>
      <c r="B333" s="170" t="s">
        <v>223</v>
      </c>
      <c r="C333" s="200">
        <v>170</v>
      </c>
      <c r="D333" s="170" t="s">
        <v>229</v>
      </c>
      <c r="E333" s="170" t="s">
        <v>231</v>
      </c>
      <c r="F333" s="200">
        <f>VLOOKUP(PrévisionBoris[[#This Row],[Spec]],TabModelSpecs[[ModelSpec]:[Price]],2,FALSE)</f>
        <v>115</v>
      </c>
      <c r="G333" s="170" t="s">
        <v>462</v>
      </c>
      <c r="H333" s="219">
        <f>SUMIFS(LstMachines[Nbre],LstMachines[Model-Spec],PrévisionBoris[[#This Row],[Spec]],LstMachines[Status],PrévisionBoris[[#This Row],[Status]],LstMachines[MoisLivr],H$1)</f>
        <v>0</v>
      </c>
      <c r="I333" s="220">
        <f>SUMIFS(LstMachines[Nbre],LstMachines[Model-Spec],PrévisionBoris[[#This Row],[Spec]],LstMachines[Status],PrévisionBoris[[#This Row],[Status]],LstMachines[MoisLivr],I$1)</f>
        <v>0</v>
      </c>
      <c r="J333" s="221">
        <f>SUMIFS(LstMachines[Nbre],LstMachines[Model-Spec],PrévisionBoris[[#This Row],[Spec]],LstMachines[Status],PrévisionBoris[[#This Row],[Status]],LstMachines[MoisLivr],J$1)</f>
        <v>0</v>
      </c>
      <c r="K333" s="219">
        <f>SUMIFS(LstMachines[Nbre],LstMachines[Model-Spec],PrévisionBoris[[#This Row],[Spec]],LstMachines[Status],PrévisionBoris[[#This Row],[Status]],LstMachines[MoisLivr],K$1)</f>
        <v>0</v>
      </c>
      <c r="L333" s="220">
        <f>SUMIFS(LstMachines[Nbre],LstMachines[Model-Spec],PrévisionBoris[[#This Row],[Spec]],LstMachines[Status],PrévisionBoris[[#This Row],[Status]],LstMachines[MoisLivr],L$1)</f>
        <v>0</v>
      </c>
      <c r="M333" s="221">
        <f>SUMIFS(LstMachines[Nbre],LstMachines[Model-Spec],PrévisionBoris[[#This Row],[Spec]],LstMachines[Status],PrévisionBoris[[#This Row],[Status]],LstMachines[MoisLivr],M$1)</f>
        <v>0</v>
      </c>
      <c r="N333" s="219">
        <f>SUMIFS(LstMachines[Nbre],LstMachines[Model-Spec],PrévisionBoris[[#This Row],[Spec]],LstMachines[Status],PrévisionBoris[[#This Row],[Status]],LstMachines[MoisLivr],N$1)</f>
        <v>0</v>
      </c>
      <c r="O333" s="220">
        <f>SUMIFS(LstMachines[Nbre],LstMachines[Model-Spec],PrévisionBoris[[#This Row],[Spec]],LstMachines[Status],PrévisionBoris[[#This Row],[Status]],LstMachines[MoisLivr],O$1)</f>
        <v>0</v>
      </c>
      <c r="P333" s="221">
        <f>SUMIFS(LstMachines[Nbre],LstMachines[Model-Spec],PrévisionBoris[[#This Row],[Spec]],LstMachines[Status],PrévisionBoris[[#This Row],[Status]],LstMachines[MoisLivr],P$1)</f>
        <v>0</v>
      </c>
      <c r="Q333" s="222">
        <f>SUMIFS(LstMachines[Nbre],LstMachines[Model-Spec],PrévisionBoris[[#This Row],[Spec]],LstMachines[Status],PrévisionBoris[[#This Row],[Status]],LstMachines[MoisLivr],Q$1)</f>
        <v>0</v>
      </c>
      <c r="R333" s="220">
        <f>SUMIFS(LstMachines[Nbre],LstMachines[Model-Spec],PrévisionBoris[[#This Row],[Spec]],LstMachines[Status],PrévisionBoris[[#This Row],[Status]],LstMachines[MoisLivr],R$1)</f>
        <v>0</v>
      </c>
      <c r="S333" s="220">
        <f>SUMIFS(LstMachines[Nbre],LstMachines[Model-Spec],PrévisionBoris[[#This Row],[Spec]],LstMachines[Status],PrévisionBoris[[#This Row],[Status]],LstMachines[MoisLivr],S$1)</f>
        <v>0</v>
      </c>
      <c r="T333" s="219">
        <f>SUMIFS(LstMachines[Nbre],LstMachines[Model-Spec],PrévisionBoris[[#This Row],[Spec]],LstMachines[Status],PrévisionBoris[[#This Row],[Status]],LstMachines[MoisLivr],T$1)</f>
        <v>0</v>
      </c>
      <c r="U333" s="220">
        <f>SUMIFS(LstMachines[Nbre],LstMachines[Model-Spec],PrévisionBoris[[#This Row],[Spec]],LstMachines[Status],PrévisionBoris[[#This Row],[Status]],LstMachines[MoisLivr],U$1)</f>
        <v>0</v>
      </c>
      <c r="V333" s="220">
        <f>SUMIFS(LstMachines[Nbre],LstMachines[Model-Spec],PrévisionBoris[[#This Row],[Spec]],LstMachines[Status],PrévisionBoris[[#This Row],[Status]],LstMachines[MoisLivr],V$1)</f>
        <v>0</v>
      </c>
      <c r="W333" s="219">
        <f>SUMIFS(LstMachines[Nbre],LstMachines[Model-Spec],PrévisionBoris[[#This Row],[Spec]],LstMachines[Status],PrévisionBoris[[#This Row],[Status]],LstMachines[MoisLivr],W$1)</f>
        <v>0</v>
      </c>
      <c r="X333" s="220">
        <f>SUMIFS(LstMachines[Nbre],LstMachines[Model-Spec],PrévisionBoris[[#This Row],[Spec]],LstMachines[Status],PrévisionBoris[[#This Row],[Status]],LstMachines[MoisLivr],X$1)</f>
        <v>0</v>
      </c>
      <c r="Y333" s="220">
        <f>SUMIFS(LstMachines[Nbre],LstMachines[Model-Spec],PrévisionBoris[[#This Row],[Spec]],LstMachines[Status],PrévisionBoris[[#This Row],[Status]],LstMachines[MoisLivr],Y$1)</f>
        <v>0</v>
      </c>
      <c r="Z333" s="219">
        <f>SUMIFS(LstMachines[Nbre],LstMachines[Model-Spec],PrévisionBoris[[#This Row],[Spec]],LstMachines[Status],PrévisionBoris[[#This Row],[Status]],LstMachines[MoisLivr],Z$1)</f>
        <v>0</v>
      </c>
      <c r="AA333" s="220">
        <f>SUMIFS(LstMachines[Nbre],LstMachines[Model-Spec],PrévisionBoris[[#This Row],[Spec]],LstMachines[Status],PrévisionBoris[[#This Row],[Status]],LstMachines[MoisLivr],AA$1)</f>
        <v>0</v>
      </c>
      <c r="AB333" s="220">
        <f>SUMIFS(LstMachines[Nbre],LstMachines[Model-Spec],PrévisionBoris[[#This Row],[Spec]],LstMachines[Status],PrévisionBoris[[#This Row],[Status]],LstMachines[MoisLivr],AB$1)</f>
        <v>0</v>
      </c>
      <c r="AC333" s="219">
        <f>SUMIFS(LstMachines[Nbre],LstMachines[Model-Spec],PrévisionBoris[[#This Row],[Spec]],LstMachines[Status],PrévisionBoris[[#This Row],[Status]],LstMachines[MoisLivr],AC$1)</f>
        <v>0</v>
      </c>
      <c r="AD333" s="220">
        <f>SUMIFS(LstMachines[Nbre],LstMachines[Model-Spec],PrévisionBoris[[#This Row],[Spec]],LstMachines[Status],PrévisionBoris[[#This Row],[Status]],LstMachines[MoisLivr],AD$1)</f>
        <v>0</v>
      </c>
      <c r="AE333" s="220">
        <f>SUMIFS(LstMachines[Nbre],LstMachines[Model-Spec],PrévisionBoris[[#This Row],[Spec]],LstMachines[Status],PrévisionBoris[[#This Row],[Status]],LstMachines[MoisLivr],AE$1)</f>
        <v>0</v>
      </c>
      <c r="AF333" s="219">
        <f>SUMIFS(LstMachines[Nbre],LstMachines[Model-Spec],PrévisionBoris[[#This Row],[Spec]],LstMachines[Status],PrévisionBoris[[#This Row],[Status]],LstMachines[MoisLivr],AF$1)</f>
        <v>0</v>
      </c>
      <c r="AG333" s="220">
        <f>SUMIFS(LstMachines[Nbre],LstMachines[Model-Spec],PrévisionBoris[[#This Row],[Spec]],LstMachines[Status],PrévisionBoris[[#This Row],[Status]],LstMachines[MoisLivr],AG$1)</f>
        <v>0</v>
      </c>
      <c r="AH333" s="220">
        <f>SUMIFS(LstMachines[Nbre],LstMachines[Model-Spec],PrévisionBoris[[#This Row],[Spec]],LstMachines[Status],PrévisionBoris[[#This Row],[Status]],LstMachines[MoisLivr],AH$1)</f>
        <v>0</v>
      </c>
      <c r="AI333" s="219">
        <f>SUMIFS(LstMachines[Nbre],LstMachines[Model-Spec],PrévisionBoris[[#This Row],[Spec]],LstMachines[Status],PrévisionBoris[[#This Row],[Status]],LstMachines[MoisLivr],AI$1)</f>
        <v>0</v>
      </c>
      <c r="AJ333" s="220">
        <f>SUMIFS(LstMachines[Nbre],LstMachines[Model-Spec],PrévisionBoris[[#This Row],[Spec]],LstMachines[Status],PrévisionBoris[[#This Row],[Status]],LstMachines[MoisLivr],AJ$1)</f>
        <v>0</v>
      </c>
      <c r="AK333" s="220">
        <f>SUMIFS(LstMachines[Nbre],LstMachines[Model-Spec],PrévisionBoris[[#This Row],[Spec]],LstMachines[Status],PrévisionBoris[[#This Row],[Status]],LstMachines[MoisLivr],AK$1)</f>
        <v>0</v>
      </c>
      <c r="AL333" s="219">
        <f>SUMIFS(LstMachines[Nbre],LstMachines[Model-Spec],PrévisionBoris[[#This Row],[Spec]],LstMachines[Status],PrévisionBoris[[#This Row],[Status]],LstMachines[MoisLivr],AL$1)</f>
        <v>0</v>
      </c>
      <c r="AM333" s="220">
        <f>SUMIFS(LstMachines[Nbre],LstMachines[Model-Spec],PrévisionBoris[[#This Row],[Spec]],LstMachines[Status],PrévisionBoris[[#This Row],[Status]],LstMachines[MoisLivr],AM$1)</f>
        <v>0</v>
      </c>
      <c r="AN333" s="220">
        <f>SUMIFS(LstMachines[Nbre],LstMachines[Model-Spec],PrévisionBoris[[#This Row],[Spec]],LstMachines[Status],PrévisionBoris[[#This Row],[Status]],LstMachines[MoisLivr],AN$1)</f>
        <v>0</v>
      </c>
      <c r="AO333" s="219">
        <f>SUMIFS(LstMachines[Nbre],LstMachines[Model-Spec],PrévisionBoris[[#This Row],[Spec]],LstMachines[Status],PrévisionBoris[[#This Row],[Status]],LstMachines[MoisLivr],AO$1)</f>
        <v>0</v>
      </c>
      <c r="AP333" s="220">
        <f>SUMIFS(LstMachines[Nbre],LstMachines[Model-Spec],PrévisionBoris[[#This Row],[Spec]],LstMachines[Status],PrévisionBoris[[#This Row],[Status]],LstMachines[MoisLivr],AP$1)</f>
        <v>0</v>
      </c>
      <c r="AQ333" s="220">
        <f>SUMIFS(LstMachines[Nbre],LstMachines[Model-Spec],PrévisionBoris[[#This Row],[Spec]],LstMachines[Status],PrévisionBoris[[#This Row],[Status]],LstMachines[MoisLivr],AQ$1)</f>
        <v>0</v>
      </c>
      <c r="AR333" s="219">
        <f>SUMIFS(LstMachines[Nbre],LstMachines[Model-Spec],PrévisionBoris[[#This Row],[Spec]],LstMachines[Status],PrévisionBoris[[#This Row],[Status]],LstMachines[MoisLivr],AR$1)</f>
        <v>0</v>
      </c>
      <c r="AS333" s="220">
        <f>SUMIFS(LstMachines[Nbre],LstMachines[Model-Spec],PrévisionBoris[[#This Row],[Spec]],LstMachines[Status],PrévisionBoris[[#This Row],[Status]],LstMachines[MoisLivr],AS$1)</f>
        <v>0</v>
      </c>
      <c r="AT333" s="220">
        <f>SUMIFS(LstMachines[Nbre],LstMachines[Model-Spec],PrévisionBoris[[#This Row],[Spec]],LstMachines[Status],PrévisionBoris[[#This Row],[Status]],LstMachines[MoisLivr],AT$1)</f>
        <v>0</v>
      </c>
      <c r="AU333" s="219">
        <f>SUMIFS(LstMachines[Nbre],LstMachines[Model-Spec],PrévisionBoris[[#This Row],[Spec]],LstMachines[Status],PrévisionBoris[[#This Row],[Status]],LstMachines[MoisLivr],AU$1)</f>
        <v>0</v>
      </c>
      <c r="AV333" s="223">
        <f>SUMIFS(LstMachines[Nbre],LstMachines[Model-Spec],PrévisionBoris[[#This Row],[Spec]],LstMachines[Status],PrévisionBoris[[#This Row],[Status]],LstMachines[MoisLivr],AV$1)</f>
        <v>0</v>
      </c>
      <c r="AW333" s="224">
        <f>SUMIFS(LstMachines[Nbre],LstMachines[Model-Spec],PrévisionBoris[[#This Row],[Spec]],LstMachines[Status],PrévisionBoris[[#This Row],[Status]],LstMachines[MoisLivr],AW$1)</f>
        <v>0</v>
      </c>
      <c r="AX333" s="210"/>
      <c r="AY333" s="211">
        <f t="shared" si="83"/>
        <v>0</v>
      </c>
      <c r="AZ333" s="212">
        <f t="shared" si="84"/>
        <v>0</v>
      </c>
      <c r="BA333" s="212">
        <f t="shared" si="85"/>
        <v>0</v>
      </c>
      <c r="BB333" s="213">
        <f t="shared" si="86"/>
        <v>0</v>
      </c>
      <c r="BC333" s="225">
        <f t="shared" si="87"/>
        <v>0</v>
      </c>
      <c r="BD333" s="211">
        <f t="shared" si="88"/>
        <v>0</v>
      </c>
      <c r="BE333" s="212">
        <f t="shared" si="89"/>
        <v>0</v>
      </c>
      <c r="BF333" s="212">
        <f t="shared" si="90"/>
        <v>0</v>
      </c>
      <c r="BG333" s="213">
        <f t="shared" si="91"/>
        <v>0</v>
      </c>
      <c r="BH333" s="225">
        <f t="shared" si="92"/>
        <v>0</v>
      </c>
      <c r="BI333" s="214">
        <f t="shared" si="93"/>
        <v>0</v>
      </c>
      <c r="BJ333" s="215">
        <f t="shared" si="94"/>
        <v>0</v>
      </c>
      <c r="BK333" s="215">
        <f t="shared" si="95"/>
        <v>0</v>
      </c>
      <c r="BL333" s="216">
        <f t="shared" si="96"/>
        <v>0</v>
      </c>
      <c r="BM333" s="225">
        <f t="shared" si="97"/>
        <v>0</v>
      </c>
      <c r="BN333" s="225"/>
      <c r="BO333" s="217"/>
      <c r="BP333" s="218">
        <f t="shared" si="98"/>
        <v>0</v>
      </c>
    </row>
    <row r="334" spans="1:68">
      <c r="A334" s="171">
        <v>327</v>
      </c>
      <c r="B334" s="171" t="s">
        <v>223</v>
      </c>
      <c r="C334" s="201">
        <v>170</v>
      </c>
      <c r="D334" s="171" t="s">
        <v>229</v>
      </c>
      <c r="E334" s="171" t="s">
        <v>231</v>
      </c>
      <c r="F334" s="201">
        <f>VLOOKUP(PrévisionBoris[[#This Row],[Spec]],TabModelSpecs[[ModelSpec]:[Price]],2,FALSE)</f>
        <v>115</v>
      </c>
      <c r="G334" s="171" t="s">
        <v>463</v>
      </c>
      <c r="H334" s="226">
        <f>SUMIFS(LstMachines[Nbre],LstMachines[Model-Spec],PrévisionBoris[[#This Row],[Spec]],LstMachines[Status],PrévisionBoris[[#This Row],[Status]],LstMachines[MoisLivr],H$1)</f>
        <v>0</v>
      </c>
      <c r="I334" s="227">
        <f>SUMIFS(LstMachines[Nbre],LstMachines[Model-Spec],PrévisionBoris[[#This Row],[Spec]],LstMachines[Status],PrévisionBoris[[#This Row],[Status]],LstMachines[MoisLivr],I$1)</f>
        <v>0</v>
      </c>
      <c r="J334" s="228">
        <f>SUMIFS(LstMachines[Nbre],LstMachines[Model-Spec],PrévisionBoris[[#This Row],[Spec]],LstMachines[Status],PrévisionBoris[[#This Row],[Status]],LstMachines[MoisLivr],J$1)</f>
        <v>0</v>
      </c>
      <c r="K334" s="226">
        <f>SUMIFS(LstMachines[Nbre],LstMachines[Model-Spec],PrévisionBoris[[#This Row],[Spec]],LstMachines[Status],PrévisionBoris[[#This Row],[Status]],LstMachines[MoisLivr],K$1)</f>
        <v>0</v>
      </c>
      <c r="L334" s="227">
        <f>SUMIFS(LstMachines[Nbre],LstMachines[Model-Spec],PrévisionBoris[[#This Row],[Spec]],LstMachines[Status],PrévisionBoris[[#This Row],[Status]],LstMachines[MoisLivr],L$1)</f>
        <v>0</v>
      </c>
      <c r="M334" s="228">
        <f>SUMIFS(LstMachines[Nbre],LstMachines[Model-Spec],PrévisionBoris[[#This Row],[Spec]],LstMachines[Status],PrévisionBoris[[#This Row],[Status]],LstMachines[MoisLivr],M$1)</f>
        <v>0</v>
      </c>
      <c r="N334" s="226">
        <f>SUMIFS(LstMachines[Nbre],LstMachines[Model-Spec],PrévisionBoris[[#This Row],[Spec]],LstMachines[Status],PrévisionBoris[[#This Row],[Status]],LstMachines[MoisLivr],N$1)</f>
        <v>0</v>
      </c>
      <c r="O334" s="227">
        <f>SUMIFS(LstMachines[Nbre],LstMachines[Model-Spec],PrévisionBoris[[#This Row],[Spec]],LstMachines[Status],PrévisionBoris[[#This Row],[Status]],LstMachines[MoisLivr],O$1)</f>
        <v>0</v>
      </c>
      <c r="P334" s="228">
        <f>SUMIFS(LstMachines[Nbre],LstMachines[Model-Spec],PrévisionBoris[[#This Row],[Spec]],LstMachines[Status],PrévisionBoris[[#This Row],[Status]],LstMachines[MoisLivr],P$1)</f>
        <v>0</v>
      </c>
      <c r="Q334" s="229">
        <f>SUMIFS(LstMachines[Nbre],LstMachines[Model-Spec],PrévisionBoris[[#This Row],[Spec]],LstMachines[Status],PrévisionBoris[[#This Row],[Status]],LstMachines[MoisLivr],Q$1)</f>
        <v>0</v>
      </c>
      <c r="R334" s="227">
        <f>SUMIFS(LstMachines[Nbre],LstMachines[Model-Spec],PrévisionBoris[[#This Row],[Spec]],LstMachines[Status],PrévisionBoris[[#This Row],[Status]],LstMachines[MoisLivr],R$1)</f>
        <v>0</v>
      </c>
      <c r="S334" s="227">
        <f>SUMIFS(LstMachines[Nbre],LstMachines[Model-Spec],PrévisionBoris[[#This Row],[Spec]],LstMachines[Status],PrévisionBoris[[#This Row],[Status]],LstMachines[MoisLivr],S$1)</f>
        <v>0</v>
      </c>
      <c r="T334" s="226">
        <f>SUMIFS(LstMachines[Nbre],LstMachines[Model-Spec],PrévisionBoris[[#This Row],[Spec]],LstMachines[Status],PrévisionBoris[[#This Row],[Status]],LstMachines[MoisLivr],T$1)</f>
        <v>0</v>
      </c>
      <c r="U334" s="227">
        <f>SUMIFS(LstMachines[Nbre],LstMachines[Model-Spec],PrévisionBoris[[#This Row],[Spec]],LstMachines[Status],PrévisionBoris[[#This Row],[Status]],LstMachines[MoisLivr],U$1)</f>
        <v>0</v>
      </c>
      <c r="V334" s="227">
        <f>SUMIFS(LstMachines[Nbre],LstMachines[Model-Spec],PrévisionBoris[[#This Row],[Spec]],LstMachines[Status],PrévisionBoris[[#This Row],[Status]],LstMachines[MoisLivr],V$1)</f>
        <v>0</v>
      </c>
      <c r="W334" s="226">
        <f>SUMIFS(LstMachines[Nbre],LstMachines[Model-Spec],PrévisionBoris[[#This Row],[Spec]],LstMachines[Status],PrévisionBoris[[#This Row],[Status]],LstMachines[MoisLivr],W$1)</f>
        <v>0</v>
      </c>
      <c r="X334" s="227">
        <f>SUMIFS(LstMachines[Nbre],LstMachines[Model-Spec],PrévisionBoris[[#This Row],[Spec]],LstMachines[Status],PrévisionBoris[[#This Row],[Status]],LstMachines[MoisLivr],X$1)</f>
        <v>0</v>
      </c>
      <c r="Y334" s="227">
        <f>SUMIFS(LstMachines[Nbre],LstMachines[Model-Spec],PrévisionBoris[[#This Row],[Spec]],LstMachines[Status],PrévisionBoris[[#This Row],[Status]],LstMachines[MoisLivr],Y$1)</f>
        <v>0</v>
      </c>
      <c r="Z334" s="226">
        <f>SUMIFS(LstMachines[Nbre],LstMachines[Model-Spec],PrévisionBoris[[#This Row],[Spec]],LstMachines[Status],PrévisionBoris[[#This Row],[Status]],LstMachines[MoisLivr],Z$1)</f>
        <v>0</v>
      </c>
      <c r="AA334" s="227">
        <f>SUMIFS(LstMachines[Nbre],LstMachines[Model-Spec],PrévisionBoris[[#This Row],[Spec]],LstMachines[Status],PrévisionBoris[[#This Row],[Status]],LstMachines[MoisLivr],AA$1)</f>
        <v>0</v>
      </c>
      <c r="AB334" s="227">
        <f>SUMIFS(LstMachines[Nbre],LstMachines[Model-Spec],PrévisionBoris[[#This Row],[Spec]],LstMachines[Status],PrévisionBoris[[#This Row],[Status]],LstMachines[MoisLivr],AB$1)</f>
        <v>0</v>
      </c>
      <c r="AC334" s="226">
        <f>SUMIFS(LstMachines[Nbre],LstMachines[Model-Spec],PrévisionBoris[[#This Row],[Spec]],LstMachines[Status],PrévisionBoris[[#This Row],[Status]],LstMachines[MoisLivr],AC$1)</f>
        <v>0</v>
      </c>
      <c r="AD334" s="227">
        <f>SUMIFS(LstMachines[Nbre],LstMachines[Model-Spec],PrévisionBoris[[#This Row],[Spec]],LstMachines[Status],PrévisionBoris[[#This Row],[Status]],LstMachines[MoisLivr],AD$1)</f>
        <v>0</v>
      </c>
      <c r="AE334" s="227">
        <f>SUMIFS(LstMachines[Nbre],LstMachines[Model-Spec],PrévisionBoris[[#This Row],[Spec]],LstMachines[Status],PrévisionBoris[[#This Row],[Status]],LstMachines[MoisLivr],AE$1)</f>
        <v>0</v>
      </c>
      <c r="AF334" s="226">
        <f>SUMIFS(LstMachines[Nbre],LstMachines[Model-Spec],PrévisionBoris[[#This Row],[Spec]],LstMachines[Status],PrévisionBoris[[#This Row],[Status]],LstMachines[MoisLivr],AF$1)</f>
        <v>0</v>
      </c>
      <c r="AG334" s="227">
        <f>SUMIFS(LstMachines[Nbre],LstMachines[Model-Spec],PrévisionBoris[[#This Row],[Spec]],LstMachines[Status],PrévisionBoris[[#This Row],[Status]],LstMachines[MoisLivr],AG$1)</f>
        <v>0</v>
      </c>
      <c r="AH334" s="227">
        <f>SUMIFS(LstMachines[Nbre],LstMachines[Model-Spec],PrévisionBoris[[#This Row],[Spec]],LstMachines[Status],PrévisionBoris[[#This Row],[Status]],LstMachines[MoisLivr],AH$1)</f>
        <v>0</v>
      </c>
      <c r="AI334" s="226">
        <f>SUMIFS(LstMachines[Nbre],LstMachines[Model-Spec],PrévisionBoris[[#This Row],[Spec]],LstMachines[Status],PrévisionBoris[[#This Row],[Status]],LstMachines[MoisLivr],AI$1)</f>
        <v>0</v>
      </c>
      <c r="AJ334" s="227">
        <f>SUMIFS(LstMachines[Nbre],LstMachines[Model-Spec],PrévisionBoris[[#This Row],[Spec]],LstMachines[Status],PrévisionBoris[[#This Row],[Status]],LstMachines[MoisLivr],AJ$1)</f>
        <v>0</v>
      </c>
      <c r="AK334" s="227">
        <f>SUMIFS(LstMachines[Nbre],LstMachines[Model-Spec],PrévisionBoris[[#This Row],[Spec]],LstMachines[Status],PrévisionBoris[[#This Row],[Status]],LstMachines[MoisLivr],AK$1)</f>
        <v>0</v>
      </c>
      <c r="AL334" s="226">
        <f>SUMIFS(LstMachines[Nbre],LstMachines[Model-Spec],PrévisionBoris[[#This Row],[Spec]],LstMachines[Status],PrévisionBoris[[#This Row],[Status]],LstMachines[MoisLivr],AL$1)</f>
        <v>0</v>
      </c>
      <c r="AM334" s="227">
        <f>SUMIFS(LstMachines[Nbre],LstMachines[Model-Spec],PrévisionBoris[[#This Row],[Spec]],LstMachines[Status],PrévisionBoris[[#This Row],[Status]],LstMachines[MoisLivr],AM$1)</f>
        <v>0</v>
      </c>
      <c r="AN334" s="227">
        <f>SUMIFS(LstMachines[Nbre],LstMachines[Model-Spec],PrévisionBoris[[#This Row],[Spec]],LstMachines[Status],PrévisionBoris[[#This Row],[Status]],LstMachines[MoisLivr],AN$1)</f>
        <v>0</v>
      </c>
      <c r="AO334" s="226">
        <f>SUMIFS(LstMachines[Nbre],LstMachines[Model-Spec],PrévisionBoris[[#This Row],[Spec]],LstMachines[Status],PrévisionBoris[[#This Row],[Status]],LstMachines[MoisLivr],AO$1)</f>
        <v>0</v>
      </c>
      <c r="AP334" s="227">
        <f>SUMIFS(LstMachines[Nbre],LstMachines[Model-Spec],PrévisionBoris[[#This Row],[Spec]],LstMachines[Status],PrévisionBoris[[#This Row],[Status]],LstMachines[MoisLivr],AP$1)</f>
        <v>0</v>
      </c>
      <c r="AQ334" s="227">
        <f>SUMIFS(LstMachines[Nbre],LstMachines[Model-Spec],PrévisionBoris[[#This Row],[Spec]],LstMachines[Status],PrévisionBoris[[#This Row],[Status]],LstMachines[MoisLivr],AQ$1)</f>
        <v>0</v>
      </c>
      <c r="AR334" s="226">
        <f>SUMIFS(LstMachines[Nbre],LstMachines[Model-Spec],PrévisionBoris[[#This Row],[Spec]],LstMachines[Status],PrévisionBoris[[#This Row],[Status]],LstMachines[MoisLivr],AR$1)</f>
        <v>0</v>
      </c>
      <c r="AS334" s="227">
        <f>SUMIFS(LstMachines[Nbre],LstMachines[Model-Spec],PrévisionBoris[[#This Row],[Spec]],LstMachines[Status],PrévisionBoris[[#This Row],[Status]],LstMachines[MoisLivr],AS$1)</f>
        <v>0</v>
      </c>
      <c r="AT334" s="227">
        <f>SUMIFS(LstMachines[Nbre],LstMachines[Model-Spec],PrévisionBoris[[#This Row],[Spec]],LstMachines[Status],PrévisionBoris[[#This Row],[Status]],LstMachines[MoisLivr],AT$1)</f>
        <v>0</v>
      </c>
      <c r="AU334" s="226">
        <f>SUMIFS(LstMachines[Nbre],LstMachines[Model-Spec],PrévisionBoris[[#This Row],[Spec]],LstMachines[Status],PrévisionBoris[[#This Row],[Status]],LstMachines[MoisLivr],AU$1)</f>
        <v>0</v>
      </c>
      <c r="AV334" s="230">
        <f>SUMIFS(LstMachines[Nbre],LstMachines[Model-Spec],PrévisionBoris[[#This Row],[Spec]],LstMachines[Status],PrévisionBoris[[#This Row],[Status]],LstMachines[MoisLivr],AV$1)</f>
        <v>0</v>
      </c>
      <c r="AW334" s="231">
        <f>SUMIFS(LstMachines[Nbre],LstMachines[Model-Spec],PrévisionBoris[[#This Row],[Spec]],LstMachines[Status],PrévisionBoris[[#This Row],[Status]],LstMachines[MoisLivr],AW$1)</f>
        <v>0</v>
      </c>
      <c r="AX334" s="232"/>
      <c r="AY334" s="211">
        <f t="shared" si="83"/>
        <v>0</v>
      </c>
      <c r="AZ334" s="212">
        <f t="shared" si="84"/>
        <v>0</v>
      </c>
      <c r="BA334" s="212">
        <f t="shared" si="85"/>
        <v>0</v>
      </c>
      <c r="BB334" s="213">
        <f t="shared" si="86"/>
        <v>0</v>
      </c>
      <c r="BC334" s="225">
        <f t="shared" si="87"/>
        <v>0</v>
      </c>
      <c r="BD334" s="211">
        <f t="shared" si="88"/>
        <v>0</v>
      </c>
      <c r="BE334" s="212">
        <f t="shared" si="89"/>
        <v>0</v>
      </c>
      <c r="BF334" s="212">
        <f t="shared" si="90"/>
        <v>0</v>
      </c>
      <c r="BG334" s="213">
        <f t="shared" si="91"/>
        <v>0</v>
      </c>
      <c r="BH334" s="225">
        <f t="shared" si="92"/>
        <v>0</v>
      </c>
      <c r="BI334" s="214">
        <f t="shared" si="93"/>
        <v>0</v>
      </c>
      <c r="BJ334" s="215">
        <f t="shared" si="94"/>
        <v>0</v>
      </c>
      <c r="BK334" s="215">
        <f t="shared" si="95"/>
        <v>0</v>
      </c>
      <c r="BL334" s="216">
        <f t="shared" si="96"/>
        <v>0</v>
      </c>
      <c r="BM334" s="225">
        <f t="shared" si="97"/>
        <v>0</v>
      </c>
      <c r="BN334" s="225"/>
      <c r="BO334" s="217"/>
      <c r="BP334" s="218">
        <f t="shared" si="98"/>
        <v>0</v>
      </c>
    </row>
    <row r="335" spans="1:68">
      <c r="A335" s="172">
        <v>328</v>
      </c>
      <c r="B335" s="172" t="s">
        <v>223</v>
      </c>
      <c r="C335" s="202">
        <v>190</v>
      </c>
      <c r="D335" s="172" t="s">
        <v>232</v>
      </c>
      <c r="E335" s="172" t="s">
        <v>233</v>
      </c>
      <c r="F335" s="202">
        <f>VLOOKUP(PrévisionBoris[[#This Row],[Spec]],TabModelSpecs[[ModelSpec]:[Price]],2,FALSE)</f>
        <v>120</v>
      </c>
      <c r="G335" s="172" t="s">
        <v>461</v>
      </c>
      <c r="H335" s="206">
        <f>SUMIFS(LstMachines[Nbre],LstMachines[Model-Spec],PrévisionBoris[[#This Row],[Spec]],LstMachines[Status],PrévisionBoris[[#This Row],[Status]],LstMachines[MoisLivr],H$1)</f>
        <v>0</v>
      </c>
      <c r="I335" s="207">
        <f>SUMIFS(LstMachines[Nbre],LstMachines[Model-Spec],PrévisionBoris[[#This Row],[Spec]],LstMachines[Status],PrévisionBoris[[#This Row],[Status]],LstMachines[MoisLivr],I$1)</f>
        <v>0</v>
      </c>
      <c r="J335" s="208">
        <f>SUMIFS(LstMachines[Nbre],LstMachines[Model-Spec],PrévisionBoris[[#This Row],[Spec]],LstMachines[Status],PrévisionBoris[[#This Row],[Status]],LstMachines[MoisLivr],J$1)</f>
        <v>0</v>
      </c>
      <c r="K335" s="206">
        <f>SUMIFS(LstMachines[Nbre],LstMachines[Model-Spec],PrévisionBoris[[#This Row],[Spec]],LstMachines[Status],PrévisionBoris[[#This Row],[Status]],LstMachines[MoisLivr],K$1)</f>
        <v>0</v>
      </c>
      <c r="L335" s="207">
        <f>SUMIFS(LstMachines[Nbre],LstMachines[Model-Spec],PrévisionBoris[[#This Row],[Spec]],LstMachines[Status],PrévisionBoris[[#This Row],[Status]],LstMachines[MoisLivr],L$1)</f>
        <v>0</v>
      </c>
      <c r="M335" s="208">
        <f>SUMIFS(LstMachines[Nbre],LstMachines[Model-Spec],PrévisionBoris[[#This Row],[Spec]],LstMachines[Status],PrévisionBoris[[#This Row],[Status]],LstMachines[MoisLivr],M$1)</f>
        <v>0</v>
      </c>
      <c r="N335" s="206">
        <f>SUMIFS(LstMachines[Nbre],LstMachines[Model-Spec],PrévisionBoris[[#This Row],[Spec]],LstMachines[Status],PrévisionBoris[[#This Row],[Status]],LstMachines[MoisLivr],N$1)</f>
        <v>0</v>
      </c>
      <c r="O335" s="207">
        <f>SUMIFS(LstMachines[Nbre],LstMachines[Model-Spec],PrévisionBoris[[#This Row],[Spec]],LstMachines[Status],PrévisionBoris[[#This Row],[Status]],LstMachines[MoisLivr],O$1)</f>
        <v>0</v>
      </c>
      <c r="P335" s="208">
        <f>SUMIFS(LstMachines[Nbre],LstMachines[Model-Spec],PrévisionBoris[[#This Row],[Spec]],LstMachines[Status],PrévisionBoris[[#This Row],[Status]],LstMachines[MoisLivr],P$1)</f>
        <v>0</v>
      </c>
      <c r="Q335" s="209">
        <f>SUMIFS(LstMachines[Nbre],LstMachines[Model-Spec],PrévisionBoris[[#This Row],[Spec]],LstMachines[Status],PrévisionBoris[[#This Row],[Status]],LstMachines[MoisLivr],Q$1)</f>
        <v>0</v>
      </c>
      <c r="R335" s="207">
        <f>SUMIFS(LstMachines[Nbre],LstMachines[Model-Spec],PrévisionBoris[[#This Row],[Spec]],LstMachines[Status],PrévisionBoris[[#This Row],[Status]],LstMachines[MoisLivr],R$1)</f>
        <v>0</v>
      </c>
      <c r="S335" s="207">
        <f>SUMIFS(LstMachines[Nbre],LstMachines[Model-Spec],PrévisionBoris[[#This Row],[Spec]],LstMachines[Status],PrévisionBoris[[#This Row],[Status]],LstMachines[MoisLivr],S$1)</f>
        <v>0</v>
      </c>
      <c r="T335" s="206">
        <f>SUMIFS(LstMachines[Nbre],LstMachines[Model-Spec],PrévisionBoris[[#This Row],[Spec]],LstMachines[Status],PrévisionBoris[[#This Row],[Status]],LstMachines[MoisLivr],T$1)</f>
        <v>0</v>
      </c>
      <c r="U335" s="207">
        <f>SUMIFS(LstMachines[Nbre],LstMachines[Model-Spec],PrévisionBoris[[#This Row],[Spec]],LstMachines[Status],PrévisionBoris[[#This Row],[Status]],LstMachines[MoisLivr],U$1)</f>
        <v>0</v>
      </c>
      <c r="V335" s="207">
        <f>SUMIFS(LstMachines[Nbre],LstMachines[Model-Spec],PrévisionBoris[[#This Row],[Spec]],LstMachines[Status],PrévisionBoris[[#This Row],[Status]],LstMachines[MoisLivr],V$1)</f>
        <v>0</v>
      </c>
      <c r="W335" s="206">
        <f>SUMIFS(LstMachines[Nbre],LstMachines[Model-Spec],PrévisionBoris[[#This Row],[Spec]],LstMachines[Status],PrévisionBoris[[#This Row],[Status]],LstMachines[MoisLivr],W$1)</f>
        <v>0</v>
      </c>
      <c r="X335" s="207">
        <f>SUMIFS(LstMachines[Nbre],LstMachines[Model-Spec],PrévisionBoris[[#This Row],[Spec]],LstMachines[Status],PrévisionBoris[[#This Row],[Status]],LstMachines[MoisLivr],X$1)</f>
        <v>0</v>
      </c>
      <c r="Y335" s="207">
        <f>SUMIFS(LstMachines[Nbre],LstMachines[Model-Spec],PrévisionBoris[[#This Row],[Spec]],LstMachines[Status],PrévisionBoris[[#This Row],[Status]],LstMachines[MoisLivr],Y$1)</f>
        <v>0</v>
      </c>
      <c r="Z335" s="206">
        <f>SUMIFS(LstMachines[Nbre],LstMachines[Model-Spec],PrévisionBoris[[#This Row],[Spec]],LstMachines[Status],PrévisionBoris[[#This Row],[Status]],LstMachines[MoisLivr],Z$1)</f>
        <v>0</v>
      </c>
      <c r="AA335" s="207">
        <f>SUMIFS(LstMachines[Nbre],LstMachines[Model-Spec],PrévisionBoris[[#This Row],[Spec]],LstMachines[Status],PrévisionBoris[[#This Row],[Status]],LstMachines[MoisLivr],AA$1)</f>
        <v>0</v>
      </c>
      <c r="AB335" s="207">
        <f>SUMIFS(LstMachines[Nbre],LstMachines[Model-Spec],PrévisionBoris[[#This Row],[Spec]],LstMachines[Status],PrévisionBoris[[#This Row],[Status]],LstMachines[MoisLivr],AB$1)</f>
        <v>0</v>
      </c>
      <c r="AC335" s="206">
        <f>SUMIFS(LstMachines[Nbre],LstMachines[Model-Spec],PrévisionBoris[[#This Row],[Spec]],LstMachines[Status],PrévisionBoris[[#This Row],[Status]],LstMachines[MoisLivr],AC$1)</f>
        <v>0</v>
      </c>
      <c r="AD335" s="207">
        <f>SUMIFS(LstMachines[Nbre],LstMachines[Model-Spec],PrévisionBoris[[#This Row],[Spec]],LstMachines[Status],PrévisionBoris[[#This Row],[Status]],LstMachines[MoisLivr],AD$1)</f>
        <v>0</v>
      </c>
      <c r="AE335" s="207">
        <f>SUMIFS(LstMachines[Nbre],LstMachines[Model-Spec],PrévisionBoris[[#This Row],[Spec]],LstMachines[Status],PrévisionBoris[[#This Row],[Status]],LstMachines[MoisLivr],AE$1)</f>
        <v>0</v>
      </c>
      <c r="AF335" s="206">
        <f>SUMIFS(LstMachines[Nbre],LstMachines[Model-Spec],PrévisionBoris[[#This Row],[Spec]],LstMachines[Status],PrévisionBoris[[#This Row],[Status]],LstMachines[MoisLivr],AF$1)</f>
        <v>0</v>
      </c>
      <c r="AG335" s="207">
        <f>SUMIFS(LstMachines[Nbre],LstMachines[Model-Spec],PrévisionBoris[[#This Row],[Spec]],LstMachines[Status],PrévisionBoris[[#This Row],[Status]],LstMachines[MoisLivr],AG$1)</f>
        <v>0</v>
      </c>
      <c r="AH335" s="207">
        <f>SUMIFS(LstMachines[Nbre],LstMachines[Model-Spec],PrévisionBoris[[#This Row],[Spec]],LstMachines[Status],PrévisionBoris[[#This Row],[Status]],LstMachines[MoisLivr],AH$1)</f>
        <v>0</v>
      </c>
      <c r="AI335" s="206">
        <f>SUMIFS(LstMachines[Nbre],LstMachines[Model-Spec],PrévisionBoris[[#This Row],[Spec]],LstMachines[Status],PrévisionBoris[[#This Row],[Status]],LstMachines[MoisLivr],AI$1)</f>
        <v>0</v>
      </c>
      <c r="AJ335" s="207">
        <f>SUMIFS(LstMachines[Nbre],LstMachines[Model-Spec],PrévisionBoris[[#This Row],[Spec]],LstMachines[Status],PrévisionBoris[[#This Row],[Status]],LstMachines[MoisLivr],AJ$1)</f>
        <v>0</v>
      </c>
      <c r="AK335" s="207">
        <f>SUMIFS(LstMachines[Nbre],LstMachines[Model-Spec],PrévisionBoris[[#This Row],[Spec]],LstMachines[Status],PrévisionBoris[[#This Row],[Status]],LstMachines[MoisLivr],AK$1)</f>
        <v>0</v>
      </c>
      <c r="AL335" s="206">
        <f>SUMIFS(LstMachines[Nbre],LstMachines[Model-Spec],PrévisionBoris[[#This Row],[Spec]],LstMachines[Status],PrévisionBoris[[#This Row],[Status]],LstMachines[MoisLivr],AL$1)</f>
        <v>0</v>
      </c>
      <c r="AM335" s="207">
        <f>SUMIFS(LstMachines[Nbre],LstMachines[Model-Spec],PrévisionBoris[[#This Row],[Spec]],LstMachines[Status],PrévisionBoris[[#This Row],[Status]],LstMachines[MoisLivr],AM$1)</f>
        <v>0</v>
      </c>
      <c r="AN335" s="207">
        <f>SUMIFS(LstMachines[Nbre],LstMachines[Model-Spec],PrévisionBoris[[#This Row],[Spec]],LstMachines[Status],PrévisionBoris[[#This Row],[Status]],LstMachines[MoisLivr],AN$1)</f>
        <v>0</v>
      </c>
      <c r="AO335" s="206">
        <f>SUMIFS(LstMachines[Nbre],LstMachines[Model-Spec],PrévisionBoris[[#This Row],[Spec]],LstMachines[Status],PrévisionBoris[[#This Row],[Status]],LstMachines[MoisLivr],AO$1)</f>
        <v>0</v>
      </c>
      <c r="AP335" s="207">
        <f>SUMIFS(LstMachines[Nbre],LstMachines[Model-Spec],PrévisionBoris[[#This Row],[Spec]],LstMachines[Status],PrévisionBoris[[#This Row],[Status]],LstMachines[MoisLivr],AP$1)</f>
        <v>0</v>
      </c>
      <c r="AQ335" s="207">
        <f>SUMIFS(LstMachines[Nbre],LstMachines[Model-Spec],PrévisionBoris[[#This Row],[Spec]],LstMachines[Status],PrévisionBoris[[#This Row],[Status]],LstMachines[MoisLivr],AQ$1)</f>
        <v>0</v>
      </c>
      <c r="AR335" s="206">
        <f>SUMIFS(LstMachines[Nbre],LstMachines[Model-Spec],PrévisionBoris[[#This Row],[Spec]],LstMachines[Status],PrévisionBoris[[#This Row],[Status]],LstMachines[MoisLivr],AR$1)</f>
        <v>0</v>
      </c>
      <c r="AS335" s="207">
        <f>SUMIFS(LstMachines[Nbre],LstMachines[Model-Spec],PrévisionBoris[[#This Row],[Spec]],LstMachines[Status],PrévisionBoris[[#This Row],[Status]],LstMachines[MoisLivr],AS$1)</f>
        <v>0</v>
      </c>
      <c r="AT335" s="207">
        <f>SUMIFS(LstMachines[Nbre],LstMachines[Model-Spec],PrévisionBoris[[#This Row],[Spec]],LstMachines[Status],PrévisionBoris[[#This Row],[Status]],LstMachines[MoisLivr],AT$1)</f>
        <v>0</v>
      </c>
      <c r="AU335" s="206">
        <f>SUMIFS(LstMachines[Nbre],LstMachines[Model-Spec],PrévisionBoris[[#This Row],[Spec]],LstMachines[Status],PrévisionBoris[[#This Row],[Status]],LstMachines[MoisLivr],AU$1)</f>
        <v>0</v>
      </c>
      <c r="AV335" s="233">
        <f>SUMIFS(LstMachines[Nbre],LstMachines[Model-Spec],PrévisionBoris[[#This Row],[Spec]],LstMachines[Status],PrévisionBoris[[#This Row],[Status]],LstMachines[MoisLivr],AV$1)</f>
        <v>0</v>
      </c>
      <c r="AW335" s="208">
        <f>SUMIFS(LstMachines[Nbre],LstMachines[Model-Spec],PrévisionBoris[[#This Row],[Spec]],LstMachines[Status],PrévisionBoris[[#This Row],[Status]],LstMachines[MoisLivr],AW$1)</f>
        <v>0</v>
      </c>
      <c r="AX335" s="225"/>
      <c r="AY335" s="211">
        <f t="shared" si="83"/>
        <v>0</v>
      </c>
      <c r="AZ335" s="212">
        <f t="shared" si="84"/>
        <v>0</v>
      </c>
      <c r="BA335" s="212">
        <f t="shared" si="85"/>
        <v>0</v>
      </c>
      <c r="BB335" s="213">
        <f t="shared" si="86"/>
        <v>0</v>
      </c>
      <c r="BC335" s="225">
        <f t="shared" si="87"/>
        <v>0</v>
      </c>
      <c r="BD335" s="211">
        <f t="shared" si="88"/>
        <v>0</v>
      </c>
      <c r="BE335" s="212">
        <f t="shared" si="89"/>
        <v>0</v>
      </c>
      <c r="BF335" s="212">
        <f t="shared" si="90"/>
        <v>0</v>
      </c>
      <c r="BG335" s="213">
        <f t="shared" si="91"/>
        <v>0</v>
      </c>
      <c r="BH335" s="225">
        <f t="shared" si="92"/>
        <v>0</v>
      </c>
      <c r="BI335" s="214">
        <f t="shared" si="93"/>
        <v>0</v>
      </c>
      <c r="BJ335" s="215">
        <f t="shared" si="94"/>
        <v>0</v>
      </c>
      <c r="BK335" s="215">
        <f t="shared" si="95"/>
        <v>0</v>
      </c>
      <c r="BL335" s="216">
        <f t="shared" si="96"/>
        <v>0</v>
      </c>
      <c r="BM335" s="225">
        <f t="shared" si="97"/>
        <v>0</v>
      </c>
      <c r="BN335" s="225"/>
      <c r="BO335" s="234"/>
      <c r="BP335" s="218">
        <f t="shared" si="98"/>
        <v>0</v>
      </c>
    </row>
    <row r="336" spans="1:68">
      <c r="A336" s="170">
        <v>329</v>
      </c>
      <c r="B336" s="170" t="s">
        <v>223</v>
      </c>
      <c r="C336" s="200">
        <v>190</v>
      </c>
      <c r="D336" s="170" t="s">
        <v>232</v>
      </c>
      <c r="E336" s="170" t="s">
        <v>233</v>
      </c>
      <c r="F336" s="200">
        <f>VLOOKUP(PrévisionBoris[[#This Row],[Spec]],TabModelSpecs[[ModelSpec]:[Price]],2,FALSE)</f>
        <v>120</v>
      </c>
      <c r="G336" s="170" t="s">
        <v>462</v>
      </c>
      <c r="H336" s="219">
        <f>SUMIFS(LstMachines[Nbre],LstMachines[Model-Spec],PrévisionBoris[[#This Row],[Spec]],LstMachines[Status],PrévisionBoris[[#This Row],[Status]],LstMachines[MoisLivr],H$1)</f>
        <v>0</v>
      </c>
      <c r="I336" s="220">
        <f>SUMIFS(LstMachines[Nbre],LstMachines[Model-Spec],PrévisionBoris[[#This Row],[Spec]],LstMachines[Status],PrévisionBoris[[#This Row],[Status]],LstMachines[MoisLivr],I$1)</f>
        <v>0</v>
      </c>
      <c r="J336" s="221">
        <f>SUMIFS(LstMachines[Nbre],LstMachines[Model-Spec],PrévisionBoris[[#This Row],[Spec]],LstMachines[Status],PrévisionBoris[[#This Row],[Status]],LstMachines[MoisLivr],J$1)</f>
        <v>0</v>
      </c>
      <c r="K336" s="219">
        <f>SUMIFS(LstMachines[Nbre],LstMachines[Model-Spec],PrévisionBoris[[#This Row],[Spec]],LstMachines[Status],PrévisionBoris[[#This Row],[Status]],LstMachines[MoisLivr],K$1)</f>
        <v>0</v>
      </c>
      <c r="L336" s="220">
        <f>SUMIFS(LstMachines[Nbre],LstMachines[Model-Spec],PrévisionBoris[[#This Row],[Spec]],LstMachines[Status],PrévisionBoris[[#This Row],[Status]],LstMachines[MoisLivr],L$1)</f>
        <v>0</v>
      </c>
      <c r="M336" s="221">
        <f>SUMIFS(LstMachines[Nbre],LstMachines[Model-Spec],PrévisionBoris[[#This Row],[Spec]],LstMachines[Status],PrévisionBoris[[#This Row],[Status]],LstMachines[MoisLivr],M$1)</f>
        <v>0</v>
      </c>
      <c r="N336" s="219">
        <f>SUMIFS(LstMachines[Nbre],LstMachines[Model-Spec],PrévisionBoris[[#This Row],[Spec]],LstMachines[Status],PrévisionBoris[[#This Row],[Status]],LstMachines[MoisLivr],N$1)</f>
        <v>0</v>
      </c>
      <c r="O336" s="220">
        <f>SUMIFS(LstMachines[Nbre],LstMachines[Model-Spec],PrévisionBoris[[#This Row],[Spec]],LstMachines[Status],PrévisionBoris[[#This Row],[Status]],LstMachines[MoisLivr],O$1)</f>
        <v>0</v>
      </c>
      <c r="P336" s="221">
        <f>SUMIFS(LstMachines[Nbre],LstMachines[Model-Spec],PrévisionBoris[[#This Row],[Spec]],LstMachines[Status],PrévisionBoris[[#This Row],[Status]],LstMachines[MoisLivr],P$1)</f>
        <v>0</v>
      </c>
      <c r="Q336" s="222">
        <f>SUMIFS(LstMachines[Nbre],LstMachines[Model-Spec],PrévisionBoris[[#This Row],[Spec]],LstMachines[Status],PrévisionBoris[[#This Row],[Status]],LstMachines[MoisLivr],Q$1)</f>
        <v>0</v>
      </c>
      <c r="R336" s="220">
        <f>SUMIFS(LstMachines[Nbre],LstMachines[Model-Spec],PrévisionBoris[[#This Row],[Spec]],LstMachines[Status],PrévisionBoris[[#This Row],[Status]],LstMachines[MoisLivr],R$1)</f>
        <v>0</v>
      </c>
      <c r="S336" s="220">
        <f>SUMIFS(LstMachines[Nbre],LstMachines[Model-Spec],PrévisionBoris[[#This Row],[Spec]],LstMachines[Status],PrévisionBoris[[#This Row],[Status]],LstMachines[MoisLivr],S$1)</f>
        <v>0</v>
      </c>
      <c r="T336" s="219">
        <f>SUMIFS(LstMachines[Nbre],LstMachines[Model-Spec],PrévisionBoris[[#This Row],[Spec]],LstMachines[Status],PrévisionBoris[[#This Row],[Status]],LstMachines[MoisLivr],T$1)</f>
        <v>0</v>
      </c>
      <c r="U336" s="220">
        <f>SUMIFS(LstMachines[Nbre],LstMachines[Model-Spec],PrévisionBoris[[#This Row],[Spec]],LstMachines[Status],PrévisionBoris[[#This Row],[Status]],LstMachines[MoisLivr],U$1)</f>
        <v>0</v>
      </c>
      <c r="V336" s="220">
        <f>SUMIFS(LstMachines[Nbre],LstMachines[Model-Spec],PrévisionBoris[[#This Row],[Spec]],LstMachines[Status],PrévisionBoris[[#This Row],[Status]],LstMachines[MoisLivr],V$1)</f>
        <v>0</v>
      </c>
      <c r="W336" s="219">
        <f>SUMIFS(LstMachines[Nbre],LstMachines[Model-Spec],PrévisionBoris[[#This Row],[Spec]],LstMachines[Status],PrévisionBoris[[#This Row],[Status]],LstMachines[MoisLivr],W$1)</f>
        <v>0</v>
      </c>
      <c r="X336" s="220">
        <f>SUMIFS(LstMachines[Nbre],LstMachines[Model-Spec],PrévisionBoris[[#This Row],[Spec]],LstMachines[Status],PrévisionBoris[[#This Row],[Status]],LstMachines[MoisLivr],X$1)</f>
        <v>0</v>
      </c>
      <c r="Y336" s="220">
        <f>SUMIFS(LstMachines[Nbre],LstMachines[Model-Spec],PrévisionBoris[[#This Row],[Spec]],LstMachines[Status],PrévisionBoris[[#This Row],[Status]],LstMachines[MoisLivr],Y$1)</f>
        <v>0</v>
      </c>
      <c r="Z336" s="219">
        <f>SUMIFS(LstMachines[Nbre],LstMachines[Model-Spec],PrévisionBoris[[#This Row],[Spec]],LstMachines[Status],PrévisionBoris[[#This Row],[Status]],LstMachines[MoisLivr],Z$1)</f>
        <v>0</v>
      </c>
      <c r="AA336" s="220">
        <f>SUMIFS(LstMachines[Nbre],LstMachines[Model-Spec],PrévisionBoris[[#This Row],[Spec]],LstMachines[Status],PrévisionBoris[[#This Row],[Status]],LstMachines[MoisLivr],AA$1)</f>
        <v>0</v>
      </c>
      <c r="AB336" s="220">
        <f>SUMIFS(LstMachines[Nbre],LstMachines[Model-Spec],PrévisionBoris[[#This Row],[Spec]],LstMachines[Status],PrévisionBoris[[#This Row],[Status]],LstMachines[MoisLivr],AB$1)</f>
        <v>0</v>
      </c>
      <c r="AC336" s="219">
        <f>SUMIFS(LstMachines[Nbre],LstMachines[Model-Spec],PrévisionBoris[[#This Row],[Spec]],LstMachines[Status],PrévisionBoris[[#This Row],[Status]],LstMachines[MoisLivr],AC$1)</f>
        <v>0</v>
      </c>
      <c r="AD336" s="220">
        <f>SUMIFS(LstMachines[Nbre],LstMachines[Model-Spec],PrévisionBoris[[#This Row],[Spec]],LstMachines[Status],PrévisionBoris[[#This Row],[Status]],LstMachines[MoisLivr],AD$1)</f>
        <v>0</v>
      </c>
      <c r="AE336" s="220">
        <f>SUMIFS(LstMachines[Nbre],LstMachines[Model-Spec],PrévisionBoris[[#This Row],[Spec]],LstMachines[Status],PrévisionBoris[[#This Row],[Status]],LstMachines[MoisLivr],AE$1)</f>
        <v>0</v>
      </c>
      <c r="AF336" s="219">
        <f>SUMIFS(LstMachines[Nbre],LstMachines[Model-Spec],PrévisionBoris[[#This Row],[Spec]],LstMachines[Status],PrévisionBoris[[#This Row],[Status]],LstMachines[MoisLivr],AF$1)</f>
        <v>0</v>
      </c>
      <c r="AG336" s="220">
        <f>SUMIFS(LstMachines[Nbre],LstMachines[Model-Spec],PrévisionBoris[[#This Row],[Spec]],LstMachines[Status],PrévisionBoris[[#This Row],[Status]],LstMachines[MoisLivr],AG$1)</f>
        <v>0</v>
      </c>
      <c r="AH336" s="220">
        <f>SUMIFS(LstMachines[Nbre],LstMachines[Model-Spec],PrévisionBoris[[#This Row],[Spec]],LstMachines[Status],PrévisionBoris[[#This Row],[Status]],LstMachines[MoisLivr],AH$1)</f>
        <v>0</v>
      </c>
      <c r="AI336" s="219">
        <f>SUMIFS(LstMachines[Nbre],LstMachines[Model-Spec],PrévisionBoris[[#This Row],[Spec]],LstMachines[Status],PrévisionBoris[[#This Row],[Status]],LstMachines[MoisLivr],AI$1)</f>
        <v>0</v>
      </c>
      <c r="AJ336" s="220">
        <f>SUMIFS(LstMachines[Nbre],LstMachines[Model-Spec],PrévisionBoris[[#This Row],[Spec]],LstMachines[Status],PrévisionBoris[[#This Row],[Status]],LstMachines[MoisLivr],AJ$1)</f>
        <v>0</v>
      </c>
      <c r="AK336" s="220">
        <f>SUMIFS(LstMachines[Nbre],LstMachines[Model-Spec],PrévisionBoris[[#This Row],[Spec]],LstMachines[Status],PrévisionBoris[[#This Row],[Status]],LstMachines[MoisLivr],AK$1)</f>
        <v>0</v>
      </c>
      <c r="AL336" s="219">
        <f>SUMIFS(LstMachines[Nbre],LstMachines[Model-Spec],PrévisionBoris[[#This Row],[Spec]],LstMachines[Status],PrévisionBoris[[#This Row],[Status]],LstMachines[MoisLivr],AL$1)</f>
        <v>0</v>
      </c>
      <c r="AM336" s="220">
        <f>SUMIFS(LstMachines[Nbre],LstMachines[Model-Spec],PrévisionBoris[[#This Row],[Spec]],LstMachines[Status],PrévisionBoris[[#This Row],[Status]],LstMachines[MoisLivr],AM$1)</f>
        <v>0</v>
      </c>
      <c r="AN336" s="220">
        <f>SUMIFS(LstMachines[Nbre],LstMachines[Model-Spec],PrévisionBoris[[#This Row],[Spec]],LstMachines[Status],PrévisionBoris[[#This Row],[Status]],LstMachines[MoisLivr],AN$1)</f>
        <v>0</v>
      </c>
      <c r="AO336" s="219">
        <f>SUMIFS(LstMachines[Nbre],LstMachines[Model-Spec],PrévisionBoris[[#This Row],[Spec]],LstMachines[Status],PrévisionBoris[[#This Row],[Status]],LstMachines[MoisLivr],AO$1)</f>
        <v>0</v>
      </c>
      <c r="AP336" s="220">
        <f>SUMIFS(LstMachines[Nbre],LstMachines[Model-Spec],PrévisionBoris[[#This Row],[Spec]],LstMachines[Status],PrévisionBoris[[#This Row],[Status]],LstMachines[MoisLivr],AP$1)</f>
        <v>0</v>
      </c>
      <c r="AQ336" s="220">
        <f>SUMIFS(LstMachines[Nbre],LstMachines[Model-Spec],PrévisionBoris[[#This Row],[Spec]],LstMachines[Status],PrévisionBoris[[#This Row],[Status]],LstMachines[MoisLivr],AQ$1)</f>
        <v>0</v>
      </c>
      <c r="AR336" s="219">
        <f>SUMIFS(LstMachines[Nbre],LstMachines[Model-Spec],PrévisionBoris[[#This Row],[Spec]],LstMachines[Status],PrévisionBoris[[#This Row],[Status]],LstMachines[MoisLivr],AR$1)</f>
        <v>0</v>
      </c>
      <c r="AS336" s="220">
        <f>SUMIFS(LstMachines[Nbre],LstMachines[Model-Spec],PrévisionBoris[[#This Row],[Spec]],LstMachines[Status],PrévisionBoris[[#This Row],[Status]],LstMachines[MoisLivr],AS$1)</f>
        <v>0</v>
      </c>
      <c r="AT336" s="220">
        <f>SUMIFS(LstMachines[Nbre],LstMachines[Model-Spec],PrévisionBoris[[#This Row],[Spec]],LstMachines[Status],PrévisionBoris[[#This Row],[Status]],LstMachines[MoisLivr],AT$1)</f>
        <v>0</v>
      </c>
      <c r="AU336" s="219">
        <f>SUMIFS(LstMachines[Nbre],LstMachines[Model-Spec],PrévisionBoris[[#This Row],[Spec]],LstMachines[Status],PrévisionBoris[[#This Row],[Status]],LstMachines[MoisLivr],AU$1)</f>
        <v>0</v>
      </c>
      <c r="AV336" s="223">
        <f>SUMIFS(LstMachines[Nbre],LstMachines[Model-Spec],PrévisionBoris[[#This Row],[Spec]],LstMachines[Status],PrévisionBoris[[#This Row],[Status]],LstMachines[MoisLivr],AV$1)</f>
        <v>0</v>
      </c>
      <c r="AW336" s="224">
        <f>SUMIFS(LstMachines[Nbre],LstMachines[Model-Spec],PrévisionBoris[[#This Row],[Spec]],LstMachines[Status],PrévisionBoris[[#This Row],[Status]],LstMachines[MoisLivr],AW$1)</f>
        <v>0</v>
      </c>
      <c r="AX336" s="210"/>
      <c r="AY336" s="211">
        <f t="shared" si="83"/>
        <v>0</v>
      </c>
      <c r="AZ336" s="212">
        <f t="shared" si="84"/>
        <v>0</v>
      </c>
      <c r="BA336" s="212">
        <f t="shared" si="85"/>
        <v>0</v>
      </c>
      <c r="BB336" s="213">
        <f t="shared" si="86"/>
        <v>0</v>
      </c>
      <c r="BC336" s="225">
        <f t="shared" si="87"/>
        <v>0</v>
      </c>
      <c r="BD336" s="211">
        <f t="shared" si="88"/>
        <v>0</v>
      </c>
      <c r="BE336" s="212">
        <f t="shared" si="89"/>
        <v>0</v>
      </c>
      <c r="BF336" s="212">
        <f t="shared" si="90"/>
        <v>0</v>
      </c>
      <c r="BG336" s="213">
        <f t="shared" si="91"/>
        <v>0</v>
      </c>
      <c r="BH336" s="225">
        <f t="shared" si="92"/>
        <v>0</v>
      </c>
      <c r="BI336" s="214">
        <f t="shared" si="93"/>
        <v>0</v>
      </c>
      <c r="BJ336" s="215">
        <f t="shared" si="94"/>
        <v>0</v>
      </c>
      <c r="BK336" s="215">
        <f t="shared" si="95"/>
        <v>0</v>
      </c>
      <c r="BL336" s="216">
        <f t="shared" si="96"/>
        <v>0</v>
      </c>
      <c r="BM336" s="225">
        <f t="shared" si="97"/>
        <v>0</v>
      </c>
      <c r="BN336" s="225"/>
      <c r="BO336" s="217"/>
      <c r="BP336" s="218">
        <f t="shared" si="98"/>
        <v>0</v>
      </c>
    </row>
    <row r="337" spans="1:68">
      <c r="A337" s="171">
        <v>330</v>
      </c>
      <c r="B337" s="171" t="s">
        <v>223</v>
      </c>
      <c r="C337" s="201">
        <v>190</v>
      </c>
      <c r="D337" s="171" t="s">
        <v>232</v>
      </c>
      <c r="E337" s="171" t="s">
        <v>233</v>
      </c>
      <c r="F337" s="201">
        <f>VLOOKUP(PrévisionBoris[[#This Row],[Spec]],TabModelSpecs[[ModelSpec]:[Price]],2,FALSE)</f>
        <v>120</v>
      </c>
      <c r="G337" s="171" t="s">
        <v>463</v>
      </c>
      <c r="H337" s="226">
        <f>SUMIFS(LstMachines[Nbre],LstMachines[Model-Spec],PrévisionBoris[[#This Row],[Spec]],LstMachines[Status],PrévisionBoris[[#This Row],[Status]],LstMachines[MoisLivr],H$1)</f>
        <v>0</v>
      </c>
      <c r="I337" s="227">
        <f>SUMIFS(LstMachines[Nbre],LstMachines[Model-Spec],PrévisionBoris[[#This Row],[Spec]],LstMachines[Status],PrévisionBoris[[#This Row],[Status]],LstMachines[MoisLivr],I$1)</f>
        <v>0</v>
      </c>
      <c r="J337" s="228">
        <f>SUMIFS(LstMachines[Nbre],LstMachines[Model-Spec],PrévisionBoris[[#This Row],[Spec]],LstMachines[Status],PrévisionBoris[[#This Row],[Status]],LstMachines[MoisLivr],J$1)</f>
        <v>0</v>
      </c>
      <c r="K337" s="226">
        <f>SUMIFS(LstMachines[Nbre],LstMachines[Model-Spec],PrévisionBoris[[#This Row],[Spec]],LstMachines[Status],PrévisionBoris[[#This Row],[Status]],LstMachines[MoisLivr],K$1)</f>
        <v>0</v>
      </c>
      <c r="L337" s="227">
        <f>SUMIFS(LstMachines[Nbre],LstMachines[Model-Spec],PrévisionBoris[[#This Row],[Spec]],LstMachines[Status],PrévisionBoris[[#This Row],[Status]],LstMachines[MoisLivr],L$1)</f>
        <v>0</v>
      </c>
      <c r="M337" s="228">
        <f>SUMIFS(LstMachines[Nbre],LstMachines[Model-Spec],PrévisionBoris[[#This Row],[Spec]],LstMachines[Status],PrévisionBoris[[#This Row],[Status]],LstMachines[MoisLivr],M$1)</f>
        <v>0</v>
      </c>
      <c r="N337" s="226">
        <f>SUMIFS(LstMachines[Nbre],LstMachines[Model-Spec],PrévisionBoris[[#This Row],[Spec]],LstMachines[Status],PrévisionBoris[[#This Row],[Status]],LstMachines[MoisLivr],N$1)</f>
        <v>0</v>
      </c>
      <c r="O337" s="227">
        <f>SUMIFS(LstMachines[Nbre],LstMachines[Model-Spec],PrévisionBoris[[#This Row],[Spec]],LstMachines[Status],PrévisionBoris[[#This Row],[Status]],LstMachines[MoisLivr],O$1)</f>
        <v>0</v>
      </c>
      <c r="P337" s="228">
        <f>SUMIFS(LstMachines[Nbre],LstMachines[Model-Spec],PrévisionBoris[[#This Row],[Spec]],LstMachines[Status],PrévisionBoris[[#This Row],[Status]],LstMachines[MoisLivr],P$1)</f>
        <v>0</v>
      </c>
      <c r="Q337" s="229">
        <f>SUMIFS(LstMachines[Nbre],LstMachines[Model-Spec],PrévisionBoris[[#This Row],[Spec]],LstMachines[Status],PrévisionBoris[[#This Row],[Status]],LstMachines[MoisLivr],Q$1)</f>
        <v>0</v>
      </c>
      <c r="R337" s="227">
        <f>SUMIFS(LstMachines[Nbre],LstMachines[Model-Spec],PrévisionBoris[[#This Row],[Spec]],LstMachines[Status],PrévisionBoris[[#This Row],[Status]],LstMachines[MoisLivr],R$1)</f>
        <v>0</v>
      </c>
      <c r="S337" s="227">
        <f>SUMIFS(LstMachines[Nbre],LstMachines[Model-Spec],PrévisionBoris[[#This Row],[Spec]],LstMachines[Status],PrévisionBoris[[#This Row],[Status]],LstMachines[MoisLivr],S$1)</f>
        <v>0</v>
      </c>
      <c r="T337" s="226">
        <f>SUMIFS(LstMachines[Nbre],LstMachines[Model-Spec],PrévisionBoris[[#This Row],[Spec]],LstMachines[Status],PrévisionBoris[[#This Row],[Status]],LstMachines[MoisLivr],T$1)</f>
        <v>0</v>
      </c>
      <c r="U337" s="227">
        <f>SUMIFS(LstMachines[Nbre],LstMachines[Model-Spec],PrévisionBoris[[#This Row],[Spec]],LstMachines[Status],PrévisionBoris[[#This Row],[Status]],LstMachines[MoisLivr],U$1)</f>
        <v>0</v>
      </c>
      <c r="V337" s="227">
        <f>SUMIFS(LstMachines[Nbre],LstMachines[Model-Spec],PrévisionBoris[[#This Row],[Spec]],LstMachines[Status],PrévisionBoris[[#This Row],[Status]],LstMachines[MoisLivr],V$1)</f>
        <v>0</v>
      </c>
      <c r="W337" s="226">
        <f>SUMIFS(LstMachines[Nbre],LstMachines[Model-Spec],PrévisionBoris[[#This Row],[Spec]],LstMachines[Status],PrévisionBoris[[#This Row],[Status]],LstMachines[MoisLivr],W$1)</f>
        <v>0</v>
      </c>
      <c r="X337" s="227">
        <f>SUMIFS(LstMachines[Nbre],LstMachines[Model-Spec],PrévisionBoris[[#This Row],[Spec]],LstMachines[Status],PrévisionBoris[[#This Row],[Status]],LstMachines[MoisLivr],X$1)</f>
        <v>0</v>
      </c>
      <c r="Y337" s="227">
        <f>SUMIFS(LstMachines[Nbre],LstMachines[Model-Spec],PrévisionBoris[[#This Row],[Spec]],LstMachines[Status],PrévisionBoris[[#This Row],[Status]],LstMachines[MoisLivr],Y$1)</f>
        <v>0</v>
      </c>
      <c r="Z337" s="226">
        <f>SUMIFS(LstMachines[Nbre],LstMachines[Model-Spec],PrévisionBoris[[#This Row],[Spec]],LstMachines[Status],PrévisionBoris[[#This Row],[Status]],LstMachines[MoisLivr],Z$1)</f>
        <v>0</v>
      </c>
      <c r="AA337" s="227">
        <f>SUMIFS(LstMachines[Nbre],LstMachines[Model-Spec],PrévisionBoris[[#This Row],[Spec]],LstMachines[Status],PrévisionBoris[[#This Row],[Status]],LstMachines[MoisLivr],AA$1)</f>
        <v>0</v>
      </c>
      <c r="AB337" s="227">
        <f>SUMIFS(LstMachines[Nbre],LstMachines[Model-Spec],PrévisionBoris[[#This Row],[Spec]],LstMachines[Status],PrévisionBoris[[#This Row],[Status]],LstMachines[MoisLivr],AB$1)</f>
        <v>0</v>
      </c>
      <c r="AC337" s="226">
        <f>SUMIFS(LstMachines[Nbre],LstMachines[Model-Spec],PrévisionBoris[[#This Row],[Spec]],LstMachines[Status],PrévisionBoris[[#This Row],[Status]],LstMachines[MoisLivr],AC$1)</f>
        <v>0</v>
      </c>
      <c r="AD337" s="227">
        <f>SUMIFS(LstMachines[Nbre],LstMachines[Model-Spec],PrévisionBoris[[#This Row],[Spec]],LstMachines[Status],PrévisionBoris[[#This Row],[Status]],LstMachines[MoisLivr],AD$1)</f>
        <v>0</v>
      </c>
      <c r="AE337" s="227">
        <f>SUMIFS(LstMachines[Nbre],LstMachines[Model-Spec],PrévisionBoris[[#This Row],[Spec]],LstMachines[Status],PrévisionBoris[[#This Row],[Status]],LstMachines[MoisLivr],AE$1)</f>
        <v>0</v>
      </c>
      <c r="AF337" s="226">
        <f>SUMIFS(LstMachines[Nbre],LstMachines[Model-Spec],PrévisionBoris[[#This Row],[Spec]],LstMachines[Status],PrévisionBoris[[#This Row],[Status]],LstMachines[MoisLivr],AF$1)</f>
        <v>0</v>
      </c>
      <c r="AG337" s="227">
        <f>SUMIFS(LstMachines[Nbre],LstMachines[Model-Spec],PrévisionBoris[[#This Row],[Spec]],LstMachines[Status],PrévisionBoris[[#This Row],[Status]],LstMachines[MoisLivr],AG$1)</f>
        <v>0</v>
      </c>
      <c r="AH337" s="227">
        <f>SUMIFS(LstMachines[Nbre],LstMachines[Model-Spec],PrévisionBoris[[#This Row],[Spec]],LstMachines[Status],PrévisionBoris[[#This Row],[Status]],LstMachines[MoisLivr],AH$1)</f>
        <v>0</v>
      </c>
      <c r="AI337" s="226">
        <f>SUMIFS(LstMachines[Nbre],LstMachines[Model-Spec],PrévisionBoris[[#This Row],[Spec]],LstMachines[Status],PrévisionBoris[[#This Row],[Status]],LstMachines[MoisLivr],AI$1)</f>
        <v>0</v>
      </c>
      <c r="AJ337" s="227">
        <f>SUMIFS(LstMachines[Nbre],LstMachines[Model-Spec],PrévisionBoris[[#This Row],[Spec]],LstMachines[Status],PrévisionBoris[[#This Row],[Status]],LstMachines[MoisLivr],AJ$1)</f>
        <v>0</v>
      </c>
      <c r="AK337" s="227">
        <f>SUMIFS(LstMachines[Nbre],LstMachines[Model-Spec],PrévisionBoris[[#This Row],[Spec]],LstMachines[Status],PrévisionBoris[[#This Row],[Status]],LstMachines[MoisLivr],AK$1)</f>
        <v>0</v>
      </c>
      <c r="AL337" s="226">
        <f>SUMIFS(LstMachines[Nbre],LstMachines[Model-Spec],PrévisionBoris[[#This Row],[Spec]],LstMachines[Status],PrévisionBoris[[#This Row],[Status]],LstMachines[MoisLivr],AL$1)</f>
        <v>0</v>
      </c>
      <c r="AM337" s="227">
        <f>SUMIFS(LstMachines[Nbre],LstMachines[Model-Spec],PrévisionBoris[[#This Row],[Spec]],LstMachines[Status],PrévisionBoris[[#This Row],[Status]],LstMachines[MoisLivr],AM$1)</f>
        <v>0</v>
      </c>
      <c r="AN337" s="227">
        <f>SUMIFS(LstMachines[Nbre],LstMachines[Model-Spec],PrévisionBoris[[#This Row],[Spec]],LstMachines[Status],PrévisionBoris[[#This Row],[Status]],LstMachines[MoisLivr],AN$1)</f>
        <v>0</v>
      </c>
      <c r="AO337" s="226">
        <f>SUMIFS(LstMachines[Nbre],LstMachines[Model-Spec],PrévisionBoris[[#This Row],[Spec]],LstMachines[Status],PrévisionBoris[[#This Row],[Status]],LstMachines[MoisLivr],AO$1)</f>
        <v>0</v>
      </c>
      <c r="AP337" s="227">
        <f>SUMIFS(LstMachines[Nbre],LstMachines[Model-Spec],PrévisionBoris[[#This Row],[Spec]],LstMachines[Status],PrévisionBoris[[#This Row],[Status]],LstMachines[MoisLivr],AP$1)</f>
        <v>0</v>
      </c>
      <c r="AQ337" s="227">
        <f>SUMIFS(LstMachines[Nbre],LstMachines[Model-Spec],PrévisionBoris[[#This Row],[Spec]],LstMachines[Status],PrévisionBoris[[#This Row],[Status]],LstMachines[MoisLivr],AQ$1)</f>
        <v>0</v>
      </c>
      <c r="AR337" s="226">
        <f>SUMIFS(LstMachines[Nbre],LstMachines[Model-Spec],PrévisionBoris[[#This Row],[Spec]],LstMachines[Status],PrévisionBoris[[#This Row],[Status]],LstMachines[MoisLivr],AR$1)</f>
        <v>0</v>
      </c>
      <c r="AS337" s="227">
        <f>SUMIFS(LstMachines[Nbre],LstMachines[Model-Spec],PrévisionBoris[[#This Row],[Spec]],LstMachines[Status],PrévisionBoris[[#This Row],[Status]],LstMachines[MoisLivr],AS$1)</f>
        <v>0</v>
      </c>
      <c r="AT337" s="227">
        <f>SUMIFS(LstMachines[Nbre],LstMachines[Model-Spec],PrévisionBoris[[#This Row],[Spec]],LstMachines[Status],PrévisionBoris[[#This Row],[Status]],LstMachines[MoisLivr],AT$1)</f>
        <v>0</v>
      </c>
      <c r="AU337" s="226">
        <f>SUMIFS(LstMachines[Nbre],LstMachines[Model-Spec],PrévisionBoris[[#This Row],[Spec]],LstMachines[Status],PrévisionBoris[[#This Row],[Status]],LstMachines[MoisLivr],AU$1)</f>
        <v>0</v>
      </c>
      <c r="AV337" s="230">
        <f>SUMIFS(LstMachines[Nbre],LstMachines[Model-Spec],PrévisionBoris[[#This Row],[Spec]],LstMachines[Status],PrévisionBoris[[#This Row],[Status]],LstMachines[MoisLivr],AV$1)</f>
        <v>0</v>
      </c>
      <c r="AW337" s="231">
        <f>SUMIFS(LstMachines[Nbre],LstMachines[Model-Spec],PrévisionBoris[[#This Row],[Spec]],LstMachines[Status],PrévisionBoris[[#This Row],[Status]],LstMachines[MoisLivr],AW$1)</f>
        <v>0</v>
      </c>
      <c r="AX337" s="232"/>
      <c r="AY337" s="211">
        <f t="shared" si="83"/>
        <v>0</v>
      </c>
      <c r="AZ337" s="212">
        <f t="shared" si="84"/>
        <v>0</v>
      </c>
      <c r="BA337" s="212">
        <f t="shared" si="85"/>
        <v>0</v>
      </c>
      <c r="BB337" s="213">
        <f t="shared" si="86"/>
        <v>0</v>
      </c>
      <c r="BC337" s="225">
        <f t="shared" si="87"/>
        <v>0</v>
      </c>
      <c r="BD337" s="211">
        <f t="shared" si="88"/>
        <v>0</v>
      </c>
      <c r="BE337" s="212">
        <f t="shared" si="89"/>
        <v>0</v>
      </c>
      <c r="BF337" s="212">
        <f t="shared" si="90"/>
        <v>0</v>
      </c>
      <c r="BG337" s="213">
        <f t="shared" si="91"/>
        <v>0</v>
      </c>
      <c r="BH337" s="225">
        <f t="shared" si="92"/>
        <v>0</v>
      </c>
      <c r="BI337" s="214">
        <f t="shared" si="93"/>
        <v>0</v>
      </c>
      <c r="BJ337" s="215">
        <f t="shared" si="94"/>
        <v>0</v>
      </c>
      <c r="BK337" s="215">
        <f t="shared" si="95"/>
        <v>0</v>
      </c>
      <c r="BL337" s="216">
        <f t="shared" si="96"/>
        <v>0</v>
      </c>
      <c r="BM337" s="225">
        <f t="shared" si="97"/>
        <v>0</v>
      </c>
      <c r="BN337" s="225"/>
      <c r="BO337" s="217"/>
      <c r="BP337" s="218">
        <f t="shared" si="98"/>
        <v>0</v>
      </c>
    </row>
    <row r="338" spans="1:68">
      <c r="A338" s="172">
        <v>331</v>
      </c>
      <c r="B338" s="172" t="s">
        <v>223</v>
      </c>
      <c r="C338" s="202">
        <v>190</v>
      </c>
      <c r="D338" s="172" t="s">
        <v>232</v>
      </c>
      <c r="E338" s="172" t="s">
        <v>234</v>
      </c>
      <c r="F338" s="202">
        <f>VLOOKUP(PrévisionBoris[[#This Row],[Spec]],TabModelSpecs[[ModelSpec]:[Price]],2,FALSE)</f>
        <v>120</v>
      </c>
      <c r="G338" s="172" t="s">
        <v>461</v>
      </c>
      <c r="H338" s="206">
        <f>SUMIFS(LstMachines[Nbre],LstMachines[Model-Spec],PrévisionBoris[[#This Row],[Spec]],LstMachines[Status],PrévisionBoris[[#This Row],[Status]],LstMachines[MoisLivr],H$1)</f>
        <v>0</v>
      </c>
      <c r="I338" s="207">
        <f>SUMIFS(LstMachines[Nbre],LstMachines[Model-Spec],PrévisionBoris[[#This Row],[Spec]],LstMachines[Status],PrévisionBoris[[#This Row],[Status]],LstMachines[MoisLivr],I$1)</f>
        <v>0</v>
      </c>
      <c r="J338" s="208">
        <f>SUMIFS(LstMachines[Nbre],LstMachines[Model-Spec],PrévisionBoris[[#This Row],[Spec]],LstMachines[Status],PrévisionBoris[[#This Row],[Status]],LstMachines[MoisLivr],J$1)</f>
        <v>0</v>
      </c>
      <c r="K338" s="206">
        <f>SUMIFS(LstMachines[Nbre],LstMachines[Model-Spec],PrévisionBoris[[#This Row],[Spec]],LstMachines[Status],PrévisionBoris[[#This Row],[Status]],LstMachines[MoisLivr],K$1)</f>
        <v>0</v>
      </c>
      <c r="L338" s="207">
        <f>SUMIFS(LstMachines[Nbre],LstMachines[Model-Spec],PrévisionBoris[[#This Row],[Spec]],LstMachines[Status],PrévisionBoris[[#This Row],[Status]],LstMachines[MoisLivr],L$1)</f>
        <v>0</v>
      </c>
      <c r="M338" s="208">
        <f>SUMIFS(LstMachines[Nbre],LstMachines[Model-Spec],PrévisionBoris[[#This Row],[Spec]],LstMachines[Status],PrévisionBoris[[#This Row],[Status]],LstMachines[MoisLivr],M$1)</f>
        <v>0</v>
      </c>
      <c r="N338" s="206">
        <f>SUMIFS(LstMachines[Nbre],LstMachines[Model-Spec],PrévisionBoris[[#This Row],[Spec]],LstMachines[Status],PrévisionBoris[[#This Row],[Status]],LstMachines[MoisLivr],N$1)</f>
        <v>0</v>
      </c>
      <c r="O338" s="207">
        <f>SUMIFS(LstMachines[Nbre],LstMachines[Model-Spec],PrévisionBoris[[#This Row],[Spec]],LstMachines[Status],PrévisionBoris[[#This Row],[Status]],LstMachines[MoisLivr],O$1)</f>
        <v>0</v>
      </c>
      <c r="P338" s="208">
        <f>SUMIFS(LstMachines[Nbre],LstMachines[Model-Spec],PrévisionBoris[[#This Row],[Spec]],LstMachines[Status],PrévisionBoris[[#This Row],[Status]],LstMachines[MoisLivr],P$1)</f>
        <v>0</v>
      </c>
      <c r="Q338" s="209">
        <f>SUMIFS(LstMachines[Nbre],LstMachines[Model-Spec],PrévisionBoris[[#This Row],[Spec]],LstMachines[Status],PrévisionBoris[[#This Row],[Status]],LstMachines[MoisLivr],Q$1)</f>
        <v>0</v>
      </c>
      <c r="R338" s="207">
        <f>SUMIFS(LstMachines[Nbre],LstMachines[Model-Spec],PrévisionBoris[[#This Row],[Spec]],LstMachines[Status],PrévisionBoris[[#This Row],[Status]],LstMachines[MoisLivr],R$1)</f>
        <v>0</v>
      </c>
      <c r="S338" s="207">
        <f>SUMIFS(LstMachines[Nbre],LstMachines[Model-Spec],PrévisionBoris[[#This Row],[Spec]],LstMachines[Status],PrévisionBoris[[#This Row],[Status]],LstMachines[MoisLivr],S$1)</f>
        <v>0</v>
      </c>
      <c r="T338" s="206">
        <f>SUMIFS(LstMachines[Nbre],LstMachines[Model-Spec],PrévisionBoris[[#This Row],[Spec]],LstMachines[Status],PrévisionBoris[[#This Row],[Status]],LstMachines[MoisLivr],T$1)</f>
        <v>0</v>
      </c>
      <c r="U338" s="207">
        <f>SUMIFS(LstMachines[Nbre],LstMachines[Model-Spec],PrévisionBoris[[#This Row],[Spec]],LstMachines[Status],PrévisionBoris[[#This Row],[Status]],LstMachines[MoisLivr],U$1)</f>
        <v>0</v>
      </c>
      <c r="V338" s="207">
        <f>SUMIFS(LstMachines[Nbre],LstMachines[Model-Spec],PrévisionBoris[[#This Row],[Spec]],LstMachines[Status],PrévisionBoris[[#This Row],[Status]],LstMachines[MoisLivr],V$1)</f>
        <v>0</v>
      </c>
      <c r="W338" s="206">
        <f>SUMIFS(LstMachines[Nbre],LstMachines[Model-Spec],PrévisionBoris[[#This Row],[Spec]],LstMachines[Status],PrévisionBoris[[#This Row],[Status]],LstMachines[MoisLivr],W$1)</f>
        <v>0</v>
      </c>
      <c r="X338" s="207">
        <f>SUMIFS(LstMachines[Nbre],LstMachines[Model-Spec],PrévisionBoris[[#This Row],[Spec]],LstMachines[Status],PrévisionBoris[[#This Row],[Status]],LstMachines[MoisLivr],X$1)</f>
        <v>0</v>
      </c>
      <c r="Y338" s="207">
        <f>SUMIFS(LstMachines[Nbre],LstMachines[Model-Spec],PrévisionBoris[[#This Row],[Spec]],LstMachines[Status],PrévisionBoris[[#This Row],[Status]],LstMachines[MoisLivr],Y$1)</f>
        <v>0</v>
      </c>
      <c r="Z338" s="206">
        <f>SUMIFS(LstMachines[Nbre],LstMachines[Model-Spec],PrévisionBoris[[#This Row],[Spec]],LstMachines[Status],PrévisionBoris[[#This Row],[Status]],LstMachines[MoisLivr],Z$1)</f>
        <v>0</v>
      </c>
      <c r="AA338" s="207">
        <f>SUMIFS(LstMachines[Nbre],LstMachines[Model-Spec],PrévisionBoris[[#This Row],[Spec]],LstMachines[Status],PrévisionBoris[[#This Row],[Status]],LstMachines[MoisLivr],AA$1)</f>
        <v>0</v>
      </c>
      <c r="AB338" s="207">
        <f>SUMIFS(LstMachines[Nbre],LstMachines[Model-Spec],PrévisionBoris[[#This Row],[Spec]],LstMachines[Status],PrévisionBoris[[#This Row],[Status]],LstMachines[MoisLivr],AB$1)</f>
        <v>0</v>
      </c>
      <c r="AC338" s="206">
        <f>SUMIFS(LstMachines[Nbre],LstMachines[Model-Spec],PrévisionBoris[[#This Row],[Spec]],LstMachines[Status],PrévisionBoris[[#This Row],[Status]],LstMachines[MoisLivr],AC$1)</f>
        <v>0</v>
      </c>
      <c r="AD338" s="207">
        <f>SUMIFS(LstMachines[Nbre],LstMachines[Model-Spec],PrévisionBoris[[#This Row],[Spec]],LstMachines[Status],PrévisionBoris[[#This Row],[Status]],LstMachines[MoisLivr],AD$1)</f>
        <v>0</v>
      </c>
      <c r="AE338" s="207">
        <f>SUMIFS(LstMachines[Nbre],LstMachines[Model-Spec],PrévisionBoris[[#This Row],[Spec]],LstMachines[Status],PrévisionBoris[[#This Row],[Status]],LstMachines[MoisLivr],AE$1)</f>
        <v>0</v>
      </c>
      <c r="AF338" s="206">
        <f>SUMIFS(LstMachines[Nbre],LstMachines[Model-Spec],PrévisionBoris[[#This Row],[Spec]],LstMachines[Status],PrévisionBoris[[#This Row],[Status]],LstMachines[MoisLivr],AF$1)</f>
        <v>0</v>
      </c>
      <c r="AG338" s="207">
        <f>SUMIFS(LstMachines[Nbre],LstMachines[Model-Spec],PrévisionBoris[[#This Row],[Spec]],LstMachines[Status],PrévisionBoris[[#This Row],[Status]],LstMachines[MoisLivr],AG$1)</f>
        <v>0</v>
      </c>
      <c r="AH338" s="207">
        <f>SUMIFS(LstMachines[Nbre],LstMachines[Model-Spec],PrévisionBoris[[#This Row],[Spec]],LstMachines[Status],PrévisionBoris[[#This Row],[Status]],LstMachines[MoisLivr],AH$1)</f>
        <v>0</v>
      </c>
      <c r="AI338" s="206">
        <f>SUMIFS(LstMachines[Nbre],LstMachines[Model-Spec],PrévisionBoris[[#This Row],[Spec]],LstMachines[Status],PrévisionBoris[[#This Row],[Status]],LstMachines[MoisLivr],AI$1)</f>
        <v>0</v>
      </c>
      <c r="AJ338" s="207">
        <f>SUMIFS(LstMachines[Nbre],LstMachines[Model-Spec],PrévisionBoris[[#This Row],[Spec]],LstMachines[Status],PrévisionBoris[[#This Row],[Status]],LstMachines[MoisLivr],AJ$1)</f>
        <v>0</v>
      </c>
      <c r="AK338" s="207">
        <f>SUMIFS(LstMachines[Nbre],LstMachines[Model-Spec],PrévisionBoris[[#This Row],[Spec]],LstMachines[Status],PrévisionBoris[[#This Row],[Status]],LstMachines[MoisLivr],AK$1)</f>
        <v>0</v>
      </c>
      <c r="AL338" s="206">
        <f>SUMIFS(LstMachines[Nbre],LstMachines[Model-Spec],PrévisionBoris[[#This Row],[Spec]],LstMachines[Status],PrévisionBoris[[#This Row],[Status]],LstMachines[MoisLivr],AL$1)</f>
        <v>0</v>
      </c>
      <c r="AM338" s="207">
        <f>SUMIFS(LstMachines[Nbre],LstMachines[Model-Spec],PrévisionBoris[[#This Row],[Spec]],LstMachines[Status],PrévisionBoris[[#This Row],[Status]],LstMachines[MoisLivr],AM$1)</f>
        <v>0</v>
      </c>
      <c r="AN338" s="207">
        <f>SUMIFS(LstMachines[Nbre],LstMachines[Model-Spec],PrévisionBoris[[#This Row],[Spec]],LstMachines[Status],PrévisionBoris[[#This Row],[Status]],LstMachines[MoisLivr],AN$1)</f>
        <v>0</v>
      </c>
      <c r="AO338" s="206">
        <f>SUMIFS(LstMachines[Nbre],LstMachines[Model-Spec],PrévisionBoris[[#This Row],[Spec]],LstMachines[Status],PrévisionBoris[[#This Row],[Status]],LstMachines[MoisLivr],AO$1)</f>
        <v>0</v>
      </c>
      <c r="AP338" s="207">
        <f>SUMIFS(LstMachines[Nbre],LstMachines[Model-Spec],PrévisionBoris[[#This Row],[Spec]],LstMachines[Status],PrévisionBoris[[#This Row],[Status]],LstMachines[MoisLivr],AP$1)</f>
        <v>0</v>
      </c>
      <c r="AQ338" s="207">
        <f>SUMIFS(LstMachines[Nbre],LstMachines[Model-Spec],PrévisionBoris[[#This Row],[Spec]],LstMachines[Status],PrévisionBoris[[#This Row],[Status]],LstMachines[MoisLivr],AQ$1)</f>
        <v>0</v>
      </c>
      <c r="AR338" s="206">
        <f>SUMIFS(LstMachines[Nbre],LstMachines[Model-Spec],PrévisionBoris[[#This Row],[Spec]],LstMachines[Status],PrévisionBoris[[#This Row],[Status]],LstMachines[MoisLivr],AR$1)</f>
        <v>0</v>
      </c>
      <c r="AS338" s="207">
        <f>SUMIFS(LstMachines[Nbre],LstMachines[Model-Spec],PrévisionBoris[[#This Row],[Spec]],LstMachines[Status],PrévisionBoris[[#This Row],[Status]],LstMachines[MoisLivr],AS$1)</f>
        <v>0</v>
      </c>
      <c r="AT338" s="207">
        <f>SUMIFS(LstMachines[Nbre],LstMachines[Model-Spec],PrévisionBoris[[#This Row],[Spec]],LstMachines[Status],PrévisionBoris[[#This Row],[Status]],LstMachines[MoisLivr],AT$1)</f>
        <v>0</v>
      </c>
      <c r="AU338" s="206">
        <f>SUMIFS(LstMachines[Nbre],LstMachines[Model-Spec],PrévisionBoris[[#This Row],[Spec]],LstMachines[Status],PrévisionBoris[[#This Row],[Status]],LstMachines[MoisLivr],AU$1)</f>
        <v>0</v>
      </c>
      <c r="AV338" s="233">
        <f>SUMIFS(LstMachines[Nbre],LstMachines[Model-Spec],PrévisionBoris[[#This Row],[Spec]],LstMachines[Status],PrévisionBoris[[#This Row],[Status]],LstMachines[MoisLivr],AV$1)</f>
        <v>0</v>
      </c>
      <c r="AW338" s="208">
        <f>SUMIFS(LstMachines[Nbre],LstMachines[Model-Spec],PrévisionBoris[[#This Row],[Spec]],LstMachines[Status],PrévisionBoris[[#This Row],[Status]],LstMachines[MoisLivr],AW$1)</f>
        <v>0</v>
      </c>
      <c r="AX338" s="225"/>
      <c r="AY338" s="211">
        <f t="shared" si="83"/>
        <v>0</v>
      </c>
      <c r="AZ338" s="212">
        <f t="shared" si="84"/>
        <v>0</v>
      </c>
      <c r="BA338" s="212">
        <f t="shared" si="85"/>
        <v>0</v>
      </c>
      <c r="BB338" s="213">
        <f t="shared" si="86"/>
        <v>0</v>
      </c>
      <c r="BC338" s="225">
        <f t="shared" si="87"/>
        <v>0</v>
      </c>
      <c r="BD338" s="211">
        <f t="shared" si="88"/>
        <v>0</v>
      </c>
      <c r="BE338" s="212">
        <f t="shared" si="89"/>
        <v>0</v>
      </c>
      <c r="BF338" s="212">
        <f t="shared" si="90"/>
        <v>0</v>
      </c>
      <c r="BG338" s="213">
        <f t="shared" si="91"/>
        <v>0</v>
      </c>
      <c r="BH338" s="225">
        <f t="shared" si="92"/>
        <v>0</v>
      </c>
      <c r="BI338" s="214">
        <f t="shared" si="93"/>
        <v>0</v>
      </c>
      <c r="BJ338" s="215">
        <f t="shared" si="94"/>
        <v>0</v>
      </c>
      <c r="BK338" s="215">
        <f t="shared" si="95"/>
        <v>0</v>
      </c>
      <c r="BL338" s="216">
        <f t="shared" si="96"/>
        <v>0</v>
      </c>
      <c r="BM338" s="225">
        <f t="shared" si="97"/>
        <v>0</v>
      </c>
      <c r="BN338" s="225"/>
      <c r="BO338" s="234"/>
      <c r="BP338" s="218">
        <f t="shared" si="98"/>
        <v>0</v>
      </c>
    </row>
    <row r="339" spans="1:68">
      <c r="A339" s="170">
        <v>332</v>
      </c>
      <c r="B339" s="170" t="s">
        <v>223</v>
      </c>
      <c r="C339" s="200">
        <v>190</v>
      </c>
      <c r="D339" s="170" t="s">
        <v>232</v>
      </c>
      <c r="E339" s="170" t="s">
        <v>234</v>
      </c>
      <c r="F339" s="200">
        <f>VLOOKUP(PrévisionBoris[[#This Row],[Spec]],TabModelSpecs[[ModelSpec]:[Price]],2,FALSE)</f>
        <v>120</v>
      </c>
      <c r="G339" s="170" t="s">
        <v>462</v>
      </c>
      <c r="H339" s="219">
        <f>SUMIFS(LstMachines[Nbre],LstMachines[Model-Spec],PrévisionBoris[[#This Row],[Spec]],LstMachines[Status],PrévisionBoris[[#This Row],[Status]],LstMachines[MoisLivr],H$1)</f>
        <v>0</v>
      </c>
      <c r="I339" s="220">
        <f>SUMIFS(LstMachines[Nbre],LstMachines[Model-Spec],PrévisionBoris[[#This Row],[Spec]],LstMachines[Status],PrévisionBoris[[#This Row],[Status]],LstMachines[MoisLivr],I$1)</f>
        <v>0</v>
      </c>
      <c r="J339" s="221">
        <f>SUMIFS(LstMachines[Nbre],LstMachines[Model-Spec],PrévisionBoris[[#This Row],[Spec]],LstMachines[Status],PrévisionBoris[[#This Row],[Status]],LstMachines[MoisLivr],J$1)</f>
        <v>0</v>
      </c>
      <c r="K339" s="219">
        <f>SUMIFS(LstMachines[Nbre],LstMachines[Model-Spec],PrévisionBoris[[#This Row],[Spec]],LstMachines[Status],PrévisionBoris[[#This Row],[Status]],LstMachines[MoisLivr],K$1)</f>
        <v>0</v>
      </c>
      <c r="L339" s="220">
        <f>SUMIFS(LstMachines[Nbre],LstMachines[Model-Spec],PrévisionBoris[[#This Row],[Spec]],LstMachines[Status],PrévisionBoris[[#This Row],[Status]],LstMachines[MoisLivr],L$1)</f>
        <v>0</v>
      </c>
      <c r="M339" s="221">
        <f>SUMIFS(LstMachines[Nbre],LstMachines[Model-Spec],PrévisionBoris[[#This Row],[Spec]],LstMachines[Status],PrévisionBoris[[#This Row],[Status]],LstMachines[MoisLivr],M$1)</f>
        <v>0</v>
      </c>
      <c r="N339" s="219">
        <f>SUMIFS(LstMachines[Nbre],LstMachines[Model-Spec],PrévisionBoris[[#This Row],[Spec]],LstMachines[Status],PrévisionBoris[[#This Row],[Status]],LstMachines[MoisLivr],N$1)</f>
        <v>0</v>
      </c>
      <c r="O339" s="220">
        <f>SUMIFS(LstMachines[Nbre],LstMachines[Model-Spec],PrévisionBoris[[#This Row],[Spec]],LstMachines[Status],PrévisionBoris[[#This Row],[Status]],LstMachines[MoisLivr],O$1)</f>
        <v>0</v>
      </c>
      <c r="P339" s="221">
        <f>SUMIFS(LstMachines[Nbre],LstMachines[Model-Spec],PrévisionBoris[[#This Row],[Spec]],LstMachines[Status],PrévisionBoris[[#This Row],[Status]],LstMachines[MoisLivr],P$1)</f>
        <v>0</v>
      </c>
      <c r="Q339" s="222">
        <f>SUMIFS(LstMachines[Nbre],LstMachines[Model-Spec],PrévisionBoris[[#This Row],[Spec]],LstMachines[Status],PrévisionBoris[[#This Row],[Status]],LstMachines[MoisLivr],Q$1)</f>
        <v>0</v>
      </c>
      <c r="R339" s="220">
        <f>SUMIFS(LstMachines[Nbre],LstMachines[Model-Spec],PrévisionBoris[[#This Row],[Spec]],LstMachines[Status],PrévisionBoris[[#This Row],[Status]],LstMachines[MoisLivr],R$1)</f>
        <v>0</v>
      </c>
      <c r="S339" s="220">
        <f>SUMIFS(LstMachines[Nbre],LstMachines[Model-Spec],PrévisionBoris[[#This Row],[Spec]],LstMachines[Status],PrévisionBoris[[#This Row],[Status]],LstMachines[MoisLivr],S$1)</f>
        <v>0</v>
      </c>
      <c r="T339" s="219">
        <f>SUMIFS(LstMachines[Nbre],LstMachines[Model-Spec],PrévisionBoris[[#This Row],[Spec]],LstMachines[Status],PrévisionBoris[[#This Row],[Status]],LstMachines[MoisLivr],T$1)</f>
        <v>0</v>
      </c>
      <c r="U339" s="220">
        <f>SUMIFS(LstMachines[Nbre],LstMachines[Model-Spec],PrévisionBoris[[#This Row],[Spec]],LstMachines[Status],PrévisionBoris[[#This Row],[Status]],LstMachines[MoisLivr],U$1)</f>
        <v>0</v>
      </c>
      <c r="V339" s="220">
        <f>SUMIFS(LstMachines[Nbre],LstMachines[Model-Spec],PrévisionBoris[[#This Row],[Spec]],LstMachines[Status],PrévisionBoris[[#This Row],[Status]],LstMachines[MoisLivr],V$1)</f>
        <v>0</v>
      </c>
      <c r="W339" s="219">
        <f>SUMIFS(LstMachines[Nbre],LstMachines[Model-Spec],PrévisionBoris[[#This Row],[Spec]],LstMachines[Status],PrévisionBoris[[#This Row],[Status]],LstMachines[MoisLivr],W$1)</f>
        <v>0</v>
      </c>
      <c r="X339" s="220">
        <f>SUMIFS(LstMachines[Nbre],LstMachines[Model-Spec],PrévisionBoris[[#This Row],[Spec]],LstMachines[Status],PrévisionBoris[[#This Row],[Status]],LstMachines[MoisLivr],X$1)</f>
        <v>0</v>
      </c>
      <c r="Y339" s="220">
        <f>SUMIFS(LstMachines[Nbre],LstMachines[Model-Spec],PrévisionBoris[[#This Row],[Spec]],LstMachines[Status],PrévisionBoris[[#This Row],[Status]],LstMachines[MoisLivr],Y$1)</f>
        <v>0</v>
      </c>
      <c r="Z339" s="219">
        <f>SUMIFS(LstMachines[Nbre],LstMachines[Model-Spec],PrévisionBoris[[#This Row],[Spec]],LstMachines[Status],PrévisionBoris[[#This Row],[Status]],LstMachines[MoisLivr],Z$1)</f>
        <v>0</v>
      </c>
      <c r="AA339" s="220">
        <f>SUMIFS(LstMachines[Nbre],LstMachines[Model-Spec],PrévisionBoris[[#This Row],[Spec]],LstMachines[Status],PrévisionBoris[[#This Row],[Status]],LstMachines[MoisLivr],AA$1)</f>
        <v>0</v>
      </c>
      <c r="AB339" s="220">
        <f>SUMIFS(LstMachines[Nbre],LstMachines[Model-Spec],PrévisionBoris[[#This Row],[Spec]],LstMachines[Status],PrévisionBoris[[#This Row],[Status]],LstMachines[MoisLivr],AB$1)</f>
        <v>0</v>
      </c>
      <c r="AC339" s="219">
        <f>SUMIFS(LstMachines[Nbre],LstMachines[Model-Spec],PrévisionBoris[[#This Row],[Spec]],LstMachines[Status],PrévisionBoris[[#This Row],[Status]],LstMachines[MoisLivr],AC$1)</f>
        <v>0</v>
      </c>
      <c r="AD339" s="220">
        <f>SUMIFS(LstMachines[Nbre],LstMachines[Model-Spec],PrévisionBoris[[#This Row],[Spec]],LstMachines[Status],PrévisionBoris[[#This Row],[Status]],LstMachines[MoisLivr],AD$1)</f>
        <v>0</v>
      </c>
      <c r="AE339" s="220">
        <f>SUMIFS(LstMachines[Nbre],LstMachines[Model-Spec],PrévisionBoris[[#This Row],[Spec]],LstMachines[Status],PrévisionBoris[[#This Row],[Status]],LstMachines[MoisLivr],AE$1)</f>
        <v>0</v>
      </c>
      <c r="AF339" s="219">
        <f>SUMIFS(LstMachines[Nbre],LstMachines[Model-Spec],PrévisionBoris[[#This Row],[Spec]],LstMachines[Status],PrévisionBoris[[#This Row],[Status]],LstMachines[MoisLivr],AF$1)</f>
        <v>0</v>
      </c>
      <c r="AG339" s="220">
        <f>SUMIFS(LstMachines[Nbre],LstMachines[Model-Spec],PrévisionBoris[[#This Row],[Spec]],LstMachines[Status],PrévisionBoris[[#This Row],[Status]],LstMachines[MoisLivr],AG$1)</f>
        <v>0</v>
      </c>
      <c r="AH339" s="220">
        <f>SUMIFS(LstMachines[Nbre],LstMachines[Model-Spec],PrévisionBoris[[#This Row],[Spec]],LstMachines[Status],PrévisionBoris[[#This Row],[Status]],LstMachines[MoisLivr],AH$1)</f>
        <v>0</v>
      </c>
      <c r="AI339" s="219">
        <f>SUMIFS(LstMachines[Nbre],LstMachines[Model-Spec],PrévisionBoris[[#This Row],[Spec]],LstMachines[Status],PrévisionBoris[[#This Row],[Status]],LstMachines[MoisLivr],AI$1)</f>
        <v>0</v>
      </c>
      <c r="AJ339" s="220">
        <f>SUMIFS(LstMachines[Nbre],LstMachines[Model-Spec],PrévisionBoris[[#This Row],[Spec]],LstMachines[Status],PrévisionBoris[[#This Row],[Status]],LstMachines[MoisLivr],AJ$1)</f>
        <v>0</v>
      </c>
      <c r="AK339" s="220">
        <f>SUMIFS(LstMachines[Nbre],LstMachines[Model-Spec],PrévisionBoris[[#This Row],[Spec]],LstMachines[Status],PrévisionBoris[[#This Row],[Status]],LstMachines[MoisLivr],AK$1)</f>
        <v>0</v>
      </c>
      <c r="AL339" s="219">
        <f>SUMIFS(LstMachines[Nbre],LstMachines[Model-Spec],PrévisionBoris[[#This Row],[Spec]],LstMachines[Status],PrévisionBoris[[#This Row],[Status]],LstMachines[MoisLivr],AL$1)</f>
        <v>0</v>
      </c>
      <c r="AM339" s="220">
        <f>SUMIFS(LstMachines[Nbre],LstMachines[Model-Spec],PrévisionBoris[[#This Row],[Spec]],LstMachines[Status],PrévisionBoris[[#This Row],[Status]],LstMachines[MoisLivr],AM$1)</f>
        <v>0</v>
      </c>
      <c r="AN339" s="220">
        <f>SUMIFS(LstMachines[Nbre],LstMachines[Model-Spec],PrévisionBoris[[#This Row],[Spec]],LstMachines[Status],PrévisionBoris[[#This Row],[Status]],LstMachines[MoisLivr],AN$1)</f>
        <v>0</v>
      </c>
      <c r="AO339" s="219">
        <f>SUMIFS(LstMachines[Nbre],LstMachines[Model-Spec],PrévisionBoris[[#This Row],[Spec]],LstMachines[Status],PrévisionBoris[[#This Row],[Status]],LstMachines[MoisLivr],AO$1)</f>
        <v>0</v>
      </c>
      <c r="AP339" s="220">
        <f>SUMIFS(LstMachines[Nbre],LstMachines[Model-Spec],PrévisionBoris[[#This Row],[Spec]],LstMachines[Status],PrévisionBoris[[#This Row],[Status]],LstMachines[MoisLivr],AP$1)</f>
        <v>0</v>
      </c>
      <c r="AQ339" s="220">
        <f>SUMIFS(LstMachines[Nbre],LstMachines[Model-Spec],PrévisionBoris[[#This Row],[Spec]],LstMachines[Status],PrévisionBoris[[#This Row],[Status]],LstMachines[MoisLivr],AQ$1)</f>
        <v>0</v>
      </c>
      <c r="AR339" s="219">
        <f>SUMIFS(LstMachines[Nbre],LstMachines[Model-Spec],PrévisionBoris[[#This Row],[Spec]],LstMachines[Status],PrévisionBoris[[#This Row],[Status]],LstMachines[MoisLivr],AR$1)</f>
        <v>0</v>
      </c>
      <c r="AS339" s="220">
        <f>SUMIFS(LstMachines[Nbre],LstMachines[Model-Spec],PrévisionBoris[[#This Row],[Spec]],LstMachines[Status],PrévisionBoris[[#This Row],[Status]],LstMachines[MoisLivr],AS$1)</f>
        <v>0</v>
      </c>
      <c r="AT339" s="220">
        <f>SUMIFS(LstMachines[Nbre],LstMachines[Model-Spec],PrévisionBoris[[#This Row],[Spec]],LstMachines[Status],PrévisionBoris[[#This Row],[Status]],LstMachines[MoisLivr],AT$1)</f>
        <v>0</v>
      </c>
      <c r="AU339" s="219">
        <f>SUMIFS(LstMachines[Nbre],LstMachines[Model-Spec],PrévisionBoris[[#This Row],[Spec]],LstMachines[Status],PrévisionBoris[[#This Row],[Status]],LstMachines[MoisLivr],AU$1)</f>
        <v>0</v>
      </c>
      <c r="AV339" s="223">
        <f>SUMIFS(LstMachines[Nbre],LstMachines[Model-Spec],PrévisionBoris[[#This Row],[Spec]],LstMachines[Status],PrévisionBoris[[#This Row],[Status]],LstMachines[MoisLivr],AV$1)</f>
        <v>0</v>
      </c>
      <c r="AW339" s="224">
        <f>SUMIFS(LstMachines[Nbre],LstMachines[Model-Spec],PrévisionBoris[[#This Row],[Spec]],LstMachines[Status],PrévisionBoris[[#This Row],[Status]],LstMachines[MoisLivr],AW$1)</f>
        <v>0</v>
      </c>
      <c r="AX339" s="210"/>
      <c r="AY339" s="211">
        <f t="shared" si="83"/>
        <v>0</v>
      </c>
      <c r="AZ339" s="212">
        <f t="shared" si="84"/>
        <v>0</v>
      </c>
      <c r="BA339" s="212">
        <f t="shared" si="85"/>
        <v>0</v>
      </c>
      <c r="BB339" s="213">
        <f t="shared" si="86"/>
        <v>0</v>
      </c>
      <c r="BC339" s="225">
        <f t="shared" si="87"/>
        <v>0</v>
      </c>
      <c r="BD339" s="211">
        <f t="shared" si="88"/>
        <v>0</v>
      </c>
      <c r="BE339" s="212">
        <f t="shared" si="89"/>
        <v>0</v>
      </c>
      <c r="BF339" s="212">
        <f t="shared" si="90"/>
        <v>0</v>
      </c>
      <c r="BG339" s="213">
        <f t="shared" si="91"/>
        <v>0</v>
      </c>
      <c r="BH339" s="225">
        <f t="shared" si="92"/>
        <v>0</v>
      </c>
      <c r="BI339" s="214">
        <f t="shared" si="93"/>
        <v>0</v>
      </c>
      <c r="BJ339" s="215">
        <f t="shared" si="94"/>
        <v>0</v>
      </c>
      <c r="BK339" s="215">
        <f t="shared" si="95"/>
        <v>0</v>
      </c>
      <c r="BL339" s="216">
        <f t="shared" si="96"/>
        <v>0</v>
      </c>
      <c r="BM339" s="225">
        <f t="shared" si="97"/>
        <v>0</v>
      </c>
      <c r="BN339" s="225"/>
      <c r="BO339" s="217"/>
      <c r="BP339" s="218">
        <f t="shared" si="98"/>
        <v>0</v>
      </c>
    </row>
    <row r="340" spans="1:68" ht="16.2" thickBot="1">
      <c r="A340" s="173">
        <v>333</v>
      </c>
      <c r="B340" s="173" t="s">
        <v>223</v>
      </c>
      <c r="C340" s="203">
        <v>190</v>
      </c>
      <c r="D340" s="173" t="s">
        <v>232</v>
      </c>
      <c r="E340" s="173" t="s">
        <v>234</v>
      </c>
      <c r="F340" s="203">
        <f>VLOOKUP(PrévisionBoris[[#This Row],[Spec]],TabModelSpecs[[ModelSpec]:[Price]],2,FALSE)</f>
        <v>120</v>
      </c>
      <c r="G340" s="173" t="s">
        <v>463</v>
      </c>
      <c r="H340" s="235">
        <f>SUMIFS(LstMachines[Nbre],LstMachines[Model-Spec],PrévisionBoris[[#This Row],[Spec]],LstMachines[Status],PrévisionBoris[[#This Row],[Status]],LstMachines[MoisLivr],H$1)</f>
        <v>0</v>
      </c>
      <c r="I340" s="236">
        <f>SUMIFS(LstMachines[Nbre],LstMachines[Model-Spec],PrévisionBoris[[#This Row],[Spec]],LstMachines[Status],PrévisionBoris[[#This Row],[Status]],LstMachines[MoisLivr],I$1)</f>
        <v>0</v>
      </c>
      <c r="J340" s="237">
        <f>SUMIFS(LstMachines[Nbre],LstMachines[Model-Spec],PrévisionBoris[[#This Row],[Spec]],LstMachines[Status],PrévisionBoris[[#This Row],[Status]],LstMachines[MoisLivr],J$1)</f>
        <v>0</v>
      </c>
      <c r="K340" s="235">
        <f>SUMIFS(LstMachines[Nbre],LstMachines[Model-Spec],PrévisionBoris[[#This Row],[Spec]],LstMachines[Status],PrévisionBoris[[#This Row],[Status]],LstMachines[MoisLivr],K$1)</f>
        <v>0</v>
      </c>
      <c r="L340" s="236">
        <f>SUMIFS(LstMachines[Nbre],LstMachines[Model-Spec],PrévisionBoris[[#This Row],[Spec]],LstMachines[Status],PrévisionBoris[[#This Row],[Status]],LstMachines[MoisLivr],L$1)</f>
        <v>0</v>
      </c>
      <c r="M340" s="237">
        <f>SUMIFS(LstMachines[Nbre],LstMachines[Model-Spec],PrévisionBoris[[#This Row],[Spec]],LstMachines[Status],PrévisionBoris[[#This Row],[Status]],LstMachines[MoisLivr],M$1)</f>
        <v>0</v>
      </c>
      <c r="N340" s="235">
        <f>SUMIFS(LstMachines[Nbre],LstMachines[Model-Spec],PrévisionBoris[[#This Row],[Spec]],LstMachines[Status],PrévisionBoris[[#This Row],[Status]],LstMachines[MoisLivr],N$1)</f>
        <v>0</v>
      </c>
      <c r="O340" s="236">
        <f>SUMIFS(LstMachines[Nbre],LstMachines[Model-Spec],PrévisionBoris[[#This Row],[Spec]],LstMachines[Status],PrévisionBoris[[#This Row],[Status]],LstMachines[MoisLivr],O$1)</f>
        <v>0</v>
      </c>
      <c r="P340" s="237">
        <f>SUMIFS(LstMachines[Nbre],LstMachines[Model-Spec],PrévisionBoris[[#This Row],[Spec]],LstMachines[Status],PrévisionBoris[[#This Row],[Status]],LstMachines[MoisLivr],P$1)</f>
        <v>0</v>
      </c>
      <c r="Q340" s="238">
        <f>SUMIFS(LstMachines[Nbre],LstMachines[Model-Spec],PrévisionBoris[[#This Row],[Spec]],LstMachines[Status],PrévisionBoris[[#This Row],[Status]],LstMachines[MoisLivr],Q$1)</f>
        <v>0</v>
      </c>
      <c r="R340" s="236">
        <f>SUMIFS(LstMachines[Nbre],LstMachines[Model-Spec],PrévisionBoris[[#This Row],[Spec]],LstMachines[Status],PrévisionBoris[[#This Row],[Status]],LstMachines[MoisLivr],R$1)</f>
        <v>0</v>
      </c>
      <c r="S340" s="236">
        <f>SUMIFS(LstMachines[Nbre],LstMachines[Model-Spec],PrévisionBoris[[#This Row],[Spec]],LstMachines[Status],PrévisionBoris[[#This Row],[Status]],LstMachines[MoisLivr],S$1)</f>
        <v>0</v>
      </c>
      <c r="T340" s="235">
        <f>SUMIFS(LstMachines[Nbre],LstMachines[Model-Spec],PrévisionBoris[[#This Row],[Spec]],LstMachines[Status],PrévisionBoris[[#This Row],[Status]],LstMachines[MoisLivr],T$1)</f>
        <v>0</v>
      </c>
      <c r="U340" s="236">
        <f>SUMIFS(LstMachines[Nbre],LstMachines[Model-Spec],PrévisionBoris[[#This Row],[Spec]],LstMachines[Status],PrévisionBoris[[#This Row],[Status]],LstMachines[MoisLivr],U$1)</f>
        <v>0</v>
      </c>
      <c r="V340" s="236">
        <f>SUMIFS(LstMachines[Nbre],LstMachines[Model-Spec],PrévisionBoris[[#This Row],[Spec]],LstMachines[Status],PrévisionBoris[[#This Row],[Status]],LstMachines[MoisLivr],V$1)</f>
        <v>0</v>
      </c>
      <c r="W340" s="235">
        <f>SUMIFS(LstMachines[Nbre],LstMachines[Model-Spec],PrévisionBoris[[#This Row],[Spec]],LstMachines[Status],PrévisionBoris[[#This Row],[Status]],LstMachines[MoisLivr],W$1)</f>
        <v>0</v>
      </c>
      <c r="X340" s="236">
        <f>SUMIFS(LstMachines[Nbre],LstMachines[Model-Spec],PrévisionBoris[[#This Row],[Spec]],LstMachines[Status],PrévisionBoris[[#This Row],[Status]],LstMachines[MoisLivr],X$1)</f>
        <v>0</v>
      </c>
      <c r="Y340" s="236">
        <f>SUMIFS(LstMachines[Nbre],LstMachines[Model-Spec],PrévisionBoris[[#This Row],[Spec]],LstMachines[Status],PrévisionBoris[[#This Row],[Status]],LstMachines[MoisLivr],Y$1)</f>
        <v>0</v>
      </c>
      <c r="Z340" s="235">
        <f>SUMIFS(LstMachines[Nbre],LstMachines[Model-Spec],PrévisionBoris[[#This Row],[Spec]],LstMachines[Status],PrévisionBoris[[#This Row],[Status]],LstMachines[MoisLivr],Z$1)</f>
        <v>0</v>
      </c>
      <c r="AA340" s="236">
        <f>SUMIFS(LstMachines[Nbre],LstMachines[Model-Spec],PrévisionBoris[[#This Row],[Spec]],LstMachines[Status],PrévisionBoris[[#This Row],[Status]],LstMachines[MoisLivr],AA$1)</f>
        <v>0</v>
      </c>
      <c r="AB340" s="236">
        <f>SUMIFS(LstMachines[Nbre],LstMachines[Model-Spec],PrévisionBoris[[#This Row],[Spec]],LstMachines[Status],PrévisionBoris[[#This Row],[Status]],LstMachines[MoisLivr],AB$1)</f>
        <v>0</v>
      </c>
      <c r="AC340" s="235">
        <f>SUMIFS(LstMachines[Nbre],LstMachines[Model-Spec],PrévisionBoris[[#This Row],[Spec]],LstMachines[Status],PrévisionBoris[[#This Row],[Status]],LstMachines[MoisLivr],AC$1)</f>
        <v>0</v>
      </c>
      <c r="AD340" s="236">
        <f>SUMIFS(LstMachines[Nbre],LstMachines[Model-Spec],PrévisionBoris[[#This Row],[Spec]],LstMachines[Status],PrévisionBoris[[#This Row],[Status]],LstMachines[MoisLivr],AD$1)</f>
        <v>0</v>
      </c>
      <c r="AE340" s="236">
        <f>SUMIFS(LstMachines[Nbre],LstMachines[Model-Spec],PrévisionBoris[[#This Row],[Spec]],LstMachines[Status],PrévisionBoris[[#This Row],[Status]],LstMachines[MoisLivr],AE$1)</f>
        <v>0</v>
      </c>
      <c r="AF340" s="235">
        <f>SUMIFS(LstMachines[Nbre],LstMachines[Model-Spec],PrévisionBoris[[#This Row],[Spec]],LstMachines[Status],PrévisionBoris[[#This Row],[Status]],LstMachines[MoisLivr],AF$1)</f>
        <v>0</v>
      </c>
      <c r="AG340" s="236">
        <f>SUMIFS(LstMachines[Nbre],LstMachines[Model-Spec],PrévisionBoris[[#This Row],[Spec]],LstMachines[Status],PrévisionBoris[[#This Row],[Status]],LstMachines[MoisLivr],AG$1)</f>
        <v>0</v>
      </c>
      <c r="AH340" s="236">
        <f>SUMIFS(LstMachines[Nbre],LstMachines[Model-Spec],PrévisionBoris[[#This Row],[Spec]],LstMachines[Status],PrévisionBoris[[#This Row],[Status]],LstMachines[MoisLivr],AH$1)</f>
        <v>0</v>
      </c>
      <c r="AI340" s="235">
        <f>SUMIFS(LstMachines[Nbre],LstMachines[Model-Spec],PrévisionBoris[[#This Row],[Spec]],LstMachines[Status],PrévisionBoris[[#This Row],[Status]],LstMachines[MoisLivr],AI$1)</f>
        <v>0</v>
      </c>
      <c r="AJ340" s="236">
        <f>SUMIFS(LstMachines[Nbre],LstMachines[Model-Spec],PrévisionBoris[[#This Row],[Spec]],LstMachines[Status],PrévisionBoris[[#This Row],[Status]],LstMachines[MoisLivr],AJ$1)</f>
        <v>0</v>
      </c>
      <c r="AK340" s="236">
        <f>SUMIFS(LstMachines[Nbre],LstMachines[Model-Spec],PrévisionBoris[[#This Row],[Spec]],LstMachines[Status],PrévisionBoris[[#This Row],[Status]],LstMachines[MoisLivr],AK$1)</f>
        <v>0</v>
      </c>
      <c r="AL340" s="235">
        <f>SUMIFS(LstMachines[Nbre],LstMachines[Model-Spec],PrévisionBoris[[#This Row],[Spec]],LstMachines[Status],PrévisionBoris[[#This Row],[Status]],LstMachines[MoisLivr],AL$1)</f>
        <v>0</v>
      </c>
      <c r="AM340" s="236">
        <f>SUMIFS(LstMachines[Nbre],LstMachines[Model-Spec],PrévisionBoris[[#This Row],[Spec]],LstMachines[Status],PrévisionBoris[[#This Row],[Status]],LstMachines[MoisLivr],AM$1)</f>
        <v>0</v>
      </c>
      <c r="AN340" s="236">
        <f>SUMIFS(LstMachines[Nbre],LstMachines[Model-Spec],PrévisionBoris[[#This Row],[Spec]],LstMachines[Status],PrévisionBoris[[#This Row],[Status]],LstMachines[MoisLivr],AN$1)</f>
        <v>0</v>
      </c>
      <c r="AO340" s="235">
        <f>SUMIFS(LstMachines[Nbre],LstMachines[Model-Spec],PrévisionBoris[[#This Row],[Spec]],LstMachines[Status],PrévisionBoris[[#This Row],[Status]],LstMachines[MoisLivr],AO$1)</f>
        <v>0</v>
      </c>
      <c r="AP340" s="236">
        <f>SUMIFS(LstMachines[Nbre],LstMachines[Model-Spec],PrévisionBoris[[#This Row],[Spec]],LstMachines[Status],PrévisionBoris[[#This Row],[Status]],LstMachines[MoisLivr],AP$1)</f>
        <v>0</v>
      </c>
      <c r="AQ340" s="236">
        <f>SUMIFS(LstMachines[Nbre],LstMachines[Model-Spec],PrévisionBoris[[#This Row],[Spec]],LstMachines[Status],PrévisionBoris[[#This Row],[Status]],LstMachines[MoisLivr],AQ$1)</f>
        <v>0</v>
      </c>
      <c r="AR340" s="235">
        <f>SUMIFS(LstMachines[Nbre],LstMachines[Model-Spec],PrévisionBoris[[#This Row],[Spec]],LstMachines[Status],PrévisionBoris[[#This Row],[Status]],LstMachines[MoisLivr],AR$1)</f>
        <v>0</v>
      </c>
      <c r="AS340" s="236">
        <f>SUMIFS(LstMachines[Nbre],LstMachines[Model-Spec],PrévisionBoris[[#This Row],[Spec]],LstMachines[Status],PrévisionBoris[[#This Row],[Status]],LstMachines[MoisLivr],AS$1)</f>
        <v>0</v>
      </c>
      <c r="AT340" s="236">
        <f>SUMIFS(LstMachines[Nbre],LstMachines[Model-Spec],PrévisionBoris[[#This Row],[Spec]],LstMachines[Status],PrévisionBoris[[#This Row],[Status]],LstMachines[MoisLivr],AT$1)</f>
        <v>0</v>
      </c>
      <c r="AU340" s="235">
        <f>SUMIFS(LstMachines[Nbre],LstMachines[Model-Spec],PrévisionBoris[[#This Row],[Spec]],LstMachines[Status],PrévisionBoris[[#This Row],[Status]],LstMachines[MoisLivr],AU$1)</f>
        <v>0</v>
      </c>
      <c r="AV340" s="239">
        <f>SUMIFS(LstMachines[Nbre],LstMachines[Model-Spec],PrévisionBoris[[#This Row],[Spec]],LstMachines[Status],PrévisionBoris[[#This Row],[Status]],LstMachines[MoisLivr],AV$1)</f>
        <v>0</v>
      </c>
      <c r="AW340" s="231">
        <f>SUMIFS(LstMachines[Nbre],LstMachines[Model-Spec],PrévisionBoris[[#This Row],[Spec]],LstMachines[Status],PrévisionBoris[[#This Row],[Status]],LstMachines[MoisLivr],AW$1)</f>
        <v>0</v>
      </c>
      <c r="AX340" s="240"/>
      <c r="AY340" s="211">
        <f t="shared" si="83"/>
        <v>0</v>
      </c>
      <c r="AZ340" s="212">
        <f t="shared" si="84"/>
        <v>0</v>
      </c>
      <c r="BA340" s="212">
        <f t="shared" si="85"/>
        <v>0</v>
      </c>
      <c r="BB340" s="213">
        <f t="shared" si="86"/>
        <v>0</v>
      </c>
      <c r="BC340" s="225">
        <f t="shared" si="87"/>
        <v>0</v>
      </c>
      <c r="BD340" s="211">
        <f t="shared" si="88"/>
        <v>0</v>
      </c>
      <c r="BE340" s="212">
        <f t="shared" si="89"/>
        <v>0</v>
      </c>
      <c r="BF340" s="212">
        <f t="shared" si="90"/>
        <v>0</v>
      </c>
      <c r="BG340" s="213">
        <f t="shared" si="91"/>
        <v>0</v>
      </c>
      <c r="BH340" s="225">
        <f t="shared" si="92"/>
        <v>0</v>
      </c>
      <c r="BI340" s="214">
        <f t="shared" si="93"/>
        <v>0</v>
      </c>
      <c r="BJ340" s="215">
        <f t="shared" si="94"/>
        <v>0</v>
      </c>
      <c r="BK340" s="215">
        <f t="shared" si="95"/>
        <v>0</v>
      </c>
      <c r="BL340" s="216">
        <f t="shared" si="96"/>
        <v>0</v>
      </c>
      <c r="BM340" s="225">
        <f t="shared" si="97"/>
        <v>0</v>
      </c>
      <c r="BN340" s="225"/>
      <c r="BO340" s="217"/>
      <c r="BP340" s="218">
        <f t="shared" si="98"/>
        <v>0</v>
      </c>
    </row>
    <row r="341" spans="1:68">
      <c r="AX341" s="153"/>
    </row>
    <row r="342" spans="1:68">
      <c r="AX342" s="153"/>
    </row>
    <row r="343" spans="1:68">
      <c r="BP343" s="141"/>
    </row>
  </sheetData>
  <mergeCells count="17">
    <mergeCell ref="K5:V5"/>
    <mergeCell ref="K6:M6"/>
    <mergeCell ref="N6:P6"/>
    <mergeCell ref="H4:J4"/>
    <mergeCell ref="H6:J6"/>
    <mergeCell ref="AR4:AT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AO4:AQ4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[2]Données!#REF!</xm:f>
          </x14:formula1>
          <xm:sqref>E71:E82</xm:sqref>
        </x14:dataValidation>
        <x14:dataValidation type="list" allowBlank="1" showInputMessage="1" showErrorMessage="1">
          <x14:formula1>
            <xm:f>[2]Données!#REF!</xm:f>
          </x14:formula1>
          <xm:sqref>G2:G7 G341:G1048576 B1:B1048576</xm:sqref>
        </x14:dataValidation>
        <x14:dataValidation type="list" allowBlank="1" showInputMessage="1" showErrorMessage="1">
          <x14:formula1>
            <xm:f>Data!$L$23:$L$28</xm:f>
          </x14:formula1>
          <xm:sqref>G8:G340</xm:sqref>
        </x14:dataValidation>
        <x14:dataValidation type="list" allowBlank="1" showInputMessage="1" showErrorMessage="1">
          <x14:formula1>
            <xm:f>Data!$G$3:$G$117</xm:f>
          </x14:formula1>
          <xm:sqref>D1:D1048576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4:AO64"/>
  <sheetViews>
    <sheetView view="pageBreakPreview" topLeftCell="A2" zoomScaleNormal="130" zoomScaleSheetLayoutView="100" zoomScalePageLayoutView="130" workbookViewId="0">
      <selection activeCell="N29" sqref="N29"/>
    </sheetView>
  </sheetViews>
  <sheetFormatPr baseColWidth="10" defaultColWidth="10.77734375" defaultRowHeight="14.4"/>
  <cols>
    <col min="1" max="1" width="3.33203125" style="2" customWidth="1"/>
    <col min="2" max="2" width="18.109375" style="2" customWidth="1"/>
    <col min="3" max="11" width="7.6640625" style="2" customWidth="1"/>
    <col min="12" max="12" width="11.77734375" style="2" customWidth="1"/>
    <col min="13" max="13" width="7.6640625" style="2" customWidth="1"/>
    <col min="14" max="14" width="12" style="2" customWidth="1"/>
    <col min="15" max="15" width="11.77734375" style="2" customWidth="1"/>
    <col min="16" max="16" width="11" style="2" customWidth="1"/>
    <col min="17" max="19" width="11.77734375" style="2" customWidth="1"/>
    <col min="20" max="20" width="14" style="2" customWidth="1"/>
    <col min="21" max="21" width="12" style="2" customWidth="1"/>
    <col min="22" max="22" width="14.44140625" style="2" customWidth="1"/>
    <col min="23" max="23" width="11" style="2" customWidth="1"/>
    <col min="24" max="24" width="13.44140625" style="2" customWidth="1"/>
    <col min="25" max="25" width="11.44140625" style="2" customWidth="1"/>
    <col min="26" max="26" width="13.77734375" style="2" customWidth="1"/>
    <col min="27" max="27" width="11.44140625" style="2" customWidth="1"/>
    <col min="28" max="28" width="13.77734375" style="2" customWidth="1"/>
    <col min="29" max="29" width="11.44140625" style="2" customWidth="1"/>
    <col min="30" max="30" width="13.77734375" style="2" customWidth="1"/>
    <col min="31" max="33" width="11.77734375" style="2" customWidth="1"/>
    <col min="34" max="34" width="2" style="2" customWidth="1"/>
    <col min="35" max="37" width="3" style="2" customWidth="1"/>
    <col min="38" max="38" width="11.77734375" style="2" customWidth="1"/>
    <col min="39" max="40" width="7" style="2" customWidth="1"/>
    <col min="41" max="41" width="11.77734375" style="2" bestFit="1" customWidth="1"/>
    <col min="42" max="16384" width="10.77734375" style="2"/>
  </cols>
  <sheetData>
    <row r="4" spans="12:28">
      <c r="M4" s="125"/>
      <c r="N4" s="126"/>
    </row>
    <row r="5" spans="12:28">
      <c r="M5" s="125"/>
      <c r="N5" s="126"/>
    </row>
    <row r="6" spans="12:28">
      <c r="L6"/>
      <c r="M6" s="125"/>
      <c r="N6" s="126"/>
    </row>
    <row r="7" spans="12:28">
      <c r="L7"/>
      <c r="M7"/>
    </row>
    <row r="8" spans="12:28">
      <c r="L8"/>
      <c r="M8"/>
    </row>
    <row r="12" spans="12:28">
      <c r="AB12" s="2" t="s">
        <v>472</v>
      </c>
    </row>
    <row r="16" spans="12:28" s="1" customFormat="1"/>
    <row r="17" spans="2:41" s="1" customFormat="1"/>
    <row r="19" spans="2:41"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</row>
    <row r="20" spans="2:41">
      <c r="L20" s="2">
        <f>GETPIVOTDATA("Nbre",$B$22)</f>
        <v>48</v>
      </c>
      <c r="R20"/>
      <c r="S20"/>
      <c r="T20"/>
      <c r="U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</row>
    <row r="21" spans="2:41">
      <c r="B21" s="331" t="str">
        <f ca="1">MID(CELL("filename",B1),FIND("[",CELL("filename",B1))+1,SUM(FIND({"[";"]"},CELL("filename",B1))*{-1;1})-6) &amp; " / " &amp;  RIGHT(CELL("nomfichier",A1),LEN(CELL("nomfichier",A1))-FIND("]",CELL("nomfichier",A1)))</f>
        <v>20180615HCSF Dealer Business Plan - ESM TP v4-0 XMTP / Nombre</v>
      </c>
      <c r="J21" s="332" t="s">
        <v>561</v>
      </c>
      <c r="K21" s="331" t="s">
        <v>558</v>
      </c>
      <c r="R21"/>
      <c r="S21"/>
      <c r="T21"/>
      <c r="U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</row>
    <row r="22" spans="2:41" s="1" customFormat="1">
      <c r="B22" s="133" t="s">
        <v>502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</row>
    <row r="23" spans="2:41">
      <c r="C23" s="2" t="s">
        <v>552</v>
      </c>
      <c r="D23" s="2" t="s">
        <v>553</v>
      </c>
      <c r="E23" s="2" t="s">
        <v>554</v>
      </c>
      <c r="F23" s="2" t="s">
        <v>555</v>
      </c>
      <c r="G23" s="2" t="s">
        <v>556</v>
      </c>
      <c r="H23" s="2" t="s">
        <v>557</v>
      </c>
      <c r="I23" s="2" t="s">
        <v>550</v>
      </c>
      <c r="J23" s="2" t="s">
        <v>551</v>
      </c>
      <c r="K23" s="2" t="s">
        <v>567</v>
      </c>
      <c r="L23" s="2" t="s">
        <v>253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</row>
    <row r="24" spans="2:41">
      <c r="B24" s="125" t="s">
        <v>75</v>
      </c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</row>
    <row r="25" spans="2:41">
      <c r="B25" s="367">
        <v>19</v>
      </c>
      <c r="C25" s="126">
        <v>2</v>
      </c>
      <c r="D25" s="126">
        <v>1</v>
      </c>
      <c r="E25" s="126">
        <v>1</v>
      </c>
      <c r="F25" s="126">
        <v>1</v>
      </c>
      <c r="G25" s="126">
        <v>1</v>
      </c>
      <c r="H25" s="126">
        <v>1</v>
      </c>
      <c r="I25" s="126">
        <v>1</v>
      </c>
      <c r="J25" s="126">
        <v>1</v>
      </c>
      <c r="K25" s="126">
        <v>1</v>
      </c>
      <c r="L25" s="126">
        <v>10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</row>
    <row r="26" spans="2:41">
      <c r="B26" s="367">
        <v>26</v>
      </c>
      <c r="C26" s="126"/>
      <c r="D26" s="126">
        <v>3</v>
      </c>
      <c r="E26" s="126"/>
      <c r="F26" s="126">
        <v>1</v>
      </c>
      <c r="G26" s="126">
        <v>1</v>
      </c>
      <c r="H26" s="126">
        <v>2</v>
      </c>
      <c r="I26" s="126">
        <v>1</v>
      </c>
      <c r="J26" s="126">
        <v>2</v>
      </c>
      <c r="K26" s="126">
        <v>1</v>
      </c>
      <c r="L26" s="126">
        <v>11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</row>
    <row r="27" spans="2:41">
      <c r="B27" s="367">
        <v>65</v>
      </c>
      <c r="C27" s="126"/>
      <c r="D27" s="126">
        <v>1</v>
      </c>
      <c r="E27" s="126">
        <v>1</v>
      </c>
      <c r="F27" s="126">
        <v>1</v>
      </c>
      <c r="G27" s="126"/>
      <c r="H27" s="126">
        <v>1</v>
      </c>
      <c r="I27" s="126"/>
      <c r="J27" s="126">
        <v>1</v>
      </c>
      <c r="K27" s="126"/>
      <c r="L27" s="126">
        <v>5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</row>
    <row r="28" spans="2:41">
      <c r="B28" s="125" t="s">
        <v>563</v>
      </c>
      <c r="C28" s="126">
        <v>2</v>
      </c>
      <c r="D28" s="126">
        <v>5</v>
      </c>
      <c r="E28" s="126">
        <v>2</v>
      </c>
      <c r="F28" s="126">
        <v>3</v>
      </c>
      <c r="G28" s="126">
        <v>2</v>
      </c>
      <c r="H28" s="126">
        <v>4</v>
      </c>
      <c r="I28" s="126">
        <v>2</v>
      </c>
      <c r="J28" s="126">
        <v>4</v>
      </c>
      <c r="K28" s="126">
        <v>2</v>
      </c>
      <c r="L28" s="126">
        <v>26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</row>
    <row r="29" spans="2:41">
      <c r="B29" s="125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</row>
    <row r="30" spans="2:41">
      <c r="B30" s="125" t="s">
        <v>262</v>
      </c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</row>
    <row r="31" spans="2:41">
      <c r="B31" s="367">
        <v>85</v>
      </c>
      <c r="C31" s="126"/>
      <c r="D31" s="126"/>
      <c r="E31" s="126"/>
      <c r="F31" s="126">
        <v>2</v>
      </c>
      <c r="G31" s="126">
        <v>1</v>
      </c>
      <c r="H31" s="126">
        <v>1</v>
      </c>
      <c r="I31" s="126">
        <v>1</v>
      </c>
      <c r="J31" s="126">
        <v>1</v>
      </c>
      <c r="K31" s="126">
        <v>2</v>
      </c>
      <c r="L31" s="126">
        <v>8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</row>
    <row r="32" spans="2:41">
      <c r="B32" s="367">
        <v>135</v>
      </c>
      <c r="C32" s="126">
        <v>1</v>
      </c>
      <c r="D32" s="126"/>
      <c r="E32" s="126">
        <v>2</v>
      </c>
      <c r="F32" s="126"/>
      <c r="G32" s="126">
        <v>1</v>
      </c>
      <c r="H32" s="126"/>
      <c r="I32" s="126">
        <v>1</v>
      </c>
      <c r="J32" s="126"/>
      <c r="K32" s="126">
        <v>1</v>
      </c>
      <c r="L32" s="126">
        <v>6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</row>
    <row r="33" spans="2:41">
      <c r="B33" s="367">
        <v>210</v>
      </c>
      <c r="C33" s="126">
        <v>1</v>
      </c>
      <c r="D33" s="126"/>
      <c r="E33" s="126"/>
      <c r="F33" s="126">
        <v>1</v>
      </c>
      <c r="G33" s="126"/>
      <c r="H33" s="126"/>
      <c r="I33" s="126"/>
      <c r="J33" s="126">
        <v>1</v>
      </c>
      <c r="K33" s="126"/>
      <c r="L33" s="126">
        <v>3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</row>
    <row r="34" spans="2:41">
      <c r="B34" s="367">
        <v>225</v>
      </c>
      <c r="C34" s="126"/>
      <c r="D34" s="126">
        <v>1</v>
      </c>
      <c r="E34" s="126"/>
      <c r="F34" s="126">
        <v>1</v>
      </c>
      <c r="G34" s="126"/>
      <c r="H34" s="126">
        <v>3</v>
      </c>
      <c r="I34" s="126"/>
      <c r="J34" s="126"/>
      <c r="K34" s="126"/>
      <c r="L34" s="126">
        <v>5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</row>
    <row r="35" spans="2:41">
      <c r="B35" s="125" t="s">
        <v>562</v>
      </c>
      <c r="C35" s="126">
        <v>2</v>
      </c>
      <c r="D35" s="126">
        <v>1</v>
      </c>
      <c r="E35" s="126">
        <v>2</v>
      </c>
      <c r="F35" s="126">
        <v>4</v>
      </c>
      <c r="G35" s="126">
        <v>2</v>
      </c>
      <c r="H35" s="126">
        <v>4</v>
      </c>
      <c r="I35" s="126">
        <v>2</v>
      </c>
      <c r="J35" s="126">
        <v>2</v>
      </c>
      <c r="K35" s="126">
        <v>3</v>
      </c>
      <c r="L35" s="126">
        <v>22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</row>
    <row r="36" spans="2:41">
      <c r="B36" s="125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</row>
    <row r="37" spans="2:41">
      <c r="B37" s="125" t="s">
        <v>253</v>
      </c>
      <c r="C37" s="126">
        <v>4</v>
      </c>
      <c r="D37" s="126">
        <v>6</v>
      </c>
      <c r="E37" s="126">
        <v>4</v>
      </c>
      <c r="F37" s="126">
        <v>7</v>
      </c>
      <c r="G37" s="126">
        <v>4</v>
      </c>
      <c r="H37" s="126">
        <v>8</v>
      </c>
      <c r="I37" s="126">
        <v>4</v>
      </c>
      <c r="J37" s="126">
        <v>6</v>
      </c>
      <c r="K37" s="126">
        <v>5</v>
      </c>
      <c r="L37" s="126">
        <v>48</v>
      </c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</row>
    <row r="38" spans="2:41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</row>
    <row r="39" spans="2:41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</row>
    <row r="40" spans="2:41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</row>
    <row r="41" spans="2:41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</row>
    <row r="42" spans="2:41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2:41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2:41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2:41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2:41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2:41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2:41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2:15"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2:15"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2:15"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2:15"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2:15"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2:15"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2:15"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2:15"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2:15"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2:15"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2:15"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2:15"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2:15"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2:15"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2:15">
      <c r="B63"/>
      <c r="C63"/>
      <c r="D63"/>
      <c r="E63"/>
      <c r="F63"/>
      <c r="G63"/>
      <c r="H63"/>
      <c r="I63"/>
      <c r="J63"/>
      <c r="K63"/>
      <c r="L63"/>
    </row>
    <row r="64" spans="2:15">
      <c r="B64"/>
      <c r="C64"/>
      <c r="D64"/>
      <c r="E64"/>
      <c r="F64"/>
      <c r="G64"/>
      <c r="H64"/>
      <c r="I64"/>
      <c r="J64"/>
      <c r="K64"/>
      <c r="L64"/>
    </row>
  </sheetData>
  <printOptions horizontalCentered="1"/>
  <pageMargins left="0.25" right="0.25" top="0.75" bottom="0.75" header="0.3" footer="0.3"/>
  <pageSetup paperSize="9" orientation="landscape" horizontalDpi="300" verticalDpi="300" r:id="rId2"/>
  <headerFooter>
    <oddHeader>&amp;C&amp;F / &amp;A</oddHeader>
    <oddFooter>&amp;L&amp;"-,Gras"Confidentiel ESM TP&amp;C&amp;D&amp;RPage &amp;P</oddFooter>
  </headerFooter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2:AO64"/>
  <sheetViews>
    <sheetView workbookViewId="0">
      <selection activeCell="M18" sqref="M18"/>
    </sheetView>
  </sheetViews>
  <sheetFormatPr baseColWidth="10" defaultColWidth="10.77734375" defaultRowHeight="14.4"/>
  <cols>
    <col min="1" max="1" width="2.77734375" style="2" customWidth="1"/>
    <col min="2" max="2" width="16.44140625" style="2" customWidth="1"/>
    <col min="3" max="11" width="7.6640625" style="2" customWidth="1"/>
    <col min="12" max="12" width="11.77734375" style="2" customWidth="1"/>
    <col min="13" max="14" width="7.77734375" style="2" customWidth="1"/>
    <col min="15" max="15" width="11.77734375" style="2" customWidth="1"/>
    <col min="16" max="16" width="9.33203125" style="2" customWidth="1"/>
    <col min="17" max="17" width="9.109375" style="2" customWidth="1"/>
    <col min="18" max="18" width="11.77734375" style="2" customWidth="1"/>
    <col min="19" max="19" width="14.44140625" style="2" customWidth="1"/>
    <col min="20" max="20" width="16.44140625" style="2" customWidth="1"/>
    <col min="21" max="21" width="14.44140625" style="2" customWidth="1"/>
    <col min="22" max="22" width="16.44140625" style="2" customWidth="1"/>
    <col min="23" max="23" width="14.44140625" style="2" customWidth="1"/>
    <col min="24" max="24" width="16.44140625" style="2" customWidth="1"/>
    <col min="25" max="25" width="14.44140625" style="2" customWidth="1"/>
    <col min="26" max="26" width="16.44140625" style="2" customWidth="1"/>
    <col min="27" max="27" width="14.44140625" style="2" customWidth="1"/>
    <col min="28" max="28" width="16.44140625" style="2" customWidth="1"/>
    <col min="29" max="29" width="14.44140625" style="2" customWidth="1"/>
    <col min="30" max="30" width="16.44140625" style="2" customWidth="1"/>
    <col min="31" max="31" width="14.44140625" style="2" customWidth="1"/>
    <col min="32" max="32" width="16.44140625" style="2" customWidth="1"/>
    <col min="33" max="33" width="19.33203125" style="2" customWidth="1"/>
    <col min="34" max="34" width="21.33203125" style="2" customWidth="1"/>
    <col min="35" max="37" width="3" style="2" customWidth="1"/>
    <col min="38" max="38" width="11.77734375" style="2" customWidth="1"/>
    <col min="39" max="40" width="7" style="2" customWidth="1"/>
    <col min="41" max="41" width="11.77734375" style="2" bestFit="1" customWidth="1"/>
    <col min="42" max="16384" width="10.77734375" style="2"/>
  </cols>
  <sheetData>
    <row r="12" spans="28:28">
      <c r="AB12" s="2" t="s">
        <v>472</v>
      </c>
    </row>
    <row r="16" spans="28:28" s="1" customFormat="1"/>
    <row r="17" spans="2:41" s="1" customFormat="1"/>
    <row r="19" spans="2:41"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</row>
    <row r="20" spans="2:41">
      <c r="B20"/>
      <c r="C20"/>
      <c r="R20"/>
      <c r="S20"/>
      <c r="T20"/>
      <c r="U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</row>
    <row r="21" spans="2:41">
      <c r="B21" s="331" t="str">
        <f ca="1">MID(CELL("filename",B1),FIND("[",CELL("filename",B1))+1,SUM(FIND({"[";"]"},CELL("filename",B1))*{-1;1})-6) &amp; " / " &amp;  RIGHT(CELL("nomfichier",A1),LEN(CELL("nomfichier",A1))-FIND("]",CELL("nomfichier",A1)))</f>
        <v>20180615HCSF Dealer Business Plan - ESM TP v4-0 XMTP / Budget</v>
      </c>
      <c r="J21" s="332" t="s">
        <v>560</v>
      </c>
      <c r="K21" s="331" t="s">
        <v>559</v>
      </c>
      <c r="R21"/>
      <c r="S21"/>
      <c r="T21"/>
      <c r="U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</row>
    <row r="22" spans="2:41" s="1" customFormat="1">
      <c r="B22" s="133" t="s">
        <v>471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</row>
    <row r="23" spans="2:41">
      <c r="C23" s="2" t="s">
        <v>552</v>
      </c>
      <c r="D23" s="2" t="s">
        <v>553</v>
      </c>
      <c r="E23" s="2" t="s">
        <v>554</v>
      </c>
      <c r="F23" s="2" t="s">
        <v>555</v>
      </c>
      <c r="G23" s="2" t="s">
        <v>556</v>
      </c>
      <c r="H23" s="2" t="s">
        <v>557</v>
      </c>
      <c r="I23" s="2" t="s">
        <v>550</v>
      </c>
      <c r="J23" s="2" t="s">
        <v>551</v>
      </c>
      <c r="K23" s="2" t="s">
        <v>567</v>
      </c>
      <c r="L23" s="269" t="s">
        <v>253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</row>
    <row r="24" spans="2:41">
      <c r="B24" s="125" t="s">
        <v>75</v>
      </c>
      <c r="C24" s="126">
        <v>36</v>
      </c>
      <c r="D24" s="126">
        <v>129</v>
      </c>
      <c r="E24" s="126">
        <v>63</v>
      </c>
      <c r="F24" s="126">
        <v>85</v>
      </c>
      <c r="G24" s="126">
        <v>40</v>
      </c>
      <c r="H24" s="126">
        <v>107</v>
      </c>
      <c r="I24" s="126">
        <v>40</v>
      </c>
      <c r="J24" s="126">
        <v>107</v>
      </c>
      <c r="K24" s="126">
        <v>40</v>
      </c>
      <c r="L24" s="126">
        <v>647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</row>
    <row r="25" spans="2:41">
      <c r="B25" s="125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</row>
    <row r="26" spans="2:41">
      <c r="B26" s="125" t="s">
        <v>262</v>
      </c>
      <c r="C26" s="126">
        <v>223</v>
      </c>
      <c r="D26" s="126">
        <v>128</v>
      </c>
      <c r="E26" s="126">
        <v>210</v>
      </c>
      <c r="F26" s="126">
        <v>374</v>
      </c>
      <c r="G26" s="126">
        <v>169</v>
      </c>
      <c r="H26" s="126">
        <v>448</v>
      </c>
      <c r="I26" s="126">
        <v>169</v>
      </c>
      <c r="J26" s="126">
        <v>182</v>
      </c>
      <c r="K26" s="126">
        <v>233</v>
      </c>
      <c r="L26" s="126">
        <v>2136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</row>
    <row r="27" spans="2:41">
      <c r="B27" s="125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</row>
    <row r="28" spans="2:41">
      <c r="B28" s="382" t="s">
        <v>253</v>
      </c>
      <c r="C28" s="383">
        <v>259</v>
      </c>
      <c r="D28" s="383">
        <v>257</v>
      </c>
      <c r="E28" s="383">
        <v>273</v>
      </c>
      <c r="F28" s="383">
        <v>459</v>
      </c>
      <c r="G28" s="383">
        <v>209</v>
      </c>
      <c r="H28" s="383">
        <v>555</v>
      </c>
      <c r="I28" s="383">
        <v>209</v>
      </c>
      <c r="J28" s="383">
        <v>289</v>
      </c>
      <c r="K28" s="383">
        <v>273</v>
      </c>
      <c r="L28" s="383">
        <v>2783</v>
      </c>
      <c r="M28" s="384"/>
      <c r="N28" s="384"/>
      <c r="O28" s="384"/>
      <c r="P28" s="384"/>
      <c r="Q28" s="384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</row>
    <row r="29" spans="2:41" ht="15" thickBot="1">
      <c r="B29" s="384"/>
      <c r="C29" s="384"/>
      <c r="D29" s="384"/>
      <c r="E29" s="384"/>
      <c r="F29" s="384"/>
      <c r="G29" s="384"/>
      <c r="H29" s="384"/>
      <c r="I29" s="384"/>
      <c r="J29" s="384"/>
      <c r="K29" s="384"/>
      <c r="L29" s="384"/>
      <c r="M29" s="384"/>
      <c r="N29" s="384"/>
      <c r="O29" s="384"/>
      <c r="P29" s="384"/>
      <c r="Q29" s="384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</row>
    <row r="30" spans="2:41" ht="15" thickBot="1">
      <c r="B30" s="385" t="s">
        <v>569</v>
      </c>
      <c r="C30" s="381">
        <f>C28</f>
        <v>259</v>
      </c>
      <c r="D30" s="381">
        <f t="shared" ref="D30:K30" si="0">D28</f>
        <v>257</v>
      </c>
      <c r="E30" s="381">
        <f t="shared" si="0"/>
        <v>273</v>
      </c>
      <c r="F30" s="381">
        <f t="shared" si="0"/>
        <v>459</v>
      </c>
      <c r="G30" s="381">
        <f t="shared" si="0"/>
        <v>209</v>
      </c>
      <c r="H30" s="381">
        <f t="shared" si="0"/>
        <v>555</v>
      </c>
      <c r="I30" s="381">
        <f t="shared" si="0"/>
        <v>209</v>
      </c>
      <c r="J30" s="381">
        <f t="shared" si="0"/>
        <v>289</v>
      </c>
      <c r="K30" s="381">
        <f t="shared" si="0"/>
        <v>273</v>
      </c>
      <c r="L30" s="381"/>
      <c r="M30" s="381"/>
      <c r="N30" s="381"/>
      <c r="O30" s="381"/>
      <c r="P30" s="384"/>
      <c r="Q30" s="384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</row>
    <row r="31" spans="2:41" ht="15" thickBot="1">
      <c r="B31" s="385" t="s">
        <v>570</v>
      </c>
      <c r="C31" s="381"/>
      <c r="D31" s="381"/>
      <c r="E31" s="381">
        <f>C30</f>
        <v>259</v>
      </c>
      <c r="F31" s="381">
        <f t="shared" ref="F31:M31" si="1">D30</f>
        <v>257</v>
      </c>
      <c r="G31" s="381">
        <f t="shared" si="1"/>
        <v>273</v>
      </c>
      <c r="H31" s="381">
        <f t="shared" si="1"/>
        <v>459</v>
      </c>
      <c r="I31" s="381">
        <f t="shared" si="1"/>
        <v>209</v>
      </c>
      <c r="J31" s="381">
        <f t="shared" si="1"/>
        <v>555</v>
      </c>
      <c r="K31" s="381">
        <f t="shared" si="1"/>
        <v>209</v>
      </c>
      <c r="L31" s="381">
        <f t="shared" si="1"/>
        <v>289</v>
      </c>
      <c r="M31" s="381">
        <f t="shared" si="1"/>
        <v>273</v>
      </c>
      <c r="N31" s="381"/>
      <c r="O31" s="381"/>
      <c r="P31" s="385"/>
      <c r="Q31" s="384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</row>
    <row r="32" spans="2:41" ht="15" thickBot="1">
      <c r="B32" s="2" t="s">
        <v>571</v>
      </c>
      <c r="C32" s="381"/>
      <c r="D32" s="381"/>
      <c r="E32" s="381"/>
      <c r="F32" s="381"/>
      <c r="G32" s="381">
        <f t="shared" ref="G32:O32" si="2">C30 * $B$34</f>
        <v>207.20000000000002</v>
      </c>
      <c r="H32" s="381">
        <f t="shared" si="2"/>
        <v>205.60000000000002</v>
      </c>
      <c r="I32" s="381">
        <f t="shared" si="2"/>
        <v>218.4</v>
      </c>
      <c r="J32" s="381">
        <f t="shared" si="2"/>
        <v>367.20000000000005</v>
      </c>
      <c r="K32" s="381">
        <f t="shared" si="2"/>
        <v>167.20000000000002</v>
      </c>
      <c r="L32" s="381">
        <f t="shared" si="2"/>
        <v>444</v>
      </c>
      <c r="M32" s="381">
        <f t="shared" si="2"/>
        <v>167.20000000000002</v>
      </c>
      <c r="N32" s="381">
        <f t="shared" si="2"/>
        <v>231.20000000000002</v>
      </c>
      <c r="O32" s="381">
        <f t="shared" si="2"/>
        <v>218.4</v>
      </c>
      <c r="P32" s="384"/>
      <c r="Q32" s="384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</row>
    <row r="33" spans="2:41" ht="15" thickBot="1">
      <c r="B33" s="380" t="s">
        <v>568</v>
      </c>
      <c r="C33" s="381"/>
      <c r="D33" s="381"/>
      <c r="E33" s="381">
        <f t="shared" ref="E33:F33" si="3">C31+D31+E31-E32</f>
        <v>259</v>
      </c>
      <c r="F33" s="381">
        <f t="shared" si="3"/>
        <v>516</v>
      </c>
      <c r="G33" s="381">
        <f>E31+F31+G31-G32</f>
        <v>581.79999999999995</v>
      </c>
      <c r="H33" s="381">
        <f t="shared" ref="H33:K33" si="4">F31+G31+H31-H32</f>
        <v>783.4</v>
      </c>
      <c r="I33" s="381">
        <f t="shared" si="4"/>
        <v>722.6</v>
      </c>
      <c r="J33" s="381">
        <f t="shared" si="4"/>
        <v>855.8</v>
      </c>
      <c r="K33" s="381">
        <f t="shared" si="4"/>
        <v>805.8</v>
      </c>
      <c r="L33" s="381">
        <f t="shared" ref="L33" si="5">J31+K31+L31-L32</f>
        <v>609</v>
      </c>
      <c r="M33" s="381">
        <f t="shared" ref="M33" si="6">K31+L31+M31-M32</f>
        <v>603.79999999999995</v>
      </c>
      <c r="N33" s="381">
        <f t="shared" ref="N33" si="7">L31+M31+N31-N32</f>
        <v>330.79999999999995</v>
      </c>
      <c r="O33" s="381">
        <f t="shared" ref="O33" si="8">M31+N31+O31-O32</f>
        <v>54.599999999999994</v>
      </c>
      <c r="P33" s="384"/>
      <c r="Q33" s="384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</row>
    <row r="34" spans="2:41">
      <c r="B34" s="386">
        <v>0.8</v>
      </c>
      <c r="C34" s="384"/>
      <c r="D34" s="384"/>
      <c r="E34" s="384"/>
      <c r="F34" s="384"/>
      <c r="G34" s="384"/>
      <c r="H34" s="384"/>
      <c r="I34" s="384"/>
      <c r="J34" s="384"/>
      <c r="K34" s="384"/>
      <c r="L34" s="384"/>
      <c r="M34" s="384"/>
      <c r="N34" s="384"/>
      <c r="O34" s="384"/>
      <c r="P34" s="384"/>
      <c r="Q34" s="38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</row>
    <row r="35" spans="2:41">
      <c r="B35" s="384"/>
      <c r="C35" s="384"/>
      <c r="D35" s="384"/>
      <c r="E35" s="384"/>
      <c r="F35" s="384"/>
      <c r="G35" s="384"/>
      <c r="H35" s="384"/>
      <c r="I35" s="384"/>
      <c r="J35" s="384"/>
      <c r="K35" s="384"/>
      <c r="L35" s="384"/>
      <c r="M35" s="384"/>
      <c r="N35" s="384"/>
      <c r="O35" s="384"/>
      <c r="P35" s="384"/>
      <c r="Q35" s="384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</row>
    <row r="36" spans="2:41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</row>
    <row r="37" spans="2:41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</row>
    <row r="38" spans="2:41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</row>
    <row r="39" spans="2:41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2:41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2:41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2:41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2:41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2:41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2:41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2:41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2:41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2:41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2:34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2:34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2:34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2:34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2:34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2:34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2:34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 spans="2:34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 spans="2:34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</row>
    <row r="58" spans="2:34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 spans="2:34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</row>
    <row r="60" spans="2:34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2:34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2:34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2:34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2:34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</sheetData>
  <printOptions horizontalCentered="1"/>
  <pageMargins left="0.25" right="0.25" top="0.75" bottom="0.75" header="0.3" footer="0.3"/>
  <pageSetup paperSize="9" orientation="landscape" horizontalDpi="300" verticalDpi="300" r:id="rId2"/>
  <headerFooter>
    <oddHeader>&amp;C&amp;F / &amp;A</oddHeader>
    <oddFooter>&amp;L&amp;"-,Gras" Confidentiel&amp;C&amp;D&amp;RPage &amp;P</oddFooter>
  </headerFooter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Y39"/>
  <sheetViews>
    <sheetView workbookViewId="0">
      <selection activeCell="S7" sqref="S7:V7"/>
    </sheetView>
  </sheetViews>
  <sheetFormatPr baseColWidth="10" defaultColWidth="10.77734375" defaultRowHeight="15.6"/>
  <cols>
    <col min="1" max="1" width="3" style="75" customWidth="1"/>
    <col min="2" max="2" width="10.33203125" style="74" customWidth="1"/>
    <col min="3" max="22" width="6.33203125" style="74" customWidth="1"/>
    <col min="23" max="33" width="10.33203125" style="74" customWidth="1"/>
    <col min="34" max="70" width="10.77734375" style="74" customWidth="1"/>
    <col min="71" max="16384" width="10.77734375" style="74"/>
  </cols>
  <sheetData>
    <row r="2" spans="2:22">
      <c r="B2" s="341" t="str">
        <f ca="1">MID(CELL("filename",B1),FIND("[",CELL("filename",B1))+1,SUM(FIND({"[";"]"},CELL("filename",B1))*{-1;1})-6) &amp; " / " &amp;  RIGHT(CELL("nomfichier",A1),LEN(CELL("nomfichier",A1))-FIND("]",CELL("nomfichier",A1)))</f>
        <v>20180615HCSF Dealer Business Plan - ESM TP v4-0 XMTP / Prévisionnel</v>
      </c>
      <c r="K2" s="76"/>
      <c r="L2" s="340"/>
    </row>
    <row r="3" spans="2:22">
      <c r="B3" s="333"/>
      <c r="C3" s="428">
        <v>2016</v>
      </c>
      <c r="D3" s="428"/>
      <c r="E3" s="428"/>
      <c r="F3" s="428"/>
      <c r="G3" s="428">
        <v>2017</v>
      </c>
      <c r="H3" s="428"/>
      <c r="I3" s="428"/>
      <c r="J3" s="428"/>
      <c r="K3" s="428">
        <v>2018</v>
      </c>
      <c r="L3" s="428"/>
      <c r="M3" s="428"/>
      <c r="N3" s="428"/>
      <c r="O3" s="428">
        <v>2019</v>
      </c>
      <c r="P3" s="428"/>
      <c r="Q3" s="428"/>
      <c r="R3" s="428"/>
      <c r="S3" s="428">
        <v>2020</v>
      </c>
      <c r="T3" s="428"/>
      <c r="U3" s="428"/>
      <c r="V3" s="428"/>
    </row>
    <row r="4" spans="2:22">
      <c r="B4" s="334" t="s">
        <v>67</v>
      </c>
      <c r="C4" s="427">
        <v>6000</v>
      </c>
      <c r="D4" s="427"/>
      <c r="E4" s="427"/>
      <c r="F4" s="427"/>
      <c r="G4" s="427">
        <f>C4*(1+$G$16)</f>
        <v>5520</v>
      </c>
      <c r="H4" s="427"/>
      <c r="I4" s="427"/>
      <c r="J4" s="427"/>
      <c r="K4" s="427">
        <f xml:space="preserve"> SUMIFS(LstMachines[Budget],LstMachines[Sub-Dealer],$B4,LstMachines[LivrAn],2018)
+ 50% * SUMIFS(LstMachines[Budget],LstMachines[Sub-Dealer],"ESM TP",LstMachines[LivrAn],2018)</f>
        <v>3786.5</v>
      </c>
      <c r="L4" s="427"/>
      <c r="M4" s="427"/>
      <c r="N4" s="427"/>
      <c r="O4" s="427">
        <f>SUMIFS(LstMachines[Budget],LstMachines[Sub-Dealer],$B4,LstMachines[LivrAn],2019)
+ 66% * SUMIFS(LstMachines[Budget],LstMachines[Sub-Dealer],"ESM TP",LstMachines[LivrAn],2019)</f>
        <v>4034.9</v>
      </c>
      <c r="P4" s="427"/>
      <c r="Q4" s="427"/>
      <c r="R4" s="427"/>
      <c r="S4" s="427">
        <f>SUMIFS(LstMachines[Budget],LstMachines[Sub-Dealer],$B4,LstMachines[LivrAn],2020)
+ 50% * SUMIFS(LstMachines[Budget],LstMachines[Sub-Dealer],"ESM TP",LstMachines[LivrAn],2020)</f>
        <v>4947.5</v>
      </c>
      <c r="T4" s="427"/>
      <c r="U4" s="427"/>
      <c r="V4" s="427"/>
    </row>
    <row r="5" spans="2:22">
      <c r="B5" s="334" t="s">
        <v>100</v>
      </c>
      <c r="C5" s="427">
        <v>4400</v>
      </c>
      <c r="D5" s="427"/>
      <c r="E5" s="427"/>
      <c r="F5" s="427"/>
      <c r="G5" s="427">
        <f>C5*(1+$G$16)</f>
        <v>4048</v>
      </c>
      <c r="H5" s="427"/>
      <c r="I5" s="427"/>
      <c r="J5" s="427"/>
      <c r="K5" s="427">
        <f>SUMIFS(LstMachines[Budget],LstMachines[Sub-Dealer],$B5,LstMachines[LivrAn],2018)</f>
        <v>5701</v>
      </c>
      <c r="L5" s="427"/>
      <c r="M5" s="427"/>
      <c r="N5" s="427"/>
      <c r="O5" s="427">
        <f>SUMIFS(LstMachines[Budget],LstMachines[Sub-Dealer],$B5,LstMachines[LivrAn],2019)
- 50% * SUMIFS(LstMachines[Budget],LstMachines[Sub-Dealer],"ESM TP",LstMachines[LivrAn],2019)</f>
        <v>5786.5</v>
      </c>
      <c r="P5" s="427"/>
      <c r="Q5" s="427"/>
      <c r="R5" s="427"/>
      <c r="S5" s="427">
        <f>SUMIFS(LstMachines[Budget],LstMachines[Sub-Dealer],$B5,LstMachines[LivrAn],2020)
- 50% * SUMIFS(LstMachines[Budget],LstMachines[Sub-Dealer],"ESM TP",LstMachines[LivrAn],2020)</f>
        <v>6766.5</v>
      </c>
      <c r="T5" s="427"/>
      <c r="U5" s="427"/>
      <c r="V5" s="427"/>
    </row>
    <row r="6" spans="2:22">
      <c r="B6" s="334" t="s">
        <v>297</v>
      </c>
      <c r="C6" s="427">
        <v>480</v>
      </c>
      <c r="D6" s="427"/>
      <c r="E6" s="427"/>
      <c r="F6" s="427"/>
      <c r="G6" s="427">
        <f>C6*(1+$G$16)</f>
        <v>441.6</v>
      </c>
      <c r="H6" s="427"/>
      <c r="I6" s="427"/>
      <c r="J6" s="427"/>
      <c r="K6" s="427" t="s">
        <v>545</v>
      </c>
      <c r="L6" s="427"/>
      <c r="M6" s="427"/>
      <c r="N6" s="427"/>
      <c r="O6" s="427" t="s">
        <v>545</v>
      </c>
      <c r="P6" s="427"/>
      <c r="Q6" s="427"/>
      <c r="R6" s="427"/>
      <c r="S6" s="427" t="s">
        <v>545</v>
      </c>
      <c r="T6" s="427"/>
      <c r="U6" s="427"/>
      <c r="V6" s="427"/>
    </row>
    <row r="7" spans="2:22">
      <c r="B7" s="334" t="s">
        <v>66</v>
      </c>
      <c r="C7" s="427">
        <v>5500</v>
      </c>
      <c r="D7" s="427"/>
      <c r="E7" s="427"/>
      <c r="F7" s="427"/>
      <c r="G7" s="427">
        <f>C7*(1+$G$16)</f>
        <v>5060</v>
      </c>
      <c r="H7" s="427"/>
      <c r="I7" s="427"/>
      <c r="J7" s="427"/>
      <c r="K7" s="427">
        <f>SUMIFS(LstMachines[Budget],LstMachines[Sub-Dealer],$B7,LstMachines[LivrAn],2018)</f>
        <v>7233</v>
      </c>
      <c r="L7" s="427"/>
      <c r="M7" s="427"/>
      <c r="N7" s="427"/>
      <c r="O7" s="427">
        <f>SUMIFS(LstMachines[Budget],LstMachines[Sub-Dealer],$B7,LstMachines[LivrAn],2019)</f>
        <v>4436</v>
      </c>
      <c r="P7" s="427"/>
      <c r="Q7" s="427"/>
      <c r="R7" s="427"/>
      <c r="S7" s="427">
        <f>SUMIFS(LstMachines[Budget],LstMachines[Sub-Dealer],$B7,LstMachines[LivrAn],2020)</f>
        <v>0</v>
      </c>
      <c r="T7" s="427"/>
      <c r="U7" s="427"/>
      <c r="V7" s="427"/>
    </row>
    <row r="8" spans="2:22">
      <c r="B8" s="335" t="s">
        <v>306</v>
      </c>
      <c r="C8" s="427">
        <f>SUM(C4:F7)</f>
        <v>16380</v>
      </c>
      <c r="D8" s="427"/>
      <c r="E8" s="427"/>
      <c r="F8" s="427"/>
      <c r="G8" s="427">
        <f>SUM(G4:J7)</f>
        <v>15069.6</v>
      </c>
      <c r="H8" s="427"/>
      <c r="I8" s="427"/>
      <c r="J8" s="427"/>
      <c r="K8" s="427">
        <f>SUM(K4:N7)</f>
        <v>16720.5</v>
      </c>
      <c r="L8" s="427"/>
      <c r="M8" s="427"/>
      <c r="N8" s="427"/>
      <c r="O8" s="427">
        <f>SUM(O4:R7)</f>
        <v>14257.4</v>
      </c>
      <c r="P8" s="427"/>
      <c r="Q8" s="427"/>
      <c r="R8" s="427"/>
      <c r="S8" s="427">
        <f>SUM(S4:V7)</f>
        <v>11714</v>
      </c>
      <c r="T8" s="427"/>
      <c r="U8" s="427"/>
      <c r="V8" s="427"/>
    </row>
    <row r="9" spans="2:22" s="279" customFormat="1">
      <c r="B9" s="337"/>
      <c r="C9" s="280" t="s">
        <v>540</v>
      </c>
      <c r="D9" s="281">
        <v>0.95</v>
      </c>
      <c r="V9" s="338"/>
    </row>
    <row r="10" spans="2:22" s="279" customFormat="1">
      <c r="B10" s="335" t="s">
        <v>539</v>
      </c>
      <c r="C10" s="427">
        <f>$D$9*C8</f>
        <v>15561</v>
      </c>
      <c r="D10" s="427"/>
      <c r="E10" s="427"/>
      <c r="F10" s="427"/>
      <c r="G10" s="427">
        <f>$D$9*G8</f>
        <v>14316.119999999999</v>
      </c>
      <c r="H10" s="427"/>
      <c r="I10" s="427"/>
      <c r="J10" s="427"/>
      <c r="K10" s="427">
        <f>$D$9*K8</f>
        <v>15884.474999999999</v>
      </c>
      <c r="L10" s="427"/>
      <c r="M10" s="427"/>
      <c r="N10" s="427"/>
      <c r="O10" s="427">
        <f>$D$9*O8</f>
        <v>13544.529999999999</v>
      </c>
      <c r="P10" s="427"/>
      <c r="Q10" s="427"/>
      <c r="R10" s="427"/>
      <c r="S10" s="427">
        <f>$D$9*S8</f>
        <v>11128.3</v>
      </c>
      <c r="T10" s="427"/>
      <c r="U10" s="427"/>
      <c r="V10" s="427"/>
    </row>
    <row r="11" spans="2:22" s="75" customFormat="1">
      <c r="B11" s="337"/>
      <c r="C11" s="280" t="s">
        <v>508</v>
      </c>
      <c r="D11" s="281">
        <v>0.08</v>
      </c>
      <c r="E11" s="279"/>
      <c r="F11" s="279"/>
      <c r="G11" s="279"/>
      <c r="H11" s="279"/>
      <c r="I11" s="279"/>
      <c r="J11" s="279"/>
      <c r="K11" s="279"/>
      <c r="L11" s="279"/>
      <c r="M11" s="279"/>
      <c r="N11" s="279"/>
      <c r="O11" s="279"/>
      <c r="P11" s="279"/>
      <c r="Q11" s="279"/>
      <c r="R11" s="279"/>
      <c r="S11" s="279"/>
      <c r="T11" s="279"/>
      <c r="U11" s="279"/>
      <c r="V11" s="338"/>
    </row>
    <row r="12" spans="2:22">
      <c r="B12" s="335" t="s">
        <v>509</v>
      </c>
      <c r="C12" s="427">
        <f>C10*(1-$D$11)</f>
        <v>14316.12</v>
      </c>
      <c r="D12" s="427"/>
      <c r="E12" s="427"/>
      <c r="F12" s="427"/>
      <c r="G12" s="427">
        <f>G10*(1-$D$11)</f>
        <v>13170.830399999999</v>
      </c>
      <c r="H12" s="427"/>
      <c r="I12" s="427"/>
      <c r="J12" s="427"/>
      <c r="K12" s="427">
        <f>K10*(1-$D$11)</f>
        <v>14613.716999999999</v>
      </c>
      <c r="L12" s="427"/>
      <c r="M12" s="427"/>
      <c r="N12" s="427"/>
      <c r="O12" s="427">
        <f>O10*(1-$D$11)</f>
        <v>12460.9676</v>
      </c>
      <c r="P12" s="427"/>
      <c r="Q12" s="427"/>
      <c r="R12" s="427"/>
      <c r="S12" s="427">
        <f>S10*(1-$D$11)</f>
        <v>10238.036</v>
      </c>
      <c r="T12" s="427"/>
      <c r="U12" s="427"/>
      <c r="V12" s="427"/>
    </row>
    <row r="13" spans="2:22" s="75" customFormat="1">
      <c r="B13" s="337"/>
      <c r="C13" s="279"/>
      <c r="D13" s="279"/>
      <c r="E13" s="282"/>
      <c r="F13" s="282"/>
      <c r="G13" s="282"/>
      <c r="H13" s="282"/>
      <c r="I13" s="282"/>
      <c r="J13" s="282"/>
      <c r="K13" s="282"/>
      <c r="L13" s="282"/>
      <c r="M13" s="282"/>
      <c r="N13" s="282"/>
      <c r="O13" s="282"/>
      <c r="P13" s="282"/>
      <c r="Q13" s="282"/>
      <c r="R13" s="282"/>
      <c r="S13" s="282"/>
      <c r="T13" s="282"/>
      <c r="U13" s="282"/>
      <c r="V13" s="339"/>
    </row>
    <row r="14" spans="2:22">
      <c r="B14" s="335" t="s">
        <v>300</v>
      </c>
      <c r="C14" s="335" t="s">
        <v>302</v>
      </c>
      <c r="D14" s="335" t="s">
        <v>303</v>
      </c>
      <c r="E14" s="335" t="s">
        <v>304</v>
      </c>
      <c r="F14" s="335" t="s">
        <v>305</v>
      </c>
      <c r="G14" s="335" t="s">
        <v>302</v>
      </c>
      <c r="H14" s="335" t="s">
        <v>303</v>
      </c>
      <c r="I14" s="335" t="s">
        <v>304</v>
      </c>
      <c r="J14" s="335" t="s">
        <v>305</v>
      </c>
      <c r="K14" s="335" t="s">
        <v>302</v>
      </c>
      <c r="L14" s="335" t="s">
        <v>303</v>
      </c>
      <c r="M14" s="335" t="s">
        <v>304</v>
      </c>
      <c r="N14" s="335" t="s">
        <v>305</v>
      </c>
      <c r="O14" s="335" t="s">
        <v>302</v>
      </c>
      <c r="P14" s="335" t="s">
        <v>303</v>
      </c>
      <c r="Q14" s="335" t="s">
        <v>304</v>
      </c>
      <c r="R14" s="335" t="s">
        <v>305</v>
      </c>
      <c r="S14" s="335" t="s">
        <v>302</v>
      </c>
      <c r="T14" s="335" t="s">
        <v>303</v>
      </c>
      <c r="U14" s="335" t="s">
        <v>304</v>
      </c>
      <c r="V14" s="335" t="s">
        <v>305</v>
      </c>
    </row>
    <row r="15" spans="2:22">
      <c r="B15" s="335" t="s">
        <v>301</v>
      </c>
      <c r="C15" s="336">
        <f>$C$10*D20</f>
        <v>4201.47</v>
      </c>
      <c r="D15" s="336">
        <f>$C$10*E20</f>
        <v>3734.64</v>
      </c>
      <c r="E15" s="336">
        <f>$C$10*F20</f>
        <v>3423.42</v>
      </c>
      <c r="F15" s="336">
        <f>$C$10*G20</f>
        <v>4201.47</v>
      </c>
      <c r="G15" s="336">
        <f>$G$10*D20</f>
        <v>3865.3523999999998</v>
      </c>
      <c r="H15" s="336">
        <f>$G$10*E20</f>
        <v>3435.8687999999997</v>
      </c>
      <c r="I15" s="336">
        <f>$G$10*F20</f>
        <v>3149.5463999999997</v>
      </c>
      <c r="J15" s="336">
        <f>$G$10*G20</f>
        <v>3865.3523999999998</v>
      </c>
      <c r="K15" s="336">
        <f>$K$10*D20</f>
        <v>4288.80825</v>
      </c>
      <c r="L15" s="336">
        <f>$K$10*E20</f>
        <v>3812.2739999999994</v>
      </c>
      <c r="M15" s="336">
        <f>$K$10*F20</f>
        <v>3494.5844999999995</v>
      </c>
      <c r="N15" s="336">
        <f>$K$10*G20</f>
        <v>4288.80825</v>
      </c>
      <c r="O15" s="336">
        <f>$O$10*D20</f>
        <v>3657.0230999999999</v>
      </c>
      <c r="P15" s="336">
        <f>$O$10*E20</f>
        <v>3250.6871999999994</v>
      </c>
      <c r="Q15" s="336">
        <f>$O$10*F20</f>
        <v>2979.7965999999997</v>
      </c>
      <c r="R15" s="336">
        <f>$O$10*G20</f>
        <v>3657.0230999999999</v>
      </c>
      <c r="S15" s="336">
        <f>$S$10*D20</f>
        <v>3004.6410000000001</v>
      </c>
      <c r="T15" s="336">
        <f>$S$10*E20</f>
        <v>2670.7919999999999</v>
      </c>
      <c r="U15" s="336">
        <f>$S$10*F20</f>
        <v>2448.2259999999997</v>
      </c>
      <c r="V15" s="336">
        <f>$S$10*G20</f>
        <v>3004.6410000000001</v>
      </c>
    </row>
    <row r="16" spans="2:22" s="75" customFormat="1">
      <c r="C16" s="320"/>
      <c r="D16" s="320"/>
      <c r="E16" s="321"/>
      <c r="F16" s="322" t="s">
        <v>541</v>
      </c>
      <c r="G16" s="323">
        <v>-0.08</v>
      </c>
      <c r="H16" s="320" t="s">
        <v>542</v>
      </c>
      <c r="I16" s="320"/>
      <c r="J16" s="322" t="s">
        <v>543</v>
      </c>
      <c r="K16" s="324">
        <f xml:space="preserve"> (K8-G8)/G8</f>
        <v>0.10955168020385408</v>
      </c>
      <c r="L16" s="320"/>
      <c r="M16" s="80"/>
      <c r="N16" s="80"/>
      <c r="O16" s="318" t="s">
        <v>298</v>
      </c>
      <c r="P16" s="319">
        <f xml:space="preserve"> (O8-K8)/K8</f>
        <v>-0.14731018809246138</v>
      </c>
      <c r="Q16" s="81" t="s">
        <v>546</v>
      </c>
      <c r="R16" s="80"/>
      <c r="S16" s="318"/>
      <c r="T16" s="319"/>
      <c r="U16" s="319"/>
      <c r="V16" s="319"/>
    </row>
    <row r="17" spans="3:25" s="75" customFormat="1">
      <c r="C17" s="320" t="s">
        <v>544</v>
      </c>
      <c r="D17" s="320"/>
      <c r="E17" s="320"/>
      <c r="F17" s="320"/>
      <c r="G17" s="320"/>
      <c r="H17" s="320"/>
      <c r="I17" s="320"/>
      <c r="J17" s="320"/>
      <c r="K17" s="320"/>
      <c r="L17" s="320"/>
      <c r="M17" s="81" t="s">
        <v>547</v>
      </c>
      <c r="N17" s="80"/>
      <c r="O17" s="80"/>
      <c r="P17" s="80"/>
      <c r="Q17" s="80"/>
      <c r="R17" s="80"/>
      <c r="S17" s="80"/>
      <c r="T17" s="80"/>
      <c r="U17" s="80"/>
      <c r="V17" s="80"/>
    </row>
    <row r="18" spans="3:25" s="75" customFormat="1" ht="16.2" thickBot="1">
      <c r="H18" s="78"/>
      <c r="I18" s="78"/>
      <c r="J18" s="78"/>
    </row>
    <row r="19" spans="3:25" s="75" customFormat="1">
      <c r="C19" s="76" t="s">
        <v>538</v>
      </c>
      <c r="D19" s="273" t="s">
        <v>302</v>
      </c>
      <c r="E19" s="274" t="s">
        <v>303</v>
      </c>
      <c r="F19" s="274" t="s">
        <v>304</v>
      </c>
      <c r="G19" s="275" t="s">
        <v>305</v>
      </c>
      <c r="I19" s="78"/>
      <c r="J19" s="79"/>
      <c r="K19" s="79"/>
      <c r="L19" s="78"/>
      <c r="M19" s="78"/>
      <c r="N19" s="74"/>
      <c r="O19" s="74"/>
      <c r="P19" s="82"/>
    </row>
    <row r="20" spans="3:25" ht="16.2" thickBot="1">
      <c r="C20" s="75" t="s">
        <v>548</v>
      </c>
      <c r="D20" s="276">
        <v>0.27</v>
      </c>
      <c r="E20" s="277">
        <v>0.24</v>
      </c>
      <c r="F20" s="277">
        <v>0.22</v>
      </c>
      <c r="G20" s="278">
        <v>0.27</v>
      </c>
      <c r="H20" s="272">
        <f>SUM(D20:G20)</f>
        <v>1</v>
      </c>
      <c r="J20" s="77"/>
      <c r="N20" s="75"/>
      <c r="Q20" s="75"/>
      <c r="R20" s="75"/>
      <c r="S20" s="75"/>
      <c r="T20" s="75"/>
      <c r="U20" s="75"/>
      <c r="V20" s="75"/>
      <c r="W20" s="75"/>
      <c r="X20" s="75"/>
      <c r="Y20" s="75"/>
    </row>
    <row r="21" spans="3:25">
      <c r="J21" s="77"/>
      <c r="N21" s="75"/>
      <c r="T21" s="75"/>
      <c r="U21" s="75"/>
      <c r="V21" s="75"/>
      <c r="W21" s="75"/>
      <c r="X21" s="75"/>
      <c r="Y21" s="75"/>
    </row>
    <row r="22" spans="3:25">
      <c r="J22" s="77"/>
      <c r="K22" s="75"/>
      <c r="L22" s="75"/>
      <c r="T22" s="75"/>
      <c r="U22" s="75"/>
      <c r="V22" s="75"/>
      <c r="W22" s="75"/>
      <c r="X22" s="75"/>
      <c r="Y22" s="75"/>
    </row>
    <row r="23" spans="3:25">
      <c r="J23" s="77"/>
      <c r="N23" s="75"/>
      <c r="Q23" s="75"/>
      <c r="R23" s="75"/>
      <c r="S23" s="75"/>
      <c r="T23" s="75"/>
      <c r="U23" s="75"/>
      <c r="V23" s="75"/>
      <c r="W23" s="75"/>
      <c r="X23" s="75"/>
      <c r="Y23" s="75"/>
    </row>
    <row r="24" spans="3:25">
      <c r="I24" s="75"/>
      <c r="J24" s="77"/>
      <c r="P24" s="75"/>
      <c r="T24" s="75"/>
      <c r="U24" s="75"/>
      <c r="V24" s="75"/>
      <c r="W24" s="75"/>
      <c r="X24" s="75"/>
      <c r="Y24" s="75"/>
    </row>
    <row r="25" spans="3:25">
      <c r="I25" s="75"/>
      <c r="J25" s="77"/>
      <c r="N25" s="75"/>
      <c r="T25" s="75"/>
      <c r="U25" s="75"/>
      <c r="V25" s="75"/>
    </row>
    <row r="26" spans="3:25">
      <c r="I26" s="75"/>
      <c r="J26" s="83"/>
      <c r="N26" s="75"/>
      <c r="T26" s="75"/>
      <c r="U26" s="75"/>
      <c r="V26" s="75"/>
    </row>
    <row r="27" spans="3:25">
      <c r="I27" s="75"/>
      <c r="N27" s="75"/>
      <c r="P27" s="77"/>
      <c r="T27" s="75"/>
      <c r="U27" s="75"/>
      <c r="V27" s="75"/>
    </row>
    <row r="28" spans="3:25">
      <c r="I28" s="75"/>
      <c r="J28" s="75"/>
      <c r="K28" s="75"/>
      <c r="L28" s="75"/>
      <c r="T28" s="75"/>
      <c r="U28" s="75"/>
      <c r="V28" s="75"/>
    </row>
    <row r="29" spans="3:25">
      <c r="D29" s="75"/>
      <c r="E29" s="75"/>
      <c r="F29" s="75"/>
      <c r="G29" s="75"/>
      <c r="H29" s="75"/>
      <c r="I29" s="75"/>
      <c r="J29" s="75"/>
      <c r="K29" s="75"/>
      <c r="L29" s="75"/>
      <c r="T29" s="75"/>
      <c r="U29" s="75"/>
      <c r="V29" s="75"/>
    </row>
    <row r="30" spans="3:25" s="82" customFormat="1">
      <c r="C30" s="79"/>
      <c r="D30" s="79"/>
      <c r="E30" s="79"/>
      <c r="F30" s="75"/>
      <c r="G30" s="75"/>
      <c r="H30" s="75"/>
    </row>
    <row r="31" spans="3:25">
      <c r="D31" s="75"/>
      <c r="E31" s="75"/>
      <c r="F31" s="75"/>
      <c r="G31" s="75"/>
      <c r="H31" s="75"/>
      <c r="I31" s="75"/>
      <c r="J31" s="75"/>
      <c r="K31" s="75"/>
      <c r="L31" s="75"/>
      <c r="T31" s="75"/>
      <c r="U31" s="75"/>
      <c r="V31" s="75"/>
    </row>
    <row r="32" spans="3:25">
      <c r="D32" s="75"/>
      <c r="E32" s="75"/>
      <c r="F32" s="75"/>
      <c r="G32" s="75"/>
      <c r="H32" s="75"/>
      <c r="I32" s="75"/>
      <c r="J32" s="75"/>
      <c r="K32" s="75"/>
      <c r="L32" s="75"/>
      <c r="T32" s="75"/>
      <c r="U32" s="75"/>
      <c r="V32" s="75"/>
    </row>
    <row r="33" spans="4:22"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</row>
    <row r="34" spans="4:22"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</row>
    <row r="35" spans="4:22"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</row>
    <row r="36" spans="4:22">
      <c r="E36" s="75"/>
      <c r="F36" s="75"/>
      <c r="G36" s="75"/>
      <c r="H36" s="75"/>
    </row>
    <row r="37" spans="4:22">
      <c r="E37" s="75"/>
      <c r="F37" s="75"/>
      <c r="G37" s="75"/>
      <c r="H37" s="75"/>
    </row>
    <row r="38" spans="4:22">
      <c r="E38" s="75"/>
      <c r="F38" s="75"/>
      <c r="G38" s="75"/>
      <c r="H38" s="75"/>
    </row>
    <row r="39" spans="4:22">
      <c r="E39" s="75"/>
      <c r="F39" s="75"/>
      <c r="G39" s="75"/>
      <c r="H39" s="75"/>
    </row>
  </sheetData>
  <mergeCells count="40">
    <mergeCell ref="C10:F10"/>
    <mergeCell ref="G10:J10"/>
    <mergeCell ref="K10:N10"/>
    <mergeCell ref="O10:R10"/>
    <mergeCell ref="S10:V10"/>
    <mergeCell ref="C12:F12"/>
    <mergeCell ref="G12:J12"/>
    <mergeCell ref="K12:N12"/>
    <mergeCell ref="O12:R12"/>
    <mergeCell ref="S12:V12"/>
    <mergeCell ref="C3:F3"/>
    <mergeCell ref="C8:F8"/>
    <mergeCell ref="C4:F4"/>
    <mergeCell ref="C5:F5"/>
    <mergeCell ref="C6:F6"/>
    <mergeCell ref="C7:F7"/>
    <mergeCell ref="O6:R6"/>
    <mergeCell ref="G8:J8"/>
    <mergeCell ref="K8:N8"/>
    <mergeCell ref="O8:R8"/>
    <mergeCell ref="S6:V6"/>
    <mergeCell ref="G6:J6"/>
    <mergeCell ref="G7:J7"/>
    <mergeCell ref="K6:N6"/>
    <mergeCell ref="K7:N7"/>
    <mergeCell ref="O7:R7"/>
    <mergeCell ref="S7:V7"/>
    <mergeCell ref="S8:V8"/>
    <mergeCell ref="G4:J4"/>
    <mergeCell ref="G5:J5"/>
    <mergeCell ref="S4:V4"/>
    <mergeCell ref="S5:V5"/>
    <mergeCell ref="K3:N3"/>
    <mergeCell ref="O3:R3"/>
    <mergeCell ref="S3:V3"/>
    <mergeCell ref="G3:J3"/>
    <mergeCell ref="O5:R5"/>
    <mergeCell ref="K4:N4"/>
    <mergeCell ref="K5:N5"/>
    <mergeCell ref="O4:R4"/>
  </mergeCells>
  <pageMargins left="0.70866141732283472" right="0.70866141732283472" top="0.74803149606299213" bottom="0.74803149606299213" header="0.31496062992125984" footer="0.31496062992125984"/>
  <pageSetup paperSize="9" scale="95" orientation="landscape" horizontalDpi="300" verticalDpi="300" r:id="rId1"/>
  <headerFooter>
    <oddHeader>&amp;C&amp;F / &amp;A</oddHeader>
    <oddFooter>&amp;L&amp;"-,Gras" Confidentiel ESM TP&amp;C&amp;D&amp;RPage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58"/>
  <sheetViews>
    <sheetView zoomScale="55" zoomScaleNormal="55" zoomScalePageLayoutView="55" workbookViewId="0"/>
  </sheetViews>
  <sheetFormatPr baseColWidth="10" defaultColWidth="9.109375" defaultRowHeight="15.6" outlineLevelCol="1"/>
  <cols>
    <col min="1" max="1" width="6" style="294" customWidth="1"/>
    <col min="2" max="2" width="16.6640625" style="294" customWidth="1"/>
    <col min="3" max="3" width="5.77734375" style="283" customWidth="1"/>
    <col min="4" max="4" width="7.109375" style="294" customWidth="1"/>
    <col min="5" max="5" width="24.109375" style="294" customWidth="1"/>
    <col min="6" max="6" width="11.44140625" style="283" hidden="1" customWidth="1" outlineLevel="1"/>
    <col min="7" max="7" width="14.33203125" style="283" hidden="1" customWidth="1" outlineLevel="1"/>
    <col min="8" max="8" width="10.77734375" style="283" customWidth="1" collapsed="1"/>
    <col min="9" max="19" width="10.77734375" style="283" customWidth="1" outlineLevel="1"/>
    <col min="20" max="20" width="10.77734375" style="283" customWidth="1"/>
    <col min="21" max="31" width="10.77734375" style="283" hidden="1" customWidth="1" outlineLevel="1"/>
    <col min="32" max="32" width="10.77734375" style="283" customWidth="1" collapsed="1"/>
    <col min="33" max="43" width="10.77734375" style="283" hidden="1" customWidth="1" outlineLevel="1"/>
    <col min="44" max="44" width="10.77734375" style="283" customWidth="1" collapsed="1"/>
    <col min="45" max="45" width="11.6640625" style="283" customWidth="1"/>
    <col min="46" max="46" width="11.77734375" style="283" customWidth="1"/>
    <col min="47" max="48" width="11.6640625" style="283" customWidth="1"/>
    <col min="49" max="52" width="9.33203125" style="286" hidden="1" customWidth="1" outlineLevel="1"/>
    <col min="53" max="53" width="9.109375" style="286" collapsed="1"/>
    <col min="54" max="57" width="9.33203125" style="286" hidden="1" customWidth="1" outlineLevel="1"/>
    <col min="58" max="58" width="9.109375" style="286" collapsed="1"/>
    <col min="59" max="62" width="9.33203125" style="286" hidden="1" customWidth="1" outlineLevel="1"/>
    <col min="63" max="64" width="9.109375" style="286" collapsed="1"/>
    <col min="65" max="65" width="10.109375" style="286" customWidth="1"/>
    <col min="66" max="66" width="9.109375" style="286"/>
    <col min="67" max="67" width="4.77734375" style="283" customWidth="1"/>
    <col min="68" max="69" width="9.109375" style="283"/>
    <col min="70" max="70" width="4.77734375" style="283" customWidth="1"/>
    <col min="71" max="16384" width="9.109375" style="283"/>
  </cols>
  <sheetData>
    <row r="1" spans="2:72">
      <c r="B1" s="355" t="str">
        <f ca="1">MID(CELL("filename",B1),FIND("[",CELL("filename",B1))+1,SUM(FIND({"[";"]"},CELL("filename",B1))*{-1;1})-6) &amp; " / " &amp;  RIGHT(CELL("nomfichier",A1),LEN(CELL("nomfichier",A1))-FIND("]",CELL("nomfichier",A1)))</f>
        <v>20180615HCSF Dealer Business Plan - ESM TP v4-0 XMTP / PlanFinance</v>
      </c>
      <c r="C1" s="356"/>
      <c r="D1" s="349"/>
      <c r="E1" s="352"/>
      <c r="F1" s="342">
        <v>43009</v>
      </c>
      <c r="G1" s="299">
        <v>43040</v>
      </c>
      <c r="H1" s="299">
        <v>43070</v>
      </c>
      <c r="I1" s="299">
        <v>43101</v>
      </c>
      <c r="J1" s="299">
        <v>43132</v>
      </c>
      <c r="K1" s="299">
        <v>43160</v>
      </c>
      <c r="L1" s="299">
        <v>43191</v>
      </c>
      <c r="M1" s="299">
        <v>43221</v>
      </c>
      <c r="N1" s="299">
        <v>43252</v>
      </c>
      <c r="O1" s="299">
        <v>43282</v>
      </c>
      <c r="P1" s="299">
        <v>43313</v>
      </c>
      <c r="Q1" s="299">
        <v>43344</v>
      </c>
      <c r="R1" s="299">
        <v>43374</v>
      </c>
      <c r="S1" s="299">
        <v>43405</v>
      </c>
      <c r="T1" s="299">
        <v>43435</v>
      </c>
      <c r="U1" s="299">
        <v>43466</v>
      </c>
      <c r="V1" s="299">
        <v>43497</v>
      </c>
      <c r="W1" s="299">
        <v>43525</v>
      </c>
      <c r="X1" s="299">
        <v>43556</v>
      </c>
      <c r="Y1" s="299">
        <v>43586</v>
      </c>
      <c r="Z1" s="299">
        <v>43617</v>
      </c>
      <c r="AA1" s="299">
        <v>43647</v>
      </c>
      <c r="AB1" s="299">
        <v>43678</v>
      </c>
      <c r="AC1" s="299">
        <v>43709</v>
      </c>
      <c r="AD1" s="299">
        <v>43739</v>
      </c>
      <c r="AE1" s="299">
        <v>43770</v>
      </c>
      <c r="AF1" s="299">
        <v>43800</v>
      </c>
      <c r="AG1" s="299">
        <v>43831</v>
      </c>
      <c r="AH1" s="299">
        <v>43862</v>
      </c>
      <c r="AI1" s="299">
        <v>43891</v>
      </c>
      <c r="AJ1" s="299">
        <v>43922</v>
      </c>
      <c r="AK1" s="299">
        <v>43952</v>
      </c>
      <c r="AL1" s="299">
        <v>43983</v>
      </c>
      <c r="AM1" s="299">
        <v>44013</v>
      </c>
      <c r="AN1" s="299">
        <v>44044</v>
      </c>
      <c r="AO1" s="299">
        <v>44075</v>
      </c>
      <c r="AP1" s="299">
        <v>44105</v>
      </c>
      <c r="AQ1" s="299">
        <v>44136</v>
      </c>
      <c r="AR1" s="299">
        <v>44166</v>
      </c>
      <c r="AS1" s="284">
        <v>44197</v>
      </c>
      <c r="AT1" s="284">
        <v>44593</v>
      </c>
      <c r="AW1" s="284" t="s">
        <v>135</v>
      </c>
      <c r="AX1" s="284" t="s">
        <v>136</v>
      </c>
      <c r="AY1" s="284" t="s">
        <v>137</v>
      </c>
      <c r="AZ1" s="284" t="s">
        <v>138</v>
      </c>
      <c r="BA1" s="285" t="s">
        <v>139</v>
      </c>
      <c r="BB1" s="284" t="s">
        <v>140</v>
      </c>
      <c r="BC1" s="284" t="s">
        <v>141</v>
      </c>
      <c r="BD1" s="284" t="s">
        <v>142</v>
      </c>
      <c r="BE1" s="284" t="s">
        <v>143</v>
      </c>
      <c r="BF1" s="285" t="s">
        <v>144</v>
      </c>
      <c r="BG1" s="284" t="s">
        <v>145</v>
      </c>
      <c r="BH1" s="284" t="s">
        <v>146</v>
      </c>
      <c r="BI1" s="284" t="s">
        <v>147</v>
      </c>
      <c r="BJ1" s="284" t="s">
        <v>148</v>
      </c>
      <c r="BK1" s="285" t="s">
        <v>149</v>
      </c>
      <c r="BL1" s="285" t="s">
        <v>150</v>
      </c>
      <c r="BM1" s="285" t="s">
        <v>572</v>
      </c>
      <c r="BP1" s="296" t="s">
        <v>139</v>
      </c>
      <c r="BQ1" s="296" t="s">
        <v>139</v>
      </c>
      <c r="BS1" s="296" t="s">
        <v>139</v>
      </c>
      <c r="BT1" s="296" t="s">
        <v>139</v>
      </c>
    </row>
    <row r="2" spans="2:72">
      <c r="B2" s="350" t="s">
        <v>503</v>
      </c>
      <c r="E2" s="353"/>
      <c r="F2" s="343" t="str">
        <f>IF(MONTH(F1)&lt;10,"0","") &amp; MONTH(F1) &amp; "-" &amp; YEAR(F1)</f>
        <v>10-2017</v>
      </c>
      <c r="G2" s="300" t="str">
        <f t="shared" ref="G2:H2" si="0">IF(MONTH(G1)&lt;10,"0","") &amp; MONTH(G1) &amp; "-" &amp; YEAR(G1)</f>
        <v>11-2017</v>
      </c>
      <c r="H2" s="300" t="str">
        <f t="shared" si="0"/>
        <v>12-2017</v>
      </c>
      <c r="I2" s="300" t="str">
        <f>IF(MONTH(I1)&lt;10,"0","") &amp; MONTH(I1) &amp; "-" &amp; YEAR(I1)</f>
        <v>01-2018</v>
      </c>
      <c r="J2" s="300" t="str">
        <f t="shared" ref="J2" si="1">IF(MONTH(J1)&lt;10,"0","") &amp; MONTH(J1) &amp; "-" &amp; YEAR(J1)</f>
        <v>02-2018</v>
      </c>
      <c r="K2" s="300" t="str">
        <f t="shared" ref="K2" si="2">IF(MONTH(K1)&lt;10,"0","") &amp; MONTH(K1) &amp; "-" &amp; YEAR(K1)</f>
        <v>03-2018</v>
      </c>
      <c r="L2" s="300" t="str">
        <f t="shared" ref="L2:N2" si="3">IF(MONTH(L1)&lt;10,"0","") &amp; MONTH(L1) &amp; "-" &amp; YEAR(L1)</f>
        <v>04-2018</v>
      </c>
      <c r="M2" s="300" t="str">
        <f t="shared" si="3"/>
        <v>05-2018</v>
      </c>
      <c r="N2" s="300" t="str">
        <f t="shared" si="3"/>
        <v>06-2018</v>
      </c>
      <c r="O2" s="300" t="str">
        <f t="shared" ref="O2" si="4">IF(MONTH(O1)&lt;10,"0","") &amp; MONTH(O1) &amp; "-" &amp; YEAR(O1)</f>
        <v>07-2018</v>
      </c>
      <c r="P2" s="300" t="str">
        <f t="shared" ref="P2:R2" si="5">IF(MONTH(P1)&lt;10,"0","") &amp; MONTH(P1) &amp; "-" &amp; YEAR(P1)</f>
        <v>08-2018</v>
      </c>
      <c r="Q2" s="300" t="str">
        <f t="shared" si="5"/>
        <v>09-2018</v>
      </c>
      <c r="R2" s="300" t="str">
        <f t="shared" si="5"/>
        <v>10-2018</v>
      </c>
      <c r="S2" s="300" t="str">
        <f t="shared" ref="S2" si="6">IF(MONTH(S1)&lt;10,"0","") &amp; MONTH(S1) &amp; "-" &amp; YEAR(S1)</f>
        <v>11-2018</v>
      </c>
      <c r="T2" s="300" t="str">
        <f t="shared" ref="T2" si="7">IF(MONTH(T1)&lt;10,"0","") &amp; MONTH(T1) &amp; "-" &amp; YEAR(T1)</f>
        <v>12-2018</v>
      </c>
      <c r="U2" s="300" t="str">
        <f t="shared" ref="U2" si="8">IF(MONTH(U1)&lt;10,"0","") &amp; MONTH(U1) &amp; "-" &amp; YEAR(U1)</f>
        <v>01-2019</v>
      </c>
      <c r="V2" s="300" t="str">
        <f t="shared" ref="V2" si="9">IF(MONTH(V1)&lt;10,"0","") &amp; MONTH(V1) &amp; "-" &amp; YEAR(V1)</f>
        <v>02-2019</v>
      </c>
      <c r="W2" s="300" t="str">
        <f t="shared" ref="W2" si="10">IF(MONTH(W1)&lt;10,"0","") &amp; MONTH(W1) &amp; "-" &amp; YEAR(W1)</f>
        <v>03-2019</v>
      </c>
      <c r="X2" s="300" t="str">
        <f t="shared" ref="X2" si="11">IF(MONTH(X1)&lt;10,"0","") &amp; MONTH(X1) &amp; "-" &amp; YEAR(X1)</f>
        <v>04-2019</v>
      </c>
      <c r="Y2" s="300" t="str">
        <f t="shared" ref="Y2" si="12">IF(MONTH(Y1)&lt;10,"0","") &amp; MONTH(Y1) &amp; "-" &amp; YEAR(Y1)</f>
        <v>05-2019</v>
      </c>
      <c r="Z2" s="300" t="str">
        <f t="shared" ref="Z2" si="13">IF(MONTH(Z1)&lt;10,"0","") &amp; MONTH(Z1) &amp; "-" &amp; YEAR(Z1)</f>
        <v>06-2019</v>
      </c>
      <c r="AA2" s="300" t="str">
        <f t="shared" ref="AA2" si="14">IF(MONTH(AA1)&lt;10,"0","") &amp; MONTH(AA1) &amp; "-" &amp; YEAR(AA1)</f>
        <v>07-2019</v>
      </c>
      <c r="AB2" s="300" t="str">
        <f t="shared" ref="AB2" si="15">IF(MONTH(AB1)&lt;10,"0","") &amp; MONTH(AB1) &amp; "-" &amp; YEAR(AB1)</f>
        <v>08-2019</v>
      </c>
      <c r="AC2" s="300" t="str">
        <f t="shared" ref="AC2" si="16">IF(MONTH(AC1)&lt;10,"0","") &amp; MONTH(AC1) &amp; "-" &amp; YEAR(AC1)</f>
        <v>09-2019</v>
      </c>
      <c r="AD2" s="300" t="str">
        <f t="shared" ref="AD2" si="17">IF(MONTH(AD1)&lt;10,"0","") &amp; MONTH(AD1) &amp; "-" &amp; YEAR(AD1)</f>
        <v>10-2019</v>
      </c>
      <c r="AE2" s="300" t="str">
        <f t="shared" ref="AE2" si="18">IF(MONTH(AE1)&lt;10,"0","") &amp; MONTH(AE1) &amp; "-" &amp; YEAR(AE1)</f>
        <v>11-2019</v>
      </c>
      <c r="AF2" s="300" t="str">
        <f t="shared" ref="AF2" si="19">IF(MONTH(AF1)&lt;10,"0","") &amp; MONTH(AF1) &amp; "-" &amp; YEAR(AF1)</f>
        <v>12-2019</v>
      </c>
      <c r="AG2" s="300" t="str">
        <f t="shared" ref="AG2" si="20">IF(MONTH(AG1)&lt;10,"0","") &amp; MONTH(AG1) &amp; "-" &amp; YEAR(AG1)</f>
        <v>01-2020</v>
      </c>
      <c r="AH2" s="300" t="str">
        <f t="shared" ref="AH2" si="21">IF(MONTH(AH1)&lt;10,"0","") &amp; MONTH(AH1) &amp; "-" &amp; YEAR(AH1)</f>
        <v>02-2020</v>
      </c>
      <c r="AI2" s="300" t="str">
        <f t="shared" ref="AI2" si="22">IF(MONTH(AI1)&lt;10,"0","") &amp; MONTH(AI1) &amp; "-" &amp; YEAR(AI1)</f>
        <v>03-2020</v>
      </c>
      <c r="AJ2" s="300" t="str">
        <f t="shared" ref="AJ2" si="23">IF(MONTH(AJ1)&lt;10,"0","") &amp; MONTH(AJ1) &amp; "-" &amp; YEAR(AJ1)</f>
        <v>04-2020</v>
      </c>
      <c r="AK2" s="300" t="str">
        <f t="shared" ref="AK2" si="24">IF(MONTH(AK1)&lt;10,"0","") &amp; MONTH(AK1) &amp; "-" &amp; YEAR(AK1)</f>
        <v>05-2020</v>
      </c>
      <c r="AL2" s="300" t="str">
        <f t="shared" ref="AL2" si="25">IF(MONTH(AL1)&lt;10,"0","") &amp; MONTH(AL1) &amp; "-" &amp; YEAR(AL1)</f>
        <v>06-2020</v>
      </c>
      <c r="AM2" s="300" t="str">
        <f t="shared" ref="AM2" si="26">IF(MONTH(AM1)&lt;10,"0","") &amp; MONTH(AM1) &amp; "-" &amp; YEAR(AM1)</f>
        <v>07-2020</v>
      </c>
      <c r="AN2" s="300" t="str">
        <f t="shared" ref="AN2" si="27">IF(MONTH(AN1)&lt;10,"0","") &amp; MONTH(AN1) &amp; "-" &amp; YEAR(AN1)</f>
        <v>08-2020</v>
      </c>
      <c r="AO2" s="300" t="str">
        <f t="shared" ref="AO2" si="28">IF(MONTH(AO1)&lt;10,"0","") &amp; MONTH(AO1) &amp; "-" &amp; YEAR(AO1)</f>
        <v>09-2020</v>
      </c>
      <c r="AP2" s="300" t="str">
        <f t="shared" ref="AP2" si="29">IF(MONTH(AP1)&lt;10,"0","") &amp; MONTH(AP1) &amp; "-" &amp; YEAR(AP1)</f>
        <v>10-2020</v>
      </c>
      <c r="AQ2" s="300" t="str">
        <f t="shared" ref="AQ2" si="30">IF(MONTH(AQ1)&lt;10,"0","") &amp; MONTH(AQ1) &amp; "-" &amp; YEAR(AQ1)</f>
        <v>11-2020</v>
      </c>
      <c r="AR2" s="300" t="str">
        <f t="shared" ref="AR2" si="31">IF(MONTH(AR1)&lt;10,"0","") &amp; MONTH(AR1) &amp; "-" &amp; YEAR(AR1)</f>
        <v>12-2020</v>
      </c>
      <c r="AS2" s="300" t="str">
        <f t="shared" ref="AS2" si="32">IF(MONTH(AS1)&lt;10,"0","") &amp; MONTH(AS1) &amp; "-" &amp; YEAR(AS1)</f>
        <v>01-2021</v>
      </c>
      <c r="AT2" s="300" t="str">
        <f t="shared" ref="AT2" si="33">IF(MONTH(AT1)&lt;10,"0","") &amp; MONTH(AT1) &amp; "-" &amp; YEAR(AT1)</f>
        <v>02-2022</v>
      </c>
      <c r="AU2" s="257" t="str">
        <f t="shared" ref="AU2" si="34">MONTH(AU1) &amp; "-" &amp; YEAR(AU1)</f>
        <v>1-1900</v>
      </c>
      <c r="AV2" s="283" t="s">
        <v>110</v>
      </c>
      <c r="AW2" s="286" t="e">
        <f>SUBTOTAL(9,#REF!)</f>
        <v>#REF!</v>
      </c>
      <c r="AX2" s="286" t="e">
        <f>SUBTOTAL(9,#REF!)</f>
        <v>#REF!</v>
      </c>
      <c r="AY2" s="286" t="e">
        <f>SUBTOTAL(9,#REF!)</f>
        <v>#REF!</v>
      </c>
      <c r="AZ2" s="286" t="e">
        <f>SUBTOTAL(9,#REF!)</f>
        <v>#REF!</v>
      </c>
      <c r="BA2" s="286" t="e">
        <f>SUBTOTAL(9,#REF!)</f>
        <v>#REF!</v>
      </c>
      <c r="BB2" s="286" t="e">
        <f>SUBTOTAL(9,#REF!)</f>
        <v>#REF!</v>
      </c>
      <c r="BC2" s="286" t="e">
        <f>SUBTOTAL(9,#REF!)</f>
        <v>#REF!</v>
      </c>
      <c r="BD2" s="286" t="e">
        <f>SUBTOTAL(9,#REF!)</f>
        <v>#REF!</v>
      </c>
      <c r="BE2" s="286" t="e">
        <f>SUBTOTAL(9,#REF!)</f>
        <v>#REF!</v>
      </c>
      <c r="BF2" s="286" t="e">
        <f>SUBTOTAL(9,#REF!)</f>
        <v>#REF!</v>
      </c>
      <c r="BG2" s="286" t="e">
        <f>SUBTOTAL(9,#REF!)</f>
        <v>#REF!</v>
      </c>
      <c r="BH2" s="286" t="e">
        <f>SUBTOTAL(9,#REF!)</f>
        <v>#REF!</v>
      </c>
      <c r="BI2" s="286" t="e">
        <f>SUBTOTAL(9,#REF!)</f>
        <v>#REF!</v>
      </c>
      <c r="BJ2" s="286" t="e">
        <f>SUBTOTAL(9,#REF!)</f>
        <v>#REF!</v>
      </c>
      <c r="BK2" s="286" t="e">
        <f>SUBTOTAL(9,#REF!)</f>
        <v>#REF!</v>
      </c>
      <c r="BL2" s="286" t="e">
        <f>SUBTOTAL(9,#REF!)</f>
        <v>#REF!</v>
      </c>
      <c r="BP2" s="390"/>
      <c r="BQ2" s="391"/>
      <c r="BS2" s="390"/>
      <c r="BT2" s="391"/>
    </row>
    <row r="3" spans="2:72">
      <c r="B3" s="351">
        <v>43101</v>
      </c>
      <c r="E3" s="353"/>
      <c r="F3" s="344"/>
      <c r="G3" s="301"/>
      <c r="H3" s="301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2"/>
      <c r="AG3" s="301"/>
      <c r="AH3" s="301"/>
      <c r="AI3" s="301"/>
      <c r="AJ3" s="301"/>
      <c r="AK3" s="301"/>
      <c r="AL3" s="301"/>
      <c r="AM3" s="301"/>
      <c r="AN3" s="301"/>
      <c r="AO3" s="301"/>
      <c r="AP3" s="301"/>
      <c r="AQ3" s="301"/>
      <c r="AR3" s="302"/>
      <c r="AS3" s="286"/>
      <c r="AT3" s="286"/>
      <c r="BP3" s="390" t="s">
        <v>575</v>
      </c>
      <c r="BQ3" s="390" t="s">
        <v>575</v>
      </c>
      <c r="BS3" s="390" t="s">
        <v>576</v>
      </c>
      <c r="BT3" s="390" t="s">
        <v>576</v>
      </c>
    </row>
    <row r="4" spans="2:72">
      <c r="C4" s="357"/>
      <c r="D4" s="348"/>
      <c r="E4" s="354"/>
      <c r="F4" s="345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  <c r="R4" s="304"/>
      <c r="S4" s="304"/>
      <c r="T4" s="304"/>
      <c r="U4" s="304"/>
      <c r="V4" s="304"/>
      <c r="W4" s="304"/>
      <c r="X4" s="304"/>
      <c r="Y4" s="304"/>
      <c r="Z4" s="304"/>
      <c r="AA4" s="304"/>
      <c r="AB4" s="304"/>
      <c r="AC4" s="304"/>
      <c r="AD4" s="304"/>
      <c r="AE4" s="304"/>
      <c r="AF4" s="304"/>
      <c r="AG4" s="304"/>
      <c r="AH4" s="304"/>
      <c r="AI4" s="304"/>
      <c r="AJ4" s="304"/>
      <c r="AK4" s="304"/>
      <c r="AL4" s="304"/>
      <c r="AM4" s="304"/>
      <c r="AN4" s="304"/>
      <c r="AO4" s="304"/>
      <c r="AP4" s="304"/>
      <c r="AQ4" s="304"/>
      <c r="AR4" s="304"/>
      <c r="AS4" s="268"/>
      <c r="AT4" s="268"/>
      <c r="BP4" s="296" t="s">
        <v>139</v>
      </c>
      <c r="BQ4" s="296" t="s">
        <v>139</v>
      </c>
      <c r="BS4" s="296" t="s">
        <v>139</v>
      </c>
      <c r="BT4" s="296" t="s">
        <v>139</v>
      </c>
    </row>
    <row r="5" spans="2:72">
      <c r="B5" s="346"/>
      <c r="C5" s="358" t="s">
        <v>517</v>
      </c>
      <c r="D5" s="347"/>
      <c r="E5" s="347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306"/>
      <c r="T5" s="306"/>
      <c r="U5" s="306"/>
      <c r="V5" s="306"/>
      <c r="W5" s="306"/>
      <c r="X5" s="306"/>
      <c r="Y5" s="306"/>
      <c r="Z5" s="306"/>
      <c r="AA5" s="306"/>
      <c r="AB5" s="306"/>
      <c r="AC5" s="306"/>
      <c r="AD5" s="306"/>
      <c r="AE5" s="306"/>
      <c r="AF5" s="306"/>
      <c r="AG5" s="306"/>
      <c r="AH5" s="306"/>
      <c r="AI5" s="306"/>
      <c r="AJ5" s="306"/>
      <c r="AK5" s="306"/>
      <c r="AL5" s="306"/>
      <c r="AM5" s="306"/>
      <c r="AN5" s="306"/>
      <c r="AO5" s="306"/>
      <c r="AP5" s="306"/>
      <c r="AQ5" s="306"/>
      <c r="AR5" s="306"/>
      <c r="AS5" s="289"/>
      <c r="AT5" s="289"/>
      <c r="AU5" s="288"/>
      <c r="AV5" s="288"/>
      <c r="AW5" s="290"/>
      <c r="AX5" s="290"/>
      <c r="AY5" s="290"/>
      <c r="AZ5" s="290"/>
      <c r="BA5" s="290"/>
      <c r="BB5" s="290"/>
      <c r="BC5" s="290"/>
      <c r="BD5" s="290"/>
      <c r="BE5" s="290"/>
      <c r="BF5" s="290"/>
      <c r="BG5" s="290"/>
      <c r="BH5" s="290"/>
      <c r="BI5" s="290"/>
      <c r="BJ5" s="290"/>
      <c r="BK5" s="290"/>
      <c r="BL5" s="290"/>
      <c r="BM5" s="290"/>
      <c r="BP5" s="395" t="s">
        <v>573</v>
      </c>
      <c r="BQ5" s="396" t="s">
        <v>574</v>
      </c>
      <c r="BS5" s="395" t="s">
        <v>577</v>
      </c>
      <c r="BT5" s="396" t="s">
        <v>578</v>
      </c>
    </row>
    <row r="6" spans="2:72">
      <c r="B6" s="298" t="s">
        <v>518</v>
      </c>
      <c r="C6" s="359">
        <v>0.01</v>
      </c>
      <c r="D6" s="303"/>
      <c r="E6" s="303" t="s">
        <v>519</v>
      </c>
      <c r="F6" s="304">
        <f xml:space="preserve"> (1+MarkUp) * ( SUMIFS(LstMachines[Budget],LstMachines[MoisLivr],PlanFinance!F$2)
                      - SUMIFS(LstMachines[Budget],LstMachines[MoisLivr],PlanFinance!F$2,LstMachines[Status],"** Lost **")
                      - SUMIFS(LstMachines[Budget],LstMachines[MoisLivr],PlanFinance!F$2,LstMachines[Sub-Dealer],"ESM TP")
                      + SUMIFS(LstMachines[Budget],LstMachines[MoisLivr],PlanFinance!F$2,LstMachines[Sub-Dealer],"ESM TP",LstMachines[Status],"** Lost **")
                    )</f>
        <v>0</v>
      </c>
      <c r="G6" s="304">
        <f xml:space="preserve"> (1+MarkUp) * ( SUMIFS(LstMachines[Budget],LstMachines[MoisLivr],PlanFinance!G$2)
                      - SUMIFS(LstMachines[Budget],LstMachines[MoisLivr],PlanFinance!G$2,LstMachines[Status],"** Lost **")
                      - SUMIFS(LstMachines[Budget],LstMachines[MoisLivr],PlanFinance!G$2,LstMachines[Sub-Dealer],"ESM TP")
                      + SUMIFS(LstMachines[Budget],LstMachines[MoisLivr],PlanFinance!G$2,LstMachines[Sub-Dealer],"ESM TP",LstMachines[Status],"** Lost **")
                    )</f>
        <v>0</v>
      </c>
      <c r="H6" s="304">
        <f xml:space="preserve"> (1+MarkUp) * ( SUMIFS(LstMachines[Budget],LstMachines[MoisLivr],PlanFinance!H$2)
                      - SUMIFS(LstMachines[Budget],LstMachines[MoisLivr],PlanFinance!H$2,LstMachines[Status],"** Lost **")
                      - SUMIFS(LstMachines[Budget],LstMachines[MoisLivr],PlanFinance!H$2,LstMachines[Sub-Dealer],"ESM TP")
                      + SUMIFS(LstMachines[Budget],LstMachines[MoisLivr],PlanFinance!H$2,LstMachines[Sub-Dealer],"ESM TP",LstMachines[Status],"** Lost **")
                    )</f>
        <v>0</v>
      </c>
      <c r="I6" s="304">
        <f xml:space="preserve"> (1+MarkUp) * ( SUMIFS(LstMachines[Budget],LstMachines[MoisLivr],PlanFinance!I$2)
                      - SUMIFS(LstMachines[Budget],LstMachines[MoisLivr],PlanFinance!I$2,LstMachines[Status],"** Lost **")
                      - SUMIFS(LstMachines[Budget],LstMachines[MoisLivr],PlanFinance!I$2,LstMachines[Sub-Dealer],"ESM TP")
                      + SUMIFS(LstMachines[Budget],LstMachines[MoisLivr],PlanFinance!I$2,LstMachines[Sub-Dealer],"ESM TP",LstMachines[Status],"** Lost **")
                    )</f>
        <v>864.56000000000006</v>
      </c>
      <c r="J6" s="304">
        <f xml:space="preserve"> (1+MarkUp) * ( SUMIFS(LstMachines[Budget],LstMachines[MoisLivr],PlanFinance!J$2)
                      - SUMIFS(LstMachines[Budget],LstMachines[MoisLivr],PlanFinance!J$2,LstMachines[Status],"** Lost **")
                      - SUMIFS(LstMachines[Budget],LstMachines[MoisLivr],PlanFinance!J$2,LstMachines[Sub-Dealer],"ESM TP")
                      + SUMIFS(LstMachines[Budget],LstMachines[MoisLivr],PlanFinance!J$2,LstMachines[Sub-Dealer],"ESM TP",LstMachines[Status],"** Lost **")
                    )</f>
        <v>1271.5899999999999</v>
      </c>
      <c r="K6" s="304">
        <f xml:space="preserve"> (1+MarkUp) * ( SUMIFS(LstMachines[Budget],LstMachines[MoisLivr],PlanFinance!K$2)
                      - SUMIFS(LstMachines[Budget],LstMachines[MoisLivr],PlanFinance!K$2,LstMachines[Status],"** Lost **")
                      - SUMIFS(LstMachines[Budget],LstMachines[MoisLivr],PlanFinance!K$2,LstMachines[Sub-Dealer],"ESM TP")
                      + SUMIFS(LstMachines[Budget],LstMachines[MoisLivr],PlanFinance!K$2,LstMachines[Sub-Dealer],"ESM TP",LstMachines[Status],"** Lost **")
                    )</f>
        <v>928.19</v>
      </c>
      <c r="L6" s="304">
        <f xml:space="preserve"> (1+MarkUp) * ( SUMIFS(LstMachines[Budget],LstMachines[MoisLivr],PlanFinance!L$2)
                      - SUMIFS(LstMachines[Budget],LstMachines[MoisLivr],PlanFinance!L$2,LstMachines[Status],"** Lost **")
                      - SUMIFS(LstMachines[Budget],LstMachines[MoisLivr],PlanFinance!L$2,LstMachines[Sub-Dealer],"ESM TP")
                      + SUMIFS(LstMachines[Budget],LstMachines[MoisLivr],PlanFinance!L$2,LstMachines[Sub-Dealer],"ESM TP",LstMachines[Status],"** Lost **")
                    )</f>
        <v>2361.38</v>
      </c>
      <c r="M6" s="304">
        <f xml:space="preserve"> (1+MarkUp) * ( SUMIFS(LstMachines[Budget],LstMachines[MoisLivr],PlanFinance!M$2)
                      - SUMIFS(LstMachines[Budget],LstMachines[MoisLivr],PlanFinance!M$2,LstMachines[Status],"** Lost **")
                      - SUMIFS(LstMachines[Budget],LstMachines[MoisLivr],PlanFinance!M$2,LstMachines[Sub-Dealer],"ESM TP")
                      + SUMIFS(LstMachines[Budget],LstMachines[MoisLivr],PlanFinance!M$2,LstMachines[Sub-Dealer],"ESM TP",LstMachines[Status],"** Lost **")
                    )</f>
        <v>1023.13</v>
      </c>
      <c r="N6" s="304">
        <f xml:space="preserve"> (1+MarkUp) * ( SUMIFS(LstMachines[Budget],LstMachines[MoisLivr],PlanFinance!N$2)
                      - SUMIFS(LstMachines[Budget],LstMachines[MoisLivr],PlanFinance!N$2,LstMachines[Status],"** Lost **")
                      - SUMIFS(LstMachines[Budget],LstMachines[MoisLivr],PlanFinance!N$2,LstMachines[Sub-Dealer],"ESM TP")
                      + SUMIFS(LstMachines[Budget],LstMachines[MoisLivr],PlanFinance!N$2,LstMachines[Sub-Dealer],"ESM TP",LstMachines[Status],"** Lost **")
                    )</f>
        <v>2344.21</v>
      </c>
      <c r="O6" s="304">
        <f xml:space="preserve"> (1+MarkUp) * ( SUMIFS(LstMachines[Budget],LstMachines[MoisLivr],PlanFinance!O$2)
                      - SUMIFS(LstMachines[Budget],LstMachines[MoisLivr],PlanFinance!O$2,LstMachines[Status],"** Lost **")
                      - SUMIFS(LstMachines[Budget],LstMachines[MoisLivr],PlanFinance!O$2,LstMachines[Sub-Dealer],"ESM TP")
                      + SUMIFS(LstMachines[Budget],LstMachines[MoisLivr],PlanFinance!O$2,LstMachines[Sub-Dealer],"ESM TP",LstMachines[Status],"** Lost **")
                    )</f>
        <v>2068.48</v>
      </c>
      <c r="P6" s="304">
        <f xml:space="preserve"> (1+MarkUp) * ( SUMIFS(LstMachines[Budget],LstMachines[MoisLivr],PlanFinance!P$2)
                      - SUMIFS(LstMachines[Budget],LstMachines[MoisLivr],PlanFinance!P$2,LstMachines[Status],"** Lost **")
                      - SUMIFS(LstMachines[Budget],LstMachines[MoisLivr],PlanFinance!P$2,LstMachines[Sub-Dealer],"ESM TP")
                      + SUMIFS(LstMachines[Budget],LstMachines[MoisLivr],PlanFinance!P$2,LstMachines[Sub-Dealer],"ESM TP",LstMachines[Status],"** Lost **")
                    )</f>
        <v>1052.42</v>
      </c>
      <c r="Q6" s="304">
        <f xml:space="preserve"> (1+MarkUp) * ( SUMIFS(LstMachines[Budget],LstMachines[MoisLivr],PlanFinance!Q$2)
                      - SUMIFS(LstMachines[Budget],LstMachines[MoisLivr],PlanFinance!Q$2,LstMachines[Status],"** Lost **")
                      - SUMIFS(LstMachines[Budget],LstMachines[MoisLivr],PlanFinance!Q$2,LstMachines[Sub-Dealer],"ESM TP")
                      + SUMIFS(LstMachines[Budget],LstMachines[MoisLivr],PlanFinance!Q$2,LstMachines[Sub-Dealer],"ESM TP",LstMachines[Status],"** Lost **")
                    )</f>
        <v>1137.26</v>
      </c>
      <c r="R6" s="304">
        <f xml:space="preserve"> (1+MarkUp) * ( SUMIFS(LstMachines[Budget],LstMachines[MoisLivr],PlanFinance!R$2)
                      - SUMIFS(LstMachines[Budget],LstMachines[MoisLivr],PlanFinance!R$2,LstMachines[Status],"** Lost **")
                      - SUMIFS(LstMachines[Budget],LstMachines[MoisLivr],PlanFinance!R$2,LstMachines[Sub-Dealer],"ESM TP")
                      + SUMIFS(LstMachines[Budget],LstMachines[MoisLivr],PlanFinance!R$2,LstMachines[Sub-Dealer],"ESM TP",LstMachines[Status],"** Lost **")
                    )</f>
        <v>1782.65</v>
      </c>
      <c r="S6" s="304">
        <f xml:space="preserve"> (1+MarkUp) * ( SUMIFS(LstMachines[Budget],LstMachines[MoisLivr],PlanFinance!S$2)
                      - SUMIFS(LstMachines[Budget],LstMachines[MoisLivr],PlanFinance!S$2,LstMachines[Status],"** Lost **")
                      - SUMIFS(LstMachines[Budget],LstMachines[MoisLivr],PlanFinance!S$2,LstMachines[Sub-Dealer],"ESM TP")
                      + SUMIFS(LstMachines[Budget],LstMachines[MoisLivr],PlanFinance!S$2,LstMachines[Sub-Dealer],"ESM TP",LstMachines[Status],"** Lost **")
                    )</f>
        <v>997.88</v>
      </c>
      <c r="T6" s="304">
        <f xml:space="preserve"> (1+MarkUp) * ( SUMIFS(LstMachines[Budget],LstMachines[MoisLivr],PlanFinance!T$2)
                      - SUMIFS(LstMachines[Budget],LstMachines[MoisLivr],PlanFinance!T$2,LstMachines[Status],"** Lost **")
                      - SUMIFS(LstMachines[Budget],LstMachines[MoisLivr],PlanFinance!T$2,LstMachines[Sub-Dealer],"ESM TP")
                      + SUMIFS(LstMachines[Budget],LstMachines[MoisLivr],PlanFinance!T$2,LstMachines[Sub-Dealer],"ESM TP",LstMachines[Status],"** Lost **")
                    )</f>
        <v>445.41</v>
      </c>
      <c r="U6" s="304">
        <f xml:space="preserve"> (1+MarkUp) * ( SUMIFS(LstMachines[Budget],LstMachines[MoisLivr],PlanFinance!U$2)
                      - SUMIFS(LstMachines[Budget],LstMachines[MoisLivr],PlanFinance!U$2,LstMachines[Status],"** Lost **")
                      - SUMIFS(LstMachines[Budget],LstMachines[MoisLivr],PlanFinance!U$2,LstMachines[Sub-Dealer],"ESM TP")
                      + SUMIFS(LstMachines[Budget],LstMachines[MoisLivr],PlanFinance!U$2,LstMachines[Sub-Dealer],"ESM TP",LstMachines[Status],"** Lost **")
                    )</f>
        <v>430.26</v>
      </c>
      <c r="V6" s="304">
        <f xml:space="preserve"> (1+MarkUp) * ( SUMIFS(LstMachines[Budget],LstMachines[MoisLivr],PlanFinance!V$2)
                      - SUMIFS(LstMachines[Budget],LstMachines[MoisLivr],PlanFinance!V$2,LstMachines[Status],"** Lost **")
                      - SUMIFS(LstMachines[Budget],LstMachines[MoisLivr],PlanFinance!V$2,LstMachines[Sub-Dealer],"ESM TP")
                      + SUMIFS(LstMachines[Budget],LstMachines[MoisLivr],PlanFinance!V$2,LstMachines[Sub-Dealer],"ESM TP",LstMachines[Status],"** Lost **")
                    )</f>
        <v>747.4</v>
      </c>
      <c r="W6" s="304">
        <f xml:space="preserve"> (1+MarkUp) * ( SUMIFS(LstMachines[Budget],LstMachines[MoisLivr],PlanFinance!W$2)
                      - SUMIFS(LstMachines[Budget],LstMachines[MoisLivr],PlanFinance!W$2,LstMachines[Status],"** Lost **")
                      - SUMIFS(LstMachines[Budget],LstMachines[MoisLivr],PlanFinance!W$2,LstMachines[Sub-Dealer],"ESM TP")
                      + SUMIFS(LstMachines[Budget],LstMachines[MoisLivr],PlanFinance!W$2,LstMachines[Sub-Dealer],"ESM TP",LstMachines[Status],"** Lost **")
                    )</f>
        <v>1058.48</v>
      </c>
      <c r="X6" s="304">
        <f xml:space="preserve"> (1+MarkUp) * ( SUMIFS(LstMachines[Budget],LstMachines[MoisLivr],PlanFinance!X$2)
                      - SUMIFS(LstMachines[Budget],LstMachines[MoisLivr],PlanFinance!X$2,LstMachines[Status],"** Lost **")
                      - SUMIFS(LstMachines[Budget],LstMachines[MoisLivr],PlanFinance!X$2,LstMachines[Sub-Dealer],"ESM TP")
                    )</f>
        <v>437.33</v>
      </c>
      <c r="Y6" s="304">
        <f xml:space="preserve"> (1+MarkUp) * ( SUMIFS(LstMachines[Budget],LstMachines[MoisLivr],PlanFinance!Y$2)
                      - SUMIFS(LstMachines[Budget],LstMachines[MoisLivr],PlanFinance!Y$2,LstMachines[Status],"** Lost **")
                      - SUMIFS(LstMachines[Budget],LstMachines[MoisLivr],PlanFinance!Y$2,LstMachines[Sub-Dealer],"ESM TP")
                    )</f>
        <v>191.9</v>
      </c>
      <c r="Z6" s="304">
        <f xml:space="preserve"> (1+MarkUp) * ( SUMIFS(LstMachines[Budget],LstMachines[MoisLivr],PlanFinance!Z$2)
                      - SUMIFS(LstMachines[Budget],LstMachines[MoisLivr],PlanFinance!Z$2,LstMachines[Status],"** Lost **")
                      - SUMIFS(LstMachines[Budget],LstMachines[MoisLivr],PlanFinance!Z$2,LstMachines[Sub-Dealer],"ESM TP")
                    )</f>
        <v>11776.6</v>
      </c>
      <c r="AA6" s="304">
        <f xml:space="preserve"> (1+MarkUp) * ( SUMIFS(LstMachines[Budget],LstMachines[MoisLivr],PlanFinance!AA$2)
                      - SUMIFS(LstMachines[Budget],LstMachines[MoisLivr],PlanFinance!AA$2,LstMachines[Status],"** Lost **")
                      - SUMIFS(LstMachines[Budget],LstMachines[MoisLivr],PlanFinance!AA$2,LstMachines[Sub-Dealer],"ESM TP")
                    )</f>
        <v>272.7</v>
      </c>
      <c r="AB6" s="304">
        <f xml:space="preserve"> (1+MarkUp) * ( SUMIFS(LstMachines[Budget],LstMachines[MoisLivr],PlanFinance!AB$2)
                      - SUMIFS(LstMachines[Budget],LstMachines[MoisLivr],PlanFinance!AB$2,LstMachines[Status],"** Lost **")
                      - SUMIFS(LstMachines[Budget],LstMachines[MoisLivr],PlanFinance!AB$2,LstMachines[Sub-Dealer],"ESM TP")
                    )</f>
        <v>110.09</v>
      </c>
      <c r="AC6" s="304">
        <f xml:space="preserve"> (1+MarkUp) * ( SUMIFS(LstMachines[Budget],LstMachines[MoisLivr],PlanFinance!AC$2)
                      - SUMIFS(LstMachines[Budget],LstMachines[MoisLivr],PlanFinance!AC$2,LstMachines[Status],"** Lost **")
                      - SUMIFS(LstMachines[Budget],LstMachines[MoisLivr],PlanFinance!AC$2,LstMachines[Sub-Dealer],"ESM TP")
                    )</f>
        <v>434.3</v>
      </c>
      <c r="AD6" s="304">
        <f xml:space="preserve"> (1+MarkUp) * ( SUMIFS(LstMachines[Budget],LstMachines[MoisLivr],PlanFinance!AD$2)
                      - SUMIFS(LstMachines[Budget],LstMachines[MoisLivr],PlanFinance!AD$2,LstMachines[Status],"** Lost **")
                      - SUMIFS(LstMachines[Budget],LstMachines[MoisLivr],PlanFinance!AD$2,LstMachines[Sub-Dealer],"ESM TP")
                    )</f>
        <v>103.02</v>
      </c>
      <c r="AE6" s="304">
        <f xml:space="preserve"> (1+MarkUp) * ( SUMIFS(LstMachines[Budget],LstMachines[MoisLivr],PlanFinance!AE$2)
                      - SUMIFS(LstMachines[Budget],LstMachines[MoisLivr],PlanFinance!AE$2,LstMachines[Status],"** Lost **")
                      - SUMIFS(LstMachines[Budget],LstMachines[MoisLivr],PlanFinance!AE$2,LstMachines[Sub-Dealer],"ESM TP")
                    )</f>
        <v>0</v>
      </c>
      <c r="AF6" s="304">
        <f xml:space="preserve"> (1+MarkUp) * ( SUMIFS(LstMachines[Budget],LstMachines[MoisLivr],PlanFinance!AF$2)
                      - SUMIFS(LstMachines[Budget],LstMachines[MoisLivr],PlanFinance!AF$2,LstMachines[Status],"** Lost **")
                      - SUMIFS(LstMachines[Budget],LstMachines[MoisLivr],PlanFinance!AF$2,LstMachines[Sub-Dealer],"ESM TP")
                    )</f>
        <v>0</v>
      </c>
      <c r="AG6" s="304">
        <f xml:space="preserve"> (1+MarkUp) * ( SUMIFS(LstMachines[Budget],LstMachines[MoisLivr],PlanFinance!AG$2)
                      - SUMIFS(LstMachines[Budget],LstMachines[MoisLivr],PlanFinance!AG$2,LstMachines[Status],"** Lost **")
                      - SUMIFS(LstMachines[Budget],LstMachines[MoisLivr],PlanFinance!AG$2,LstMachines[Sub-Dealer],"ESM TP")
                    )</f>
        <v>0</v>
      </c>
      <c r="AH6" s="304">
        <f xml:space="preserve"> (1+MarkUp) * ( SUMIFS(LstMachines[Budget],LstMachines[MoisLivr],PlanFinance!AH$2)
                      - SUMIFS(LstMachines[Budget],LstMachines[MoisLivr],PlanFinance!AH$2,LstMachines[Status],"** Lost **")
                      - SUMIFS(LstMachines[Budget],LstMachines[MoisLivr],PlanFinance!AH$2,LstMachines[Sub-Dealer],"ESM TP")
                    )</f>
        <v>0</v>
      </c>
      <c r="AI6" s="304">
        <f xml:space="preserve"> (1+MarkUp) * ( SUMIFS(LstMachines[Budget],LstMachines[MoisLivr],PlanFinance!AI$2)
                      - SUMIFS(LstMachines[Budget],LstMachines[MoisLivr],PlanFinance!AI$2,LstMachines[Status],"** Lost **")
                      - SUMIFS(LstMachines[Budget],LstMachines[MoisLivr],PlanFinance!AI$2,LstMachines[Sub-Dealer],"ESM TP")
                    )</f>
        <v>0</v>
      </c>
      <c r="AJ6" s="304">
        <f xml:space="preserve"> (1+MarkUp) * ( SUMIFS(LstMachines[Budget],LstMachines[MoisLivr],PlanFinance!AJ$2)
                      - SUMIFS(LstMachines[Budget],LstMachines[MoisLivr],PlanFinance!AJ$2,LstMachines[Status],"** Lost **")
                      - SUMIFS(LstMachines[Budget],LstMachines[MoisLivr],PlanFinance!AJ$2,LstMachines[Sub-Dealer],"ESM TP")
                    )</f>
        <v>0</v>
      </c>
      <c r="AK6" s="304">
        <f xml:space="preserve"> (1+MarkUp) * ( SUMIFS(LstMachines[Budget],LstMachines[MoisLivr],PlanFinance!AK$2)
                      - SUMIFS(LstMachines[Budget],LstMachines[MoisLivr],PlanFinance!AK$2,LstMachines[Status],"** Lost **")
                      - SUMIFS(LstMachines[Budget],LstMachines[MoisLivr],PlanFinance!AK$2,LstMachines[Sub-Dealer],"ESM TP")
                    )</f>
        <v>0</v>
      </c>
      <c r="AL6" s="304">
        <f xml:space="preserve"> (1+MarkUp) * ( SUMIFS(LstMachines[Budget],LstMachines[MoisLivr],PlanFinance!AL$2)
                      - SUMIFS(LstMachines[Budget],LstMachines[MoisLivr],PlanFinance!AL$2,LstMachines[Status],"** Lost **")
                      - SUMIFS(LstMachines[Budget],LstMachines[MoisLivr],PlanFinance!AL$2,LstMachines[Sub-Dealer],"ESM TP")
                    )</f>
        <v>12871.44</v>
      </c>
      <c r="AM6" s="304">
        <f xml:space="preserve"> (1+MarkUp) * ( SUMIFS(LstMachines[Budget],LstMachines[MoisLivr],PlanFinance!AM$2)
                      - SUMIFS(LstMachines[Budget],LstMachines[MoisLivr],PlanFinance!AM$2,LstMachines[Status],"** Lost **")
                      - SUMIFS(LstMachines[Budget],LstMachines[MoisLivr],PlanFinance!AM$2,LstMachines[Sub-Dealer],"ESM TP")
                    )</f>
        <v>0</v>
      </c>
      <c r="AN6" s="304">
        <f xml:space="preserve"> (1+MarkUp) * ( SUMIFS(LstMachines[Budget],LstMachines[MoisLivr],PlanFinance!AN$2)
                      - SUMIFS(LstMachines[Budget],LstMachines[MoisLivr],PlanFinance!AN$2,LstMachines[Status],"** Lost **")
                      - SUMIFS(LstMachines[Budget],LstMachines[MoisLivr],PlanFinance!AN$2,LstMachines[Sub-Dealer],"ESM TP")
                    )</f>
        <v>0</v>
      </c>
      <c r="AO6" s="304">
        <f xml:space="preserve"> (1+MarkUp) * ( SUMIFS(LstMachines[Budget],LstMachines[MoisLivr],PlanFinance!AO$2)
                      - SUMIFS(LstMachines[Budget],LstMachines[MoisLivr],PlanFinance!AO$2,LstMachines[Status],"** Lost **")
                      - SUMIFS(LstMachines[Budget],LstMachines[MoisLivr],PlanFinance!AO$2,LstMachines[Sub-Dealer],"ESM TP")
                    )</f>
        <v>0</v>
      </c>
      <c r="AP6" s="304">
        <f xml:space="preserve"> (1+MarkUp) * ( SUMIFS(LstMachines[Budget],LstMachines[MoisLivr],PlanFinance!AP$2)
                      - SUMIFS(LstMachines[Budget],LstMachines[MoisLivr],PlanFinance!AP$2,LstMachines[Status],"** Lost **")
                      - SUMIFS(LstMachines[Budget],LstMachines[MoisLivr],PlanFinance!AP$2,LstMachines[Sub-Dealer],"ESM TP")
                    )</f>
        <v>0</v>
      </c>
      <c r="AQ6" s="304">
        <f xml:space="preserve"> (1+MarkUp) * ( SUMIFS(LstMachines[Budget],LstMachines[MoisLivr],PlanFinance!AQ$2)
                      - SUMIFS(LstMachines[Budget],LstMachines[MoisLivr],PlanFinance!AQ$2,LstMachines[Status],"** Lost **")
                      - SUMIFS(LstMachines[Budget],LstMachines[MoisLivr],PlanFinance!AQ$2,LstMachines[Sub-Dealer],"ESM TP")
                    )</f>
        <v>0</v>
      </c>
      <c r="AR6" s="304">
        <f xml:space="preserve"> (1+MarkUp) * ( SUMIFS(LstMachines[Budget],LstMachines[MoisLivr],PlanFinance!AR$2)
                      - SUMIFS(LstMachines[Budget],LstMachines[MoisLivr],PlanFinance!AR$2,LstMachines[Status],"** Lost **")
                      - SUMIFS(LstMachines[Budget],LstMachines[MoisLivr],PlanFinance!AR$2,LstMachines[Sub-Dealer],"ESM TP")
                    )</f>
        <v>0</v>
      </c>
      <c r="AS6" s="287"/>
      <c r="AT6" s="287"/>
      <c r="BP6" s="394"/>
      <c r="BQ6" s="393"/>
      <c r="BS6" s="394"/>
      <c r="BT6" s="393"/>
    </row>
    <row r="7" spans="2:72">
      <c r="B7" s="303" t="s">
        <v>497</v>
      </c>
      <c r="C7" s="360">
        <v>120</v>
      </c>
      <c r="D7" s="387">
        <v>0.8</v>
      </c>
      <c r="E7" s="303" t="s">
        <v>500</v>
      </c>
      <c r="F7" s="304">
        <f xml:space="preserve"> VENTE_stock * (1+MarkUp) *  ( SUMIFS(LstMachines[Budget],LstMachines[MoisVteESM],PlanFinance!F$2,LstMachines[Sub-Dealer],"ESM TP")
                       - SUMIFS(LstMachines[Budget],LstMachines[MoisVteESM],PlanFinance!F$2,LstMachines[Sub-Dealer],"ESM TP",LstMachines[Status],"** Lost **")
                       )</f>
        <v>0</v>
      </c>
      <c r="G7" s="304">
        <f xml:space="preserve"> VENTE_stock * (1+MarkUp) *  ( SUMIFS(LstMachines[Budget],LstMachines[MoisVteESM],PlanFinance!G$2,LstMachines[Sub-Dealer],"ESM TP")
                       - SUMIFS(LstMachines[Budget],LstMachines[MoisVteESM],PlanFinance!G$2,LstMachines[Sub-Dealer],"ESM TP",LstMachines[Status],"** Lost **")
                       )</f>
        <v>0</v>
      </c>
      <c r="H7" s="304">
        <f xml:space="preserve"> VENTE_stock * (1+MarkUp) *  ( SUMIFS(LstMachines[Budget],LstMachines[MoisVteESM],PlanFinance!H$2,LstMachines[Sub-Dealer],"ESM TP")
                       - SUMIFS(LstMachines[Budget],LstMachines[MoisVteESM],PlanFinance!H$2,LstMachines[Sub-Dealer],"ESM TP",LstMachines[Status],"** Lost **")
                       )</f>
        <v>0</v>
      </c>
      <c r="I7" s="304">
        <f xml:space="preserve"> VENTE_stock * (1+MarkUp) *  ( SUMIFS(LstMachines[Budget],LstMachines[MoisVteESM],PlanFinance!I$2,LstMachines[Sub-Dealer],"ESM TP")
                       - SUMIFS(LstMachines[Budget],LstMachines[MoisVteESM],PlanFinance!I$2,LstMachines[Sub-Dealer],"ESM TP",LstMachines[Status],"** Lost **")
                       )</f>
        <v>0</v>
      </c>
      <c r="J7" s="304">
        <f xml:space="preserve"> VENTE_stock * (1+MarkUp) *  ( SUMIFS(LstMachines[Budget],LstMachines[MoisVteESM],PlanFinance!J$2,LstMachines[Sub-Dealer],"ESM TP")
                       - SUMIFS(LstMachines[Budget],LstMachines[MoisVteESM],PlanFinance!J$2,LstMachines[Sub-Dealer],"ESM TP",LstMachines[Status],"** Lost **")
                       )</f>
        <v>0</v>
      </c>
      <c r="K7" s="304">
        <f xml:space="preserve"> VENTE_stock * (1+MarkUp) *  ( SUMIFS(LstMachines[Budget],LstMachines[MoisVteESM],PlanFinance!K$2,LstMachines[Sub-Dealer],"ESM TP")
                       - SUMIFS(LstMachines[Budget],LstMachines[MoisVteESM],PlanFinance!K$2,LstMachines[Sub-Dealer],"ESM TP",LstMachines[Status],"** Lost **")
                       )</f>
        <v>0</v>
      </c>
      <c r="L7" s="304">
        <f xml:space="preserve"> VENTE_stock * (1+MarkUp) *  ( SUMIFS(LstMachines[Budget],LstMachines[MoisVteESM],PlanFinance!L$2,LstMachines[Sub-Dealer],"ESM TP")
                       - SUMIFS(LstMachines[Budget],LstMachines[MoisVteESM],PlanFinance!L$2,LstMachines[Sub-Dealer],"ESM TP",LstMachines[Status],"** Lost **")
                       )</f>
        <v>0</v>
      </c>
      <c r="M7" s="304">
        <f xml:space="preserve"> VENTE_stock * (1+MarkUp) *  ( SUMIFS(LstMachines[Budget],LstMachines[MoisVteESM],PlanFinance!M$2,LstMachines[Sub-Dealer],"ESM TP")
                       - SUMIFS(LstMachines[Budget],LstMachines[MoisVteESM],PlanFinance!M$2,LstMachines[Sub-Dealer],"ESM TP",LstMachines[Status],"** Lost **")
                       )</f>
        <v>0</v>
      </c>
      <c r="N7" s="304">
        <f xml:space="preserve"> VENTE_stock * (1+MarkUp) *  ( SUMIFS(LstMachines[Budget],LstMachines[MoisVteESM],PlanFinance!N$2,LstMachines[Sub-Dealer],"ESM TP")
                       - SUMIFS(LstMachines[Budget],LstMachines[MoisVteESM],PlanFinance!N$2,LstMachines[Sub-Dealer],"ESM TP",LstMachines[Status],"** Lost **")
                       )</f>
        <v>0</v>
      </c>
      <c r="O7" s="304">
        <f xml:space="preserve"> VENTE_stock * (1+MarkUp) *  ( SUMIFS(LstMachines[Budget],LstMachines[MoisVteESM],PlanFinance!O$2,LstMachines[Sub-Dealer],"ESM TP")
                       - SUMIFS(LstMachines[Budget],LstMachines[MoisVteESM],PlanFinance!O$2,LstMachines[Sub-Dealer],"ESM TP",LstMachines[Status],"** Lost **")
                       )</f>
        <v>0</v>
      </c>
      <c r="P7" s="304">
        <f xml:space="preserve"> VENTE_stock * (1+MarkUp) *  ( SUMIFS(LstMachines[Budget],LstMachines[MoisVteESM],PlanFinance!P$2,LstMachines[Sub-Dealer],"ESM TP")
                       - SUMIFS(LstMachines[Budget],LstMachines[MoisVteESM],PlanFinance!P$2,LstMachines[Sub-Dealer],"ESM TP",LstMachines[Status],"** Lost **")
                       )</f>
        <v>206.84800000000001</v>
      </c>
      <c r="Q7" s="304">
        <f xml:space="preserve"> VENTE_stock * (1+MarkUp) *  ( SUMIFS(LstMachines[Budget],LstMachines[MoisVteESM],PlanFinance!Q$2,LstMachines[Sub-Dealer],"ESM TP")
                       - SUMIFS(LstMachines[Budget],LstMachines[MoisVteESM],PlanFinance!Q$2,LstMachines[Sub-Dealer],"ESM TP",LstMachines[Status],"** Lost **")
                       )</f>
        <v>207.65600000000001</v>
      </c>
      <c r="R7" s="304">
        <f xml:space="preserve"> VENTE_stock * (1+MarkUp) *  ( SUMIFS(LstMachines[Budget],LstMachines[MoisVteESM],PlanFinance!R$2,LstMachines[Sub-Dealer],"ESM TP")
                       - SUMIFS(LstMachines[Budget],LstMachines[MoisVteESM],PlanFinance!R$2,LstMachines[Sub-Dealer],"ESM TP",LstMachines[Status],"** Lost **")
                       )</f>
        <v>311.08000000000004</v>
      </c>
      <c r="S7" s="304">
        <f xml:space="preserve"> VENTE_stock * (1+MarkUp) *  ( SUMIFS(LstMachines[Budget],LstMachines[MoisVteESM],PlanFinance!S$2,LstMachines[Sub-Dealer],"ESM TP")
                       - SUMIFS(LstMachines[Budget],LstMachines[MoisVteESM],PlanFinance!S$2,LstMachines[Sub-Dealer],"ESM TP",LstMachines[Status],"** Lost **")
                       )</f>
        <v>275.52800000000002</v>
      </c>
      <c r="T7" s="304">
        <f xml:space="preserve"> VENTE_stock * (1+MarkUp) *  ( SUMIFS(LstMachines[Budget],LstMachines[MoisVteESM],PlanFinance!T$2,LstMachines[Sub-Dealer],"ESM TP")
                       - SUMIFS(LstMachines[Budget],LstMachines[MoisVteESM],PlanFinance!T$2,LstMachines[Sub-Dealer],"ESM TP",LstMachines[Status],"** Lost **")
                       )</f>
        <v>166.44800000000001</v>
      </c>
      <c r="U7" s="304">
        <f xml:space="preserve"> VENTE_stock * (1+MarkUp) *  ( SUMIFS(LstMachines[Budget],LstMachines[MoisVteESM],PlanFinance!U$2,LstMachines[Sub-Dealer],"ESM TP")
                       - SUMIFS(LstMachines[Budget],LstMachines[MoisVteESM],PlanFinance!U$2,LstMachines[Sub-Dealer],"ESM TP",LstMachines[Status],"** Lost **")
                       )</f>
        <v>448.44000000000005</v>
      </c>
      <c r="V7" s="304">
        <f xml:space="preserve"> VENTE_stock * (1+MarkUp) *  ( SUMIFS(LstMachines[Budget],LstMachines[MoisVteESM],PlanFinance!V$2,LstMachines[Sub-Dealer],"ESM TP")
                       - SUMIFS(LstMachines[Budget],LstMachines[MoisVteESM],PlanFinance!V$2,LstMachines[Sub-Dealer],"ESM TP",LstMachines[Status],"** Lost **")
                       )</f>
        <v>166.44800000000001</v>
      </c>
      <c r="W7" s="304">
        <f xml:space="preserve"> VENTE_stock * (1+MarkUp) *  ( SUMIFS(LstMachines[Budget],LstMachines[MoisVteESM],PlanFinance!W$2,LstMachines[Sub-Dealer],"ESM TP")
                       - SUMIFS(LstMachines[Budget],LstMachines[MoisVteESM],PlanFinance!W$2,LstMachines[Sub-Dealer],"ESM TP",LstMachines[Status],"** Lost **")
                       )</f>
        <v>233.51200000000003</v>
      </c>
      <c r="X7" s="304">
        <f xml:space="preserve"> VENTE_stock * (1+MarkUp) *  ( SUMIFS(LstMachines[Budget],LstMachines[MoisVteESM],PlanFinance!X$2,LstMachines[Sub-Dealer],"ESM TP")
                       - SUMIFS(LstMachines[Budget],LstMachines[MoisVteESM],PlanFinance!X$2,LstMachines[Sub-Dealer],"ESM TP",LstMachines[Status],"** Lost **")
                       )</f>
        <v>218.16000000000003</v>
      </c>
      <c r="Y7" s="304">
        <f xml:space="preserve"> VENTE_stock * (1+MarkUp) *  ( SUMIFS(LstMachines[Budget],LstMachines[MoisVteESM],PlanFinance!Y$2,LstMachines[Sub-Dealer],"ESM TP")
                       - SUMIFS(LstMachines[Budget],LstMachines[MoisVteESM],PlanFinance!Y$2,LstMachines[Sub-Dealer],"ESM TP",LstMachines[Status],"** Lost **")
                       )</f>
        <v>0</v>
      </c>
      <c r="Z7" s="304">
        <f xml:space="preserve"> VENTE_stock * (1+MarkUp) *  ( SUMIFS(LstMachines[Budget],LstMachines[MoisVteESM],PlanFinance!Z$2,LstMachines[Sub-Dealer],"ESM TP")
                       - SUMIFS(LstMachines[Budget],LstMachines[MoisVteESM],PlanFinance!Z$2,LstMachines[Sub-Dealer],"ESM TP",LstMachines[Status],"** Lost **")
                       )</f>
        <v>0</v>
      </c>
      <c r="AA7" s="304">
        <f xml:space="preserve"> VENTE_stock * (1+MarkUp) *  ( SUMIFS(LstMachines[Budget],LstMachines[MoisVteESM],PlanFinance!AA$2,LstMachines[Sub-Dealer],"ESM TP")
                       - SUMIFS(LstMachines[Budget],LstMachines[MoisVteESM],PlanFinance!AA$2,LstMachines[Sub-Dealer],"ESM TP",LstMachines[Status],"** Lost **")
                       )</f>
        <v>0</v>
      </c>
      <c r="AB7" s="304">
        <f xml:space="preserve"> VENTE_stock * (1+MarkUp) *  ( SUMIFS(LstMachines[Budget],LstMachines[MoisVteESM],PlanFinance!AB$2,LstMachines[Sub-Dealer],"ESM TP")
                       - SUMIFS(LstMachines[Budget],LstMachines[MoisVteESM],PlanFinance!AB$2,LstMachines[Sub-Dealer],"ESM TP",LstMachines[Status],"** Lost **")
                       )</f>
        <v>206.84800000000001</v>
      </c>
      <c r="AC7" s="304">
        <f xml:space="preserve"> VENTE_stock * (1+MarkUp) *  ( SUMIFS(LstMachines[Budget],LstMachines[MoisVteESM],PlanFinance!AC$2,LstMachines[Sub-Dealer],"ESM TP")
                       - SUMIFS(LstMachines[Budget],LstMachines[MoisVteESM],PlanFinance!AC$2,LstMachines[Sub-Dealer],"ESM TP",LstMachines[Status],"** Lost **")
                       )</f>
        <v>207.65600000000001</v>
      </c>
      <c r="AD7" s="304">
        <f xml:space="preserve"> VENTE_stock * (1+MarkUp) *  ( SUMIFS(LstMachines[Budget],LstMachines[MoisVteESM],PlanFinance!AD$2,LstMachines[Sub-Dealer],"ESM TP")
                       - SUMIFS(LstMachines[Budget],LstMachines[MoisVteESM],PlanFinance!AD$2,LstMachines[Sub-Dealer],"ESM TP",LstMachines[Status],"** Lost **")
                       )</f>
        <v>311.08000000000004</v>
      </c>
      <c r="AE7" s="304">
        <f xml:space="preserve"> VENTE_stock * (1+MarkUp) *  ( SUMIFS(LstMachines[Budget],LstMachines[MoisVteESM],PlanFinance!AE$2,LstMachines[Sub-Dealer],"ESM TP")
                       - SUMIFS(LstMachines[Budget],LstMachines[MoisVteESM],PlanFinance!AE$2,LstMachines[Sub-Dealer],"ESM TP",LstMachines[Status],"** Lost **")
                       )</f>
        <v>275.52800000000002</v>
      </c>
      <c r="AF7" s="304">
        <f xml:space="preserve"> VENTE_stock * (1+MarkUp) *  ( SUMIFS(LstMachines[Budget],LstMachines[MoisVteESM],PlanFinance!AF$2,LstMachines[Sub-Dealer],"ESM TP")
                       - SUMIFS(LstMachines[Budget],LstMachines[MoisVteESM],PlanFinance!AF$2,LstMachines[Sub-Dealer],"ESM TP",LstMachines[Status],"** Lost **")
                       )</f>
        <v>166.44800000000001</v>
      </c>
      <c r="AG7" s="304">
        <f xml:space="preserve"> VENTE_stock * (1+MarkUp) *  ( SUMIFS(LstMachines[Budget],LstMachines[MoisVteESM],PlanFinance!AG$2,LstMachines[Sub-Dealer],"ESM TP")
                       - SUMIFS(LstMachines[Budget],LstMachines[MoisVteESM],PlanFinance!AG$2,LstMachines[Sub-Dealer],"ESM TP",LstMachines[Status],"** Lost **")
                       )</f>
        <v>448.44000000000005</v>
      </c>
      <c r="AH7" s="304">
        <f xml:space="preserve"> VENTE_stock * (1+MarkUp) *  ( SUMIFS(LstMachines[Budget],LstMachines[MoisVteESM],PlanFinance!AH$2,LstMachines[Sub-Dealer],"ESM TP")
                       - SUMIFS(LstMachines[Budget],LstMachines[MoisVteESM],PlanFinance!AH$2,LstMachines[Sub-Dealer],"ESM TP",LstMachines[Status],"** Lost **")
                       )</f>
        <v>166.44800000000001</v>
      </c>
      <c r="AI7" s="304">
        <f xml:space="preserve"> VENTE_stock * (1+MarkUp) *  ( SUMIFS(LstMachines[Budget],LstMachines[MoisVteESM],PlanFinance!AI$2,LstMachines[Sub-Dealer],"ESM TP")
                       - SUMIFS(LstMachines[Budget],LstMachines[MoisVteESM],PlanFinance!AI$2,LstMachines[Sub-Dealer],"ESM TP",LstMachines[Status],"** Lost **")
                       )</f>
        <v>233.51200000000003</v>
      </c>
      <c r="AJ7" s="304">
        <f xml:space="preserve"> VENTE_stock * (1+MarkUp) *  ( SUMIFS(LstMachines[Budget],LstMachines[MoisVteESM],PlanFinance!AJ$2,LstMachines[Sub-Dealer],"ESM TP")
                       - SUMIFS(LstMachines[Budget],LstMachines[MoisVteESM],PlanFinance!AJ$2,LstMachines[Sub-Dealer],"ESM TP",LstMachines[Status],"** Lost **")
                       )</f>
        <v>218.16000000000003</v>
      </c>
      <c r="AK7" s="304">
        <f xml:space="preserve"> VENTE_stock * (1+MarkUp) *  ( SUMIFS(LstMachines[Budget],LstMachines[MoisVteESM],PlanFinance!AK$2,LstMachines[Sub-Dealer],"ESM TP")
                       - SUMIFS(LstMachines[Budget],LstMachines[MoisVteESM],PlanFinance!AK$2,LstMachines[Sub-Dealer],"ESM TP",LstMachines[Status],"** Lost **")
                       )</f>
        <v>0</v>
      </c>
      <c r="AL7" s="304">
        <f xml:space="preserve"> VENTE_stock * (1+MarkUp) *  ( SUMIFS(LstMachines[Budget],LstMachines[MoisVteESM],PlanFinance!AL$2,LstMachines[Sub-Dealer],"ESM TP")
                       - SUMIFS(LstMachines[Budget],LstMachines[MoisVteESM],PlanFinance!AL$2,LstMachines[Sub-Dealer],"ESM TP",LstMachines[Status],"** Lost **")
                       )</f>
        <v>0</v>
      </c>
      <c r="AM7" s="304">
        <f xml:space="preserve"> VENTE_stock * (1+MarkUp) *  ( SUMIFS(LstMachines[Budget],LstMachines[MoisVteESM],PlanFinance!AM$2,LstMachines[Sub-Dealer],"ESM TP")
                       - SUMIFS(LstMachines[Budget],LstMachines[MoisVteESM],PlanFinance!AM$2,LstMachines[Sub-Dealer],"ESM TP",LstMachines[Status],"** Lost **")
                       )</f>
        <v>0</v>
      </c>
      <c r="AN7" s="304">
        <f xml:space="preserve"> VENTE_stock * (1+MarkUp) *  ( SUMIFS(LstMachines[Budget],LstMachines[MoisVteESM],PlanFinance!AN$2,LstMachines[Sub-Dealer],"ESM TP")
                       - SUMIFS(LstMachines[Budget],LstMachines[MoisVteESM],PlanFinance!AN$2,LstMachines[Sub-Dealer],"ESM TP",LstMachines[Status],"** Lost **")
                       )</f>
        <v>206.84800000000001</v>
      </c>
      <c r="AO7" s="304">
        <f xml:space="preserve"> VENTE_stock * (1+MarkUp) *  ( SUMIFS(LstMachines[Budget],LstMachines[MoisVteESM],PlanFinance!AO$2,LstMachines[Sub-Dealer],"ESM TP")
                       - SUMIFS(LstMachines[Budget],LstMachines[MoisVteESM],PlanFinance!AO$2,LstMachines[Sub-Dealer],"ESM TP",LstMachines[Status],"** Lost **")
                       )</f>
        <v>207.65600000000001</v>
      </c>
      <c r="AP7" s="304">
        <f xml:space="preserve"> VENTE_stock * (1+MarkUp) *  ( SUMIFS(LstMachines[Budget],LstMachines[MoisVteESM],PlanFinance!AP$2,LstMachines[Sub-Dealer],"ESM TP")
                       - SUMIFS(LstMachines[Budget],LstMachines[MoisVteESM],PlanFinance!AP$2,LstMachines[Sub-Dealer],"ESM TP",LstMachines[Status],"** Lost **")
                       )</f>
        <v>311.08000000000004</v>
      </c>
      <c r="AQ7" s="304">
        <f xml:space="preserve"> VENTE_stock * (1+MarkUp) *  ( SUMIFS(LstMachines[Budget],LstMachines[MoisVteESM],PlanFinance!AQ$2,LstMachines[Sub-Dealer],"ESM TP")
                       - SUMIFS(LstMachines[Budget],LstMachines[MoisVteESM],PlanFinance!AQ$2,LstMachines[Sub-Dealer],"ESM TP",LstMachines[Status],"** Lost **")
                       )</f>
        <v>275.52800000000002</v>
      </c>
      <c r="AR7" s="304">
        <f xml:space="preserve"> VENTE_stock * (1+MarkUp) *  ( SUMIFS(LstMachines[Budget],LstMachines[MoisVteESM],PlanFinance!AR$2,LstMachines[Sub-Dealer],"ESM TP")
                       - SUMIFS(LstMachines[Budget],LstMachines[MoisVteESM],PlanFinance!AR$2,LstMachines[Sub-Dealer],"ESM TP",LstMachines[Status],"** Lost **")
                       )</f>
        <v>166.44800000000001</v>
      </c>
      <c r="AS7" s="304">
        <f xml:space="preserve"> VENTE_stock * (1+MarkUp) *  ( SUMIFS(LstMachines[Budget],LstMachines[MoisVteESM],PlanFinance!AS$2,LstMachines[Sub-Dealer],"ESM TP")
                       - SUMIFS(LstMachines[Budget],LstMachines[MoisVteESM],PlanFinance!AS$2,LstMachines[Sub-Dealer],"ESM TP",LstMachines[Status],"** Lost **")
                       )</f>
        <v>448.44000000000005</v>
      </c>
      <c r="AT7" s="304">
        <f xml:space="preserve"> VENTE_stock * (1+MarkUp) *  ( SUMIFS(LstMachines[Budget],LstMachines[MoisVteESM],PlanFinance!AT$2,LstMachines[Sub-Dealer],"ESM TP")
                       - SUMIFS(LstMachines[Budget],LstMachines[MoisVteESM],PlanFinance!AT$2,LstMachines[Sub-Dealer],"ESM TP",LstMachines[Status],"** Lost **")
                       )</f>
        <v>0</v>
      </c>
      <c r="BP7" s="394"/>
      <c r="BQ7" s="393"/>
      <c r="BS7" s="394"/>
      <c r="BT7" s="393">
        <f xml:space="preserve"> IF(  ( SUM(I7:T7) / (1+MarkUp) - SUM(I19:T19) ) &lt; 0, 0, SUM(I7:T7) / (1+MarkUp) - SUM(I19:T19))</f>
        <v>0</v>
      </c>
    </row>
    <row r="8" spans="2:72">
      <c r="B8" s="298"/>
      <c r="C8" s="301"/>
      <c r="D8" s="303"/>
      <c r="E8" s="305" t="s">
        <v>510</v>
      </c>
      <c r="F8" s="304">
        <f t="shared" ref="F8:AT8" si="35">F6+F7</f>
        <v>0</v>
      </c>
      <c r="G8" s="304">
        <f t="shared" si="35"/>
        <v>0</v>
      </c>
      <c r="H8" s="304">
        <f t="shared" si="35"/>
        <v>0</v>
      </c>
      <c r="I8" s="304">
        <f t="shared" si="35"/>
        <v>864.56000000000006</v>
      </c>
      <c r="J8" s="304">
        <f t="shared" si="35"/>
        <v>1271.5899999999999</v>
      </c>
      <c r="K8" s="304">
        <f t="shared" si="35"/>
        <v>928.19</v>
      </c>
      <c r="L8" s="304">
        <f t="shared" si="35"/>
        <v>2361.38</v>
      </c>
      <c r="M8" s="304">
        <f t="shared" si="35"/>
        <v>1023.13</v>
      </c>
      <c r="N8" s="304">
        <f t="shared" si="35"/>
        <v>2344.21</v>
      </c>
      <c r="O8" s="304">
        <f t="shared" si="35"/>
        <v>2068.48</v>
      </c>
      <c r="P8" s="304">
        <f t="shared" si="35"/>
        <v>1259.268</v>
      </c>
      <c r="Q8" s="304">
        <f t="shared" si="35"/>
        <v>1344.9159999999999</v>
      </c>
      <c r="R8" s="304">
        <f t="shared" si="35"/>
        <v>2093.73</v>
      </c>
      <c r="S8" s="304">
        <f t="shared" si="35"/>
        <v>1273.4079999999999</v>
      </c>
      <c r="T8" s="304">
        <f t="shared" si="35"/>
        <v>611.85800000000006</v>
      </c>
      <c r="U8" s="304">
        <f t="shared" si="35"/>
        <v>878.7</v>
      </c>
      <c r="V8" s="304">
        <f t="shared" si="35"/>
        <v>913.84799999999996</v>
      </c>
      <c r="W8" s="304">
        <f t="shared" si="35"/>
        <v>1291.992</v>
      </c>
      <c r="X8" s="304">
        <f t="shared" si="35"/>
        <v>655.49</v>
      </c>
      <c r="Y8" s="304">
        <f t="shared" si="35"/>
        <v>191.9</v>
      </c>
      <c r="Z8" s="304">
        <f t="shared" si="35"/>
        <v>11776.6</v>
      </c>
      <c r="AA8" s="304">
        <f t="shared" si="35"/>
        <v>272.7</v>
      </c>
      <c r="AB8" s="304">
        <f t="shared" si="35"/>
        <v>316.93799999999999</v>
      </c>
      <c r="AC8" s="304">
        <f t="shared" si="35"/>
        <v>641.95600000000002</v>
      </c>
      <c r="AD8" s="304">
        <f t="shared" si="35"/>
        <v>414.1</v>
      </c>
      <c r="AE8" s="304">
        <f t="shared" si="35"/>
        <v>275.52800000000002</v>
      </c>
      <c r="AF8" s="304">
        <f t="shared" si="35"/>
        <v>166.44800000000001</v>
      </c>
      <c r="AG8" s="304">
        <f t="shared" si="35"/>
        <v>448.44000000000005</v>
      </c>
      <c r="AH8" s="304">
        <f t="shared" si="35"/>
        <v>166.44800000000001</v>
      </c>
      <c r="AI8" s="304">
        <f t="shared" si="35"/>
        <v>233.51200000000003</v>
      </c>
      <c r="AJ8" s="304">
        <f t="shared" si="35"/>
        <v>218.16000000000003</v>
      </c>
      <c r="AK8" s="304">
        <f t="shared" si="35"/>
        <v>0</v>
      </c>
      <c r="AL8" s="304">
        <f t="shared" si="35"/>
        <v>12871.44</v>
      </c>
      <c r="AM8" s="304">
        <f t="shared" si="35"/>
        <v>0</v>
      </c>
      <c r="AN8" s="304">
        <f t="shared" si="35"/>
        <v>206.84800000000001</v>
      </c>
      <c r="AO8" s="304">
        <f t="shared" si="35"/>
        <v>207.65600000000001</v>
      </c>
      <c r="AP8" s="304">
        <f t="shared" si="35"/>
        <v>311.08000000000004</v>
      </c>
      <c r="AQ8" s="304">
        <f t="shared" si="35"/>
        <v>275.52800000000002</v>
      </c>
      <c r="AR8" s="304">
        <f t="shared" si="35"/>
        <v>166.44800000000001</v>
      </c>
      <c r="AS8" s="287">
        <f t="shared" si="35"/>
        <v>448.44000000000005</v>
      </c>
      <c r="AT8" s="287">
        <f t="shared" si="35"/>
        <v>0</v>
      </c>
      <c r="BP8" s="394"/>
      <c r="BQ8" s="393"/>
      <c r="BS8" s="394"/>
      <c r="BT8" s="393"/>
    </row>
    <row r="9" spans="2:72">
      <c r="B9" s="303"/>
      <c r="C9" s="361"/>
      <c r="D9" s="303"/>
      <c r="E9" s="303" t="s">
        <v>505</v>
      </c>
      <c r="F9" s="430">
        <f>SUM(F6:H7)</f>
        <v>0</v>
      </c>
      <c r="G9" s="430"/>
      <c r="H9" s="430"/>
      <c r="I9" s="430">
        <f>SUM(I6:K7)</f>
        <v>3064.34</v>
      </c>
      <c r="J9" s="430"/>
      <c r="K9" s="430"/>
      <c r="L9" s="430">
        <f>SUM(L6:N7)</f>
        <v>5728.72</v>
      </c>
      <c r="M9" s="430"/>
      <c r="N9" s="430"/>
      <c r="O9" s="430">
        <f>SUM(O6:Q7)</f>
        <v>4672.6639999999998</v>
      </c>
      <c r="P9" s="430"/>
      <c r="Q9" s="430"/>
      <c r="R9" s="430">
        <f>SUM(R6:T7)</f>
        <v>3978.9959999999996</v>
      </c>
      <c r="S9" s="430"/>
      <c r="T9" s="430"/>
      <c r="U9" s="430">
        <f>SUM(U6:W7)</f>
        <v>3084.54</v>
      </c>
      <c r="V9" s="430"/>
      <c r="W9" s="430"/>
      <c r="X9" s="430">
        <f>SUM(X6:Z7)</f>
        <v>12623.99</v>
      </c>
      <c r="Y9" s="430"/>
      <c r="Z9" s="430"/>
      <c r="AA9" s="430">
        <f>SUM(AA6:AC7)</f>
        <v>1231.5939999999998</v>
      </c>
      <c r="AB9" s="430"/>
      <c r="AC9" s="430"/>
      <c r="AD9" s="430">
        <f>SUM(AD6:AF7)</f>
        <v>856.07600000000002</v>
      </c>
      <c r="AE9" s="430"/>
      <c r="AF9" s="430"/>
      <c r="AG9" s="430">
        <f>SUM(AG6:AI7)</f>
        <v>848.40000000000009</v>
      </c>
      <c r="AH9" s="430"/>
      <c r="AI9" s="430"/>
      <c r="AJ9" s="430">
        <f>SUM(AJ6:AL7)</f>
        <v>13089.6</v>
      </c>
      <c r="AK9" s="430"/>
      <c r="AL9" s="430"/>
      <c r="AM9" s="430">
        <f>SUM(AM6:AO7)</f>
        <v>414.50400000000002</v>
      </c>
      <c r="AN9" s="430"/>
      <c r="AO9" s="430"/>
      <c r="AP9" s="430">
        <f>SUM(AP6:AR7)</f>
        <v>753.05600000000004</v>
      </c>
      <c r="AQ9" s="430"/>
      <c r="AR9" s="430"/>
      <c r="AS9" s="268"/>
      <c r="AT9" s="268"/>
      <c r="AU9" s="257"/>
      <c r="AV9" s="257"/>
      <c r="AW9" s="257"/>
      <c r="AX9" s="257"/>
      <c r="AY9" s="257"/>
      <c r="AZ9" s="257"/>
      <c r="BA9" s="257"/>
      <c r="BB9" s="257"/>
      <c r="BC9" s="257"/>
      <c r="BD9" s="257"/>
      <c r="BE9" s="257"/>
      <c r="BF9" s="257"/>
      <c r="BG9" s="257"/>
      <c r="BH9" s="257"/>
      <c r="BI9" s="257"/>
      <c r="BJ9" s="257"/>
      <c r="BK9" s="257"/>
      <c r="BL9" s="257"/>
      <c r="BP9" s="394"/>
      <c r="BQ9" s="393"/>
      <c r="BS9" s="394"/>
      <c r="BT9" s="393"/>
    </row>
    <row r="10" spans="2:72">
      <c r="B10" s="303"/>
      <c r="C10" s="361"/>
      <c r="D10" s="303"/>
      <c r="E10" s="303" t="s">
        <v>506</v>
      </c>
      <c r="F10" s="301"/>
      <c r="G10" s="301"/>
      <c r="H10" s="301"/>
      <c r="I10" s="430">
        <f>SUM(I6:T7)</f>
        <v>17444.72</v>
      </c>
      <c r="J10" s="431"/>
      <c r="K10" s="431"/>
      <c r="L10" s="431"/>
      <c r="M10" s="431"/>
      <c r="N10" s="431"/>
      <c r="O10" s="431"/>
      <c r="P10" s="431"/>
      <c r="Q10" s="431"/>
      <c r="R10" s="431"/>
      <c r="S10" s="431"/>
      <c r="T10" s="431"/>
      <c r="U10" s="430">
        <f>SUM(U6:AF7)</f>
        <v>17796.200000000004</v>
      </c>
      <c r="V10" s="431"/>
      <c r="W10" s="431"/>
      <c r="X10" s="431"/>
      <c r="Y10" s="431"/>
      <c r="Z10" s="431"/>
      <c r="AA10" s="431"/>
      <c r="AB10" s="431"/>
      <c r="AC10" s="431"/>
      <c r="AD10" s="431"/>
      <c r="AE10" s="431"/>
      <c r="AF10" s="431"/>
      <c r="AG10" s="430">
        <f>SUM(AG6:AR7)</f>
        <v>15105.560000000003</v>
      </c>
      <c r="AH10" s="431"/>
      <c r="AI10" s="431"/>
      <c r="AJ10" s="431"/>
      <c r="AK10" s="431"/>
      <c r="AL10" s="431"/>
      <c r="AM10" s="431"/>
      <c r="AN10" s="431"/>
      <c r="AO10" s="431"/>
      <c r="AP10" s="431"/>
      <c r="AQ10" s="431"/>
      <c r="AR10" s="431"/>
      <c r="AS10" s="286" t="e">
        <f>SUM(#REF!)</f>
        <v>#REF!</v>
      </c>
      <c r="AT10" s="286" t="e">
        <f>SUM(#REF!)</f>
        <v>#REF!</v>
      </c>
      <c r="BP10" s="394">
        <f>SUM(I8:T8)</f>
        <v>17444.72</v>
      </c>
      <c r="BQ10" s="393"/>
      <c r="BS10" s="394"/>
      <c r="BT10" s="393"/>
    </row>
    <row r="11" spans="2:72">
      <c r="B11" s="303"/>
      <c r="C11" s="359">
        <v>0.2</v>
      </c>
      <c r="D11" s="303"/>
      <c r="E11" s="303" t="s">
        <v>516</v>
      </c>
      <c r="F11" s="304">
        <v>0</v>
      </c>
      <c r="G11" s="304">
        <f t="shared" ref="G11:AU11" si="36">TVA*F8</f>
        <v>0</v>
      </c>
      <c r="H11" s="304">
        <f t="shared" si="36"/>
        <v>0</v>
      </c>
      <c r="I11" s="304">
        <f t="shared" si="36"/>
        <v>0</v>
      </c>
      <c r="J11" s="304">
        <f t="shared" si="36"/>
        <v>172.91200000000003</v>
      </c>
      <c r="K11" s="304">
        <f t="shared" si="36"/>
        <v>254.31799999999998</v>
      </c>
      <c r="L11" s="304">
        <f t="shared" si="36"/>
        <v>185.63800000000003</v>
      </c>
      <c r="M11" s="304">
        <f t="shared" si="36"/>
        <v>472.27600000000007</v>
      </c>
      <c r="N11" s="304">
        <f t="shared" si="36"/>
        <v>204.626</v>
      </c>
      <c r="O11" s="304">
        <f t="shared" si="36"/>
        <v>468.84200000000004</v>
      </c>
      <c r="P11" s="304">
        <f t="shared" si="36"/>
        <v>413.69600000000003</v>
      </c>
      <c r="Q11" s="304">
        <f t="shared" si="36"/>
        <v>251.85360000000003</v>
      </c>
      <c r="R11" s="304">
        <f t="shared" si="36"/>
        <v>268.98320000000001</v>
      </c>
      <c r="S11" s="304">
        <f t="shared" si="36"/>
        <v>418.74600000000004</v>
      </c>
      <c r="T11" s="304">
        <f t="shared" si="36"/>
        <v>254.6816</v>
      </c>
      <c r="U11" s="304">
        <f t="shared" si="36"/>
        <v>122.37160000000002</v>
      </c>
      <c r="V11" s="304">
        <f t="shared" si="36"/>
        <v>175.74</v>
      </c>
      <c r="W11" s="304">
        <f t="shared" si="36"/>
        <v>182.7696</v>
      </c>
      <c r="X11" s="304">
        <f t="shared" si="36"/>
        <v>258.39839999999998</v>
      </c>
      <c r="Y11" s="304">
        <f t="shared" si="36"/>
        <v>131.09800000000001</v>
      </c>
      <c r="Z11" s="304">
        <f t="shared" si="36"/>
        <v>38.380000000000003</v>
      </c>
      <c r="AA11" s="304">
        <f t="shared" si="36"/>
        <v>2355.3200000000002</v>
      </c>
      <c r="AB11" s="304">
        <f t="shared" si="36"/>
        <v>54.54</v>
      </c>
      <c r="AC11" s="304">
        <f t="shared" si="36"/>
        <v>63.387599999999999</v>
      </c>
      <c r="AD11" s="304">
        <f t="shared" si="36"/>
        <v>128.3912</v>
      </c>
      <c r="AE11" s="304">
        <f t="shared" si="36"/>
        <v>82.820000000000007</v>
      </c>
      <c r="AF11" s="304">
        <f t="shared" si="36"/>
        <v>55.10560000000001</v>
      </c>
      <c r="AG11" s="304">
        <f t="shared" si="36"/>
        <v>33.2896</v>
      </c>
      <c r="AH11" s="304">
        <f t="shared" si="36"/>
        <v>89.688000000000017</v>
      </c>
      <c r="AI11" s="304">
        <f t="shared" si="36"/>
        <v>33.2896</v>
      </c>
      <c r="AJ11" s="304">
        <f t="shared" si="36"/>
        <v>46.702400000000011</v>
      </c>
      <c r="AK11" s="304">
        <f t="shared" si="36"/>
        <v>43.632000000000005</v>
      </c>
      <c r="AL11" s="304">
        <f t="shared" si="36"/>
        <v>0</v>
      </c>
      <c r="AM11" s="304">
        <f t="shared" si="36"/>
        <v>2574.2880000000005</v>
      </c>
      <c r="AN11" s="304">
        <f t="shared" si="36"/>
        <v>0</v>
      </c>
      <c r="AO11" s="304">
        <f t="shared" si="36"/>
        <v>41.369600000000005</v>
      </c>
      <c r="AP11" s="304">
        <f t="shared" si="36"/>
        <v>41.531200000000005</v>
      </c>
      <c r="AQ11" s="304">
        <f t="shared" si="36"/>
        <v>62.216000000000008</v>
      </c>
      <c r="AR11" s="304">
        <f t="shared" si="36"/>
        <v>55.10560000000001</v>
      </c>
      <c r="AS11" s="268">
        <f t="shared" si="36"/>
        <v>33.2896</v>
      </c>
      <c r="AT11" s="268">
        <f t="shared" si="36"/>
        <v>89.688000000000017</v>
      </c>
      <c r="AU11" s="268">
        <f t="shared" si="36"/>
        <v>0</v>
      </c>
      <c r="BP11" s="394"/>
      <c r="BQ11" s="393"/>
      <c r="BS11" s="394"/>
      <c r="BT11" s="393"/>
    </row>
    <row r="12" spans="2:72">
      <c r="B12" s="303"/>
      <c r="C12" s="362" t="s">
        <v>520</v>
      </c>
      <c r="D12" s="303"/>
      <c r="E12" s="303"/>
      <c r="F12" s="304"/>
      <c r="G12" s="304"/>
      <c r="H12" s="304"/>
      <c r="I12" s="304"/>
      <c r="J12" s="304"/>
      <c r="K12" s="304"/>
      <c r="L12" s="304"/>
      <c r="M12" s="304"/>
      <c r="N12" s="304"/>
      <c r="O12" s="304"/>
      <c r="P12" s="304"/>
      <c r="Q12" s="304"/>
      <c r="R12" s="304"/>
      <c r="S12" s="304"/>
      <c r="T12" s="304"/>
      <c r="U12" s="304"/>
      <c r="V12" s="304"/>
      <c r="W12" s="304"/>
      <c r="X12" s="304"/>
      <c r="Y12" s="304"/>
      <c r="Z12" s="304"/>
      <c r="AA12" s="304"/>
      <c r="AB12" s="304"/>
      <c r="AC12" s="304"/>
      <c r="AD12" s="304"/>
      <c r="AE12" s="304"/>
      <c r="AF12" s="304"/>
      <c r="AG12" s="304"/>
      <c r="AH12" s="304"/>
      <c r="AI12" s="304"/>
      <c r="AJ12" s="304"/>
      <c r="AK12" s="304"/>
      <c r="AL12" s="304"/>
      <c r="AM12" s="304"/>
      <c r="AN12" s="304"/>
      <c r="AO12" s="304"/>
      <c r="AP12" s="304"/>
      <c r="AQ12" s="304"/>
      <c r="AR12" s="304"/>
      <c r="AS12" s="268"/>
      <c r="AT12" s="268"/>
      <c r="AU12" s="268"/>
      <c r="BP12" s="394"/>
      <c r="BQ12" s="393"/>
      <c r="BS12" s="394"/>
      <c r="BT12" s="393"/>
    </row>
    <row r="13" spans="2:72">
      <c r="B13" s="303" t="s">
        <v>478</v>
      </c>
      <c r="C13" s="360">
        <v>60</v>
      </c>
      <c r="D13" s="303"/>
      <c r="E13" s="303" t="s">
        <v>521</v>
      </c>
      <c r="F13" s="304">
        <f xml:space="preserve"> SUMIFS(LstMachines[Budget],LstMachines[MoisRgltDistrib],PlanFinance!F$2)
 - SUMIFS(LstMachines[Budget],LstMachines[MoisRgltDistrib],PlanFinance!F$2,LstMachines[Status],"** Lost **")
 - SUMIFS(LstMachines[Budget],LstMachines[MoisRgltDistrib],PlanFinance!F$2,LstMachines[Sub-Dealer],"ESM TP")
 + SUMIFS(LstMachines[Budget],LstMachines[MoisRgltDistrib],PlanFinance!F$2,LstMachines[Sub-Dealer],"ESM TP",LstMachines[Status],"** Lost **")</f>
        <v>0</v>
      </c>
      <c r="G13" s="304">
        <f xml:space="preserve"> SUMIFS(LstMachines[Budget],LstMachines[MoisRgltDistrib],PlanFinance!G$2)
 - SUMIFS(LstMachines[Budget],LstMachines[MoisRgltDistrib],PlanFinance!G$2,LstMachines[Status],"** Lost **")
 - SUMIFS(LstMachines[Budget],LstMachines[MoisRgltDistrib],PlanFinance!G$2,LstMachines[Sub-Dealer],"ESM TP")
 + SUMIFS(LstMachines[Budget],LstMachines[MoisRgltDistrib],PlanFinance!G$2,LstMachines[Sub-Dealer],"ESM TP",LstMachines[Status],"** Lost **")</f>
        <v>0</v>
      </c>
      <c r="H13" s="304">
        <f xml:space="preserve"> SUMIFS(LstMachines[Budget],LstMachines[MoisRgltDistrib],PlanFinance!H$2)
 - SUMIFS(LstMachines[Budget],LstMachines[MoisRgltDistrib],PlanFinance!H$2,LstMachines[Status],"** Lost **")
 - SUMIFS(LstMachines[Budget],LstMachines[MoisRgltDistrib],PlanFinance!H$2,LstMachines[Sub-Dealer],"ESM TP")
 + SUMIFS(LstMachines[Budget],LstMachines[MoisRgltDistrib],PlanFinance!H$2,LstMachines[Sub-Dealer],"ESM TP",LstMachines[Status],"** Lost **")</f>
        <v>0</v>
      </c>
      <c r="I13" s="304">
        <f xml:space="preserve"> SUMIFS(LstMachines[Budget],LstMachines[MoisRgltDistrib],PlanFinance!I$2)
 - SUMIFS(LstMachines[Budget],LstMachines[MoisRgltDistrib],PlanFinance!I$2,LstMachines[Status],"** Lost **")
 - SUMIFS(LstMachines[Budget],LstMachines[MoisRgltDistrib],PlanFinance!I$2,LstMachines[Sub-Dealer],"ESM TP")
 + SUMIFS(LstMachines[Budget],LstMachines[MoisRgltDistrib],PlanFinance!I$2,LstMachines[Sub-Dealer],"ESM TP",LstMachines[Status],"** Lost **")</f>
        <v>0</v>
      </c>
      <c r="J13" s="304">
        <f xml:space="preserve"> SUMIFS(LstMachines[Budget],LstMachines[MoisRgltDistrib],PlanFinance!J$2)
 - SUMIFS(LstMachines[Budget],LstMachines[MoisRgltDistrib],PlanFinance!J$2,LstMachines[Status],"** Lost **")
 - SUMIFS(LstMachines[Budget],LstMachines[MoisRgltDistrib],PlanFinance!J$2,LstMachines[Sub-Dealer],"ESM TP")
 + SUMIFS(LstMachines[Budget],LstMachines[MoisRgltDistrib],PlanFinance!J$2,LstMachines[Sub-Dealer],"ESM TP",LstMachines[Status],"** Lost **")</f>
        <v>0</v>
      </c>
      <c r="K13" s="304">
        <f xml:space="preserve"> SUMIFS(LstMachines[Budget],LstMachines[MoisRgltDistrib],PlanFinance!K$2)
 - SUMIFS(LstMachines[Budget],LstMachines[MoisRgltDistrib],PlanFinance!K$2,LstMachines[Status],"** Lost **")
 - SUMIFS(LstMachines[Budget],LstMachines[MoisRgltDistrib],PlanFinance!K$2,LstMachines[Sub-Dealer],"ESM TP")
 + SUMIFS(LstMachines[Budget],LstMachines[MoisRgltDistrib],PlanFinance!K$2,LstMachines[Sub-Dealer],"ESM TP",LstMachines[Status],"** Lost **")</f>
        <v>856</v>
      </c>
      <c r="L13" s="304">
        <f xml:space="preserve"> SUMIFS(LstMachines[Budget],LstMachines[MoisRgltDistrib],PlanFinance!L$2)
 - SUMIFS(LstMachines[Budget],LstMachines[MoisRgltDistrib],PlanFinance!L$2,LstMachines[Status],"** Lost **")
 - SUMIFS(LstMachines[Budget],LstMachines[MoisRgltDistrib],PlanFinance!L$2,LstMachines[Sub-Dealer],"ESM TP")
 + SUMIFS(LstMachines[Budget],LstMachines[MoisRgltDistrib],PlanFinance!L$2,LstMachines[Sub-Dealer],"ESM TP",LstMachines[Status],"** Lost **")</f>
        <v>1259</v>
      </c>
      <c r="M13" s="304">
        <f xml:space="preserve"> SUMIFS(LstMachines[Budget],LstMachines[MoisRgltDistrib],PlanFinance!M$2)
 - SUMIFS(LstMachines[Budget],LstMachines[MoisRgltDistrib],PlanFinance!M$2,LstMachines[Status],"** Lost **")
 - SUMIFS(LstMachines[Budget],LstMachines[MoisRgltDistrib],PlanFinance!M$2,LstMachines[Sub-Dealer],"ESM TP")
 + SUMIFS(LstMachines[Budget],LstMachines[MoisRgltDistrib],PlanFinance!M$2,LstMachines[Sub-Dealer],"ESM TP",LstMachines[Status],"** Lost **")</f>
        <v>919</v>
      </c>
      <c r="N13" s="304">
        <f xml:space="preserve"> SUMIFS(LstMachines[Budget],LstMachines[MoisRgltDistrib],PlanFinance!N$2)
 - SUMIFS(LstMachines[Budget],LstMachines[MoisRgltDistrib],PlanFinance!N$2,LstMachines[Status],"** Lost **")
 - SUMIFS(LstMachines[Budget],LstMachines[MoisRgltDistrib],PlanFinance!N$2,LstMachines[Sub-Dealer],"ESM TP")
 + SUMIFS(LstMachines[Budget],LstMachines[MoisRgltDistrib],PlanFinance!N$2,LstMachines[Sub-Dealer],"ESM TP",LstMachines[Status],"** Lost **")</f>
        <v>2542</v>
      </c>
      <c r="O13" s="304">
        <f xml:space="preserve"> SUMIFS(LstMachines[Budget],LstMachines[MoisRgltDistrib],PlanFinance!O$2)
 - SUMIFS(LstMachines[Budget],LstMachines[MoisRgltDistrib],PlanFinance!O$2,LstMachines[Status],"** Lost **")
 - SUMIFS(LstMachines[Budget],LstMachines[MoisRgltDistrib],PlanFinance!O$2,LstMachines[Sub-Dealer],"ESM TP")
 + SUMIFS(LstMachines[Budget],LstMachines[MoisRgltDistrib],PlanFinance!O$2,LstMachines[Sub-Dealer],"ESM TP",LstMachines[Status],"** Lost **")</f>
        <v>911</v>
      </c>
      <c r="P13" s="304">
        <f xml:space="preserve"> SUMIFS(LstMachines[Budget],LstMachines[MoisRgltDistrib],PlanFinance!P$2)
 - SUMIFS(LstMachines[Budget],LstMachines[MoisRgltDistrib],PlanFinance!P$2,LstMachines[Status],"** Lost **")
 - SUMIFS(LstMachines[Budget],LstMachines[MoisRgltDistrib],PlanFinance!P$2,LstMachines[Sub-Dealer],"ESM TP")
 + SUMIFS(LstMachines[Budget],LstMachines[MoisRgltDistrib],PlanFinance!P$2,LstMachines[Sub-Dealer],"ESM TP",LstMachines[Status],"** Lost **")</f>
        <v>2219</v>
      </c>
      <c r="Q13" s="304">
        <f xml:space="preserve"> SUMIFS(LstMachines[Budget],LstMachines[MoisRgltDistrib],PlanFinance!Q$2)
 - SUMIFS(LstMachines[Budget],LstMachines[MoisRgltDistrib],PlanFinance!Q$2,LstMachines[Status],"** Lost **")
 - SUMIFS(LstMachines[Budget],LstMachines[MoisRgltDistrib],PlanFinance!Q$2,LstMachines[Sub-Dealer],"ESM TP")
 + SUMIFS(LstMachines[Budget],LstMachines[MoisRgltDistrib],PlanFinance!Q$2,LstMachines[Sub-Dealer],"ESM TP",LstMachines[Status],"** Lost **")</f>
        <v>2048</v>
      </c>
      <c r="R13" s="304">
        <f xml:space="preserve"> SUMIFS(LstMachines[Budget],LstMachines[MoisRgltDistrib],PlanFinance!R$2)
 - SUMIFS(LstMachines[Budget],LstMachines[MoisRgltDistrib],PlanFinance!R$2,LstMachines[Status],"** Lost **")
 - SUMIFS(LstMachines[Budget],LstMachines[MoisRgltDistrib],PlanFinance!R$2,LstMachines[Sub-Dealer],"ESM TP")
 + SUMIFS(LstMachines[Budget],LstMachines[MoisRgltDistrib],PlanFinance!R$2,LstMachines[Sub-Dealer],"ESM TP",LstMachines[Status],"** Lost **")</f>
        <v>1042</v>
      </c>
      <c r="S13" s="304">
        <f xml:space="preserve"> SUMIFS(LstMachines[Budget],LstMachines[MoisRgltDistrib],PlanFinance!S$2)
 - SUMIFS(LstMachines[Budget],LstMachines[MoisRgltDistrib],PlanFinance!S$2,LstMachines[Status],"** Lost **")
 - SUMIFS(LstMachines[Budget],LstMachines[MoisRgltDistrib],PlanFinance!S$2,LstMachines[Sub-Dealer],"ESM TP")
 + SUMIFS(LstMachines[Budget],LstMachines[MoisRgltDistrib],PlanFinance!S$2,LstMachines[Sub-Dealer],"ESM TP",LstMachines[Status],"** Lost **")</f>
        <v>1126</v>
      </c>
      <c r="T13" s="304">
        <f xml:space="preserve"> SUMIFS(LstMachines[Budget],LstMachines[MoisRgltDistrib],PlanFinance!T$2)
 - SUMIFS(LstMachines[Budget],LstMachines[MoisRgltDistrib],PlanFinance!T$2,LstMachines[Status],"** Lost **")
 - SUMIFS(LstMachines[Budget],LstMachines[MoisRgltDistrib],PlanFinance!T$2,LstMachines[Sub-Dealer],"ESM TP")
 + SUMIFS(LstMachines[Budget],LstMachines[MoisRgltDistrib],PlanFinance!T$2,LstMachines[Sub-Dealer],"ESM TP",LstMachines[Status],"** Lost **")</f>
        <v>2199</v>
      </c>
      <c r="U13" s="304">
        <f xml:space="preserve"> SUMIFS(LstMachines[Budget],LstMachines[MoisRgltDistrib],PlanFinance!U$2)
 - SUMIFS(LstMachines[Budget],LstMachines[MoisRgltDistrib],PlanFinance!U$2,LstMachines[Status],"** Lost **")
 - SUMIFS(LstMachines[Budget],LstMachines[MoisRgltDistrib],PlanFinance!U$2,LstMachines[Sub-Dealer],"ESM TP")
 + SUMIFS(LstMachines[Budget],LstMachines[MoisRgltDistrib],PlanFinance!U$2,LstMachines[Sub-Dealer],"ESM TP",LstMachines[Status],"** Lost **")</f>
        <v>554</v>
      </c>
      <c r="V13" s="304">
        <f xml:space="preserve"> SUMIFS(LstMachines[Budget],LstMachines[MoisRgltDistrib],PlanFinance!V$2)
 - SUMIFS(LstMachines[Budget],LstMachines[MoisRgltDistrib],PlanFinance!V$2,LstMachines[Status],"** Lost **")
 - SUMIFS(LstMachines[Budget],LstMachines[MoisRgltDistrib],PlanFinance!V$2,LstMachines[Sub-Dealer],"ESM TP")
 + SUMIFS(LstMachines[Budget],LstMachines[MoisRgltDistrib],PlanFinance!V$2,LstMachines[Sub-Dealer],"ESM TP",LstMachines[Status],"** Lost **")</f>
        <v>441</v>
      </c>
      <c r="W13" s="304">
        <f xml:space="preserve"> SUMIFS(LstMachines[Budget],LstMachines[MoisRgltDistrib],PlanFinance!W$2)
 - SUMIFS(LstMachines[Budget],LstMachines[MoisRgltDistrib],PlanFinance!W$2,LstMachines[Status],"** Lost **")
 - SUMIFS(LstMachines[Budget],LstMachines[MoisRgltDistrib],PlanFinance!W$2,LstMachines[Sub-Dealer],"ESM TP")
 + SUMIFS(LstMachines[Budget],LstMachines[MoisRgltDistrib],PlanFinance!W$2,LstMachines[Sub-Dealer],"ESM TP",LstMachines[Status],"** Lost **")</f>
        <v>426</v>
      </c>
      <c r="X13" s="304">
        <f xml:space="preserve"> SUMIFS(LstMachines[Budget],LstMachines[MoisRgltDistrib],PlanFinance!X$2)
 - SUMIFS(LstMachines[Budget],LstMachines[MoisRgltDistrib],PlanFinance!X$2,LstMachines[Status],"** Lost **")
 - SUMIFS(LstMachines[Budget],LstMachines[MoisRgltDistrib],PlanFinance!X$2,LstMachines[Sub-Dealer],"ESM TP")
 + SUMIFS(LstMachines[Budget],LstMachines[MoisRgltDistrib],PlanFinance!X$2,LstMachines[Sub-Dealer],"ESM TP",LstMachines[Status],"** Lost **")</f>
        <v>740</v>
      </c>
      <c r="Y13" s="304">
        <f xml:space="preserve"> SUMIFS(LstMachines[Budget],LstMachines[MoisRgltDistrib],PlanFinance!Y$2)
 - SUMIFS(LstMachines[Budget],LstMachines[MoisRgltDistrib],PlanFinance!Y$2,LstMachines[Status],"** Lost **")
 - SUMIFS(LstMachines[Budget],LstMachines[MoisRgltDistrib],PlanFinance!Y$2,LstMachines[Sub-Dealer],"ESM TP")
 + SUMIFS(LstMachines[Budget],LstMachines[MoisRgltDistrib],PlanFinance!Y$2,LstMachines[Sub-Dealer],"ESM TP",LstMachines[Status],"** Lost **")</f>
        <v>1048</v>
      </c>
      <c r="Z13" s="304">
        <f xml:space="preserve"> SUMIFS(LstMachines[Budget],LstMachines[MoisRgltDistrib],PlanFinance!Z$2)
 - SUMIFS(LstMachines[Budget],LstMachines[MoisRgltDistrib],PlanFinance!Z$2,LstMachines[Status],"** Lost **")
 - SUMIFS(LstMachines[Budget],LstMachines[MoisRgltDistrib],PlanFinance!Z$2,LstMachines[Sub-Dealer],"ESM TP")
 + SUMIFS(LstMachines[Budget],LstMachines[MoisRgltDistrib],PlanFinance!Z$2,LstMachines[Sub-Dealer],"ESM TP",LstMachines[Status],"** Lost **")</f>
        <v>433</v>
      </c>
      <c r="AA13" s="304">
        <f xml:space="preserve"> SUMIFS(LstMachines[Budget],LstMachines[MoisRgltDistrib],PlanFinance!AA$2)
 - SUMIFS(LstMachines[Budget],LstMachines[MoisRgltDistrib],PlanFinance!AA$2,LstMachines[Status],"** Lost **")
 - SUMIFS(LstMachines[Budget],LstMachines[MoisRgltDistrib],PlanFinance!AA$2,LstMachines[Sub-Dealer],"ESM TP")
 + SUMIFS(LstMachines[Budget],LstMachines[MoisRgltDistrib],PlanFinance!AA$2,LstMachines[Sub-Dealer],"ESM TP",LstMachines[Status],"** Lost **")</f>
        <v>190</v>
      </c>
      <c r="AB13" s="304">
        <f xml:space="preserve"> SUMIFS(LstMachines[Budget],LstMachines[MoisRgltDistrib],PlanFinance!AB$2)
 - SUMIFS(LstMachines[Budget],LstMachines[MoisRgltDistrib],PlanFinance!AB$2,LstMachines[Status],"** Lost **")
 - SUMIFS(LstMachines[Budget],LstMachines[MoisRgltDistrib],PlanFinance!AB$2,LstMachines[Sub-Dealer],"ESM TP")
 + SUMIFS(LstMachines[Budget],LstMachines[MoisRgltDistrib],PlanFinance!AB$2,LstMachines[Sub-Dealer],"ESM TP",LstMachines[Status],"** Lost **")</f>
        <v>11660</v>
      </c>
      <c r="AC13" s="304">
        <f xml:space="preserve"> SUMIFS(LstMachines[Budget],LstMachines[MoisRgltDistrib],PlanFinance!AC$2)
 - SUMIFS(LstMachines[Budget],LstMachines[MoisRgltDistrib],PlanFinance!AC$2,LstMachines[Status],"** Lost **")
 - SUMIFS(LstMachines[Budget],LstMachines[MoisRgltDistrib],PlanFinance!AC$2,LstMachines[Sub-Dealer],"ESM TP")
 + SUMIFS(LstMachines[Budget],LstMachines[MoisRgltDistrib],PlanFinance!AC$2,LstMachines[Sub-Dealer],"ESM TP",LstMachines[Status],"** Lost **")</f>
        <v>270</v>
      </c>
      <c r="AD13" s="304">
        <f xml:space="preserve"> SUMIFS(LstMachines[Budget],LstMachines[MoisRgltDistrib],PlanFinance!AD$2)
 - SUMIFS(LstMachines[Budget],LstMachines[MoisRgltDistrib],PlanFinance!AD$2,LstMachines[Status],"** Lost **")
 - SUMIFS(LstMachines[Budget],LstMachines[MoisRgltDistrib],PlanFinance!AD$2,LstMachines[Sub-Dealer],"ESM TP")
 + SUMIFS(LstMachines[Budget],LstMachines[MoisRgltDistrib],PlanFinance!AD$2,LstMachines[Sub-Dealer],"ESM TP",LstMachines[Status],"** Lost **")</f>
        <v>109</v>
      </c>
      <c r="AE13" s="304">
        <f xml:space="preserve"> SUMIFS(LstMachines[Budget],LstMachines[MoisRgltDistrib],PlanFinance!AE$2)
 - SUMIFS(LstMachines[Budget],LstMachines[MoisRgltDistrib],PlanFinance!AE$2,LstMachines[Status],"** Lost **")
 - SUMIFS(LstMachines[Budget],LstMachines[MoisRgltDistrib],PlanFinance!AE$2,LstMachines[Sub-Dealer],"ESM TP")
 + SUMIFS(LstMachines[Budget],LstMachines[MoisRgltDistrib],PlanFinance!AE$2,LstMachines[Sub-Dealer],"ESM TP",LstMachines[Status],"** Lost **")</f>
        <v>430</v>
      </c>
      <c r="AF13" s="304">
        <f xml:space="preserve"> SUMIFS(LstMachines[Budget],LstMachines[MoisRgltDistrib],PlanFinance!AF$2)
 - SUMIFS(LstMachines[Budget],LstMachines[MoisRgltDistrib],PlanFinance!AF$2,LstMachines[Status],"** Lost **")
 - SUMIFS(LstMachines[Budget],LstMachines[MoisRgltDistrib],PlanFinance!AF$2,LstMachines[Sub-Dealer],"ESM TP")
 + SUMIFS(LstMachines[Budget],LstMachines[MoisRgltDistrib],PlanFinance!AF$2,LstMachines[Sub-Dealer],"ESM TP",LstMachines[Status],"** Lost **")</f>
        <v>102</v>
      </c>
      <c r="AG13" s="304">
        <f xml:space="preserve"> SUMIFS(LstMachines[Budget],LstMachines[MoisRgltDistrib],PlanFinance!AG$2)
 - SUMIFS(LstMachines[Budget],LstMachines[MoisRgltDistrib],PlanFinance!AG$2,LstMachines[Status],"** Lost **")
 - SUMIFS(LstMachines[Budget],LstMachines[MoisRgltDistrib],PlanFinance!AG$2,LstMachines[Sub-Dealer],"ESM TP")
 + SUMIFS(LstMachines[Budget],LstMachines[MoisRgltDistrib],PlanFinance!AG$2,LstMachines[Sub-Dealer],"ESM TP",LstMachines[Status],"** Lost **")</f>
        <v>0</v>
      </c>
      <c r="AH13" s="304">
        <f xml:space="preserve"> SUMIFS(LstMachines[Budget],LstMachines[MoisRgltDistrib],PlanFinance!AH$2)
 - SUMIFS(LstMachines[Budget],LstMachines[MoisRgltDistrib],PlanFinance!AH$2,LstMachines[Status],"** Lost **")
 - SUMIFS(LstMachines[Budget],LstMachines[MoisRgltDistrib],PlanFinance!AH$2,LstMachines[Sub-Dealer],"ESM TP")
 + SUMIFS(LstMachines[Budget],LstMachines[MoisRgltDistrib],PlanFinance!AH$2,LstMachines[Sub-Dealer],"ESM TP",LstMachines[Status],"** Lost **")</f>
        <v>0</v>
      </c>
      <c r="AI13" s="304">
        <f xml:space="preserve"> SUMIFS(LstMachines[Budget],LstMachines[MoisRgltDistrib],PlanFinance!AI$2)
 - SUMIFS(LstMachines[Budget],LstMachines[MoisRgltDistrib],PlanFinance!AI$2,LstMachines[Status],"** Lost **")
 - SUMIFS(LstMachines[Budget],LstMachines[MoisRgltDistrib],PlanFinance!AI$2,LstMachines[Sub-Dealer],"ESM TP")
 + SUMIFS(LstMachines[Budget],LstMachines[MoisRgltDistrib],PlanFinance!AI$2,LstMachines[Sub-Dealer],"ESM TP",LstMachines[Status],"** Lost **")</f>
        <v>0</v>
      </c>
      <c r="AJ13" s="304">
        <f xml:space="preserve"> SUMIFS(LstMachines[Budget],LstMachines[MoisRgltDistrib],PlanFinance!AJ$2)
 - SUMIFS(LstMachines[Budget],LstMachines[MoisRgltDistrib],PlanFinance!AJ$2,LstMachines[Status],"** Lost **")
 - SUMIFS(LstMachines[Budget],LstMachines[MoisRgltDistrib],PlanFinance!AJ$2,LstMachines[Sub-Dealer],"ESM TP")
 + SUMIFS(LstMachines[Budget],LstMachines[MoisRgltDistrib],PlanFinance!AJ$2,LstMachines[Sub-Dealer],"ESM TP",LstMachines[Status],"** Lost **")</f>
        <v>0</v>
      </c>
      <c r="AK13" s="304">
        <f xml:space="preserve"> SUMIFS(LstMachines[Budget],LstMachines[MoisRgltDistrib],PlanFinance!AK$2)
 - SUMIFS(LstMachines[Budget],LstMachines[MoisRgltDistrib],PlanFinance!AK$2,LstMachines[Status],"** Lost **")
 - SUMIFS(LstMachines[Budget],LstMachines[MoisRgltDistrib],PlanFinance!AK$2,LstMachines[Sub-Dealer],"ESM TP")
 + SUMIFS(LstMachines[Budget],LstMachines[MoisRgltDistrib],PlanFinance!AK$2,LstMachines[Sub-Dealer],"ESM TP",LstMachines[Status],"** Lost **")</f>
        <v>0</v>
      </c>
      <c r="AL13" s="304">
        <f xml:space="preserve"> SUMIFS(LstMachines[Budget],LstMachines[MoisRgltDistrib],PlanFinance!AL$2)
 - SUMIFS(LstMachines[Budget],LstMachines[MoisRgltDistrib],PlanFinance!AL$2,LstMachines[Status],"** Lost **")
 - SUMIFS(LstMachines[Budget],LstMachines[MoisRgltDistrib],PlanFinance!AL$2,LstMachines[Sub-Dealer],"ESM TP")
 + SUMIFS(LstMachines[Budget],LstMachines[MoisRgltDistrib],PlanFinance!AL$2,LstMachines[Sub-Dealer],"ESM TP",LstMachines[Status],"** Lost **")</f>
        <v>0</v>
      </c>
      <c r="AM13" s="304">
        <f xml:space="preserve"> SUMIFS(LstMachines[Budget],LstMachines[MoisRgltDistrib],PlanFinance!AM$2)
 - SUMIFS(LstMachines[Budget],LstMachines[MoisRgltDistrib],PlanFinance!AM$2,LstMachines[Status],"** Lost **")
 - SUMIFS(LstMachines[Budget],LstMachines[MoisRgltDistrib],PlanFinance!AM$2,LstMachines[Sub-Dealer],"ESM TP")
 + SUMIFS(LstMachines[Budget],LstMachines[MoisRgltDistrib],PlanFinance!AM$2,LstMachines[Sub-Dealer],"ESM TP",LstMachines[Status],"** Lost **")</f>
        <v>0</v>
      </c>
      <c r="AN13" s="304">
        <f xml:space="preserve"> SUMIFS(LstMachines[Budget],LstMachines[MoisRgltDistrib],PlanFinance!AN$2)
 - SUMIFS(LstMachines[Budget],LstMachines[MoisRgltDistrib],PlanFinance!AN$2,LstMachines[Status],"** Lost **")
 - SUMIFS(LstMachines[Budget],LstMachines[MoisRgltDistrib],PlanFinance!AN$2,LstMachines[Sub-Dealer],"ESM TP")
 + SUMIFS(LstMachines[Budget],LstMachines[MoisRgltDistrib],PlanFinance!AN$2,LstMachines[Sub-Dealer],"ESM TP",LstMachines[Status],"** Lost **")</f>
        <v>12744</v>
      </c>
      <c r="AO13" s="304">
        <f xml:space="preserve"> SUMIFS(LstMachines[Budget],LstMachines[MoisRgltDistrib],PlanFinance!AO$2)
 - SUMIFS(LstMachines[Budget],LstMachines[MoisRgltDistrib],PlanFinance!AO$2,LstMachines[Status],"** Lost **")
 - SUMIFS(LstMachines[Budget],LstMachines[MoisRgltDistrib],PlanFinance!AO$2,LstMachines[Sub-Dealer],"ESM TP")
 + SUMIFS(LstMachines[Budget],LstMachines[MoisRgltDistrib],PlanFinance!AO$2,LstMachines[Sub-Dealer],"ESM TP",LstMachines[Status],"** Lost **")</f>
        <v>0</v>
      </c>
      <c r="AP13" s="304">
        <f xml:space="preserve"> SUMIFS(LstMachines[Budget],LstMachines[MoisRgltDistrib],PlanFinance!AP$2)
 - SUMIFS(LstMachines[Budget],LstMachines[MoisRgltDistrib],PlanFinance!AP$2,LstMachines[Status],"** Lost **")
 - SUMIFS(LstMachines[Budget],LstMachines[MoisRgltDistrib],PlanFinance!AP$2,LstMachines[Sub-Dealer],"ESM TP")
 + SUMIFS(LstMachines[Budget],LstMachines[MoisRgltDistrib],PlanFinance!AP$2,LstMachines[Sub-Dealer],"ESM TP",LstMachines[Status],"** Lost **")</f>
        <v>0</v>
      </c>
      <c r="AQ13" s="304">
        <f xml:space="preserve"> SUMIFS(LstMachines[Budget],LstMachines[MoisRgltDistrib],PlanFinance!AQ$2)
 - SUMIFS(LstMachines[Budget],LstMachines[MoisRgltDistrib],PlanFinance!AQ$2,LstMachines[Status],"** Lost **")
 - SUMIFS(LstMachines[Budget],LstMachines[MoisRgltDistrib],PlanFinance!AQ$2,LstMachines[Sub-Dealer],"ESM TP")
 + SUMIFS(LstMachines[Budget],LstMachines[MoisRgltDistrib],PlanFinance!AQ$2,LstMachines[Sub-Dealer],"ESM TP",LstMachines[Status],"** Lost **")</f>
        <v>0</v>
      </c>
      <c r="AR13" s="304">
        <f xml:space="preserve"> SUMIFS(LstMachines[Budget],LstMachines[MoisRgltDistrib],PlanFinance!AR$2)
 - SUMIFS(LstMachines[Budget],LstMachines[MoisRgltDistrib],PlanFinance!AR$2,LstMachines[Status],"** Lost **")
 - SUMIFS(LstMachines[Budget],LstMachines[MoisRgltDistrib],PlanFinance!AR$2,LstMachines[Sub-Dealer],"ESM TP")
 + SUMIFS(LstMachines[Budget],LstMachines[MoisRgltDistrib],PlanFinance!AR$2,LstMachines[Sub-Dealer],"ESM TP",LstMachines[Status],"** Lost **")</f>
        <v>0</v>
      </c>
      <c r="AS13" s="268"/>
      <c r="AT13" s="268"/>
      <c r="BP13" s="394"/>
      <c r="BQ13" s="393"/>
      <c r="BS13" s="394"/>
      <c r="BT13" s="393"/>
    </row>
    <row r="14" spans="2:72">
      <c r="B14" s="303" t="s">
        <v>498</v>
      </c>
      <c r="C14" s="301"/>
      <c r="D14" s="303"/>
      <c r="E14" s="303" t="s">
        <v>522</v>
      </c>
      <c r="F14" s="304">
        <f xml:space="preserve"> SUMIFS(LstMachines[Budget],LstMachines[MoisRgltVteESM],PlanFinance!F$2,LstMachines[Sub-Dealer],"ESM TP")
   - SUMIFS(LstMachines[Budget],LstMachines[MoisRgltVteESM],PlanFinance!F$2,LstMachines[Sub-Dealer],"ESM TP",LstMachines[Status],"** Lost **")</f>
        <v>0</v>
      </c>
      <c r="G14" s="304">
        <f xml:space="preserve"> SUMIFS(LstMachines[Budget],LstMachines[MoisRgltVteESM],PlanFinance!G$2,LstMachines[Sub-Dealer],"ESM TP")
   - SUMIFS(LstMachines[Budget],LstMachines[MoisRgltVteESM],PlanFinance!G$2,LstMachines[Sub-Dealer],"ESM TP",LstMachines[Status],"** Lost **")</f>
        <v>0</v>
      </c>
      <c r="H14" s="304">
        <f xml:space="preserve"> SUMIFS(LstMachines[Budget],LstMachines[MoisRgltVteESM],PlanFinance!H$2,LstMachines[Sub-Dealer],"ESM TP")
   - SUMIFS(LstMachines[Budget],LstMachines[MoisRgltVteESM],PlanFinance!H$2,LstMachines[Sub-Dealer],"ESM TP",LstMachines[Status],"** Lost **")</f>
        <v>0</v>
      </c>
      <c r="I14" s="304">
        <f xml:space="preserve"> SUMIFS(LstMachines[Budget],LstMachines[MoisRgltVteESM],PlanFinance!I$2,LstMachines[Sub-Dealer],"ESM TP")
   - SUMIFS(LstMachines[Budget],LstMachines[MoisRgltVteESM],PlanFinance!I$2,LstMachines[Sub-Dealer],"ESM TP",LstMachines[Status],"** Lost **")</f>
        <v>0</v>
      </c>
      <c r="J14" s="304">
        <f xml:space="preserve"> SUMIFS(LstMachines[Budget],LstMachines[MoisRgltVteESM],PlanFinance!J$2,LstMachines[Sub-Dealer],"ESM TP")
   - SUMIFS(LstMachines[Budget],LstMachines[MoisRgltVteESM],PlanFinance!J$2,LstMachines[Sub-Dealer],"ESM TP",LstMachines[Status],"** Lost **")</f>
        <v>0</v>
      </c>
      <c r="K14" s="304">
        <f xml:space="preserve"> SUMIFS(LstMachines[Budget],LstMachines[MoisRgltVteESM],PlanFinance!K$2,LstMachines[Sub-Dealer],"ESM TP")
   - SUMIFS(LstMachines[Budget],LstMachines[MoisRgltVteESM],PlanFinance!K$2,LstMachines[Sub-Dealer],"ESM TP",LstMachines[Status],"** Lost **")</f>
        <v>0</v>
      </c>
      <c r="L14" s="304">
        <f xml:space="preserve"> SUMIFS(LstMachines[Budget],LstMachines[MoisRgltVteESM],PlanFinance!L$2,LstMachines[Sub-Dealer],"ESM TP")
   - SUMIFS(LstMachines[Budget],LstMachines[MoisRgltVteESM],PlanFinance!L$2,LstMachines[Sub-Dealer],"ESM TP",LstMachines[Status],"** Lost **")</f>
        <v>0</v>
      </c>
      <c r="M14" s="304">
        <f xml:space="preserve"> SUMIFS(LstMachines[Budget],LstMachines[MoisRgltVteESM],PlanFinance!M$2,LstMachines[Sub-Dealer],"ESM TP")
   - SUMIFS(LstMachines[Budget],LstMachines[MoisRgltVteESM],PlanFinance!M$2,LstMachines[Sub-Dealer],"ESM TP",LstMachines[Status],"** Lost **")</f>
        <v>0</v>
      </c>
      <c r="N14" s="304">
        <f xml:space="preserve"> SUMIFS(LstMachines[Budget],LstMachines[MoisRgltVteESM],PlanFinance!N$2,LstMachines[Sub-Dealer],"ESM TP")
   - SUMIFS(LstMachines[Budget],LstMachines[MoisRgltVteESM],PlanFinance!N$2,LstMachines[Sub-Dealer],"ESM TP",LstMachines[Status],"** Lost **")</f>
        <v>0</v>
      </c>
      <c r="O14" s="304">
        <f xml:space="preserve"> SUMIFS(LstMachines[Budget],LstMachines[MoisRgltVteESM],PlanFinance!O$2,LstMachines[Sub-Dealer],"ESM TP")
   - SUMIFS(LstMachines[Budget],LstMachines[MoisRgltVteESM],PlanFinance!O$2,LstMachines[Sub-Dealer],"ESM TP",LstMachines[Status],"** Lost **")</f>
        <v>0</v>
      </c>
      <c r="P14" s="304">
        <f xml:space="preserve"> SUMIFS(LstMachines[Budget],LstMachines[MoisRgltVteESM],PlanFinance!P$2,LstMachines[Sub-Dealer],"ESM TP")
   - SUMIFS(LstMachines[Budget],LstMachines[MoisRgltVteESM],PlanFinance!P$2,LstMachines[Sub-Dealer],"ESM TP",LstMachines[Status],"** Lost **")</f>
        <v>0</v>
      </c>
      <c r="Q14" s="304">
        <f xml:space="preserve"> SUMIFS(LstMachines[Budget],LstMachines[MoisRgltVteESM],PlanFinance!Q$2,LstMachines[Sub-Dealer],"ESM TP")
   - SUMIFS(LstMachines[Budget],LstMachines[MoisRgltVteESM],PlanFinance!Q$2,LstMachines[Sub-Dealer],"ESM TP",LstMachines[Status],"** Lost **")</f>
        <v>0</v>
      </c>
      <c r="R14" s="304">
        <f xml:space="preserve"> SUMIFS(LstMachines[Budget],LstMachines[MoisRgltVteESM],PlanFinance!R$2,LstMachines[Sub-Dealer],"ESM TP")
   - SUMIFS(LstMachines[Budget],LstMachines[MoisRgltVteESM],PlanFinance!R$2,LstMachines[Sub-Dealer],"ESM TP",LstMachines[Status],"** Lost **")</f>
        <v>256</v>
      </c>
      <c r="S14" s="304">
        <f xml:space="preserve"> SUMIFS(LstMachines[Budget],LstMachines[MoisRgltVteESM],PlanFinance!S$2,LstMachines[Sub-Dealer],"ESM TP")
   - SUMIFS(LstMachines[Budget],LstMachines[MoisRgltVteESM],PlanFinance!S$2,LstMachines[Sub-Dealer],"ESM TP",LstMachines[Status],"** Lost **")</f>
        <v>257</v>
      </c>
      <c r="T14" s="304">
        <f xml:space="preserve"> SUMIFS(LstMachines[Budget],LstMachines[MoisRgltVteESM],PlanFinance!T$2,LstMachines[Sub-Dealer],"ESM TP")
   - SUMIFS(LstMachines[Budget],LstMachines[MoisRgltVteESM],PlanFinance!T$2,LstMachines[Sub-Dealer],"ESM TP",LstMachines[Status],"** Lost **")</f>
        <v>385</v>
      </c>
      <c r="U14" s="304">
        <f xml:space="preserve"> SUMIFS(LstMachines[Budget],LstMachines[MoisRgltVteESM],PlanFinance!U$2,LstMachines[Sub-Dealer],"ESM TP")
   - SUMIFS(LstMachines[Budget],LstMachines[MoisRgltVteESM],PlanFinance!U$2,LstMachines[Sub-Dealer],"ESM TP",LstMachines[Status],"** Lost **")</f>
        <v>341</v>
      </c>
      <c r="V14" s="304">
        <f xml:space="preserve"> SUMIFS(LstMachines[Budget],LstMachines[MoisRgltVteESM],PlanFinance!V$2,LstMachines[Sub-Dealer],"ESM TP")
   - SUMIFS(LstMachines[Budget],LstMachines[MoisRgltVteESM],PlanFinance!V$2,LstMachines[Sub-Dealer],"ESM TP",LstMachines[Status],"** Lost **")</f>
        <v>206</v>
      </c>
      <c r="W14" s="304">
        <f xml:space="preserve"> SUMIFS(LstMachines[Budget],LstMachines[MoisRgltVteESM],PlanFinance!W$2,LstMachines[Sub-Dealer],"ESM TP")
   - SUMIFS(LstMachines[Budget],LstMachines[MoisRgltVteESM],PlanFinance!W$2,LstMachines[Sub-Dealer],"ESM TP",LstMachines[Status],"** Lost **")</f>
        <v>555</v>
      </c>
      <c r="X14" s="304">
        <f xml:space="preserve"> SUMIFS(LstMachines[Budget],LstMachines[MoisRgltVteESM],PlanFinance!X$2,LstMachines[Sub-Dealer],"ESM TP")
   - SUMIFS(LstMachines[Budget],LstMachines[MoisRgltVteESM],PlanFinance!X$2,LstMachines[Sub-Dealer],"ESM TP",LstMachines[Status],"** Lost **")</f>
        <v>206</v>
      </c>
      <c r="Y14" s="304">
        <f xml:space="preserve"> SUMIFS(LstMachines[Budget],LstMachines[MoisRgltVteESM],PlanFinance!Y$2,LstMachines[Sub-Dealer],"ESM TP")
   - SUMIFS(LstMachines[Budget],LstMachines[MoisRgltVteESM],PlanFinance!Y$2,LstMachines[Sub-Dealer],"ESM TP",LstMachines[Status],"** Lost **")</f>
        <v>289</v>
      </c>
      <c r="Z14" s="304">
        <f xml:space="preserve"> SUMIFS(LstMachines[Budget],LstMachines[MoisRgltVteESM],PlanFinance!Z$2,LstMachines[Sub-Dealer],"ESM TP")
   - SUMIFS(LstMachines[Budget],LstMachines[MoisRgltVteESM],PlanFinance!Z$2,LstMachines[Sub-Dealer],"ESM TP",LstMachines[Status],"** Lost **")</f>
        <v>270</v>
      </c>
      <c r="AA14" s="304">
        <f xml:space="preserve"> SUMIFS(LstMachines[Budget],LstMachines[MoisRgltVteESM],PlanFinance!AA$2,LstMachines[Sub-Dealer],"ESM TP")
   - SUMIFS(LstMachines[Budget],LstMachines[MoisRgltVteESM],PlanFinance!AA$2,LstMachines[Sub-Dealer],"ESM TP",LstMachines[Status],"** Lost **")</f>
        <v>0</v>
      </c>
      <c r="AB14" s="304">
        <f xml:space="preserve"> SUMIFS(LstMachines[Budget],LstMachines[MoisRgltVteESM],PlanFinance!AB$2,LstMachines[Sub-Dealer],"ESM TP")
   - SUMIFS(LstMachines[Budget],LstMachines[MoisRgltVteESM],PlanFinance!AB$2,LstMachines[Sub-Dealer],"ESM TP",LstMachines[Status],"** Lost **")</f>
        <v>0</v>
      </c>
      <c r="AC14" s="304">
        <f xml:space="preserve"> SUMIFS(LstMachines[Budget],LstMachines[MoisRgltVteESM],PlanFinance!AC$2,LstMachines[Sub-Dealer],"ESM TP")
   - SUMIFS(LstMachines[Budget],LstMachines[MoisRgltVteESM],PlanFinance!AC$2,LstMachines[Sub-Dealer],"ESM TP",LstMachines[Status],"** Lost **")</f>
        <v>0</v>
      </c>
      <c r="AD14" s="304">
        <f xml:space="preserve"> SUMIFS(LstMachines[Budget],LstMachines[MoisRgltVteESM],PlanFinance!AD$2,LstMachines[Sub-Dealer],"ESM TP")
   - SUMIFS(LstMachines[Budget],LstMachines[MoisRgltVteESM],PlanFinance!AD$2,LstMachines[Sub-Dealer],"ESM TP",LstMachines[Status],"** Lost **")</f>
        <v>256</v>
      </c>
      <c r="AE14" s="304">
        <f xml:space="preserve"> SUMIFS(LstMachines[Budget],LstMachines[MoisRgltVteESM],PlanFinance!AE$2,LstMachines[Sub-Dealer],"ESM TP")
   - SUMIFS(LstMachines[Budget],LstMachines[MoisRgltVteESM],PlanFinance!AE$2,LstMachines[Sub-Dealer],"ESM TP",LstMachines[Status],"** Lost **")</f>
        <v>257</v>
      </c>
      <c r="AF14" s="304">
        <f xml:space="preserve"> SUMIFS(LstMachines[Budget],LstMachines[MoisRgltVteESM],PlanFinance!AF$2,LstMachines[Sub-Dealer],"ESM TP")
   - SUMIFS(LstMachines[Budget],LstMachines[MoisRgltVteESM],PlanFinance!AF$2,LstMachines[Sub-Dealer],"ESM TP",LstMachines[Status],"** Lost **")</f>
        <v>385</v>
      </c>
      <c r="AG14" s="304">
        <f xml:space="preserve"> SUMIFS(LstMachines[Budget],LstMachines[MoisRgltVteESM],PlanFinance!AG$2,LstMachines[Sub-Dealer],"ESM TP")
   - SUMIFS(LstMachines[Budget],LstMachines[MoisRgltVteESM],PlanFinance!AG$2,LstMachines[Sub-Dealer],"ESM TP",LstMachines[Status],"** Lost **")</f>
        <v>341</v>
      </c>
      <c r="AH14" s="304">
        <f xml:space="preserve"> SUMIFS(LstMachines[Budget],LstMachines[MoisRgltVteESM],PlanFinance!AH$2,LstMachines[Sub-Dealer],"ESM TP")
   - SUMIFS(LstMachines[Budget],LstMachines[MoisRgltVteESM],PlanFinance!AH$2,LstMachines[Sub-Dealer],"ESM TP",LstMachines[Status],"** Lost **")</f>
        <v>206</v>
      </c>
      <c r="AI14" s="304">
        <f xml:space="preserve"> SUMIFS(LstMachines[Budget],LstMachines[MoisRgltVteESM],PlanFinance!AI$2,LstMachines[Sub-Dealer],"ESM TP")
   - SUMIFS(LstMachines[Budget],LstMachines[MoisRgltVteESM],PlanFinance!AI$2,LstMachines[Sub-Dealer],"ESM TP",LstMachines[Status],"** Lost **")</f>
        <v>555</v>
      </c>
      <c r="AJ14" s="304">
        <f xml:space="preserve"> SUMIFS(LstMachines[Budget],LstMachines[MoisRgltVteESM],PlanFinance!AJ$2,LstMachines[Sub-Dealer],"ESM TP")
   - SUMIFS(LstMachines[Budget],LstMachines[MoisRgltVteESM],PlanFinance!AJ$2,LstMachines[Sub-Dealer],"ESM TP",LstMachines[Status],"** Lost **")</f>
        <v>206</v>
      </c>
      <c r="AK14" s="304">
        <f xml:space="preserve"> SUMIFS(LstMachines[Budget],LstMachines[MoisRgltVteESM],PlanFinance!AK$2,LstMachines[Sub-Dealer],"ESM TP")
   - SUMIFS(LstMachines[Budget],LstMachines[MoisRgltVteESM],PlanFinance!AK$2,LstMachines[Sub-Dealer],"ESM TP",LstMachines[Status],"** Lost **")</f>
        <v>289</v>
      </c>
      <c r="AL14" s="304">
        <f xml:space="preserve"> SUMIFS(LstMachines[Budget],LstMachines[MoisRgltVteESM],PlanFinance!AL$2,LstMachines[Sub-Dealer],"ESM TP")
   - SUMIFS(LstMachines[Budget],LstMachines[MoisRgltVteESM],PlanFinance!AL$2,LstMachines[Sub-Dealer],"ESM TP",LstMachines[Status],"** Lost **")</f>
        <v>270</v>
      </c>
      <c r="AM14" s="304">
        <f xml:space="preserve"> SUMIFS(LstMachines[Budget],LstMachines[MoisRgltVteESM],PlanFinance!AM$2,LstMachines[Sub-Dealer],"ESM TP")
   - SUMIFS(LstMachines[Budget],LstMachines[MoisRgltVteESM],PlanFinance!AM$2,LstMachines[Sub-Dealer],"ESM TP",LstMachines[Status],"** Lost **")</f>
        <v>0</v>
      </c>
      <c r="AN14" s="304">
        <f xml:space="preserve"> SUMIFS(LstMachines[Budget],LstMachines[MoisRgltVteESM],PlanFinance!AN$2,LstMachines[Sub-Dealer],"ESM TP")
   - SUMIFS(LstMachines[Budget],LstMachines[MoisRgltVteESM],PlanFinance!AN$2,LstMachines[Sub-Dealer],"ESM TP",LstMachines[Status],"** Lost **")</f>
        <v>0</v>
      </c>
      <c r="AO14" s="304">
        <f xml:space="preserve"> SUMIFS(LstMachines[Budget],LstMachines[MoisRgltVteESM],PlanFinance!AO$2,LstMachines[Sub-Dealer],"ESM TP")
   - SUMIFS(LstMachines[Budget],LstMachines[MoisRgltVteESM],PlanFinance!AO$2,LstMachines[Sub-Dealer],"ESM TP",LstMachines[Status],"** Lost **")</f>
        <v>0</v>
      </c>
      <c r="AP14" s="304">
        <f xml:space="preserve"> SUMIFS(LstMachines[Budget],LstMachines[MoisRgltVteESM],PlanFinance!AP$2,LstMachines[Sub-Dealer],"ESM TP")
   - SUMIFS(LstMachines[Budget],LstMachines[MoisRgltVteESM],PlanFinance!AP$2,LstMachines[Sub-Dealer],"ESM TP",LstMachines[Status],"** Lost **")</f>
        <v>256</v>
      </c>
      <c r="AQ14" s="304">
        <f xml:space="preserve"> SUMIFS(LstMachines[Budget],LstMachines[MoisRgltVteESM],PlanFinance!AQ$2,LstMachines[Sub-Dealer],"ESM TP")
   - SUMIFS(LstMachines[Budget],LstMachines[MoisRgltVteESM],PlanFinance!AQ$2,LstMachines[Sub-Dealer],"ESM TP",LstMachines[Status],"** Lost **")</f>
        <v>257</v>
      </c>
      <c r="AR14" s="304">
        <f xml:space="preserve"> SUMIFS(LstMachines[Budget],LstMachines[MoisRgltVteESM],PlanFinance!AR$2,LstMachines[Sub-Dealer],"ESM TP")
   - SUMIFS(LstMachines[Budget],LstMachines[MoisRgltVteESM],PlanFinance!AR$2,LstMachines[Sub-Dealer],"ESM TP",LstMachines[Status],"** Lost **")</f>
        <v>385</v>
      </c>
      <c r="AS14" s="268"/>
      <c r="AT14" s="268"/>
      <c r="BP14" s="394"/>
      <c r="BQ14" s="393"/>
      <c r="BS14" s="394"/>
      <c r="BT14" s="393"/>
    </row>
    <row r="15" spans="2:72">
      <c r="B15" s="303"/>
      <c r="C15" s="301"/>
      <c r="D15" s="303"/>
      <c r="E15" s="303" t="s">
        <v>511</v>
      </c>
      <c r="F15" s="304">
        <f t="shared" ref="F15:AR15" si="37" xml:space="preserve"> (F13+F14)*TVA</f>
        <v>0</v>
      </c>
      <c r="G15" s="304">
        <f t="shared" si="37"/>
        <v>0</v>
      </c>
      <c r="H15" s="304">
        <f t="shared" si="37"/>
        <v>0</v>
      </c>
      <c r="I15" s="304">
        <f t="shared" si="37"/>
        <v>0</v>
      </c>
      <c r="J15" s="304">
        <f t="shared" si="37"/>
        <v>0</v>
      </c>
      <c r="K15" s="304">
        <f t="shared" si="37"/>
        <v>171.20000000000002</v>
      </c>
      <c r="L15" s="304">
        <f t="shared" si="37"/>
        <v>251.8</v>
      </c>
      <c r="M15" s="304">
        <f t="shared" si="37"/>
        <v>183.8</v>
      </c>
      <c r="N15" s="304">
        <f t="shared" si="37"/>
        <v>508.40000000000003</v>
      </c>
      <c r="O15" s="304">
        <f t="shared" si="37"/>
        <v>182.20000000000002</v>
      </c>
      <c r="P15" s="304">
        <f t="shared" si="37"/>
        <v>443.8</v>
      </c>
      <c r="Q15" s="304">
        <f t="shared" si="37"/>
        <v>409.6</v>
      </c>
      <c r="R15" s="304">
        <f t="shared" si="37"/>
        <v>259.60000000000002</v>
      </c>
      <c r="S15" s="304">
        <f t="shared" si="37"/>
        <v>276.60000000000002</v>
      </c>
      <c r="T15" s="304">
        <f t="shared" si="37"/>
        <v>516.80000000000007</v>
      </c>
      <c r="U15" s="304">
        <f t="shared" si="37"/>
        <v>179</v>
      </c>
      <c r="V15" s="304">
        <f t="shared" si="37"/>
        <v>129.4</v>
      </c>
      <c r="W15" s="304">
        <f t="shared" si="37"/>
        <v>196.20000000000002</v>
      </c>
      <c r="X15" s="304">
        <f t="shared" si="37"/>
        <v>189.20000000000002</v>
      </c>
      <c r="Y15" s="304">
        <f t="shared" si="37"/>
        <v>267.40000000000003</v>
      </c>
      <c r="Z15" s="304">
        <f t="shared" si="37"/>
        <v>140.6</v>
      </c>
      <c r="AA15" s="304">
        <f t="shared" si="37"/>
        <v>38</v>
      </c>
      <c r="AB15" s="304">
        <f t="shared" si="37"/>
        <v>2332</v>
      </c>
      <c r="AC15" s="304">
        <f t="shared" si="37"/>
        <v>54</v>
      </c>
      <c r="AD15" s="304">
        <f t="shared" si="37"/>
        <v>73</v>
      </c>
      <c r="AE15" s="304">
        <f t="shared" si="37"/>
        <v>137.4</v>
      </c>
      <c r="AF15" s="304">
        <f t="shared" si="37"/>
        <v>97.4</v>
      </c>
      <c r="AG15" s="304">
        <f t="shared" si="37"/>
        <v>68.2</v>
      </c>
      <c r="AH15" s="304">
        <f t="shared" si="37"/>
        <v>41.2</v>
      </c>
      <c r="AI15" s="304">
        <f t="shared" si="37"/>
        <v>111</v>
      </c>
      <c r="AJ15" s="304">
        <f t="shared" si="37"/>
        <v>41.2</v>
      </c>
      <c r="AK15" s="304">
        <f t="shared" si="37"/>
        <v>57.800000000000004</v>
      </c>
      <c r="AL15" s="304">
        <f t="shared" si="37"/>
        <v>54</v>
      </c>
      <c r="AM15" s="304">
        <f t="shared" si="37"/>
        <v>0</v>
      </c>
      <c r="AN15" s="304">
        <f t="shared" si="37"/>
        <v>2548.8000000000002</v>
      </c>
      <c r="AO15" s="304">
        <f t="shared" si="37"/>
        <v>0</v>
      </c>
      <c r="AP15" s="304">
        <f t="shared" si="37"/>
        <v>51.2</v>
      </c>
      <c r="AQ15" s="304">
        <f t="shared" si="37"/>
        <v>51.400000000000006</v>
      </c>
      <c r="AR15" s="304">
        <f t="shared" si="37"/>
        <v>77</v>
      </c>
      <c r="AS15" s="268"/>
      <c r="AT15" s="268"/>
      <c r="BP15" s="394"/>
      <c r="BQ15" s="393"/>
      <c r="BS15" s="394"/>
      <c r="BT15" s="393">
        <f>T15</f>
        <v>516.80000000000007</v>
      </c>
    </row>
    <row r="16" spans="2:72">
      <c r="B16" s="303"/>
      <c r="C16" s="301"/>
      <c r="D16" s="303"/>
      <c r="E16" s="303"/>
      <c r="F16" s="304"/>
      <c r="G16" s="304"/>
      <c r="H16" s="304"/>
      <c r="I16" s="304"/>
      <c r="J16" s="304"/>
      <c r="K16" s="304"/>
      <c r="L16" s="304"/>
      <c r="M16" s="304"/>
      <c r="N16" s="304"/>
      <c r="O16" s="304"/>
      <c r="P16" s="304"/>
      <c r="Q16" s="304"/>
      <c r="R16" s="304"/>
      <c r="S16" s="304"/>
      <c r="T16" s="304"/>
      <c r="U16" s="304"/>
      <c r="V16" s="304"/>
      <c r="W16" s="304"/>
      <c r="X16" s="304"/>
      <c r="Y16" s="304"/>
      <c r="Z16" s="304"/>
      <c r="AA16" s="304"/>
      <c r="AB16" s="304"/>
      <c r="AC16" s="304"/>
      <c r="AD16" s="304"/>
      <c r="AE16" s="304"/>
      <c r="AF16" s="304"/>
      <c r="AG16" s="304"/>
      <c r="AH16" s="304"/>
      <c r="AI16" s="304"/>
      <c r="AJ16" s="304"/>
      <c r="AK16" s="304"/>
      <c r="AL16" s="304"/>
      <c r="AM16" s="304"/>
      <c r="AN16" s="304"/>
      <c r="AO16" s="304"/>
      <c r="AP16" s="304"/>
      <c r="AQ16" s="304"/>
      <c r="AR16" s="304"/>
      <c r="AS16" s="268"/>
      <c r="AT16" s="268"/>
      <c r="BP16" s="394"/>
      <c r="BQ16" s="393"/>
      <c r="BS16" s="394"/>
      <c r="BT16" s="393"/>
    </row>
    <row r="17" spans="2:72">
      <c r="B17" s="308"/>
      <c r="C17" s="363" t="s">
        <v>514</v>
      </c>
      <c r="D17" s="308"/>
      <c r="E17" s="308"/>
      <c r="F17" s="309"/>
      <c r="G17" s="309"/>
      <c r="H17" s="309"/>
      <c r="I17" s="309"/>
      <c r="J17" s="309"/>
      <c r="K17" s="309"/>
      <c r="L17" s="309"/>
      <c r="M17" s="309"/>
      <c r="N17" s="309"/>
      <c r="O17" s="309"/>
      <c r="P17" s="309"/>
      <c r="Q17" s="309"/>
      <c r="R17" s="309"/>
      <c r="S17" s="309"/>
      <c r="T17" s="309"/>
      <c r="U17" s="309"/>
      <c r="V17" s="309"/>
      <c r="W17" s="309"/>
      <c r="X17" s="309"/>
      <c r="Y17" s="309"/>
      <c r="Z17" s="309"/>
      <c r="AA17" s="309"/>
      <c r="AB17" s="309"/>
      <c r="AC17" s="309"/>
      <c r="AD17" s="309"/>
      <c r="AE17" s="309"/>
      <c r="AF17" s="309"/>
      <c r="AG17" s="309"/>
      <c r="AH17" s="309"/>
      <c r="AI17" s="309"/>
      <c r="AJ17" s="309"/>
      <c r="AK17" s="309"/>
      <c r="AL17" s="309"/>
      <c r="AM17" s="309"/>
      <c r="AN17" s="309"/>
      <c r="AO17" s="309"/>
      <c r="AP17" s="309"/>
      <c r="AQ17" s="309"/>
      <c r="AR17" s="309"/>
      <c r="AS17" s="292"/>
      <c r="AT17" s="292"/>
      <c r="AU17" s="291"/>
      <c r="AV17" s="291"/>
      <c r="AW17" s="293"/>
      <c r="AX17" s="293"/>
      <c r="AY17" s="293"/>
      <c r="AZ17" s="293"/>
      <c r="BA17" s="293"/>
      <c r="BB17" s="293"/>
      <c r="BC17" s="293"/>
      <c r="BD17" s="293"/>
      <c r="BE17" s="293"/>
      <c r="BF17" s="293"/>
      <c r="BG17" s="293"/>
      <c r="BH17" s="293"/>
      <c r="BI17" s="293"/>
      <c r="BJ17" s="293"/>
      <c r="BK17" s="293"/>
      <c r="BL17" s="293"/>
      <c r="BM17" s="293"/>
      <c r="BP17" s="394"/>
      <c r="BQ17" s="393"/>
      <c r="BS17" s="394"/>
      <c r="BT17" s="393"/>
    </row>
    <row r="18" spans="2:72">
      <c r="B18" s="298"/>
      <c r="C18" s="361"/>
      <c r="D18" s="303"/>
      <c r="E18" s="303" t="s">
        <v>512</v>
      </c>
      <c r="F18" s="304">
        <f xml:space="preserve"> SUMIFS(LstMachines[Budget],LstMachines[MoisLivr],PlanFinance!F$2)
- SUMIFS(LstMachines[Budget],LstMachines[MoisLivr],PlanFinance!F$2,LstMachines[Status],"** Lost **")
- SUMIFS(LstMachines[Budget],LstMachines[MoisLivr],PlanFinance!F$2,LstMachines[Sub-Dealer],"ESM TP")
+ SUMIFS(LstMachines[Budget],LstMachines[MoisLivr],PlanFinance!F$2,LstMachines[Sub-Dealer],"ESM TP",LstMachines[Status],"** Lost **")</f>
        <v>0</v>
      </c>
      <c r="G18" s="304">
        <f xml:space="preserve"> SUMIFS(LstMachines[Budget],LstMachines[MoisLivr],PlanFinance!G$2)
- SUMIFS(LstMachines[Budget],LstMachines[MoisLivr],PlanFinance!G$2,LstMachines[Status],"** Lost **")
- SUMIFS(LstMachines[Budget],LstMachines[MoisLivr],PlanFinance!G$2,LstMachines[Sub-Dealer],"ESM TP")
+ SUMIFS(LstMachines[Budget],LstMachines[MoisLivr],PlanFinance!G$2,LstMachines[Sub-Dealer],"ESM TP",LstMachines[Status],"** Lost **")</f>
        <v>0</v>
      </c>
      <c r="H18" s="304">
        <f xml:space="preserve"> SUMIFS(LstMachines[Budget],LstMachines[MoisLivr],PlanFinance!H$2)
- SUMIFS(LstMachines[Budget],LstMachines[MoisLivr],PlanFinance!H$2,LstMachines[Status],"** Lost **")
- SUMIFS(LstMachines[Budget],LstMachines[MoisLivr],PlanFinance!H$2,LstMachines[Sub-Dealer],"ESM TP")
+ SUMIFS(LstMachines[Budget],LstMachines[MoisLivr],PlanFinance!H$2,LstMachines[Sub-Dealer],"ESM TP",LstMachines[Status],"** Lost **")</f>
        <v>0</v>
      </c>
      <c r="I18" s="304">
        <f xml:space="preserve"> SUMIFS(LstMachines[Budget],LstMachines[MoisLivr],PlanFinance!I$2)
- SUMIFS(LstMachines[Budget],LstMachines[MoisLivr],PlanFinance!I$2,LstMachines[Status],"** Lost **")
- SUMIFS(LstMachines[Budget],LstMachines[MoisLivr],PlanFinance!I$2,LstMachines[Sub-Dealer],"ESM TP")
+ SUMIFS(LstMachines[Budget],LstMachines[MoisLivr],PlanFinance!I$2,LstMachines[Sub-Dealer],"ESM TP",LstMachines[Status],"** Lost **")</f>
        <v>856</v>
      </c>
      <c r="J18" s="304">
        <f xml:space="preserve"> SUMIFS(LstMachines[Budget],LstMachines[MoisLivr],PlanFinance!J$2)
- SUMIFS(LstMachines[Budget],LstMachines[MoisLivr],PlanFinance!J$2,LstMachines[Status],"** Lost **")
- SUMIFS(LstMachines[Budget],LstMachines[MoisLivr],PlanFinance!J$2,LstMachines[Sub-Dealer],"ESM TP")
+ SUMIFS(LstMachines[Budget],LstMachines[MoisLivr],PlanFinance!J$2,LstMachines[Sub-Dealer],"ESM TP",LstMachines[Status],"** Lost **")</f>
        <v>1259</v>
      </c>
      <c r="K18" s="304">
        <f xml:space="preserve"> SUMIFS(LstMachines[Budget],LstMachines[MoisLivr],PlanFinance!K$2)
- SUMIFS(LstMachines[Budget],LstMachines[MoisLivr],PlanFinance!K$2,LstMachines[Status],"** Lost **")
- SUMIFS(LstMachines[Budget],LstMachines[MoisLivr],PlanFinance!K$2,LstMachines[Sub-Dealer],"ESM TP")
+ SUMIFS(LstMachines[Budget],LstMachines[MoisLivr],PlanFinance!K$2,LstMachines[Sub-Dealer],"ESM TP",LstMachines[Status],"** Lost **")</f>
        <v>919</v>
      </c>
      <c r="L18" s="304">
        <f xml:space="preserve"> SUMIFS(LstMachines[Budget],LstMachines[MoisLivr],PlanFinance!L$2)
- SUMIFS(LstMachines[Budget],LstMachines[MoisLivr],PlanFinance!L$2,LstMachines[Status],"** Lost **")
- SUMIFS(LstMachines[Budget],LstMachines[MoisLivr],PlanFinance!L$2,LstMachines[Sub-Dealer],"ESM TP")
+ SUMIFS(LstMachines[Budget],LstMachines[MoisLivr],PlanFinance!L$2,LstMachines[Sub-Dealer],"ESM TP",LstMachines[Status],"** Lost **")</f>
        <v>2338</v>
      </c>
      <c r="M18" s="304">
        <f xml:space="preserve"> SUMIFS(LstMachines[Budget],LstMachines[MoisLivr],PlanFinance!M$2)
- SUMIFS(LstMachines[Budget],LstMachines[MoisLivr],PlanFinance!M$2,LstMachines[Status],"** Lost **")
- SUMIFS(LstMachines[Budget],LstMachines[MoisLivr],PlanFinance!M$2,LstMachines[Sub-Dealer],"ESM TP")
+ SUMIFS(LstMachines[Budget],LstMachines[MoisLivr],PlanFinance!M$2,LstMachines[Sub-Dealer],"ESM TP",LstMachines[Status],"** Lost **")</f>
        <v>1013</v>
      </c>
      <c r="N18" s="304">
        <f xml:space="preserve"> SUMIFS(LstMachines[Budget],LstMachines[MoisLivr],PlanFinance!N$2)
- SUMIFS(LstMachines[Budget],LstMachines[MoisLivr],PlanFinance!N$2,LstMachines[Status],"** Lost **")
- SUMIFS(LstMachines[Budget],LstMachines[MoisLivr],PlanFinance!N$2,LstMachines[Sub-Dealer],"ESM TP")
+ SUMIFS(LstMachines[Budget],LstMachines[MoisLivr],PlanFinance!N$2,LstMachines[Sub-Dealer],"ESM TP",LstMachines[Status],"** Lost **")</f>
        <v>2321</v>
      </c>
      <c r="O18" s="304">
        <f xml:space="preserve"> SUMIFS(LstMachines[Budget],LstMachines[MoisLivr],PlanFinance!O$2)
- SUMIFS(LstMachines[Budget],LstMachines[MoisLivr],PlanFinance!O$2,LstMachines[Status],"** Lost **")
- SUMIFS(LstMachines[Budget],LstMachines[MoisLivr],PlanFinance!O$2,LstMachines[Sub-Dealer],"ESM TP")
+ SUMIFS(LstMachines[Budget],LstMachines[MoisLivr],PlanFinance!O$2,LstMachines[Sub-Dealer],"ESM TP",LstMachines[Status],"** Lost **")</f>
        <v>2048</v>
      </c>
      <c r="P18" s="304">
        <f xml:space="preserve"> SUMIFS(LstMachines[Budget],LstMachines[MoisLivr],PlanFinance!P$2)
- SUMIFS(LstMachines[Budget],LstMachines[MoisLivr],PlanFinance!P$2,LstMachines[Status],"** Lost **")
- SUMIFS(LstMachines[Budget],LstMachines[MoisLivr],PlanFinance!P$2,LstMachines[Sub-Dealer],"ESM TP")
+ SUMIFS(LstMachines[Budget],LstMachines[MoisLivr],PlanFinance!P$2,LstMachines[Sub-Dealer],"ESM TP",LstMachines[Status],"** Lost **")</f>
        <v>1042</v>
      </c>
      <c r="Q18" s="304">
        <f xml:space="preserve"> SUMIFS(LstMachines[Budget],LstMachines[MoisLivr],PlanFinance!Q$2)
- SUMIFS(LstMachines[Budget],LstMachines[MoisLivr],PlanFinance!Q$2,LstMachines[Status],"** Lost **")
- SUMIFS(LstMachines[Budget],LstMachines[MoisLivr],PlanFinance!Q$2,LstMachines[Sub-Dealer],"ESM TP")
+ SUMIFS(LstMachines[Budget],LstMachines[MoisLivr],PlanFinance!Q$2,LstMachines[Sub-Dealer],"ESM TP",LstMachines[Status],"** Lost **")</f>
        <v>1126</v>
      </c>
      <c r="R18" s="304">
        <f xml:space="preserve"> SUMIFS(LstMachines[Budget],LstMachines[MoisLivr],PlanFinance!R$2)
- SUMIFS(LstMachines[Budget],LstMachines[MoisLivr],PlanFinance!R$2,LstMachines[Status],"** Lost **")
- SUMIFS(LstMachines[Budget],LstMachines[MoisLivr],PlanFinance!R$2,LstMachines[Sub-Dealer],"ESM TP")
+ SUMIFS(LstMachines[Budget],LstMachines[MoisLivr],PlanFinance!R$2,LstMachines[Sub-Dealer],"ESM TP",LstMachines[Status],"** Lost **")</f>
        <v>1765</v>
      </c>
      <c r="S18" s="304">
        <f xml:space="preserve"> SUMIFS(LstMachines[Budget],LstMachines[MoisLivr],PlanFinance!S$2)
- SUMIFS(LstMachines[Budget],LstMachines[MoisLivr],PlanFinance!S$2,LstMachines[Status],"** Lost **")
- SUMIFS(LstMachines[Budget],LstMachines[MoisLivr],PlanFinance!S$2,LstMachines[Sub-Dealer],"ESM TP")
+ SUMIFS(LstMachines[Budget],LstMachines[MoisLivr],PlanFinance!S$2,LstMachines[Sub-Dealer],"ESM TP",LstMachines[Status],"** Lost **")</f>
        <v>988</v>
      </c>
      <c r="T18" s="304">
        <f xml:space="preserve"> SUMIFS(LstMachines[Budget],LstMachines[MoisLivr],PlanFinance!T$2)
- SUMIFS(LstMachines[Budget],LstMachines[MoisLivr],PlanFinance!T$2,LstMachines[Status],"** Lost **")
- SUMIFS(LstMachines[Budget],LstMachines[MoisLivr],PlanFinance!T$2,LstMachines[Sub-Dealer],"ESM TP")
+ SUMIFS(LstMachines[Budget],LstMachines[MoisLivr],PlanFinance!T$2,LstMachines[Sub-Dealer],"ESM TP",LstMachines[Status],"** Lost **")</f>
        <v>441</v>
      </c>
      <c r="U18" s="304">
        <f xml:space="preserve"> SUMIFS(LstMachines[Budget],LstMachines[MoisLivr],PlanFinance!U$2)
- SUMIFS(LstMachines[Budget],LstMachines[MoisLivr],PlanFinance!U$2,LstMachines[Status],"** Lost **")
- SUMIFS(LstMachines[Budget],LstMachines[MoisLivr],PlanFinance!U$2,LstMachines[Sub-Dealer],"ESM TP")
+ SUMIFS(LstMachines[Budget],LstMachines[MoisLivr],PlanFinance!U$2,LstMachines[Sub-Dealer],"ESM TP",LstMachines[Status],"** Lost **")</f>
        <v>426</v>
      </c>
      <c r="V18" s="304">
        <f xml:space="preserve"> SUMIFS(LstMachines[Budget],LstMachines[MoisLivr],PlanFinance!V$2)
- SUMIFS(LstMachines[Budget],LstMachines[MoisLivr],PlanFinance!V$2,LstMachines[Status],"** Lost **")
- SUMIFS(LstMachines[Budget],LstMachines[MoisLivr],PlanFinance!V$2,LstMachines[Sub-Dealer],"ESM TP")
+ SUMIFS(LstMachines[Budget],LstMachines[MoisLivr],PlanFinance!V$2,LstMachines[Sub-Dealer],"ESM TP",LstMachines[Status],"** Lost **")</f>
        <v>740</v>
      </c>
      <c r="W18" s="304">
        <f xml:space="preserve"> SUMIFS(LstMachines[Budget],LstMachines[MoisLivr],PlanFinance!W$2)
- SUMIFS(LstMachines[Budget],LstMachines[MoisLivr],PlanFinance!W$2,LstMachines[Status],"** Lost **")
- SUMIFS(LstMachines[Budget],LstMachines[MoisLivr],PlanFinance!W$2,LstMachines[Sub-Dealer],"ESM TP")
+ SUMIFS(LstMachines[Budget],LstMachines[MoisLivr],PlanFinance!W$2,LstMachines[Sub-Dealer],"ESM TP",LstMachines[Status],"** Lost **")</f>
        <v>1048</v>
      </c>
      <c r="X18" s="304">
        <f xml:space="preserve"> SUMIFS(LstMachines[Budget],LstMachines[MoisLivr],PlanFinance!X$2)
- SUMIFS(LstMachines[Budget],LstMachines[MoisLivr],PlanFinance!X$2,LstMachines[Status],"** Lost **")
- SUMIFS(LstMachines[Budget],LstMachines[MoisLivr],PlanFinance!X$2,LstMachines[Sub-Dealer],"ESM TP")
+ SUMIFS(LstMachines[Budget],LstMachines[MoisLivr],PlanFinance!X$2,LstMachines[Sub-Dealer],"ESM TP",LstMachines[Status],"** Lost **")</f>
        <v>433</v>
      </c>
      <c r="Y18" s="304">
        <f xml:space="preserve"> SUMIFS(LstMachines[Budget],LstMachines[MoisLivr],PlanFinance!Y$2)
- SUMIFS(LstMachines[Budget],LstMachines[MoisLivr],PlanFinance!Y$2,LstMachines[Status],"** Lost **")
- SUMIFS(LstMachines[Budget],LstMachines[MoisLivr],PlanFinance!Y$2,LstMachines[Sub-Dealer],"ESM TP")
+ SUMIFS(LstMachines[Budget],LstMachines[MoisLivr],PlanFinance!Y$2,LstMachines[Sub-Dealer],"ESM TP",LstMachines[Status],"** Lost **")</f>
        <v>190</v>
      </c>
      <c r="Z18" s="304">
        <f xml:space="preserve"> SUMIFS(LstMachines[Budget],LstMachines[MoisLivr],PlanFinance!Z$2)
- SUMIFS(LstMachines[Budget],LstMachines[MoisLivr],PlanFinance!Z$2,LstMachines[Status],"** Lost **")
- SUMIFS(LstMachines[Budget],LstMachines[MoisLivr],PlanFinance!Z$2,LstMachines[Sub-Dealer],"ESM TP")
+ SUMIFS(LstMachines[Budget],LstMachines[MoisLivr],PlanFinance!Z$2,LstMachines[Sub-Dealer],"ESM TP",LstMachines[Status],"** Lost **")</f>
        <v>11660</v>
      </c>
      <c r="AA18" s="304">
        <f xml:space="preserve"> SUMIFS(LstMachines[Budget],LstMachines[MoisLivr],PlanFinance!AA$2)
- SUMIFS(LstMachines[Budget],LstMachines[MoisLivr],PlanFinance!AA$2,LstMachines[Status],"** Lost **")
- SUMIFS(LstMachines[Budget],LstMachines[MoisLivr],PlanFinance!AA$2,LstMachines[Sub-Dealer],"ESM TP")
+ SUMIFS(LstMachines[Budget],LstMachines[MoisLivr],PlanFinance!AA$2,LstMachines[Sub-Dealer],"ESM TP",LstMachines[Status],"** Lost **")</f>
        <v>270</v>
      </c>
      <c r="AB18" s="304">
        <f xml:space="preserve"> SUMIFS(LstMachines[Budget],LstMachines[MoisLivr],PlanFinance!AB$2)
- SUMIFS(LstMachines[Budget],LstMachines[MoisLivr],PlanFinance!AB$2,LstMachines[Status],"** Lost **")
- SUMIFS(LstMachines[Budget],LstMachines[MoisLivr],PlanFinance!AB$2,LstMachines[Sub-Dealer],"ESM TP")
+ SUMIFS(LstMachines[Budget],LstMachines[MoisLivr],PlanFinance!AB$2,LstMachines[Sub-Dealer],"ESM TP",LstMachines[Status],"** Lost **")</f>
        <v>109</v>
      </c>
      <c r="AC18" s="304">
        <f xml:space="preserve"> SUMIFS(LstMachines[Budget],LstMachines[MoisLivr],PlanFinance!AC$2)
- SUMIFS(LstMachines[Budget],LstMachines[MoisLivr],PlanFinance!AC$2,LstMachines[Status],"** Lost **")
- SUMIFS(LstMachines[Budget],LstMachines[MoisLivr],PlanFinance!AC$2,LstMachines[Sub-Dealer],"ESM TP")
+ SUMIFS(LstMachines[Budget],LstMachines[MoisLivr],PlanFinance!AC$2,LstMachines[Sub-Dealer],"ESM TP",LstMachines[Status],"** Lost **")</f>
        <v>430</v>
      </c>
      <c r="AD18" s="304">
        <f xml:space="preserve"> SUMIFS(LstMachines[Budget],LstMachines[MoisLivr],PlanFinance!AD$2)
- SUMIFS(LstMachines[Budget],LstMachines[MoisLivr],PlanFinance!AD$2,LstMachines[Status],"** Lost **")
- SUMIFS(LstMachines[Budget],LstMachines[MoisLivr],PlanFinance!AD$2,LstMachines[Sub-Dealer],"ESM TP")
+ SUMIFS(LstMachines[Budget],LstMachines[MoisLivr],PlanFinance!AD$2,LstMachines[Sub-Dealer],"ESM TP",LstMachines[Status],"** Lost **")</f>
        <v>102</v>
      </c>
      <c r="AE18" s="304">
        <f xml:space="preserve"> SUMIFS(LstMachines[Budget],LstMachines[MoisLivr],PlanFinance!AE$2)
- SUMIFS(LstMachines[Budget],LstMachines[MoisLivr],PlanFinance!AE$2,LstMachines[Status],"** Lost **")
- SUMIFS(LstMachines[Budget],LstMachines[MoisLivr],PlanFinance!AE$2,LstMachines[Sub-Dealer],"ESM TP")
+ SUMIFS(LstMachines[Budget],LstMachines[MoisLivr],PlanFinance!AE$2,LstMachines[Sub-Dealer],"ESM TP",LstMachines[Status],"** Lost **")</f>
        <v>0</v>
      </c>
      <c r="AF18" s="304">
        <f xml:space="preserve"> SUMIFS(LstMachines[Budget],LstMachines[MoisLivr],PlanFinance!AF$2)
- SUMIFS(LstMachines[Budget],LstMachines[MoisLivr],PlanFinance!AF$2,LstMachines[Status],"** Lost **")
- SUMIFS(LstMachines[Budget],LstMachines[MoisLivr],PlanFinance!AF$2,LstMachines[Sub-Dealer],"ESM TP")
+ SUMIFS(LstMachines[Budget],LstMachines[MoisLivr],PlanFinance!AF$2,LstMachines[Sub-Dealer],"ESM TP",LstMachines[Status],"** Lost **")</f>
        <v>0</v>
      </c>
      <c r="AG18" s="304">
        <f xml:space="preserve"> SUMIFS(LstMachines[Budget],LstMachines[MoisLivr],PlanFinance!AG$2)
- SUMIFS(LstMachines[Budget],LstMachines[MoisLivr],PlanFinance!AG$2,LstMachines[Status],"** Lost **")
- SUMIFS(LstMachines[Budget],LstMachines[MoisLivr],PlanFinance!AG$2,LstMachines[Sub-Dealer],"ESM TP")
+ SUMIFS(LstMachines[Budget],LstMachines[MoisLivr],PlanFinance!AG$2,LstMachines[Sub-Dealer],"ESM TP",LstMachines[Status],"** Lost **")</f>
        <v>0</v>
      </c>
      <c r="AH18" s="304">
        <f xml:space="preserve"> SUMIFS(LstMachines[Budget],LstMachines[MoisLivr],PlanFinance!AH$2)
- SUMIFS(LstMachines[Budget],LstMachines[MoisLivr],PlanFinance!AH$2,LstMachines[Status],"** Lost **")
- SUMIFS(LstMachines[Budget],LstMachines[MoisLivr],PlanFinance!AH$2,LstMachines[Sub-Dealer],"ESM TP")
+ SUMIFS(LstMachines[Budget],LstMachines[MoisLivr],PlanFinance!AH$2,LstMachines[Sub-Dealer],"ESM TP",LstMachines[Status],"** Lost **")</f>
        <v>0</v>
      </c>
      <c r="AI18" s="304">
        <f xml:space="preserve"> SUMIFS(LstMachines[Budget],LstMachines[MoisLivr],PlanFinance!AI$2)
- SUMIFS(LstMachines[Budget],LstMachines[MoisLivr],PlanFinance!AI$2,LstMachines[Status],"** Lost **")
- SUMIFS(LstMachines[Budget],LstMachines[MoisLivr],PlanFinance!AI$2,LstMachines[Sub-Dealer],"ESM TP")
+ SUMIFS(LstMachines[Budget],LstMachines[MoisLivr],PlanFinance!AI$2,LstMachines[Sub-Dealer],"ESM TP",LstMachines[Status],"** Lost **")</f>
        <v>0</v>
      </c>
      <c r="AJ18" s="304">
        <f xml:space="preserve"> SUMIFS(LstMachines[Budget],LstMachines[MoisLivr],PlanFinance!AJ$2)
- SUMIFS(LstMachines[Budget],LstMachines[MoisLivr],PlanFinance!AJ$2,LstMachines[Status],"** Lost **")
- SUMIFS(LstMachines[Budget],LstMachines[MoisLivr],PlanFinance!AJ$2,LstMachines[Sub-Dealer],"ESM TP")
+ SUMIFS(LstMachines[Budget],LstMachines[MoisLivr],PlanFinance!AJ$2,LstMachines[Sub-Dealer],"ESM TP",LstMachines[Status],"** Lost **")</f>
        <v>0</v>
      </c>
      <c r="AK18" s="304">
        <f xml:space="preserve"> SUMIFS(LstMachines[Budget],LstMachines[MoisLivr],PlanFinance!AK$2)
- SUMIFS(LstMachines[Budget],LstMachines[MoisLivr],PlanFinance!AK$2,LstMachines[Status],"** Lost **")
- SUMIFS(LstMachines[Budget],LstMachines[MoisLivr],PlanFinance!AK$2,LstMachines[Sub-Dealer],"ESM TP")
+ SUMIFS(LstMachines[Budget],LstMachines[MoisLivr],PlanFinance!AK$2,LstMachines[Sub-Dealer],"ESM TP",LstMachines[Status],"** Lost **")</f>
        <v>0</v>
      </c>
      <c r="AL18" s="304">
        <f xml:space="preserve"> SUMIFS(LstMachines[Budget],LstMachines[MoisLivr],PlanFinance!AL$2)
- SUMIFS(LstMachines[Budget],LstMachines[MoisLivr],PlanFinance!AL$2,LstMachines[Status],"** Lost **")
- SUMIFS(LstMachines[Budget],LstMachines[MoisLivr],PlanFinance!AL$2,LstMachines[Sub-Dealer],"ESM TP")
+ SUMIFS(LstMachines[Budget],LstMachines[MoisLivr],PlanFinance!AL$2,LstMachines[Sub-Dealer],"ESM TP",LstMachines[Status],"** Lost **")</f>
        <v>12744</v>
      </c>
      <c r="AM18" s="304">
        <f xml:space="preserve"> SUMIFS(LstMachines[Budget],LstMachines[MoisLivr],PlanFinance!AM$2)
- SUMIFS(LstMachines[Budget],LstMachines[MoisLivr],PlanFinance!AM$2,LstMachines[Status],"** Lost **")
- SUMIFS(LstMachines[Budget],LstMachines[MoisLivr],PlanFinance!AM$2,LstMachines[Sub-Dealer],"ESM TP")
+ SUMIFS(LstMachines[Budget],LstMachines[MoisLivr],PlanFinance!AM$2,LstMachines[Sub-Dealer],"ESM TP",LstMachines[Status],"** Lost **")</f>
        <v>0</v>
      </c>
      <c r="AN18" s="304">
        <f xml:space="preserve"> SUMIFS(LstMachines[Budget],LstMachines[MoisLivr],PlanFinance!AN$2)
- SUMIFS(LstMachines[Budget],LstMachines[MoisLivr],PlanFinance!AN$2,LstMachines[Status],"** Lost **")
- SUMIFS(LstMachines[Budget],LstMachines[MoisLivr],PlanFinance!AN$2,LstMachines[Sub-Dealer],"ESM TP")
+ SUMIFS(LstMachines[Budget],LstMachines[MoisLivr],PlanFinance!AN$2,LstMachines[Sub-Dealer],"ESM TP",LstMachines[Status],"** Lost **")</f>
        <v>0</v>
      </c>
      <c r="AO18" s="304">
        <f xml:space="preserve"> SUMIFS(LstMachines[Budget],LstMachines[MoisLivr],PlanFinance!AO$2)
- SUMIFS(LstMachines[Budget],LstMachines[MoisLivr],PlanFinance!AO$2,LstMachines[Status],"** Lost **")
- SUMIFS(LstMachines[Budget],LstMachines[MoisLivr],PlanFinance!AO$2,LstMachines[Sub-Dealer],"ESM TP")
+ SUMIFS(LstMachines[Budget],LstMachines[MoisLivr],PlanFinance!AO$2,LstMachines[Sub-Dealer],"ESM TP",LstMachines[Status],"** Lost **")</f>
        <v>0</v>
      </c>
      <c r="AP18" s="304">
        <f xml:space="preserve"> SUMIFS(LstMachines[Budget],LstMachines[MoisLivr],PlanFinance!AP$2)
- SUMIFS(LstMachines[Budget],LstMachines[MoisLivr],PlanFinance!AP$2,LstMachines[Status],"** Lost **")
- SUMIFS(LstMachines[Budget],LstMachines[MoisLivr],PlanFinance!AP$2,LstMachines[Sub-Dealer],"ESM TP")
+ SUMIFS(LstMachines[Budget],LstMachines[MoisLivr],PlanFinance!AP$2,LstMachines[Sub-Dealer],"ESM TP",LstMachines[Status],"** Lost **")</f>
        <v>0</v>
      </c>
      <c r="AQ18" s="304">
        <f xml:space="preserve"> SUMIFS(LstMachines[Budget],LstMachines[MoisLivr],PlanFinance!AQ$2)
- SUMIFS(LstMachines[Budget],LstMachines[MoisLivr],PlanFinance!AQ$2,LstMachines[Status],"** Lost **")
- SUMIFS(LstMachines[Budget],LstMachines[MoisLivr],PlanFinance!AQ$2,LstMachines[Sub-Dealer],"ESM TP")
+ SUMIFS(LstMachines[Budget],LstMachines[MoisLivr],PlanFinance!AQ$2,LstMachines[Sub-Dealer],"ESM TP",LstMachines[Status],"** Lost **")</f>
        <v>0</v>
      </c>
      <c r="AR18" s="304">
        <f xml:space="preserve"> SUMIFS(LstMachines[Budget],LstMachines[MoisLivr],PlanFinance!AR$2)
- SUMIFS(LstMachines[Budget],LstMachines[MoisLivr],PlanFinance!AR$2,LstMachines[Status],"** Lost **")
- SUMIFS(LstMachines[Budget],LstMachines[MoisLivr],PlanFinance!AR$2,LstMachines[Sub-Dealer],"ESM TP")
+ SUMIFS(LstMachines[Budget],LstMachines[MoisLivr],PlanFinance!AR$2,LstMachines[Sub-Dealer],"ESM TP",LstMachines[Status],"** Lost **")</f>
        <v>0</v>
      </c>
      <c r="AS18" s="268">
        <f xml:space="preserve"> SUMIFS(LstMachines[Budget],LstMachines[MoisLivr],PlanFinance!AS$2)
- SUMIFS(LstMachines[Budget],LstMachines[MoisLivr],PlanFinance!AS$2,LstMachines[Status],"** Lost **")
- SUMIFS(LstMachines[Budget],LstMachines[MoisLivr],PlanFinance!AS$2,LstMachines[Sub-Dealer],"ESM TP")
+ SUMIFS(LstMachines[Budget],LstMachines[MoisLivr],PlanFinance!AS$2,LstMachines[Sub-Dealer],"ESM TP",LstMachines[Status],"** Lost **")</f>
        <v>0</v>
      </c>
      <c r="AT18" s="268">
        <f xml:space="preserve"> SUMIFS(LstMachines[Budget],LstMachines[MoisLivr],PlanFinance!AT$2)
- SUMIFS(LstMachines[Budget],LstMachines[MoisLivr],PlanFinance!AT$2,LstMachines[Status],"** Lost **")
- SUMIFS(LstMachines[Budget],LstMachines[MoisLivr],PlanFinance!AT$2,LstMachines[Sub-Dealer],"ESM TP")
+ SUMIFS(LstMachines[Budget],LstMachines[MoisLivr],PlanFinance!AT$2,LstMachines[Sub-Dealer],"ESM TP",LstMachines[Status],"** Lost **")</f>
        <v>0</v>
      </c>
      <c r="AU18" s="268">
        <f xml:space="preserve"> SUMIFS(LstMachines[Budget],LstMachines[MoisLivr],PlanFinance!AU$2)
- SUMIFS(LstMachines[Budget],LstMachines[MoisLivr],PlanFinance!AU$2,LstMachines[Status],"** Lost **")
- SUMIFS(LstMachines[Budget],LstMachines[MoisLivr],PlanFinance!AU$2,LstMachines[Sub-Dealer],"ESM TP")
+ SUMIFS(LstMachines[Budget],LstMachines[MoisLivr],PlanFinance!AU$2,LstMachines[Sub-Dealer],"ESM TP",LstMachines[Status],"** Lost **")</f>
        <v>0</v>
      </c>
      <c r="AV18" s="257">
        <f>SUMIFS(LstMachines[Budget],LstMachines[LivrMois],MONTH(PlanFinance!AV$1),LstMachines[LivrAn],YEAR(PlanFinance!AV$1))</f>
        <v>0</v>
      </c>
      <c r="AW18" s="257">
        <f>SUMIFS(LstMachines[Budget],LstMachines[LivrMois],MONTH(PlanFinance!AW$1),LstMachines[LivrAn],YEAR(PlanFinance!AW$1))</f>
        <v>0</v>
      </c>
      <c r="AX18" s="257">
        <f>SUMIFS(LstMachines[Budget],LstMachines[LivrMois],MONTH(PlanFinance!AX$1),LstMachines[LivrAn],YEAR(PlanFinance!AX$1))</f>
        <v>0</v>
      </c>
      <c r="AY18" s="257">
        <f>SUMIFS(LstMachines[Budget],LstMachines[LivrMois],MONTH(PlanFinance!AY$1),LstMachines[LivrAn],YEAR(PlanFinance!AY$1))</f>
        <v>0</v>
      </c>
      <c r="AZ18" s="257">
        <f>SUMIFS(LstMachines[Budget],LstMachines[LivrMois],MONTH(PlanFinance!AZ$1),LstMachines[LivrAn],YEAR(PlanFinance!AZ$1))</f>
        <v>0</v>
      </c>
      <c r="BA18" s="257">
        <f>SUMIFS(LstMachines[Budget],LstMachines[LivrMois],MONTH(PlanFinance!BA$1),LstMachines[LivrAn],YEAR(PlanFinance!BA$1))</f>
        <v>0</v>
      </c>
      <c r="BB18" s="257">
        <f>SUMIFS(LstMachines[Budget],LstMachines[LivrMois],MONTH(PlanFinance!BB$1),LstMachines[LivrAn],YEAR(PlanFinance!BB$1))</f>
        <v>0</v>
      </c>
      <c r="BC18" s="257">
        <f>SUMIFS(LstMachines[Budget],LstMachines[LivrMois],MONTH(PlanFinance!BC$1),LstMachines[LivrAn],YEAR(PlanFinance!BC$1))</f>
        <v>0</v>
      </c>
      <c r="BD18" s="257">
        <f>SUMIFS(LstMachines[Budget],LstMachines[LivrMois],MONTH(PlanFinance!BD$1),LstMachines[LivrAn],YEAR(PlanFinance!BD$1))</f>
        <v>0</v>
      </c>
      <c r="BE18" s="257">
        <f>SUMIFS(LstMachines[Budget],LstMachines[LivrMois],MONTH(PlanFinance!BE$1),LstMachines[LivrAn],YEAR(PlanFinance!BE$1))</f>
        <v>0</v>
      </c>
      <c r="BF18" s="257">
        <f>SUMIFS(LstMachines[Budget],LstMachines[LivrMois],MONTH(PlanFinance!BF$1),LstMachines[LivrAn],YEAR(PlanFinance!BF$1))</f>
        <v>0</v>
      </c>
      <c r="BG18" s="257">
        <f>SUMIFS(LstMachines[Budget],LstMachines[LivrMois],MONTH(PlanFinance!BG$1),LstMachines[LivrAn],YEAR(PlanFinance!BG$1))</f>
        <v>0</v>
      </c>
      <c r="BH18" s="257">
        <f>SUMIFS(LstMachines[Budget],LstMachines[LivrMois],MONTH(PlanFinance!BH$1),LstMachines[LivrAn],YEAR(PlanFinance!BH$1))</f>
        <v>0</v>
      </c>
      <c r="BI18" s="257">
        <f>SUMIFS(LstMachines[Budget],LstMachines[LivrMois],MONTH(PlanFinance!BI$1),LstMachines[LivrAn],YEAR(PlanFinance!BI$1))</f>
        <v>0</v>
      </c>
      <c r="BJ18" s="257">
        <f>SUMIFS(LstMachines[Budget],LstMachines[LivrMois],MONTH(PlanFinance!BJ$1),LstMachines[LivrAn],YEAR(PlanFinance!BJ$1))</f>
        <v>0</v>
      </c>
      <c r="BK18" s="257">
        <f>SUMIFS(LstMachines[Budget],LstMachines[LivrMois],MONTH(PlanFinance!BK$1),LstMachines[LivrAn],YEAR(PlanFinance!BK$1))</f>
        <v>0</v>
      </c>
      <c r="BL18" s="257">
        <f>SUMIFS(LstMachines[Budget],LstMachines[LivrMois],MONTH(PlanFinance!BL$1),LstMachines[LivrAn],YEAR(PlanFinance!BL$1))</f>
        <v>0</v>
      </c>
      <c r="BP18" s="394"/>
      <c r="BQ18" s="393"/>
      <c r="BS18" s="394"/>
      <c r="BT18" s="393"/>
    </row>
    <row r="19" spans="2:72">
      <c r="B19" s="303"/>
      <c r="C19" s="361"/>
      <c r="D19" s="303"/>
      <c r="E19" s="303" t="s">
        <v>513</v>
      </c>
      <c r="F19" s="304">
        <f xml:space="preserve"> SUMIFS(LstMachines[Budget],LstMachines[MoisLivr],PlanFinance!F$2,LstMachines[Sub-Dealer],"ESM TP")
- SUMIFS(LstMachines[Budget],LstMachines[MoisLivr],PlanFinance!F$2,LstMachines[Sub-Dealer],"ESM TP",LstMachines[Status],"** Lost **")</f>
        <v>0</v>
      </c>
      <c r="G19" s="304">
        <f xml:space="preserve"> SUMIFS(LstMachines[Budget],LstMachines[MoisLivr],PlanFinance!G$2,LstMachines[Sub-Dealer],"ESM TP")
- SUMIFS(LstMachines[Budget],LstMachines[MoisLivr],PlanFinance!G$2,LstMachines[Sub-Dealer],"ESM TP",LstMachines[Status],"** Lost **")</f>
        <v>0</v>
      </c>
      <c r="H19" s="304">
        <f xml:space="preserve"> SUMIFS(LstMachines[Budget],LstMachines[MoisLivr],PlanFinance!H$2,LstMachines[Sub-Dealer],"ESM TP")
- SUMIFS(LstMachines[Budget],LstMachines[MoisLivr],PlanFinance!H$2,LstMachines[Sub-Dealer],"ESM TP",LstMachines[Status],"** Lost **")</f>
        <v>0</v>
      </c>
      <c r="I19" s="304">
        <f xml:space="preserve"> SUMIFS(LstMachines[Budget],LstMachines[MoisLivr],PlanFinance!I$2,LstMachines[Sub-Dealer],"ESM TP")
- SUMIFS(LstMachines[Budget],LstMachines[MoisLivr],PlanFinance!I$2,LstMachines[Sub-Dealer],"ESM TP",LstMachines[Status],"** Lost **")</f>
        <v>0</v>
      </c>
      <c r="J19" s="304">
        <f xml:space="preserve"> SUMIFS(LstMachines[Budget],LstMachines[MoisLivr],PlanFinance!J$2,LstMachines[Sub-Dealer],"ESM TP")
- SUMIFS(LstMachines[Budget],LstMachines[MoisLivr],PlanFinance!J$2,LstMachines[Sub-Dealer],"ESM TP",LstMachines[Status],"** Lost **")</f>
        <v>0</v>
      </c>
      <c r="K19" s="304">
        <f xml:space="preserve"> SUMIFS(LstMachines[Budget],LstMachines[MoisLivr],PlanFinance!K$2,LstMachines[Sub-Dealer],"ESM TP")
- SUMIFS(LstMachines[Budget],LstMachines[MoisLivr],PlanFinance!K$2,LstMachines[Sub-Dealer],"ESM TP",LstMachines[Status],"** Lost **")</f>
        <v>0</v>
      </c>
      <c r="L19" s="304">
        <f xml:space="preserve"> SUMIFS(LstMachines[Budget],LstMachines[MoisLivr],PlanFinance!L$2,LstMachines[Sub-Dealer],"ESM TP")
- SUMIFS(LstMachines[Budget],LstMachines[MoisLivr],PlanFinance!L$2,LstMachines[Sub-Dealer],"ESM TP",LstMachines[Status],"** Lost **")</f>
        <v>256</v>
      </c>
      <c r="M19" s="304">
        <f xml:space="preserve"> SUMIFS(LstMachines[Budget],LstMachines[MoisLivr],PlanFinance!M$2,LstMachines[Sub-Dealer],"ESM TP")
- SUMIFS(LstMachines[Budget],LstMachines[MoisLivr],PlanFinance!M$2,LstMachines[Sub-Dealer],"ESM TP",LstMachines[Status],"** Lost **")</f>
        <v>257</v>
      </c>
      <c r="N19" s="304">
        <f xml:space="preserve"> SUMIFS(LstMachines[Budget],LstMachines[MoisLivr],PlanFinance!N$2,LstMachines[Sub-Dealer],"ESM TP")
- SUMIFS(LstMachines[Budget],LstMachines[MoisLivr],PlanFinance!N$2,LstMachines[Sub-Dealer],"ESM TP",LstMachines[Status],"** Lost **")</f>
        <v>267</v>
      </c>
      <c r="O19" s="304">
        <f xml:space="preserve"> SUMIFS(LstMachines[Budget],LstMachines[MoisLivr],PlanFinance!O$2,LstMachines[Sub-Dealer],"ESM TP")
- SUMIFS(LstMachines[Budget],LstMachines[MoisLivr],PlanFinance!O$2,LstMachines[Sub-Dealer],"ESM TP",LstMachines[Status],"** Lost **")</f>
        <v>459</v>
      </c>
      <c r="P19" s="304">
        <f xml:space="preserve"> SUMIFS(LstMachines[Budget],LstMachines[MoisLivr],PlanFinance!P$2,LstMachines[Sub-Dealer],"ESM TP")
- SUMIFS(LstMachines[Budget],LstMachines[MoisLivr],PlanFinance!P$2,LstMachines[Sub-Dealer],"ESM TP",LstMachines[Status],"** Lost **")</f>
        <v>206</v>
      </c>
      <c r="Q19" s="304">
        <f xml:space="preserve"> SUMIFS(LstMachines[Budget],LstMachines[MoisLivr],PlanFinance!Q$2,LstMachines[Sub-Dealer],"ESM TP")
- SUMIFS(LstMachines[Budget],LstMachines[MoisLivr],PlanFinance!Q$2,LstMachines[Sub-Dealer],"ESM TP",LstMachines[Status],"** Lost **")</f>
        <v>555</v>
      </c>
      <c r="R19" s="304">
        <f xml:space="preserve"> SUMIFS(LstMachines[Budget],LstMachines[MoisLivr],PlanFinance!R$2,LstMachines[Sub-Dealer],"ESM TP")
- SUMIFS(LstMachines[Budget],LstMachines[MoisLivr],PlanFinance!R$2,LstMachines[Sub-Dealer],"ESM TP",LstMachines[Status],"** Lost **")</f>
        <v>206</v>
      </c>
      <c r="S19" s="304">
        <f xml:space="preserve"> SUMIFS(LstMachines[Budget],LstMachines[MoisLivr],PlanFinance!S$2,LstMachines[Sub-Dealer],"ESM TP")
- SUMIFS(LstMachines[Budget],LstMachines[MoisLivr],PlanFinance!S$2,LstMachines[Sub-Dealer],"ESM TP",LstMachines[Status],"** Lost **")</f>
        <v>289</v>
      </c>
      <c r="T19" s="304">
        <f xml:space="preserve"> SUMIFS(LstMachines[Budget],LstMachines[MoisLivr],PlanFinance!T$2,LstMachines[Sub-Dealer],"ESM TP")
- SUMIFS(LstMachines[Budget],LstMachines[MoisLivr],PlanFinance!T$2,LstMachines[Sub-Dealer],"ESM TP",LstMachines[Status],"** Lost **")</f>
        <v>270</v>
      </c>
      <c r="U19" s="304">
        <f xml:space="preserve"> SUMIFS(LstMachines[Budget],LstMachines[MoisLivr],PlanFinance!U$2,LstMachines[Sub-Dealer],"ESM TP")
- SUMIFS(LstMachines[Budget],LstMachines[MoisLivr],PlanFinance!U$2,LstMachines[Sub-Dealer],"ESM TP",LstMachines[Status],"** Lost **")</f>
        <v>0</v>
      </c>
      <c r="V19" s="304">
        <f xml:space="preserve"> SUMIFS(LstMachines[Budget],LstMachines[MoisLivr],PlanFinance!V$2,LstMachines[Sub-Dealer],"ESM TP")
- SUMIFS(LstMachines[Budget],LstMachines[MoisLivr],PlanFinance!V$2,LstMachines[Sub-Dealer],"ESM TP",LstMachines[Status],"** Lost **")</f>
        <v>0</v>
      </c>
      <c r="W19" s="304">
        <f xml:space="preserve"> SUMIFS(LstMachines[Budget],LstMachines[MoisLivr],PlanFinance!W$2,LstMachines[Sub-Dealer],"ESM TP")
- SUMIFS(LstMachines[Budget],LstMachines[MoisLivr],PlanFinance!W$2,LstMachines[Sub-Dealer],"ESM TP",LstMachines[Status],"** Lost **")</f>
        <v>0</v>
      </c>
      <c r="X19" s="304">
        <f xml:space="preserve"> SUMIFS(LstMachines[Budget],LstMachines[MoisLivr],PlanFinance!X$2,LstMachines[Sub-Dealer],"ESM TP")
- SUMIFS(LstMachines[Budget],LstMachines[MoisLivr],PlanFinance!X$2,LstMachines[Sub-Dealer],"ESM TP",LstMachines[Status],"** Lost **")</f>
        <v>256</v>
      </c>
      <c r="Y19" s="304">
        <f xml:space="preserve"> SUMIFS(LstMachines[Budget],LstMachines[MoisLivr],PlanFinance!Y$2,LstMachines[Sub-Dealer],"ESM TP")
- SUMIFS(LstMachines[Budget],LstMachines[MoisLivr],PlanFinance!Y$2,LstMachines[Sub-Dealer],"ESM TP",LstMachines[Status],"** Lost **")</f>
        <v>257</v>
      </c>
      <c r="Z19" s="304">
        <f xml:space="preserve"> SUMIFS(LstMachines[Budget],LstMachines[MoisLivr],PlanFinance!Z$2,LstMachines[Sub-Dealer],"ESM TP")
- SUMIFS(LstMachines[Budget],LstMachines[MoisLivr],PlanFinance!Z$2,LstMachines[Sub-Dealer],"ESM TP",LstMachines[Status],"** Lost **")</f>
        <v>267</v>
      </c>
      <c r="AA19" s="304">
        <f xml:space="preserve"> SUMIFS(LstMachines[Budget],LstMachines[MoisLivr],PlanFinance!AA$2,LstMachines[Sub-Dealer],"ESM TP")
- SUMIFS(LstMachines[Budget],LstMachines[MoisLivr],PlanFinance!AA$2,LstMachines[Sub-Dealer],"ESM TP",LstMachines[Status],"** Lost **")</f>
        <v>459</v>
      </c>
      <c r="AB19" s="304">
        <f xml:space="preserve"> SUMIFS(LstMachines[Budget],LstMachines[MoisLivr],PlanFinance!AB$2,LstMachines[Sub-Dealer],"ESM TP")
- SUMIFS(LstMachines[Budget],LstMachines[MoisLivr],PlanFinance!AB$2,LstMachines[Sub-Dealer],"ESM TP",LstMachines[Status],"** Lost **")</f>
        <v>206</v>
      </c>
      <c r="AC19" s="304">
        <f xml:space="preserve"> SUMIFS(LstMachines[Budget],LstMachines[MoisLivr],PlanFinance!AC$2,LstMachines[Sub-Dealer],"ESM TP")
- SUMIFS(LstMachines[Budget],LstMachines[MoisLivr],PlanFinance!AC$2,LstMachines[Sub-Dealer],"ESM TP",LstMachines[Status],"** Lost **")</f>
        <v>555</v>
      </c>
      <c r="AD19" s="304">
        <f xml:space="preserve"> SUMIFS(LstMachines[Budget],LstMachines[MoisLivr],PlanFinance!AD$2,LstMachines[Sub-Dealer],"ESM TP")
- SUMIFS(LstMachines[Budget],LstMachines[MoisLivr],PlanFinance!AD$2,LstMachines[Sub-Dealer],"ESM TP",LstMachines[Status],"** Lost **")</f>
        <v>206</v>
      </c>
      <c r="AE19" s="304">
        <f xml:space="preserve"> SUMIFS(LstMachines[Budget],LstMachines[MoisLivr],PlanFinance!AE$2,LstMachines[Sub-Dealer],"ESM TP")
- SUMIFS(LstMachines[Budget],LstMachines[MoisLivr],PlanFinance!AE$2,LstMachines[Sub-Dealer],"ESM TP",LstMachines[Status],"** Lost **")</f>
        <v>289</v>
      </c>
      <c r="AF19" s="304">
        <f xml:space="preserve"> SUMIFS(LstMachines[Budget],LstMachines[MoisLivr],PlanFinance!AF$2,LstMachines[Sub-Dealer],"ESM TP")
- SUMIFS(LstMachines[Budget],LstMachines[MoisLivr],PlanFinance!AF$2,LstMachines[Sub-Dealer],"ESM TP",LstMachines[Status],"** Lost **")</f>
        <v>270</v>
      </c>
      <c r="AG19" s="304">
        <f xml:space="preserve"> SUMIFS(LstMachines[Budget],LstMachines[MoisLivr],PlanFinance!AG$2,LstMachines[Sub-Dealer],"ESM TP")
- SUMIFS(LstMachines[Budget],LstMachines[MoisLivr],PlanFinance!AG$2,LstMachines[Sub-Dealer],"ESM TP",LstMachines[Status],"** Lost **")</f>
        <v>0</v>
      </c>
      <c r="AH19" s="304">
        <f xml:space="preserve"> SUMIFS(LstMachines[Budget],LstMachines[MoisLivr],PlanFinance!AH$2,LstMachines[Sub-Dealer],"ESM TP")
- SUMIFS(LstMachines[Budget],LstMachines[MoisLivr],PlanFinance!AH$2,LstMachines[Sub-Dealer],"ESM TP",LstMachines[Status],"** Lost **")</f>
        <v>0</v>
      </c>
      <c r="AI19" s="304">
        <f xml:space="preserve"> SUMIFS(LstMachines[Budget],LstMachines[MoisLivr],PlanFinance!AI$2,LstMachines[Sub-Dealer],"ESM TP")
- SUMIFS(LstMachines[Budget],LstMachines[MoisLivr],PlanFinance!AI$2,LstMachines[Sub-Dealer],"ESM TP",LstMachines[Status],"** Lost **")</f>
        <v>0</v>
      </c>
      <c r="AJ19" s="304">
        <f xml:space="preserve"> SUMIFS(LstMachines[Budget],LstMachines[MoisLivr],PlanFinance!AJ$2,LstMachines[Sub-Dealer],"ESM TP")
- SUMIFS(LstMachines[Budget],LstMachines[MoisLivr],PlanFinance!AJ$2,LstMachines[Sub-Dealer],"ESM TP",LstMachines[Status],"** Lost **")</f>
        <v>256</v>
      </c>
      <c r="AK19" s="304">
        <f xml:space="preserve"> SUMIFS(LstMachines[Budget],LstMachines[MoisLivr],PlanFinance!AK$2,LstMachines[Sub-Dealer],"ESM TP")
- SUMIFS(LstMachines[Budget],LstMachines[MoisLivr],PlanFinance!AK$2,LstMachines[Sub-Dealer],"ESM TP",LstMachines[Status],"** Lost **")</f>
        <v>257</v>
      </c>
      <c r="AL19" s="304">
        <f xml:space="preserve"> SUMIFS(LstMachines[Budget],LstMachines[MoisLivr],PlanFinance!AL$2,LstMachines[Sub-Dealer],"ESM TP")
- SUMIFS(LstMachines[Budget],LstMachines[MoisLivr],PlanFinance!AL$2,LstMachines[Sub-Dealer],"ESM TP",LstMachines[Status],"** Lost **")</f>
        <v>385</v>
      </c>
      <c r="AM19" s="304">
        <f xml:space="preserve"> SUMIFS(LstMachines[Budget],LstMachines[MoisLivr],PlanFinance!AM$2,LstMachines[Sub-Dealer],"ESM TP")
- SUMIFS(LstMachines[Budget],LstMachines[MoisLivr],PlanFinance!AM$2,LstMachines[Sub-Dealer],"ESM TP",LstMachines[Status],"** Lost **")</f>
        <v>341</v>
      </c>
      <c r="AN19" s="304">
        <f xml:space="preserve"> SUMIFS(LstMachines[Budget],LstMachines[MoisLivr],PlanFinance!AN$2,LstMachines[Sub-Dealer],"ESM TP")
- SUMIFS(LstMachines[Budget],LstMachines[MoisLivr],PlanFinance!AN$2,LstMachines[Sub-Dealer],"ESM TP",LstMachines[Status],"** Lost **")</f>
        <v>206</v>
      </c>
      <c r="AO19" s="304">
        <f xml:space="preserve"> SUMIFS(LstMachines[Budget],LstMachines[MoisLivr],PlanFinance!AO$2,LstMachines[Sub-Dealer],"ESM TP")
- SUMIFS(LstMachines[Budget],LstMachines[MoisLivr],PlanFinance!AO$2,LstMachines[Sub-Dealer],"ESM TP",LstMachines[Status],"** Lost **")</f>
        <v>555</v>
      </c>
      <c r="AP19" s="304">
        <f xml:space="preserve"> SUMIFS(LstMachines[Budget],LstMachines[MoisLivr],PlanFinance!AP$2,LstMachines[Sub-Dealer],"ESM TP")
- SUMIFS(LstMachines[Budget],LstMachines[MoisLivr],PlanFinance!AP$2,LstMachines[Sub-Dealer],"ESM TP",LstMachines[Status],"** Lost **")</f>
        <v>206</v>
      </c>
      <c r="AQ19" s="304">
        <f xml:space="preserve"> SUMIFS(LstMachines[Budget],LstMachines[MoisLivr],PlanFinance!AQ$2,LstMachines[Sub-Dealer],"ESM TP")
- SUMIFS(LstMachines[Budget],LstMachines[MoisLivr],PlanFinance!AQ$2,LstMachines[Sub-Dealer],"ESM TP",LstMachines[Status],"** Lost **")</f>
        <v>289</v>
      </c>
      <c r="AR19" s="304">
        <f xml:space="preserve"> SUMIFS(LstMachines[Budget],LstMachines[MoisLivr],PlanFinance!AR$2,LstMachines[Sub-Dealer],"ESM TP")
- SUMIFS(LstMachines[Budget],LstMachines[MoisLivr],PlanFinance!AR$2,LstMachines[Sub-Dealer],"ESM TP",LstMachines[Status],"** Lost **")</f>
        <v>270</v>
      </c>
      <c r="AS19" s="268">
        <f xml:space="preserve"> SUMIFS(LstMachines[Budget],LstMachines[MoisLivr],PlanFinance!AS$2,LstMachines[Sub-Dealer],"ESM TP")
- SUMIFS(LstMachines[Budget],LstMachines[MoisLivr],PlanFinance!AS$2,LstMachines[Sub-Dealer],"ESM TP",LstMachines[Status],"** Lost **")</f>
        <v>0</v>
      </c>
      <c r="AT19" s="268">
        <f xml:space="preserve"> SUMIFS(LstMachines[Budget],LstMachines[MoisLivr],PlanFinance!AT$2,LstMachines[Sub-Dealer],"ESM TP")
- SUMIFS(LstMachines[Budget],LstMachines[MoisLivr],PlanFinance!AT$2,LstMachines[Sub-Dealer],"ESM TP",LstMachines[Status],"** Lost **")</f>
        <v>0</v>
      </c>
      <c r="AU19" s="268">
        <f xml:space="preserve"> SUMIFS(LstMachines[Budget],LstMachines[MoisLivr],PlanFinance!AU$2,LstMachines[Sub-Dealer],"ESM TP")
- SUMIFS(LstMachines[Budget],LstMachines[MoisLivr],PlanFinance!AU$2,LstMachines[Sub-Dealer],"ESM TP",LstMachines[Status],"** Lost **")</f>
        <v>0</v>
      </c>
      <c r="AV19" s="257"/>
      <c r="AW19" s="257"/>
      <c r="AX19" s="257"/>
      <c r="AY19" s="257"/>
      <c r="AZ19" s="257"/>
      <c r="BA19" s="257"/>
      <c r="BB19" s="257"/>
      <c r="BC19" s="257"/>
      <c r="BD19" s="257"/>
      <c r="BE19" s="257"/>
      <c r="BF19" s="257"/>
      <c r="BG19" s="257"/>
      <c r="BH19" s="257"/>
      <c r="BI19" s="257"/>
      <c r="BJ19" s="257"/>
      <c r="BK19" s="257"/>
      <c r="BL19" s="257"/>
      <c r="BP19" s="394"/>
      <c r="BQ19" s="393"/>
      <c r="BS19" s="394">
        <f xml:space="preserve"> IF( (SUM(I19:T19) - SUM(I7:T7) / (1+MarkUp) ) &gt; 0, SUM(I19:T19) - SUM(I7:T7) / (1+MarkUp), 0)</f>
        <v>1608.9999999999998</v>
      </c>
      <c r="BT19" s="393"/>
    </row>
    <row r="20" spans="2:72">
      <c r="B20" s="303"/>
      <c r="C20" s="361"/>
      <c r="D20" s="303"/>
      <c r="E20" s="308" t="s">
        <v>524</v>
      </c>
      <c r="F20" s="304">
        <f>F18+F19</f>
        <v>0</v>
      </c>
      <c r="G20" s="304">
        <f t="shared" ref="G20:BL20" si="38">G18+G19</f>
        <v>0</v>
      </c>
      <c r="H20" s="304">
        <f t="shared" si="38"/>
        <v>0</v>
      </c>
      <c r="I20" s="304">
        <f t="shared" si="38"/>
        <v>856</v>
      </c>
      <c r="J20" s="304">
        <f t="shared" si="38"/>
        <v>1259</v>
      </c>
      <c r="K20" s="304">
        <f t="shared" si="38"/>
        <v>919</v>
      </c>
      <c r="L20" s="304">
        <f t="shared" si="38"/>
        <v>2594</v>
      </c>
      <c r="M20" s="304">
        <f t="shared" si="38"/>
        <v>1270</v>
      </c>
      <c r="N20" s="304">
        <f t="shared" si="38"/>
        <v>2588</v>
      </c>
      <c r="O20" s="304">
        <f t="shared" si="38"/>
        <v>2507</v>
      </c>
      <c r="P20" s="304">
        <f t="shared" si="38"/>
        <v>1248</v>
      </c>
      <c r="Q20" s="304">
        <f t="shared" si="38"/>
        <v>1681</v>
      </c>
      <c r="R20" s="304">
        <f t="shared" si="38"/>
        <v>1971</v>
      </c>
      <c r="S20" s="304">
        <f t="shared" si="38"/>
        <v>1277</v>
      </c>
      <c r="T20" s="304">
        <f t="shared" si="38"/>
        <v>711</v>
      </c>
      <c r="U20" s="304">
        <f t="shared" si="38"/>
        <v>426</v>
      </c>
      <c r="V20" s="304">
        <f t="shared" si="38"/>
        <v>740</v>
      </c>
      <c r="W20" s="304">
        <f t="shared" si="38"/>
        <v>1048</v>
      </c>
      <c r="X20" s="304">
        <f t="shared" si="38"/>
        <v>689</v>
      </c>
      <c r="Y20" s="304">
        <f t="shared" si="38"/>
        <v>447</v>
      </c>
      <c r="Z20" s="304">
        <f t="shared" si="38"/>
        <v>11927</v>
      </c>
      <c r="AA20" s="304">
        <f t="shared" si="38"/>
        <v>729</v>
      </c>
      <c r="AB20" s="304">
        <f t="shared" si="38"/>
        <v>315</v>
      </c>
      <c r="AC20" s="304">
        <f t="shared" si="38"/>
        <v>985</v>
      </c>
      <c r="AD20" s="304">
        <f t="shared" si="38"/>
        <v>308</v>
      </c>
      <c r="AE20" s="304">
        <f t="shared" si="38"/>
        <v>289</v>
      </c>
      <c r="AF20" s="304">
        <f t="shared" si="38"/>
        <v>270</v>
      </c>
      <c r="AG20" s="304">
        <f t="shared" si="38"/>
        <v>0</v>
      </c>
      <c r="AH20" s="304">
        <f t="shared" si="38"/>
        <v>0</v>
      </c>
      <c r="AI20" s="304">
        <f t="shared" si="38"/>
        <v>0</v>
      </c>
      <c r="AJ20" s="304">
        <f t="shared" si="38"/>
        <v>256</v>
      </c>
      <c r="AK20" s="304">
        <f t="shared" si="38"/>
        <v>257</v>
      </c>
      <c r="AL20" s="304">
        <f t="shared" si="38"/>
        <v>13129</v>
      </c>
      <c r="AM20" s="304">
        <f t="shared" si="38"/>
        <v>341</v>
      </c>
      <c r="AN20" s="304">
        <f t="shared" si="38"/>
        <v>206</v>
      </c>
      <c r="AO20" s="304">
        <f t="shared" si="38"/>
        <v>555</v>
      </c>
      <c r="AP20" s="304">
        <f t="shared" si="38"/>
        <v>206</v>
      </c>
      <c r="AQ20" s="304">
        <f t="shared" si="38"/>
        <v>289</v>
      </c>
      <c r="AR20" s="304">
        <f t="shared" si="38"/>
        <v>270</v>
      </c>
      <c r="AS20" s="268">
        <f t="shared" si="38"/>
        <v>0</v>
      </c>
      <c r="AT20" s="268">
        <f t="shared" si="38"/>
        <v>0</v>
      </c>
      <c r="AU20" s="268">
        <f t="shared" si="38"/>
        <v>0</v>
      </c>
      <c r="AV20" s="268">
        <f t="shared" si="38"/>
        <v>0</v>
      </c>
      <c r="AW20" s="268">
        <f t="shared" si="38"/>
        <v>0</v>
      </c>
      <c r="AX20" s="268">
        <f t="shared" si="38"/>
        <v>0</v>
      </c>
      <c r="AY20" s="268">
        <f t="shared" si="38"/>
        <v>0</v>
      </c>
      <c r="AZ20" s="268">
        <f t="shared" si="38"/>
        <v>0</v>
      </c>
      <c r="BA20" s="268">
        <f t="shared" si="38"/>
        <v>0</v>
      </c>
      <c r="BB20" s="268">
        <f t="shared" si="38"/>
        <v>0</v>
      </c>
      <c r="BC20" s="268">
        <f t="shared" si="38"/>
        <v>0</v>
      </c>
      <c r="BD20" s="268">
        <f t="shared" si="38"/>
        <v>0</v>
      </c>
      <c r="BE20" s="268">
        <f t="shared" si="38"/>
        <v>0</v>
      </c>
      <c r="BF20" s="268">
        <f t="shared" si="38"/>
        <v>0</v>
      </c>
      <c r="BG20" s="268">
        <f t="shared" si="38"/>
        <v>0</v>
      </c>
      <c r="BH20" s="268">
        <f t="shared" si="38"/>
        <v>0</v>
      </c>
      <c r="BI20" s="268">
        <f t="shared" si="38"/>
        <v>0</v>
      </c>
      <c r="BJ20" s="268">
        <f t="shared" si="38"/>
        <v>0</v>
      </c>
      <c r="BK20" s="268">
        <f t="shared" si="38"/>
        <v>0</v>
      </c>
      <c r="BL20" s="268">
        <f t="shared" si="38"/>
        <v>0</v>
      </c>
      <c r="BP20" s="394"/>
      <c r="BQ20" s="393"/>
      <c r="BS20" s="394"/>
      <c r="BT20" s="393"/>
    </row>
    <row r="21" spans="2:72">
      <c r="B21" s="303"/>
      <c r="C21" s="361"/>
      <c r="D21" s="303"/>
      <c r="E21" s="303" t="s">
        <v>525</v>
      </c>
      <c r="F21" s="430">
        <f>SUM(F18:H19)</f>
        <v>0</v>
      </c>
      <c r="G21" s="430"/>
      <c r="H21" s="430"/>
      <c r="I21" s="430">
        <f>SUM(I18:K19)</f>
        <v>3034</v>
      </c>
      <c r="J21" s="430"/>
      <c r="K21" s="430"/>
      <c r="L21" s="430">
        <f>SUM(L18:N19)</f>
        <v>6452</v>
      </c>
      <c r="M21" s="430"/>
      <c r="N21" s="430"/>
      <c r="O21" s="430">
        <f>SUM(O18:Q19)</f>
        <v>5436</v>
      </c>
      <c r="P21" s="430"/>
      <c r="Q21" s="430"/>
      <c r="R21" s="430">
        <f>SUM(R18:T19)</f>
        <v>3959</v>
      </c>
      <c r="S21" s="430"/>
      <c r="T21" s="430"/>
      <c r="U21" s="430">
        <f>SUM(U18:W19)</f>
        <v>2214</v>
      </c>
      <c r="V21" s="430"/>
      <c r="W21" s="430"/>
      <c r="X21" s="430">
        <f>SUM(X18:Z19)</f>
        <v>13063</v>
      </c>
      <c r="Y21" s="430"/>
      <c r="Z21" s="430"/>
      <c r="AA21" s="430">
        <f>SUM(AA18:AC19)</f>
        <v>2029</v>
      </c>
      <c r="AB21" s="430"/>
      <c r="AC21" s="430"/>
      <c r="AD21" s="430">
        <f>SUM(AD18:AF19)</f>
        <v>867</v>
      </c>
      <c r="AE21" s="430"/>
      <c r="AF21" s="430"/>
      <c r="AG21" s="430">
        <f>SUM(AG18:AI19)</f>
        <v>0</v>
      </c>
      <c r="AH21" s="430"/>
      <c r="AI21" s="430"/>
      <c r="AJ21" s="430">
        <f>SUM(AJ18:AL19)</f>
        <v>13642</v>
      </c>
      <c r="AK21" s="430"/>
      <c r="AL21" s="430"/>
      <c r="AM21" s="430">
        <f>SUM(AM18:AO19)</f>
        <v>1102</v>
      </c>
      <c r="AN21" s="430"/>
      <c r="AO21" s="430"/>
      <c r="AP21" s="430">
        <f>SUM(AP18:AR19)</f>
        <v>765</v>
      </c>
      <c r="AQ21" s="430"/>
      <c r="AR21" s="430"/>
      <c r="AS21" s="429">
        <f>SUM(AS18:AU19)</f>
        <v>0</v>
      </c>
      <c r="AT21" s="429"/>
      <c r="AU21" s="429"/>
      <c r="AV21" s="257"/>
      <c r="AW21" s="257"/>
      <c r="AX21" s="257"/>
      <c r="AY21" s="257"/>
      <c r="AZ21" s="257"/>
      <c r="BA21" s="257"/>
      <c r="BB21" s="257"/>
      <c r="BC21" s="257"/>
      <c r="BD21" s="257"/>
      <c r="BE21" s="257"/>
      <c r="BF21" s="257"/>
      <c r="BG21" s="257"/>
      <c r="BH21" s="257"/>
      <c r="BI21" s="257"/>
      <c r="BJ21" s="257"/>
      <c r="BK21" s="257"/>
      <c r="BL21" s="257"/>
      <c r="BP21" s="394"/>
      <c r="BQ21" s="393"/>
      <c r="BS21" s="394"/>
      <c r="BT21" s="393"/>
    </row>
    <row r="22" spans="2:72">
      <c r="B22" s="303"/>
      <c r="C22" s="361"/>
      <c r="D22" s="303"/>
      <c r="E22" s="303" t="s">
        <v>526</v>
      </c>
      <c r="F22" s="301"/>
      <c r="G22" s="301"/>
      <c r="H22" s="301"/>
      <c r="I22" s="430">
        <f>SUM(I18:T19)</f>
        <v>18881</v>
      </c>
      <c r="J22" s="431"/>
      <c r="K22" s="431"/>
      <c r="L22" s="431"/>
      <c r="M22" s="431"/>
      <c r="N22" s="431"/>
      <c r="O22" s="431"/>
      <c r="P22" s="431"/>
      <c r="Q22" s="431"/>
      <c r="R22" s="431"/>
      <c r="S22" s="431"/>
      <c r="T22" s="431"/>
      <c r="U22" s="430">
        <f>SUM(U18:AF19)</f>
        <v>18173</v>
      </c>
      <c r="V22" s="431"/>
      <c r="W22" s="431"/>
      <c r="X22" s="431"/>
      <c r="Y22" s="431"/>
      <c r="Z22" s="431"/>
      <c r="AA22" s="431"/>
      <c r="AB22" s="431"/>
      <c r="AC22" s="431"/>
      <c r="AD22" s="431"/>
      <c r="AE22" s="431"/>
      <c r="AF22" s="431"/>
      <c r="AG22" s="430">
        <f>SUM(AG18:AR19)</f>
        <v>15509</v>
      </c>
      <c r="AH22" s="431"/>
      <c r="AI22" s="431"/>
      <c r="AJ22" s="431"/>
      <c r="AK22" s="431"/>
      <c r="AL22" s="431"/>
      <c r="AM22" s="431"/>
      <c r="AN22" s="431"/>
      <c r="AO22" s="431"/>
      <c r="AP22" s="431"/>
      <c r="AQ22" s="431"/>
      <c r="AR22" s="431"/>
      <c r="AS22" s="286" t="e">
        <f>SUM(#REF!)</f>
        <v>#REF!</v>
      </c>
      <c r="AT22" s="286" t="e">
        <f>SUM(#REF!)</f>
        <v>#REF!</v>
      </c>
      <c r="BP22" s="394"/>
      <c r="BQ22" s="393">
        <f>SUM(H20:T20)</f>
        <v>18881</v>
      </c>
      <c r="BS22" s="394"/>
      <c r="BT22" s="393"/>
    </row>
    <row r="23" spans="2:72">
      <c r="B23" s="298"/>
      <c r="C23" s="364" t="s">
        <v>515</v>
      </c>
      <c r="D23" s="303"/>
      <c r="E23" s="303"/>
      <c r="F23" s="301"/>
      <c r="G23" s="301"/>
      <c r="H23" s="301"/>
      <c r="I23" s="310"/>
      <c r="J23" s="302"/>
      <c r="K23" s="302"/>
      <c r="L23" s="302"/>
      <c r="M23" s="302"/>
      <c r="N23" s="302"/>
      <c r="O23" s="302"/>
      <c r="P23" s="302"/>
      <c r="Q23" s="302"/>
      <c r="R23" s="302"/>
      <c r="S23" s="302"/>
      <c r="T23" s="302"/>
      <c r="U23" s="310"/>
      <c r="V23" s="302"/>
      <c r="W23" s="302"/>
      <c r="X23" s="302"/>
      <c r="Y23" s="302"/>
      <c r="Z23" s="302"/>
      <c r="AA23" s="302"/>
      <c r="AB23" s="302"/>
      <c r="AC23" s="302"/>
      <c r="AD23" s="302"/>
      <c r="AE23" s="302"/>
      <c r="AF23" s="302"/>
      <c r="AG23" s="310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02"/>
      <c r="AS23" s="286"/>
      <c r="AT23" s="286"/>
      <c r="BP23" s="394"/>
      <c r="BQ23" s="393"/>
      <c r="BS23" s="394"/>
      <c r="BT23" s="393"/>
    </row>
    <row r="24" spans="2:72">
      <c r="B24" s="303" t="s">
        <v>478</v>
      </c>
      <c r="C24" s="361">
        <v>60</v>
      </c>
      <c r="D24" s="303"/>
      <c r="E24" s="303" t="s">
        <v>507</v>
      </c>
      <c r="F24" s="304">
        <f xml:space="preserve"> SUMIFS(LstMachines[Budget],LstMachines[MoisPaie],PlanFinance!F$2)
- SUMIFS(LstMachines[Budget],LstMachines[MoisPaie],PlanFinance!F$2,LstMachines[Status],"** Lost **")</f>
        <v>0</v>
      </c>
      <c r="G24" s="304">
        <f xml:space="preserve"> SUMIFS(LstMachines[Budget],LstMachines[MoisPaie],PlanFinance!G$2)
- SUMIFS(LstMachines[Budget],LstMachines[MoisPaie],PlanFinance!G$2,LstMachines[Status],"** Lost **")</f>
        <v>0</v>
      </c>
      <c r="H24" s="304">
        <f xml:space="preserve"> SUMIFS(LstMachines[Budget],LstMachines[MoisPaie],PlanFinance!H$2)
- SUMIFS(LstMachines[Budget],LstMachines[MoisPaie],PlanFinance!H$2,LstMachines[Status],"** Lost **")</f>
        <v>0</v>
      </c>
      <c r="I24" s="304">
        <f xml:space="preserve"> SUMIFS(LstMachines[Budget],LstMachines[MoisPaie],PlanFinance!I$2)
- SUMIFS(LstMachines[Budget],LstMachines[MoisPaie],PlanFinance!I$2,LstMachines[Status],"** Lost **")</f>
        <v>0</v>
      </c>
      <c r="J24" s="304">
        <f xml:space="preserve"> SUMIFS(LstMachines[Budget],LstMachines[MoisPaie],PlanFinance!J$2)
- SUMIFS(LstMachines[Budget],LstMachines[MoisPaie],PlanFinance!J$2,LstMachines[Status],"** Lost **")</f>
        <v>0</v>
      </c>
      <c r="K24" s="304">
        <f xml:space="preserve"> SUMIFS(LstMachines[Budget],LstMachines[MoisPaie],PlanFinance!K$2)
- SUMIFS(LstMachines[Budget],LstMachines[MoisPaie],PlanFinance!K$2,LstMachines[Status],"** Lost **")</f>
        <v>856</v>
      </c>
      <c r="L24" s="304">
        <f xml:space="preserve"> SUMIFS(LstMachines[Budget],LstMachines[MoisPaie],PlanFinance!L$2)
- SUMIFS(LstMachines[Budget],LstMachines[MoisPaie],PlanFinance!L$2,LstMachines[Status],"** Lost **")</f>
        <v>1259</v>
      </c>
      <c r="M24" s="304">
        <f xml:space="preserve"> SUMIFS(LstMachines[Budget],LstMachines[MoisPaie],PlanFinance!M$2)
- SUMIFS(LstMachines[Budget],LstMachines[MoisPaie],PlanFinance!M$2,LstMachines[Status],"** Lost **")</f>
        <v>919</v>
      </c>
      <c r="N24" s="304">
        <f xml:space="preserve"> SUMIFS(LstMachines[Budget],LstMachines[MoisPaie],PlanFinance!N$2)
- SUMIFS(LstMachines[Budget],LstMachines[MoisPaie],PlanFinance!N$2,LstMachines[Status],"** Lost **")</f>
        <v>2798</v>
      </c>
      <c r="O24" s="304">
        <f xml:space="preserve"> SUMIFS(LstMachines[Budget],LstMachines[MoisPaie],PlanFinance!O$2)
- SUMIFS(LstMachines[Budget],LstMachines[MoisPaie],PlanFinance!O$2,LstMachines[Status],"** Lost **")</f>
        <v>1168</v>
      </c>
      <c r="P24" s="304">
        <f xml:space="preserve"> SUMIFS(LstMachines[Budget],LstMachines[MoisPaie],PlanFinance!P$2)
- SUMIFS(LstMachines[Budget],LstMachines[MoisPaie],PlanFinance!P$2,LstMachines[Status],"** Lost **")</f>
        <v>2604</v>
      </c>
      <c r="Q24" s="304">
        <f xml:space="preserve"> SUMIFS(LstMachines[Budget],LstMachines[MoisPaie],PlanFinance!Q$2)
- SUMIFS(LstMachines[Budget],LstMachines[MoisPaie],PlanFinance!Q$2,LstMachines[Status],"** Lost **")</f>
        <v>2389</v>
      </c>
      <c r="R24" s="304">
        <f xml:space="preserve"> SUMIFS(LstMachines[Budget],LstMachines[MoisPaie],PlanFinance!R$2)
- SUMIFS(LstMachines[Budget],LstMachines[MoisPaie],PlanFinance!R$2,LstMachines[Status],"** Lost **")</f>
        <v>1248</v>
      </c>
      <c r="S24" s="304">
        <f xml:space="preserve"> SUMIFS(LstMachines[Budget],LstMachines[MoisPaie],PlanFinance!S$2)
- SUMIFS(LstMachines[Budget],LstMachines[MoisPaie],PlanFinance!S$2,LstMachines[Status],"** Lost **")</f>
        <v>1681</v>
      </c>
      <c r="T24" s="304">
        <f xml:space="preserve"> SUMIFS(LstMachines[Budget],LstMachines[MoisPaie],PlanFinance!T$2)
- SUMIFS(LstMachines[Budget],LstMachines[MoisPaie],PlanFinance!T$2,LstMachines[Status],"** Lost **")</f>
        <v>2405</v>
      </c>
      <c r="U24" s="304">
        <f xml:space="preserve"> SUMIFS(LstMachines[Budget],LstMachines[MoisPaie],PlanFinance!U$2)
- SUMIFS(LstMachines[Budget],LstMachines[MoisPaie],PlanFinance!U$2,LstMachines[Status],"** Lost **")</f>
        <v>843</v>
      </c>
      <c r="V24" s="304">
        <f xml:space="preserve"> SUMIFS(LstMachines[Budget],LstMachines[MoisPaie],PlanFinance!V$2)
- SUMIFS(LstMachines[Budget],LstMachines[MoisPaie],PlanFinance!V$2,LstMachines[Status],"** Lost **")</f>
        <v>711</v>
      </c>
      <c r="W24" s="304">
        <f xml:space="preserve"> SUMIFS(LstMachines[Budget],LstMachines[MoisPaie],PlanFinance!W$2)
- SUMIFS(LstMachines[Budget],LstMachines[MoisPaie],PlanFinance!W$2,LstMachines[Status],"** Lost **")</f>
        <v>426</v>
      </c>
      <c r="X24" s="304">
        <f xml:space="preserve"> SUMIFS(LstMachines[Budget],LstMachines[MoisPaie],PlanFinance!X$2)
- SUMIFS(LstMachines[Budget],LstMachines[MoisPaie],PlanFinance!X$2,LstMachines[Status],"** Lost **")</f>
        <v>740</v>
      </c>
      <c r="Y24" s="304">
        <f xml:space="preserve"> SUMIFS(LstMachines[Budget],LstMachines[MoisPaie],PlanFinance!Y$2)
- SUMIFS(LstMachines[Budget],LstMachines[MoisPaie],PlanFinance!Y$2,LstMachines[Status],"** Lost **")</f>
        <v>1048</v>
      </c>
      <c r="Z24" s="304">
        <f xml:space="preserve"> SUMIFS(LstMachines[Budget],LstMachines[MoisPaie],PlanFinance!Z$2)
- SUMIFS(LstMachines[Budget],LstMachines[MoisPaie],PlanFinance!Z$2,LstMachines[Status],"** Lost **")</f>
        <v>689</v>
      </c>
      <c r="AA24" s="304">
        <f xml:space="preserve"> SUMIFS(LstMachines[Budget],LstMachines[MoisPaie],PlanFinance!AA$2)
- SUMIFS(LstMachines[Budget],LstMachines[MoisPaie],PlanFinance!AA$2,LstMachines[Status],"** Lost **")</f>
        <v>447</v>
      </c>
      <c r="AB24" s="304">
        <f xml:space="preserve"> SUMIFS(LstMachines[Budget],LstMachines[MoisPaie],PlanFinance!AB$2)
- SUMIFS(LstMachines[Budget],LstMachines[MoisPaie],PlanFinance!AB$2,LstMachines[Status],"** Lost **")</f>
        <v>12045</v>
      </c>
      <c r="AC24" s="304">
        <f xml:space="preserve"> SUMIFS(LstMachines[Budget],LstMachines[MoisPaie],PlanFinance!AC$2)
- SUMIFS(LstMachines[Budget],LstMachines[MoisPaie],PlanFinance!AC$2,LstMachines[Status],"** Lost **")</f>
        <v>611</v>
      </c>
      <c r="AD24" s="304">
        <f xml:space="preserve"> SUMIFS(LstMachines[Budget],LstMachines[MoisPaie],PlanFinance!AD$2)
- SUMIFS(LstMachines[Budget],LstMachines[MoisPaie],PlanFinance!AD$2,LstMachines[Status],"** Lost **")</f>
        <v>315</v>
      </c>
      <c r="AE24" s="304">
        <f xml:space="preserve"> SUMIFS(LstMachines[Budget],LstMachines[MoisPaie],PlanFinance!AE$2)
- SUMIFS(LstMachines[Budget],LstMachines[MoisPaie],PlanFinance!AE$2,LstMachines[Status],"** Lost **")</f>
        <v>985</v>
      </c>
      <c r="AF24" s="304">
        <f xml:space="preserve"> SUMIFS(LstMachines[Budget],LstMachines[MoisPaie],PlanFinance!AF$2)
- SUMIFS(LstMachines[Budget],LstMachines[MoisPaie],PlanFinance!AF$2,LstMachines[Status],"** Lost **")</f>
        <v>308</v>
      </c>
      <c r="AG24" s="304">
        <f xml:space="preserve"> SUMIFS(LstMachines[Budget],LstMachines[MoisPaie],PlanFinance!AG$2)
- SUMIFS(LstMachines[Budget],LstMachines[MoisPaie],PlanFinance!AG$2,LstMachines[Status],"** Lost **")</f>
        <v>289</v>
      </c>
      <c r="AH24" s="304">
        <f xml:space="preserve"> SUMIFS(LstMachines[Budget],LstMachines[MoisPaie],PlanFinance!AH$2)
- SUMIFS(LstMachines[Budget],LstMachines[MoisPaie],PlanFinance!AH$2,LstMachines[Status],"** Lost **")</f>
        <v>270</v>
      </c>
      <c r="AI24" s="304">
        <f xml:space="preserve"> SUMIFS(LstMachines[Budget],LstMachines[MoisPaie],PlanFinance!AI$2)
- SUMIFS(LstMachines[Budget],LstMachines[MoisPaie],PlanFinance!AI$2,LstMachines[Status],"** Lost **")</f>
        <v>0</v>
      </c>
      <c r="AJ24" s="304">
        <f xml:space="preserve"> SUMIFS(LstMachines[Budget],LstMachines[MoisPaie],PlanFinance!AJ$2)
- SUMIFS(LstMachines[Budget],LstMachines[MoisPaie],PlanFinance!AJ$2,LstMachines[Status],"** Lost **")</f>
        <v>0</v>
      </c>
      <c r="AK24" s="304">
        <f xml:space="preserve"> SUMIFS(LstMachines[Budget],LstMachines[MoisPaie],PlanFinance!AK$2)
- SUMIFS(LstMachines[Budget],LstMachines[MoisPaie],PlanFinance!AK$2,LstMachines[Status],"** Lost **")</f>
        <v>0</v>
      </c>
      <c r="AL24" s="304">
        <f xml:space="preserve"> SUMIFS(LstMachines[Budget],LstMachines[MoisPaie],PlanFinance!AL$2)
- SUMIFS(LstMachines[Budget],LstMachines[MoisPaie],PlanFinance!AL$2,LstMachines[Status],"** Lost **")</f>
        <v>256</v>
      </c>
      <c r="AM24" s="304">
        <f xml:space="preserve"> SUMIFS(LstMachines[Budget],LstMachines[MoisPaie],PlanFinance!AM$2)
- SUMIFS(LstMachines[Budget],LstMachines[MoisPaie],PlanFinance!AM$2,LstMachines[Status],"** Lost **")</f>
        <v>257</v>
      </c>
      <c r="AN24" s="304">
        <f xml:space="preserve"> SUMIFS(LstMachines[Budget],LstMachines[MoisPaie],PlanFinance!AN$2)
- SUMIFS(LstMachines[Budget],LstMachines[MoisPaie],PlanFinance!AN$2,LstMachines[Status],"** Lost **")</f>
        <v>13129</v>
      </c>
      <c r="AO24" s="304">
        <f xml:space="preserve"> SUMIFS(LstMachines[Budget],LstMachines[MoisPaie],PlanFinance!AO$2)
- SUMIFS(LstMachines[Budget],LstMachines[MoisPaie],PlanFinance!AO$2,LstMachines[Status],"** Lost **")</f>
        <v>341</v>
      </c>
      <c r="AP24" s="304">
        <f xml:space="preserve"> SUMIFS(LstMachines[Budget],LstMachines[MoisPaie],PlanFinance!AP$2)
- SUMIFS(LstMachines[Budget],LstMachines[MoisPaie],PlanFinance!AP$2,LstMachines[Status],"** Lost **")</f>
        <v>206</v>
      </c>
      <c r="AQ24" s="304">
        <f xml:space="preserve"> SUMIFS(LstMachines[Budget],LstMachines[MoisPaie],PlanFinance!AQ$2)
- SUMIFS(LstMachines[Budget],LstMachines[MoisPaie],PlanFinance!AQ$2,LstMachines[Status],"** Lost **")</f>
        <v>555</v>
      </c>
      <c r="AR24" s="304">
        <f xml:space="preserve"> SUMIFS(LstMachines[Budget],LstMachines[MoisPaie],PlanFinance!AR$2)
- SUMIFS(LstMachines[Budget],LstMachines[MoisPaie],PlanFinance!AR$2,LstMachines[Status],"** Lost **")</f>
        <v>206</v>
      </c>
      <c r="AS24" s="268">
        <f>SUMIFS(LstMachines[Budget],LstMachines[PayMonth],MONTH(PlanFinance!AS$1),LstMachines[PayYear],YEAR(PlanFinance!AS$1))</f>
        <v>289</v>
      </c>
      <c r="AT24" s="268">
        <f>SUMIFS(LstMachines[Budget],LstMachines[PayMonth],MONTH(PlanFinance!AT$1),LstMachines[PayYear],YEAR(PlanFinance!AT$1))</f>
        <v>0</v>
      </c>
      <c r="BP24" s="394"/>
      <c r="BQ24" s="393"/>
      <c r="BS24" s="394"/>
      <c r="BT24" s="393"/>
    </row>
    <row r="25" spans="2:72">
      <c r="B25" s="303"/>
      <c r="C25" s="361"/>
      <c r="D25" s="303"/>
      <c r="E25" s="303"/>
      <c r="F25" s="304"/>
      <c r="G25" s="304"/>
      <c r="H25" s="304"/>
      <c r="I25" s="304"/>
      <c r="J25" s="304"/>
      <c r="K25" s="304"/>
      <c r="L25" s="304"/>
      <c r="M25" s="304"/>
      <c r="N25" s="304"/>
      <c r="O25" s="304"/>
      <c r="P25" s="304"/>
      <c r="Q25" s="304"/>
      <c r="R25" s="304"/>
      <c r="S25" s="304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4"/>
      <c r="AE25" s="304"/>
      <c r="AF25" s="304"/>
      <c r="AG25" s="304"/>
      <c r="AH25" s="304"/>
      <c r="AI25" s="304"/>
      <c r="AJ25" s="304"/>
      <c r="AK25" s="304"/>
      <c r="AL25" s="304"/>
      <c r="AM25" s="304"/>
      <c r="AN25" s="304"/>
      <c r="AO25" s="304"/>
      <c r="AP25" s="304"/>
      <c r="AQ25" s="304"/>
      <c r="AR25" s="304"/>
      <c r="AS25" s="268"/>
      <c r="AT25" s="268"/>
      <c r="BP25" s="394"/>
      <c r="BQ25" s="393"/>
      <c r="BS25" s="394"/>
      <c r="BT25" s="393"/>
    </row>
    <row r="26" spans="2:72">
      <c r="B26" s="303"/>
      <c r="C26" s="307" t="s">
        <v>523</v>
      </c>
      <c r="D26" s="303"/>
      <c r="E26" s="303"/>
      <c r="F26" s="304"/>
      <c r="G26" s="304"/>
      <c r="H26" s="304"/>
      <c r="I26" s="304"/>
      <c r="J26" s="304"/>
      <c r="K26" s="304"/>
      <c r="L26" s="304"/>
      <c r="M26" s="304"/>
      <c r="N26" s="304"/>
      <c r="O26" s="304"/>
      <c r="P26" s="304"/>
      <c r="Q26" s="304"/>
      <c r="R26" s="304"/>
      <c r="S26" s="304"/>
      <c r="T26" s="304"/>
      <c r="U26" s="304"/>
      <c r="V26" s="304"/>
      <c r="W26" s="304"/>
      <c r="X26" s="304"/>
      <c r="Y26" s="304"/>
      <c r="Z26" s="304"/>
      <c r="AA26" s="304"/>
      <c r="AB26" s="304"/>
      <c r="AC26" s="304"/>
      <c r="AD26" s="304"/>
      <c r="AE26" s="304"/>
      <c r="AF26" s="304"/>
      <c r="AG26" s="304"/>
      <c r="AH26" s="304"/>
      <c r="AI26" s="304"/>
      <c r="AJ26" s="304"/>
      <c r="AK26" s="304"/>
      <c r="AL26" s="304"/>
      <c r="AM26" s="304"/>
      <c r="AN26" s="304"/>
      <c r="AO26" s="304"/>
      <c r="AP26" s="304"/>
      <c r="AQ26" s="304"/>
      <c r="AR26" s="304"/>
      <c r="AS26" s="268"/>
      <c r="AT26" s="268"/>
      <c r="BP26" s="394"/>
      <c r="BQ26" s="393"/>
      <c r="BS26" s="394"/>
      <c r="BT26" s="393"/>
    </row>
    <row r="27" spans="2:72">
      <c r="B27" s="303"/>
      <c r="C27" s="365">
        <v>0.01</v>
      </c>
      <c r="D27" s="303"/>
      <c r="E27" s="303" t="s">
        <v>523</v>
      </c>
      <c r="F27" s="304">
        <f>F20*$C$27</f>
        <v>0</v>
      </c>
      <c r="G27" s="304">
        <f t="shared" ref="G27:BL27" si="39">G20*$C$27</f>
        <v>0</v>
      </c>
      <c r="H27" s="304">
        <f t="shared" si="39"/>
        <v>0</v>
      </c>
      <c r="I27" s="304">
        <f>Frais_de_Création</f>
        <v>50</v>
      </c>
      <c r="J27" s="304">
        <f t="shared" si="39"/>
        <v>12.59</v>
      </c>
      <c r="K27" s="304">
        <f t="shared" si="39"/>
        <v>9.19</v>
      </c>
      <c r="L27" s="304">
        <f t="shared" si="39"/>
        <v>25.94</v>
      </c>
      <c r="M27" s="304">
        <f t="shared" si="39"/>
        <v>12.700000000000001</v>
      </c>
      <c r="N27" s="304">
        <f t="shared" si="39"/>
        <v>25.88</v>
      </c>
      <c r="O27" s="304">
        <f t="shared" si="39"/>
        <v>25.07</v>
      </c>
      <c r="P27" s="304">
        <f t="shared" si="39"/>
        <v>12.48</v>
      </c>
      <c r="Q27" s="304">
        <f t="shared" si="39"/>
        <v>16.809999999999999</v>
      </c>
      <c r="R27" s="304">
        <f t="shared" si="39"/>
        <v>19.71</v>
      </c>
      <c r="S27" s="304">
        <f t="shared" si="39"/>
        <v>12.77</v>
      </c>
      <c r="T27" s="304">
        <f t="shared" si="39"/>
        <v>7.11</v>
      </c>
      <c r="U27" s="304">
        <f t="shared" si="39"/>
        <v>4.26</v>
      </c>
      <c r="V27" s="304">
        <f t="shared" si="39"/>
        <v>7.4</v>
      </c>
      <c r="W27" s="304">
        <f t="shared" si="39"/>
        <v>10.48</v>
      </c>
      <c r="X27" s="304">
        <f t="shared" si="39"/>
        <v>6.8900000000000006</v>
      </c>
      <c r="Y27" s="304">
        <f t="shared" si="39"/>
        <v>4.47</v>
      </c>
      <c r="Z27" s="304">
        <f t="shared" si="39"/>
        <v>119.27</v>
      </c>
      <c r="AA27" s="304">
        <f t="shared" si="39"/>
        <v>7.29</v>
      </c>
      <c r="AB27" s="304">
        <f t="shared" si="39"/>
        <v>3.15</v>
      </c>
      <c r="AC27" s="304">
        <f t="shared" si="39"/>
        <v>9.85</v>
      </c>
      <c r="AD27" s="304">
        <f t="shared" si="39"/>
        <v>3.08</v>
      </c>
      <c r="AE27" s="304">
        <f t="shared" si="39"/>
        <v>2.89</v>
      </c>
      <c r="AF27" s="304">
        <f t="shared" si="39"/>
        <v>2.7</v>
      </c>
      <c r="AG27" s="304">
        <f t="shared" si="39"/>
        <v>0</v>
      </c>
      <c r="AH27" s="304">
        <f t="shared" si="39"/>
        <v>0</v>
      </c>
      <c r="AI27" s="304">
        <f t="shared" si="39"/>
        <v>0</v>
      </c>
      <c r="AJ27" s="304">
        <f t="shared" si="39"/>
        <v>2.56</v>
      </c>
      <c r="AK27" s="304">
        <f t="shared" si="39"/>
        <v>2.57</v>
      </c>
      <c r="AL27" s="304">
        <f t="shared" si="39"/>
        <v>131.29</v>
      </c>
      <c r="AM27" s="304">
        <f t="shared" si="39"/>
        <v>3.41</v>
      </c>
      <c r="AN27" s="304">
        <f t="shared" si="39"/>
        <v>2.06</v>
      </c>
      <c r="AO27" s="304">
        <f t="shared" si="39"/>
        <v>5.55</v>
      </c>
      <c r="AP27" s="304">
        <f t="shared" si="39"/>
        <v>2.06</v>
      </c>
      <c r="AQ27" s="304">
        <f t="shared" si="39"/>
        <v>2.89</v>
      </c>
      <c r="AR27" s="304">
        <f t="shared" si="39"/>
        <v>2.7</v>
      </c>
      <c r="AS27" s="268">
        <f t="shared" si="39"/>
        <v>0</v>
      </c>
      <c r="AT27" s="268">
        <f t="shared" si="39"/>
        <v>0</v>
      </c>
      <c r="AU27" s="268">
        <f t="shared" si="39"/>
        <v>0</v>
      </c>
      <c r="AV27" s="268">
        <f t="shared" si="39"/>
        <v>0</v>
      </c>
      <c r="AW27" s="268">
        <f t="shared" si="39"/>
        <v>0</v>
      </c>
      <c r="AX27" s="268">
        <f t="shared" si="39"/>
        <v>0</v>
      </c>
      <c r="AY27" s="268">
        <f t="shared" si="39"/>
        <v>0</v>
      </c>
      <c r="AZ27" s="268">
        <f t="shared" si="39"/>
        <v>0</v>
      </c>
      <c r="BA27" s="268">
        <f t="shared" si="39"/>
        <v>0</v>
      </c>
      <c r="BB27" s="268">
        <f t="shared" si="39"/>
        <v>0</v>
      </c>
      <c r="BC27" s="268">
        <f t="shared" si="39"/>
        <v>0</v>
      </c>
      <c r="BD27" s="268">
        <f t="shared" si="39"/>
        <v>0</v>
      </c>
      <c r="BE27" s="268">
        <f t="shared" si="39"/>
        <v>0</v>
      </c>
      <c r="BF27" s="268">
        <f t="shared" si="39"/>
        <v>0</v>
      </c>
      <c r="BG27" s="268">
        <f t="shared" si="39"/>
        <v>0</v>
      </c>
      <c r="BH27" s="268">
        <f t="shared" si="39"/>
        <v>0</v>
      </c>
      <c r="BI27" s="268">
        <f t="shared" si="39"/>
        <v>0</v>
      </c>
      <c r="BJ27" s="268">
        <f t="shared" si="39"/>
        <v>0</v>
      </c>
      <c r="BK27" s="268">
        <f t="shared" si="39"/>
        <v>0</v>
      </c>
      <c r="BL27" s="268">
        <f t="shared" si="39"/>
        <v>0</v>
      </c>
      <c r="BP27" s="394"/>
      <c r="BQ27" s="393">
        <f>SUM(I27:T27)</f>
        <v>230.25000000000003</v>
      </c>
      <c r="BS27" s="394"/>
      <c r="BT27" s="393"/>
    </row>
    <row r="28" spans="2:72">
      <c r="B28" s="303"/>
      <c r="C28" s="365">
        <f>TVA</f>
        <v>0.2</v>
      </c>
      <c r="D28" s="303"/>
      <c r="E28" s="303" t="s">
        <v>527</v>
      </c>
      <c r="F28" s="304">
        <f t="shared" ref="F28:K28" si="40">F27*$C$28</f>
        <v>0</v>
      </c>
      <c r="G28" s="304">
        <f t="shared" si="40"/>
        <v>0</v>
      </c>
      <c r="H28" s="304">
        <f t="shared" si="40"/>
        <v>0</v>
      </c>
      <c r="I28" s="304">
        <f t="shared" si="40"/>
        <v>10</v>
      </c>
      <c r="J28" s="304">
        <f t="shared" si="40"/>
        <v>2.5180000000000002</v>
      </c>
      <c r="K28" s="304">
        <f t="shared" si="40"/>
        <v>1.8380000000000001</v>
      </c>
      <c r="L28" s="304">
        <f>L27*$C$28</f>
        <v>5.1880000000000006</v>
      </c>
      <c r="M28" s="304">
        <f t="shared" ref="M28" si="41">M27*$C$28</f>
        <v>2.5400000000000005</v>
      </c>
      <c r="N28" s="304">
        <f t="shared" ref="N28" si="42">N27*$C$28</f>
        <v>5.1760000000000002</v>
      </c>
      <c r="O28" s="304">
        <f t="shared" ref="O28" si="43">O27*$C$28</f>
        <v>5.0140000000000002</v>
      </c>
      <c r="P28" s="304">
        <f t="shared" ref="P28" si="44">P27*$C$28</f>
        <v>2.4960000000000004</v>
      </c>
      <c r="Q28" s="304">
        <f t="shared" ref="Q28" si="45">Q27*$C$28</f>
        <v>3.3620000000000001</v>
      </c>
      <c r="R28" s="304">
        <f t="shared" ref="R28" si="46">R27*$C$28</f>
        <v>3.9420000000000002</v>
      </c>
      <c r="S28" s="304">
        <f t="shared" ref="S28" si="47">S27*$C$28</f>
        <v>2.5540000000000003</v>
      </c>
      <c r="T28" s="304">
        <f t="shared" ref="T28" si="48">T27*$C$28</f>
        <v>1.4220000000000002</v>
      </c>
      <c r="U28" s="304">
        <f t="shared" ref="U28:V28" si="49">U27*$C$28</f>
        <v>0.85199999999999998</v>
      </c>
      <c r="V28" s="304">
        <f t="shared" si="49"/>
        <v>1.4800000000000002</v>
      </c>
      <c r="W28" s="304">
        <f t="shared" ref="W28" si="50">W27*$C$28</f>
        <v>2.0960000000000001</v>
      </c>
      <c r="X28" s="304">
        <f t="shared" ref="X28" si="51">X27*$C$28</f>
        <v>1.3780000000000001</v>
      </c>
      <c r="Y28" s="304">
        <f t="shared" ref="Y28" si="52">Y27*$C$28</f>
        <v>0.89400000000000002</v>
      </c>
      <c r="Z28" s="304">
        <f t="shared" ref="Z28" si="53">Z27*$C$28</f>
        <v>23.853999999999999</v>
      </c>
      <c r="AA28" s="304">
        <f t="shared" ref="AA28" si="54">AA27*$C$28</f>
        <v>1.4580000000000002</v>
      </c>
      <c r="AB28" s="304">
        <f t="shared" ref="AB28" si="55">AB27*$C$28</f>
        <v>0.63</v>
      </c>
      <c r="AC28" s="304">
        <f t="shared" ref="AC28" si="56">AC27*$C$28</f>
        <v>1.97</v>
      </c>
      <c r="AD28" s="304">
        <f t="shared" ref="AD28" si="57">AD27*$C$28</f>
        <v>0.6160000000000001</v>
      </c>
      <c r="AE28" s="304">
        <f t="shared" ref="AE28:AF28" si="58">AE27*$C$28</f>
        <v>0.57800000000000007</v>
      </c>
      <c r="AF28" s="304">
        <f t="shared" si="58"/>
        <v>0.54</v>
      </c>
      <c r="AG28" s="304">
        <f t="shared" ref="AG28" si="59">AG27*$C$28</f>
        <v>0</v>
      </c>
      <c r="AH28" s="304">
        <f t="shared" ref="AH28" si="60">AH27*$C$28</f>
        <v>0</v>
      </c>
      <c r="AI28" s="304">
        <f t="shared" ref="AI28" si="61">AI27*$C$28</f>
        <v>0</v>
      </c>
      <c r="AJ28" s="304">
        <f t="shared" ref="AJ28" si="62">AJ27*$C$28</f>
        <v>0.51200000000000001</v>
      </c>
      <c r="AK28" s="304">
        <f t="shared" ref="AK28" si="63">AK27*$C$28</f>
        <v>0.51400000000000001</v>
      </c>
      <c r="AL28" s="304">
        <f t="shared" ref="AL28" si="64">AL27*$C$28</f>
        <v>26.257999999999999</v>
      </c>
      <c r="AM28" s="304">
        <f t="shared" ref="AM28" si="65">AM27*$C$28</f>
        <v>0.68200000000000005</v>
      </c>
      <c r="AN28" s="304">
        <f t="shared" ref="AN28" si="66">AN27*$C$28</f>
        <v>0.41200000000000003</v>
      </c>
      <c r="AO28" s="304">
        <f t="shared" ref="AO28:AP28" si="67">AO27*$C$28</f>
        <v>1.1100000000000001</v>
      </c>
      <c r="AP28" s="304">
        <f t="shared" si="67"/>
        <v>0.41200000000000003</v>
      </c>
      <c r="AQ28" s="304">
        <f t="shared" ref="AQ28" si="68">AQ27*$C$28</f>
        <v>0.57800000000000007</v>
      </c>
      <c r="AR28" s="304">
        <f t="shared" ref="AR28" si="69">AR27*$C$28</f>
        <v>0.54</v>
      </c>
      <c r="AS28" s="268"/>
      <c r="AT28" s="268"/>
      <c r="BP28" s="394"/>
      <c r="BQ28" s="393"/>
      <c r="BS28" s="394">
        <f>T28</f>
        <v>1.4220000000000002</v>
      </c>
      <c r="BT28" s="393"/>
    </row>
    <row r="29" spans="2:72">
      <c r="B29" s="303"/>
      <c r="C29" s="364" t="s">
        <v>528</v>
      </c>
      <c r="D29" s="303"/>
      <c r="E29" s="303"/>
      <c r="F29" s="304"/>
      <c r="G29" s="304"/>
      <c r="H29" s="304"/>
      <c r="I29" s="304"/>
      <c r="J29" s="304"/>
      <c r="K29" s="304"/>
      <c r="L29" s="304"/>
      <c r="M29" s="304"/>
      <c r="N29" s="304"/>
      <c r="O29" s="304"/>
      <c r="P29" s="304"/>
      <c r="Q29" s="304"/>
      <c r="R29" s="304"/>
      <c r="S29" s="304"/>
      <c r="T29" s="304"/>
      <c r="U29" s="304"/>
      <c r="V29" s="304"/>
      <c r="W29" s="304"/>
      <c r="X29" s="304"/>
      <c r="Y29" s="304"/>
      <c r="Z29" s="304"/>
      <c r="AA29" s="304"/>
      <c r="AB29" s="304"/>
      <c r="AC29" s="304"/>
      <c r="AD29" s="304"/>
      <c r="AE29" s="304"/>
      <c r="AF29" s="304"/>
      <c r="AG29" s="304"/>
      <c r="AH29" s="304"/>
      <c r="AI29" s="304"/>
      <c r="AJ29" s="304"/>
      <c r="AK29" s="304"/>
      <c r="AL29" s="304"/>
      <c r="AM29" s="304"/>
      <c r="AN29" s="304"/>
      <c r="AO29" s="304"/>
      <c r="AP29" s="304"/>
      <c r="AQ29" s="304"/>
      <c r="AR29" s="304"/>
      <c r="AS29" s="268"/>
      <c r="AT29" s="268"/>
      <c r="BP29" s="394"/>
      <c r="BQ29" s="393"/>
      <c r="BS29" s="394"/>
      <c r="BT29" s="393"/>
    </row>
    <row r="30" spans="2:72">
      <c r="B30" s="303" t="s">
        <v>529</v>
      </c>
      <c r="C30" s="361">
        <v>30</v>
      </c>
      <c r="D30" s="303"/>
      <c r="E30" s="303"/>
      <c r="F30" s="304">
        <v>0</v>
      </c>
      <c r="G30" s="304">
        <f>F28+F27</f>
        <v>0</v>
      </c>
      <c r="H30" s="304">
        <f t="shared" ref="H30:AR30" si="70">G28+G27</f>
        <v>0</v>
      </c>
      <c r="I30" s="304">
        <f t="shared" si="70"/>
        <v>0</v>
      </c>
      <c r="J30" s="304">
        <f t="shared" si="70"/>
        <v>60</v>
      </c>
      <c r="K30" s="304">
        <f t="shared" si="70"/>
        <v>15.108000000000001</v>
      </c>
      <c r="L30" s="304">
        <f t="shared" si="70"/>
        <v>11.027999999999999</v>
      </c>
      <c r="M30" s="304">
        <f t="shared" si="70"/>
        <v>31.128</v>
      </c>
      <c r="N30" s="304">
        <f t="shared" si="70"/>
        <v>15.240000000000002</v>
      </c>
      <c r="O30" s="304">
        <f t="shared" si="70"/>
        <v>31.055999999999997</v>
      </c>
      <c r="P30" s="304">
        <f t="shared" si="70"/>
        <v>30.084</v>
      </c>
      <c r="Q30" s="304">
        <f t="shared" si="70"/>
        <v>14.976000000000001</v>
      </c>
      <c r="R30" s="304">
        <f t="shared" si="70"/>
        <v>20.171999999999997</v>
      </c>
      <c r="S30" s="304">
        <f t="shared" si="70"/>
        <v>23.652000000000001</v>
      </c>
      <c r="T30" s="304">
        <f t="shared" si="70"/>
        <v>15.324</v>
      </c>
      <c r="U30" s="304">
        <f t="shared" si="70"/>
        <v>8.532</v>
      </c>
      <c r="V30" s="304">
        <f t="shared" si="70"/>
        <v>5.1120000000000001</v>
      </c>
      <c r="W30" s="304">
        <f t="shared" si="70"/>
        <v>8.8800000000000008</v>
      </c>
      <c r="X30" s="304">
        <f t="shared" si="70"/>
        <v>12.576000000000001</v>
      </c>
      <c r="Y30" s="304">
        <f t="shared" si="70"/>
        <v>8.2680000000000007</v>
      </c>
      <c r="Z30" s="304">
        <f t="shared" si="70"/>
        <v>5.3639999999999999</v>
      </c>
      <c r="AA30" s="304">
        <f t="shared" si="70"/>
        <v>143.124</v>
      </c>
      <c r="AB30" s="304">
        <f t="shared" si="70"/>
        <v>8.7480000000000011</v>
      </c>
      <c r="AC30" s="304">
        <f t="shared" si="70"/>
        <v>3.78</v>
      </c>
      <c r="AD30" s="304">
        <f t="shared" si="70"/>
        <v>11.82</v>
      </c>
      <c r="AE30" s="304">
        <f t="shared" si="70"/>
        <v>3.6960000000000002</v>
      </c>
      <c r="AF30" s="304">
        <f t="shared" si="70"/>
        <v>3.468</v>
      </c>
      <c r="AG30" s="304">
        <f t="shared" si="70"/>
        <v>3.24</v>
      </c>
      <c r="AH30" s="304">
        <f t="shared" si="70"/>
        <v>0</v>
      </c>
      <c r="AI30" s="304">
        <f t="shared" si="70"/>
        <v>0</v>
      </c>
      <c r="AJ30" s="304">
        <f t="shared" si="70"/>
        <v>0</v>
      </c>
      <c r="AK30" s="304">
        <f t="shared" si="70"/>
        <v>3.0720000000000001</v>
      </c>
      <c r="AL30" s="304">
        <f t="shared" si="70"/>
        <v>3.0839999999999996</v>
      </c>
      <c r="AM30" s="304">
        <f t="shared" si="70"/>
        <v>157.548</v>
      </c>
      <c r="AN30" s="304">
        <f t="shared" si="70"/>
        <v>4.0920000000000005</v>
      </c>
      <c r="AO30" s="304">
        <f t="shared" si="70"/>
        <v>2.472</v>
      </c>
      <c r="AP30" s="304">
        <f t="shared" si="70"/>
        <v>6.66</v>
      </c>
      <c r="AQ30" s="304">
        <f t="shared" si="70"/>
        <v>2.472</v>
      </c>
      <c r="AR30" s="304">
        <f t="shared" si="70"/>
        <v>3.468</v>
      </c>
      <c r="AS30" s="268"/>
      <c r="AT30" s="268"/>
      <c r="BP30" s="394"/>
      <c r="BQ30" s="393"/>
      <c r="BS30" s="394"/>
      <c r="BT30" s="393"/>
    </row>
    <row r="31" spans="2:72">
      <c r="B31" s="301"/>
      <c r="C31" s="301"/>
      <c r="E31" s="303"/>
      <c r="F31" s="304"/>
      <c r="G31" s="304"/>
      <c r="H31" s="304"/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Y31" s="304"/>
      <c r="Z31" s="304"/>
      <c r="AA31" s="304"/>
      <c r="AB31" s="304"/>
      <c r="AC31" s="304"/>
      <c r="AD31" s="304"/>
      <c r="AE31" s="304"/>
      <c r="AF31" s="304"/>
      <c r="AG31" s="304"/>
      <c r="AH31" s="304"/>
      <c r="AI31" s="304"/>
      <c r="AJ31" s="304"/>
      <c r="AK31" s="304"/>
      <c r="AL31" s="304"/>
      <c r="AM31" s="304"/>
      <c r="AN31" s="304"/>
      <c r="AO31" s="304"/>
      <c r="AP31" s="304"/>
      <c r="AQ31" s="304"/>
      <c r="AR31" s="304"/>
      <c r="AS31" s="268"/>
      <c r="AT31" s="268"/>
      <c r="BP31" s="394"/>
      <c r="BQ31" s="393"/>
      <c r="BS31" s="394"/>
      <c r="BT31" s="393"/>
    </row>
    <row r="32" spans="2:72">
      <c r="B32" s="311"/>
      <c r="C32" s="312" t="s">
        <v>530</v>
      </c>
      <c r="D32" s="313"/>
      <c r="E32" s="313"/>
      <c r="F32" s="314"/>
      <c r="G32" s="314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4"/>
      <c r="V32" s="314"/>
      <c r="W32" s="314"/>
      <c r="X32" s="314"/>
      <c r="Y32" s="314"/>
      <c r="Z32" s="314"/>
      <c r="AA32" s="314"/>
      <c r="AB32" s="314"/>
      <c r="AC32" s="314"/>
      <c r="AD32" s="314"/>
      <c r="AE32" s="314"/>
      <c r="AF32" s="314"/>
      <c r="AG32" s="314"/>
      <c r="AH32" s="314"/>
      <c r="AI32" s="314"/>
      <c r="AJ32" s="314"/>
      <c r="AK32" s="314"/>
      <c r="AL32" s="314"/>
      <c r="AM32" s="314"/>
      <c r="AN32" s="314"/>
      <c r="AO32" s="314"/>
      <c r="AP32" s="314"/>
      <c r="AQ32" s="314"/>
      <c r="AR32" s="314"/>
      <c r="AS32" s="297"/>
      <c r="AT32" s="297"/>
      <c r="AU32" s="295"/>
      <c r="AV32" s="295"/>
      <c r="AW32" s="296"/>
      <c r="AX32" s="296"/>
      <c r="AY32" s="296"/>
      <c r="AZ32" s="296"/>
      <c r="BA32" s="296"/>
      <c r="BB32" s="296"/>
      <c r="BC32" s="296"/>
      <c r="BD32" s="296"/>
      <c r="BE32" s="296"/>
      <c r="BF32" s="296"/>
      <c r="BG32" s="296"/>
      <c r="BH32" s="296"/>
      <c r="BI32" s="296"/>
      <c r="BJ32" s="296"/>
      <c r="BK32" s="296"/>
      <c r="BL32" s="296"/>
      <c r="BM32" s="296"/>
      <c r="BP32" s="394"/>
      <c r="BQ32" s="393"/>
      <c r="BS32" s="394"/>
      <c r="BT32" s="393"/>
    </row>
    <row r="33" spans="2:72">
      <c r="B33" s="400" t="s">
        <v>579</v>
      </c>
      <c r="C33" s="361"/>
      <c r="D33" s="303"/>
      <c r="E33" s="301"/>
      <c r="F33" s="304"/>
      <c r="G33" s="304"/>
      <c r="H33" s="304"/>
      <c r="I33" s="304"/>
      <c r="J33" s="304"/>
      <c r="K33" s="304"/>
      <c r="L33" s="304"/>
      <c r="M33" s="304"/>
      <c r="N33" s="304"/>
      <c r="O33" s="304">
        <f>+N15-N28</f>
        <v>503.22400000000005</v>
      </c>
      <c r="P33" s="304">
        <f t="shared" ref="P33:AT33" si="71">+O15-O28</f>
        <v>177.18600000000001</v>
      </c>
      <c r="Q33" s="304">
        <f t="shared" si="71"/>
        <v>441.30400000000003</v>
      </c>
      <c r="R33" s="304">
        <f t="shared" si="71"/>
        <v>406.238</v>
      </c>
      <c r="S33" s="304">
        <f t="shared" si="71"/>
        <v>255.65800000000002</v>
      </c>
      <c r="T33" s="304">
        <f t="shared" si="71"/>
        <v>274.04600000000005</v>
      </c>
      <c r="U33" s="304">
        <f t="shared" si="71"/>
        <v>515.37800000000004</v>
      </c>
      <c r="V33" s="304">
        <f t="shared" si="71"/>
        <v>178.148</v>
      </c>
      <c r="W33" s="304">
        <f t="shared" si="71"/>
        <v>127.92</v>
      </c>
      <c r="X33" s="304">
        <f t="shared" si="71"/>
        <v>194.10400000000001</v>
      </c>
      <c r="Y33" s="304">
        <f t="shared" si="71"/>
        <v>187.822</v>
      </c>
      <c r="Z33" s="304">
        <f t="shared" si="71"/>
        <v>266.50600000000003</v>
      </c>
      <c r="AA33" s="304">
        <f t="shared" si="71"/>
        <v>116.746</v>
      </c>
      <c r="AB33" s="304">
        <f t="shared" si="71"/>
        <v>36.542000000000002</v>
      </c>
      <c r="AC33" s="304">
        <f t="shared" si="71"/>
        <v>2331.37</v>
      </c>
      <c r="AD33" s="304">
        <f t="shared" si="71"/>
        <v>52.03</v>
      </c>
      <c r="AE33" s="304">
        <f t="shared" si="71"/>
        <v>72.384</v>
      </c>
      <c r="AF33" s="304">
        <f t="shared" si="71"/>
        <v>136.822</v>
      </c>
      <c r="AG33" s="304">
        <f t="shared" si="71"/>
        <v>96.86</v>
      </c>
      <c r="AH33" s="304">
        <f t="shared" si="71"/>
        <v>68.2</v>
      </c>
      <c r="AI33" s="304">
        <f t="shared" si="71"/>
        <v>41.2</v>
      </c>
      <c r="AJ33" s="304">
        <f t="shared" si="71"/>
        <v>111</v>
      </c>
      <c r="AK33" s="304">
        <f t="shared" si="71"/>
        <v>40.688000000000002</v>
      </c>
      <c r="AL33" s="304">
        <f t="shared" si="71"/>
        <v>57.286000000000001</v>
      </c>
      <c r="AM33" s="304">
        <f t="shared" si="71"/>
        <v>27.742000000000001</v>
      </c>
      <c r="AN33" s="304">
        <f t="shared" si="71"/>
        <v>-0.68200000000000005</v>
      </c>
      <c r="AO33" s="304">
        <f t="shared" si="71"/>
        <v>2548.3880000000004</v>
      </c>
      <c r="AP33" s="304">
        <f t="shared" si="71"/>
        <v>-1.1100000000000001</v>
      </c>
      <c r="AQ33" s="304">
        <f t="shared" si="71"/>
        <v>50.788000000000004</v>
      </c>
      <c r="AR33" s="304">
        <f t="shared" si="71"/>
        <v>50.822000000000003</v>
      </c>
      <c r="AS33" s="304">
        <f t="shared" si="71"/>
        <v>76.459999999999994</v>
      </c>
      <c r="AT33" s="304">
        <f t="shared" si="71"/>
        <v>0</v>
      </c>
      <c r="BP33" s="394"/>
      <c r="BQ33" s="393"/>
      <c r="BS33" s="394"/>
      <c r="BT33" s="393"/>
    </row>
    <row r="34" spans="2:72">
      <c r="B34" s="303" t="s">
        <v>532</v>
      </c>
      <c r="C34" s="361">
        <v>150</v>
      </c>
      <c r="D34" s="303"/>
      <c r="E34" s="301"/>
      <c r="F34" s="304"/>
      <c r="G34" s="304"/>
      <c r="H34" s="304"/>
      <c r="I34" s="304"/>
      <c r="J34" s="304"/>
      <c r="K34" s="304"/>
      <c r="L34" s="304"/>
      <c r="M34" s="304"/>
      <c r="N34" s="304"/>
      <c r="O34" s="304"/>
      <c r="P34" s="304"/>
      <c r="Q34" s="304"/>
      <c r="R34" s="304"/>
      <c r="S34" s="304"/>
      <c r="T34" s="304"/>
      <c r="U34" s="304"/>
      <c r="V34" s="304"/>
      <c r="W34" s="304"/>
      <c r="X34" s="304"/>
      <c r="Y34" s="304"/>
      <c r="Z34" s="304"/>
      <c r="AA34" s="304"/>
      <c r="AB34" s="304"/>
      <c r="AC34" s="304"/>
      <c r="AD34" s="304"/>
      <c r="AE34" s="304"/>
      <c r="AF34" s="304"/>
      <c r="AG34" s="304"/>
      <c r="AH34" s="304"/>
      <c r="AI34" s="304"/>
      <c r="AJ34" s="304"/>
      <c r="AK34" s="304"/>
      <c r="AL34" s="304"/>
      <c r="AM34" s="304"/>
      <c r="AN34" s="304"/>
      <c r="AO34" s="304"/>
      <c r="AP34" s="304"/>
      <c r="AQ34" s="304"/>
      <c r="AR34" s="304"/>
      <c r="AS34" s="268"/>
      <c r="AT34" s="268"/>
      <c r="BP34" s="394">
        <f>C34</f>
        <v>150</v>
      </c>
      <c r="BQ34" s="393"/>
      <c r="BS34" s="394"/>
      <c r="BT34" s="393"/>
    </row>
    <row r="35" spans="2:72">
      <c r="B35" s="301" t="s">
        <v>534</v>
      </c>
      <c r="C35" s="301">
        <f>C34-Frais_de_Création</f>
        <v>100</v>
      </c>
      <c r="D35" s="303"/>
      <c r="E35" s="303" t="s">
        <v>531</v>
      </c>
      <c r="F35" s="304">
        <f>F13+F14+F15</f>
        <v>0</v>
      </c>
      <c r="G35" s="304">
        <f t="shared" ref="G35:AR35" si="72">G13+G14+G15</f>
        <v>0</v>
      </c>
      <c r="H35" s="304">
        <f t="shared" si="72"/>
        <v>0</v>
      </c>
      <c r="I35" s="304">
        <f t="shared" si="72"/>
        <v>0</v>
      </c>
      <c r="J35" s="304">
        <f t="shared" si="72"/>
        <v>0</v>
      </c>
      <c r="K35" s="304">
        <f t="shared" si="72"/>
        <v>1027.2</v>
      </c>
      <c r="L35" s="304">
        <f t="shared" si="72"/>
        <v>1510.8</v>
      </c>
      <c r="M35" s="304">
        <f t="shared" si="72"/>
        <v>1102.8</v>
      </c>
      <c r="N35" s="304">
        <f t="shared" si="72"/>
        <v>3050.4</v>
      </c>
      <c r="O35" s="304">
        <f t="shared" si="72"/>
        <v>1093.2</v>
      </c>
      <c r="P35" s="304">
        <f t="shared" si="72"/>
        <v>2662.8</v>
      </c>
      <c r="Q35" s="304">
        <f t="shared" si="72"/>
        <v>2457.6</v>
      </c>
      <c r="R35" s="304">
        <f t="shared" si="72"/>
        <v>1557.6</v>
      </c>
      <c r="S35" s="304">
        <f t="shared" si="72"/>
        <v>1659.6</v>
      </c>
      <c r="T35" s="304">
        <f t="shared" si="72"/>
        <v>3100.8</v>
      </c>
      <c r="U35" s="304">
        <f t="shared" si="72"/>
        <v>1074</v>
      </c>
      <c r="V35" s="304">
        <f t="shared" si="72"/>
        <v>776.4</v>
      </c>
      <c r="W35" s="304">
        <f t="shared" si="72"/>
        <v>1177.2</v>
      </c>
      <c r="X35" s="304">
        <f t="shared" si="72"/>
        <v>1135.2</v>
      </c>
      <c r="Y35" s="304">
        <f t="shared" si="72"/>
        <v>1604.4</v>
      </c>
      <c r="Z35" s="304">
        <f t="shared" si="72"/>
        <v>843.6</v>
      </c>
      <c r="AA35" s="304">
        <f t="shared" si="72"/>
        <v>228</v>
      </c>
      <c r="AB35" s="304">
        <f t="shared" si="72"/>
        <v>13992</v>
      </c>
      <c r="AC35" s="304">
        <f t="shared" si="72"/>
        <v>324</v>
      </c>
      <c r="AD35" s="304">
        <f t="shared" si="72"/>
        <v>438</v>
      </c>
      <c r="AE35" s="304">
        <f t="shared" si="72"/>
        <v>824.4</v>
      </c>
      <c r="AF35" s="304">
        <f t="shared" si="72"/>
        <v>584.4</v>
      </c>
      <c r="AG35" s="304">
        <f t="shared" si="72"/>
        <v>409.2</v>
      </c>
      <c r="AH35" s="304">
        <f t="shared" si="72"/>
        <v>247.2</v>
      </c>
      <c r="AI35" s="304">
        <f t="shared" si="72"/>
        <v>666</v>
      </c>
      <c r="AJ35" s="304">
        <f t="shared" si="72"/>
        <v>247.2</v>
      </c>
      <c r="AK35" s="304">
        <f t="shared" si="72"/>
        <v>346.8</v>
      </c>
      <c r="AL35" s="304">
        <f t="shared" si="72"/>
        <v>324</v>
      </c>
      <c r="AM35" s="304">
        <f t="shared" si="72"/>
        <v>0</v>
      </c>
      <c r="AN35" s="304">
        <f t="shared" si="72"/>
        <v>15292.8</v>
      </c>
      <c r="AO35" s="304">
        <f t="shared" si="72"/>
        <v>0</v>
      </c>
      <c r="AP35" s="304">
        <f t="shared" si="72"/>
        <v>307.2</v>
      </c>
      <c r="AQ35" s="304">
        <f t="shared" si="72"/>
        <v>308.39999999999998</v>
      </c>
      <c r="AR35" s="304">
        <f t="shared" si="72"/>
        <v>462</v>
      </c>
      <c r="AS35" s="268"/>
      <c r="AT35" s="268"/>
      <c r="BP35" s="394"/>
      <c r="BQ35" s="393"/>
      <c r="BS35" s="394">
        <f>SUM(I35:T35)</f>
        <v>19222.800000000003</v>
      </c>
      <c r="BT35" s="393"/>
    </row>
    <row r="36" spans="2:72">
      <c r="B36" s="315" t="s">
        <v>533</v>
      </c>
      <c r="C36" s="366">
        <v>50</v>
      </c>
      <c r="D36" s="303"/>
      <c r="E36" s="303" t="s">
        <v>535</v>
      </c>
      <c r="F36" s="304">
        <f>F24+F30</f>
        <v>0</v>
      </c>
      <c r="G36" s="304">
        <f t="shared" ref="G36:J36" si="73">G24+G30</f>
        <v>0</v>
      </c>
      <c r="H36" s="304">
        <f t="shared" si="73"/>
        <v>0</v>
      </c>
      <c r="I36" s="304">
        <f t="shared" si="73"/>
        <v>0</v>
      </c>
      <c r="J36" s="304">
        <f t="shared" si="73"/>
        <v>60</v>
      </c>
      <c r="K36" s="304">
        <f t="shared" ref="K36:AT36" si="74">K24+K33</f>
        <v>856</v>
      </c>
      <c r="L36" s="304">
        <f t="shared" si="74"/>
        <v>1259</v>
      </c>
      <c r="M36" s="304">
        <f t="shared" si="74"/>
        <v>919</v>
      </c>
      <c r="N36" s="304">
        <f t="shared" si="74"/>
        <v>2798</v>
      </c>
      <c r="O36" s="304">
        <f t="shared" si="74"/>
        <v>1671.2240000000002</v>
      </c>
      <c r="P36" s="304">
        <f t="shared" si="74"/>
        <v>2781.1860000000001</v>
      </c>
      <c r="Q36" s="304">
        <f t="shared" si="74"/>
        <v>2830.3040000000001</v>
      </c>
      <c r="R36" s="304">
        <f t="shared" si="74"/>
        <v>1654.2380000000001</v>
      </c>
      <c r="S36" s="304">
        <f t="shared" si="74"/>
        <v>1936.6579999999999</v>
      </c>
      <c r="T36" s="304">
        <f t="shared" si="74"/>
        <v>2679.0460000000003</v>
      </c>
      <c r="U36" s="304">
        <f t="shared" si="74"/>
        <v>1358.3780000000002</v>
      </c>
      <c r="V36" s="304">
        <f t="shared" si="74"/>
        <v>889.14800000000002</v>
      </c>
      <c r="W36" s="304">
        <f t="shared" si="74"/>
        <v>553.91999999999996</v>
      </c>
      <c r="X36" s="304">
        <f t="shared" si="74"/>
        <v>934.10400000000004</v>
      </c>
      <c r="Y36" s="304">
        <f t="shared" si="74"/>
        <v>1235.8220000000001</v>
      </c>
      <c r="Z36" s="304">
        <f t="shared" si="74"/>
        <v>955.50600000000009</v>
      </c>
      <c r="AA36" s="304">
        <f t="shared" si="74"/>
        <v>563.74599999999998</v>
      </c>
      <c r="AB36" s="304">
        <f t="shared" si="74"/>
        <v>12081.541999999999</v>
      </c>
      <c r="AC36" s="304">
        <f t="shared" si="74"/>
        <v>2942.37</v>
      </c>
      <c r="AD36" s="304">
        <f t="shared" si="74"/>
        <v>367.03</v>
      </c>
      <c r="AE36" s="304">
        <f t="shared" si="74"/>
        <v>1057.384</v>
      </c>
      <c r="AF36" s="304">
        <f t="shared" si="74"/>
        <v>444.822</v>
      </c>
      <c r="AG36" s="304">
        <f t="shared" si="74"/>
        <v>385.86</v>
      </c>
      <c r="AH36" s="304">
        <f t="shared" si="74"/>
        <v>338.2</v>
      </c>
      <c r="AI36" s="304">
        <f t="shared" si="74"/>
        <v>41.2</v>
      </c>
      <c r="AJ36" s="304">
        <f t="shared" si="74"/>
        <v>111</v>
      </c>
      <c r="AK36" s="304">
        <f t="shared" si="74"/>
        <v>40.688000000000002</v>
      </c>
      <c r="AL36" s="304">
        <f t="shared" si="74"/>
        <v>313.286</v>
      </c>
      <c r="AM36" s="304">
        <f t="shared" si="74"/>
        <v>284.74200000000002</v>
      </c>
      <c r="AN36" s="304">
        <f t="shared" si="74"/>
        <v>13128.317999999999</v>
      </c>
      <c r="AO36" s="304">
        <f t="shared" si="74"/>
        <v>2889.3880000000004</v>
      </c>
      <c r="AP36" s="304">
        <f t="shared" si="74"/>
        <v>204.89</v>
      </c>
      <c r="AQ36" s="304">
        <f t="shared" si="74"/>
        <v>605.78800000000001</v>
      </c>
      <c r="AR36" s="304">
        <f t="shared" si="74"/>
        <v>256.822</v>
      </c>
      <c r="AS36" s="304">
        <f t="shared" si="74"/>
        <v>365.46</v>
      </c>
      <c r="AT36" s="304">
        <f t="shared" si="74"/>
        <v>0</v>
      </c>
      <c r="BP36" s="394"/>
      <c r="BQ36" s="393">
        <f>Frais_de_Création</f>
        <v>50</v>
      </c>
      <c r="BS36" s="394"/>
      <c r="BT36" s="393">
        <f>SUM(I36:T36)</f>
        <v>19444.656000000003</v>
      </c>
    </row>
    <row r="37" spans="2:72">
      <c r="B37" s="315"/>
      <c r="C37" s="366"/>
      <c r="D37" s="303"/>
      <c r="E37" s="303" t="s">
        <v>536</v>
      </c>
      <c r="F37" s="304">
        <f>F35-F36</f>
        <v>0</v>
      </c>
      <c r="G37" s="304">
        <f t="shared" ref="G37:AR37" si="75">G35-G36</f>
        <v>0</v>
      </c>
      <c r="H37" s="304">
        <f t="shared" si="75"/>
        <v>0</v>
      </c>
      <c r="I37" s="304">
        <f t="shared" si="75"/>
        <v>0</v>
      </c>
      <c r="J37" s="304">
        <f t="shared" si="75"/>
        <v>-60</v>
      </c>
      <c r="K37" s="304">
        <f t="shared" si="75"/>
        <v>171.20000000000005</v>
      </c>
      <c r="L37" s="304">
        <f t="shared" si="75"/>
        <v>251.79999999999995</v>
      </c>
      <c r="M37" s="304">
        <f t="shared" si="75"/>
        <v>183.79999999999995</v>
      </c>
      <c r="N37" s="304">
        <f t="shared" si="75"/>
        <v>252.40000000000009</v>
      </c>
      <c r="O37" s="304">
        <f t="shared" si="75"/>
        <v>-578.02400000000011</v>
      </c>
      <c r="P37" s="304">
        <f t="shared" si="75"/>
        <v>-118.38599999999997</v>
      </c>
      <c r="Q37" s="304">
        <f t="shared" si="75"/>
        <v>-372.70400000000018</v>
      </c>
      <c r="R37" s="304">
        <f t="shared" si="75"/>
        <v>-96.638000000000147</v>
      </c>
      <c r="S37" s="304">
        <f t="shared" si="75"/>
        <v>-277.05799999999999</v>
      </c>
      <c r="T37" s="304">
        <f t="shared" si="75"/>
        <v>421.75399999999991</v>
      </c>
      <c r="U37" s="304">
        <f t="shared" si="75"/>
        <v>-284.37800000000016</v>
      </c>
      <c r="V37" s="304">
        <f t="shared" si="75"/>
        <v>-112.74800000000005</v>
      </c>
      <c r="W37" s="304">
        <f t="shared" si="75"/>
        <v>623.28000000000009</v>
      </c>
      <c r="X37" s="304">
        <f t="shared" si="75"/>
        <v>201.096</v>
      </c>
      <c r="Y37" s="304">
        <f t="shared" si="75"/>
        <v>368.57799999999997</v>
      </c>
      <c r="Z37" s="304">
        <f t="shared" si="75"/>
        <v>-111.90600000000006</v>
      </c>
      <c r="AA37" s="304">
        <f t="shared" si="75"/>
        <v>-335.74599999999998</v>
      </c>
      <c r="AB37" s="304">
        <f t="shared" si="75"/>
        <v>1910.4580000000005</v>
      </c>
      <c r="AC37" s="304">
        <f t="shared" si="75"/>
        <v>-2618.37</v>
      </c>
      <c r="AD37" s="304">
        <f t="shared" si="75"/>
        <v>70.970000000000027</v>
      </c>
      <c r="AE37" s="304">
        <f t="shared" si="75"/>
        <v>-232.98400000000004</v>
      </c>
      <c r="AF37" s="304">
        <f t="shared" si="75"/>
        <v>139.57799999999997</v>
      </c>
      <c r="AG37" s="304">
        <f t="shared" si="75"/>
        <v>23.339999999999975</v>
      </c>
      <c r="AH37" s="304">
        <f t="shared" si="75"/>
        <v>-91</v>
      </c>
      <c r="AI37" s="304">
        <f t="shared" si="75"/>
        <v>624.79999999999995</v>
      </c>
      <c r="AJ37" s="304">
        <f t="shared" si="75"/>
        <v>136.19999999999999</v>
      </c>
      <c r="AK37" s="304">
        <f t="shared" si="75"/>
        <v>306.11200000000002</v>
      </c>
      <c r="AL37" s="304">
        <f t="shared" si="75"/>
        <v>10.713999999999999</v>
      </c>
      <c r="AM37" s="304">
        <f t="shared" si="75"/>
        <v>-284.74200000000002</v>
      </c>
      <c r="AN37" s="304">
        <f t="shared" si="75"/>
        <v>2164.482</v>
      </c>
      <c r="AO37" s="304">
        <f t="shared" si="75"/>
        <v>-2889.3880000000004</v>
      </c>
      <c r="AP37" s="304">
        <f t="shared" si="75"/>
        <v>102.31</v>
      </c>
      <c r="AQ37" s="304">
        <f t="shared" si="75"/>
        <v>-297.38800000000003</v>
      </c>
      <c r="AR37" s="304">
        <f t="shared" si="75"/>
        <v>205.178</v>
      </c>
      <c r="AS37" s="268"/>
      <c r="AT37" s="268"/>
      <c r="BP37" s="394"/>
      <c r="BQ37" s="393"/>
      <c r="BS37" s="394"/>
      <c r="BT37" s="393"/>
    </row>
    <row r="38" spans="2:72">
      <c r="B38" s="303"/>
      <c r="C38" s="361"/>
      <c r="D38" s="303"/>
      <c r="E38" s="313" t="s">
        <v>537</v>
      </c>
      <c r="F38" s="388">
        <v>0</v>
      </c>
      <c r="G38" s="389">
        <v>0</v>
      </c>
      <c r="H38" s="389">
        <f>+C35</f>
        <v>100</v>
      </c>
      <c r="I38" s="389">
        <f>+H38+I37</f>
        <v>100</v>
      </c>
      <c r="J38" s="389">
        <f t="shared" ref="J38:K38" si="76">+I38+J37</f>
        <v>40</v>
      </c>
      <c r="K38" s="389">
        <f t="shared" si="76"/>
        <v>211.20000000000005</v>
      </c>
      <c r="L38" s="389">
        <f>+K38+L37</f>
        <v>463</v>
      </c>
      <c r="M38" s="389">
        <f t="shared" ref="M38:N38" si="77">+L38+M37</f>
        <v>646.79999999999995</v>
      </c>
      <c r="N38" s="389">
        <f t="shared" si="77"/>
        <v>899.2</v>
      </c>
      <c r="O38" s="389">
        <f t="shared" ref="O38" si="78">+N38+O37</f>
        <v>321.17599999999993</v>
      </c>
      <c r="P38" s="389">
        <f t="shared" ref="P38:Q38" si="79">+O38+P37</f>
        <v>202.78999999999996</v>
      </c>
      <c r="Q38" s="389">
        <f t="shared" si="79"/>
        <v>-169.91400000000021</v>
      </c>
      <c r="R38" s="389">
        <f t="shared" ref="R38:S38" si="80">+Q38+R37</f>
        <v>-266.55200000000036</v>
      </c>
      <c r="S38" s="389">
        <f t="shared" si="80"/>
        <v>-543.61000000000035</v>
      </c>
      <c r="T38" s="389">
        <f t="shared" ref="T38" si="81">+S38+T37</f>
        <v>-121.85600000000045</v>
      </c>
      <c r="U38" s="304">
        <f t="shared" ref="U38:V38" si="82">+T38+U37</f>
        <v>-406.23400000000061</v>
      </c>
      <c r="V38" s="304">
        <f t="shared" si="82"/>
        <v>-518.98200000000065</v>
      </c>
      <c r="W38" s="304">
        <f t="shared" ref="W38:X38" si="83">+V38+W37</f>
        <v>104.29799999999943</v>
      </c>
      <c r="X38" s="304">
        <f t="shared" si="83"/>
        <v>305.39399999999944</v>
      </c>
      <c r="Y38" s="304">
        <f t="shared" ref="Y38" si="84">+X38+Y37</f>
        <v>673.97199999999941</v>
      </c>
      <c r="Z38" s="304">
        <f t="shared" ref="Z38:AA38" si="85">+Y38+Z37</f>
        <v>562.06599999999935</v>
      </c>
      <c r="AA38" s="304">
        <f t="shared" si="85"/>
        <v>226.31999999999937</v>
      </c>
      <c r="AB38" s="304">
        <f t="shared" ref="AB38:AC38" si="86">+AA38+AB37</f>
        <v>2136.7779999999998</v>
      </c>
      <c r="AC38" s="304">
        <f t="shared" si="86"/>
        <v>-481.5920000000001</v>
      </c>
      <c r="AD38" s="304">
        <f t="shared" ref="AD38" si="87">+AC38+AD37</f>
        <v>-410.62200000000007</v>
      </c>
      <c r="AE38" s="304">
        <f t="shared" ref="AE38:AF38" si="88">+AD38+AE37</f>
        <v>-643.60600000000011</v>
      </c>
      <c r="AF38" s="304">
        <f t="shared" si="88"/>
        <v>-504.02800000000013</v>
      </c>
      <c r="AG38" s="304">
        <f t="shared" ref="AG38:AH38" si="89">+AF38+AG37</f>
        <v>-480.68800000000016</v>
      </c>
      <c r="AH38" s="304">
        <f t="shared" si="89"/>
        <v>-571.6880000000001</v>
      </c>
      <c r="AI38" s="304">
        <f t="shared" ref="AI38" si="90">+AH38+AI37</f>
        <v>53.111999999999853</v>
      </c>
      <c r="AJ38" s="304">
        <f t="shared" ref="AJ38:AK38" si="91">+AI38+AJ37</f>
        <v>189.31199999999984</v>
      </c>
      <c r="AK38" s="304">
        <f t="shared" si="91"/>
        <v>495.42399999999986</v>
      </c>
      <c r="AL38" s="304">
        <f t="shared" ref="AL38:AM38" si="92">+AK38+AL37</f>
        <v>506.13799999999986</v>
      </c>
      <c r="AM38" s="304">
        <f t="shared" si="92"/>
        <v>221.39599999999984</v>
      </c>
      <c r="AN38" s="304">
        <f t="shared" ref="AN38" si="93">+AM38+AN37</f>
        <v>2385.8779999999997</v>
      </c>
      <c r="AO38" s="304">
        <f t="shared" ref="AO38:AP38" si="94">+AN38+AO37</f>
        <v>-503.51000000000067</v>
      </c>
      <c r="AP38" s="304">
        <f t="shared" si="94"/>
        <v>-401.20000000000067</v>
      </c>
      <c r="AQ38" s="304">
        <f t="shared" ref="AQ38:AR38" si="95">+AP38+AQ37</f>
        <v>-698.58800000000065</v>
      </c>
      <c r="AR38" s="304">
        <f t="shared" si="95"/>
        <v>-493.41000000000065</v>
      </c>
      <c r="AS38" s="268"/>
      <c r="AT38" s="268"/>
      <c r="BP38" s="394"/>
      <c r="BQ38" s="393"/>
      <c r="BS38" s="394">
        <f>+IF(T38&lt;0,0,-T38)</f>
        <v>0</v>
      </c>
      <c r="BT38" s="393">
        <f>+IF(T38&gt;0,0,-T38)</f>
        <v>121.85600000000045</v>
      </c>
    </row>
    <row r="39" spans="2:72">
      <c r="B39" s="303"/>
      <c r="C39" s="361"/>
      <c r="D39" s="303"/>
      <c r="E39" s="303"/>
      <c r="F39" s="304"/>
      <c r="G39" s="304"/>
      <c r="H39" s="304"/>
      <c r="I39" s="304"/>
      <c r="J39" s="304"/>
      <c r="K39" s="304"/>
      <c r="L39" s="304"/>
      <c r="M39" s="304"/>
      <c r="N39" s="304"/>
      <c r="O39" s="304"/>
      <c r="P39" s="304"/>
      <c r="Q39" s="304"/>
      <c r="R39" s="304"/>
      <c r="S39" s="304"/>
      <c r="T39" s="304"/>
      <c r="U39" s="304"/>
      <c r="V39" s="304"/>
      <c r="W39" s="304"/>
      <c r="X39" s="304"/>
      <c r="Y39" s="304"/>
      <c r="Z39" s="304"/>
      <c r="AA39" s="304"/>
      <c r="AB39" s="304"/>
      <c r="AC39" s="304"/>
      <c r="AD39" s="304"/>
      <c r="AE39" s="304"/>
      <c r="AF39" s="304"/>
      <c r="AG39" s="304"/>
      <c r="AH39" s="304"/>
      <c r="AI39" s="304"/>
      <c r="AJ39" s="304"/>
      <c r="AK39" s="304"/>
      <c r="AL39" s="304"/>
      <c r="AM39" s="304"/>
      <c r="AN39" s="304"/>
      <c r="AO39" s="304"/>
      <c r="AP39" s="304"/>
      <c r="AQ39" s="304"/>
      <c r="AR39" s="304"/>
      <c r="AS39" s="268"/>
      <c r="AT39" s="268"/>
      <c r="BP39" s="394"/>
      <c r="BQ39" s="393"/>
      <c r="BS39" s="394">
        <f>IF(BP41&gt;0,BP41,0)</f>
        <v>0</v>
      </c>
      <c r="BT39" s="393">
        <f>IF(BQ41&gt;0,BQ41,0)</f>
        <v>1566.5299999999988</v>
      </c>
    </row>
    <row r="40" spans="2:72">
      <c r="B40" s="301"/>
      <c r="C40" s="301"/>
      <c r="D40" s="315"/>
      <c r="E40" s="315" t="s">
        <v>501</v>
      </c>
      <c r="F40" s="304">
        <f t="shared" ref="F40:AR40" si="96">F6+F7-F18-F19</f>
        <v>0</v>
      </c>
      <c r="G40" s="304">
        <f t="shared" si="96"/>
        <v>0</v>
      </c>
      <c r="H40" s="304">
        <f t="shared" si="96"/>
        <v>0</v>
      </c>
      <c r="I40" s="304">
        <f t="shared" si="96"/>
        <v>8.5600000000000591</v>
      </c>
      <c r="J40" s="304">
        <f t="shared" si="96"/>
        <v>12.589999999999918</v>
      </c>
      <c r="K40" s="304">
        <f t="shared" si="96"/>
        <v>9.1900000000000546</v>
      </c>
      <c r="L40" s="304">
        <f t="shared" si="96"/>
        <v>-232.61999999999989</v>
      </c>
      <c r="M40" s="304">
        <f t="shared" si="96"/>
        <v>-246.87</v>
      </c>
      <c r="N40" s="304">
        <f t="shared" si="96"/>
        <v>-243.78999999999996</v>
      </c>
      <c r="O40" s="304">
        <f t="shared" si="96"/>
        <v>-438.52</v>
      </c>
      <c r="P40" s="304">
        <f t="shared" si="96"/>
        <v>11.268000000000029</v>
      </c>
      <c r="Q40" s="304">
        <f t="shared" si="96"/>
        <v>-336.08400000000006</v>
      </c>
      <c r="R40" s="304">
        <f t="shared" si="96"/>
        <v>122.73000000000002</v>
      </c>
      <c r="S40" s="304">
        <f t="shared" si="96"/>
        <v>-3.5920000000000982</v>
      </c>
      <c r="T40" s="304">
        <f t="shared" si="96"/>
        <v>-99.141999999999939</v>
      </c>
      <c r="U40" s="304">
        <f t="shared" si="96"/>
        <v>452.70000000000005</v>
      </c>
      <c r="V40" s="304">
        <f t="shared" si="96"/>
        <v>173.84799999999996</v>
      </c>
      <c r="W40" s="304">
        <f t="shared" si="96"/>
        <v>243.99199999999996</v>
      </c>
      <c r="X40" s="304">
        <f t="shared" si="96"/>
        <v>-33.509999999999991</v>
      </c>
      <c r="Y40" s="304">
        <f t="shared" si="96"/>
        <v>-255.1</v>
      </c>
      <c r="Z40" s="304">
        <f t="shared" si="96"/>
        <v>-150.39999999999964</v>
      </c>
      <c r="AA40" s="304">
        <f t="shared" si="96"/>
        <v>-456.3</v>
      </c>
      <c r="AB40" s="304">
        <f t="shared" si="96"/>
        <v>1.9379999999999882</v>
      </c>
      <c r="AC40" s="304">
        <f t="shared" si="96"/>
        <v>-343.04399999999998</v>
      </c>
      <c r="AD40" s="304">
        <f t="shared" si="96"/>
        <v>106.10000000000002</v>
      </c>
      <c r="AE40" s="304">
        <f t="shared" si="96"/>
        <v>-13.47199999999998</v>
      </c>
      <c r="AF40" s="304">
        <f t="shared" si="96"/>
        <v>-103.55199999999999</v>
      </c>
      <c r="AG40" s="304">
        <f t="shared" si="96"/>
        <v>448.44000000000005</v>
      </c>
      <c r="AH40" s="304">
        <f t="shared" si="96"/>
        <v>166.44800000000001</v>
      </c>
      <c r="AI40" s="304">
        <f t="shared" si="96"/>
        <v>233.51200000000003</v>
      </c>
      <c r="AJ40" s="304">
        <f t="shared" si="96"/>
        <v>-37.839999999999975</v>
      </c>
      <c r="AK40" s="304">
        <f t="shared" si="96"/>
        <v>-257</v>
      </c>
      <c r="AL40" s="304">
        <f t="shared" si="96"/>
        <v>-257.55999999999949</v>
      </c>
      <c r="AM40" s="304">
        <f t="shared" si="96"/>
        <v>-341</v>
      </c>
      <c r="AN40" s="304">
        <f t="shared" si="96"/>
        <v>0.84800000000001319</v>
      </c>
      <c r="AO40" s="304">
        <f t="shared" si="96"/>
        <v>-347.34399999999999</v>
      </c>
      <c r="AP40" s="304">
        <f t="shared" si="96"/>
        <v>105.08000000000004</v>
      </c>
      <c r="AQ40" s="304">
        <f t="shared" si="96"/>
        <v>-13.47199999999998</v>
      </c>
      <c r="AR40" s="304">
        <f t="shared" si="96"/>
        <v>-103.55199999999999</v>
      </c>
      <c r="AS40" s="268"/>
      <c r="AT40" s="268"/>
      <c r="BP40" s="306">
        <f>SUM(BP6:BP39)</f>
        <v>17594.72</v>
      </c>
      <c r="BQ40" s="309">
        <f>SUM(BQ6:BQ39)</f>
        <v>19161.25</v>
      </c>
      <c r="BS40" s="306">
        <f>SUM(BS6:BS39)</f>
        <v>20833.222000000002</v>
      </c>
      <c r="BT40" s="309">
        <f>SUM(BT6:BT39)</f>
        <v>21649.842000000001</v>
      </c>
    </row>
    <row r="41" spans="2:72">
      <c r="B41" s="315"/>
      <c r="C41" s="360">
        <v>0</v>
      </c>
      <c r="D41" s="315"/>
      <c r="E41" s="315" t="s">
        <v>499</v>
      </c>
      <c r="F41" s="304">
        <f>C41+F40</f>
        <v>0</v>
      </c>
      <c r="G41" s="304">
        <f t="shared" ref="G41:AT41" si="97">F41+G40</f>
        <v>0</v>
      </c>
      <c r="H41" s="304">
        <f t="shared" si="97"/>
        <v>0</v>
      </c>
      <c r="I41" s="304">
        <f t="shared" si="97"/>
        <v>8.5600000000000591</v>
      </c>
      <c r="J41" s="304">
        <f t="shared" si="97"/>
        <v>21.149999999999977</v>
      </c>
      <c r="K41" s="304">
        <f t="shared" si="97"/>
        <v>30.340000000000032</v>
      </c>
      <c r="L41" s="304">
        <f t="shared" si="97"/>
        <v>-202.27999999999986</v>
      </c>
      <c r="M41" s="304">
        <f t="shared" si="97"/>
        <v>-449.14999999999986</v>
      </c>
      <c r="N41" s="304">
        <f t="shared" si="97"/>
        <v>-692.93999999999983</v>
      </c>
      <c r="O41" s="304">
        <f t="shared" si="97"/>
        <v>-1131.4599999999998</v>
      </c>
      <c r="P41" s="304">
        <f t="shared" si="97"/>
        <v>-1120.1919999999998</v>
      </c>
      <c r="Q41" s="304">
        <f t="shared" si="97"/>
        <v>-1456.2759999999998</v>
      </c>
      <c r="R41" s="304">
        <f t="shared" si="97"/>
        <v>-1333.5459999999998</v>
      </c>
      <c r="S41" s="304">
        <f t="shared" si="97"/>
        <v>-1337.1379999999999</v>
      </c>
      <c r="T41" s="304">
        <f t="shared" si="97"/>
        <v>-1436.2799999999997</v>
      </c>
      <c r="U41" s="304">
        <f t="shared" si="97"/>
        <v>-983.5799999999997</v>
      </c>
      <c r="V41" s="304">
        <f t="shared" si="97"/>
        <v>-809.73199999999974</v>
      </c>
      <c r="W41" s="304">
        <f t="shared" si="97"/>
        <v>-565.73999999999978</v>
      </c>
      <c r="X41" s="304">
        <f t="shared" si="97"/>
        <v>-599.24999999999977</v>
      </c>
      <c r="Y41" s="304">
        <f t="shared" si="97"/>
        <v>-854.3499999999998</v>
      </c>
      <c r="Z41" s="304">
        <f t="shared" si="97"/>
        <v>-1004.7499999999994</v>
      </c>
      <c r="AA41" s="304">
        <f t="shared" si="97"/>
        <v>-1461.0499999999995</v>
      </c>
      <c r="AB41" s="304">
        <f t="shared" si="97"/>
        <v>-1459.1119999999996</v>
      </c>
      <c r="AC41" s="304">
        <f t="shared" si="97"/>
        <v>-1802.1559999999995</v>
      </c>
      <c r="AD41" s="304">
        <f t="shared" si="97"/>
        <v>-1696.0559999999996</v>
      </c>
      <c r="AE41" s="304">
        <f t="shared" si="97"/>
        <v>-1709.5279999999996</v>
      </c>
      <c r="AF41" s="304">
        <f t="shared" si="97"/>
        <v>-1813.0799999999995</v>
      </c>
      <c r="AG41" s="304">
        <f t="shared" si="97"/>
        <v>-1364.6399999999994</v>
      </c>
      <c r="AH41" s="304">
        <f t="shared" si="97"/>
        <v>-1198.1919999999993</v>
      </c>
      <c r="AI41" s="304">
        <f t="shared" si="97"/>
        <v>-964.67999999999927</v>
      </c>
      <c r="AJ41" s="304">
        <f t="shared" si="97"/>
        <v>-1002.5199999999993</v>
      </c>
      <c r="AK41" s="304">
        <f t="shared" si="97"/>
        <v>-1259.5199999999993</v>
      </c>
      <c r="AL41" s="304">
        <f t="shared" si="97"/>
        <v>-1517.0799999999988</v>
      </c>
      <c r="AM41" s="304">
        <f t="shared" si="97"/>
        <v>-1858.0799999999988</v>
      </c>
      <c r="AN41" s="304">
        <f t="shared" si="97"/>
        <v>-1857.2319999999988</v>
      </c>
      <c r="AO41" s="304">
        <f t="shared" si="97"/>
        <v>-2204.5759999999987</v>
      </c>
      <c r="AP41" s="304">
        <f t="shared" si="97"/>
        <v>-2099.4959999999987</v>
      </c>
      <c r="AQ41" s="304">
        <f t="shared" si="97"/>
        <v>-2112.9679999999989</v>
      </c>
      <c r="AR41" s="304">
        <f t="shared" si="97"/>
        <v>-2216.5199999999991</v>
      </c>
      <c r="AS41" s="268">
        <f t="shared" si="97"/>
        <v>-2216.5199999999991</v>
      </c>
      <c r="AT41" s="268">
        <f t="shared" si="97"/>
        <v>-2216.5199999999991</v>
      </c>
      <c r="BP41" s="306">
        <f>BP40-BQ40</f>
        <v>-1566.5299999999988</v>
      </c>
      <c r="BQ41" s="309">
        <f>BQ40-BP40</f>
        <v>1566.5299999999988</v>
      </c>
      <c r="BS41" s="306">
        <f>BS40-BT40</f>
        <v>-816.61999999999898</v>
      </c>
      <c r="BT41" s="309">
        <f>BT40-BS40</f>
        <v>816.61999999999898</v>
      </c>
    </row>
    <row r="42" spans="2:72">
      <c r="B42" s="315"/>
      <c r="C42" s="360">
        <v>0</v>
      </c>
      <c r="D42" s="315"/>
      <c r="E42" s="315" t="s">
        <v>504</v>
      </c>
      <c r="F42" s="304">
        <f xml:space="preserve"> C42 + F19 -  F7/(1+MarkUp)</f>
        <v>0</v>
      </c>
      <c r="G42" s="304">
        <f t="shared" ref="G42:AT42" si="98" xml:space="preserve"> F42 + G19 -  G7/(1+MarkUp)</f>
        <v>0</v>
      </c>
      <c r="H42" s="304">
        <f t="shared" si="98"/>
        <v>0</v>
      </c>
      <c r="I42" s="304">
        <f t="shared" si="98"/>
        <v>0</v>
      </c>
      <c r="J42" s="304">
        <f t="shared" si="98"/>
        <v>0</v>
      </c>
      <c r="K42" s="304">
        <f t="shared" si="98"/>
        <v>0</v>
      </c>
      <c r="L42" s="304">
        <f t="shared" si="98"/>
        <v>256</v>
      </c>
      <c r="M42" s="304">
        <f t="shared" si="98"/>
        <v>513</v>
      </c>
      <c r="N42" s="304">
        <f t="shared" si="98"/>
        <v>780</v>
      </c>
      <c r="O42" s="304">
        <f t="shared" si="98"/>
        <v>1239</v>
      </c>
      <c r="P42" s="304">
        <f t="shared" si="98"/>
        <v>1240.2</v>
      </c>
      <c r="Q42" s="304">
        <f t="shared" si="98"/>
        <v>1589.6000000000001</v>
      </c>
      <c r="R42" s="304">
        <f t="shared" si="98"/>
        <v>1487.6000000000001</v>
      </c>
      <c r="S42" s="304">
        <f t="shared" si="98"/>
        <v>1503.8000000000002</v>
      </c>
      <c r="T42" s="304">
        <f t="shared" si="98"/>
        <v>1609.0000000000002</v>
      </c>
      <c r="U42" s="304">
        <f t="shared" si="98"/>
        <v>1165.0000000000002</v>
      </c>
      <c r="V42" s="304">
        <f t="shared" si="98"/>
        <v>1000.2000000000003</v>
      </c>
      <c r="W42" s="304">
        <f t="shared" si="98"/>
        <v>769.00000000000023</v>
      </c>
      <c r="X42" s="304">
        <f t="shared" si="98"/>
        <v>809.00000000000023</v>
      </c>
      <c r="Y42" s="304">
        <f t="shared" si="98"/>
        <v>1066.0000000000002</v>
      </c>
      <c r="Z42" s="304">
        <f t="shared" si="98"/>
        <v>1333.0000000000002</v>
      </c>
      <c r="AA42" s="304">
        <f t="shared" si="98"/>
        <v>1792.0000000000002</v>
      </c>
      <c r="AB42" s="304">
        <f t="shared" si="98"/>
        <v>1793.2000000000003</v>
      </c>
      <c r="AC42" s="304">
        <f t="shared" si="98"/>
        <v>2142.6000000000004</v>
      </c>
      <c r="AD42" s="304">
        <f t="shared" si="98"/>
        <v>2040.6000000000004</v>
      </c>
      <c r="AE42" s="304">
        <f t="shared" si="98"/>
        <v>2056.8000000000002</v>
      </c>
      <c r="AF42" s="304">
        <f t="shared" si="98"/>
        <v>2162</v>
      </c>
      <c r="AG42" s="304">
        <f t="shared" si="98"/>
        <v>1718</v>
      </c>
      <c r="AH42" s="304">
        <f t="shared" si="98"/>
        <v>1553.2</v>
      </c>
      <c r="AI42" s="304">
        <f t="shared" si="98"/>
        <v>1322</v>
      </c>
      <c r="AJ42" s="304">
        <f t="shared" si="98"/>
        <v>1362</v>
      </c>
      <c r="AK42" s="304">
        <f t="shared" si="98"/>
        <v>1619</v>
      </c>
      <c r="AL42" s="304">
        <f t="shared" si="98"/>
        <v>2004</v>
      </c>
      <c r="AM42" s="304">
        <f t="shared" si="98"/>
        <v>2345</v>
      </c>
      <c r="AN42" s="304">
        <f t="shared" si="98"/>
        <v>2346.1999999999998</v>
      </c>
      <c r="AO42" s="304">
        <f t="shared" si="98"/>
        <v>2695.6</v>
      </c>
      <c r="AP42" s="304">
        <f t="shared" si="98"/>
        <v>2593.6</v>
      </c>
      <c r="AQ42" s="304">
        <f t="shared" si="98"/>
        <v>2609.7999999999997</v>
      </c>
      <c r="AR42" s="304">
        <f t="shared" si="98"/>
        <v>2714.9999999999995</v>
      </c>
      <c r="AS42" s="304">
        <f t="shared" si="98"/>
        <v>2270.9999999999995</v>
      </c>
      <c r="AT42" s="304">
        <f t="shared" si="98"/>
        <v>2270.9999999999995</v>
      </c>
      <c r="BP42" s="392"/>
      <c r="BQ42" s="392"/>
    </row>
    <row r="43" spans="2:72">
      <c r="F43" s="268"/>
      <c r="G43" s="268"/>
      <c r="H43" s="268"/>
      <c r="I43" s="268"/>
      <c r="J43" s="268"/>
      <c r="K43" s="268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  <c r="AA43" s="268"/>
      <c r="AB43" s="268"/>
      <c r="AC43" s="268"/>
      <c r="AD43" s="268"/>
      <c r="AE43" s="268"/>
      <c r="AF43" s="268"/>
      <c r="AG43" s="268"/>
      <c r="AH43" s="268"/>
      <c r="AI43" s="268"/>
      <c r="AJ43" s="268"/>
      <c r="AK43" s="268"/>
      <c r="AL43" s="268"/>
      <c r="AM43" s="268"/>
      <c r="AN43" s="268"/>
      <c r="AO43" s="268"/>
      <c r="AP43" s="268"/>
      <c r="AQ43" s="268"/>
      <c r="AR43" s="268"/>
      <c r="AS43" s="268"/>
      <c r="AT43" s="268"/>
    </row>
    <row r="44" spans="2:72">
      <c r="F44" s="268"/>
      <c r="G44" s="268"/>
      <c r="H44" s="268"/>
      <c r="I44" s="268"/>
      <c r="J44" s="268"/>
      <c r="K44" s="268"/>
      <c r="L44" s="268"/>
      <c r="M44" s="268"/>
      <c r="N44" s="268"/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  <c r="AA44" s="268"/>
      <c r="AB44" s="268"/>
      <c r="AC44" s="268"/>
      <c r="AD44" s="268"/>
      <c r="AE44" s="268"/>
      <c r="AF44" s="268"/>
      <c r="AG44" s="268"/>
      <c r="AH44" s="268"/>
      <c r="AI44" s="268"/>
      <c r="AJ44" s="268"/>
      <c r="AK44" s="268"/>
      <c r="AL44" s="268"/>
      <c r="AM44" s="268"/>
      <c r="AN44" s="268"/>
      <c r="AO44" s="268"/>
      <c r="AP44" s="268"/>
      <c r="AQ44" s="268"/>
      <c r="AR44" s="268"/>
      <c r="AS44" s="268"/>
      <c r="AT44" s="268"/>
    </row>
    <row r="45" spans="2:72">
      <c r="F45" s="268"/>
      <c r="G45" s="268"/>
      <c r="H45" s="268"/>
      <c r="I45" s="268"/>
      <c r="J45" s="268"/>
      <c r="K45" s="268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  <c r="AA45" s="268"/>
      <c r="AB45" s="268"/>
      <c r="AC45" s="268"/>
      <c r="AD45" s="268"/>
      <c r="AE45" s="268"/>
      <c r="AF45" s="268"/>
      <c r="AG45" s="268"/>
      <c r="AH45" s="268"/>
      <c r="AI45" s="268"/>
      <c r="AJ45" s="268"/>
      <c r="AK45" s="268"/>
      <c r="AL45" s="268"/>
      <c r="AM45" s="268"/>
      <c r="AN45" s="268"/>
      <c r="AO45" s="268"/>
      <c r="AP45" s="268"/>
      <c r="AQ45" s="268"/>
      <c r="AR45" s="268"/>
      <c r="AS45" s="268"/>
      <c r="AT45" s="268"/>
    </row>
    <row r="46" spans="2:72">
      <c r="F46" s="268"/>
      <c r="G46" s="268"/>
      <c r="H46" s="268"/>
      <c r="I46" s="268"/>
      <c r="J46" s="268"/>
      <c r="K46" s="268"/>
      <c r="L46" s="268"/>
      <c r="M46" s="268"/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  <c r="AA46" s="268"/>
      <c r="AB46" s="268"/>
      <c r="AC46" s="268"/>
      <c r="AD46" s="268"/>
      <c r="AE46" s="268"/>
      <c r="AF46" s="268"/>
      <c r="AG46" s="268"/>
      <c r="AH46" s="268"/>
      <c r="AI46" s="268"/>
      <c r="AJ46" s="268"/>
      <c r="AK46" s="268"/>
      <c r="AL46" s="268"/>
      <c r="AM46" s="268"/>
      <c r="AN46" s="268"/>
      <c r="AO46" s="268"/>
      <c r="AP46" s="268"/>
      <c r="AQ46" s="268"/>
      <c r="AR46" s="268"/>
      <c r="AS46" s="268"/>
      <c r="AT46" s="268"/>
    </row>
    <row r="47" spans="2:72">
      <c r="F47" s="268"/>
      <c r="G47" s="268"/>
      <c r="H47" s="268"/>
      <c r="I47" s="268"/>
      <c r="J47" s="268"/>
      <c r="K47" s="268"/>
      <c r="L47" s="268"/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  <c r="AA47" s="268"/>
      <c r="AB47" s="268"/>
      <c r="AC47" s="268"/>
      <c r="AD47" s="268"/>
      <c r="AE47" s="268"/>
      <c r="AF47" s="268"/>
      <c r="AG47" s="268"/>
      <c r="AH47" s="268"/>
      <c r="AI47" s="268"/>
      <c r="AJ47" s="268"/>
      <c r="AK47" s="268"/>
      <c r="AL47" s="268"/>
      <c r="AM47" s="268"/>
      <c r="AN47" s="268"/>
      <c r="AO47" s="268"/>
      <c r="AP47" s="268"/>
      <c r="AQ47" s="268"/>
      <c r="AR47" s="268"/>
      <c r="AS47" s="268"/>
      <c r="AT47" s="268"/>
    </row>
    <row r="48" spans="2:72">
      <c r="F48" s="268"/>
      <c r="G48" s="268"/>
      <c r="H48" s="268"/>
      <c r="I48" s="268"/>
      <c r="J48" s="268"/>
      <c r="K48" s="268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  <c r="AA48" s="268"/>
      <c r="AB48" s="268"/>
      <c r="AC48" s="268"/>
      <c r="AD48" s="268"/>
      <c r="AE48" s="268"/>
      <c r="AF48" s="268"/>
      <c r="AG48" s="268"/>
      <c r="AH48" s="268"/>
      <c r="AI48" s="268"/>
      <c r="AJ48" s="268"/>
      <c r="AK48" s="268"/>
      <c r="AL48" s="268"/>
      <c r="AM48" s="268"/>
      <c r="AN48" s="268"/>
      <c r="AO48" s="268"/>
      <c r="AP48" s="268"/>
      <c r="AQ48" s="268"/>
      <c r="AR48" s="268"/>
      <c r="AS48" s="268"/>
      <c r="AT48" s="268"/>
    </row>
    <row r="49" spans="6:46">
      <c r="F49" s="268"/>
      <c r="G49" s="268"/>
      <c r="H49" s="268"/>
      <c r="I49" s="268"/>
      <c r="J49" s="268"/>
      <c r="K49" s="268"/>
      <c r="L49" s="268"/>
      <c r="M49" s="268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  <c r="AA49" s="268"/>
      <c r="AB49" s="268"/>
      <c r="AC49" s="268"/>
      <c r="AD49" s="268"/>
      <c r="AE49" s="268"/>
      <c r="AF49" s="268"/>
      <c r="AG49" s="268"/>
      <c r="AH49" s="268"/>
      <c r="AI49" s="268"/>
      <c r="AJ49" s="268"/>
      <c r="AK49" s="268"/>
      <c r="AL49" s="268"/>
      <c r="AM49" s="268"/>
      <c r="AN49" s="268"/>
      <c r="AO49" s="268"/>
      <c r="AP49" s="268"/>
      <c r="AQ49" s="268"/>
      <c r="AR49" s="268"/>
      <c r="AS49" s="268"/>
      <c r="AT49" s="268"/>
    </row>
    <row r="50" spans="6:46"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  <c r="AA50" s="268"/>
      <c r="AB50" s="268"/>
      <c r="AC50" s="268"/>
      <c r="AD50" s="268"/>
      <c r="AE50" s="268"/>
      <c r="AF50" s="268"/>
      <c r="AG50" s="268"/>
      <c r="AH50" s="268"/>
      <c r="AI50" s="268"/>
      <c r="AJ50" s="268"/>
      <c r="AK50" s="268"/>
      <c r="AL50" s="268"/>
      <c r="AM50" s="268"/>
      <c r="AN50" s="268"/>
      <c r="AO50" s="268"/>
      <c r="AP50" s="268"/>
      <c r="AQ50" s="268"/>
      <c r="AR50" s="268"/>
      <c r="AS50" s="268"/>
      <c r="AT50" s="268"/>
    </row>
    <row r="51" spans="6:46"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  <c r="AB51" s="268"/>
      <c r="AC51" s="268"/>
      <c r="AD51" s="268"/>
      <c r="AE51" s="268"/>
      <c r="AF51" s="268"/>
      <c r="AG51" s="268"/>
      <c r="AH51" s="268"/>
      <c r="AI51" s="268"/>
      <c r="AJ51" s="268"/>
      <c r="AK51" s="268"/>
      <c r="AL51" s="268"/>
      <c r="AM51" s="268"/>
      <c r="AN51" s="268"/>
      <c r="AO51" s="268"/>
      <c r="AP51" s="268"/>
      <c r="AQ51" s="268"/>
      <c r="AR51" s="268"/>
      <c r="AS51" s="268"/>
      <c r="AT51" s="268"/>
    </row>
    <row r="52" spans="6:46"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  <c r="AA52" s="268"/>
      <c r="AB52" s="268"/>
      <c r="AC52" s="268"/>
      <c r="AD52" s="268"/>
      <c r="AE52" s="268"/>
      <c r="AF52" s="268"/>
      <c r="AG52" s="268"/>
      <c r="AH52" s="268"/>
      <c r="AI52" s="268"/>
      <c r="AJ52" s="268"/>
      <c r="AK52" s="268"/>
      <c r="AL52" s="268"/>
      <c r="AM52" s="268"/>
      <c r="AN52" s="268"/>
      <c r="AO52" s="268"/>
      <c r="AP52" s="268"/>
      <c r="AQ52" s="268"/>
      <c r="AR52" s="268"/>
      <c r="AS52" s="268"/>
      <c r="AT52" s="268"/>
    </row>
    <row r="53" spans="6:46"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  <c r="AA53" s="268"/>
      <c r="AB53" s="268"/>
      <c r="AC53" s="268"/>
      <c r="AD53" s="268"/>
      <c r="AE53" s="268"/>
      <c r="AF53" s="268"/>
      <c r="AG53" s="268"/>
      <c r="AH53" s="268"/>
      <c r="AI53" s="268"/>
      <c r="AJ53" s="268"/>
      <c r="AK53" s="268"/>
      <c r="AL53" s="268"/>
      <c r="AM53" s="268"/>
      <c r="AN53" s="268"/>
      <c r="AO53" s="268"/>
      <c r="AP53" s="268"/>
      <c r="AQ53" s="268"/>
      <c r="AR53" s="268"/>
      <c r="AS53" s="268"/>
      <c r="AT53" s="268"/>
    </row>
    <row r="54" spans="6:46"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  <c r="AA54" s="268"/>
      <c r="AB54" s="268"/>
      <c r="AC54" s="268"/>
      <c r="AD54" s="268"/>
      <c r="AE54" s="268"/>
      <c r="AF54" s="268"/>
      <c r="AG54" s="268"/>
      <c r="AH54" s="268"/>
      <c r="AI54" s="268"/>
      <c r="AJ54" s="268"/>
      <c r="AK54" s="268"/>
      <c r="AL54" s="268"/>
      <c r="AM54" s="268"/>
      <c r="AN54" s="268"/>
      <c r="AO54" s="268"/>
      <c r="AP54" s="268"/>
      <c r="AQ54" s="268"/>
      <c r="AR54" s="268"/>
      <c r="AS54" s="268"/>
      <c r="AT54" s="268"/>
    </row>
    <row r="55" spans="6:46"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  <c r="AA55" s="268"/>
      <c r="AB55" s="268"/>
      <c r="AC55" s="268"/>
      <c r="AD55" s="268"/>
      <c r="AE55" s="268"/>
      <c r="AF55" s="268"/>
      <c r="AG55" s="268"/>
      <c r="AH55" s="268"/>
      <c r="AI55" s="268"/>
      <c r="AJ55" s="268"/>
      <c r="AK55" s="268"/>
      <c r="AL55" s="268"/>
      <c r="AM55" s="268"/>
      <c r="AN55" s="268"/>
      <c r="AO55" s="268"/>
      <c r="AP55" s="268"/>
      <c r="AQ55" s="268"/>
      <c r="AR55" s="268"/>
      <c r="AS55" s="268"/>
      <c r="AT55" s="268"/>
    </row>
    <row r="56" spans="6:46"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  <c r="AA56" s="268"/>
      <c r="AB56" s="268"/>
      <c r="AC56" s="268"/>
      <c r="AD56" s="268"/>
      <c r="AE56" s="268"/>
      <c r="AF56" s="268"/>
      <c r="AG56" s="268"/>
      <c r="AH56" s="268"/>
      <c r="AI56" s="268"/>
      <c r="AJ56" s="268"/>
      <c r="AK56" s="268"/>
      <c r="AL56" s="268"/>
      <c r="AM56" s="268"/>
      <c r="AN56" s="268"/>
      <c r="AO56" s="268"/>
      <c r="AP56" s="268"/>
      <c r="AQ56" s="268"/>
      <c r="AR56" s="268"/>
      <c r="AS56" s="268"/>
      <c r="AT56" s="268"/>
    </row>
    <row r="57" spans="6:46"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  <c r="AA57" s="268"/>
      <c r="AB57" s="268"/>
      <c r="AC57" s="268"/>
      <c r="AD57" s="268"/>
      <c r="AE57" s="268"/>
      <c r="AF57" s="268"/>
      <c r="AG57" s="268"/>
      <c r="AH57" s="268"/>
      <c r="AI57" s="268"/>
      <c r="AJ57" s="268"/>
      <c r="AK57" s="268"/>
      <c r="AL57" s="268"/>
      <c r="AM57" s="268"/>
      <c r="AN57" s="268"/>
      <c r="AO57" s="268"/>
      <c r="AP57" s="268"/>
      <c r="AQ57" s="268"/>
      <c r="AR57" s="268"/>
      <c r="AS57" s="268"/>
      <c r="AT57" s="268"/>
    </row>
    <row r="58" spans="6:46"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  <c r="AA58" s="268"/>
      <c r="AB58" s="268"/>
      <c r="AC58" s="268"/>
      <c r="AD58" s="268"/>
      <c r="AE58" s="268"/>
      <c r="AF58" s="268"/>
      <c r="AG58" s="268"/>
      <c r="AH58" s="268"/>
      <c r="AI58" s="268"/>
      <c r="AJ58" s="268"/>
      <c r="AK58" s="268"/>
      <c r="AL58" s="268"/>
      <c r="AM58" s="268"/>
      <c r="AN58" s="268"/>
      <c r="AO58" s="268"/>
      <c r="AP58" s="268"/>
      <c r="AQ58" s="268"/>
      <c r="AR58" s="268"/>
      <c r="AS58" s="268"/>
      <c r="AT58" s="268"/>
    </row>
  </sheetData>
  <mergeCells count="33">
    <mergeCell ref="F21:H21"/>
    <mergeCell ref="I21:K21"/>
    <mergeCell ref="L21:N21"/>
    <mergeCell ref="O21:Q21"/>
    <mergeCell ref="R21:T21"/>
    <mergeCell ref="AG10:AR10"/>
    <mergeCell ref="F9:H9"/>
    <mergeCell ref="I9:K9"/>
    <mergeCell ref="L9:N9"/>
    <mergeCell ref="O9:Q9"/>
    <mergeCell ref="R9:T9"/>
    <mergeCell ref="I22:T22"/>
    <mergeCell ref="I10:T10"/>
    <mergeCell ref="U21:W21"/>
    <mergeCell ref="X21:Z21"/>
    <mergeCell ref="AA21:AC21"/>
    <mergeCell ref="U10:AF10"/>
    <mergeCell ref="AS21:AU21"/>
    <mergeCell ref="U22:AF22"/>
    <mergeCell ref="AG22:AR22"/>
    <mergeCell ref="U9:W9"/>
    <mergeCell ref="X9:Z9"/>
    <mergeCell ref="AA9:AC9"/>
    <mergeCell ref="AD9:AF9"/>
    <mergeCell ref="AG9:AI9"/>
    <mergeCell ref="AJ9:AL9"/>
    <mergeCell ref="AM9:AO9"/>
    <mergeCell ref="AP9:AR9"/>
    <mergeCell ref="AD21:AF21"/>
    <mergeCell ref="AG21:AI21"/>
    <mergeCell ref="AJ21:AL21"/>
    <mergeCell ref="AM21:AO21"/>
    <mergeCell ref="AP21:AR21"/>
  </mergeCells>
  <pageMargins left="0.25" right="0.25" top="0.75" bottom="0.75" header="0.3" footer="0.3"/>
  <pageSetup paperSize="9" scale="67" orientation="landscape" horizontalDpi="300" verticalDpi="300" r:id="rId1"/>
  <headerFooter>
    <oddHeader>&amp;C&amp;F / &amp;A</oddHeader>
    <oddFooter>&amp;L&amp;"-,Gras" Confidentiel ESM TP&amp;C&amp;D&amp;RPage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[2]Données!#REF!</xm:f>
          </x14:formula1>
          <xm:sqref>A1:A3 A6:A23 A26:A1048576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>
      <selection activeCell="B1" sqref="B1"/>
    </sheetView>
  </sheetViews>
  <sheetFormatPr baseColWidth="10" defaultColWidth="9.109375" defaultRowHeight="14.4"/>
  <cols>
    <col min="1" max="1" width="20.77734375" style="1" customWidth="1"/>
    <col min="2" max="2" width="20.6640625" style="1" customWidth="1"/>
    <col min="3" max="5" width="14.6640625" style="2" customWidth="1"/>
    <col min="6" max="6" width="16.33203125" style="2" customWidth="1"/>
    <col min="7" max="9" width="14.6640625" style="2" customWidth="1"/>
    <col min="10" max="16384" width="9.109375" style="2"/>
  </cols>
  <sheetData>
    <row r="1" spans="1:9" ht="21">
      <c r="A1" s="12" t="s">
        <v>10</v>
      </c>
      <c r="B1" s="12" t="s">
        <v>12</v>
      </c>
    </row>
    <row r="2" spans="1:9" ht="21">
      <c r="A2" s="12" t="s">
        <v>11</v>
      </c>
      <c r="B2" s="13">
        <v>42906</v>
      </c>
    </row>
    <row r="3" spans="1:9" s="26" customFormat="1" ht="24" thickBot="1">
      <c r="A3" s="25" t="s">
        <v>28</v>
      </c>
      <c r="B3" s="14" t="s">
        <v>15</v>
      </c>
      <c r="D3" s="27"/>
      <c r="E3" s="27"/>
      <c r="F3" s="27"/>
    </row>
    <row r="4" spans="1:9" ht="23.4">
      <c r="A4" s="15"/>
      <c r="B4" s="16" t="s">
        <v>16</v>
      </c>
      <c r="C4" s="17"/>
      <c r="D4" s="440" t="s">
        <v>56</v>
      </c>
      <c r="E4" s="441"/>
      <c r="F4" s="441"/>
      <c r="G4" s="441"/>
      <c r="H4" s="441"/>
      <c r="I4" s="442"/>
    </row>
    <row r="5" spans="1:9" ht="23.4">
      <c r="A5" s="15"/>
      <c r="B5" s="18"/>
      <c r="C5" s="19"/>
      <c r="D5" s="443" t="s">
        <v>57</v>
      </c>
      <c r="E5" s="443"/>
      <c r="F5" s="443"/>
      <c r="G5" s="443"/>
      <c r="H5" s="443"/>
      <c r="I5" s="444"/>
    </row>
    <row r="6" spans="1:9" ht="24" thickBot="1">
      <c r="A6" s="15"/>
      <c r="B6" s="20"/>
      <c r="C6" s="21"/>
      <c r="D6" s="445" t="s">
        <v>58</v>
      </c>
      <c r="E6" s="445"/>
      <c r="F6" s="445"/>
      <c r="G6" s="445"/>
      <c r="H6" s="445"/>
      <c r="I6" s="446"/>
    </row>
    <row r="7" spans="1:9" ht="23.4">
      <c r="A7" s="15"/>
      <c r="B7" s="22" t="s">
        <v>17</v>
      </c>
      <c r="C7" s="23"/>
      <c r="D7" s="24"/>
      <c r="E7" s="24"/>
      <c r="F7" s="24"/>
      <c r="G7" s="23"/>
      <c r="H7" s="23"/>
      <c r="I7" s="23"/>
    </row>
    <row r="8" spans="1:9" ht="24" thickBot="1">
      <c r="A8" s="15"/>
      <c r="B8" s="28"/>
      <c r="H8" s="2" t="s">
        <v>14</v>
      </c>
    </row>
    <row r="9" spans="1:9">
      <c r="C9" s="33">
        <v>2014</v>
      </c>
      <c r="D9" s="29">
        <v>2015</v>
      </c>
      <c r="E9" s="29">
        <v>2016</v>
      </c>
      <c r="F9" s="29">
        <v>2017</v>
      </c>
      <c r="G9" s="29">
        <v>2018</v>
      </c>
      <c r="H9" s="29">
        <v>2019</v>
      </c>
      <c r="I9" s="30">
        <v>2020</v>
      </c>
    </row>
    <row r="10" spans="1:9" s="1" customFormat="1" ht="21.6" thickBot="1">
      <c r="A10" s="46" t="s">
        <v>18</v>
      </c>
      <c r="C10" s="34"/>
      <c r="D10" s="31"/>
      <c r="E10" s="31"/>
      <c r="F10" s="31"/>
      <c r="G10" s="31"/>
      <c r="H10" s="31"/>
      <c r="I10" s="32"/>
    </row>
    <row r="11" spans="1:9">
      <c r="A11" s="448" t="s">
        <v>0</v>
      </c>
      <c r="B11" s="4" t="s">
        <v>2</v>
      </c>
      <c r="C11" s="35">
        <v>261</v>
      </c>
      <c r="D11" s="35">
        <v>292</v>
      </c>
      <c r="E11" s="35">
        <v>313</v>
      </c>
      <c r="F11" s="39">
        <v>335</v>
      </c>
      <c r="G11" s="39">
        <f>345 + 60</f>
        <v>405</v>
      </c>
      <c r="H11" s="39">
        <f>400 + 62</f>
        <v>462</v>
      </c>
      <c r="I11" s="40">
        <f xml:space="preserve"> 430 + 62</f>
        <v>492</v>
      </c>
    </row>
    <row r="12" spans="1:9">
      <c r="A12" s="449"/>
      <c r="B12" s="3" t="s">
        <v>1</v>
      </c>
      <c r="C12" s="36">
        <v>160</v>
      </c>
      <c r="D12" s="36">
        <v>126</v>
      </c>
      <c r="E12" s="36">
        <v>180</v>
      </c>
      <c r="F12" s="41">
        <v>185</v>
      </c>
      <c r="G12" s="41">
        <f xml:space="preserve"> 190 + 30</f>
        <v>220</v>
      </c>
      <c r="H12" s="41">
        <f xml:space="preserve"> 190 + 32</f>
        <v>222</v>
      </c>
      <c r="I12" s="42">
        <f xml:space="preserve"> 200 + 33</f>
        <v>233</v>
      </c>
    </row>
    <row r="13" spans="1:9">
      <c r="A13" s="449"/>
      <c r="B13" s="3" t="s">
        <v>3</v>
      </c>
      <c r="C13" s="36">
        <v>109</v>
      </c>
      <c r="D13" s="36">
        <v>78</v>
      </c>
      <c r="E13" s="36">
        <v>113</v>
      </c>
      <c r="F13" s="41">
        <v>115</v>
      </c>
      <c r="G13" s="41">
        <f xml:space="preserve"> 120 + 10</f>
        <v>130</v>
      </c>
      <c r="H13" s="41">
        <f xml:space="preserve"> 120 + 11</f>
        <v>131</v>
      </c>
      <c r="I13" s="42">
        <f xml:space="preserve"> 130 +13</f>
        <v>143</v>
      </c>
    </row>
    <row r="14" spans="1:9" ht="15" thickBot="1">
      <c r="A14" s="449"/>
      <c r="B14" s="5" t="s">
        <v>4</v>
      </c>
      <c r="C14" s="37">
        <v>139</v>
      </c>
      <c r="D14" s="37">
        <v>102</v>
      </c>
      <c r="E14" s="37">
        <v>131</v>
      </c>
      <c r="F14" s="43">
        <v>130</v>
      </c>
      <c r="G14" s="43">
        <f xml:space="preserve"> 135 + 6</f>
        <v>141</v>
      </c>
      <c r="H14" s="43">
        <f xml:space="preserve"> 140 + 7</f>
        <v>147</v>
      </c>
      <c r="I14" s="44">
        <f xml:space="preserve"> 135 + 8</f>
        <v>143</v>
      </c>
    </row>
    <row r="15" spans="1:9" ht="15.6" thickTop="1" thickBot="1">
      <c r="A15" s="450"/>
      <c r="B15" s="6" t="s">
        <v>5</v>
      </c>
      <c r="C15" s="38">
        <f>SUM(C11:C14)</f>
        <v>669</v>
      </c>
      <c r="D15" s="38">
        <f t="shared" ref="D15:I15" si="0">SUM(D11:D14)</f>
        <v>598</v>
      </c>
      <c r="E15" s="38">
        <f t="shared" si="0"/>
        <v>737</v>
      </c>
      <c r="F15" s="38">
        <f t="shared" si="0"/>
        <v>765</v>
      </c>
      <c r="G15" s="38">
        <f t="shared" si="0"/>
        <v>896</v>
      </c>
      <c r="H15" s="38">
        <f t="shared" si="0"/>
        <v>962</v>
      </c>
      <c r="I15" s="45">
        <f t="shared" si="0"/>
        <v>1011</v>
      </c>
    </row>
    <row r="16" spans="1:9">
      <c r="A16" s="448" t="s">
        <v>6</v>
      </c>
      <c r="B16" s="4" t="s">
        <v>2</v>
      </c>
      <c r="C16" s="35">
        <v>46</v>
      </c>
      <c r="D16" s="35">
        <v>37</v>
      </c>
      <c r="E16" s="35">
        <v>34</v>
      </c>
      <c r="F16" s="39">
        <v>36</v>
      </c>
      <c r="G16" s="39">
        <f>54 + 8</f>
        <v>62</v>
      </c>
      <c r="H16" s="39">
        <f xml:space="preserve"> 75 + 10</f>
        <v>85</v>
      </c>
      <c r="I16" s="40">
        <f xml:space="preserve"> 80 + 12</f>
        <v>92</v>
      </c>
    </row>
    <row r="17" spans="1:9">
      <c r="A17" s="449"/>
      <c r="B17" s="3" t="s">
        <v>1</v>
      </c>
      <c r="C17" s="36">
        <v>17</v>
      </c>
      <c r="D17" s="36">
        <v>10</v>
      </c>
      <c r="E17" s="36">
        <v>10</v>
      </c>
      <c r="F17" s="41">
        <v>13</v>
      </c>
      <c r="G17" s="41">
        <f>16 + 3</f>
        <v>19</v>
      </c>
      <c r="H17" s="41">
        <f xml:space="preserve"> 19 + 3</f>
        <v>22</v>
      </c>
      <c r="I17" s="42">
        <f xml:space="preserve"> 22 + 3</f>
        <v>25</v>
      </c>
    </row>
    <row r="18" spans="1:9">
      <c r="A18" s="449"/>
      <c r="B18" s="3" t="s">
        <v>3</v>
      </c>
      <c r="C18" s="36">
        <v>1</v>
      </c>
      <c r="D18" s="36">
        <v>0</v>
      </c>
      <c r="E18" s="36">
        <v>0</v>
      </c>
      <c r="F18" s="41">
        <v>1</v>
      </c>
      <c r="G18" s="41">
        <f xml:space="preserve"> 2 + 1</f>
        <v>3</v>
      </c>
      <c r="H18" s="41">
        <f xml:space="preserve"> 4 + 1</f>
        <v>5</v>
      </c>
      <c r="I18" s="42">
        <f xml:space="preserve"> 4 + 1</f>
        <v>5</v>
      </c>
    </row>
    <row r="19" spans="1:9" ht="15" thickBot="1">
      <c r="A19" s="449"/>
      <c r="B19" s="5" t="s">
        <v>4</v>
      </c>
      <c r="C19" s="37">
        <v>5</v>
      </c>
      <c r="D19" s="37">
        <v>3</v>
      </c>
      <c r="E19" s="37">
        <v>2</v>
      </c>
      <c r="F19" s="43">
        <v>4</v>
      </c>
      <c r="G19" s="43">
        <f xml:space="preserve"> 5 + 1</f>
        <v>6</v>
      </c>
      <c r="H19" s="43">
        <f xml:space="preserve"> 5 + 1</f>
        <v>6</v>
      </c>
      <c r="I19" s="44">
        <f xml:space="preserve"> 6 + 2</f>
        <v>8</v>
      </c>
    </row>
    <row r="20" spans="1:9" ht="15.6" thickTop="1" thickBot="1">
      <c r="A20" s="450"/>
      <c r="B20" s="6" t="s">
        <v>5</v>
      </c>
      <c r="C20" s="38">
        <f>SUM(C16:C19)</f>
        <v>69</v>
      </c>
      <c r="D20" s="38">
        <f t="shared" ref="D20:I20" si="1">SUM(D16:D19)</f>
        <v>50</v>
      </c>
      <c r="E20" s="38">
        <f t="shared" si="1"/>
        <v>46</v>
      </c>
      <c r="F20" s="38">
        <f t="shared" si="1"/>
        <v>54</v>
      </c>
      <c r="G20" s="38">
        <f t="shared" si="1"/>
        <v>90</v>
      </c>
      <c r="H20" s="38">
        <f t="shared" si="1"/>
        <v>118</v>
      </c>
      <c r="I20" s="45">
        <f t="shared" si="1"/>
        <v>130</v>
      </c>
    </row>
    <row r="21" spans="1:9">
      <c r="A21" s="448" t="s">
        <v>7</v>
      </c>
      <c r="B21" s="4" t="s">
        <v>2</v>
      </c>
      <c r="C21" s="8">
        <f t="shared" ref="C21:E25" si="2">C16/C11</f>
        <v>0.17624521072796934</v>
      </c>
      <c r="D21" s="8">
        <f t="shared" si="2"/>
        <v>0.12671232876712329</v>
      </c>
      <c r="E21" s="8">
        <f t="shared" si="2"/>
        <v>0.10862619808306709</v>
      </c>
      <c r="F21" s="8">
        <f>IFERROR(F16/F11,"")</f>
        <v>0.10746268656716418</v>
      </c>
      <c r="G21" s="8">
        <f>IFERROR(G16/G11,"")</f>
        <v>0.15308641975308643</v>
      </c>
      <c r="H21" s="8">
        <f>IFERROR(H16/H11,"")</f>
        <v>0.18398268398268397</v>
      </c>
      <c r="I21" s="8">
        <f>IFERROR(I16/I11,"")</f>
        <v>0.18699186991869918</v>
      </c>
    </row>
    <row r="22" spans="1:9">
      <c r="A22" s="449"/>
      <c r="B22" s="3" t="s">
        <v>1</v>
      </c>
      <c r="C22" s="9">
        <f t="shared" si="2"/>
        <v>0.10625</v>
      </c>
      <c r="D22" s="9">
        <f t="shared" si="2"/>
        <v>7.9365079365079361E-2</v>
      </c>
      <c r="E22" s="9">
        <f t="shared" si="2"/>
        <v>5.5555555555555552E-2</v>
      </c>
      <c r="F22" s="9">
        <f t="shared" ref="F22:I24" si="3">IFERROR(F17/F12,"")</f>
        <v>7.0270270270270274E-2</v>
      </c>
      <c r="G22" s="9">
        <f t="shared" si="3"/>
        <v>8.6363636363636365E-2</v>
      </c>
      <c r="H22" s="9">
        <f t="shared" si="3"/>
        <v>9.90990990990991E-2</v>
      </c>
      <c r="I22" s="9">
        <f t="shared" si="3"/>
        <v>0.1072961373390558</v>
      </c>
    </row>
    <row r="23" spans="1:9">
      <c r="A23" s="449"/>
      <c r="B23" s="3" t="s">
        <v>3</v>
      </c>
      <c r="C23" s="9">
        <f t="shared" si="2"/>
        <v>9.1743119266055051E-3</v>
      </c>
      <c r="D23" s="9">
        <f t="shared" si="2"/>
        <v>0</v>
      </c>
      <c r="E23" s="9">
        <f t="shared" si="2"/>
        <v>0</v>
      </c>
      <c r="F23" s="9">
        <f t="shared" si="3"/>
        <v>8.6956521739130436E-3</v>
      </c>
      <c r="G23" s="9">
        <f t="shared" si="3"/>
        <v>2.3076923076923078E-2</v>
      </c>
      <c r="H23" s="9">
        <f t="shared" si="3"/>
        <v>3.8167938931297711E-2</v>
      </c>
      <c r="I23" s="9">
        <f t="shared" si="3"/>
        <v>3.4965034965034968E-2</v>
      </c>
    </row>
    <row r="24" spans="1:9" ht="15" thickBot="1">
      <c r="A24" s="449"/>
      <c r="B24" s="5" t="s">
        <v>4</v>
      </c>
      <c r="C24" s="10">
        <f t="shared" si="2"/>
        <v>3.5971223021582732E-2</v>
      </c>
      <c r="D24" s="10">
        <f t="shared" si="2"/>
        <v>2.9411764705882353E-2</v>
      </c>
      <c r="E24" s="10">
        <f t="shared" si="2"/>
        <v>1.5267175572519083E-2</v>
      </c>
      <c r="F24" s="10">
        <f t="shared" si="3"/>
        <v>3.0769230769230771E-2</v>
      </c>
      <c r="G24" s="10">
        <f t="shared" si="3"/>
        <v>4.2553191489361701E-2</v>
      </c>
      <c r="H24" s="10">
        <f t="shared" si="3"/>
        <v>4.0816326530612242E-2</v>
      </c>
      <c r="I24" s="10">
        <f t="shared" si="3"/>
        <v>5.5944055944055944E-2</v>
      </c>
    </row>
    <row r="25" spans="1:9" ht="15.6" thickTop="1" thickBot="1">
      <c r="A25" s="450"/>
      <c r="B25" s="6" t="s">
        <v>5</v>
      </c>
      <c r="C25" s="11">
        <f t="shared" si="2"/>
        <v>0.1031390134529148</v>
      </c>
      <c r="D25" s="11">
        <f t="shared" si="2"/>
        <v>8.3612040133779264E-2</v>
      </c>
      <c r="E25" s="11">
        <f t="shared" si="2"/>
        <v>6.2415196743554953E-2</v>
      </c>
      <c r="F25" s="11">
        <f>IFERROR(F20/F15,0)</f>
        <v>7.0588235294117646E-2</v>
      </c>
      <c r="G25" s="11">
        <f>IFERROR(G20/G15,0)</f>
        <v>0.10044642857142858</v>
      </c>
      <c r="H25" s="11">
        <f>IFERROR(H20/H15,0)</f>
        <v>0.12266112266112267</v>
      </c>
      <c r="I25" s="11">
        <f>IFERROR(I20/I15,0)</f>
        <v>0.12858555885262116</v>
      </c>
    </row>
    <row r="26" spans="1:9" ht="15" thickBot="1"/>
    <row r="27" spans="1:9">
      <c r="A27" s="451" t="s">
        <v>8</v>
      </c>
      <c r="B27" s="4" t="s">
        <v>2</v>
      </c>
      <c r="C27" s="35">
        <v>63</v>
      </c>
      <c r="D27" s="35">
        <v>39</v>
      </c>
      <c r="E27" s="35">
        <v>53</v>
      </c>
      <c r="F27" s="39">
        <v>51</v>
      </c>
      <c r="G27" s="39">
        <v>70</v>
      </c>
      <c r="H27" s="39">
        <v>94</v>
      </c>
      <c r="I27" s="39">
        <v>86</v>
      </c>
    </row>
    <row r="28" spans="1:9">
      <c r="A28" s="449"/>
      <c r="B28" s="3" t="s">
        <v>1</v>
      </c>
      <c r="C28" s="36">
        <v>21</v>
      </c>
      <c r="D28" s="36">
        <v>11</v>
      </c>
      <c r="E28" s="36">
        <v>12</v>
      </c>
      <c r="F28" s="41">
        <v>19</v>
      </c>
      <c r="G28" s="41">
        <v>42</v>
      </c>
      <c r="H28" s="41">
        <v>43</v>
      </c>
      <c r="I28" s="41">
        <v>46</v>
      </c>
    </row>
    <row r="29" spans="1:9">
      <c r="A29" s="449"/>
      <c r="B29" s="3" t="s">
        <v>3</v>
      </c>
      <c r="C29" s="36">
        <v>1</v>
      </c>
      <c r="D29" s="36"/>
      <c r="E29" s="36"/>
      <c r="F29" s="41">
        <v>3</v>
      </c>
      <c r="G29" s="41">
        <v>4</v>
      </c>
      <c r="H29" s="41">
        <v>6</v>
      </c>
      <c r="I29" s="41">
        <v>5</v>
      </c>
    </row>
    <row r="30" spans="1:9" ht="15" thickBot="1">
      <c r="A30" s="449"/>
      <c r="B30" s="5" t="s">
        <v>4</v>
      </c>
      <c r="C30" s="37">
        <v>7</v>
      </c>
      <c r="D30" s="37">
        <v>3</v>
      </c>
      <c r="E30" s="37">
        <v>2</v>
      </c>
      <c r="F30" s="43">
        <v>3</v>
      </c>
      <c r="G30" s="43">
        <v>4</v>
      </c>
      <c r="H30" s="43">
        <v>6</v>
      </c>
      <c r="I30" s="43">
        <v>6</v>
      </c>
    </row>
    <row r="31" spans="1:9" ht="15.6" thickTop="1" thickBot="1">
      <c r="A31" s="450"/>
      <c r="B31" s="6" t="s">
        <v>5</v>
      </c>
      <c r="C31" s="38">
        <f t="shared" ref="C31:I31" si="4">SUM(C27:C30)</f>
        <v>92</v>
      </c>
      <c r="D31" s="38">
        <f t="shared" si="4"/>
        <v>53</v>
      </c>
      <c r="E31" s="38">
        <f t="shared" si="4"/>
        <v>67</v>
      </c>
      <c r="F31" s="38">
        <f t="shared" si="4"/>
        <v>76</v>
      </c>
      <c r="G31" s="7">
        <f t="shared" si="4"/>
        <v>120</v>
      </c>
      <c r="H31" s="7">
        <f t="shared" si="4"/>
        <v>149</v>
      </c>
      <c r="I31" s="7">
        <f t="shared" si="4"/>
        <v>143</v>
      </c>
    </row>
    <row r="32" spans="1:9">
      <c r="A32" s="451" t="s">
        <v>9</v>
      </c>
      <c r="B32" s="4" t="s">
        <v>2</v>
      </c>
      <c r="C32" s="35">
        <v>1143769</v>
      </c>
      <c r="D32" s="35">
        <v>873937</v>
      </c>
      <c r="E32" s="35">
        <v>1219048</v>
      </c>
      <c r="F32" s="39">
        <v>1261600</v>
      </c>
      <c r="G32" s="39">
        <v>1881200</v>
      </c>
      <c r="H32" s="39">
        <v>2612200</v>
      </c>
      <c r="I32" s="39">
        <v>2427200</v>
      </c>
    </row>
    <row r="33" spans="1:9">
      <c r="A33" s="449"/>
      <c r="B33" s="3" t="s">
        <v>1</v>
      </c>
      <c r="C33" s="36">
        <v>1658625</v>
      </c>
      <c r="D33" s="36">
        <v>611023</v>
      </c>
      <c r="E33" s="36">
        <v>864223</v>
      </c>
      <c r="F33" s="41">
        <v>1525600</v>
      </c>
      <c r="G33" s="41">
        <v>3883200</v>
      </c>
      <c r="H33" s="41">
        <v>4281200</v>
      </c>
      <c r="I33" s="41">
        <v>4813300</v>
      </c>
    </row>
    <row r="34" spans="1:9">
      <c r="A34" s="449"/>
      <c r="B34" s="3" t="s">
        <v>3</v>
      </c>
      <c r="C34" s="36">
        <v>104178</v>
      </c>
      <c r="D34" s="36"/>
      <c r="E34" s="36"/>
      <c r="F34" s="41">
        <v>339000</v>
      </c>
      <c r="G34" s="41">
        <v>452000</v>
      </c>
      <c r="H34" s="41">
        <v>678000</v>
      </c>
      <c r="I34" s="41">
        <v>565000</v>
      </c>
    </row>
    <row r="35" spans="1:9" ht="15" thickBot="1">
      <c r="A35" s="449"/>
      <c r="B35" s="5" t="s">
        <v>4</v>
      </c>
      <c r="C35" s="37">
        <v>749556</v>
      </c>
      <c r="D35" s="37">
        <v>407111</v>
      </c>
      <c r="E35" s="37">
        <v>198262</v>
      </c>
      <c r="F35" s="43">
        <v>380000</v>
      </c>
      <c r="G35" s="43">
        <v>640000</v>
      </c>
      <c r="H35" s="43">
        <v>840000</v>
      </c>
      <c r="I35" s="43">
        <v>920000</v>
      </c>
    </row>
    <row r="36" spans="1:9" ht="15.6" thickTop="1" thickBot="1">
      <c r="A36" s="450"/>
      <c r="B36" s="6" t="s">
        <v>5</v>
      </c>
      <c r="C36" s="38">
        <f t="shared" ref="C36:I36" si="5">SUM(C32:C35)</f>
        <v>3656128</v>
      </c>
      <c r="D36" s="38">
        <f t="shared" si="5"/>
        <v>1892071</v>
      </c>
      <c r="E36" s="38">
        <f t="shared" si="5"/>
        <v>2281533</v>
      </c>
      <c r="F36" s="38">
        <f t="shared" si="5"/>
        <v>3506200</v>
      </c>
      <c r="G36" s="38">
        <f t="shared" si="5"/>
        <v>6856400</v>
      </c>
      <c r="H36" s="38">
        <f t="shared" si="5"/>
        <v>8411400</v>
      </c>
      <c r="I36" s="38">
        <f t="shared" si="5"/>
        <v>8725500</v>
      </c>
    </row>
    <row r="37" spans="1:9" ht="21">
      <c r="A37" s="447" t="s">
        <v>19</v>
      </c>
      <c r="B37" s="447"/>
      <c r="C37" s="47"/>
      <c r="D37" s="47"/>
      <c r="E37" s="47"/>
      <c r="F37" s="47"/>
      <c r="G37" s="47"/>
      <c r="H37" s="47"/>
      <c r="I37" s="47"/>
    </row>
    <row r="38" spans="1:9" ht="16.05" customHeight="1">
      <c r="A38" s="437" t="s">
        <v>20</v>
      </c>
      <c r="B38" s="56" t="s">
        <v>21</v>
      </c>
      <c r="C38" s="48">
        <v>25</v>
      </c>
      <c r="D38" s="48">
        <v>26</v>
      </c>
      <c r="E38" s="48">
        <v>25</v>
      </c>
      <c r="F38" s="48">
        <v>25</v>
      </c>
      <c r="G38" s="48">
        <v>34</v>
      </c>
      <c r="H38" s="48">
        <v>36</v>
      </c>
      <c r="I38" s="48">
        <v>26</v>
      </c>
    </row>
    <row r="39" spans="1:9" ht="16.05" customHeight="1">
      <c r="A39" s="438"/>
      <c r="B39" s="57" t="s">
        <v>22</v>
      </c>
      <c r="C39" s="49">
        <v>21</v>
      </c>
      <c r="D39" s="49">
        <v>22</v>
      </c>
      <c r="E39" s="49">
        <v>17</v>
      </c>
      <c r="F39" s="49">
        <v>21</v>
      </c>
      <c r="G39" s="49">
        <v>28</v>
      </c>
      <c r="H39" s="49">
        <v>23</v>
      </c>
      <c r="I39" s="49">
        <v>23</v>
      </c>
    </row>
    <row r="40" spans="1:9" ht="16.05" customHeight="1">
      <c r="A40" s="438"/>
      <c r="B40" s="57" t="s">
        <v>23</v>
      </c>
      <c r="C40" s="49">
        <v>3</v>
      </c>
      <c r="D40" s="49">
        <v>3</v>
      </c>
      <c r="E40" s="49">
        <v>2</v>
      </c>
      <c r="F40" s="49">
        <v>2</v>
      </c>
      <c r="G40" s="49">
        <v>3</v>
      </c>
      <c r="H40" s="49">
        <v>3</v>
      </c>
      <c r="I40" s="49">
        <v>3</v>
      </c>
    </row>
    <row r="41" spans="1:9" ht="16.05" customHeight="1" thickBot="1">
      <c r="A41" s="438"/>
      <c r="B41" s="58" t="s">
        <v>24</v>
      </c>
      <c r="C41" s="50">
        <v>3</v>
      </c>
      <c r="D41" s="50">
        <v>6</v>
      </c>
      <c r="E41" s="50">
        <v>3</v>
      </c>
      <c r="F41" s="50">
        <v>2</v>
      </c>
      <c r="G41" s="50">
        <v>4</v>
      </c>
      <c r="H41" s="50">
        <v>6</v>
      </c>
      <c r="I41" s="50">
        <v>6</v>
      </c>
    </row>
    <row r="42" spans="1:9" ht="16.05" customHeight="1" thickTop="1">
      <c r="A42" s="439"/>
      <c r="B42" s="59" t="s">
        <v>5</v>
      </c>
      <c r="C42" s="51">
        <f>SUM(C38:C41)</f>
        <v>52</v>
      </c>
      <c r="D42" s="51">
        <f t="shared" ref="D42:I42" si="6">SUM(D38:D41)</f>
        <v>57</v>
      </c>
      <c r="E42" s="51">
        <f t="shared" si="6"/>
        <v>47</v>
      </c>
      <c r="F42" s="51">
        <f t="shared" si="6"/>
        <v>50</v>
      </c>
      <c r="G42" s="51">
        <f t="shared" si="6"/>
        <v>69</v>
      </c>
      <c r="H42" s="51">
        <f t="shared" si="6"/>
        <v>68</v>
      </c>
      <c r="I42" s="51">
        <f t="shared" si="6"/>
        <v>58</v>
      </c>
    </row>
    <row r="43" spans="1:9" ht="21.45" customHeight="1" thickBot="1">
      <c r="A43" s="433" t="s">
        <v>65</v>
      </c>
      <c r="B43" s="434"/>
      <c r="C43" s="52">
        <v>667</v>
      </c>
      <c r="D43" s="52">
        <f>619</f>
        <v>619</v>
      </c>
      <c r="E43" s="52">
        <f>531 + (5/12)*10%*2250</f>
        <v>624.75</v>
      </c>
      <c r="F43" s="52">
        <f>605 + 10%*2250</f>
        <v>830</v>
      </c>
      <c r="G43" s="52">
        <f>830+250</f>
        <v>1080</v>
      </c>
      <c r="H43" s="52">
        <f>850+450+250</f>
        <v>1550</v>
      </c>
      <c r="I43" s="52">
        <f>850+450+450</f>
        <v>1750</v>
      </c>
    </row>
    <row r="44" spans="1:9" ht="15" thickTop="1">
      <c r="A44" s="435" t="s">
        <v>64</v>
      </c>
      <c r="B44" s="436"/>
      <c r="C44" s="54">
        <v>1</v>
      </c>
      <c r="D44" s="54">
        <v>1</v>
      </c>
      <c r="E44" s="54">
        <v>1</v>
      </c>
      <c r="F44" s="54">
        <v>2</v>
      </c>
      <c r="G44" s="54">
        <v>3</v>
      </c>
      <c r="H44" s="54">
        <v>4</v>
      </c>
      <c r="I44" s="54">
        <v>4</v>
      </c>
    </row>
    <row r="45" spans="1:9" ht="45" customHeight="1">
      <c r="A45" s="60" t="s">
        <v>13</v>
      </c>
      <c r="B45" s="60"/>
      <c r="C45" s="53" t="s">
        <v>50</v>
      </c>
      <c r="D45" s="53" t="s">
        <v>50</v>
      </c>
      <c r="E45" s="53" t="s">
        <v>50</v>
      </c>
      <c r="F45" s="53" t="s">
        <v>53</v>
      </c>
      <c r="G45" s="53" t="s">
        <v>52</v>
      </c>
      <c r="H45" s="53" t="s">
        <v>51</v>
      </c>
      <c r="I45" s="53" t="s">
        <v>51</v>
      </c>
    </row>
    <row r="46" spans="1:9" ht="21.6" thickBot="1">
      <c r="A46" s="432" t="s">
        <v>25</v>
      </c>
      <c r="B46" s="432"/>
      <c r="C46" s="432"/>
      <c r="D46" s="432"/>
      <c r="E46" s="432"/>
      <c r="F46" s="23"/>
      <c r="G46" s="23"/>
      <c r="H46" s="23"/>
      <c r="I46" s="23"/>
    </row>
    <row r="47" spans="1:9" ht="43.8" thickTop="1">
      <c r="A47" s="61" t="s">
        <v>27</v>
      </c>
      <c r="B47" s="62"/>
      <c r="C47" s="66" t="s">
        <v>54</v>
      </c>
      <c r="D47" s="66" t="s">
        <v>61</v>
      </c>
      <c r="E47" s="66" t="s">
        <v>61</v>
      </c>
      <c r="F47" s="66" t="s">
        <v>60</v>
      </c>
      <c r="G47" s="55" t="s">
        <v>63</v>
      </c>
      <c r="H47" s="66" t="s">
        <v>62</v>
      </c>
      <c r="I47" s="66" t="s">
        <v>62</v>
      </c>
    </row>
    <row r="48" spans="1:9" ht="28.8">
      <c r="A48" s="63" t="s">
        <v>26</v>
      </c>
      <c r="B48" s="60"/>
      <c r="C48" s="64">
        <v>46</v>
      </c>
      <c r="D48" s="64">
        <v>46</v>
      </c>
      <c r="E48" s="64" t="s">
        <v>55</v>
      </c>
      <c r="F48" s="65" t="s">
        <v>59</v>
      </c>
      <c r="G48" s="64">
        <v>73</v>
      </c>
      <c r="H48" s="64">
        <v>77</v>
      </c>
      <c r="I48" s="64">
        <v>77</v>
      </c>
    </row>
  </sheetData>
  <mergeCells count="13">
    <mergeCell ref="A46:E46"/>
    <mergeCell ref="A43:B43"/>
    <mergeCell ref="A44:B44"/>
    <mergeCell ref="A38:A42"/>
    <mergeCell ref="D4:I4"/>
    <mergeCell ref="D5:I5"/>
    <mergeCell ref="D6:I6"/>
    <mergeCell ref="A37:B37"/>
    <mergeCell ref="A11:A15"/>
    <mergeCell ref="A16:A20"/>
    <mergeCell ref="A21:A25"/>
    <mergeCell ref="A27:A31"/>
    <mergeCell ref="A32:A36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4" fitToHeight="2" orientation="landscape" r:id="rId1"/>
  <headerFooter>
    <oddHeader>&amp;C&amp;F / &amp;A</oddHeader>
    <oddFooter>&amp;L&amp;"-,Gras"Confidential SUD ESPACE TP and HCME&amp;C&amp;D&amp;RPage &amp;P</oddFooter>
  </headerFooter>
  <rowBreaks count="1" manualBreakCount="1">
    <brk id="36" max="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17"/>
  <sheetViews>
    <sheetView topLeftCell="A100" workbookViewId="0">
      <selection activeCell="J117" sqref="J117"/>
    </sheetView>
  </sheetViews>
  <sheetFormatPr baseColWidth="10" defaultColWidth="10.77734375" defaultRowHeight="14.4"/>
  <cols>
    <col min="1" max="1" width="2.77734375" style="2" customWidth="1"/>
    <col min="2" max="2" width="10.109375" style="69" bestFit="1" customWidth="1"/>
    <col min="3" max="3" width="13.109375" style="70" bestFit="1" customWidth="1"/>
    <col min="4" max="4" width="9.109375" style="69" bestFit="1" customWidth="1"/>
    <col min="5" max="5" width="12.109375" style="112" bestFit="1" customWidth="1"/>
    <col min="6" max="6" width="6.44140625" style="70" customWidth="1"/>
    <col min="7" max="7" width="11.44140625" style="70" bestFit="1" customWidth="1"/>
    <col min="8" max="8" width="9.109375" style="2" bestFit="1" customWidth="1"/>
    <col min="9" max="9" width="18.44140625" style="2" bestFit="1" customWidth="1"/>
    <col min="10" max="10" width="9.44140625" style="116" bestFit="1" customWidth="1"/>
    <col min="11" max="11" width="14.109375" style="2" bestFit="1" customWidth="1"/>
    <col min="12" max="14" width="13.77734375" style="2" bestFit="1" customWidth="1"/>
    <col min="15" max="16384" width="10.77734375" style="2"/>
  </cols>
  <sheetData>
    <row r="2" spans="2:14">
      <c r="B2" s="67" t="s">
        <v>254</v>
      </c>
      <c r="C2" s="68" t="s">
        <v>71</v>
      </c>
      <c r="D2" s="67" t="s">
        <v>30</v>
      </c>
      <c r="E2" s="111" t="s">
        <v>255</v>
      </c>
      <c r="F2" s="67" t="s">
        <v>252</v>
      </c>
      <c r="G2" s="67" t="s">
        <v>72</v>
      </c>
      <c r="H2" s="67" t="s">
        <v>73</v>
      </c>
      <c r="I2" s="68" t="s">
        <v>256</v>
      </c>
      <c r="J2" s="68" t="s">
        <v>443</v>
      </c>
      <c r="L2" s="68" t="s">
        <v>101</v>
      </c>
      <c r="M2" s="68" t="s">
        <v>71</v>
      </c>
      <c r="N2" s="68" t="s">
        <v>235</v>
      </c>
    </row>
    <row r="3" spans="2:14">
      <c r="B3" s="105">
        <v>1</v>
      </c>
      <c r="C3" s="106" t="s">
        <v>151</v>
      </c>
      <c r="D3" s="105" t="s">
        <v>257</v>
      </c>
      <c r="E3" s="107" t="s">
        <v>373</v>
      </c>
      <c r="F3" s="107">
        <v>75</v>
      </c>
      <c r="G3" s="107" t="s">
        <v>274</v>
      </c>
      <c r="H3" s="107" t="s">
        <v>261</v>
      </c>
      <c r="I3" s="326" t="s">
        <v>374</v>
      </c>
      <c r="J3" s="115">
        <v>45</v>
      </c>
      <c r="L3" s="102">
        <v>1</v>
      </c>
      <c r="M3" s="102" t="s">
        <v>75</v>
      </c>
      <c r="N3" s="103" t="s">
        <v>240</v>
      </c>
    </row>
    <row r="4" spans="2:14">
      <c r="B4" s="105">
        <v>2</v>
      </c>
      <c r="C4" s="106" t="s">
        <v>151</v>
      </c>
      <c r="D4" s="105" t="s">
        <v>257</v>
      </c>
      <c r="E4" s="107" t="s">
        <v>584</v>
      </c>
      <c r="F4" s="107">
        <v>95</v>
      </c>
      <c r="G4" s="107" t="s">
        <v>587</v>
      </c>
      <c r="H4" s="107" t="s">
        <v>109</v>
      </c>
      <c r="I4" s="326" t="s">
        <v>588</v>
      </c>
      <c r="J4" s="115">
        <v>75</v>
      </c>
      <c r="L4" s="102">
        <v>2</v>
      </c>
      <c r="M4" s="102" t="s">
        <v>262</v>
      </c>
      <c r="N4" s="103" t="s">
        <v>241</v>
      </c>
    </row>
    <row r="5" spans="2:14">
      <c r="B5" s="108">
        <v>3</v>
      </c>
      <c r="C5" s="106" t="s">
        <v>151</v>
      </c>
      <c r="D5" s="105" t="s">
        <v>257</v>
      </c>
      <c r="E5" s="113" t="s">
        <v>237</v>
      </c>
      <c r="F5" s="113">
        <v>150</v>
      </c>
      <c r="G5" s="107" t="s">
        <v>152</v>
      </c>
      <c r="H5" s="106" t="s">
        <v>258</v>
      </c>
      <c r="I5" s="110" t="s">
        <v>153</v>
      </c>
      <c r="J5" s="115">
        <v>100</v>
      </c>
      <c r="L5" s="102">
        <v>3</v>
      </c>
      <c r="M5" s="102" t="s">
        <v>263</v>
      </c>
      <c r="N5" s="103" t="s">
        <v>3</v>
      </c>
    </row>
    <row r="6" spans="2:14">
      <c r="B6" s="105">
        <v>4</v>
      </c>
      <c r="C6" s="106" t="s">
        <v>151</v>
      </c>
      <c r="D6" s="105" t="s">
        <v>257</v>
      </c>
      <c r="E6" s="107" t="s">
        <v>237</v>
      </c>
      <c r="F6" s="107">
        <v>150</v>
      </c>
      <c r="G6" s="107" t="s">
        <v>152</v>
      </c>
      <c r="H6" s="106" t="s">
        <v>260</v>
      </c>
      <c r="I6" s="107" t="s">
        <v>154</v>
      </c>
      <c r="J6" s="115">
        <v>100</v>
      </c>
      <c r="L6" s="102">
        <v>4</v>
      </c>
      <c r="M6" s="102" t="s">
        <v>259</v>
      </c>
      <c r="N6" s="103" t="s">
        <v>238</v>
      </c>
    </row>
    <row r="7" spans="2:14">
      <c r="B7" s="105">
        <v>5</v>
      </c>
      <c r="C7" s="106" t="s">
        <v>151</v>
      </c>
      <c r="D7" s="105" t="s">
        <v>257</v>
      </c>
      <c r="E7" s="107" t="s">
        <v>237</v>
      </c>
      <c r="F7" s="107">
        <v>150</v>
      </c>
      <c r="G7" s="107" t="s">
        <v>152</v>
      </c>
      <c r="H7" s="106" t="s">
        <v>261</v>
      </c>
      <c r="I7" s="107" t="s">
        <v>155</v>
      </c>
      <c r="J7" s="115">
        <v>100</v>
      </c>
    </row>
    <row r="8" spans="2:14">
      <c r="B8" s="108">
        <v>6</v>
      </c>
      <c r="C8" s="106" t="s">
        <v>151</v>
      </c>
      <c r="D8" s="105" t="s">
        <v>257</v>
      </c>
      <c r="E8" s="107" t="s">
        <v>237</v>
      </c>
      <c r="F8" s="107">
        <v>150</v>
      </c>
      <c r="G8" s="107" t="s">
        <v>156</v>
      </c>
      <c r="H8" s="106" t="s">
        <v>258</v>
      </c>
      <c r="I8" s="107" t="s">
        <v>157</v>
      </c>
      <c r="J8" s="115">
        <v>100</v>
      </c>
    </row>
    <row r="9" spans="2:14">
      <c r="B9" s="105">
        <v>7</v>
      </c>
      <c r="C9" s="106" t="s">
        <v>151</v>
      </c>
      <c r="D9" s="105" t="s">
        <v>257</v>
      </c>
      <c r="E9" s="107" t="s">
        <v>237</v>
      </c>
      <c r="F9" s="107">
        <v>150</v>
      </c>
      <c r="G9" s="107" t="s">
        <v>156</v>
      </c>
      <c r="H9" s="106" t="s">
        <v>260</v>
      </c>
      <c r="I9" s="107" t="s">
        <v>158</v>
      </c>
      <c r="J9" s="115">
        <v>100</v>
      </c>
      <c r="L9" s="67" t="s">
        <v>236</v>
      </c>
      <c r="M9" s="68" t="s">
        <v>103</v>
      </c>
    </row>
    <row r="10" spans="2:14">
      <c r="B10" s="105">
        <v>8</v>
      </c>
      <c r="C10" s="106" t="s">
        <v>151</v>
      </c>
      <c r="D10" s="105" t="s">
        <v>257</v>
      </c>
      <c r="E10" s="107" t="s">
        <v>237</v>
      </c>
      <c r="F10" s="107">
        <v>150</v>
      </c>
      <c r="G10" s="107" t="s">
        <v>156</v>
      </c>
      <c r="H10" s="106" t="s">
        <v>261</v>
      </c>
      <c r="I10" s="107" t="s">
        <v>159</v>
      </c>
      <c r="J10" s="115">
        <v>100</v>
      </c>
      <c r="L10" s="2" t="s">
        <v>468</v>
      </c>
      <c r="M10" s="2" t="s">
        <v>469</v>
      </c>
    </row>
    <row r="11" spans="2:14">
      <c r="B11" s="108">
        <v>9</v>
      </c>
      <c r="C11" s="106" t="s">
        <v>151</v>
      </c>
      <c r="D11" s="105" t="s">
        <v>257</v>
      </c>
      <c r="E11" s="107" t="s">
        <v>48</v>
      </c>
      <c r="F11" s="107">
        <v>180</v>
      </c>
      <c r="G11" s="107" t="s">
        <v>160</v>
      </c>
      <c r="H11" s="106" t="s">
        <v>258</v>
      </c>
      <c r="I11" s="107" t="s">
        <v>161</v>
      </c>
      <c r="J11" s="115">
        <v>105</v>
      </c>
      <c r="L11" s="2" t="s">
        <v>67</v>
      </c>
      <c r="M11" s="2" t="s">
        <v>400</v>
      </c>
    </row>
    <row r="12" spans="2:14">
      <c r="B12" s="105">
        <v>10</v>
      </c>
      <c r="C12" s="106" t="s">
        <v>151</v>
      </c>
      <c r="D12" s="105" t="s">
        <v>257</v>
      </c>
      <c r="E12" s="107" t="s">
        <v>48</v>
      </c>
      <c r="F12" s="107">
        <v>180</v>
      </c>
      <c r="G12" s="107" t="s">
        <v>160</v>
      </c>
      <c r="H12" s="106" t="s">
        <v>260</v>
      </c>
      <c r="I12" s="107" t="s">
        <v>162</v>
      </c>
      <c r="J12" s="115">
        <v>105</v>
      </c>
      <c r="L12" s="2" t="s">
        <v>66</v>
      </c>
      <c r="M12" s="2" t="s">
        <v>239</v>
      </c>
    </row>
    <row r="13" spans="2:14">
      <c r="B13" s="105">
        <v>11</v>
      </c>
      <c r="C13" s="106" t="s">
        <v>151</v>
      </c>
      <c r="D13" s="105" t="s">
        <v>257</v>
      </c>
      <c r="E13" s="107" t="s">
        <v>48</v>
      </c>
      <c r="F13" s="107">
        <v>180</v>
      </c>
      <c r="G13" s="107" t="s">
        <v>160</v>
      </c>
      <c r="H13" s="106" t="s">
        <v>261</v>
      </c>
      <c r="I13" s="107" t="s">
        <v>163</v>
      </c>
      <c r="J13" s="115">
        <v>105</v>
      </c>
      <c r="L13" s="2" t="s">
        <v>580</v>
      </c>
      <c r="M13" s="2" t="s">
        <v>590</v>
      </c>
    </row>
    <row r="14" spans="2:14">
      <c r="B14" s="108">
        <v>12</v>
      </c>
      <c r="C14" s="106" t="s">
        <v>151</v>
      </c>
      <c r="D14" s="105" t="s">
        <v>257</v>
      </c>
      <c r="E14" s="107" t="s">
        <v>48</v>
      </c>
      <c r="F14" s="107">
        <v>180</v>
      </c>
      <c r="G14" s="107" t="s">
        <v>164</v>
      </c>
      <c r="H14" s="106" t="s">
        <v>258</v>
      </c>
      <c r="I14" s="107" t="s">
        <v>165</v>
      </c>
      <c r="J14" s="115">
        <v>105</v>
      </c>
      <c r="L14" s="2" t="s">
        <v>100</v>
      </c>
      <c r="M14" s="2" t="s">
        <v>242</v>
      </c>
    </row>
    <row r="15" spans="2:14">
      <c r="B15" s="105">
        <v>13</v>
      </c>
      <c r="C15" s="106" t="s">
        <v>151</v>
      </c>
      <c r="D15" s="105" t="s">
        <v>257</v>
      </c>
      <c r="E15" s="107" t="s">
        <v>48</v>
      </c>
      <c r="F15" s="107">
        <v>180</v>
      </c>
      <c r="G15" s="107" t="s">
        <v>164</v>
      </c>
      <c r="H15" s="106" t="s">
        <v>260</v>
      </c>
      <c r="I15" s="107" t="s">
        <v>166</v>
      </c>
      <c r="J15" s="115">
        <v>105</v>
      </c>
      <c r="L15" s="2" t="s">
        <v>100</v>
      </c>
      <c r="M15" s="2" t="s">
        <v>591</v>
      </c>
    </row>
    <row r="16" spans="2:14">
      <c r="B16" s="105">
        <v>14</v>
      </c>
      <c r="C16" s="106" t="s">
        <v>151</v>
      </c>
      <c r="D16" s="105" t="s">
        <v>257</v>
      </c>
      <c r="E16" s="107" t="s">
        <v>48</v>
      </c>
      <c r="F16" s="107">
        <v>180</v>
      </c>
      <c r="G16" s="107" t="s">
        <v>164</v>
      </c>
      <c r="H16" s="106" t="s">
        <v>261</v>
      </c>
      <c r="I16" s="107" t="s">
        <v>167</v>
      </c>
      <c r="J16" s="115">
        <v>105</v>
      </c>
      <c r="L16" s="2" t="s">
        <v>67</v>
      </c>
      <c r="M16" s="2" t="s">
        <v>593</v>
      </c>
    </row>
    <row r="17" spans="2:13">
      <c r="B17" s="108">
        <v>15</v>
      </c>
      <c r="C17" s="106" t="s">
        <v>151</v>
      </c>
      <c r="D17" s="105" t="s">
        <v>257</v>
      </c>
      <c r="E17" s="107" t="s">
        <v>244</v>
      </c>
      <c r="F17" s="107">
        <v>220</v>
      </c>
      <c r="G17" s="107" t="s">
        <v>168</v>
      </c>
      <c r="H17" s="106" t="s">
        <v>258</v>
      </c>
      <c r="I17" s="107" t="s">
        <v>169</v>
      </c>
      <c r="J17" s="115">
        <v>140</v>
      </c>
      <c r="L17" s="2" t="s">
        <v>297</v>
      </c>
      <c r="M17" s="2" t="s">
        <v>243</v>
      </c>
    </row>
    <row r="18" spans="2:13">
      <c r="B18" s="105">
        <v>16</v>
      </c>
      <c r="C18" s="106" t="s">
        <v>151</v>
      </c>
      <c r="D18" s="105" t="s">
        <v>257</v>
      </c>
      <c r="E18" s="107" t="s">
        <v>244</v>
      </c>
      <c r="F18" s="107">
        <v>220</v>
      </c>
      <c r="G18" s="107" t="s">
        <v>168</v>
      </c>
      <c r="H18" s="106" t="s">
        <v>260</v>
      </c>
      <c r="I18" s="107" t="s">
        <v>170</v>
      </c>
      <c r="J18" s="115">
        <v>140</v>
      </c>
      <c r="L18" s="2" t="s">
        <v>100</v>
      </c>
      <c r="M18" s="2" t="s">
        <v>594</v>
      </c>
    </row>
    <row r="19" spans="2:13">
      <c r="B19" s="105">
        <v>17</v>
      </c>
      <c r="C19" s="106" t="s">
        <v>151</v>
      </c>
      <c r="D19" s="105" t="s">
        <v>257</v>
      </c>
      <c r="E19" s="107" t="s">
        <v>244</v>
      </c>
      <c r="F19" s="107">
        <v>220</v>
      </c>
      <c r="G19" s="107" t="s">
        <v>168</v>
      </c>
      <c r="H19" s="106" t="s">
        <v>261</v>
      </c>
      <c r="I19" s="107" t="s">
        <v>171</v>
      </c>
      <c r="J19" s="115">
        <v>140</v>
      </c>
    </row>
    <row r="20" spans="2:13">
      <c r="B20" s="108">
        <v>18</v>
      </c>
      <c r="C20" s="106" t="s">
        <v>151</v>
      </c>
      <c r="D20" s="105" t="s">
        <v>257</v>
      </c>
      <c r="E20" s="107" t="s">
        <v>70</v>
      </c>
      <c r="F20" s="107">
        <v>250</v>
      </c>
      <c r="G20" s="107" t="s">
        <v>172</v>
      </c>
      <c r="H20" s="106" t="s">
        <v>258</v>
      </c>
      <c r="I20" s="107" t="s">
        <v>173</v>
      </c>
      <c r="J20" s="115">
        <v>150</v>
      </c>
    </row>
    <row r="21" spans="2:13">
      <c r="B21" s="105">
        <v>19</v>
      </c>
      <c r="C21" s="106" t="s">
        <v>151</v>
      </c>
      <c r="D21" s="105" t="s">
        <v>257</v>
      </c>
      <c r="E21" s="107" t="s">
        <v>70</v>
      </c>
      <c r="F21" s="107">
        <v>250</v>
      </c>
      <c r="G21" s="107" t="s">
        <v>172</v>
      </c>
      <c r="H21" s="106" t="s">
        <v>260</v>
      </c>
      <c r="I21" s="107" t="s">
        <v>174</v>
      </c>
      <c r="J21" s="115">
        <v>150</v>
      </c>
    </row>
    <row r="22" spans="2:13">
      <c r="B22" s="105">
        <v>20</v>
      </c>
      <c r="C22" s="106" t="s">
        <v>151</v>
      </c>
      <c r="D22" s="105" t="s">
        <v>257</v>
      </c>
      <c r="E22" s="107" t="s">
        <v>70</v>
      </c>
      <c r="F22" s="107">
        <v>250</v>
      </c>
      <c r="G22" s="107" t="s">
        <v>172</v>
      </c>
      <c r="H22" s="106" t="s">
        <v>261</v>
      </c>
      <c r="I22" s="107" t="s">
        <v>175</v>
      </c>
      <c r="J22" s="115">
        <v>150</v>
      </c>
      <c r="L22" s="67" t="s">
        <v>108</v>
      </c>
    </row>
    <row r="23" spans="2:13">
      <c r="B23" s="108">
        <v>21</v>
      </c>
      <c r="C23" s="106" t="s">
        <v>151</v>
      </c>
      <c r="D23" s="105" t="s">
        <v>257</v>
      </c>
      <c r="E23" s="107" t="s">
        <v>49</v>
      </c>
      <c r="F23" s="107">
        <v>310</v>
      </c>
      <c r="G23" s="107" t="s">
        <v>176</v>
      </c>
      <c r="H23" s="106" t="s">
        <v>261</v>
      </c>
      <c r="I23" s="107" t="s">
        <v>177</v>
      </c>
      <c r="J23" s="115">
        <v>180</v>
      </c>
      <c r="L23" s="2" t="s">
        <v>461</v>
      </c>
    </row>
    <row r="24" spans="2:13">
      <c r="B24" s="105">
        <v>22</v>
      </c>
      <c r="C24" s="106" t="s">
        <v>75</v>
      </c>
      <c r="D24" s="105" t="s">
        <v>264</v>
      </c>
      <c r="E24" s="107" t="s">
        <v>34</v>
      </c>
      <c r="F24" s="107">
        <v>10</v>
      </c>
      <c r="G24" s="107" t="s">
        <v>178</v>
      </c>
      <c r="H24" s="106" t="s">
        <v>265</v>
      </c>
      <c r="I24" s="107" t="s">
        <v>178</v>
      </c>
      <c r="J24" s="115">
        <v>15</v>
      </c>
      <c r="L24" s="2" t="s">
        <v>462</v>
      </c>
    </row>
    <row r="25" spans="2:13">
      <c r="B25" s="105">
        <v>23</v>
      </c>
      <c r="C25" s="106" t="s">
        <v>75</v>
      </c>
      <c r="D25" s="105" t="s">
        <v>264</v>
      </c>
      <c r="E25" s="107" t="s">
        <v>245</v>
      </c>
      <c r="F25" s="107">
        <v>17</v>
      </c>
      <c r="G25" s="107" t="s">
        <v>179</v>
      </c>
      <c r="H25" s="106" t="s">
        <v>265</v>
      </c>
      <c r="I25" s="107" t="s">
        <v>179</v>
      </c>
      <c r="J25" s="115">
        <v>18</v>
      </c>
      <c r="L25" s="2" t="s">
        <v>463</v>
      </c>
    </row>
    <row r="26" spans="2:13">
      <c r="B26" s="108">
        <v>24</v>
      </c>
      <c r="C26" s="106" t="s">
        <v>75</v>
      </c>
      <c r="D26" s="105" t="s">
        <v>264</v>
      </c>
      <c r="E26" s="107" t="s">
        <v>35</v>
      </c>
      <c r="F26" s="107">
        <v>19</v>
      </c>
      <c r="G26" s="107" t="s">
        <v>180</v>
      </c>
      <c r="H26" s="106" t="s">
        <v>266</v>
      </c>
      <c r="I26" s="107" t="s">
        <v>180</v>
      </c>
      <c r="J26" s="115">
        <v>18</v>
      </c>
      <c r="L26" s="2" t="s">
        <v>464</v>
      </c>
    </row>
    <row r="27" spans="2:13">
      <c r="B27" s="105">
        <v>25</v>
      </c>
      <c r="C27" s="106" t="s">
        <v>75</v>
      </c>
      <c r="D27" s="105" t="s">
        <v>264</v>
      </c>
      <c r="E27" s="107" t="s">
        <v>35</v>
      </c>
      <c r="F27" s="107">
        <v>19</v>
      </c>
      <c r="G27" s="107" t="s">
        <v>76</v>
      </c>
      <c r="H27" s="106" t="s">
        <v>265</v>
      </c>
      <c r="I27" s="107" t="s">
        <v>76</v>
      </c>
      <c r="J27" s="115">
        <v>18</v>
      </c>
      <c r="L27" s="2" t="s">
        <v>465</v>
      </c>
    </row>
    <row r="28" spans="2:13">
      <c r="B28" s="105">
        <v>26</v>
      </c>
      <c r="C28" s="106" t="s">
        <v>75</v>
      </c>
      <c r="D28" s="105" t="s">
        <v>264</v>
      </c>
      <c r="E28" s="107" t="s">
        <v>36</v>
      </c>
      <c r="F28" s="107">
        <v>26</v>
      </c>
      <c r="G28" s="107" t="s">
        <v>77</v>
      </c>
      <c r="H28" s="107" t="s">
        <v>78</v>
      </c>
      <c r="I28" s="107" t="str">
        <f t="shared" ref="I28:I63" si="0">G28&amp;"-"&amp;H28</f>
        <v>ZX26U-5-CLR</v>
      </c>
      <c r="J28" s="115">
        <v>23</v>
      </c>
      <c r="L28" s="2" t="s">
        <v>366</v>
      </c>
    </row>
    <row r="29" spans="2:13">
      <c r="B29" s="108">
        <v>27</v>
      </c>
      <c r="C29" s="106" t="s">
        <v>75</v>
      </c>
      <c r="D29" s="105" t="s">
        <v>264</v>
      </c>
      <c r="E29" s="107" t="s">
        <v>36</v>
      </c>
      <c r="F29" s="107">
        <v>26</v>
      </c>
      <c r="G29" s="107" t="s">
        <v>77</v>
      </c>
      <c r="H29" s="107" t="s">
        <v>181</v>
      </c>
      <c r="I29" s="107" t="str">
        <f t="shared" si="0"/>
        <v>ZX26U-5-CLRK</v>
      </c>
      <c r="J29" s="115">
        <v>23</v>
      </c>
    </row>
    <row r="30" spans="2:13">
      <c r="B30" s="105">
        <v>28</v>
      </c>
      <c r="C30" s="106" t="s">
        <v>75</v>
      </c>
      <c r="D30" s="105" t="s">
        <v>264</v>
      </c>
      <c r="E30" s="107" t="s">
        <v>36</v>
      </c>
      <c r="F30" s="107">
        <v>26</v>
      </c>
      <c r="G30" s="107" t="s">
        <v>77</v>
      </c>
      <c r="H30" s="107" t="s">
        <v>79</v>
      </c>
      <c r="I30" s="107" t="str">
        <f t="shared" si="0"/>
        <v>ZX26U-5-YLR</v>
      </c>
      <c r="J30" s="115">
        <v>20</v>
      </c>
    </row>
    <row r="31" spans="2:13">
      <c r="B31" s="105">
        <v>29</v>
      </c>
      <c r="C31" s="106" t="s">
        <v>75</v>
      </c>
      <c r="D31" s="105" t="s">
        <v>264</v>
      </c>
      <c r="E31" s="107" t="s">
        <v>36</v>
      </c>
      <c r="F31" s="107">
        <v>26</v>
      </c>
      <c r="G31" s="107" t="s">
        <v>77</v>
      </c>
      <c r="H31" s="107" t="s">
        <v>182</v>
      </c>
      <c r="I31" s="107" t="str">
        <f t="shared" si="0"/>
        <v>ZX26U-5-YLRK</v>
      </c>
      <c r="J31" s="115">
        <v>20</v>
      </c>
    </row>
    <row r="32" spans="2:13">
      <c r="B32" s="108">
        <v>30</v>
      </c>
      <c r="C32" s="106" t="s">
        <v>75</v>
      </c>
      <c r="D32" s="105" t="s">
        <v>264</v>
      </c>
      <c r="E32" s="107" t="s">
        <v>68</v>
      </c>
      <c r="F32" s="107">
        <v>33</v>
      </c>
      <c r="G32" s="107" t="s">
        <v>80</v>
      </c>
      <c r="H32" s="107" t="s">
        <v>78</v>
      </c>
      <c r="I32" s="107" t="str">
        <f t="shared" si="0"/>
        <v>ZX33U-5-CLR</v>
      </c>
      <c r="J32" s="115">
        <v>32</v>
      </c>
    </row>
    <row r="33" spans="2:10">
      <c r="B33" s="105">
        <v>31</v>
      </c>
      <c r="C33" s="106" t="s">
        <v>75</v>
      </c>
      <c r="D33" s="105" t="s">
        <v>264</v>
      </c>
      <c r="E33" s="107" t="s">
        <v>68</v>
      </c>
      <c r="F33" s="107">
        <v>33</v>
      </c>
      <c r="G33" s="107" t="s">
        <v>80</v>
      </c>
      <c r="H33" s="107" t="s">
        <v>183</v>
      </c>
      <c r="I33" s="107" t="str">
        <f t="shared" si="0"/>
        <v>ZX33U-5-CLRK2</v>
      </c>
      <c r="J33" s="115">
        <v>32</v>
      </c>
    </row>
    <row r="34" spans="2:10">
      <c r="B34" s="105">
        <v>32</v>
      </c>
      <c r="C34" s="106" t="s">
        <v>75</v>
      </c>
      <c r="D34" s="105" t="s">
        <v>264</v>
      </c>
      <c r="E34" s="107" t="s">
        <v>68</v>
      </c>
      <c r="F34" s="107">
        <v>33</v>
      </c>
      <c r="G34" s="107" t="s">
        <v>80</v>
      </c>
      <c r="H34" s="107" t="s">
        <v>184</v>
      </c>
      <c r="I34" s="107" t="str">
        <f t="shared" si="0"/>
        <v>ZX33U-5-CLRK2NH</v>
      </c>
      <c r="J34" s="115">
        <v>32</v>
      </c>
    </row>
    <row r="35" spans="2:10">
      <c r="B35" s="108">
        <v>33</v>
      </c>
      <c r="C35" s="106" t="s">
        <v>75</v>
      </c>
      <c r="D35" s="105" t="s">
        <v>264</v>
      </c>
      <c r="E35" s="107" t="s">
        <v>68</v>
      </c>
      <c r="F35" s="107">
        <v>33</v>
      </c>
      <c r="G35" s="107" t="s">
        <v>80</v>
      </c>
      <c r="H35" s="107" t="s">
        <v>81</v>
      </c>
      <c r="I35" s="107" t="str">
        <f t="shared" si="0"/>
        <v>ZX33U-5-CLRNH</v>
      </c>
      <c r="J35" s="115">
        <v>32</v>
      </c>
    </row>
    <row r="36" spans="2:10">
      <c r="B36" s="105">
        <v>34</v>
      </c>
      <c r="C36" s="106" t="s">
        <v>75</v>
      </c>
      <c r="D36" s="105" t="s">
        <v>264</v>
      </c>
      <c r="E36" s="107" t="s">
        <v>68</v>
      </c>
      <c r="F36" s="107">
        <v>33</v>
      </c>
      <c r="G36" s="107" t="s">
        <v>80</v>
      </c>
      <c r="H36" s="107" t="s">
        <v>79</v>
      </c>
      <c r="I36" s="107" t="str">
        <f t="shared" si="0"/>
        <v>ZX33U-5-YLR</v>
      </c>
      <c r="J36" s="115">
        <v>32</v>
      </c>
    </row>
    <row r="37" spans="2:10">
      <c r="B37" s="105">
        <v>35</v>
      </c>
      <c r="C37" s="106" t="s">
        <v>75</v>
      </c>
      <c r="D37" s="105" t="s">
        <v>264</v>
      </c>
      <c r="E37" s="107" t="s">
        <v>68</v>
      </c>
      <c r="F37" s="107">
        <v>33</v>
      </c>
      <c r="G37" s="107" t="s">
        <v>80</v>
      </c>
      <c r="H37" s="107" t="s">
        <v>185</v>
      </c>
      <c r="I37" s="107" t="str">
        <f t="shared" si="0"/>
        <v>ZX33U-5-YLR-NH</v>
      </c>
      <c r="J37" s="115">
        <v>32</v>
      </c>
    </row>
    <row r="38" spans="2:10">
      <c r="B38" s="108">
        <v>36</v>
      </c>
      <c r="C38" s="106" t="s">
        <v>75</v>
      </c>
      <c r="D38" s="105" t="s">
        <v>264</v>
      </c>
      <c r="E38" s="107" t="s">
        <v>68</v>
      </c>
      <c r="F38" s="107">
        <v>33</v>
      </c>
      <c r="G38" s="107" t="s">
        <v>80</v>
      </c>
      <c r="H38" s="107" t="s">
        <v>186</v>
      </c>
      <c r="I38" s="107" t="str">
        <f t="shared" si="0"/>
        <v>ZX33U-5-YLRK2</v>
      </c>
      <c r="J38" s="115">
        <v>32</v>
      </c>
    </row>
    <row r="39" spans="2:10">
      <c r="B39" s="105">
        <v>37</v>
      </c>
      <c r="C39" s="106" t="s">
        <v>75</v>
      </c>
      <c r="D39" s="105" t="s">
        <v>264</v>
      </c>
      <c r="E39" s="107" t="s">
        <v>68</v>
      </c>
      <c r="F39" s="107">
        <v>33</v>
      </c>
      <c r="G39" s="107" t="s">
        <v>80</v>
      </c>
      <c r="H39" s="107" t="s">
        <v>187</v>
      </c>
      <c r="I39" s="107" t="str">
        <f t="shared" si="0"/>
        <v>ZX33U-5-YLRK2NH</v>
      </c>
      <c r="J39" s="115">
        <v>32</v>
      </c>
    </row>
    <row r="40" spans="2:10">
      <c r="B40" s="105">
        <v>38</v>
      </c>
      <c r="C40" s="106" t="s">
        <v>75</v>
      </c>
      <c r="D40" s="105" t="s">
        <v>264</v>
      </c>
      <c r="E40" s="107" t="s">
        <v>246</v>
      </c>
      <c r="F40" s="107">
        <v>38</v>
      </c>
      <c r="G40" s="107" t="s">
        <v>188</v>
      </c>
      <c r="H40" s="107" t="s">
        <v>78</v>
      </c>
      <c r="I40" s="107" t="str">
        <f t="shared" si="0"/>
        <v>ZX38U-5-CLR</v>
      </c>
      <c r="J40" s="115">
        <v>38</v>
      </c>
    </row>
    <row r="41" spans="2:10">
      <c r="B41" s="108">
        <v>39</v>
      </c>
      <c r="C41" s="106" t="s">
        <v>75</v>
      </c>
      <c r="D41" s="105" t="s">
        <v>264</v>
      </c>
      <c r="E41" s="107" t="s">
        <v>246</v>
      </c>
      <c r="F41" s="107">
        <v>38</v>
      </c>
      <c r="G41" s="107" t="s">
        <v>188</v>
      </c>
      <c r="H41" s="107" t="s">
        <v>183</v>
      </c>
      <c r="I41" s="107" t="str">
        <f t="shared" si="0"/>
        <v>ZX38U-5-CLRK2</v>
      </c>
      <c r="J41" s="115">
        <v>38</v>
      </c>
    </row>
    <row r="42" spans="2:10">
      <c r="B42" s="105">
        <v>40</v>
      </c>
      <c r="C42" s="106" t="s">
        <v>75</v>
      </c>
      <c r="D42" s="105" t="s">
        <v>264</v>
      </c>
      <c r="E42" s="107" t="s">
        <v>246</v>
      </c>
      <c r="F42" s="107">
        <v>38</v>
      </c>
      <c r="G42" s="107" t="s">
        <v>188</v>
      </c>
      <c r="H42" s="107" t="s">
        <v>184</v>
      </c>
      <c r="I42" s="107" t="str">
        <f t="shared" si="0"/>
        <v>ZX38U-5-CLRK2NH</v>
      </c>
      <c r="J42" s="115">
        <v>38</v>
      </c>
    </row>
    <row r="43" spans="2:10">
      <c r="B43" s="105">
        <v>41</v>
      </c>
      <c r="C43" s="106" t="s">
        <v>75</v>
      </c>
      <c r="D43" s="105" t="s">
        <v>264</v>
      </c>
      <c r="E43" s="107" t="s">
        <v>246</v>
      </c>
      <c r="F43" s="107">
        <v>38</v>
      </c>
      <c r="G43" s="107" t="s">
        <v>188</v>
      </c>
      <c r="H43" s="107" t="s">
        <v>81</v>
      </c>
      <c r="I43" s="107" t="str">
        <f t="shared" si="0"/>
        <v>ZX38U-5-CLRNH</v>
      </c>
      <c r="J43" s="115">
        <v>38</v>
      </c>
    </row>
    <row r="44" spans="2:10">
      <c r="B44" s="108">
        <v>42</v>
      </c>
      <c r="C44" s="106" t="s">
        <v>75</v>
      </c>
      <c r="D44" s="105" t="s">
        <v>264</v>
      </c>
      <c r="E44" s="107" t="s">
        <v>246</v>
      </c>
      <c r="F44" s="107">
        <v>38</v>
      </c>
      <c r="G44" s="107" t="s">
        <v>188</v>
      </c>
      <c r="H44" s="107" t="s">
        <v>79</v>
      </c>
      <c r="I44" s="107" t="str">
        <f t="shared" si="0"/>
        <v>ZX38U-5-YLR</v>
      </c>
      <c r="J44" s="115">
        <v>38</v>
      </c>
    </row>
    <row r="45" spans="2:10">
      <c r="B45" s="105">
        <v>43</v>
      </c>
      <c r="C45" s="106" t="s">
        <v>75</v>
      </c>
      <c r="D45" s="105" t="s">
        <v>264</v>
      </c>
      <c r="E45" s="107" t="s">
        <v>246</v>
      </c>
      <c r="F45" s="107">
        <v>38</v>
      </c>
      <c r="G45" s="107" t="s">
        <v>188</v>
      </c>
      <c r="H45" s="107" t="s">
        <v>185</v>
      </c>
      <c r="I45" s="107" t="str">
        <f t="shared" si="0"/>
        <v>ZX38U-5-YLR-NH</v>
      </c>
      <c r="J45" s="115">
        <v>38</v>
      </c>
    </row>
    <row r="46" spans="2:10">
      <c r="B46" s="105">
        <v>44</v>
      </c>
      <c r="C46" s="106" t="s">
        <v>75</v>
      </c>
      <c r="D46" s="105" t="s">
        <v>264</v>
      </c>
      <c r="E46" s="107" t="s">
        <v>246</v>
      </c>
      <c r="F46" s="107">
        <v>38</v>
      </c>
      <c r="G46" s="107" t="s">
        <v>188</v>
      </c>
      <c r="H46" s="107" t="s">
        <v>186</v>
      </c>
      <c r="I46" s="107" t="str">
        <f t="shared" si="0"/>
        <v>ZX38U-5-YLRK2</v>
      </c>
      <c r="J46" s="115">
        <v>38</v>
      </c>
    </row>
    <row r="47" spans="2:10">
      <c r="B47" s="108">
        <v>45</v>
      </c>
      <c r="C47" s="106" t="s">
        <v>75</v>
      </c>
      <c r="D47" s="105" t="s">
        <v>264</v>
      </c>
      <c r="E47" s="107" t="s">
        <v>246</v>
      </c>
      <c r="F47" s="107">
        <v>38</v>
      </c>
      <c r="G47" s="107" t="s">
        <v>188</v>
      </c>
      <c r="H47" s="107" t="s">
        <v>187</v>
      </c>
      <c r="I47" s="107" t="str">
        <f t="shared" si="0"/>
        <v>ZX38U-5-YLRK2NH</v>
      </c>
      <c r="J47" s="115">
        <v>38</v>
      </c>
    </row>
    <row r="48" spans="2:10">
      <c r="B48" s="105">
        <v>46</v>
      </c>
      <c r="C48" s="106" t="s">
        <v>75</v>
      </c>
      <c r="D48" s="105" t="s">
        <v>264</v>
      </c>
      <c r="E48" s="107" t="s">
        <v>37</v>
      </c>
      <c r="F48" s="107">
        <v>48</v>
      </c>
      <c r="G48" s="107" t="s">
        <v>82</v>
      </c>
      <c r="H48" s="107" t="s">
        <v>78</v>
      </c>
      <c r="I48" s="107" t="str">
        <f t="shared" si="0"/>
        <v>ZX48U-5-CLR</v>
      </c>
      <c r="J48" s="115">
        <v>41</v>
      </c>
    </row>
    <row r="49" spans="2:10">
      <c r="B49" s="105">
        <v>47</v>
      </c>
      <c r="C49" s="106" t="s">
        <v>75</v>
      </c>
      <c r="D49" s="105" t="s">
        <v>264</v>
      </c>
      <c r="E49" s="107" t="s">
        <v>37</v>
      </c>
      <c r="F49" s="107">
        <v>48</v>
      </c>
      <c r="G49" s="107" t="s">
        <v>82</v>
      </c>
      <c r="H49" s="107" t="s">
        <v>183</v>
      </c>
      <c r="I49" s="107" t="str">
        <f t="shared" si="0"/>
        <v>ZX48U-5-CLRK2</v>
      </c>
      <c r="J49" s="115">
        <v>41</v>
      </c>
    </row>
    <row r="50" spans="2:10">
      <c r="B50" s="108">
        <v>48</v>
      </c>
      <c r="C50" s="106" t="s">
        <v>75</v>
      </c>
      <c r="D50" s="105" t="s">
        <v>264</v>
      </c>
      <c r="E50" s="107" t="s">
        <v>37</v>
      </c>
      <c r="F50" s="107">
        <v>48</v>
      </c>
      <c r="G50" s="107" t="s">
        <v>82</v>
      </c>
      <c r="H50" s="107" t="s">
        <v>184</v>
      </c>
      <c r="I50" s="107" t="str">
        <f t="shared" si="0"/>
        <v>ZX48U-5-CLRK2NH</v>
      </c>
      <c r="J50" s="115">
        <v>41</v>
      </c>
    </row>
    <row r="51" spans="2:10">
      <c r="B51" s="105">
        <v>49</v>
      </c>
      <c r="C51" s="106" t="s">
        <v>75</v>
      </c>
      <c r="D51" s="105" t="s">
        <v>264</v>
      </c>
      <c r="E51" s="113" t="s">
        <v>37</v>
      </c>
      <c r="F51" s="113">
        <v>48</v>
      </c>
      <c r="G51" s="107" t="s">
        <v>82</v>
      </c>
      <c r="H51" s="107" t="s">
        <v>81</v>
      </c>
      <c r="I51" s="110" t="str">
        <f t="shared" si="0"/>
        <v>ZX48U-5-CLRNH</v>
      </c>
      <c r="J51" s="115">
        <v>41</v>
      </c>
    </row>
    <row r="52" spans="2:10">
      <c r="B52" s="105">
        <v>50</v>
      </c>
      <c r="C52" s="106" t="s">
        <v>75</v>
      </c>
      <c r="D52" s="105" t="s">
        <v>264</v>
      </c>
      <c r="E52" s="107" t="s">
        <v>37</v>
      </c>
      <c r="F52" s="107">
        <v>48</v>
      </c>
      <c r="G52" s="107" t="s">
        <v>82</v>
      </c>
      <c r="H52" s="107" t="s">
        <v>79</v>
      </c>
      <c r="I52" s="107" t="str">
        <f t="shared" si="0"/>
        <v>ZX48U-5-YLR</v>
      </c>
      <c r="J52" s="115">
        <v>41</v>
      </c>
    </row>
    <row r="53" spans="2:10">
      <c r="B53" s="108">
        <v>51</v>
      </c>
      <c r="C53" s="106" t="s">
        <v>75</v>
      </c>
      <c r="D53" s="105" t="s">
        <v>264</v>
      </c>
      <c r="E53" s="107" t="s">
        <v>37</v>
      </c>
      <c r="F53" s="107">
        <v>48</v>
      </c>
      <c r="G53" s="107" t="s">
        <v>82</v>
      </c>
      <c r="H53" s="107" t="s">
        <v>185</v>
      </c>
      <c r="I53" s="107" t="str">
        <f t="shared" si="0"/>
        <v>ZX48U-5-YLR-NH</v>
      </c>
      <c r="J53" s="115">
        <v>41</v>
      </c>
    </row>
    <row r="54" spans="2:10">
      <c r="B54" s="105">
        <v>52</v>
      </c>
      <c r="C54" s="106" t="s">
        <v>75</v>
      </c>
      <c r="D54" s="105" t="s">
        <v>264</v>
      </c>
      <c r="E54" s="107" t="s">
        <v>37</v>
      </c>
      <c r="F54" s="107">
        <v>48</v>
      </c>
      <c r="G54" s="107" t="s">
        <v>82</v>
      </c>
      <c r="H54" s="107" t="s">
        <v>186</v>
      </c>
      <c r="I54" s="107" t="str">
        <f t="shared" si="0"/>
        <v>ZX48U-5-YLRK2</v>
      </c>
      <c r="J54" s="115">
        <v>41</v>
      </c>
    </row>
    <row r="55" spans="2:10">
      <c r="B55" s="105">
        <v>53</v>
      </c>
      <c r="C55" s="106" t="s">
        <v>75</v>
      </c>
      <c r="D55" s="105" t="s">
        <v>264</v>
      </c>
      <c r="E55" s="107" t="s">
        <v>37</v>
      </c>
      <c r="F55" s="107">
        <v>48</v>
      </c>
      <c r="G55" s="107" t="s">
        <v>82</v>
      </c>
      <c r="H55" s="107" t="s">
        <v>187</v>
      </c>
      <c r="I55" s="107" t="str">
        <f t="shared" si="0"/>
        <v>ZX48U-5-YLRK2NH</v>
      </c>
      <c r="J55" s="115">
        <v>41</v>
      </c>
    </row>
    <row r="56" spans="2:10">
      <c r="B56" s="108">
        <v>54</v>
      </c>
      <c r="C56" s="106" t="s">
        <v>75</v>
      </c>
      <c r="D56" s="105" t="s">
        <v>264</v>
      </c>
      <c r="E56" s="107" t="s">
        <v>69</v>
      </c>
      <c r="F56" s="107">
        <v>55</v>
      </c>
      <c r="G56" s="107" t="s">
        <v>83</v>
      </c>
      <c r="H56" s="107" t="s">
        <v>78</v>
      </c>
      <c r="I56" s="107" t="str">
        <f t="shared" si="0"/>
        <v>ZX55U-5-CLR</v>
      </c>
      <c r="J56" s="115">
        <v>43</v>
      </c>
    </row>
    <row r="57" spans="2:10">
      <c r="B57" s="105">
        <v>55</v>
      </c>
      <c r="C57" s="106" t="s">
        <v>75</v>
      </c>
      <c r="D57" s="105" t="s">
        <v>264</v>
      </c>
      <c r="E57" s="107" t="s">
        <v>69</v>
      </c>
      <c r="F57" s="107">
        <v>55</v>
      </c>
      <c r="G57" s="107" t="s">
        <v>83</v>
      </c>
      <c r="H57" s="107" t="s">
        <v>183</v>
      </c>
      <c r="I57" s="107" t="str">
        <f t="shared" si="0"/>
        <v>ZX55U-5-CLRK2</v>
      </c>
      <c r="J57" s="115">
        <v>43</v>
      </c>
    </row>
    <row r="58" spans="2:10">
      <c r="B58" s="105">
        <v>56</v>
      </c>
      <c r="C58" s="106" t="s">
        <v>75</v>
      </c>
      <c r="D58" s="105" t="s">
        <v>264</v>
      </c>
      <c r="E58" s="107" t="s">
        <v>69</v>
      </c>
      <c r="F58" s="107">
        <v>55</v>
      </c>
      <c r="G58" s="107" t="s">
        <v>83</v>
      </c>
      <c r="H58" s="107" t="s">
        <v>184</v>
      </c>
      <c r="I58" s="107" t="str">
        <f t="shared" si="0"/>
        <v>ZX55U-5-CLRK2NH</v>
      </c>
      <c r="J58" s="115">
        <v>43</v>
      </c>
    </row>
    <row r="59" spans="2:10">
      <c r="B59" s="108">
        <v>57</v>
      </c>
      <c r="C59" s="106" t="s">
        <v>75</v>
      </c>
      <c r="D59" s="105" t="s">
        <v>264</v>
      </c>
      <c r="E59" s="107" t="s">
        <v>69</v>
      </c>
      <c r="F59" s="107">
        <v>55</v>
      </c>
      <c r="G59" s="107" t="s">
        <v>83</v>
      </c>
      <c r="H59" s="107" t="s">
        <v>81</v>
      </c>
      <c r="I59" s="107" t="str">
        <f t="shared" si="0"/>
        <v>ZX55U-5-CLRNH</v>
      </c>
      <c r="J59" s="115">
        <v>43</v>
      </c>
    </row>
    <row r="60" spans="2:10">
      <c r="B60" s="105">
        <v>58</v>
      </c>
      <c r="C60" s="106" t="s">
        <v>75</v>
      </c>
      <c r="D60" s="105" t="s">
        <v>264</v>
      </c>
      <c r="E60" s="107" t="s">
        <v>69</v>
      </c>
      <c r="F60" s="107">
        <v>55</v>
      </c>
      <c r="G60" s="107" t="s">
        <v>83</v>
      </c>
      <c r="H60" s="107" t="s">
        <v>79</v>
      </c>
      <c r="I60" s="107" t="str">
        <f t="shared" si="0"/>
        <v>ZX55U-5-YLR</v>
      </c>
      <c r="J60" s="115">
        <v>43</v>
      </c>
    </row>
    <row r="61" spans="2:10">
      <c r="B61" s="105">
        <v>59</v>
      </c>
      <c r="C61" s="106" t="s">
        <v>75</v>
      </c>
      <c r="D61" s="105" t="s">
        <v>264</v>
      </c>
      <c r="E61" s="107" t="s">
        <v>69</v>
      </c>
      <c r="F61" s="107">
        <v>55</v>
      </c>
      <c r="G61" s="107" t="s">
        <v>83</v>
      </c>
      <c r="H61" s="110" t="s">
        <v>185</v>
      </c>
      <c r="I61" s="107" t="str">
        <f t="shared" si="0"/>
        <v>ZX55U-5-YLR-NH</v>
      </c>
      <c r="J61" s="115">
        <v>43</v>
      </c>
    </row>
    <row r="62" spans="2:10">
      <c r="B62" s="108">
        <v>60</v>
      </c>
      <c r="C62" s="106" t="s">
        <v>75</v>
      </c>
      <c r="D62" s="105" t="s">
        <v>264</v>
      </c>
      <c r="E62" s="107" t="s">
        <v>69</v>
      </c>
      <c r="F62" s="107">
        <v>55</v>
      </c>
      <c r="G62" s="107" t="s">
        <v>83</v>
      </c>
      <c r="H62" s="110" t="s">
        <v>186</v>
      </c>
      <c r="I62" s="107" t="str">
        <f t="shared" si="0"/>
        <v>ZX55U-5-YLRK2</v>
      </c>
      <c r="J62" s="115">
        <v>43</v>
      </c>
    </row>
    <row r="63" spans="2:10">
      <c r="B63" s="105">
        <v>61</v>
      </c>
      <c r="C63" s="106" t="s">
        <v>75</v>
      </c>
      <c r="D63" s="105" t="s">
        <v>264</v>
      </c>
      <c r="E63" s="107" t="s">
        <v>69</v>
      </c>
      <c r="F63" s="107">
        <v>55</v>
      </c>
      <c r="G63" s="107" t="s">
        <v>83</v>
      </c>
      <c r="H63" s="110" t="s">
        <v>187</v>
      </c>
      <c r="I63" s="107" t="str">
        <f t="shared" si="0"/>
        <v>ZX55U-5-YLRK2NH</v>
      </c>
      <c r="J63" s="115">
        <v>43</v>
      </c>
    </row>
    <row r="64" spans="2:10">
      <c r="B64" s="105">
        <v>62</v>
      </c>
      <c r="C64" s="327" t="s">
        <v>75</v>
      </c>
      <c r="D64" s="328" t="s">
        <v>264</v>
      </c>
      <c r="E64" s="329" t="s">
        <v>38</v>
      </c>
      <c r="F64" s="329">
        <v>65</v>
      </c>
      <c r="G64" s="329" t="s">
        <v>84</v>
      </c>
      <c r="H64" s="417" t="s">
        <v>377</v>
      </c>
      <c r="I64" s="330" t="s">
        <v>376</v>
      </c>
      <c r="J64" s="115">
        <v>45</v>
      </c>
    </row>
    <row r="65" spans="2:10">
      <c r="B65" s="108">
        <v>63</v>
      </c>
      <c r="C65" s="106" t="s">
        <v>75</v>
      </c>
      <c r="D65" s="105" t="s">
        <v>264</v>
      </c>
      <c r="E65" s="107" t="s">
        <v>38</v>
      </c>
      <c r="F65" s="107">
        <v>65</v>
      </c>
      <c r="G65" s="107" t="s">
        <v>84</v>
      </c>
      <c r="H65" s="110" t="s">
        <v>78</v>
      </c>
      <c r="I65" s="107" t="str">
        <f t="shared" ref="I65:I72" si="1">G65&amp;"-"&amp;H65</f>
        <v>ZX65USB-5-CLR</v>
      </c>
      <c r="J65" s="115">
        <v>45</v>
      </c>
    </row>
    <row r="66" spans="2:10">
      <c r="B66" s="105">
        <v>64</v>
      </c>
      <c r="C66" s="106" t="s">
        <v>75</v>
      </c>
      <c r="D66" s="105" t="s">
        <v>264</v>
      </c>
      <c r="E66" s="107" t="s">
        <v>38</v>
      </c>
      <c r="F66" s="107">
        <v>65</v>
      </c>
      <c r="G66" s="107" t="s">
        <v>84</v>
      </c>
      <c r="H66" s="110" t="s">
        <v>183</v>
      </c>
      <c r="I66" s="107" t="str">
        <f t="shared" si="1"/>
        <v>ZX65USB-5-CLRK2</v>
      </c>
      <c r="J66" s="115">
        <v>45</v>
      </c>
    </row>
    <row r="67" spans="2:10">
      <c r="B67" s="105">
        <v>65</v>
      </c>
      <c r="C67" s="106" t="s">
        <v>75</v>
      </c>
      <c r="D67" s="105" t="s">
        <v>264</v>
      </c>
      <c r="E67" s="107" t="s">
        <v>38</v>
      </c>
      <c r="F67" s="107">
        <v>65</v>
      </c>
      <c r="G67" s="107" t="s">
        <v>84</v>
      </c>
      <c r="H67" s="110" t="s">
        <v>184</v>
      </c>
      <c r="I67" s="107" t="str">
        <f t="shared" si="1"/>
        <v>ZX65USB-5-CLRK2NH</v>
      </c>
      <c r="J67" s="115">
        <v>45</v>
      </c>
    </row>
    <row r="68" spans="2:10">
      <c r="B68" s="108">
        <v>66</v>
      </c>
      <c r="C68" s="106" t="s">
        <v>75</v>
      </c>
      <c r="D68" s="105" t="s">
        <v>264</v>
      </c>
      <c r="E68" s="107" t="s">
        <v>38</v>
      </c>
      <c r="F68" s="107">
        <v>65</v>
      </c>
      <c r="G68" s="107" t="s">
        <v>84</v>
      </c>
      <c r="H68" s="110" t="s">
        <v>81</v>
      </c>
      <c r="I68" s="107" t="str">
        <f t="shared" si="1"/>
        <v>ZX65USB-5-CLRNH</v>
      </c>
      <c r="J68" s="115">
        <v>45</v>
      </c>
    </row>
    <row r="69" spans="2:10">
      <c r="B69" s="105">
        <v>67</v>
      </c>
      <c r="C69" s="106" t="s">
        <v>75</v>
      </c>
      <c r="D69" s="105" t="s">
        <v>264</v>
      </c>
      <c r="E69" s="107" t="s">
        <v>38</v>
      </c>
      <c r="F69" s="107">
        <v>65</v>
      </c>
      <c r="G69" s="107" t="s">
        <v>84</v>
      </c>
      <c r="H69" s="110" t="s">
        <v>79</v>
      </c>
      <c r="I69" s="107" t="str">
        <f t="shared" si="1"/>
        <v>ZX65USB-5-YLR</v>
      </c>
      <c r="J69" s="115">
        <v>45</v>
      </c>
    </row>
    <row r="70" spans="2:10">
      <c r="B70" s="105">
        <v>68</v>
      </c>
      <c r="C70" s="106" t="s">
        <v>75</v>
      </c>
      <c r="D70" s="105" t="s">
        <v>264</v>
      </c>
      <c r="E70" s="107" t="s">
        <v>38</v>
      </c>
      <c r="F70" s="107">
        <v>65</v>
      </c>
      <c r="G70" s="107" t="s">
        <v>84</v>
      </c>
      <c r="H70" s="110" t="s">
        <v>185</v>
      </c>
      <c r="I70" s="107" t="str">
        <f t="shared" si="1"/>
        <v>ZX65USB-5-YLR-NH</v>
      </c>
      <c r="J70" s="115">
        <v>45</v>
      </c>
    </row>
    <row r="71" spans="2:10">
      <c r="B71" s="108">
        <v>69</v>
      </c>
      <c r="C71" s="106" t="s">
        <v>75</v>
      </c>
      <c r="D71" s="105" t="s">
        <v>264</v>
      </c>
      <c r="E71" s="107" t="s">
        <v>38</v>
      </c>
      <c r="F71" s="107">
        <v>65</v>
      </c>
      <c r="G71" s="107" t="s">
        <v>84</v>
      </c>
      <c r="H71" s="110" t="s">
        <v>186</v>
      </c>
      <c r="I71" s="107" t="str">
        <f t="shared" si="1"/>
        <v>ZX65USB-5-YLRK2</v>
      </c>
      <c r="J71" s="115">
        <v>45</v>
      </c>
    </row>
    <row r="72" spans="2:10">
      <c r="B72" s="105">
        <v>70</v>
      </c>
      <c r="C72" s="106" t="s">
        <v>75</v>
      </c>
      <c r="D72" s="105" t="s">
        <v>264</v>
      </c>
      <c r="E72" s="107" t="s">
        <v>38</v>
      </c>
      <c r="F72" s="107">
        <v>65</v>
      </c>
      <c r="G72" s="107" t="s">
        <v>84</v>
      </c>
      <c r="H72" s="110" t="s">
        <v>187</v>
      </c>
      <c r="I72" s="107" t="str">
        <f t="shared" si="1"/>
        <v>ZX65USB-5-YLRK2NH</v>
      </c>
      <c r="J72" s="115">
        <v>45</v>
      </c>
    </row>
    <row r="73" spans="2:10">
      <c r="B73" s="105">
        <v>71</v>
      </c>
      <c r="C73" s="106" t="s">
        <v>85</v>
      </c>
      <c r="D73" s="105" t="s">
        <v>264</v>
      </c>
      <c r="E73" s="107" t="s">
        <v>247</v>
      </c>
      <c r="F73" s="107">
        <v>130</v>
      </c>
      <c r="G73" s="107" t="s">
        <v>189</v>
      </c>
      <c r="H73" s="109" t="s">
        <v>222</v>
      </c>
      <c r="I73" s="107" t="s">
        <v>190</v>
      </c>
      <c r="J73" s="115">
        <v>105</v>
      </c>
    </row>
    <row r="74" spans="2:10">
      <c r="B74" s="108">
        <v>72</v>
      </c>
      <c r="C74" s="106" t="s">
        <v>85</v>
      </c>
      <c r="D74" s="105" t="s">
        <v>264</v>
      </c>
      <c r="E74" s="107" t="s">
        <v>247</v>
      </c>
      <c r="F74" s="107">
        <v>130</v>
      </c>
      <c r="G74" s="107" t="s">
        <v>189</v>
      </c>
      <c r="H74" s="109" t="s">
        <v>267</v>
      </c>
      <c r="I74" s="107" t="s">
        <v>191</v>
      </c>
      <c r="J74" s="115">
        <v>105</v>
      </c>
    </row>
    <row r="75" spans="2:10">
      <c r="B75" s="105">
        <v>73</v>
      </c>
      <c r="C75" s="106" t="s">
        <v>85</v>
      </c>
      <c r="D75" s="105" t="s">
        <v>264</v>
      </c>
      <c r="E75" s="107" t="s">
        <v>247</v>
      </c>
      <c r="F75" s="107">
        <v>130</v>
      </c>
      <c r="G75" s="107" t="s">
        <v>189</v>
      </c>
      <c r="H75" s="109" t="s">
        <v>268</v>
      </c>
      <c r="I75" s="107" t="s">
        <v>192</v>
      </c>
      <c r="J75" s="115">
        <v>90</v>
      </c>
    </row>
    <row r="76" spans="2:10">
      <c r="B76" s="105">
        <v>74</v>
      </c>
      <c r="C76" s="106" t="s">
        <v>85</v>
      </c>
      <c r="D76" s="105" t="s">
        <v>264</v>
      </c>
      <c r="E76" s="107" t="s">
        <v>247</v>
      </c>
      <c r="F76" s="107">
        <v>130</v>
      </c>
      <c r="G76" s="107" t="s">
        <v>189</v>
      </c>
      <c r="H76" s="109" t="s">
        <v>267</v>
      </c>
      <c r="I76" s="107" t="s">
        <v>193</v>
      </c>
      <c r="J76" s="115">
        <v>95</v>
      </c>
    </row>
    <row r="77" spans="2:10">
      <c r="B77" s="108">
        <v>75</v>
      </c>
      <c r="C77" s="106" t="s">
        <v>85</v>
      </c>
      <c r="D77" s="105" t="s">
        <v>264</v>
      </c>
      <c r="E77" s="107" t="s">
        <v>40</v>
      </c>
      <c r="F77" s="107">
        <v>135</v>
      </c>
      <c r="G77" s="107" t="s">
        <v>86</v>
      </c>
      <c r="H77" s="109" t="s">
        <v>371</v>
      </c>
      <c r="I77" s="107" t="s">
        <v>194</v>
      </c>
      <c r="J77" s="115">
        <v>110</v>
      </c>
    </row>
    <row r="78" spans="2:10">
      <c r="B78" s="105">
        <v>76</v>
      </c>
      <c r="C78" s="106" t="s">
        <v>85</v>
      </c>
      <c r="D78" s="105" t="s">
        <v>264</v>
      </c>
      <c r="E78" s="107" t="s">
        <v>40</v>
      </c>
      <c r="F78" s="107">
        <v>135</v>
      </c>
      <c r="G78" s="107" t="s">
        <v>86</v>
      </c>
      <c r="H78" s="109" t="s">
        <v>372</v>
      </c>
      <c r="I78" s="107" t="s">
        <v>87</v>
      </c>
      <c r="J78" s="115">
        <v>100</v>
      </c>
    </row>
    <row r="79" spans="2:10">
      <c r="B79" s="105">
        <v>77</v>
      </c>
      <c r="C79" s="106" t="s">
        <v>85</v>
      </c>
      <c r="D79" s="105" t="s">
        <v>264</v>
      </c>
      <c r="E79" s="107" t="s">
        <v>41</v>
      </c>
      <c r="F79" s="107">
        <v>160</v>
      </c>
      <c r="G79" s="107" t="s">
        <v>195</v>
      </c>
      <c r="H79" s="109" t="s">
        <v>222</v>
      </c>
      <c r="I79" s="107" t="s">
        <v>196</v>
      </c>
      <c r="J79" s="115">
        <v>115</v>
      </c>
    </row>
    <row r="80" spans="2:10">
      <c r="B80" s="108">
        <v>78</v>
      </c>
      <c r="C80" s="106" t="s">
        <v>85</v>
      </c>
      <c r="D80" s="105" t="s">
        <v>264</v>
      </c>
      <c r="E80" s="107" t="s">
        <v>41</v>
      </c>
      <c r="F80" s="107">
        <v>160</v>
      </c>
      <c r="G80" s="107" t="s">
        <v>195</v>
      </c>
      <c r="H80" s="109" t="s">
        <v>268</v>
      </c>
      <c r="I80" s="107" t="s">
        <v>197</v>
      </c>
      <c r="J80" s="115">
        <v>105</v>
      </c>
    </row>
    <row r="81" spans="2:10">
      <c r="B81" s="105">
        <v>79</v>
      </c>
      <c r="C81" s="106" t="s">
        <v>85</v>
      </c>
      <c r="D81" s="105" t="s">
        <v>264</v>
      </c>
      <c r="E81" s="107" t="s">
        <v>42</v>
      </c>
      <c r="F81" s="107">
        <v>190</v>
      </c>
      <c r="G81" s="107" t="s">
        <v>198</v>
      </c>
      <c r="H81" s="109" t="s">
        <v>222</v>
      </c>
      <c r="I81" s="107" t="s">
        <v>199</v>
      </c>
      <c r="J81" s="115">
        <v>110</v>
      </c>
    </row>
    <row r="82" spans="2:10">
      <c r="B82" s="105">
        <v>80</v>
      </c>
      <c r="C82" s="106" t="s">
        <v>85</v>
      </c>
      <c r="D82" s="105" t="s">
        <v>264</v>
      </c>
      <c r="E82" s="107" t="s">
        <v>42</v>
      </c>
      <c r="F82" s="107">
        <v>190</v>
      </c>
      <c r="G82" s="107" t="s">
        <v>198</v>
      </c>
      <c r="H82" s="109" t="s">
        <v>268</v>
      </c>
      <c r="I82" s="107" t="s">
        <v>200</v>
      </c>
      <c r="J82" s="115">
        <v>105</v>
      </c>
    </row>
    <row r="83" spans="2:10">
      <c r="B83" s="108">
        <v>81</v>
      </c>
      <c r="C83" s="106" t="s">
        <v>85</v>
      </c>
      <c r="D83" s="105" t="s">
        <v>264</v>
      </c>
      <c r="E83" s="107" t="s">
        <v>43</v>
      </c>
      <c r="F83" s="107">
        <v>210</v>
      </c>
      <c r="G83" s="107" t="s">
        <v>88</v>
      </c>
      <c r="H83" s="109" t="s">
        <v>222</v>
      </c>
      <c r="I83" s="107" t="s">
        <v>201</v>
      </c>
      <c r="J83" s="115">
        <v>120</v>
      </c>
    </row>
    <row r="84" spans="2:10">
      <c r="B84" s="105">
        <v>82</v>
      </c>
      <c r="C84" s="106" t="s">
        <v>85</v>
      </c>
      <c r="D84" s="105" t="s">
        <v>264</v>
      </c>
      <c r="E84" s="107" t="s">
        <v>43</v>
      </c>
      <c r="F84" s="107">
        <v>210</v>
      </c>
      <c r="G84" s="107" t="s">
        <v>88</v>
      </c>
      <c r="H84" s="109" t="s">
        <v>268</v>
      </c>
      <c r="I84" s="107" t="s">
        <v>89</v>
      </c>
      <c r="J84" s="115">
        <v>115</v>
      </c>
    </row>
    <row r="85" spans="2:10">
      <c r="B85" s="105">
        <v>83</v>
      </c>
      <c r="C85" s="106" t="s">
        <v>85</v>
      </c>
      <c r="D85" s="105" t="s">
        <v>264</v>
      </c>
      <c r="E85" s="107" t="s">
        <v>44</v>
      </c>
      <c r="F85" s="107">
        <v>225</v>
      </c>
      <c r="G85" s="107" t="s">
        <v>202</v>
      </c>
      <c r="H85" s="109" t="s">
        <v>222</v>
      </c>
      <c r="I85" s="107" t="s">
        <v>203</v>
      </c>
      <c r="J85" s="115">
        <v>130</v>
      </c>
    </row>
    <row r="86" spans="2:10">
      <c r="B86" s="108">
        <v>84</v>
      </c>
      <c r="C86" s="106" t="s">
        <v>85</v>
      </c>
      <c r="D86" s="105" t="s">
        <v>264</v>
      </c>
      <c r="E86" s="107" t="s">
        <v>44</v>
      </c>
      <c r="F86" s="107">
        <v>225</v>
      </c>
      <c r="G86" s="107" t="s">
        <v>202</v>
      </c>
      <c r="H86" s="109" t="s">
        <v>267</v>
      </c>
      <c r="I86" s="107" t="s">
        <v>204</v>
      </c>
      <c r="J86" s="115">
        <v>135</v>
      </c>
    </row>
    <row r="87" spans="2:10">
      <c r="B87" s="105">
        <v>85</v>
      </c>
      <c r="C87" s="106" t="s">
        <v>85</v>
      </c>
      <c r="D87" s="105" t="s">
        <v>264</v>
      </c>
      <c r="E87" s="107" t="s">
        <v>44</v>
      </c>
      <c r="F87" s="107">
        <v>225</v>
      </c>
      <c r="G87" s="107" t="s">
        <v>202</v>
      </c>
      <c r="H87" s="109" t="s">
        <v>268</v>
      </c>
      <c r="I87" s="107" t="s">
        <v>205</v>
      </c>
      <c r="J87" s="115">
        <v>120</v>
      </c>
    </row>
    <row r="88" spans="2:10">
      <c r="B88" s="105">
        <v>86</v>
      </c>
      <c r="C88" s="106" t="s">
        <v>85</v>
      </c>
      <c r="D88" s="105" t="s">
        <v>264</v>
      </c>
      <c r="E88" s="107" t="s">
        <v>44</v>
      </c>
      <c r="F88" s="107">
        <v>225</v>
      </c>
      <c r="G88" s="107" t="s">
        <v>202</v>
      </c>
      <c r="H88" s="109" t="s">
        <v>267</v>
      </c>
      <c r="I88" s="107" t="s">
        <v>206</v>
      </c>
      <c r="J88" s="115">
        <v>125</v>
      </c>
    </row>
    <row r="89" spans="2:10">
      <c r="B89" s="108">
        <v>87</v>
      </c>
      <c r="C89" s="106" t="s">
        <v>85</v>
      </c>
      <c r="D89" s="105" t="s">
        <v>264</v>
      </c>
      <c r="E89" s="107" t="s">
        <v>248</v>
      </c>
      <c r="F89" s="107">
        <v>250</v>
      </c>
      <c r="G89" s="107" t="s">
        <v>207</v>
      </c>
      <c r="H89" s="109" t="s">
        <v>222</v>
      </c>
      <c r="I89" s="107" t="s">
        <v>208</v>
      </c>
      <c r="J89" s="115">
        <v>160</v>
      </c>
    </row>
    <row r="90" spans="2:10">
      <c r="B90" s="105">
        <v>88</v>
      </c>
      <c r="C90" s="106" t="s">
        <v>85</v>
      </c>
      <c r="D90" s="105" t="s">
        <v>264</v>
      </c>
      <c r="E90" s="107" t="s">
        <v>248</v>
      </c>
      <c r="F90" s="107">
        <v>250</v>
      </c>
      <c r="G90" s="107" t="s">
        <v>207</v>
      </c>
      <c r="H90" s="109" t="s">
        <v>268</v>
      </c>
      <c r="I90" s="107" t="s">
        <v>209</v>
      </c>
      <c r="J90" s="115">
        <v>150</v>
      </c>
    </row>
    <row r="91" spans="2:10">
      <c r="B91" s="105">
        <v>89</v>
      </c>
      <c r="C91" s="106" t="s">
        <v>85</v>
      </c>
      <c r="D91" s="105" t="s">
        <v>264</v>
      </c>
      <c r="E91" s="107" t="s">
        <v>248</v>
      </c>
      <c r="F91" s="107">
        <v>250</v>
      </c>
      <c r="G91" s="107" t="s">
        <v>207</v>
      </c>
      <c r="H91" s="109" t="s">
        <v>222</v>
      </c>
      <c r="I91" s="107" t="s">
        <v>210</v>
      </c>
      <c r="J91" s="115">
        <v>160</v>
      </c>
    </row>
    <row r="92" spans="2:10">
      <c r="B92" s="108">
        <v>90</v>
      </c>
      <c r="C92" s="106" t="s">
        <v>85</v>
      </c>
      <c r="D92" s="105" t="s">
        <v>264</v>
      </c>
      <c r="E92" s="107" t="s">
        <v>248</v>
      </c>
      <c r="F92" s="107">
        <v>250</v>
      </c>
      <c r="G92" s="107" t="s">
        <v>207</v>
      </c>
      <c r="H92" s="109" t="s">
        <v>268</v>
      </c>
      <c r="I92" s="107" t="s">
        <v>211</v>
      </c>
      <c r="J92" s="115">
        <v>150</v>
      </c>
    </row>
    <row r="93" spans="2:10">
      <c r="B93" s="105">
        <v>91</v>
      </c>
      <c r="C93" s="106" t="s">
        <v>85</v>
      </c>
      <c r="D93" s="105" t="s">
        <v>264</v>
      </c>
      <c r="E93" s="107" t="s">
        <v>45</v>
      </c>
      <c r="F93" s="107">
        <v>300</v>
      </c>
      <c r="G93" s="107" t="s">
        <v>212</v>
      </c>
      <c r="H93" s="109" t="s">
        <v>222</v>
      </c>
      <c r="I93" s="107" t="s">
        <v>213</v>
      </c>
      <c r="J93" s="115">
        <v>175</v>
      </c>
    </row>
    <row r="94" spans="2:10">
      <c r="B94" s="105">
        <v>92</v>
      </c>
      <c r="C94" s="106" t="s">
        <v>85</v>
      </c>
      <c r="D94" s="105" t="s">
        <v>264</v>
      </c>
      <c r="E94" s="107" t="s">
        <v>45</v>
      </c>
      <c r="F94" s="107">
        <v>300</v>
      </c>
      <c r="G94" s="107" t="s">
        <v>212</v>
      </c>
      <c r="H94" s="109" t="s">
        <v>268</v>
      </c>
      <c r="I94" s="107" t="s">
        <v>214</v>
      </c>
      <c r="J94" s="115">
        <v>160</v>
      </c>
    </row>
    <row r="95" spans="2:10">
      <c r="B95" s="108">
        <v>93</v>
      </c>
      <c r="C95" s="106" t="s">
        <v>85</v>
      </c>
      <c r="D95" s="105" t="s">
        <v>264</v>
      </c>
      <c r="E95" s="107" t="s">
        <v>45</v>
      </c>
      <c r="F95" s="107">
        <v>300</v>
      </c>
      <c r="G95" s="107" t="s">
        <v>212</v>
      </c>
      <c r="H95" s="109" t="s">
        <v>222</v>
      </c>
      <c r="I95" s="107" t="s">
        <v>215</v>
      </c>
      <c r="J95" s="115">
        <v>175</v>
      </c>
    </row>
    <row r="96" spans="2:10">
      <c r="B96" s="105">
        <v>94</v>
      </c>
      <c r="C96" s="106" t="s">
        <v>85</v>
      </c>
      <c r="D96" s="105" t="s">
        <v>264</v>
      </c>
      <c r="E96" s="107" t="s">
        <v>45</v>
      </c>
      <c r="F96" s="107">
        <v>300</v>
      </c>
      <c r="G96" s="107" t="s">
        <v>212</v>
      </c>
      <c r="H96" s="109" t="s">
        <v>268</v>
      </c>
      <c r="I96" s="107" t="s">
        <v>216</v>
      </c>
      <c r="J96" s="115">
        <v>160</v>
      </c>
    </row>
    <row r="97" spans="2:10">
      <c r="B97" s="105">
        <v>95</v>
      </c>
      <c r="C97" s="106" t="s">
        <v>85</v>
      </c>
      <c r="D97" s="105" t="s">
        <v>264</v>
      </c>
      <c r="E97" s="107" t="s">
        <v>46</v>
      </c>
      <c r="F97" s="107">
        <v>350</v>
      </c>
      <c r="G97" s="107" t="s">
        <v>90</v>
      </c>
      <c r="H97" s="109" t="s">
        <v>222</v>
      </c>
      <c r="I97" s="107" t="s">
        <v>217</v>
      </c>
      <c r="J97" s="115">
        <v>200</v>
      </c>
    </row>
    <row r="98" spans="2:10">
      <c r="B98" s="108">
        <v>96</v>
      </c>
      <c r="C98" s="106" t="s">
        <v>85</v>
      </c>
      <c r="D98" s="105" t="s">
        <v>264</v>
      </c>
      <c r="E98" s="107" t="s">
        <v>46</v>
      </c>
      <c r="F98" s="107">
        <v>350</v>
      </c>
      <c r="G98" s="107" t="s">
        <v>90</v>
      </c>
      <c r="H98" s="109" t="s">
        <v>268</v>
      </c>
      <c r="I98" s="107" t="s">
        <v>218</v>
      </c>
      <c r="J98" s="115">
        <v>175</v>
      </c>
    </row>
    <row r="99" spans="2:10">
      <c r="B99" s="105">
        <v>97</v>
      </c>
      <c r="C99" s="106" t="s">
        <v>85</v>
      </c>
      <c r="D99" s="105" t="s">
        <v>264</v>
      </c>
      <c r="E99" s="107" t="s">
        <v>46</v>
      </c>
      <c r="F99" s="107">
        <v>350</v>
      </c>
      <c r="G99" s="107" t="s">
        <v>90</v>
      </c>
      <c r="H99" s="109" t="s">
        <v>222</v>
      </c>
      <c r="I99" s="107" t="s">
        <v>219</v>
      </c>
      <c r="J99" s="115">
        <v>200</v>
      </c>
    </row>
    <row r="100" spans="2:10">
      <c r="B100" s="105">
        <v>98</v>
      </c>
      <c r="C100" s="106" t="s">
        <v>85</v>
      </c>
      <c r="D100" s="105" t="s">
        <v>264</v>
      </c>
      <c r="E100" s="107" t="s">
        <v>46</v>
      </c>
      <c r="F100" s="107">
        <v>350</v>
      </c>
      <c r="G100" s="107" t="s">
        <v>90</v>
      </c>
      <c r="H100" s="109" t="s">
        <v>268</v>
      </c>
      <c r="I100" s="107" t="s">
        <v>91</v>
      </c>
      <c r="J100" s="115">
        <v>175</v>
      </c>
    </row>
    <row r="101" spans="2:10">
      <c r="B101" s="108">
        <v>99</v>
      </c>
      <c r="C101" s="106" t="s">
        <v>85</v>
      </c>
      <c r="D101" s="105" t="s">
        <v>264</v>
      </c>
      <c r="E101" s="107" t="s">
        <v>47</v>
      </c>
      <c r="F101" s="107">
        <v>490</v>
      </c>
      <c r="G101" s="107" t="s">
        <v>92</v>
      </c>
      <c r="H101" s="110" t="s">
        <v>93</v>
      </c>
      <c r="I101" s="107" t="str">
        <f t="shared" ref="I101:I106" si="2">G101&amp;"-"&amp;H101</f>
        <v>ZX490-6-BE</v>
      </c>
      <c r="J101" s="115">
        <v>260</v>
      </c>
    </row>
    <row r="102" spans="2:10">
      <c r="B102" s="105">
        <v>100</v>
      </c>
      <c r="C102" s="106" t="s">
        <v>85</v>
      </c>
      <c r="D102" s="105" t="s">
        <v>264</v>
      </c>
      <c r="E102" s="107" t="s">
        <v>47</v>
      </c>
      <c r="F102" s="107">
        <v>490</v>
      </c>
      <c r="G102" s="107" t="s">
        <v>92</v>
      </c>
      <c r="H102" s="110" t="s">
        <v>220</v>
      </c>
      <c r="I102" s="107" t="str">
        <f t="shared" si="2"/>
        <v>ZX490-6-H</v>
      </c>
      <c r="J102" s="115">
        <v>260</v>
      </c>
    </row>
    <row r="103" spans="2:10">
      <c r="B103" s="105">
        <v>101</v>
      </c>
      <c r="C103" s="106" t="s">
        <v>85</v>
      </c>
      <c r="D103" s="105" t="s">
        <v>264</v>
      </c>
      <c r="E103" s="107" t="s">
        <v>39</v>
      </c>
      <c r="F103" s="107">
        <v>85</v>
      </c>
      <c r="G103" s="107" t="s">
        <v>94</v>
      </c>
      <c r="H103" s="110" t="s">
        <v>95</v>
      </c>
      <c r="I103" s="107" t="str">
        <f t="shared" si="2"/>
        <v>ZX85US-5A-Mono</v>
      </c>
      <c r="J103" s="115">
        <v>65</v>
      </c>
    </row>
    <row r="104" spans="2:10">
      <c r="B104" s="108">
        <v>102</v>
      </c>
      <c r="C104" s="106" t="s">
        <v>85</v>
      </c>
      <c r="D104" s="105" t="s">
        <v>264</v>
      </c>
      <c r="E104" s="107" t="s">
        <v>39</v>
      </c>
      <c r="F104" s="107">
        <v>85</v>
      </c>
      <c r="G104" s="107" t="s">
        <v>94</v>
      </c>
      <c r="H104" s="110" t="s">
        <v>221</v>
      </c>
      <c r="I104" s="107" t="str">
        <f t="shared" si="2"/>
        <v>ZX85US-5A-Off-set</v>
      </c>
      <c r="J104" s="115">
        <v>70</v>
      </c>
    </row>
    <row r="105" spans="2:10">
      <c r="B105" s="105">
        <v>103</v>
      </c>
      <c r="C105" s="106" t="s">
        <v>85</v>
      </c>
      <c r="D105" s="105" t="s">
        <v>264</v>
      </c>
      <c r="E105" s="107" t="s">
        <v>39</v>
      </c>
      <c r="F105" s="107">
        <v>85</v>
      </c>
      <c r="G105" s="107" t="s">
        <v>96</v>
      </c>
      <c r="H105" s="110" t="s">
        <v>222</v>
      </c>
      <c r="I105" s="107" t="str">
        <f t="shared" si="2"/>
        <v>ZX85USB-5A-2P</v>
      </c>
      <c r="J105" s="115">
        <v>65</v>
      </c>
    </row>
    <row r="106" spans="2:10">
      <c r="B106" s="105">
        <v>104</v>
      </c>
      <c r="C106" s="106" t="s">
        <v>85</v>
      </c>
      <c r="D106" s="105" t="s">
        <v>264</v>
      </c>
      <c r="E106" s="107" t="s">
        <v>39</v>
      </c>
      <c r="F106" s="107">
        <v>85</v>
      </c>
      <c r="G106" s="107" t="s">
        <v>96</v>
      </c>
      <c r="H106" s="110" t="s">
        <v>95</v>
      </c>
      <c r="I106" s="107" t="str">
        <f t="shared" si="2"/>
        <v>ZX85USB-5A-Mono</v>
      </c>
      <c r="J106" s="115">
        <v>55</v>
      </c>
    </row>
    <row r="107" spans="2:10">
      <c r="B107" s="108">
        <v>105</v>
      </c>
      <c r="C107" s="106" t="s">
        <v>223</v>
      </c>
      <c r="D107" s="105" t="s">
        <v>264</v>
      </c>
      <c r="E107" s="107" t="s">
        <v>249</v>
      </c>
      <c r="F107" s="107">
        <v>140</v>
      </c>
      <c r="G107" s="107" t="s">
        <v>224</v>
      </c>
      <c r="H107" s="109" t="s">
        <v>222</v>
      </c>
      <c r="I107" s="107" t="s">
        <v>225</v>
      </c>
      <c r="J107" s="115">
        <v>115</v>
      </c>
    </row>
    <row r="108" spans="2:10">
      <c r="B108" s="105">
        <v>106</v>
      </c>
      <c r="C108" s="106" t="s">
        <v>223</v>
      </c>
      <c r="D108" s="105" t="s">
        <v>264</v>
      </c>
      <c r="E108" s="107" t="s">
        <v>249</v>
      </c>
      <c r="F108" s="107">
        <v>140</v>
      </c>
      <c r="G108" s="107" t="s">
        <v>224</v>
      </c>
      <c r="H108" s="109" t="s">
        <v>268</v>
      </c>
      <c r="I108" s="107" t="s">
        <v>226</v>
      </c>
      <c r="J108" s="115">
        <v>110</v>
      </c>
    </row>
    <row r="109" spans="2:10">
      <c r="B109" s="105">
        <v>107</v>
      </c>
      <c r="C109" s="106" t="s">
        <v>223</v>
      </c>
      <c r="D109" s="105" t="s">
        <v>264</v>
      </c>
      <c r="E109" s="107" t="s">
        <v>250</v>
      </c>
      <c r="F109" s="107">
        <v>145</v>
      </c>
      <c r="G109" s="107" t="s">
        <v>227</v>
      </c>
      <c r="H109" s="109" t="s">
        <v>222</v>
      </c>
      <c r="I109" s="107" t="s">
        <v>228</v>
      </c>
      <c r="J109" s="115">
        <v>115</v>
      </c>
    </row>
    <row r="110" spans="2:10">
      <c r="B110" s="108">
        <v>108</v>
      </c>
      <c r="C110" s="106" t="s">
        <v>223</v>
      </c>
      <c r="D110" s="105" t="s">
        <v>264</v>
      </c>
      <c r="E110" s="107" t="s">
        <v>251</v>
      </c>
      <c r="F110" s="107">
        <v>170</v>
      </c>
      <c r="G110" s="107" t="s">
        <v>229</v>
      </c>
      <c r="H110" s="109" t="s">
        <v>222</v>
      </c>
      <c r="I110" s="107" t="s">
        <v>230</v>
      </c>
      <c r="J110" s="115">
        <v>125</v>
      </c>
    </row>
    <row r="111" spans="2:10">
      <c r="B111" s="105">
        <v>109</v>
      </c>
      <c r="C111" s="106" t="s">
        <v>223</v>
      </c>
      <c r="D111" s="105" t="s">
        <v>264</v>
      </c>
      <c r="E111" s="107" t="s">
        <v>251</v>
      </c>
      <c r="F111" s="107">
        <v>170</v>
      </c>
      <c r="G111" s="107" t="s">
        <v>229</v>
      </c>
      <c r="H111" s="109" t="s">
        <v>268</v>
      </c>
      <c r="I111" s="107" t="s">
        <v>231</v>
      </c>
      <c r="J111" s="115">
        <v>115</v>
      </c>
    </row>
    <row r="112" spans="2:10">
      <c r="B112" s="105">
        <v>110</v>
      </c>
      <c r="C112" s="106" t="s">
        <v>223</v>
      </c>
      <c r="D112" s="105" t="s">
        <v>264</v>
      </c>
      <c r="E112" s="107" t="s">
        <v>42</v>
      </c>
      <c r="F112" s="107">
        <v>190</v>
      </c>
      <c r="G112" s="107" t="s">
        <v>232</v>
      </c>
      <c r="H112" s="109" t="s">
        <v>222</v>
      </c>
      <c r="I112" s="107" t="s">
        <v>233</v>
      </c>
      <c r="J112" s="115">
        <v>120</v>
      </c>
    </row>
    <row r="113" spans="2:10">
      <c r="B113" s="108">
        <v>111</v>
      </c>
      <c r="C113" s="106" t="s">
        <v>223</v>
      </c>
      <c r="D113" s="105" t="s">
        <v>264</v>
      </c>
      <c r="E113" s="107" t="s">
        <v>42</v>
      </c>
      <c r="F113" s="107">
        <v>190</v>
      </c>
      <c r="G113" s="107" t="s">
        <v>232</v>
      </c>
      <c r="H113" s="109" t="s">
        <v>268</v>
      </c>
      <c r="I113" s="107" t="s">
        <v>234</v>
      </c>
      <c r="J113" s="115">
        <v>120</v>
      </c>
    </row>
    <row r="114" spans="2:10">
      <c r="B114" s="105">
        <v>113</v>
      </c>
      <c r="C114" s="106" t="s">
        <v>85</v>
      </c>
      <c r="D114" s="105" t="s">
        <v>264</v>
      </c>
      <c r="E114" s="107" t="s">
        <v>247</v>
      </c>
      <c r="F114" s="107">
        <v>130</v>
      </c>
      <c r="G114" s="107" t="s">
        <v>604</v>
      </c>
      <c r="H114" s="109" t="s">
        <v>268</v>
      </c>
      <c r="I114" s="107" t="s">
        <v>603</v>
      </c>
      <c r="J114" s="115">
        <v>90</v>
      </c>
    </row>
    <row r="115" spans="2:10">
      <c r="B115" s="105">
        <v>114</v>
      </c>
      <c r="C115" s="106" t="s">
        <v>85</v>
      </c>
      <c r="D115" s="105" t="s">
        <v>264</v>
      </c>
      <c r="E115" s="107" t="s">
        <v>40</v>
      </c>
      <c r="F115" s="107">
        <v>135</v>
      </c>
      <c r="G115" s="107" t="s">
        <v>86</v>
      </c>
      <c r="H115" s="109" t="s">
        <v>268</v>
      </c>
      <c r="I115" s="107" t="s">
        <v>600</v>
      </c>
      <c r="J115" s="115">
        <v>95</v>
      </c>
    </row>
    <row r="116" spans="2:10">
      <c r="B116" s="105">
        <v>115</v>
      </c>
      <c r="C116" s="106" t="s">
        <v>85</v>
      </c>
      <c r="D116" s="105" t="s">
        <v>264</v>
      </c>
      <c r="E116" s="107" t="s">
        <v>42</v>
      </c>
      <c r="F116" s="107">
        <v>190</v>
      </c>
      <c r="G116" s="107" t="s">
        <v>606</v>
      </c>
      <c r="H116" s="109" t="s">
        <v>268</v>
      </c>
      <c r="I116" s="107" t="s">
        <v>605</v>
      </c>
      <c r="J116" s="115">
        <v>110</v>
      </c>
    </row>
    <row r="117" spans="2:10">
      <c r="B117" s="105">
        <v>112</v>
      </c>
      <c r="C117" s="106" t="s">
        <v>85</v>
      </c>
      <c r="D117" s="325" t="s">
        <v>264</v>
      </c>
      <c r="E117" s="107" t="s">
        <v>367</v>
      </c>
      <c r="F117" s="107">
        <v>530</v>
      </c>
      <c r="G117" s="107" t="s">
        <v>368</v>
      </c>
      <c r="H117" s="110" t="s">
        <v>369</v>
      </c>
      <c r="I117" s="107" t="str">
        <f>G117&amp;"-"&amp;H117</f>
        <v>ZX530-6-LCH</v>
      </c>
      <c r="J117" s="115">
        <v>290</v>
      </c>
    </row>
  </sheetData>
  <pageMargins left="0.7" right="0.7" top="0.75" bottom="0.75" header="0.3" footer="0.3"/>
  <pageSetup paperSize="9" orientation="portrait" horizontalDpi="300" verticalDpi="300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16</vt:i4>
      </vt:variant>
    </vt:vector>
  </HeadingPairs>
  <TitlesOfParts>
    <vt:vector size="24" baseType="lpstr">
      <vt:lpstr>Liste Machines</vt:lpstr>
      <vt:lpstr>Cdes HITACHI</vt:lpstr>
      <vt:lpstr>Nombre</vt:lpstr>
      <vt:lpstr>Budget</vt:lpstr>
      <vt:lpstr>Prévisionnel</vt:lpstr>
      <vt:lpstr>PlanFinance</vt:lpstr>
      <vt:lpstr>Parts de marché</vt:lpstr>
      <vt:lpstr>Data</vt:lpstr>
      <vt:lpstr>'Cdes HITACHI'!_FilterDatabase</vt:lpstr>
      <vt:lpstr>Début_HCME</vt:lpstr>
      <vt:lpstr>Délai_Vente</vt:lpstr>
      <vt:lpstr>Frais_de_Création</vt:lpstr>
      <vt:lpstr>Budget!Impression_des_titres</vt:lpstr>
      <vt:lpstr>Nombre!Impression_des_titres</vt:lpstr>
      <vt:lpstr>MarkUp</vt:lpstr>
      <vt:lpstr>Rglt_à_ESMTP</vt:lpstr>
      <vt:lpstr>Rglt_à_HCME</vt:lpstr>
      <vt:lpstr>TVA</vt:lpstr>
      <vt:lpstr>VENTE_stock</vt:lpstr>
      <vt:lpstr>Budget!Zone_d_impression</vt:lpstr>
      <vt:lpstr>'Liste Machines'!Zone_d_impression</vt:lpstr>
      <vt:lpstr>Nombre!Zone_d_impression</vt:lpstr>
      <vt:lpstr>'Parts de marché'!Zone_d_impression</vt:lpstr>
      <vt:lpstr>PlanFinance!Zone_d_impression</vt:lpstr>
    </vt:vector>
  </TitlesOfParts>
  <Company>Hitachi Construction Machinery Europe NV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Kanomata, Katsuhiro</dc:creator>
  <cp:lastModifiedBy>Administration</cp:lastModifiedBy>
  <cp:lastPrinted>2018-02-13T13:27:17Z</cp:lastPrinted>
  <dcterms:created xsi:type="dcterms:W3CDTF">2017-06-19T17:09:20Z</dcterms:created>
  <dcterms:modified xsi:type="dcterms:W3CDTF">2018-09-21T14:48:42Z</dcterms:modified>
</cp:coreProperties>
</file>